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ATHAM\Downloads\CSA ADVISOR\"/>
    </mc:Choice>
  </mc:AlternateContent>
  <xr:revisionPtr revIDLastSave="0" documentId="13_ncr:1_{BFCD23B2-2F0E-4DBC-BBAD-BEEAB7F3E2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bout the Company" sheetId="1" r:id="rId1"/>
    <sheet name="Promoter" sheetId="2" r:id="rId2"/>
    <sheet name="Public" sheetId="3" r:id="rId3"/>
    <sheet name="Consolidated P&amp;L" sheetId="4" r:id="rId4"/>
    <sheet name="DCF Valuation" sheetId="15" r:id="rId5"/>
    <sheet name="Consolidated Balance sheet" sheetId="14" r:id="rId6"/>
    <sheet name="Consolidated Cash Flow" sheetId="6" r:id="rId7"/>
    <sheet name="Wacc" sheetId="5" r:id="rId8"/>
    <sheet name="BETA" sheetId="7" r:id="rId9"/>
    <sheet name="Consolidated Quaterly Result" sheetId="8" r:id="rId10"/>
    <sheet name="Peers" sheetId="9" r:id="rId11"/>
    <sheet name="Ratio Analysis" sheetId="10" r:id="rId12"/>
    <sheet name="Fixed Asset Scheduled" sheetId="11" r:id="rId13"/>
    <sheet name="Change in working capital" sheetId="12" r:id="rId14"/>
    <sheet name="FCFF" sheetId="13" r:id="rId15"/>
    <sheet name="Assumptions" sheetId="16" r:id="rId16"/>
    <sheet name="Growth Scenario" sheetId="17" r:id="rId17"/>
    <sheet name="Forecasting" sheetId="18" r:id="rId18"/>
    <sheet name="Relative Valuations" sheetId="19" r:id="rId19"/>
    <sheet name="Gordon Growth Model" sheetId="20" r:id="rId20"/>
  </sheets>
  <calcPr calcId="18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5" l="1"/>
  <c r="C3" i="5"/>
  <c r="B16" i="20"/>
  <c r="G24" i="20"/>
  <c r="I22" i="20"/>
  <c r="I21" i="20"/>
  <c r="G18" i="20"/>
  <c r="E8" i="20"/>
  <c r="B36" i="20" l="1"/>
  <c r="B21" i="20"/>
  <c r="B19" i="20"/>
  <c r="E7" i="20"/>
  <c r="D7" i="20"/>
  <c r="C7" i="20"/>
  <c r="B7" i="20"/>
  <c r="E6" i="20"/>
  <c r="D6" i="20"/>
  <c r="D8" i="20" s="1"/>
  <c r="C6" i="20"/>
  <c r="C8" i="20" s="1"/>
  <c r="C11" i="20" s="1"/>
  <c r="B6" i="20"/>
  <c r="B8" i="20" s="1"/>
  <c r="K15" i="19"/>
  <c r="K16" i="19" s="1"/>
  <c r="K14" i="19"/>
  <c r="I10" i="19"/>
  <c r="G10" i="19"/>
  <c r="F10" i="19"/>
  <c r="E10" i="19"/>
  <c r="D10" i="19"/>
  <c r="B10" i="19"/>
  <c r="I9" i="19"/>
  <c r="G9" i="19"/>
  <c r="F9" i="19"/>
  <c r="E9" i="19"/>
  <c r="D9" i="19"/>
  <c r="B9" i="19"/>
  <c r="M8" i="19"/>
  <c r="L8" i="19"/>
  <c r="K8" i="19"/>
  <c r="J8" i="19"/>
  <c r="H8" i="19"/>
  <c r="C8" i="19"/>
  <c r="M7" i="19"/>
  <c r="L7" i="19"/>
  <c r="K7" i="19"/>
  <c r="J7" i="19"/>
  <c r="H7" i="19"/>
  <c r="C7" i="19"/>
  <c r="L6" i="19"/>
  <c r="K6" i="19"/>
  <c r="J6" i="19"/>
  <c r="H6" i="19"/>
  <c r="M6" i="19" s="1"/>
  <c r="C6" i="19"/>
  <c r="L5" i="19"/>
  <c r="K5" i="19"/>
  <c r="J5" i="19"/>
  <c r="H5" i="19"/>
  <c r="M5" i="19" s="1"/>
  <c r="C5" i="19"/>
  <c r="M4" i="19"/>
  <c r="L4" i="19"/>
  <c r="K4" i="19"/>
  <c r="O23" i="19" s="1"/>
  <c r="J4" i="19"/>
  <c r="H4" i="19"/>
  <c r="C4" i="19"/>
  <c r="I3" i="19"/>
  <c r="J3" i="19" s="1"/>
  <c r="D16" i="19" s="1"/>
  <c r="F3" i="19"/>
  <c r="C3" i="19"/>
  <c r="O10" i="18"/>
  <c r="O9" i="18"/>
  <c r="P10" i="18" s="1"/>
  <c r="O8" i="18"/>
  <c r="O7" i="18"/>
  <c r="P8" i="18" s="1"/>
  <c r="O6" i="18"/>
  <c r="M6" i="18"/>
  <c r="M7" i="18" s="1"/>
  <c r="M8" i="18" s="1"/>
  <c r="M9" i="18" s="1"/>
  <c r="M10" i="18" s="1"/>
  <c r="M11" i="18" s="1"/>
  <c r="H6" i="18"/>
  <c r="H7" i="18" s="1"/>
  <c r="H8" i="18" s="1"/>
  <c r="H9" i="18" s="1"/>
  <c r="H10" i="18" s="1"/>
  <c r="H11" i="18" s="1"/>
  <c r="C6" i="18"/>
  <c r="C7" i="18" s="1"/>
  <c r="C8" i="18" s="1"/>
  <c r="C9" i="18" s="1"/>
  <c r="C10" i="18" s="1"/>
  <c r="C11" i="18" s="1"/>
  <c r="O5" i="18"/>
  <c r="P6" i="18" s="1"/>
  <c r="N5" i="18"/>
  <c r="N6" i="18" s="1"/>
  <c r="N7" i="18" s="1"/>
  <c r="N8" i="18" s="1"/>
  <c r="N9" i="18" s="1"/>
  <c r="N10" i="18" s="1"/>
  <c r="N11" i="18" s="1"/>
  <c r="N12" i="18" s="1"/>
  <c r="N13" i="18" s="1"/>
  <c r="N14" i="18" s="1"/>
  <c r="J5" i="18"/>
  <c r="I5" i="18"/>
  <c r="I6" i="18" s="1"/>
  <c r="I7" i="18" s="1"/>
  <c r="I8" i="18" s="1"/>
  <c r="I9" i="18" s="1"/>
  <c r="I10" i="18" s="1"/>
  <c r="I11" i="18" s="1"/>
  <c r="I12" i="18" s="1"/>
  <c r="I13" i="18" s="1"/>
  <c r="I14" i="18" s="1"/>
  <c r="E5" i="18"/>
  <c r="D5" i="18"/>
  <c r="D6" i="18" s="1"/>
  <c r="D7" i="18" s="1"/>
  <c r="D8" i="18" s="1"/>
  <c r="D9" i="18" s="1"/>
  <c r="D10" i="18" s="1"/>
  <c r="D11" i="18" s="1"/>
  <c r="D12" i="18" s="1"/>
  <c r="D13" i="18" s="1"/>
  <c r="D14" i="18" s="1"/>
  <c r="N13" i="17"/>
  <c r="N8" i="17"/>
  <c r="P4" i="17"/>
  <c r="E42" i="16"/>
  <c r="F41" i="16"/>
  <c r="E41" i="16"/>
  <c r="D41" i="16"/>
  <c r="C41" i="16"/>
  <c r="B41" i="16"/>
  <c r="B42" i="16" s="1"/>
  <c r="F40" i="16"/>
  <c r="F42" i="16" s="1"/>
  <c r="E40" i="16"/>
  <c r="D40" i="16"/>
  <c r="C40" i="16"/>
  <c r="B40" i="16"/>
  <c r="F39" i="16"/>
  <c r="E39" i="16"/>
  <c r="D39" i="16"/>
  <c r="D42" i="16" s="1"/>
  <c r="C39" i="16"/>
  <c r="C42" i="16" s="1"/>
  <c r="B39" i="16"/>
  <c r="C35" i="16"/>
  <c r="D35" i="16" s="1"/>
  <c r="E35" i="16" s="1"/>
  <c r="F35" i="16" s="1"/>
  <c r="D30" i="16"/>
  <c r="F16" i="16"/>
  <c r="E16" i="16"/>
  <c r="E17" i="16" s="1"/>
  <c r="D16" i="16"/>
  <c r="C16" i="16"/>
  <c r="B16" i="16"/>
  <c r="F15" i="16"/>
  <c r="E15" i="16"/>
  <c r="E34" i="16" s="1"/>
  <c r="D15" i="16"/>
  <c r="C15" i="16"/>
  <c r="B34" i="16" s="1"/>
  <c r="B15" i="16"/>
  <c r="C34" i="16" s="1"/>
  <c r="F14" i="16"/>
  <c r="F17" i="16" s="1"/>
  <c r="E14" i="16"/>
  <c r="D14" i="16"/>
  <c r="D17" i="16" s="1"/>
  <c r="C14" i="16"/>
  <c r="C17" i="16" s="1"/>
  <c r="B14" i="16"/>
  <c r="F13" i="16"/>
  <c r="E13" i="16"/>
  <c r="D13" i="16"/>
  <c r="C13" i="16"/>
  <c r="B13" i="16"/>
  <c r="F12" i="16"/>
  <c r="E12" i="16"/>
  <c r="D12" i="16"/>
  <c r="C12" i="16"/>
  <c r="B12" i="16"/>
  <c r="F10" i="16"/>
  <c r="E10" i="16"/>
  <c r="D10" i="16"/>
  <c r="C10" i="16"/>
  <c r="B10" i="16"/>
  <c r="B5" i="11" s="1"/>
  <c r="F7" i="16"/>
  <c r="E7" i="16"/>
  <c r="D7" i="16"/>
  <c r="C7" i="16"/>
  <c r="B7" i="16"/>
  <c r="B8" i="16" s="1"/>
  <c r="F6" i="16"/>
  <c r="F8" i="16" s="1"/>
  <c r="E6" i="16"/>
  <c r="D6" i="16"/>
  <c r="C6" i="16"/>
  <c r="B6" i="16"/>
  <c r="F5" i="16"/>
  <c r="E5" i="16"/>
  <c r="E8" i="16" s="1"/>
  <c r="D5" i="16"/>
  <c r="D8" i="16" s="1"/>
  <c r="D9" i="16" s="1"/>
  <c r="C5" i="16"/>
  <c r="B5" i="16"/>
  <c r="D4" i="16"/>
  <c r="F3" i="16"/>
  <c r="C25" i="16" s="1"/>
  <c r="E3" i="16"/>
  <c r="E9" i="18" s="1"/>
  <c r="D3" i="16"/>
  <c r="E8" i="18" s="1"/>
  <c r="C3" i="16"/>
  <c r="B3" i="16"/>
  <c r="B4" i="16" s="1"/>
  <c r="C29" i="15"/>
  <c r="C26" i="15"/>
  <c r="C25" i="15"/>
  <c r="C24" i="15"/>
  <c r="N4" i="15"/>
  <c r="F4" i="12"/>
  <c r="E4" i="12"/>
  <c r="D4" i="12"/>
  <c r="C4" i="12"/>
  <c r="B4" i="12"/>
  <c r="F3" i="12"/>
  <c r="E3" i="12"/>
  <c r="D3" i="12"/>
  <c r="D5" i="12" s="1"/>
  <c r="D6" i="12" s="1"/>
  <c r="C3" i="12"/>
  <c r="B3" i="12"/>
  <c r="F2" i="12"/>
  <c r="F5" i="12" s="1"/>
  <c r="E2" i="12"/>
  <c r="D2" i="12"/>
  <c r="C2" i="12"/>
  <c r="C5" i="12" s="1"/>
  <c r="B2" i="12"/>
  <c r="B5" i="12" s="1"/>
  <c r="F6" i="11"/>
  <c r="F3" i="11" s="1"/>
  <c r="F8" i="11" s="1"/>
  <c r="E6" i="11"/>
  <c r="D6" i="11"/>
  <c r="C6" i="11"/>
  <c r="B6" i="11"/>
  <c r="F5" i="11"/>
  <c r="E5" i="11"/>
  <c r="E3" i="11" s="1"/>
  <c r="E8" i="11" s="1"/>
  <c r="D5" i="11"/>
  <c r="C5" i="11"/>
  <c r="C3" i="11" s="1"/>
  <c r="C8" i="11" s="1"/>
  <c r="F2" i="11"/>
  <c r="F4" i="11" s="1"/>
  <c r="E2" i="11"/>
  <c r="E4" i="11" s="1"/>
  <c r="D2" i="11"/>
  <c r="C2" i="11"/>
  <c r="C4" i="11" s="1"/>
  <c r="B2" i="11"/>
  <c r="G39" i="10"/>
  <c r="F39" i="10"/>
  <c r="E39" i="10"/>
  <c r="D39" i="10"/>
  <c r="C39" i="10"/>
  <c r="I39" i="10" s="1"/>
  <c r="G38" i="10"/>
  <c r="F38" i="10"/>
  <c r="E38" i="10"/>
  <c r="D38" i="10"/>
  <c r="C38" i="10"/>
  <c r="J38" i="10" s="1"/>
  <c r="G37" i="10"/>
  <c r="F37" i="10"/>
  <c r="E37" i="10"/>
  <c r="D37" i="10"/>
  <c r="J37" i="10" s="1"/>
  <c r="C37" i="10"/>
  <c r="G34" i="10"/>
  <c r="F34" i="10"/>
  <c r="E34" i="10"/>
  <c r="D34" i="10"/>
  <c r="C34" i="10"/>
  <c r="B34" i="10"/>
  <c r="I34" i="10" s="1"/>
  <c r="G33" i="10"/>
  <c r="F33" i="10"/>
  <c r="E33" i="10"/>
  <c r="D33" i="10"/>
  <c r="C33" i="10"/>
  <c r="B33" i="10"/>
  <c r="I33" i="10" s="1"/>
  <c r="G32" i="10"/>
  <c r="G35" i="10" s="1"/>
  <c r="F32" i="10"/>
  <c r="F35" i="10" s="1"/>
  <c r="E32" i="10"/>
  <c r="E35" i="10" s="1"/>
  <c r="D32" i="10"/>
  <c r="D35" i="10" s="1"/>
  <c r="C32" i="10"/>
  <c r="C35" i="10" s="1"/>
  <c r="B32" i="10"/>
  <c r="I32" i="10" s="1"/>
  <c r="G29" i="10"/>
  <c r="F29" i="10"/>
  <c r="E29" i="10"/>
  <c r="D29" i="10"/>
  <c r="C29" i="10"/>
  <c r="B29" i="10"/>
  <c r="I29" i="10" s="1"/>
  <c r="G28" i="10"/>
  <c r="F28" i="10"/>
  <c r="E28" i="10"/>
  <c r="D28" i="10"/>
  <c r="C28" i="10"/>
  <c r="B28" i="10"/>
  <c r="I28" i="10" s="1"/>
  <c r="G27" i="10"/>
  <c r="F27" i="10"/>
  <c r="E27" i="10"/>
  <c r="D27" i="10"/>
  <c r="C27" i="10"/>
  <c r="B27" i="10"/>
  <c r="I27" i="10" s="1"/>
  <c r="G26" i="10"/>
  <c r="F26" i="10"/>
  <c r="E26" i="10"/>
  <c r="D26" i="10"/>
  <c r="C26" i="10"/>
  <c r="B26" i="10"/>
  <c r="I26" i="10" s="1"/>
  <c r="G25" i="10"/>
  <c r="F25" i="10"/>
  <c r="E25" i="10"/>
  <c r="D25" i="10"/>
  <c r="C25" i="10"/>
  <c r="B25" i="10"/>
  <c r="I25" i="10" s="1"/>
  <c r="B23" i="10"/>
  <c r="G21" i="10"/>
  <c r="G22" i="10" s="1"/>
  <c r="D21" i="10"/>
  <c r="D22" i="10" s="1"/>
  <c r="B21" i="10"/>
  <c r="G20" i="10"/>
  <c r="D20" i="10"/>
  <c r="B19" i="10"/>
  <c r="B17" i="10"/>
  <c r="G16" i="10"/>
  <c r="F16" i="10"/>
  <c r="E16" i="10"/>
  <c r="D16" i="10"/>
  <c r="J16" i="10" s="1"/>
  <c r="C16" i="10"/>
  <c r="B16" i="10"/>
  <c r="I16" i="10" s="1"/>
  <c r="G15" i="10"/>
  <c r="F15" i="10"/>
  <c r="E15" i="10"/>
  <c r="D15" i="10"/>
  <c r="J15" i="10" s="1"/>
  <c r="C15" i="10"/>
  <c r="B15" i="10"/>
  <c r="I15" i="10" s="1"/>
  <c r="G13" i="10"/>
  <c r="D13" i="10"/>
  <c r="B13" i="10"/>
  <c r="G12" i="10"/>
  <c r="F12" i="10"/>
  <c r="E12" i="10"/>
  <c r="D12" i="10"/>
  <c r="J12" i="10" s="1"/>
  <c r="C12" i="10"/>
  <c r="B12" i="10"/>
  <c r="I12" i="10" s="1"/>
  <c r="B11" i="10"/>
  <c r="B10" i="10"/>
  <c r="G9" i="10"/>
  <c r="F9" i="10"/>
  <c r="E9" i="10"/>
  <c r="D9" i="10"/>
  <c r="C9" i="10"/>
  <c r="B9" i="10"/>
  <c r="J9" i="10" s="1"/>
  <c r="G8" i="10"/>
  <c r="F8" i="10"/>
  <c r="E8" i="10"/>
  <c r="D8" i="10"/>
  <c r="J8" i="10" s="1"/>
  <c r="G4" i="10"/>
  <c r="F4" i="10"/>
  <c r="E4" i="10"/>
  <c r="D4" i="10"/>
  <c r="J4" i="10" s="1"/>
  <c r="C4" i="10"/>
  <c r="I4" i="10" s="1"/>
  <c r="G1515" i="7"/>
  <c r="F1515" i="7"/>
  <c r="G1514" i="7"/>
  <c r="F1514" i="7"/>
  <c r="G1513" i="7"/>
  <c r="F1513" i="7"/>
  <c r="G1512" i="7"/>
  <c r="F1512" i="7"/>
  <c r="G1511" i="7"/>
  <c r="F1511" i="7"/>
  <c r="G1510" i="7"/>
  <c r="F1510" i="7"/>
  <c r="G1509" i="7"/>
  <c r="F1509" i="7"/>
  <c r="G1508" i="7"/>
  <c r="F1508" i="7"/>
  <c r="G1507" i="7"/>
  <c r="F1507" i="7"/>
  <c r="G1506" i="7"/>
  <c r="F1506" i="7"/>
  <c r="G1505" i="7"/>
  <c r="F1505" i="7"/>
  <c r="G1504" i="7"/>
  <c r="F1504" i="7"/>
  <c r="G1503" i="7"/>
  <c r="F1503" i="7"/>
  <c r="G1502" i="7"/>
  <c r="F1502" i="7"/>
  <c r="G1501" i="7"/>
  <c r="F1501" i="7"/>
  <c r="G1500" i="7"/>
  <c r="F1500" i="7"/>
  <c r="G1499" i="7"/>
  <c r="F1499" i="7"/>
  <c r="G1498" i="7"/>
  <c r="F1498" i="7"/>
  <c r="G1497" i="7"/>
  <c r="F1497" i="7"/>
  <c r="G1496" i="7"/>
  <c r="F1496" i="7"/>
  <c r="G1495" i="7"/>
  <c r="F1495" i="7"/>
  <c r="G1494" i="7"/>
  <c r="F1494" i="7"/>
  <c r="G1493" i="7"/>
  <c r="F1493" i="7"/>
  <c r="G1492" i="7"/>
  <c r="F1492" i="7"/>
  <c r="G1491" i="7"/>
  <c r="F1491" i="7"/>
  <c r="G1490" i="7"/>
  <c r="F1490" i="7"/>
  <c r="G1489" i="7"/>
  <c r="F1489" i="7"/>
  <c r="G1488" i="7"/>
  <c r="F1488" i="7"/>
  <c r="G1487" i="7"/>
  <c r="F1487" i="7"/>
  <c r="G1486" i="7"/>
  <c r="F1486" i="7"/>
  <c r="G1485" i="7"/>
  <c r="F1485" i="7"/>
  <c r="G1484" i="7"/>
  <c r="F1484" i="7"/>
  <c r="G1483" i="7"/>
  <c r="F1483" i="7"/>
  <c r="G1482" i="7"/>
  <c r="F1482" i="7"/>
  <c r="G1481" i="7"/>
  <c r="F1481" i="7"/>
  <c r="G1480" i="7"/>
  <c r="F1480" i="7"/>
  <c r="G1479" i="7"/>
  <c r="F1479" i="7"/>
  <c r="G1478" i="7"/>
  <c r="F1478" i="7"/>
  <c r="G1477" i="7"/>
  <c r="F1477" i="7"/>
  <c r="G1476" i="7"/>
  <c r="F1476" i="7"/>
  <c r="G1475" i="7"/>
  <c r="F1475" i="7"/>
  <c r="G1474" i="7"/>
  <c r="F1474" i="7"/>
  <c r="G1473" i="7"/>
  <c r="F1473" i="7"/>
  <c r="G1472" i="7"/>
  <c r="F1472" i="7"/>
  <c r="G1471" i="7"/>
  <c r="F1471" i="7"/>
  <c r="G1470" i="7"/>
  <c r="F1470" i="7"/>
  <c r="G1469" i="7"/>
  <c r="F1469" i="7"/>
  <c r="G1468" i="7"/>
  <c r="F1468" i="7"/>
  <c r="G1467" i="7"/>
  <c r="F1467" i="7"/>
  <c r="G1466" i="7"/>
  <c r="F1466" i="7"/>
  <c r="G1465" i="7"/>
  <c r="F1465" i="7"/>
  <c r="G1464" i="7"/>
  <c r="F1464" i="7"/>
  <c r="G1463" i="7"/>
  <c r="F1463" i="7"/>
  <c r="G1462" i="7"/>
  <c r="F1462" i="7"/>
  <c r="G1461" i="7"/>
  <c r="F1461" i="7"/>
  <c r="G1460" i="7"/>
  <c r="F1460" i="7"/>
  <c r="G1459" i="7"/>
  <c r="F1459" i="7"/>
  <c r="G1458" i="7"/>
  <c r="F1458" i="7"/>
  <c r="G1457" i="7"/>
  <c r="F1457" i="7"/>
  <c r="G1456" i="7"/>
  <c r="F1456" i="7"/>
  <c r="G1455" i="7"/>
  <c r="F1455" i="7"/>
  <c r="G1454" i="7"/>
  <c r="F1454" i="7"/>
  <c r="G1453" i="7"/>
  <c r="F1453" i="7"/>
  <c r="G1452" i="7"/>
  <c r="F1452" i="7"/>
  <c r="G1451" i="7"/>
  <c r="F1451" i="7"/>
  <c r="G1450" i="7"/>
  <c r="F1450" i="7"/>
  <c r="G1449" i="7"/>
  <c r="F1449" i="7"/>
  <c r="G1448" i="7"/>
  <c r="F1448" i="7"/>
  <c r="G1447" i="7"/>
  <c r="F1447" i="7"/>
  <c r="G1446" i="7"/>
  <c r="F1446" i="7"/>
  <c r="G1445" i="7"/>
  <c r="F1445" i="7"/>
  <c r="G1444" i="7"/>
  <c r="F1444" i="7"/>
  <c r="G1443" i="7"/>
  <c r="F1443" i="7"/>
  <c r="G1442" i="7"/>
  <c r="F1442" i="7"/>
  <c r="G1441" i="7"/>
  <c r="F1441" i="7"/>
  <c r="G1440" i="7"/>
  <c r="F1440" i="7"/>
  <c r="G1439" i="7"/>
  <c r="F1439" i="7"/>
  <c r="G1438" i="7"/>
  <c r="F1438" i="7"/>
  <c r="G1437" i="7"/>
  <c r="F1437" i="7"/>
  <c r="G1436" i="7"/>
  <c r="F1436" i="7"/>
  <c r="G1435" i="7"/>
  <c r="F1435" i="7"/>
  <c r="G1434" i="7"/>
  <c r="F1434" i="7"/>
  <c r="G1433" i="7"/>
  <c r="F1433" i="7"/>
  <c r="G1432" i="7"/>
  <c r="F1432" i="7"/>
  <c r="G1431" i="7"/>
  <c r="F1431" i="7"/>
  <c r="G1430" i="7"/>
  <c r="F1430" i="7"/>
  <c r="G1429" i="7"/>
  <c r="F1429" i="7"/>
  <c r="G1428" i="7"/>
  <c r="F1428" i="7"/>
  <c r="G1427" i="7"/>
  <c r="F1427" i="7"/>
  <c r="G1426" i="7"/>
  <c r="F1426" i="7"/>
  <c r="G1425" i="7"/>
  <c r="F1425" i="7"/>
  <c r="G1424" i="7"/>
  <c r="F1424" i="7"/>
  <c r="G1423" i="7"/>
  <c r="F1423" i="7"/>
  <c r="G1422" i="7"/>
  <c r="F1422" i="7"/>
  <c r="G1421" i="7"/>
  <c r="F1421" i="7"/>
  <c r="G1420" i="7"/>
  <c r="F1420" i="7"/>
  <c r="G1419" i="7"/>
  <c r="F1419" i="7"/>
  <c r="G1418" i="7"/>
  <c r="F1418" i="7"/>
  <c r="G1417" i="7"/>
  <c r="F1417" i="7"/>
  <c r="G1416" i="7"/>
  <c r="F1416" i="7"/>
  <c r="G1415" i="7"/>
  <c r="F1415" i="7"/>
  <c r="G1414" i="7"/>
  <c r="F1414" i="7"/>
  <c r="G1413" i="7"/>
  <c r="F1413" i="7"/>
  <c r="G1412" i="7"/>
  <c r="F1412" i="7"/>
  <c r="G1411" i="7"/>
  <c r="F1411" i="7"/>
  <c r="G1410" i="7"/>
  <c r="F1410" i="7"/>
  <c r="G1409" i="7"/>
  <c r="F1409" i="7"/>
  <c r="G1408" i="7"/>
  <c r="F1408" i="7"/>
  <c r="G1407" i="7"/>
  <c r="F1407" i="7"/>
  <c r="G1406" i="7"/>
  <c r="F1406" i="7"/>
  <c r="G1405" i="7"/>
  <c r="F1405" i="7"/>
  <c r="G1404" i="7"/>
  <c r="F1404" i="7"/>
  <c r="G1403" i="7"/>
  <c r="F1403" i="7"/>
  <c r="G1402" i="7"/>
  <c r="F1402" i="7"/>
  <c r="G1401" i="7"/>
  <c r="F1401" i="7"/>
  <c r="G1400" i="7"/>
  <c r="F1400" i="7"/>
  <c r="G1399" i="7"/>
  <c r="F1399" i="7"/>
  <c r="G1398" i="7"/>
  <c r="F1398" i="7"/>
  <c r="G1397" i="7"/>
  <c r="F1397" i="7"/>
  <c r="G1396" i="7"/>
  <c r="F1396" i="7"/>
  <c r="G1395" i="7"/>
  <c r="F1395" i="7"/>
  <c r="G1394" i="7"/>
  <c r="F1394" i="7"/>
  <c r="G1393" i="7"/>
  <c r="F1393" i="7"/>
  <c r="G1392" i="7"/>
  <c r="F1392" i="7"/>
  <c r="G1391" i="7"/>
  <c r="F1391" i="7"/>
  <c r="G1390" i="7"/>
  <c r="F1390" i="7"/>
  <c r="G1389" i="7"/>
  <c r="F1389" i="7"/>
  <c r="G1388" i="7"/>
  <c r="F1388" i="7"/>
  <c r="G1387" i="7"/>
  <c r="F1387" i="7"/>
  <c r="G1386" i="7"/>
  <c r="F1386" i="7"/>
  <c r="G1385" i="7"/>
  <c r="F1385" i="7"/>
  <c r="G1384" i="7"/>
  <c r="F1384" i="7"/>
  <c r="G1383" i="7"/>
  <c r="F1383" i="7"/>
  <c r="G1382" i="7"/>
  <c r="F1382" i="7"/>
  <c r="G1381" i="7"/>
  <c r="F1381" i="7"/>
  <c r="G1380" i="7"/>
  <c r="F1380" i="7"/>
  <c r="G1379" i="7"/>
  <c r="F1379" i="7"/>
  <c r="G1378" i="7"/>
  <c r="F1378" i="7"/>
  <c r="G1377" i="7"/>
  <c r="F1377" i="7"/>
  <c r="G1376" i="7"/>
  <c r="F1376" i="7"/>
  <c r="G1375" i="7"/>
  <c r="F1375" i="7"/>
  <c r="G1374" i="7"/>
  <c r="F1374" i="7"/>
  <c r="G1373" i="7"/>
  <c r="F1373" i="7"/>
  <c r="G1372" i="7"/>
  <c r="F1372" i="7"/>
  <c r="G1371" i="7"/>
  <c r="F1371" i="7"/>
  <c r="G1370" i="7"/>
  <c r="F1370" i="7"/>
  <c r="G1369" i="7"/>
  <c r="F1369" i="7"/>
  <c r="G1368" i="7"/>
  <c r="F1368" i="7"/>
  <c r="G1367" i="7"/>
  <c r="F1367" i="7"/>
  <c r="G1366" i="7"/>
  <c r="F1366" i="7"/>
  <c r="G1365" i="7"/>
  <c r="F1365" i="7"/>
  <c r="G1364" i="7"/>
  <c r="F1364" i="7"/>
  <c r="G1363" i="7"/>
  <c r="F1363" i="7"/>
  <c r="G1362" i="7"/>
  <c r="F1362" i="7"/>
  <c r="G1361" i="7"/>
  <c r="F1361" i="7"/>
  <c r="G1360" i="7"/>
  <c r="F1360" i="7"/>
  <c r="G1359" i="7"/>
  <c r="F1359" i="7"/>
  <c r="G1358" i="7"/>
  <c r="F1358" i="7"/>
  <c r="G1357" i="7"/>
  <c r="F1357" i="7"/>
  <c r="G1356" i="7"/>
  <c r="F1356" i="7"/>
  <c r="G1355" i="7"/>
  <c r="F1355" i="7"/>
  <c r="G1354" i="7"/>
  <c r="F1354" i="7"/>
  <c r="G1353" i="7"/>
  <c r="F1353" i="7"/>
  <c r="G1352" i="7"/>
  <c r="F1352" i="7"/>
  <c r="G1351" i="7"/>
  <c r="F1351" i="7"/>
  <c r="G1350" i="7"/>
  <c r="F1350" i="7"/>
  <c r="G1349" i="7"/>
  <c r="F1349" i="7"/>
  <c r="G1348" i="7"/>
  <c r="F1348" i="7"/>
  <c r="G1347" i="7"/>
  <c r="F1347" i="7"/>
  <c r="G1346" i="7"/>
  <c r="F1346" i="7"/>
  <c r="G1345" i="7"/>
  <c r="F1345" i="7"/>
  <c r="G1344" i="7"/>
  <c r="F1344" i="7"/>
  <c r="G1343" i="7"/>
  <c r="F1343" i="7"/>
  <c r="G1342" i="7"/>
  <c r="F1342" i="7"/>
  <c r="G1341" i="7"/>
  <c r="F1341" i="7"/>
  <c r="G1340" i="7"/>
  <c r="F1340" i="7"/>
  <c r="G1339" i="7"/>
  <c r="F1339" i="7"/>
  <c r="G1338" i="7"/>
  <c r="F1338" i="7"/>
  <c r="G1337" i="7"/>
  <c r="F1337" i="7"/>
  <c r="G1336" i="7"/>
  <c r="F1336" i="7"/>
  <c r="G1335" i="7"/>
  <c r="F1335" i="7"/>
  <c r="G1334" i="7"/>
  <c r="F1334" i="7"/>
  <c r="G1333" i="7"/>
  <c r="F1333" i="7"/>
  <c r="G1332" i="7"/>
  <c r="F1332" i="7"/>
  <c r="G1331" i="7"/>
  <c r="F1331" i="7"/>
  <c r="G1330" i="7"/>
  <c r="F1330" i="7"/>
  <c r="G1329" i="7"/>
  <c r="F1329" i="7"/>
  <c r="G1328" i="7"/>
  <c r="F1328" i="7"/>
  <c r="G1327" i="7"/>
  <c r="F1327" i="7"/>
  <c r="G1326" i="7"/>
  <c r="F1326" i="7"/>
  <c r="G1325" i="7"/>
  <c r="F1325" i="7"/>
  <c r="G1324" i="7"/>
  <c r="F1324" i="7"/>
  <c r="G1323" i="7"/>
  <c r="F1323" i="7"/>
  <c r="G1322" i="7"/>
  <c r="F1322" i="7"/>
  <c r="G1321" i="7"/>
  <c r="F1321" i="7"/>
  <c r="G1320" i="7"/>
  <c r="F1320" i="7"/>
  <c r="G1319" i="7"/>
  <c r="F1319" i="7"/>
  <c r="G1318" i="7"/>
  <c r="F1318" i="7"/>
  <c r="G1317" i="7"/>
  <c r="F1317" i="7"/>
  <c r="G1316" i="7"/>
  <c r="F1316" i="7"/>
  <c r="G1315" i="7"/>
  <c r="F1315" i="7"/>
  <c r="G1314" i="7"/>
  <c r="F1314" i="7"/>
  <c r="G1313" i="7"/>
  <c r="F1313" i="7"/>
  <c r="G1312" i="7"/>
  <c r="F1312" i="7"/>
  <c r="G1311" i="7"/>
  <c r="F1311" i="7"/>
  <c r="G1310" i="7"/>
  <c r="F1310" i="7"/>
  <c r="G1309" i="7"/>
  <c r="F1309" i="7"/>
  <c r="G1308" i="7"/>
  <c r="F1308" i="7"/>
  <c r="G1307" i="7"/>
  <c r="F1307" i="7"/>
  <c r="G1306" i="7"/>
  <c r="F1306" i="7"/>
  <c r="G1305" i="7"/>
  <c r="F1305" i="7"/>
  <c r="G1304" i="7"/>
  <c r="F1304" i="7"/>
  <c r="G1303" i="7"/>
  <c r="F1303" i="7"/>
  <c r="G1302" i="7"/>
  <c r="F1302" i="7"/>
  <c r="G1301" i="7"/>
  <c r="F1301" i="7"/>
  <c r="G1300" i="7"/>
  <c r="F1300" i="7"/>
  <c r="G1299" i="7"/>
  <c r="F1299" i="7"/>
  <c r="G1298" i="7"/>
  <c r="F1298" i="7"/>
  <c r="G1297" i="7"/>
  <c r="F1297" i="7"/>
  <c r="G1296" i="7"/>
  <c r="F1296" i="7"/>
  <c r="G1295" i="7"/>
  <c r="F1295" i="7"/>
  <c r="G1294" i="7"/>
  <c r="F1294" i="7"/>
  <c r="G1293" i="7"/>
  <c r="F1293" i="7"/>
  <c r="G1292" i="7"/>
  <c r="F1292" i="7"/>
  <c r="G1291" i="7"/>
  <c r="F1291" i="7"/>
  <c r="G1290" i="7"/>
  <c r="F1290" i="7"/>
  <c r="G1289" i="7"/>
  <c r="F1289" i="7"/>
  <c r="G1288" i="7"/>
  <c r="F1288" i="7"/>
  <c r="G1287" i="7"/>
  <c r="F1287" i="7"/>
  <c r="G1286" i="7"/>
  <c r="F1286" i="7"/>
  <c r="G1285" i="7"/>
  <c r="F1285" i="7"/>
  <c r="G1284" i="7"/>
  <c r="F1284" i="7"/>
  <c r="G1283" i="7"/>
  <c r="F1283" i="7"/>
  <c r="G1282" i="7"/>
  <c r="F1282" i="7"/>
  <c r="G1281" i="7"/>
  <c r="F1281" i="7"/>
  <c r="G1280" i="7"/>
  <c r="F1280" i="7"/>
  <c r="G1279" i="7"/>
  <c r="F1279" i="7"/>
  <c r="G1278" i="7"/>
  <c r="F1278" i="7"/>
  <c r="G1277" i="7"/>
  <c r="F1277" i="7"/>
  <c r="G1276" i="7"/>
  <c r="F1276" i="7"/>
  <c r="G1275" i="7"/>
  <c r="F1275" i="7"/>
  <c r="G1274" i="7"/>
  <c r="F1274" i="7"/>
  <c r="G1273" i="7"/>
  <c r="F1273" i="7"/>
  <c r="G1272" i="7"/>
  <c r="F1272" i="7"/>
  <c r="G1271" i="7"/>
  <c r="F1271" i="7"/>
  <c r="G1270" i="7"/>
  <c r="F1270" i="7"/>
  <c r="G1269" i="7"/>
  <c r="F1269" i="7"/>
  <c r="G1268" i="7"/>
  <c r="F1268" i="7"/>
  <c r="G1267" i="7"/>
  <c r="F1267" i="7"/>
  <c r="G1266" i="7"/>
  <c r="F1266" i="7"/>
  <c r="G1265" i="7"/>
  <c r="F1265" i="7"/>
  <c r="G1264" i="7"/>
  <c r="F1264" i="7"/>
  <c r="G1263" i="7"/>
  <c r="F1263" i="7"/>
  <c r="G1262" i="7"/>
  <c r="F1262" i="7"/>
  <c r="G1261" i="7"/>
  <c r="F1261" i="7"/>
  <c r="G1260" i="7"/>
  <c r="F1260" i="7"/>
  <c r="G1259" i="7"/>
  <c r="F1259" i="7"/>
  <c r="G1258" i="7"/>
  <c r="F1258" i="7"/>
  <c r="G1257" i="7"/>
  <c r="F1257" i="7"/>
  <c r="G1256" i="7"/>
  <c r="F1256" i="7"/>
  <c r="G1255" i="7"/>
  <c r="F1255" i="7"/>
  <c r="G1254" i="7"/>
  <c r="F1254" i="7"/>
  <c r="G1253" i="7"/>
  <c r="F1253" i="7"/>
  <c r="G1252" i="7"/>
  <c r="F1252" i="7"/>
  <c r="G1251" i="7"/>
  <c r="F1251" i="7"/>
  <c r="G1250" i="7"/>
  <c r="F1250" i="7"/>
  <c r="G1249" i="7"/>
  <c r="F1249" i="7"/>
  <c r="G1248" i="7"/>
  <c r="F1248" i="7"/>
  <c r="G1247" i="7"/>
  <c r="F1247" i="7"/>
  <c r="G1246" i="7"/>
  <c r="F1246" i="7"/>
  <c r="G1245" i="7"/>
  <c r="F1245" i="7"/>
  <c r="G1244" i="7"/>
  <c r="F1244" i="7"/>
  <c r="G1243" i="7"/>
  <c r="F1243" i="7"/>
  <c r="G1242" i="7"/>
  <c r="F1242" i="7"/>
  <c r="G1241" i="7"/>
  <c r="F1241" i="7"/>
  <c r="G1240" i="7"/>
  <c r="F1240" i="7"/>
  <c r="G1239" i="7"/>
  <c r="F1239" i="7"/>
  <c r="G1238" i="7"/>
  <c r="F1238" i="7"/>
  <c r="G1237" i="7"/>
  <c r="F1237" i="7"/>
  <c r="G1236" i="7"/>
  <c r="F1236" i="7"/>
  <c r="G1235" i="7"/>
  <c r="F1235" i="7"/>
  <c r="G1234" i="7"/>
  <c r="F1234" i="7"/>
  <c r="G1233" i="7"/>
  <c r="F1233" i="7"/>
  <c r="G1232" i="7"/>
  <c r="F1232" i="7"/>
  <c r="G1231" i="7"/>
  <c r="F1231" i="7"/>
  <c r="G1230" i="7"/>
  <c r="F1230" i="7"/>
  <c r="G1229" i="7"/>
  <c r="F1229" i="7"/>
  <c r="G1228" i="7"/>
  <c r="F1228" i="7"/>
  <c r="G1227" i="7"/>
  <c r="F1227" i="7"/>
  <c r="G1226" i="7"/>
  <c r="F1226" i="7"/>
  <c r="G1225" i="7"/>
  <c r="F1225" i="7"/>
  <c r="G1224" i="7"/>
  <c r="F1224" i="7"/>
  <c r="G1223" i="7"/>
  <c r="F1223" i="7"/>
  <c r="G1222" i="7"/>
  <c r="F1222" i="7"/>
  <c r="G1221" i="7"/>
  <c r="F1221" i="7"/>
  <c r="G1220" i="7"/>
  <c r="F1220" i="7"/>
  <c r="G1219" i="7"/>
  <c r="F1219" i="7"/>
  <c r="G1218" i="7"/>
  <c r="F1218" i="7"/>
  <c r="G1217" i="7"/>
  <c r="F1217" i="7"/>
  <c r="G1216" i="7"/>
  <c r="F1216" i="7"/>
  <c r="G1215" i="7"/>
  <c r="F1215" i="7"/>
  <c r="G1214" i="7"/>
  <c r="F1214" i="7"/>
  <c r="G1213" i="7"/>
  <c r="F1213" i="7"/>
  <c r="G1212" i="7"/>
  <c r="F1212" i="7"/>
  <c r="G1211" i="7"/>
  <c r="F1211" i="7"/>
  <c r="G1210" i="7"/>
  <c r="F1210" i="7"/>
  <c r="G1209" i="7"/>
  <c r="F1209" i="7"/>
  <c r="G1208" i="7"/>
  <c r="F1208" i="7"/>
  <c r="G1207" i="7"/>
  <c r="F1207" i="7"/>
  <c r="G1206" i="7"/>
  <c r="F1206" i="7"/>
  <c r="G1205" i="7"/>
  <c r="F1205" i="7"/>
  <c r="G1204" i="7"/>
  <c r="F1204" i="7"/>
  <c r="G1203" i="7"/>
  <c r="F1203" i="7"/>
  <c r="G1202" i="7"/>
  <c r="F1202" i="7"/>
  <c r="G1201" i="7"/>
  <c r="F1201" i="7"/>
  <c r="G1200" i="7"/>
  <c r="F1200" i="7"/>
  <c r="G1199" i="7"/>
  <c r="F1199" i="7"/>
  <c r="G1198" i="7"/>
  <c r="F1198" i="7"/>
  <c r="G1197" i="7"/>
  <c r="F1197" i="7"/>
  <c r="G1196" i="7"/>
  <c r="F1196" i="7"/>
  <c r="G1195" i="7"/>
  <c r="F1195" i="7"/>
  <c r="G1194" i="7"/>
  <c r="F1194" i="7"/>
  <c r="G1193" i="7"/>
  <c r="F1193" i="7"/>
  <c r="G1192" i="7"/>
  <c r="F1192" i="7"/>
  <c r="G1191" i="7"/>
  <c r="F1191" i="7"/>
  <c r="G1190" i="7"/>
  <c r="F1190" i="7"/>
  <c r="G1189" i="7"/>
  <c r="F1189" i="7"/>
  <c r="G1188" i="7"/>
  <c r="F1188" i="7"/>
  <c r="G1187" i="7"/>
  <c r="F1187" i="7"/>
  <c r="G1186" i="7"/>
  <c r="F1186" i="7"/>
  <c r="G1185" i="7"/>
  <c r="F1185" i="7"/>
  <c r="G1184" i="7"/>
  <c r="F1184" i="7"/>
  <c r="G1183" i="7"/>
  <c r="F1183" i="7"/>
  <c r="G1182" i="7"/>
  <c r="F1182" i="7"/>
  <c r="G1181" i="7"/>
  <c r="F1181" i="7"/>
  <c r="G1180" i="7"/>
  <c r="F1180" i="7"/>
  <c r="G1179" i="7"/>
  <c r="F1179" i="7"/>
  <c r="G1178" i="7"/>
  <c r="F1178" i="7"/>
  <c r="G1177" i="7"/>
  <c r="F1177" i="7"/>
  <c r="G1176" i="7"/>
  <c r="F1176" i="7"/>
  <c r="G1175" i="7"/>
  <c r="F1175" i="7"/>
  <c r="G1174" i="7"/>
  <c r="F1174" i="7"/>
  <c r="G1173" i="7"/>
  <c r="F1173" i="7"/>
  <c r="G1172" i="7"/>
  <c r="F1172" i="7"/>
  <c r="G1171" i="7"/>
  <c r="F1171" i="7"/>
  <c r="G1170" i="7"/>
  <c r="F1170" i="7"/>
  <c r="G1169" i="7"/>
  <c r="F1169" i="7"/>
  <c r="G1168" i="7"/>
  <c r="F1168" i="7"/>
  <c r="G1167" i="7"/>
  <c r="F1167" i="7"/>
  <c r="G1166" i="7"/>
  <c r="F1166" i="7"/>
  <c r="G1165" i="7"/>
  <c r="F1165" i="7"/>
  <c r="G1164" i="7"/>
  <c r="F1164" i="7"/>
  <c r="G1163" i="7"/>
  <c r="F1163" i="7"/>
  <c r="G1162" i="7"/>
  <c r="F1162" i="7"/>
  <c r="G1161" i="7"/>
  <c r="F1161" i="7"/>
  <c r="G1160" i="7"/>
  <c r="F1160" i="7"/>
  <c r="G1159" i="7"/>
  <c r="F1159" i="7"/>
  <c r="G1158" i="7"/>
  <c r="F1158" i="7"/>
  <c r="G1157" i="7"/>
  <c r="F1157" i="7"/>
  <c r="G1156" i="7"/>
  <c r="F1156" i="7"/>
  <c r="G1155" i="7"/>
  <c r="F1155" i="7"/>
  <c r="G1154" i="7"/>
  <c r="F1154" i="7"/>
  <c r="G1153" i="7"/>
  <c r="F1153" i="7"/>
  <c r="G1152" i="7"/>
  <c r="F1152" i="7"/>
  <c r="G1151" i="7"/>
  <c r="F1151" i="7"/>
  <c r="G1150" i="7"/>
  <c r="F1150" i="7"/>
  <c r="G1149" i="7"/>
  <c r="F1149" i="7"/>
  <c r="G1148" i="7"/>
  <c r="F1148" i="7"/>
  <c r="G1147" i="7"/>
  <c r="F1147" i="7"/>
  <c r="G1146" i="7"/>
  <c r="F1146" i="7"/>
  <c r="G1145" i="7"/>
  <c r="F1145" i="7"/>
  <c r="G1144" i="7"/>
  <c r="F1144" i="7"/>
  <c r="G1143" i="7"/>
  <c r="F1143" i="7"/>
  <c r="G1142" i="7"/>
  <c r="F1142" i="7"/>
  <c r="G1141" i="7"/>
  <c r="F1141" i="7"/>
  <c r="G1140" i="7"/>
  <c r="F1140" i="7"/>
  <c r="G1139" i="7"/>
  <c r="F1139" i="7"/>
  <c r="G1138" i="7"/>
  <c r="F1138" i="7"/>
  <c r="G1137" i="7"/>
  <c r="F1137" i="7"/>
  <c r="G1136" i="7"/>
  <c r="F1136" i="7"/>
  <c r="G1135" i="7"/>
  <c r="F1135" i="7"/>
  <c r="G1134" i="7"/>
  <c r="F1134" i="7"/>
  <c r="G1133" i="7"/>
  <c r="F1133" i="7"/>
  <c r="G1132" i="7"/>
  <c r="F1132" i="7"/>
  <c r="G1131" i="7"/>
  <c r="F1131" i="7"/>
  <c r="G1130" i="7"/>
  <c r="F1130" i="7"/>
  <c r="G1129" i="7"/>
  <c r="F1129" i="7"/>
  <c r="G1128" i="7"/>
  <c r="F1128" i="7"/>
  <c r="G1127" i="7"/>
  <c r="F1127" i="7"/>
  <c r="G1126" i="7"/>
  <c r="F1126" i="7"/>
  <c r="G1125" i="7"/>
  <c r="F1125" i="7"/>
  <c r="G1124" i="7"/>
  <c r="F1124" i="7"/>
  <c r="G1123" i="7"/>
  <c r="F1123" i="7"/>
  <c r="G1122" i="7"/>
  <c r="F1122" i="7"/>
  <c r="G1121" i="7"/>
  <c r="F1121" i="7"/>
  <c r="G1120" i="7"/>
  <c r="F1120" i="7"/>
  <c r="G1119" i="7"/>
  <c r="F1119" i="7"/>
  <c r="G1118" i="7"/>
  <c r="F1118" i="7"/>
  <c r="G1117" i="7"/>
  <c r="F1117" i="7"/>
  <c r="G1116" i="7"/>
  <c r="F1116" i="7"/>
  <c r="G1115" i="7"/>
  <c r="F1115" i="7"/>
  <c r="G1114" i="7"/>
  <c r="F1114" i="7"/>
  <c r="G1113" i="7"/>
  <c r="F1113" i="7"/>
  <c r="G1112" i="7"/>
  <c r="F1112" i="7"/>
  <c r="G1111" i="7"/>
  <c r="F1111" i="7"/>
  <c r="G1110" i="7"/>
  <c r="F1110" i="7"/>
  <c r="G1109" i="7"/>
  <c r="F1109" i="7"/>
  <c r="G1108" i="7"/>
  <c r="F1108" i="7"/>
  <c r="G1107" i="7"/>
  <c r="F1107" i="7"/>
  <c r="G1106" i="7"/>
  <c r="F1106" i="7"/>
  <c r="G1105" i="7"/>
  <c r="F1105" i="7"/>
  <c r="G1104" i="7"/>
  <c r="F1104" i="7"/>
  <c r="G1103" i="7"/>
  <c r="F1103" i="7"/>
  <c r="G1102" i="7"/>
  <c r="F1102" i="7"/>
  <c r="G1101" i="7"/>
  <c r="F1101" i="7"/>
  <c r="G1100" i="7"/>
  <c r="F1100" i="7"/>
  <c r="G1099" i="7"/>
  <c r="F1099" i="7"/>
  <c r="G1098" i="7"/>
  <c r="F1098" i="7"/>
  <c r="G1097" i="7"/>
  <c r="F1097" i="7"/>
  <c r="G1096" i="7"/>
  <c r="F1096" i="7"/>
  <c r="G1095" i="7"/>
  <c r="F1095" i="7"/>
  <c r="G1094" i="7"/>
  <c r="F1094" i="7"/>
  <c r="G1093" i="7"/>
  <c r="F1093" i="7"/>
  <c r="G1092" i="7"/>
  <c r="F1092" i="7"/>
  <c r="G1091" i="7"/>
  <c r="F1091" i="7"/>
  <c r="G1090" i="7"/>
  <c r="F1090" i="7"/>
  <c r="G1089" i="7"/>
  <c r="F1089" i="7"/>
  <c r="G1088" i="7"/>
  <c r="F1088" i="7"/>
  <c r="G1087" i="7"/>
  <c r="F1087" i="7"/>
  <c r="G1086" i="7"/>
  <c r="F1086" i="7"/>
  <c r="G1085" i="7"/>
  <c r="F1085" i="7"/>
  <c r="G1084" i="7"/>
  <c r="F1084" i="7"/>
  <c r="G1083" i="7"/>
  <c r="F1083" i="7"/>
  <c r="G1082" i="7"/>
  <c r="F1082" i="7"/>
  <c r="G1081" i="7"/>
  <c r="F1081" i="7"/>
  <c r="G1080" i="7"/>
  <c r="F1080" i="7"/>
  <c r="G1079" i="7"/>
  <c r="F1079" i="7"/>
  <c r="G1078" i="7"/>
  <c r="F1078" i="7"/>
  <c r="G1077" i="7"/>
  <c r="F1077" i="7"/>
  <c r="G1076" i="7"/>
  <c r="F1076" i="7"/>
  <c r="G1075" i="7"/>
  <c r="F1075" i="7"/>
  <c r="G1074" i="7"/>
  <c r="F1074" i="7"/>
  <c r="G1073" i="7"/>
  <c r="F1073" i="7"/>
  <c r="G1072" i="7"/>
  <c r="F1072" i="7"/>
  <c r="G1071" i="7"/>
  <c r="F1071" i="7"/>
  <c r="G1070" i="7"/>
  <c r="F1070" i="7"/>
  <c r="G1069" i="7"/>
  <c r="F1069" i="7"/>
  <c r="G1068" i="7"/>
  <c r="F1068" i="7"/>
  <c r="G1067" i="7"/>
  <c r="F1067" i="7"/>
  <c r="G1066" i="7"/>
  <c r="F1066" i="7"/>
  <c r="G1065" i="7"/>
  <c r="F1065" i="7"/>
  <c r="G1064" i="7"/>
  <c r="F1064" i="7"/>
  <c r="G1063" i="7"/>
  <c r="F1063" i="7"/>
  <c r="G1062" i="7"/>
  <c r="F1062" i="7"/>
  <c r="G1061" i="7"/>
  <c r="F1061" i="7"/>
  <c r="G1060" i="7"/>
  <c r="F1060" i="7"/>
  <c r="G1059" i="7"/>
  <c r="F1059" i="7"/>
  <c r="G1058" i="7"/>
  <c r="F1058" i="7"/>
  <c r="G1057" i="7"/>
  <c r="F1057" i="7"/>
  <c r="G1056" i="7"/>
  <c r="F1056" i="7"/>
  <c r="G1055" i="7"/>
  <c r="F1055" i="7"/>
  <c r="G1054" i="7"/>
  <c r="F1054" i="7"/>
  <c r="G1053" i="7"/>
  <c r="F1053" i="7"/>
  <c r="G1052" i="7"/>
  <c r="F1052" i="7"/>
  <c r="G1051" i="7"/>
  <c r="F1051" i="7"/>
  <c r="G1050" i="7"/>
  <c r="F1050" i="7"/>
  <c r="G1049" i="7"/>
  <c r="F1049" i="7"/>
  <c r="G1048" i="7"/>
  <c r="F1048" i="7"/>
  <c r="G1047" i="7"/>
  <c r="F1047" i="7"/>
  <c r="G1046" i="7"/>
  <c r="F1046" i="7"/>
  <c r="G1045" i="7"/>
  <c r="F1045" i="7"/>
  <c r="G1044" i="7"/>
  <c r="F1044" i="7"/>
  <c r="G1043" i="7"/>
  <c r="F1043" i="7"/>
  <c r="G1042" i="7"/>
  <c r="F1042" i="7"/>
  <c r="G1041" i="7"/>
  <c r="F1041" i="7"/>
  <c r="G1040" i="7"/>
  <c r="F1040" i="7"/>
  <c r="G1039" i="7"/>
  <c r="F1039" i="7"/>
  <c r="G1038" i="7"/>
  <c r="F1038" i="7"/>
  <c r="G1037" i="7"/>
  <c r="F1037" i="7"/>
  <c r="G1036" i="7"/>
  <c r="F1036" i="7"/>
  <c r="G1035" i="7"/>
  <c r="F1035" i="7"/>
  <c r="G1034" i="7"/>
  <c r="F1034" i="7"/>
  <c r="G1033" i="7"/>
  <c r="F1033" i="7"/>
  <c r="G1032" i="7"/>
  <c r="F1032" i="7"/>
  <c r="G1031" i="7"/>
  <c r="F1031" i="7"/>
  <c r="G1030" i="7"/>
  <c r="F1030" i="7"/>
  <c r="G1029" i="7"/>
  <c r="F1029" i="7"/>
  <c r="G1028" i="7"/>
  <c r="F1028" i="7"/>
  <c r="G1027" i="7"/>
  <c r="F1027" i="7"/>
  <c r="G1026" i="7"/>
  <c r="F1026" i="7"/>
  <c r="G1025" i="7"/>
  <c r="F1025" i="7"/>
  <c r="G1024" i="7"/>
  <c r="F1024" i="7"/>
  <c r="G1023" i="7"/>
  <c r="F1023" i="7"/>
  <c r="G1022" i="7"/>
  <c r="F1022" i="7"/>
  <c r="G1021" i="7"/>
  <c r="F1021" i="7"/>
  <c r="G1020" i="7"/>
  <c r="F1020" i="7"/>
  <c r="G1019" i="7"/>
  <c r="F1019" i="7"/>
  <c r="G1018" i="7"/>
  <c r="F1018" i="7"/>
  <c r="G1017" i="7"/>
  <c r="F1017" i="7"/>
  <c r="G1016" i="7"/>
  <c r="F1016" i="7"/>
  <c r="G1015" i="7"/>
  <c r="F1015" i="7"/>
  <c r="G1014" i="7"/>
  <c r="F1014" i="7"/>
  <c r="G1013" i="7"/>
  <c r="F1013" i="7"/>
  <c r="G1012" i="7"/>
  <c r="F1012" i="7"/>
  <c r="G1011" i="7"/>
  <c r="F1011" i="7"/>
  <c r="G1010" i="7"/>
  <c r="F1010" i="7"/>
  <c r="G1009" i="7"/>
  <c r="F1009" i="7"/>
  <c r="G1008" i="7"/>
  <c r="F1008" i="7"/>
  <c r="G1007" i="7"/>
  <c r="F1007" i="7"/>
  <c r="G1006" i="7"/>
  <c r="F1006" i="7"/>
  <c r="G1005" i="7"/>
  <c r="F1005" i="7"/>
  <c r="G1004" i="7"/>
  <c r="F1004" i="7"/>
  <c r="G1003" i="7"/>
  <c r="F1003" i="7"/>
  <c r="G1002" i="7"/>
  <c r="F1002" i="7"/>
  <c r="G1001" i="7"/>
  <c r="F1001" i="7"/>
  <c r="G1000" i="7"/>
  <c r="F1000" i="7"/>
  <c r="G999" i="7"/>
  <c r="F999" i="7"/>
  <c r="G998" i="7"/>
  <c r="F998" i="7"/>
  <c r="G997" i="7"/>
  <c r="F997" i="7"/>
  <c r="G996" i="7"/>
  <c r="F996" i="7"/>
  <c r="G995" i="7"/>
  <c r="F995" i="7"/>
  <c r="G994" i="7"/>
  <c r="F994" i="7"/>
  <c r="G993" i="7"/>
  <c r="F993" i="7"/>
  <c r="G992" i="7"/>
  <c r="F992" i="7"/>
  <c r="G991" i="7"/>
  <c r="F991" i="7"/>
  <c r="G990" i="7"/>
  <c r="F990" i="7"/>
  <c r="G989" i="7"/>
  <c r="F989" i="7"/>
  <c r="G988" i="7"/>
  <c r="F988" i="7"/>
  <c r="G987" i="7"/>
  <c r="F987" i="7"/>
  <c r="G986" i="7"/>
  <c r="F986" i="7"/>
  <c r="G985" i="7"/>
  <c r="F985" i="7"/>
  <c r="G984" i="7"/>
  <c r="F984" i="7"/>
  <c r="G983" i="7"/>
  <c r="F983" i="7"/>
  <c r="G982" i="7"/>
  <c r="F982" i="7"/>
  <c r="G981" i="7"/>
  <c r="F981" i="7"/>
  <c r="G980" i="7"/>
  <c r="F980" i="7"/>
  <c r="G979" i="7"/>
  <c r="F979" i="7"/>
  <c r="G978" i="7"/>
  <c r="F978" i="7"/>
  <c r="G977" i="7"/>
  <c r="F977" i="7"/>
  <c r="G976" i="7"/>
  <c r="F976" i="7"/>
  <c r="G975" i="7"/>
  <c r="F975" i="7"/>
  <c r="G974" i="7"/>
  <c r="F974" i="7"/>
  <c r="G973" i="7"/>
  <c r="F973" i="7"/>
  <c r="G972" i="7"/>
  <c r="F972" i="7"/>
  <c r="G971" i="7"/>
  <c r="F971" i="7"/>
  <c r="G970" i="7"/>
  <c r="F970" i="7"/>
  <c r="G969" i="7"/>
  <c r="F969" i="7"/>
  <c r="G968" i="7"/>
  <c r="F968" i="7"/>
  <c r="G967" i="7"/>
  <c r="F967" i="7"/>
  <c r="G966" i="7"/>
  <c r="F966" i="7"/>
  <c r="G965" i="7"/>
  <c r="F965" i="7"/>
  <c r="G964" i="7"/>
  <c r="F964" i="7"/>
  <c r="G963" i="7"/>
  <c r="F963" i="7"/>
  <c r="G962" i="7"/>
  <c r="F962" i="7"/>
  <c r="G961" i="7"/>
  <c r="F961" i="7"/>
  <c r="G960" i="7"/>
  <c r="F960" i="7"/>
  <c r="G959" i="7"/>
  <c r="F959" i="7"/>
  <c r="G958" i="7"/>
  <c r="F958" i="7"/>
  <c r="G957" i="7"/>
  <c r="F957" i="7"/>
  <c r="G956" i="7"/>
  <c r="F956" i="7"/>
  <c r="G955" i="7"/>
  <c r="F955" i="7"/>
  <c r="G954" i="7"/>
  <c r="F954" i="7"/>
  <c r="G953" i="7"/>
  <c r="F953" i="7"/>
  <c r="G952" i="7"/>
  <c r="F952" i="7"/>
  <c r="G951" i="7"/>
  <c r="F951" i="7"/>
  <c r="G950" i="7"/>
  <c r="F950" i="7"/>
  <c r="G949" i="7"/>
  <c r="F949" i="7"/>
  <c r="G948" i="7"/>
  <c r="F948" i="7"/>
  <c r="G947" i="7"/>
  <c r="F947" i="7"/>
  <c r="G946" i="7"/>
  <c r="F946" i="7"/>
  <c r="G945" i="7"/>
  <c r="F945" i="7"/>
  <c r="G944" i="7"/>
  <c r="F944" i="7"/>
  <c r="G943" i="7"/>
  <c r="F943" i="7"/>
  <c r="G942" i="7"/>
  <c r="F942" i="7"/>
  <c r="G941" i="7"/>
  <c r="F941" i="7"/>
  <c r="G940" i="7"/>
  <c r="F940" i="7"/>
  <c r="G939" i="7"/>
  <c r="F939" i="7"/>
  <c r="G938" i="7"/>
  <c r="F938" i="7"/>
  <c r="G937" i="7"/>
  <c r="F937" i="7"/>
  <c r="G936" i="7"/>
  <c r="F936" i="7"/>
  <c r="G935" i="7"/>
  <c r="F935" i="7"/>
  <c r="G934" i="7"/>
  <c r="F934" i="7"/>
  <c r="G933" i="7"/>
  <c r="F933" i="7"/>
  <c r="G932" i="7"/>
  <c r="F932" i="7"/>
  <c r="G931" i="7"/>
  <c r="F931" i="7"/>
  <c r="G930" i="7"/>
  <c r="F930" i="7"/>
  <c r="G929" i="7"/>
  <c r="F929" i="7"/>
  <c r="G928" i="7"/>
  <c r="F928" i="7"/>
  <c r="G927" i="7"/>
  <c r="F927" i="7"/>
  <c r="G926" i="7"/>
  <c r="F926" i="7"/>
  <c r="G925" i="7"/>
  <c r="F925" i="7"/>
  <c r="G924" i="7"/>
  <c r="F924" i="7"/>
  <c r="G923" i="7"/>
  <c r="F923" i="7"/>
  <c r="G922" i="7"/>
  <c r="F922" i="7"/>
  <c r="G921" i="7"/>
  <c r="F921" i="7"/>
  <c r="G920" i="7"/>
  <c r="F920" i="7"/>
  <c r="G919" i="7"/>
  <c r="F919" i="7"/>
  <c r="G918" i="7"/>
  <c r="F918" i="7"/>
  <c r="G917" i="7"/>
  <c r="F917" i="7"/>
  <c r="G916" i="7"/>
  <c r="F916" i="7"/>
  <c r="G915" i="7"/>
  <c r="F915" i="7"/>
  <c r="G914" i="7"/>
  <c r="F914" i="7"/>
  <c r="G913" i="7"/>
  <c r="F913" i="7"/>
  <c r="G912" i="7"/>
  <c r="F912" i="7"/>
  <c r="G911" i="7"/>
  <c r="F911" i="7"/>
  <c r="G910" i="7"/>
  <c r="F910" i="7"/>
  <c r="G909" i="7"/>
  <c r="F909" i="7"/>
  <c r="G908" i="7"/>
  <c r="F908" i="7"/>
  <c r="G907" i="7"/>
  <c r="F907" i="7"/>
  <c r="G906" i="7"/>
  <c r="F906" i="7"/>
  <c r="G905" i="7"/>
  <c r="F905" i="7"/>
  <c r="G904" i="7"/>
  <c r="F904" i="7"/>
  <c r="G903" i="7"/>
  <c r="F903" i="7"/>
  <c r="G902" i="7"/>
  <c r="F902" i="7"/>
  <c r="G901" i="7"/>
  <c r="F901" i="7"/>
  <c r="G900" i="7"/>
  <c r="F900" i="7"/>
  <c r="G899" i="7"/>
  <c r="F899" i="7"/>
  <c r="G898" i="7"/>
  <c r="F898" i="7"/>
  <c r="G897" i="7"/>
  <c r="F897" i="7"/>
  <c r="G896" i="7"/>
  <c r="F896" i="7"/>
  <c r="G895" i="7"/>
  <c r="F895" i="7"/>
  <c r="G894" i="7"/>
  <c r="F894" i="7"/>
  <c r="G893" i="7"/>
  <c r="F893" i="7"/>
  <c r="G892" i="7"/>
  <c r="F892" i="7"/>
  <c r="G891" i="7"/>
  <c r="F891" i="7"/>
  <c r="G890" i="7"/>
  <c r="F890" i="7"/>
  <c r="G889" i="7"/>
  <c r="F889" i="7"/>
  <c r="G888" i="7"/>
  <c r="F888" i="7"/>
  <c r="G887" i="7"/>
  <c r="F887" i="7"/>
  <c r="G886" i="7"/>
  <c r="F886" i="7"/>
  <c r="G885" i="7"/>
  <c r="F885" i="7"/>
  <c r="G884" i="7"/>
  <c r="F884" i="7"/>
  <c r="G883" i="7"/>
  <c r="F883" i="7"/>
  <c r="G882" i="7"/>
  <c r="F882" i="7"/>
  <c r="G881" i="7"/>
  <c r="F881" i="7"/>
  <c r="G880" i="7"/>
  <c r="F880" i="7"/>
  <c r="G879" i="7"/>
  <c r="F879" i="7"/>
  <c r="G878" i="7"/>
  <c r="F878" i="7"/>
  <c r="G877" i="7"/>
  <c r="F877" i="7"/>
  <c r="G876" i="7"/>
  <c r="F876" i="7"/>
  <c r="G875" i="7"/>
  <c r="F875" i="7"/>
  <c r="G874" i="7"/>
  <c r="F874" i="7"/>
  <c r="G873" i="7"/>
  <c r="F873" i="7"/>
  <c r="G872" i="7"/>
  <c r="F872" i="7"/>
  <c r="G871" i="7"/>
  <c r="F871" i="7"/>
  <c r="G870" i="7"/>
  <c r="F870" i="7"/>
  <c r="G869" i="7"/>
  <c r="F869" i="7"/>
  <c r="G868" i="7"/>
  <c r="F868" i="7"/>
  <c r="G867" i="7"/>
  <c r="F867" i="7"/>
  <c r="G866" i="7"/>
  <c r="F866" i="7"/>
  <c r="G865" i="7"/>
  <c r="F865" i="7"/>
  <c r="G864" i="7"/>
  <c r="F864" i="7"/>
  <c r="G863" i="7"/>
  <c r="F863" i="7"/>
  <c r="G862" i="7"/>
  <c r="F862" i="7"/>
  <c r="G861" i="7"/>
  <c r="F861" i="7"/>
  <c r="G860" i="7"/>
  <c r="F860" i="7"/>
  <c r="G859" i="7"/>
  <c r="F859" i="7"/>
  <c r="G858" i="7"/>
  <c r="F858" i="7"/>
  <c r="G857" i="7"/>
  <c r="F857" i="7"/>
  <c r="G856" i="7"/>
  <c r="F856" i="7"/>
  <c r="G855" i="7"/>
  <c r="F855" i="7"/>
  <c r="G854" i="7"/>
  <c r="F854" i="7"/>
  <c r="G853" i="7"/>
  <c r="F853" i="7"/>
  <c r="G852" i="7"/>
  <c r="F852" i="7"/>
  <c r="G851" i="7"/>
  <c r="F851" i="7"/>
  <c r="G850" i="7"/>
  <c r="F850" i="7"/>
  <c r="G849" i="7"/>
  <c r="F849" i="7"/>
  <c r="G848" i="7"/>
  <c r="F848" i="7"/>
  <c r="G847" i="7"/>
  <c r="F847" i="7"/>
  <c r="G846" i="7"/>
  <c r="F846" i="7"/>
  <c r="G845" i="7"/>
  <c r="F845" i="7"/>
  <c r="G844" i="7"/>
  <c r="F844" i="7"/>
  <c r="G843" i="7"/>
  <c r="F843" i="7"/>
  <c r="G842" i="7"/>
  <c r="F842" i="7"/>
  <c r="G841" i="7"/>
  <c r="F841" i="7"/>
  <c r="G840" i="7"/>
  <c r="F840" i="7"/>
  <c r="G839" i="7"/>
  <c r="F839" i="7"/>
  <c r="G838" i="7"/>
  <c r="F838" i="7"/>
  <c r="G837" i="7"/>
  <c r="F837" i="7"/>
  <c r="G836" i="7"/>
  <c r="F836" i="7"/>
  <c r="G835" i="7"/>
  <c r="F835" i="7"/>
  <c r="G834" i="7"/>
  <c r="F834" i="7"/>
  <c r="G833" i="7"/>
  <c r="F833" i="7"/>
  <c r="G832" i="7"/>
  <c r="F832" i="7"/>
  <c r="G831" i="7"/>
  <c r="F831" i="7"/>
  <c r="G830" i="7"/>
  <c r="F830" i="7"/>
  <c r="G829" i="7"/>
  <c r="F829" i="7"/>
  <c r="G828" i="7"/>
  <c r="F828" i="7"/>
  <c r="G827" i="7"/>
  <c r="F827" i="7"/>
  <c r="G826" i="7"/>
  <c r="F826" i="7"/>
  <c r="G825" i="7"/>
  <c r="F825" i="7"/>
  <c r="G824" i="7"/>
  <c r="F824" i="7"/>
  <c r="G823" i="7"/>
  <c r="F823" i="7"/>
  <c r="G822" i="7"/>
  <c r="F822" i="7"/>
  <c r="G821" i="7"/>
  <c r="F821" i="7"/>
  <c r="G820" i="7"/>
  <c r="F820" i="7"/>
  <c r="G819" i="7"/>
  <c r="F819" i="7"/>
  <c r="G818" i="7"/>
  <c r="F818" i="7"/>
  <c r="G817" i="7"/>
  <c r="F817" i="7"/>
  <c r="G816" i="7"/>
  <c r="F816" i="7"/>
  <c r="G815" i="7"/>
  <c r="F815" i="7"/>
  <c r="G814" i="7"/>
  <c r="F814" i="7"/>
  <c r="G813" i="7"/>
  <c r="F813" i="7"/>
  <c r="G812" i="7"/>
  <c r="F812" i="7"/>
  <c r="G811" i="7"/>
  <c r="F811" i="7"/>
  <c r="G810" i="7"/>
  <c r="F810" i="7"/>
  <c r="G809" i="7"/>
  <c r="F809" i="7"/>
  <c r="G808" i="7"/>
  <c r="F808" i="7"/>
  <c r="G807" i="7"/>
  <c r="F807" i="7"/>
  <c r="G806" i="7"/>
  <c r="F806" i="7"/>
  <c r="G805" i="7"/>
  <c r="F805" i="7"/>
  <c r="G804" i="7"/>
  <c r="F804" i="7"/>
  <c r="G803" i="7"/>
  <c r="F803" i="7"/>
  <c r="G802" i="7"/>
  <c r="F802" i="7"/>
  <c r="G801" i="7"/>
  <c r="F801" i="7"/>
  <c r="G800" i="7"/>
  <c r="F800" i="7"/>
  <c r="G799" i="7"/>
  <c r="F799" i="7"/>
  <c r="G798" i="7"/>
  <c r="F798" i="7"/>
  <c r="G797" i="7"/>
  <c r="F797" i="7"/>
  <c r="G796" i="7"/>
  <c r="F796" i="7"/>
  <c r="G795" i="7"/>
  <c r="F795" i="7"/>
  <c r="G794" i="7"/>
  <c r="F794" i="7"/>
  <c r="G793" i="7"/>
  <c r="F793" i="7"/>
  <c r="G792" i="7"/>
  <c r="F792" i="7"/>
  <c r="G791" i="7"/>
  <c r="F791" i="7"/>
  <c r="G790" i="7"/>
  <c r="F790" i="7"/>
  <c r="G789" i="7"/>
  <c r="F789" i="7"/>
  <c r="G788" i="7"/>
  <c r="F788" i="7"/>
  <c r="G787" i="7"/>
  <c r="F787" i="7"/>
  <c r="G786" i="7"/>
  <c r="F786" i="7"/>
  <c r="G785" i="7"/>
  <c r="F785" i="7"/>
  <c r="G784" i="7"/>
  <c r="F784" i="7"/>
  <c r="G783" i="7"/>
  <c r="F783" i="7"/>
  <c r="G782" i="7"/>
  <c r="F782" i="7"/>
  <c r="G781" i="7"/>
  <c r="F781" i="7"/>
  <c r="G780" i="7"/>
  <c r="F780" i="7"/>
  <c r="G779" i="7"/>
  <c r="F779" i="7"/>
  <c r="G778" i="7"/>
  <c r="F778" i="7"/>
  <c r="G777" i="7"/>
  <c r="F777" i="7"/>
  <c r="G776" i="7"/>
  <c r="F776" i="7"/>
  <c r="G775" i="7"/>
  <c r="F775" i="7"/>
  <c r="G774" i="7"/>
  <c r="F774" i="7"/>
  <c r="G773" i="7"/>
  <c r="F773" i="7"/>
  <c r="G772" i="7"/>
  <c r="F772" i="7"/>
  <c r="G771" i="7"/>
  <c r="F771" i="7"/>
  <c r="G770" i="7"/>
  <c r="F770" i="7"/>
  <c r="G769" i="7"/>
  <c r="F769" i="7"/>
  <c r="G768" i="7"/>
  <c r="F768" i="7"/>
  <c r="G767" i="7"/>
  <c r="F767" i="7"/>
  <c r="G766" i="7"/>
  <c r="F766" i="7"/>
  <c r="G765" i="7"/>
  <c r="F765" i="7"/>
  <c r="G764" i="7"/>
  <c r="F764" i="7"/>
  <c r="G763" i="7"/>
  <c r="F763" i="7"/>
  <c r="G762" i="7"/>
  <c r="F762" i="7"/>
  <c r="G761" i="7"/>
  <c r="F761" i="7"/>
  <c r="G760" i="7"/>
  <c r="F760" i="7"/>
  <c r="G759" i="7"/>
  <c r="F759" i="7"/>
  <c r="G758" i="7"/>
  <c r="F758" i="7"/>
  <c r="G757" i="7"/>
  <c r="F757" i="7"/>
  <c r="G756" i="7"/>
  <c r="F756" i="7"/>
  <c r="G755" i="7"/>
  <c r="F755" i="7"/>
  <c r="G754" i="7"/>
  <c r="F754" i="7"/>
  <c r="G753" i="7"/>
  <c r="F753" i="7"/>
  <c r="G752" i="7"/>
  <c r="F752" i="7"/>
  <c r="G751" i="7"/>
  <c r="F751" i="7"/>
  <c r="G750" i="7"/>
  <c r="F750" i="7"/>
  <c r="G749" i="7"/>
  <c r="F749" i="7"/>
  <c r="G748" i="7"/>
  <c r="F748" i="7"/>
  <c r="G747" i="7"/>
  <c r="F747" i="7"/>
  <c r="G746" i="7"/>
  <c r="F746" i="7"/>
  <c r="G745" i="7"/>
  <c r="F745" i="7"/>
  <c r="G744" i="7"/>
  <c r="F744" i="7"/>
  <c r="G743" i="7"/>
  <c r="F743" i="7"/>
  <c r="G742" i="7"/>
  <c r="F742" i="7"/>
  <c r="G741" i="7"/>
  <c r="F741" i="7"/>
  <c r="G740" i="7"/>
  <c r="F740" i="7"/>
  <c r="G739" i="7"/>
  <c r="F739" i="7"/>
  <c r="G738" i="7"/>
  <c r="F738" i="7"/>
  <c r="G737" i="7"/>
  <c r="F737" i="7"/>
  <c r="G736" i="7"/>
  <c r="F736" i="7"/>
  <c r="G735" i="7"/>
  <c r="F735" i="7"/>
  <c r="G734" i="7"/>
  <c r="F734" i="7"/>
  <c r="G733" i="7"/>
  <c r="F733" i="7"/>
  <c r="G732" i="7"/>
  <c r="F732" i="7"/>
  <c r="G731" i="7"/>
  <c r="F731" i="7"/>
  <c r="G730" i="7"/>
  <c r="F730" i="7"/>
  <c r="G729" i="7"/>
  <c r="F729" i="7"/>
  <c r="G728" i="7"/>
  <c r="F728" i="7"/>
  <c r="G727" i="7"/>
  <c r="F727" i="7"/>
  <c r="G726" i="7"/>
  <c r="F726" i="7"/>
  <c r="G725" i="7"/>
  <c r="F725" i="7"/>
  <c r="G724" i="7"/>
  <c r="F724" i="7"/>
  <c r="G723" i="7"/>
  <c r="F723" i="7"/>
  <c r="G722" i="7"/>
  <c r="F722" i="7"/>
  <c r="G721" i="7"/>
  <c r="F721" i="7"/>
  <c r="G720" i="7"/>
  <c r="F720" i="7"/>
  <c r="G719" i="7"/>
  <c r="F719" i="7"/>
  <c r="G718" i="7"/>
  <c r="F718" i="7"/>
  <c r="G717" i="7"/>
  <c r="F717" i="7"/>
  <c r="G716" i="7"/>
  <c r="F716" i="7"/>
  <c r="G715" i="7"/>
  <c r="F715" i="7"/>
  <c r="G714" i="7"/>
  <c r="F714" i="7"/>
  <c r="G713" i="7"/>
  <c r="F713" i="7"/>
  <c r="G712" i="7"/>
  <c r="F712" i="7"/>
  <c r="G711" i="7"/>
  <c r="F711" i="7"/>
  <c r="G710" i="7"/>
  <c r="F710" i="7"/>
  <c r="G709" i="7"/>
  <c r="F709" i="7"/>
  <c r="G708" i="7"/>
  <c r="F708" i="7"/>
  <c r="G707" i="7"/>
  <c r="F707" i="7"/>
  <c r="G706" i="7"/>
  <c r="F706" i="7"/>
  <c r="G705" i="7"/>
  <c r="F705" i="7"/>
  <c r="G704" i="7"/>
  <c r="F704" i="7"/>
  <c r="G703" i="7"/>
  <c r="F703" i="7"/>
  <c r="G702" i="7"/>
  <c r="F702" i="7"/>
  <c r="G701" i="7"/>
  <c r="F701" i="7"/>
  <c r="G700" i="7"/>
  <c r="F700" i="7"/>
  <c r="G699" i="7"/>
  <c r="F699" i="7"/>
  <c r="G698" i="7"/>
  <c r="F698" i="7"/>
  <c r="G697" i="7"/>
  <c r="F697" i="7"/>
  <c r="G696" i="7"/>
  <c r="F696" i="7"/>
  <c r="G695" i="7"/>
  <c r="F695" i="7"/>
  <c r="G694" i="7"/>
  <c r="F694" i="7"/>
  <c r="G693" i="7"/>
  <c r="F693" i="7"/>
  <c r="G692" i="7"/>
  <c r="F692" i="7"/>
  <c r="G691" i="7"/>
  <c r="F691" i="7"/>
  <c r="G690" i="7"/>
  <c r="F690" i="7"/>
  <c r="G689" i="7"/>
  <c r="F689" i="7"/>
  <c r="G688" i="7"/>
  <c r="F688" i="7"/>
  <c r="G687" i="7"/>
  <c r="F687" i="7"/>
  <c r="G686" i="7"/>
  <c r="F686" i="7"/>
  <c r="G685" i="7"/>
  <c r="F685" i="7"/>
  <c r="G684" i="7"/>
  <c r="F684" i="7"/>
  <c r="G683" i="7"/>
  <c r="F683" i="7"/>
  <c r="G682" i="7"/>
  <c r="F682" i="7"/>
  <c r="G681" i="7"/>
  <c r="F681" i="7"/>
  <c r="G680" i="7"/>
  <c r="F680" i="7"/>
  <c r="G679" i="7"/>
  <c r="F679" i="7"/>
  <c r="G678" i="7"/>
  <c r="F678" i="7"/>
  <c r="G677" i="7"/>
  <c r="F677" i="7"/>
  <c r="G676" i="7"/>
  <c r="F676" i="7"/>
  <c r="G675" i="7"/>
  <c r="F675" i="7"/>
  <c r="G674" i="7"/>
  <c r="F674" i="7"/>
  <c r="G673" i="7"/>
  <c r="F673" i="7"/>
  <c r="G672" i="7"/>
  <c r="F672" i="7"/>
  <c r="G671" i="7"/>
  <c r="F671" i="7"/>
  <c r="G670" i="7"/>
  <c r="F670" i="7"/>
  <c r="G669" i="7"/>
  <c r="F669" i="7"/>
  <c r="G668" i="7"/>
  <c r="F668" i="7"/>
  <c r="G667" i="7"/>
  <c r="F667" i="7"/>
  <c r="G666" i="7"/>
  <c r="F666" i="7"/>
  <c r="G665" i="7"/>
  <c r="F665" i="7"/>
  <c r="G664" i="7"/>
  <c r="F664" i="7"/>
  <c r="G663" i="7"/>
  <c r="F663" i="7"/>
  <c r="G662" i="7"/>
  <c r="F662" i="7"/>
  <c r="G661" i="7"/>
  <c r="F661" i="7"/>
  <c r="G660" i="7"/>
  <c r="F660" i="7"/>
  <c r="G659" i="7"/>
  <c r="F659" i="7"/>
  <c r="G658" i="7"/>
  <c r="F658" i="7"/>
  <c r="G657" i="7"/>
  <c r="F657" i="7"/>
  <c r="G656" i="7"/>
  <c r="F656" i="7"/>
  <c r="G655" i="7"/>
  <c r="F655" i="7"/>
  <c r="G654" i="7"/>
  <c r="F654" i="7"/>
  <c r="G653" i="7"/>
  <c r="F653" i="7"/>
  <c r="G652" i="7"/>
  <c r="F652" i="7"/>
  <c r="G651" i="7"/>
  <c r="F651" i="7"/>
  <c r="G650" i="7"/>
  <c r="F650" i="7"/>
  <c r="G649" i="7"/>
  <c r="F649" i="7"/>
  <c r="G648" i="7"/>
  <c r="F648" i="7"/>
  <c r="G647" i="7"/>
  <c r="F647" i="7"/>
  <c r="G646" i="7"/>
  <c r="F646" i="7"/>
  <c r="G645" i="7"/>
  <c r="F645" i="7"/>
  <c r="G644" i="7"/>
  <c r="F644" i="7"/>
  <c r="G643" i="7"/>
  <c r="F643" i="7"/>
  <c r="G642" i="7"/>
  <c r="F642" i="7"/>
  <c r="G641" i="7"/>
  <c r="F641" i="7"/>
  <c r="G640" i="7"/>
  <c r="F640" i="7"/>
  <c r="G639" i="7"/>
  <c r="F639" i="7"/>
  <c r="G638" i="7"/>
  <c r="F638" i="7"/>
  <c r="G637" i="7"/>
  <c r="F637" i="7"/>
  <c r="G636" i="7"/>
  <c r="F636" i="7"/>
  <c r="G635" i="7"/>
  <c r="F635" i="7"/>
  <c r="G634" i="7"/>
  <c r="F634" i="7"/>
  <c r="G633" i="7"/>
  <c r="F633" i="7"/>
  <c r="G632" i="7"/>
  <c r="F632" i="7"/>
  <c r="G631" i="7"/>
  <c r="F631" i="7"/>
  <c r="G630" i="7"/>
  <c r="F630" i="7"/>
  <c r="G629" i="7"/>
  <c r="F629" i="7"/>
  <c r="G628" i="7"/>
  <c r="F628" i="7"/>
  <c r="G627" i="7"/>
  <c r="F627" i="7"/>
  <c r="G626" i="7"/>
  <c r="F626" i="7"/>
  <c r="G625" i="7"/>
  <c r="F625" i="7"/>
  <c r="G624" i="7"/>
  <c r="F624" i="7"/>
  <c r="G623" i="7"/>
  <c r="F623" i="7"/>
  <c r="G622" i="7"/>
  <c r="F622" i="7"/>
  <c r="G621" i="7"/>
  <c r="F621" i="7"/>
  <c r="G620" i="7"/>
  <c r="F620" i="7"/>
  <c r="G619" i="7"/>
  <c r="F619" i="7"/>
  <c r="G618" i="7"/>
  <c r="F618" i="7"/>
  <c r="G617" i="7"/>
  <c r="F617" i="7"/>
  <c r="G616" i="7"/>
  <c r="F616" i="7"/>
  <c r="G615" i="7"/>
  <c r="F615" i="7"/>
  <c r="G614" i="7"/>
  <c r="F614" i="7"/>
  <c r="G613" i="7"/>
  <c r="F613" i="7"/>
  <c r="G612" i="7"/>
  <c r="F612" i="7"/>
  <c r="G611" i="7"/>
  <c r="F611" i="7"/>
  <c r="G610" i="7"/>
  <c r="F610" i="7"/>
  <c r="G609" i="7"/>
  <c r="F609" i="7"/>
  <c r="G608" i="7"/>
  <c r="F608" i="7"/>
  <c r="G607" i="7"/>
  <c r="F607" i="7"/>
  <c r="G606" i="7"/>
  <c r="F606" i="7"/>
  <c r="G605" i="7"/>
  <c r="F605" i="7"/>
  <c r="G604" i="7"/>
  <c r="F604" i="7"/>
  <c r="G603" i="7"/>
  <c r="F603" i="7"/>
  <c r="G602" i="7"/>
  <c r="F602" i="7"/>
  <c r="G601" i="7"/>
  <c r="F601" i="7"/>
  <c r="G600" i="7"/>
  <c r="F600" i="7"/>
  <c r="G599" i="7"/>
  <c r="F599" i="7"/>
  <c r="G598" i="7"/>
  <c r="F598" i="7"/>
  <c r="G597" i="7"/>
  <c r="F597" i="7"/>
  <c r="G596" i="7"/>
  <c r="F596" i="7"/>
  <c r="G595" i="7"/>
  <c r="F595" i="7"/>
  <c r="G594" i="7"/>
  <c r="F594" i="7"/>
  <c r="G593" i="7"/>
  <c r="F593" i="7"/>
  <c r="G592" i="7"/>
  <c r="F592" i="7"/>
  <c r="G591" i="7"/>
  <c r="F591" i="7"/>
  <c r="G590" i="7"/>
  <c r="F590" i="7"/>
  <c r="G589" i="7"/>
  <c r="F589" i="7"/>
  <c r="G588" i="7"/>
  <c r="F588" i="7"/>
  <c r="G587" i="7"/>
  <c r="F587" i="7"/>
  <c r="G586" i="7"/>
  <c r="F586" i="7"/>
  <c r="G585" i="7"/>
  <c r="F585" i="7"/>
  <c r="G584" i="7"/>
  <c r="F584" i="7"/>
  <c r="G583" i="7"/>
  <c r="F583" i="7"/>
  <c r="G582" i="7"/>
  <c r="F582" i="7"/>
  <c r="G581" i="7"/>
  <c r="F581" i="7"/>
  <c r="G580" i="7"/>
  <c r="F580" i="7"/>
  <c r="G579" i="7"/>
  <c r="F579" i="7"/>
  <c r="G578" i="7"/>
  <c r="F578" i="7"/>
  <c r="G577" i="7"/>
  <c r="F577" i="7"/>
  <c r="G576" i="7"/>
  <c r="F576" i="7"/>
  <c r="G575" i="7"/>
  <c r="F575" i="7"/>
  <c r="G574" i="7"/>
  <c r="F574" i="7"/>
  <c r="G573" i="7"/>
  <c r="F573" i="7"/>
  <c r="G572" i="7"/>
  <c r="F572" i="7"/>
  <c r="G571" i="7"/>
  <c r="F571" i="7"/>
  <c r="G570" i="7"/>
  <c r="F570" i="7"/>
  <c r="G569" i="7"/>
  <c r="F569" i="7"/>
  <c r="G568" i="7"/>
  <c r="F568" i="7"/>
  <c r="G567" i="7"/>
  <c r="F567" i="7"/>
  <c r="G566" i="7"/>
  <c r="F566" i="7"/>
  <c r="G565" i="7"/>
  <c r="F565" i="7"/>
  <c r="G564" i="7"/>
  <c r="F564" i="7"/>
  <c r="G563" i="7"/>
  <c r="F563" i="7"/>
  <c r="G562" i="7"/>
  <c r="F562" i="7"/>
  <c r="G561" i="7"/>
  <c r="F561" i="7"/>
  <c r="G560" i="7"/>
  <c r="F560" i="7"/>
  <c r="G559" i="7"/>
  <c r="F559" i="7"/>
  <c r="G558" i="7"/>
  <c r="F558" i="7"/>
  <c r="G557" i="7"/>
  <c r="F557" i="7"/>
  <c r="G556" i="7"/>
  <c r="F556" i="7"/>
  <c r="G555" i="7"/>
  <c r="F555" i="7"/>
  <c r="G554" i="7"/>
  <c r="F554" i="7"/>
  <c r="G553" i="7"/>
  <c r="F553" i="7"/>
  <c r="G552" i="7"/>
  <c r="F552" i="7"/>
  <c r="G551" i="7"/>
  <c r="F551" i="7"/>
  <c r="G550" i="7"/>
  <c r="F550" i="7"/>
  <c r="G549" i="7"/>
  <c r="F549" i="7"/>
  <c r="G548" i="7"/>
  <c r="F548" i="7"/>
  <c r="G547" i="7"/>
  <c r="F547" i="7"/>
  <c r="G546" i="7"/>
  <c r="F546" i="7"/>
  <c r="G545" i="7"/>
  <c r="F545" i="7"/>
  <c r="G544" i="7"/>
  <c r="F544" i="7"/>
  <c r="G543" i="7"/>
  <c r="F543" i="7"/>
  <c r="G542" i="7"/>
  <c r="F542" i="7"/>
  <c r="G541" i="7"/>
  <c r="F541" i="7"/>
  <c r="G540" i="7"/>
  <c r="F540" i="7"/>
  <c r="G539" i="7"/>
  <c r="F539" i="7"/>
  <c r="G538" i="7"/>
  <c r="F538" i="7"/>
  <c r="G537" i="7"/>
  <c r="F537" i="7"/>
  <c r="G536" i="7"/>
  <c r="F536" i="7"/>
  <c r="G535" i="7"/>
  <c r="F535" i="7"/>
  <c r="G534" i="7"/>
  <c r="F534" i="7"/>
  <c r="G533" i="7"/>
  <c r="F533" i="7"/>
  <c r="G532" i="7"/>
  <c r="F532" i="7"/>
  <c r="G531" i="7"/>
  <c r="F531" i="7"/>
  <c r="G530" i="7"/>
  <c r="F530" i="7"/>
  <c r="G529" i="7"/>
  <c r="F529" i="7"/>
  <c r="G528" i="7"/>
  <c r="F528" i="7"/>
  <c r="G527" i="7"/>
  <c r="F527" i="7"/>
  <c r="G526" i="7"/>
  <c r="F526" i="7"/>
  <c r="G525" i="7"/>
  <c r="F525" i="7"/>
  <c r="G524" i="7"/>
  <c r="F524" i="7"/>
  <c r="G523" i="7"/>
  <c r="F523" i="7"/>
  <c r="G522" i="7"/>
  <c r="F522" i="7"/>
  <c r="G521" i="7"/>
  <c r="F521" i="7"/>
  <c r="G520" i="7"/>
  <c r="F520" i="7"/>
  <c r="G519" i="7"/>
  <c r="F519" i="7"/>
  <c r="G518" i="7"/>
  <c r="F518" i="7"/>
  <c r="G517" i="7"/>
  <c r="F517" i="7"/>
  <c r="G516" i="7"/>
  <c r="F516" i="7"/>
  <c r="G515" i="7"/>
  <c r="F515" i="7"/>
  <c r="G514" i="7"/>
  <c r="F514" i="7"/>
  <c r="G513" i="7"/>
  <c r="F513" i="7"/>
  <c r="G512" i="7"/>
  <c r="F512" i="7"/>
  <c r="G511" i="7"/>
  <c r="F511" i="7"/>
  <c r="G510" i="7"/>
  <c r="F510" i="7"/>
  <c r="G509" i="7"/>
  <c r="F509" i="7"/>
  <c r="G508" i="7"/>
  <c r="F508" i="7"/>
  <c r="G507" i="7"/>
  <c r="F507" i="7"/>
  <c r="G506" i="7"/>
  <c r="F506" i="7"/>
  <c r="G505" i="7"/>
  <c r="F505" i="7"/>
  <c r="G504" i="7"/>
  <c r="F504" i="7"/>
  <c r="G503" i="7"/>
  <c r="F503" i="7"/>
  <c r="G502" i="7"/>
  <c r="F502" i="7"/>
  <c r="G501" i="7"/>
  <c r="F501" i="7"/>
  <c r="G500" i="7"/>
  <c r="F500" i="7"/>
  <c r="G499" i="7"/>
  <c r="F499" i="7"/>
  <c r="G498" i="7"/>
  <c r="F498" i="7"/>
  <c r="G497" i="7"/>
  <c r="F497" i="7"/>
  <c r="G496" i="7"/>
  <c r="F496" i="7"/>
  <c r="G495" i="7"/>
  <c r="F495" i="7"/>
  <c r="G494" i="7"/>
  <c r="F494" i="7"/>
  <c r="G493" i="7"/>
  <c r="F493" i="7"/>
  <c r="G492" i="7"/>
  <c r="F492" i="7"/>
  <c r="G491" i="7"/>
  <c r="F491" i="7"/>
  <c r="G490" i="7"/>
  <c r="F490" i="7"/>
  <c r="G489" i="7"/>
  <c r="F489" i="7"/>
  <c r="G488" i="7"/>
  <c r="F488" i="7"/>
  <c r="G487" i="7"/>
  <c r="F487" i="7"/>
  <c r="G486" i="7"/>
  <c r="F486" i="7"/>
  <c r="G485" i="7"/>
  <c r="F485" i="7"/>
  <c r="G484" i="7"/>
  <c r="F484" i="7"/>
  <c r="G483" i="7"/>
  <c r="F483" i="7"/>
  <c r="G482" i="7"/>
  <c r="F482" i="7"/>
  <c r="G481" i="7"/>
  <c r="F481" i="7"/>
  <c r="G480" i="7"/>
  <c r="F480" i="7"/>
  <c r="G479" i="7"/>
  <c r="F479" i="7"/>
  <c r="G478" i="7"/>
  <c r="F478" i="7"/>
  <c r="G477" i="7"/>
  <c r="F477" i="7"/>
  <c r="G476" i="7"/>
  <c r="F476" i="7"/>
  <c r="G475" i="7"/>
  <c r="F475" i="7"/>
  <c r="G474" i="7"/>
  <c r="F474" i="7"/>
  <c r="G473" i="7"/>
  <c r="F473" i="7"/>
  <c r="G472" i="7"/>
  <c r="F472" i="7"/>
  <c r="G471" i="7"/>
  <c r="F471" i="7"/>
  <c r="G470" i="7"/>
  <c r="F470" i="7"/>
  <c r="G469" i="7"/>
  <c r="F469" i="7"/>
  <c r="G468" i="7"/>
  <c r="F468" i="7"/>
  <c r="G467" i="7"/>
  <c r="F467" i="7"/>
  <c r="G466" i="7"/>
  <c r="F466" i="7"/>
  <c r="G465" i="7"/>
  <c r="F465" i="7"/>
  <c r="G464" i="7"/>
  <c r="F464" i="7"/>
  <c r="G463" i="7"/>
  <c r="F463" i="7"/>
  <c r="G462" i="7"/>
  <c r="F462" i="7"/>
  <c r="G461" i="7"/>
  <c r="F461" i="7"/>
  <c r="G460" i="7"/>
  <c r="F460" i="7"/>
  <c r="G459" i="7"/>
  <c r="F459" i="7"/>
  <c r="G458" i="7"/>
  <c r="F458" i="7"/>
  <c r="G457" i="7"/>
  <c r="F457" i="7"/>
  <c r="G456" i="7"/>
  <c r="F456" i="7"/>
  <c r="G455" i="7"/>
  <c r="F455" i="7"/>
  <c r="G454" i="7"/>
  <c r="F454" i="7"/>
  <c r="G453" i="7"/>
  <c r="F453" i="7"/>
  <c r="G452" i="7"/>
  <c r="F452" i="7"/>
  <c r="G451" i="7"/>
  <c r="F451" i="7"/>
  <c r="G450" i="7"/>
  <c r="F450" i="7"/>
  <c r="G449" i="7"/>
  <c r="F449" i="7"/>
  <c r="G448" i="7"/>
  <c r="F448" i="7"/>
  <c r="G447" i="7"/>
  <c r="F447" i="7"/>
  <c r="G446" i="7"/>
  <c r="F446" i="7"/>
  <c r="G445" i="7"/>
  <c r="F445" i="7"/>
  <c r="G444" i="7"/>
  <c r="F444" i="7"/>
  <c r="G443" i="7"/>
  <c r="F443" i="7"/>
  <c r="G442" i="7"/>
  <c r="F442" i="7"/>
  <c r="G441" i="7"/>
  <c r="F441" i="7"/>
  <c r="G440" i="7"/>
  <c r="F440" i="7"/>
  <c r="G439" i="7"/>
  <c r="F439" i="7"/>
  <c r="G438" i="7"/>
  <c r="F438" i="7"/>
  <c r="G437" i="7"/>
  <c r="F437" i="7"/>
  <c r="G436" i="7"/>
  <c r="F436" i="7"/>
  <c r="G435" i="7"/>
  <c r="F435" i="7"/>
  <c r="G434" i="7"/>
  <c r="F434" i="7"/>
  <c r="G433" i="7"/>
  <c r="F433" i="7"/>
  <c r="G432" i="7"/>
  <c r="F432" i="7"/>
  <c r="G431" i="7"/>
  <c r="F431" i="7"/>
  <c r="G430" i="7"/>
  <c r="F430" i="7"/>
  <c r="G429" i="7"/>
  <c r="F429" i="7"/>
  <c r="G428" i="7"/>
  <c r="F428" i="7"/>
  <c r="G427" i="7"/>
  <c r="F427" i="7"/>
  <c r="G426" i="7"/>
  <c r="F426" i="7"/>
  <c r="G425" i="7"/>
  <c r="F425" i="7"/>
  <c r="G424" i="7"/>
  <c r="F424" i="7"/>
  <c r="G423" i="7"/>
  <c r="F423" i="7"/>
  <c r="G422" i="7"/>
  <c r="F422" i="7"/>
  <c r="G421" i="7"/>
  <c r="F421" i="7"/>
  <c r="G420" i="7"/>
  <c r="F420" i="7"/>
  <c r="G419" i="7"/>
  <c r="F419" i="7"/>
  <c r="G418" i="7"/>
  <c r="F418" i="7"/>
  <c r="G417" i="7"/>
  <c r="F417" i="7"/>
  <c r="G416" i="7"/>
  <c r="F416" i="7"/>
  <c r="G415" i="7"/>
  <c r="F415" i="7"/>
  <c r="G414" i="7"/>
  <c r="F414" i="7"/>
  <c r="G413" i="7"/>
  <c r="F413" i="7"/>
  <c r="G412" i="7"/>
  <c r="F412" i="7"/>
  <c r="G411" i="7"/>
  <c r="F411" i="7"/>
  <c r="G410" i="7"/>
  <c r="F410" i="7"/>
  <c r="G409" i="7"/>
  <c r="F409" i="7"/>
  <c r="G408" i="7"/>
  <c r="F408" i="7"/>
  <c r="G407" i="7"/>
  <c r="F407" i="7"/>
  <c r="G406" i="7"/>
  <c r="F406" i="7"/>
  <c r="G405" i="7"/>
  <c r="F405" i="7"/>
  <c r="G404" i="7"/>
  <c r="F404" i="7"/>
  <c r="G403" i="7"/>
  <c r="F403" i="7"/>
  <c r="G402" i="7"/>
  <c r="F402" i="7"/>
  <c r="G401" i="7"/>
  <c r="F401" i="7"/>
  <c r="G400" i="7"/>
  <c r="F400" i="7"/>
  <c r="G399" i="7"/>
  <c r="F399" i="7"/>
  <c r="G398" i="7"/>
  <c r="F398" i="7"/>
  <c r="G397" i="7"/>
  <c r="F397" i="7"/>
  <c r="G396" i="7"/>
  <c r="F396" i="7"/>
  <c r="G395" i="7"/>
  <c r="F395" i="7"/>
  <c r="G394" i="7"/>
  <c r="F394" i="7"/>
  <c r="G393" i="7"/>
  <c r="F393" i="7"/>
  <c r="G392" i="7"/>
  <c r="F392" i="7"/>
  <c r="G391" i="7"/>
  <c r="F391" i="7"/>
  <c r="G390" i="7"/>
  <c r="F390" i="7"/>
  <c r="G389" i="7"/>
  <c r="F389" i="7"/>
  <c r="G388" i="7"/>
  <c r="F388" i="7"/>
  <c r="G387" i="7"/>
  <c r="F387" i="7"/>
  <c r="G386" i="7"/>
  <c r="F386" i="7"/>
  <c r="G385" i="7"/>
  <c r="F385" i="7"/>
  <c r="G384" i="7"/>
  <c r="F384" i="7"/>
  <c r="G383" i="7"/>
  <c r="F383" i="7"/>
  <c r="G382" i="7"/>
  <c r="F382" i="7"/>
  <c r="G381" i="7"/>
  <c r="F381" i="7"/>
  <c r="G380" i="7"/>
  <c r="F380" i="7"/>
  <c r="G379" i="7"/>
  <c r="F379" i="7"/>
  <c r="G378" i="7"/>
  <c r="F378" i="7"/>
  <c r="G377" i="7"/>
  <c r="F377" i="7"/>
  <c r="G376" i="7"/>
  <c r="F376" i="7"/>
  <c r="G375" i="7"/>
  <c r="F375" i="7"/>
  <c r="G374" i="7"/>
  <c r="F374" i="7"/>
  <c r="G373" i="7"/>
  <c r="F373" i="7"/>
  <c r="G372" i="7"/>
  <c r="F372" i="7"/>
  <c r="G371" i="7"/>
  <c r="F371" i="7"/>
  <c r="G370" i="7"/>
  <c r="F370" i="7"/>
  <c r="G369" i="7"/>
  <c r="F369" i="7"/>
  <c r="G368" i="7"/>
  <c r="F368" i="7"/>
  <c r="G367" i="7"/>
  <c r="F367" i="7"/>
  <c r="G366" i="7"/>
  <c r="F366" i="7"/>
  <c r="G365" i="7"/>
  <c r="F365" i="7"/>
  <c r="G364" i="7"/>
  <c r="F364" i="7"/>
  <c r="G363" i="7"/>
  <c r="F363" i="7"/>
  <c r="G362" i="7"/>
  <c r="F362" i="7"/>
  <c r="G361" i="7"/>
  <c r="F361" i="7"/>
  <c r="G360" i="7"/>
  <c r="F360" i="7"/>
  <c r="G359" i="7"/>
  <c r="F359" i="7"/>
  <c r="G358" i="7"/>
  <c r="F358" i="7"/>
  <c r="G357" i="7"/>
  <c r="F357" i="7"/>
  <c r="G356" i="7"/>
  <c r="F356" i="7"/>
  <c r="G355" i="7"/>
  <c r="F355" i="7"/>
  <c r="G354" i="7"/>
  <c r="F354" i="7"/>
  <c r="G353" i="7"/>
  <c r="F353" i="7"/>
  <c r="G352" i="7"/>
  <c r="F352" i="7"/>
  <c r="G351" i="7"/>
  <c r="F351" i="7"/>
  <c r="G350" i="7"/>
  <c r="F350" i="7"/>
  <c r="G349" i="7"/>
  <c r="F349" i="7"/>
  <c r="G348" i="7"/>
  <c r="F348" i="7"/>
  <c r="G347" i="7"/>
  <c r="F347" i="7"/>
  <c r="G346" i="7"/>
  <c r="F346" i="7"/>
  <c r="G345" i="7"/>
  <c r="F345" i="7"/>
  <c r="G344" i="7"/>
  <c r="F344" i="7"/>
  <c r="G343" i="7"/>
  <c r="F343" i="7"/>
  <c r="G342" i="7"/>
  <c r="F342" i="7"/>
  <c r="G341" i="7"/>
  <c r="F341" i="7"/>
  <c r="G340" i="7"/>
  <c r="F340" i="7"/>
  <c r="G339" i="7"/>
  <c r="F339" i="7"/>
  <c r="G338" i="7"/>
  <c r="F338" i="7"/>
  <c r="G337" i="7"/>
  <c r="F337" i="7"/>
  <c r="G336" i="7"/>
  <c r="F336" i="7"/>
  <c r="G335" i="7"/>
  <c r="F335" i="7"/>
  <c r="G334" i="7"/>
  <c r="F334" i="7"/>
  <c r="G333" i="7"/>
  <c r="F333" i="7"/>
  <c r="G332" i="7"/>
  <c r="F332" i="7"/>
  <c r="G331" i="7"/>
  <c r="F331" i="7"/>
  <c r="G330" i="7"/>
  <c r="F330" i="7"/>
  <c r="G329" i="7"/>
  <c r="F329" i="7"/>
  <c r="G328" i="7"/>
  <c r="F328" i="7"/>
  <c r="G327" i="7"/>
  <c r="F327" i="7"/>
  <c r="G326" i="7"/>
  <c r="F326" i="7"/>
  <c r="G325" i="7"/>
  <c r="F325" i="7"/>
  <c r="G324" i="7"/>
  <c r="F324" i="7"/>
  <c r="G323" i="7"/>
  <c r="F323" i="7"/>
  <c r="G322" i="7"/>
  <c r="F322" i="7"/>
  <c r="G321" i="7"/>
  <c r="F321" i="7"/>
  <c r="G320" i="7"/>
  <c r="F320" i="7"/>
  <c r="G319" i="7"/>
  <c r="F319" i="7"/>
  <c r="G318" i="7"/>
  <c r="F318" i="7"/>
  <c r="G317" i="7"/>
  <c r="F317" i="7"/>
  <c r="G316" i="7"/>
  <c r="F316" i="7"/>
  <c r="G315" i="7"/>
  <c r="F315" i="7"/>
  <c r="G314" i="7"/>
  <c r="F314" i="7"/>
  <c r="G313" i="7"/>
  <c r="F313" i="7"/>
  <c r="G312" i="7"/>
  <c r="F312" i="7"/>
  <c r="G311" i="7"/>
  <c r="F311" i="7"/>
  <c r="G310" i="7"/>
  <c r="F310" i="7"/>
  <c r="G309" i="7"/>
  <c r="F309" i="7"/>
  <c r="G308" i="7"/>
  <c r="F308" i="7"/>
  <c r="G307" i="7"/>
  <c r="F307" i="7"/>
  <c r="G306" i="7"/>
  <c r="F306" i="7"/>
  <c r="G305" i="7"/>
  <c r="F305" i="7"/>
  <c r="G304" i="7"/>
  <c r="F304" i="7"/>
  <c r="G303" i="7"/>
  <c r="F303" i="7"/>
  <c r="G302" i="7"/>
  <c r="F302" i="7"/>
  <c r="G301" i="7"/>
  <c r="F301" i="7"/>
  <c r="G300" i="7"/>
  <c r="F300" i="7"/>
  <c r="G299" i="7"/>
  <c r="F299" i="7"/>
  <c r="G298" i="7"/>
  <c r="F298" i="7"/>
  <c r="G297" i="7"/>
  <c r="F297" i="7"/>
  <c r="G296" i="7"/>
  <c r="F296" i="7"/>
  <c r="G295" i="7"/>
  <c r="F295" i="7"/>
  <c r="G294" i="7"/>
  <c r="F294" i="7"/>
  <c r="G293" i="7"/>
  <c r="F293" i="7"/>
  <c r="G292" i="7"/>
  <c r="F292" i="7"/>
  <c r="G291" i="7"/>
  <c r="F291" i="7"/>
  <c r="G290" i="7"/>
  <c r="F290" i="7"/>
  <c r="G289" i="7"/>
  <c r="F289" i="7"/>
  <c r="G288" i="7"/>
  <c r="F288" i="7"/>
  <c r="G287" i="7"/>
  <c r="F287" i="7"/>
  <c r="G286" i="7"/>
  <c r="F286" i="7"/>
  <c r="G285" i="7"/>
  <c r="F285" i="7"/>
  <c r="G284" i="7"/>
  <c r="F284" i="7"/>
  <c r="G283" i="7"/>
  <c r="F283" i="7"/>
  <c r="G282" i="7"/>
  <c r="F282" i="7"/>
  <c r="G281" i="7"/>
  <c r="F281" i="7"/>
  <c r="G280" i="7"/>
  <c r="F280" i="7"/>
  <c r="G279" i="7"/>
  <c r="F279" i="7"/>
  <c r="G278" i="7"/>
  <c r="F278" i="7"/>
  <c r="G277" i="7"/>
  <c r="F277" i="7"/>
  <c r="G276" i="7"/>
  <c r="F276" i="7"/>
  <c r="G275" i="7"/>
  <c r="F275" i="7"/>
  <c r="G274" i="7"/>
  <c r="F274" i="7"/>
  <c r="G273" i="7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G266" i="7"/>
  <c r="F266" i="7"/>
  <c r="G265" i="7"/>
  <c r="F265" i="7"/>
  <c r="G264" i="7"/>
  <c r="F264" i="7"/>
  <c r="G263" i="7"/>
  <c r="F263" i="7"/>
  <c r="G262" i="7"/>
  <c r="F262" i="7"/>
  <c r="G261" i="7"/>
  <c r="F261" i="7"/>
  <c r="G260" i="7"/>
  <c r="F260" i="7"/>
  <c r="G259" i="7"/>
  <c r="F259" i="7"/>
  <c r="G258" i="7"/>
  <c r="F258" i="7"/>
  <c r="G257" i="7"/>
  <c r="F257" i="7"/>
  <c r="G256" i="7"/>
  <c r="F256" i="7"/>
  <c r="G255" i="7"/>
  <c r="F255" i="7"/>
  <c r="G254" i="7"/>
  <c r="F254" i="7"/>
  <c r="G253" i="7"/>
  <c r="F253" i="7"/>
  <c r="G252" i="7"/>
  <c r="F252" i="7"/>
  <c r="G251" i="7"/>
  <c r="F251" i="7"/>
  <c r="G250" i="7"/>
  <c r="F250" i="7"/>
  <c r="G249" i="7"/>
  <c r="F249" i="7"/>
  <c r="G248" i="7"/>
  <c r="F248" i="7"/>
  <c r="G247" i="7"/>
  <c r="F247" i="7"/>
  <c r="G246" i="7"/>
  <c r="F246" i="7"/>
  <c r="G245" i="7"/>
  <c r="F245" i="7"/>
  <c r="G244" i="7"/>
  <c r="F244" i="7"/>
  <c r="G243" i="7"/>
  <c r="F243" i="7"/>
  <c r="G242" i="7"/>
  <c r="F242" i="7"/>
  <c r="G241" i="7"/>
  <c r="F241" i="7"/>
  <c r="G240" i="7"/>
  <c r="F240" i="7"/>
  <c r="G239" i="7"/>
  <c r="F239" i="7"/>
  <c r="G238" i="7"/>
  <c r="F238" i="7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G230" i="7"/>
  <c r="F230" i="7"/>
  <c r="G229" i="7"/>
  <c r="F229" i="7"/>
  <c r="G228" i="7"/>
  <c r="F228" i="7"/>
  <c r="G227" i="7"/>
  <c r="F227" i="7"/>
  <c r="G226" i="7"/>
  <c r="F226" i="7"/>
  <c r="G225" i="7"/>
  <c r="F225" i="7"/>
  <c r="G224" i="7"/>
  <c r="F224" i="7"/>
  <c r="G223" i="7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G161" i="7"/>
  <c r="F161" i="7"/>
  <c r="G160" i="7"/>
  <c r="F160" i="7"/>
  <c r="G159" i="7"/>
  <c r="F159" i="7"/>
  <c r="G158" i="7"/>
  <c r="F158" i="7"/>
  <c r="G157" i="7"/>
  <c r="F157" i="7"/>
  <c r="G156" i="7"/>
  <c r="F156" i="7"/>
  <c r="G155" i="7"/>
  <c r="F155" i="7"/>
  <c r="G154" i="7"/>
  <c r="F154" i="7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F112" i="7"/>
  <c r="G111" i="7"/>
  <c r="F111" i="7"/>
  <c r="G110" i="7"/>
  <c r="F110" i="7"/>
  <c r="G109" i="7"/>
  <c r="F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I3" i="7"/>
  <c r="H3" i="7"/>
  <c r="G3" i="7"/>
  <c r="F3" i="7"/>
  <c r="C17" i="5"/>
  <c r="F9" i="18" l="1"/>
  <c r="P30" i="19"/>
  <c r="C4" i="5"/>
  <c r="C5" i="5" s="1"/>
  <c r="C7" i="5" s="1"/>
  <c r="C26" i="5" s="1"/>
  <c r="P20" i="19"/>
  <c r="C10" i="19"/>
  <c r="D3" i="19"/>
  <c r="E3" i="19" s="1"/>
  <c r="K3" i="19" s="1"/>
  <c r="D14" i="19" s="1"/>
  <c r="M10" i="19"/>
  <c r="J9" i="19"/>
  <c r="B16" i="19" s="1"/>
  <c r="E16" i="19" s="1"/>
  <c r="G16" i="19" s="1"/>
  <c r="C9" i="19"/>
  <c r="H9" i="19"/>
  <c r="K9" i="19"/>
  <c r="B14" i="19" s="1"/>
  <c r="E14" i="19" s="1"/>
  <c r="C6" i="5"/>
  <c r="C25" i="5" s="1"/>
  <c r="C27" i="5" s="1"/>
  <c r="B10" i="15"/>
  <c r="D11" i="16"/>
  <c r="J8" i="18"/>
  <c r="D28" i="16"/>
  <c r="E10" i="10"/>
  <c r="C9" i="11"/>
  <c r="C5" i="13"/>
  <c r="F5" i="13"/>
  <c r="F9" i="11"/>
  <c r="D6" i="13"/>
  <c r="D7" i="12"/>
  <c r="G7" i="10"/>
  <c r="E31" i="16"/>
  <c r="F7" i="10"/>
  <c r="F13" i="10"/>
  <c r="F20" i="10"/>
  <c r="F21" i="10"/>
  <c r="F22" i="10" s="1"/>
  <c r="E9" i="11"/>
  <c r="E5" i="13"/>
  <c r="C6" i="12"/>
  <c r="B4" i="11"/>
  <c r="E21" i="10"/>
  <c r="E22" i="10" s="1"/>
  <c r="E20" i="10"/>
  <c r="D31" i="16"/>
  <c r="E7" i="10"/>
  <c r="E13" i="10"/>
  <c r="B20" i="20"/>
  <c r="C14" i="5"/>
  <c r="I16" i="19"/>
  <c r="L16" i="19" s="1"/>
  <c r="C18" i="5"/>
  <c r="C19" i="5" s="1"/>
  <c r="J25" i="10"/>
  <c r="J26" i="10"/>
  <c r="J27" i="10"/>
  <c r="J28" i="10"/>
  <c r="J29" i="10"/>
  <c r="J32" i="10"/>
  <c r="J33" i="10"/>
  <c r="J34" i="10"/>
  <c r="B3" i="11"/>
  <c r="B8" i="11" s="1"/>
  <c r="B9" i="11" s="1"/>
  <c r="B25" i="16"/>
  <c r="B30" i="16"/>
  <c r="D34" i="16"/>
  <c r="G34" i="16" s="1"/>
  <c r="C20" i="5" s="1"/>
  <c r="M12" i="18"/>
  <c r="O11" i="18"/>
  <c r="P11" i="18" s="1"/>
  <c r="B30" i="20"/>
  <c r="E11" i="20"/>
  <c r="E9" i="16"/>
  <c r="F31" i="16"/>
  <c r="E30" i="16"/>
  <c r="G14" i="19"/>
  <c r="I14" i="19" s="1"/>
  <c r="L14" i="19" s="1"/>
  <c r="F30" i="16"/>
  <c r="Q22" i="19"/>
  <c r="C8" i="5"/>
  <c r="E4" i="16"/>
  <c r="P28" i="19"/>
  <c r="O28" i="19"/>
  <c r="B35" i="10"/>
  <c r="F9" i="16"/>
  <c r="E10" i="18"/>
  <c r="F10" i="18" s="1"/>
  <c r="B3" i="17"/>
  <c r="I8" i="10"/>
  <c r="I9" i="10"/>
  <c r="I37" i="10"/>
  <c r="J39" i="10"/>
  <c r="E6" i="18"/>
  <c r="F6" i="18" s="1"/>
  <c r="B9" i="16"/>
  <c r="F4" i="16"/>
  <c r="C12" i="18"/>
  <c r="E11" i="18"/>
  <c r="F11" i="18" s="1"/>
  <c r="C4" i="16"/>
  <c r="B24" i="16" s="1"/>
  <c r="N7" i="17" s="1"/>
  <c r="E7" i="18"/>
  <c r="C30" i="16"/>
  <c r="I38" i="10"/>
  <c r="D3" i="11"/>
  <c r="D8" i="11" s="1"/>
  <c r="E5" i="12"/>
  <c r="E6" i="12" s="1"/>
  <c r="C8" i="16"/>
  <c r="C9" i="16" s="1"/>
  <c r="B31" i="16"/>
  <c r="F34" i="16"/>
  <c r="H12" i="18"/>
  <c r="D11" i="20"/>
  <c r="B12" i="20" s="1"/>
  <c r="Q20" i="19"/>
  <c r="P23" i="19"/>
  <c r="Q30" i="19"/>
  <c r="B17" i="16"/>
  <c r="P7" i="18"/>
  <c r="P9" i="18"/>
  <c r="L9" i="19"/>
  <c r="B15" i="19" s="1"/>
  <c r="H10" i="19"/>
  <c r="O21" i="19"/>
  <c r="O27" i="19" s="1"/>
  <c r="O29" i="19" s="1"/>
  <c r="Q23" i="19"/>
  <c r="M9" i="19"/>
  <c r="P21" i="19"/>
  <c r="O24" i="19"/>
  <c r="J10" i="19"/>
  <c r="C16" i="19" s="1"/>
  <c r="F16" i="19" s="1"/>
  <c r="O19" i="19"/>
  <c r="Q21" i="19"/>
  <c r="P24" i="19"/>
  <c r="K10" i="19"/>
  <c r="C14" i="19" s="1"/>
  <c r="F14" i="19" s="1"/>
  <c r="H14" i="19" s="1"/>
  <c r="J14" i="19" s="1"/>
  <c r="M14" i="19" s="1"/>
  <c r="P19" i="19"/>
  <c r="O22" i="19"/>
  <c r="Q24" i="19"/>
  <c r="L10" i="19"/>
  <c r="C15" i="19" s="1"/>
  <c r="Q19" i="19"/>
  <c r="P22" i="19"/>
  <c r="O20" i="19"/>
  <c r="O30" i="19"/>
  <c r="Q28" i="19" l="1"/>
  <c r="O8" i="17"/>
  <c r="P8" i="17" s="1"/>
  <c r="C9" i="17"/>
  <c r="J7" i="18"/>
  <c r="B28" i="16"/>
  <c r="D5" i="10"/>
  <c r="C11" i="16"/>
  <c r="D10" i="10"/>
  <c r="E5" i="10"/>
  <c r="J16" i="19"/>
  <c r="M16" i="19" s="1"/>
  <c r="H16" i="19"/>
  <c r="D38" i="16"/>
  <c r="D45" i="16" s="1"/>
  <c r="D29" i="16"/>
  <c r="E6" i="10"/>
  <c r="E23" i="10"/>
  <c r="D44" i="16"/>
  <c r="E19" i="10"/>
  <c r="E17" i="10"/>
  <c r="E11" i="10"/>
  <c r="D2" i="13"/>
  <c r="D5" i="13"/>
  <c r="D7" i="13" s="1"/>
  <c r="D9" i="11"/>
  <c r="B11" i="11" s="1"/>
  <c r="A43" i="20"/>
  <c r="A44" i="20"/>
  <c r="B26" i="20"/>
  <c r="A45" i="20"/>
  <c r="A41" i="20"/>
  <c r="A42" i="20"/>
  <c r="B9" i="12"/>
  <c r="Q27" i="19"/>
  <c r="Q29" i="19" s="1"/>
  <c r="Q32" i="19"/>
  <c r="C6" i="13"/>
  <c r="C7" i="12"/>
  <c r="C28" i="16"/>
  <c r="J6" i="18"/>
  <c r="B11" i="16"/>
  <c r="C10" i="10"/>
  <c r="B31" i="20"/>
  <c r="B8" i="17"/>
  <c r="C31" i="16"/>
  <c r="C20" i="10"/>
  <c r="C21" i="10"/>
  <c r="D7" i="10"/>
  <c r="C13" i="10"/>
  <c r="B10" i="12"/>
  <c r="F6" i="12"/>
  <c r="M13" i="18"/>
  <c r="O12" i="18"/>
  <c r="P12" i="18" s="1"/>
  <c r="D4" i="11"/>
  <c r="E7" i="12"/>
  <c r="E6" i="13"/>
  <c r="E7" i="13" s="1"/>
  <c r="B22" i="20"/>
  <c r="D26" i="5"/>
  <c r="E26" i="5" s="1"/>
  <c r="C13" i="18"/>
  <c r="E12" i="18"/>
  <c r="F12" i="18" s="1"/>
  <c r="J9" i="18"/>
  <c r="K9" i="18" s="1"/>
  <c r="F5" i="10"/>
  <c r="E28" i="16"/>
  <c r="F10" i="10"/>
  <c r="E11" i="16"/>
  <c r="H13" i="18"/>
  <c r="F28" i="16"/>
  <c r="G3" i="19"/>
  <c r="L3" i="19" s="1"/>
  <c r="D15" i="19" s="1"/>
  <c r="J10" i="18"/>
  <c r="K10" i="18" s="1"/>
  <c r="G10" i="10"/>
  <c r="F11" i="16"/>
  <c r="G5" i="10"/>
  <c r="J35" i="10"/>
  <c r="I35" i="10"/>
  <c r="C21" i="5"/>
  <c r="D25" i="5" s="1"/>
  <c r="E25" i="5" s="1"/>
  <c r="F7" i="18"/>
  <c r="O32" i="19"/>
  <c r="F8" i="18"/>
  <c r="B14" i="20"/>
  <c r="M3" i="17"/>
  <c r="C7" i="13"/>
  <c r="K8" i="18"/>
  <c r="E27" i="5" l="1"/>
  <c r="Q3" i="15" s="1"/>
  <c r="Q4" i="15" s="1"/>
  <c r="N14" i="15" s="1"/>
  <c r="J13" i="10"/>
  <c r="I13" i="10"/>
  <c r="F45" i="20"/>
  <c r="D44" i="20"/>
  <c r="B43" i="20"/>
  <c r="F41" i="20"/>
  <c r="E45" i="20"/>
  <c r="C44" i="20"/>
  <c r="E41" i="20"/>
  <c r="D45" i="20"/>
  <c r="B44" i="20"/>
  <c r="F42" i="20"/>
  <c r="D41" i="20"/>
  <c r="C45" i="20"/>
  <c r="E42" i="20"/>
  <c r="C41" i="20"/>
  <c r="B45" i="20"/>
  <c r="F43" i="20"/>
  <c r="D42" i="20"/>
  <c r="B41" i="20"/>
  <c r="E43" i="20"/>
  <c r="C42" i="20"/>
  <c r="F44" i="20"/>
  <c r="D43" i="20"/>
  <c r="B42" i="20"/>
  <c r="E44" i="20"/>
  <c r="C43" i="20"/>
  <c r="I7" i="10"/>
  <c r="J7" i="10"/>
  <c r="J10" i="10"/>
  <c r="I10" i="10"/>
  <c r="B44" i="16"/>
  <c r="C2" i="13"/>
  <c r="B38" i="16"/>
  <c r="B45" i="16" s="1"/>
  <c r="D6" i="10"/>
  <c r="D19" i="10"/>
  <c r="D11" i="10"/>
  <c r="B29" i="16"/>
  <c r="D23" i="10"/>
  <c r="D17" i="10"/>
  <c r="K6" i="18"/>
  <c r="J11" i="18"/>
  <c r="K11" i="18" s="1"/>
  <c r="J5" i="10"/>
  <c r="I5" i="10"/>
  <c r="C22" i="10"/>
  <c r="J21" i="10"/>
  <c r="I21" i="10"/>
  <c r="J12" i="18"/>
  <c r="K12" i="18" s="1"/>
  <c r="E29" i="16"/>
  <c r="F23" i="10"/>
  <c r="F6" i="10"/>
  <c r="E38" i="16"/>
  <c r="E45" i="16" s="1"/>
  <c r="E44" i="16"/>
  <c r="E2" i="13"/>
  <c r="F19" i="10"/>
  <c r="F17" i="10"/>
  <c r="F11" i="10"/>
  <c r="M14" i="18"/>
  <c r="O14" i="18" s="1"/>
  <c r="O13" i="18"/>
  <c r="P13" i="18" s="1"/>
  <c r="B13" i="17"/>
  <c r="C8" i="17"/>
  <c r="D3" i="13"/>
  <c r="D4" i="13" s="1"/>
  <c r="K7" i="18"/>
  <c r="B2" i="13"/>
  <c r="C44" i="16"/>
  <c r="C38" i="16"/>
  <c r="C45" i="16" s="1"/>
  <c r="C29" i="16"/>
  <c r="C23" i="10"/>
  <c r="C19" i="10"/>
  <c r="C17" i="10"/>
  <c r="C11" i="10"/>
  <c r="P27" i="19"/>
  <c r="P29" i="19" s="1"/>
  <c r="P32" i="19" s="1"/>
  <c r="H14" i="18"/>
  <c r="J14" i="18" s="1"/>
  <c r="J13" i="18"/>
  <c r="B12" i="11"/>
  <c r="C14" i="18"/>
  <c r="E14" i="18" s="1"/>
  <c r="E13" i="18"/>
  <c r="F13" i="18" s="1"/>
  <c r="F6" i="13"/>
  <c r="F7" i="13" s="1"/>
  <c r="F7" i="12"/>
  <c r="D9" i="17"/>
  <c r="E9" i="17" s="1"/>
  <c r="F9" i="17" s="1"/>
  <c r="G9" i="17" s="1"/>
  <c r="H9" i="17" s="1"/>
  <c r="I9" i="17" s="1"/>
  <c r="J9" i="17" s="1"/>
  <c r="K9" i="17" s="1"/>
  <c r="L9" i="17" s="1"/>
  <c r="D40" i="20"/>
  <c r="C40" i="20"/>
  <c r="B40" i="20"/>
  <c r="B25" i="20"/>
  <c r="B27" i="20" s="1"/>
  <c r="F40" i="20"/>
  <c r="E40" i="20"/>
  <c r="J20" i="10"/>
  <c r="I20" i="10"/>
  <c r="N4" i="17"/>
  <c r="O4" i="17" s="1"/>
  <c r="C4" i="17"/>
  <c r="F44" i="16"/>
  <c r="H3" i="19"/>
  <c r="M3" i="19" s="1"/>
  <c r="F29" i="16"/>
  <c r="F2" i="13"/>
  <c r="F38" i="16"/>
  <c r="F45" i="16" s="1"/>
  <c r="G23" i="10"/>
  <c r="G19" i="10"/>
  <c r="G17" i="10"/>
  <c r="G11" i="10"/>
  <c r="G6" i="10"/>
  <c r="F15" i="19"/>
  <c r="H15" i="19" s="1"/>
  <c r="J15" i="19" s="1"/>
  <c r="M15" i="19" s="1"/>
  <c r="E15" i="19"/>
  <c r="G15" i="19" s="1"/>
  <c r="I15" i="19" s="1"/>
  <c r="L15" i="19" s="1"/>
  <c r="K13" i="18" l="1"/>
  <c r="I18" i="15"/>
  <c r="F18" i="15"/>
  <c r="H18" i="15"/>
  <c r="C18" i="15"/>
  <c r="G18" i="15"/>
  <c r="E18" i="15"/>
  <c r="J18" i="15"/>
  <c r="D18" i="15"/>
  <c r="K18" i="15"/>
  <c r="L18" i="15"/>
  <c r="D10" i="13"/>
  <c r="D8" i="13"/>
  <c r="F3" i="13"/>
  <c r="F4" i="13"/>
  <c r="C19" i="17"/>
  <c r="C4" i="15" s="1"/>
  <c r="D4" i="17"/>
  <c r="C3" i="17"/>
  <c r="D3" i="17" s="1"/>
  <c r="K14" i="18"/>
  <c r="D8" i="17"/>
  <c r="E8" i="17" s="1"/>
  <c r="F8" i="17" s="1"/>
  <c r="G8" i="17" s="1"/>
  <c r="H8" i="17" s="1"/>
  <c r="I8" i="17" s="1"/>
  <c r="J8" i="17" s="1"/>
  <c r="K8" i="17" s="1"/>
  <c r="L8" i="17" s="1"/>
  <c r="J22" i="10"/>
  <c r="I22" i="10"/>
  <c r="P14" i="18"/>
  <c r="B4" i="13"/>
  <c r="B3" i="13"/>
  <c r="J19" i="10"/>
  <c r="I19" i="10"/>
  <c r="J6" i="10"/>
  <c r="I6" i="10"/>
  <c r="F14" i="18"/>
  <c r="I23" i="10"/>
  <c r="J23" i="10"/>
  <c r="B18" i="17"/>
  <c r="G29" i="16"/>
  <c r="C6" i="15"/>
  <c r="D6" i="15" s="1"/>
  <c r="E6" i="15" s="1"/>
  <c r="F6" i="15" s="1"/>
  <c r="G6" i="15" s="1"/>
  <c r="H6" i="15" s="1"/>
  <c r="I6" i="15" s="1"/>
  <c r="J6" i="15" s="1"/>
  <c r="K6" i="15" s="1"/>
  <c r="L6" i="15" s="1"/>
  <c r="N6" i="15" s="1"/>
  <c r="J11" i="10"/>
  <c r="I11" i="10"/>
  <c r="C3" i="13"/>
  <c r="C4" i="13" s="1"/>
  <c r="B35" i="20"/>
  <c r="J17" i="10"/>
  <c r="I17" i="10"/>
  <c r="E3" i="13"/>
  <c r="E4" i="13"/>
  <c r="C10" i="13" l="1"/>
  <c r="C8" i="13"/>
  <c r="C18" i="17"/>
  <c r="B3" i="15"/>
  <c r="E4" i="17"/>
  <c r="D19" i="17"/>
  <c r="D4" i="15" s="1"/>
  <c r="B37" i="20"/>
  <c r="C37" i="20"/>
  <c r="F8" i="13"/>
  <c r="F10" i="13"/>
  <c r="E10" i="13"/>
  <c r="E8" i="13"/>
  <c r="E19" i="17" l="1"/>
  <c r="E4" i="15" s="1"/>
  <c r="F4" i="17"/>
  <c r="E3" i="17"/>
  <c r="D18" i="17"/>
  <c r="C3" i="15"/>
  <c r="B13" i="13"/>
  <c r="B12" i="13"/>
  <c r="B47" i="16" s="1"/>
  <c r="N12" i="17" s="1"/>
  <c r="C14" i="17" l="1"/>
  <c r="O13" i="17"/>
  <c r="P13" i="17" s="1"/>
  <c r="C9" i="15"/>
  <c r="C5" i="15"/>
  <c r="C10" i="15"/>
  <c r="C11" i="15" s="1"/>
  <c r="F19" i="17"/>
  <c r="F4" i="15" s="1"/>
  <c r="G4" i="17"/>
  <c r="E18" i="17"/>
  <c r="D3" i="15"/>
  <c r="F3" i="17"/>
  <c r="E3" i="15" l="1"/>
  <c r="F18" i="17"/>
  <c r="H4" i="17"/>
  <c r="G19" i="17"/>
  <c r="G4" i="15" s="1"/>
  <c r="C7" i="15"/>
  <c r="C8" i="15"/>
  <c r="C12" i="15"/>
  <c r="G3" i="17"/>
  <c r="H3" i="17" s="1"/>
  <c r="D5" i="15"/>
  <c r="D9" i="15"/>
  <c r="D10" i="15"/>
  <c r="D11" i="15" s="1"/>
  <c r="D14" i="17"/>
  <c r="E14" i="17" s="1"/>
  <c r="F14" i="17" s="1"/>
  <c r="G14" i="17" s="1"/>
  <c r="H14" i="17" s="1"/>
  <c r="I14" i="17" s="1"/>
  <c r="J14" i="17" s="1"/>
  <c r="K14" i="17" s="1"/>
  <c r="L14" i="17" s="1"/>
  <c r="C13" i="17"/>
  <c r="C13" i="15" l="1"/>
  <c r="D13" i="17"/>
  <c r="E13" i="17" s="1"/>
  <c r="F13" i="17" s="1"/>
  <c r="G13" i="17" s="1"/>
  <c r="H13" i="17" s="1"/>
  <c r="I13" i="17" s="1"/>
  <c r="J13" i="17" s="1"/>
  <c r="K13" i="17" s="1"/>
  <c r="L13" i="17" s="1"/>
  <c r="H19" i="17"/>
  <c r="H4" i="15" s="1"/>
  <c r="I4" i="17"/>
  <c r="D12" i="15"/>
  <c r="G18" i="17"/>
  <c r="F3" i="15"/>
  <c r="D7" i="15"/>
  <c r="D8" i="15" s="1"/>
  <c r="D13" i="15" s="1"/>
  <c r="D14" i="15" s="1"/>
  <c r="E5" i="15"/>
  <c r="E9" i="15"/>
  <c r="E10" i="15"/>
  <c r="E11" i="15" s="1"/>
  <c r="F9" i="15" l="1"/>
  <c r="F5" i="15"/>
  <c r="F10" i="15"/>
  <c r="F11" i="15" s="1"/>
  <c r="E12" i="15"/>
  <c r="H18" i="17"/>
  <c r="G3" i="15"/>
  <c r="I19" i="17"/>
  <c r="I4" i="15" s="1"/>
  <c r="J4" i="17"/>
  <c r="E7" i="15"/>
  <c r="E8" i="15" s="1"/>
  <c r="E13" i="15" s="1"/>
  <c r="I3" i="17"/>
  <c r="C14" i="15"/>
  <c r="E14" i="15" l="1"/>
  <c r="J19" i="17"/>
  <c r="J4" i="15" s="1"/>
  <c r="K4" i="17"/>
  <c r="G5" i="15"/>
  <c r="G9" i="15"/>
  <c r="G10" i="15"/>
  <c r="G11" i="15" s="1"/>
  <c r="H3" i="15"/>
  <c r="I18" i="17"/>
  <c r="J3" i="17"/>
  <c r="F7" i="15"/>
  <c r="F8" i="15" s="1"/>
  <c r="F13" i="15" s="1"/>
  <c r="F12" i="15"/>
  <c r="F14" i="15" l="1"/>
  <c r="H5" i="15"/>
  <c r="H9" i="15"/>
  <c r="H10" i="15"/>
  <c r="H11" i="15" s="1"/>
  <c r="G12" i="15"/>
  <c r="G7" i="15"/>
  <c r="G8" i="15"/>
  <c r="G13" i="15" s="1"/>
  <c r="G14" i="15" s="1"/>
  <c r="K19" i="17"/>
  <c r="K4" i="15" s="1"/>
  <c r="L4" i="17"/>
  <c r="L19" i="17" s="1"/>
  <c r="L4" i="15" s="1"/>
  <c r="K3" i="17"/>
  <c r="L3" i="17" s="1"/>
  <c r="I3" i="15"/>
  <c r="J18" i="17"/>
  <c r="J3" i="15" l="1"/>
  <c r="K18" i="17"/>
  <c r="I9" i="15"/>
  <c r="I5" i="15"/>
  <c r="I10" i="15"/>
  <c r="I11" i="15" s="1"/>
  <c r="H12" i="15"/>
  <c r="H7" i="15"/>
  <c r="H8" i="15" s="1"/>
  <c r="H13" i="15" s="1"/>
  <c r="H14" i="15" s="1"/>
  <c r="J5" i="15" l="1"/>
  <c r="J9" i="15"/>
  <c r="J10" i="15"/>
  <c r="J11" i="15" s="1"/>
  <c r="I7" i="15"/>
  <c r="I8" i="15" s="1"/>
  <c r="I13" i="15" s="1"/>
  <c r="I14" i="15" s="1"/>
  <c r="I12" i="15"/>
  <c r="L18" i="17"/>
  <c r="L3" i="15" s="1"/>
  <c r="K3" i="15"/>
  <c r="K9" i="15" l="1"/>
  <c r="K5" i="15"/>
  <c r="K10" i="15"/>
  <c r="K11" i="15" s="1"/>
  <c r="N3" i="15"/>
  <c r="N5" i="15" s="1"/>
  <c r="L9" i="15"/>
  <c r="L12" i="15" s="1"/>
  <c r="L5" i="15"/>
  <c r="L10" i="15"/>
  <c r="L11" i="15" s="1"/>
  <c r="J12" i="15"/>
  <c r="J7" i="15"/>
  <c r="J8" i="15"/>
  <c r="N7" i="15" l="1"/>
  <c r="N8" i="15" s="1"/>
  <c r="L7" i="15"/>
  <c r="L8" i="15" s="1"/>
  <c r="L13" i="15" s="1"/>
  <c r="J13" i="15"/>
  <c r="J14" i="15" s="1"/>
  <c r="K7" i="15"/>
  <c r="K8" i="15"/>
  <c r="K12" i="15"/>
  <c r="L14" i="15" l="1"/>
  <c r="N12" i="15"/>
  <c r="N13" i="15" s="1"/>
  <c r="L16" i="15" s="1"/>
  <c r="C21" i="15" s="1"/>
  <c r="K13" i="15"/>
  <c r="K14" i="15" s="1"/>
  <c r="C20" i="15" l="1"/>
  <c r="C23" i="15" s="1"/>
  <c r="C27" i="15" s="1"/>
  <c r="C30" i="15" s="1"/>
</calcChain>
</file>

<file path=xl/sharedStrings.xml><?xml version="1.0" encoding="utf-8"?>
<sst xmlns="http://schemas.openxmlformats.org/spreadsheetml/2006/main" count="3307" uniqueCount="2723">
  <si>
    <t>AMBUJA CEMENTS LIMITED</t>
  </si>
  <si>
    <t>Cement &amp; Building Materials | Part of The Adani Group  |  BSE: 500425  |  NSE: AMBUJACEM  |  www.ambujacement.com</t>
  </si>
  <si>
    <t xml:space="preserve">  ◆  COMPANY OVERVIEW</t>
  </si>
  <si>
    <t>Company Name</t>
  </si>
  <si>
    <t>Ambuja Cements Limited</t>
  </si>
  <si>
    <t>Formerly Known As</t>
  </si>
  <si>
    <t>Ambuja Cements India Ltd. / Gujarat Ambuja Cements Ltd.</t>
  </si>
  <si>
    <t>CIN</t>
  </si>
  <si>
    <t>L26942GJ1981PLC004717</t>
  </si>
  <si>
    <t>Stock Exchange(s)</t>
  </si>
  <si>
    <t>BSE (500425)  |  NSE (AMBUJACEM)</t>
  </si>
  <si>
    <t>Incorporated</t>
  </si>
  <si>
    <t>1981, Gujarat</t>
  </si>
  <si>
    <t>Listing Year</t>
  </si>
  <si>
    <t>Listed on BSE &amp; NSE; part of CNX Nifty 50 index</t>
  </si>
  <si>
    <t>Registered Office</t>
  </si>
  <si>
    <t>Adani Corporate House, Shantigram, S.G. Highway, Ahmedabad – 382213</t>
  </si>
  <si>
    <t>Market Cap</t>
  </si>
  <si>
    <t>₹1,32,602 crore (as on 31 March 2025)</t>
  </si>
  <si>
    <t>Reporting Period</t>
  </si>
  <si>
    <t>FY 2024-25 (April 1, 2024 – March 31, 2025)</t>
  </si>
  <si>
    <t>Report Type</t>
  </si>
  <si>
    <t>7th Integrated Annual Report (IFRS Foundation IR Framework)</t>
  </si>
  <si>
    <t xml:space="preserve">  ◆  PARENT / PROMOTER STRUCTURE</t>
  </si>
  <si>
    <t>Ultimate Parent Group</t>
  </si>
  <si>
    <t>Adani Group — Founded 1988 by Gautam Adani, HQ Ahmedabad; India's largest diversified infrastructure conglomerate</t>
  </si>
  <si>
    <t>Direct Parent Entity</t>
  </si>
  <si>
    <t>Holderind Investments Ltd. (Promoter) — 47.72% stake; Harmonia Trade and Investment Ltd. — 19.23%; Adani Enterprises Ltd. (Promoter Group) — 0.35%</t>
  </si>
  <si>
    <t>Total Promoter Holding</t>
  </si>
  <si>
    <t>Adani Group Position</t>
  </si>
  <si>
    <t>Ambuja Cements is the cement and building materials flagship within the Adani Portfolio's 'Materials, Metals &amp; Mining' vertical; sits alongside ACC, Sanghi, and Orient Cement under Adani's cement umbrella targeting 140 MTPA by FY 2027-28</t>
  </si>
  <si>
    <t xml:space="preserve">  ◆  NATURE OF BUSINESS</t>
  </si>
  <si>
    <t>Primary Business</t>
  </si>
  <si>
    <t>Manufacturing and marketing of cement and building materials — one of India's largest cement producers</t>
  </si>
  <si>
    <t>Industry / Sector</t>
  </si>
  <si>
    <t>Cement &amp; Building Materials  |  Construction Materials  |  Consumer discretionary / Industrials</t>
  </si>
  <si>
    <t>Product Portfolio</t>
  </si>
  <si>
    <t>Ambuja Cement (flagship) | Ambuja Plus (high-strength) | Ambuja Compocem (dense concrete) | Ambuja Kawach (water-repellent) | Ambuja Cool Walls (eco-friendly, 5°C cooler) | Ready-Mix Concrete | Blended Cement (&gt;82% of portfolio); 4 products GRIHA-certified</t>
  </si>
  <si>
    <t>Blended Cement Mix</t>
  </si>
  <si>
    <t>Over 82% of portfolio is blended cement; Clinker Factor at 64%</t>
  </si>
  <si>
    <t>Geographic Presence</t>
  </si>
  <si>
    <t>Present in 31 States and UTs across 635+ districts in India; 1,10,000+ channel partners</t>
  </si>
  <si>
    <t>Manufacturing Network</t>
  </si>
  <si>
    <t>24 Integrated Plants | 22 Grinding Units | 11 Bulk Cement Terminals | 102 Ready-Mix Concrete Plants | 11 Captive Ships</t>
  </si>
  <si>
    <t xml:space="preserve">  ◆  SUBSIDIARIES &amp; KEY GROUP ENTITIES</t>
  </si>
  <si>
    <t>Entity</t>
  </si>
  <si>
    <t>Type / Stake</t>
  </si>
  <si>
    <t>HQ / Location</t>
  </si>
  <si>
    <t>Nature of Business</t>
  </si>
  <si>
    <t>ACC Limited</t>
  </si>
  <si>
    <t>Subsidiary — 50.05% stake</t>
  </si>
  <si>
    <t>Mumbai, India</t>
  </si>
  <si>
    <t>India's one of largest cement producers; fully integrated with Ambuja under Adani Cement umbrella</t>
  </si>
  <si>
    <t>Sanghi Industries Limited</t>
  </si>
  <si>
    <t>Subsidiary — 58.08% stake</t>
  </si>
  <si>
    <t>Gujarat, India</t>
  </si>
  <si>
    <t>Cement manufacturing; large integrated plant at Sanghipuram, Gujarat; key addition post-acquisition</t>
  </si>
  <si>
    <t>Orient Cement Limited</t>
  </si>
  <si>
    <t>Subsidiary — 46.66% stake (w.e.f. April 2025)</t>
  </si>
  <si>
    <t>Hyderabad, India</t>
  </si>
  <si>
    <t>Cement manufacturing — acquisition completed April 2025; added 8.5 MTPA capacity</t>
  </si>
  <si>
    <t>Ambuja Cements (Rajasthan) Ltd.</t>
  </si>
  <si>
    <t>Wholly Owned Subsidiary</t>
  </si>
  <si>
    <t>Rajasthan, India</t>
  </si>
  <si>
    <t>Cement plant operations; limestone mining in Rajasthan</t>
  </si>
  <si>
    <t>Chemical Limes Mundwa Pvt. Ltd.</t>
  </si>
  <si>
    <t>Limestone mining and lime products</t>
  </si>
  <si>
    <t>M.G.T. Cements Pvt. Ltd.</t>
  </si>
  <si>
    <t>India</t>
  </si>
  <si>
    <t>Cement grinding operations</t>
  </si>
  <si>
    <t>Dang Cement Industries Pvt. Ltd.</t>
  </si>
  <si>
    <t>Cement plant operations</t>
  </si>
  <si>
    <t>Dirk India Pvt. Ltd.</t>
  </si>
  <si>
    <t>Subsidiary</t>
  </si>
  <si>
    <t>Specialty construction chemicals and products</t>
  </si>
  <si>
    <t>Ambuja Shipping Services Ltd.</t>
  </si>
  <si>
    <t>Captive maritime logistics — operates 11 captive ships for coastal cement dispatch</t>
  </si>
  <si>
    <t xml:space="preserve">  ◆  KEY FINANCIAL HIGHLIGHTS — FY 2024-25 (Consolidated)</t>
  </si>
  <si>
    <t>Revenue from Operations</t>
  </si>
  <si>
    <t>₹37,699 Crore</t>
  </si>
  <si>
    <t>Adj. EBITDA</t>
  </si>
  <si>
    <t>₹8,645 Crore</t>
  </si>
  <si>
    <t>Profit After Tax (PAT)</t>
  </si>
  <si>
    <t>₹5,158 Crore</t>
  </si>
  <si>
    <t>Market Capitalisation</t>
  </si>
  <si>
    <t>₹1,32,602 Crore (as on 31 Mar 2025)</t>
  </si>
  <si>
    <t>Debt Status</t>
  </si>
  <si>
    <t>Debt-free (despite significant capex in FY25)</t>
  </si>
  <si>
    <t>Cement Capacity (FY25)</t>
  </si>
  <si>
    <t>88.9 MTPA during FY25 → 100+ MTPA post Orient acquisition (April 2025)</t>
  </si>
  <si>
    <t>Tax Contribution</t>
  </si>
  <si>
    <t>₹16,648 Crore paid to national exchequer</t>
  </si>
  <si>
    <t>Global Rank</t>
  </si>
  <si>
    <t>9th largest cement company globally after crossing 100 MTPA milestone</t>
  </si>
  <si>
    <t xml:space="preserve">  ◆  OPERATIONAL HIGHLIGHTS — FY 2024-25</t>
  </si>
  <si>
    <t>Cement Capacity Target</t>
  </si>
  <si>
    <t>118 MTPA by FY2026 | 140 MTPA by FY2028</t>
  </si>
  <si>
    <t>Plants of the Future</t>
  </si>
  <si>
    <t>Digital transformation programme across all plants — AI, IoT, automation, advanced analytics</t>
  </si>
  <si>
    <t>Integrated Units</t>
  </si>
  <si>
    <t>24 Integrated Plants | 22 Grinding Units | 11 Bulk Terminals | 102 RMC Plants</t>
  </si>
  <si>
    <t>Captive Ships</t>
  </si>
  <si>
    <t>11 captive ships for bulk sea-freight dispatch; strategic coastal logistics</t>
  </si>
  <si>
    <t>Distribution Network</t>
  </si>
  <si>
    <t>1,10,000+ channel partners across India; 31 States &amp; UTs; 635+ districts</t>
  </si>
  <si>
    <t>Ready-Mix Concrete</t>
  </si>
  <si>
    <t>102 RMC plants serving urban infra and institutional customers</t>
  </si>
  <si>
    <t>Key Growth Milestones</t>
  </si>
  <si>
    <t>Crossed 100 MTPA in just 30 months after Holcim acquisition (Aug 2022) — fastest growing cement business in India</t>
  </si>
  <si>
    <t>Acquisitions (FY25)</t>
  </si>
  <si>
    <t>Orient Cement (46.66% stake, Apr 2025 completion); adding 8.5 MTPA; Farakka expansion +2.4 MTPA</t>
  </si>
  <si>
    <t xml:space="preserve">  ◆  ESG &amp; SUSTAINABILITY</t>
  </si>
  <si>
    <t>Net Zero Commitment</t>
  </si>
  <si>
    <t>Net Zero by 2050; near-term 2030 targets validated by Science Based Targets initiative (SBTi)</t>
  </si>
  <si>
    <t>Water Positive</t>
  </si>
  <si>
    <t>India's first water-positive cement company — 12x water positive in FY 2024-25</t>
  </si>
  <si>
    <t>Renewable Energy</t>
  </si>
  <si>
    <t>28% renewable and green energy consumption; targeting 60% by FY2027-28; 1 GW renewable project underway</t>
  </si>
  <si>
    <t>Circular Economy</t>
  </si>
  <si>
    <t>8.1 MTPA of waste-derived resources used; Thermal Substitution Rate 9%; Plastic Negative 11x</t>
  </si>
  <si>
    <t>AFID Membership</t>
  </si>
  <si>
    <t>World's first cement company to join AFID (Alliance for Industry Decarbonization) — an IRENA initiative</t>
  </si>
  <si>
    <t>CSR</t>
  </si>
  <si>
    <t>₹50.27 Crore CSR spent; 3.48 million lives impacted; 1.5 million trees planted cumulatively</t>
  </si>
  <si>
    <t>Scope 1 Emissions</t>
  </si>
  <si>
    <t>537 kg/tonne of cementitious material; target 440 kg by 2030 (SBTi validated)</t>
  </si>
  <si>
    <t xml:space="preserve">  ◆  BRAND, RECOGNITION &amp; CERTIFICATIONS</t>
  </si>
  <si>
    <t>Brand Rankings</t>
  </si>
  <si>
    <t>India's Most Trusted Cement Brand (TRA Research) | Iconic Brand of India (Economic Times) — 3rd consecutive year</t>
  </si>
  <si>
    <t>Governance Rating</t>
  </si>
  <si>
    <t>'Good' rating in Indian Corporate Governance Scorecard 2024 by IIAS | 100% Board Committees chaired by Independent Directors</t>
  </si>
  <si>
    <t>ESG Awards FY25</t>
  </si>
  <si>
    <t>Golden Peacock Award 2024 (ESG excellence) | Arogya World Healthy Workplace Gold Award | 5-Star rating for RKBA Limestone Mine | ICC International OHS Platinum Award (Nalagarh, Sankrail, Bhatapara) | CII Energy Efficient Award | IconSWM-CE Excellence Award</t>
  </si>
  <si>
    <t>Product Certifications</t>
  </si>
  <si>
    <t>Ambuja Cement, Ambuja Plus, Ambuja Compocem &amp; Ambuja Kawach enlisted in GRIHA Green Product Catalogue</t>
  </si>
  <si>
    <t xml:space="preserve">  ◆  STRATEGIC PRIORITIES</t>
  </si>
  <si>
    <t>Capacity Leadership</t>
  </si>
  <si>
    <t>Scale to 140 MTPA by FY2027-28 via organic (greenfield/brownfield) + inorganic (acquisitions) growth</t>
  </si>
  <si>
    <t>Cost Leadership</t>
  </si>
  <si>
    <t>Becoming most cost-efficient cement manufacturer; streamlining logistics, optimising dispatch, self-reliant coal/limestone</t>
  </si>
  <si>
    <t>Digital Transformation</t>
  </si>
  <si>
    <t>AI, IoT, automation across value chain; NexGen Sales &amp; Reward Platform; Plants of the Future programme</t>
  </si>
  <si>
    <t>Sustainability &amp; ESG</t>
  </si>
  <si>
    <t>60% green power by FY2027-28; Net Zero by 2050; zero-carbon RDH™ technology with Finland's Coolbrook</t>
  </si>
  <si>
    <t>Ambuja Cements Limited — Promoter Shareholding Pattern  (Q4 FY2024-25)</t>
  </si>
  <si>
    <t>Category of Shareholder</t>
  </si>
  <si>
    <t>No. of Shareholders</t>
  </si>
  <si>
    <t>Shares Held</t>
  </si>
  <si>
    <t>Stake %</t>
  </si>
  <si>
    <t>A1)  Indian Promoters</t>
  </si>
  <si>
    <t xml:space="preserve">  Any Other (specify)</t>
  </si>
  <si>
    <t>1</t>
  </si>
  <si>
    <t>87,00,000</t>
  </si>
  <si>
    <t>0.35%</t>
  </si>
  <si>
    <t xml:space="preserve">     Adani Enterprises Limited</t>
  </si>
  <si>
    <t>Sub Total A1 — Indian</t>
  </si>
  <si>
    <t>A2)  Foreign Promoters</t>
  </si>
  <si>
    <t>3</t>
  </si>
  <si>
    <t>1,66,33,81,052</t>
  </si>
  <si>
    <t>66.98%</t>
  </si>
  <si>
    <t xml:space="preserve">     Endeavour Trade and Investment Limited</t>
  </si>
  <si>
    <t>7,02,442</t>
  </si>
  <si>
    <t>0.03%</t>
  </si>
  <si>
    <t xml:space="preserve">     Harmonia Trade and Investment Ltd</t>
  </si>
  <si>
    <t>47,74,78,249</t>
  </si>
  <si>
    <t>19.23%</t>
  </si>
  <si>
    <t xml:space="preserve">     Holderind Investments Ltd</t>
  </si>
  <si>
    <t>1,18,52,00,361</t>
  </si>
  <si>
    <t>47.72%</t>
  </si>
  <si>
    <t>Sub Total A2 — Foreign</t>
  </si>
  <si>
    <t>TOTAL PROMOTER  (A = A1 + A2)</t>
  </si>
  <si>
    <t>4</t>
  </si>
  <si>
    <t>1,67,20,81,052</t>
  </si>
  <si>
    <t>67.33%</t>
  </si>
  <si>
    <t>Ambuja Cements Limited — Public Shareholding Detail  (Q4 FY2024-25)</t>
  </si>
  <si>
    <t>B1)  Domestic Institutional Investors (DII)</t>
  </si>
  <si>
    <t xml:space="preserve">  Mutual Funds</t>
  </si>
  <si>
    <t>53</t>
  </si>
  <si>
    <t>21,68,21,219</t>
  </si>
  <si>
    <t>8.73%</t>
  </si>
  <si>
    <t xml:space="preserve">     Mirae Asset Large Cap Fund</t>
  </si>
  <si>
    <t>3,29,82,563</t>
  </si>
  <si>
    <t>1.33%</t>
  </si>
  <si>
    <t xml:space="preserve">     Mirae Asset Large Cap Fund (SIP Tranche)</t>
  </si>
  <si>
    <t>4,34,16,130</t>
  </si>
  <si>
    <t>1.75%</t>
  </si>
  <si>
    <t xml:space="preserve">     HDFC Large Cap Fund</t>
  </si>
  <si>
    <t>5,15,40,443</t>
  </si>
  <si>
    <t>2.08%</t>
  </si>
  <si>
    <t xml:space="preserve">  Alternate Investment Funds</t>
  </si>
  <si>
    <t>12</t>
  </si>
  <si>
    <t>8,46,032</t>
  </si>
  <si>
    <t xml:space="preserve">  Banks</t>
  </si>
  <si>
    <t>17</t>
  </si>
  <si>
    <t>1,27,315</t>
  </si>
  <si>
    <t>0.01%</t>
  </si>
  <si>
    <t xml:space="preserve">  Insurance Companies</t>
  </si>
  <si>
    <t>21</t>
  </si>
  <si>
    <t>21,96,57,802</t>
  </si>
  <si>
    <t>8.84%</t>
  </si>
  <si>
    <t xml:space="preserve">     Life Insurance Corporation of India</t>
  </si>
  <si>
    <t>18,07,93,420</t>
  </si>
  <si>
    <t>7.28%</t>
  </si>
  <si>
    <t xml:space="preserve">  Provident Funds / Pension Funds</t>
  </si>
  <si>
    <t>4,99,24,778</t>
  </si>
  <si>
    <t>2.01%</t>
  </si>
  <si>
    <t xml:space="preserve">     NPS Trust — SBI Pension Fund (State Govt)</t>
  </si>
  <si>
    <t xml:space="preserve">  Sovereign Wealth Funds</t>
  </si>
  <si>
    <t>2</t>
  </si>
  <si>
    <t>51,53,529</t>
  </si>
  <si>
    <t>0.21%</t>
  </si>
  <si>
    <t xml:space="preserve">  NBFCs (RBI Registered)</t>
  </si>
  <si>
    <t>8</t>
  </si>
  <si>
    <t>67,668</t>
  </si>
  <si>
    <t>0.00%</t>
  </si>
  <si>
    <t xml:space="preserve">  Other Financial Institutions</t>
  </si>
  <si>
    <t>5</t>
  </si>
  <si>
    <t>21,000</t>
  </si>
  <si>
    <t>Sub Total B1 — DII</t>
  </si>
  <si>
    <t>119</t>
  </si>
  <si>
    <t>49,26,19,343</t>
  </si>
  <si>
    <t>19.84%</t>
  </si>
  <si>
    <t>B2)  Foreign Institutional Investors (FII)</t>
  </si>
  <si>
    <t xml:space="preserve">  FPI — Category I</t>
  </si>
  <si>
    <t>455</t>
  </si>
  <si>
    <t>14,00,84,991</t>
  </si>
  <si>
    <t>5.64%</t>
  </si>
  <si>
    <t xml:space="preserve">  FPI — Category II</t>
  </si>
  <si>
    <t>27</t>
  </si>
  <si>
    <t>46,63,938</t>
  </si>
  <si>
    <t>0.19%</t>
  </si>
  <si>
    <t xml:space="preserve">  Foreign Institutional Investors (Other)</t>
  </si>
  <si>
    <t>9</t>
  </si>
  <si>
    <t>61,275</t>
  </si>
  <si>
    <t>Sub Total B2 — FII</t>
  </si>
  <si>
    <t>491</t>
  </si>
  <si>
    <t>14,48,10,204</t>
  </si>
  <si>
    <t>5.83%</t>
  </si>
  <si>
    <t>B3)  Central Government / President of India</t>
  </si>
  <si>
    <t xml:space="preserve">  Central Government / President of India</t>
  </si>
  <si>
    <t>37,747</t>
  </si>
  <si>
    <t>Sub Total B3</t>
  </si>
  <si>
    <t>B4)  Non-Institutions (Retail &amp; Others)</t>
  </si>
  <si>
    <t xml:space="preserve">  IEPF</t>
  </si>
  <si>
    <t>50,34,848</t>
  </si>
  <si>
    <t>0.20%</t>
  </si>
  <si>
    <t xml:space="preserve">  Resident Individuals  (up to ₹2 lakh capital)</t>
  </si>
  <si>
    <t>5,91,674</t>
  </si>
  <si>
    <t>11,36,89,930</t>
  </si>
  <si>
    <t>4.58%</t>
  </si>
  <si>
    <t xml:space="preserve">  Resident Individuals  (above ₹2 lakh capital)</t>
  </si>
  <si>
    <t>39</t>
  </si>
  <si>
    <t>2,28,56,436</t>
  </si>
  <si>
    <t>0.92%</t>
  </si>
  <si>
    <t xml:space="preserve">  Non-Resident Indians (NRIs)</t>
  </si>
  <si>
    <t>12,527</t>
  </si>
  <si>
    <t>1,12,51,148</t>
  </si>
  <si>
    <t>0.45%</t>
  </si>
  <si>
    <t xml:space="preserve">  Bodies Corporate</t>
  </si>
  <si>
    <t>1,771</t>
  </si>
  <si>
    <t>1,64,41,809</t>
  </si>
  <si>
    <t>0.66%</t>
  </si>
  <si>
    <t xml:space="preserve">  Any Other (Trusts, Clearing Members, HUF etc.)</t>
  </si>
  <si>
    <t>6,788</t>
  </si>
  <si>
    <t>46,36,597</t>
  </si>
  <si>
    <t xml:space="preserve">  Foreign Nationals</t>
  </si>
  <si>
    <t>18,459</t>
  </si>
  <si>
    <t>Sub Total B4 — Retail &amp; Others</t>
  </si>
  <si>
    <t>6,12,805</t>
  </si>
  <si>
    <t>17,39,29,227</t>
  </si>
  <si>
    <t>7.00%</t>
  </si>
  <si>
    <t>TOTAL PUBLIC  (B = B1 + B2 + B3 + B4)</t>
  </si>
  <si>
    <t>6,13,416</t>
  </si>
  <si>
    <t>81,13,96,521</t>
  </si>
  <si>
    <t>32.67%</t>
  </si>
  <si>
    <t>Consolidated Statement of Profit and Loss</t>
  </si>
  <si>
    <t>(₹ in Crore)</t>
  </si>
  <si>
    <t>Particulars</t>
  </si>
  <si>
    <t>Dec 31, 2019</t>
  </si>
  <si>
    <t>Dec 31, 2020</t>
  </si>
  <si>
    <t>Dec 31, 2021</t>
  </si>
  <si>
    <t>Mar 31, 2023
(15 months)</t>
  </si>
  <si>
    <t>Mar 31, 2024</t>
  </si>
  <si>
    <t>Mar 31, 2025</t>
  </si>
  <si>
    <t>INCOME</t>
  </si>
  <si>
    <t>a) Revenue from operations</t>
  </si>
  <si>
    <t>b) Government grants incl. duty credits</t>
  </si>
  <si>
    <t>-</t>
  </si>
  <si>
    <t>c) Other income</t>
  </si>
  <si>
    <t>Total Income</t>
  </si>
  <si>
    <t>EXPENSES</t>
  </si>
  <si>
    <t>a) Cost of materials consumed</t>
  </si>
  <si>
    <t>b) Purchase of stock-in-trade</t>
  </si>
  <si>
    <t>c) Changes in inventories of FG, WIP</t>
  </si>
  <si>
    <t>d) Employee benefits expense</t>
  </si>
  <si>
    <t>e) Finance costs</t>
  </si>
  <si>
    <t>f) Depreciation and amortisation expense</t>
  </si>
  <si>
    <t>g) Power and fuel</t>
  </si>
  <si>
    <t>h) Freight and forwarding expense</t>
  </si>
  <si>
    <t>i) Other expenses</t>
  </si>
  <si>
    <t xml:space="preserve">   Sub-total</t>
  </si>
  <si>
    <t>j) Self/Captive consumption of cement</t>
  </si>
  <si>
    <t>Total Expenses</t>
  </si>
  <si>
    <t>3  Profit before JV share, exceptional items and tax (1-2)</t>
  </si>
  <si>
    <t>4  Share of profit in JV and associates</t>
  </si>
  <si>
    <t>5  Profit before exceptional items and tax (3+4)</t>
  </si>
  <si>
    <t>6  Exceptional items Expense / (Income)</t>
  </si>
  <si>
    <t>7  Profit before tax (5-6)</t>
  </si>
  <si>
    <t>TAX EXPENSE</t>
  </si>
  <si>
    <t>a) Current tax (net)</t>
  </si>
  <si>
    <t>b) Tax adjustments - earlier years (net)</t>
  </si>
  <si>
    <t>c) Deferred tax charge / (credit)</t>
  </si>
  <si>
    <t>Total tax expense (8)</t>
  </si>
  <si>
    <t>9  Profit after tax / for the year (7-8)</t>
  </si>
  <si>
    <t>OTHER COMPREHENSIVE INCOME</t>
  </si>
  <si>
    <t>a) Remeasurement gains/(losses) on defined benefit plans</t>
  </si>
  <si>
    <t>b) Share of remeasurement - JV/associates</t>
  </si>
  <si>
    <t xml:space="preserve">   Income tax effect on above</t>
  </si>
  <si>
    <t xml:space="preserve">   Foreign currency translation reserve</t>
  </si>
  <si>
    <t>Total OCI (net of tax) (10)</t>
  </si>
  <si>
    <t>11 Total comprehensive income for the year (9+10)</t>
  </si>
  <si>
    <t>ATTRIBUTABLE TO</t>
  </si>
  <si>
    <t>12 Profit for the year attributable to:</t>
  </si>
  <si>
    <t xml:space="preserve">   - Owners of the Company</t>
  </si>
  <si>
    <t xml:space="preserve">   - Non-controlling interest</t>
  </si>
  <si>
    <t>13 Other comprehensive income attributable to:</t>
  </si>
  <si>
    <t>14 Total comprehensive income attributable to:</t>
  </si>
  <si>
    <t>EARNINGS PER SHARE  (₹2 face value)</t>
  </si>
  <si>
    <t>15 Basic EPS (₹)</t>
  </si>
  <si>
    <t xml:space="preserve">   Diluted EPS (₹)</t>
  </si>
  <si>
    <t>Source: Ambuja Cements Limited Annual Reports (2020, 2021, 2022-23, 2023-24, 2024-25)</t>
  </si>
  <si>
    <t>Note: Dec 2019/2020/2021 = calendar year-end | Mar 2023 = 15-month period (Jan 2022–Mar 2023) | Mar 2024 = as originally reported in 2023-24 Annual Report</t>
  </si>
  <si>
    <t>Capital Structure</t>
  </si>
  <si>
    <t>Total Debt</t>
  </si>
  <si>
    <t>(Borrowings + Lease Liabilities)</t>
  </si>
  <si>
    <t>Total Equity</t>
  </si>
  <si>
    <t>no of shares outstanding</t>
  </si>
  <si>
    <t>CMP (Rs.):</t>
  </si>
  <si>
    <t>Source: BSE/NSE (FY2025)</t>
  </si>
  <si>
    <t>Total Mix (Debt + Equity)</t>
  </si>
  <si>
    <t>equity share capital/face valueper share</t>
  </si>
  <si>
    <t>% of Debt</t>
  </si>
  <si>
    <t>% of Equity</t>
  </si>
  <si>
    <t>Debt to Equity</t>
  </si>
  <si>
    <t>Cost of Equity (CAPM)</t>
  </si>
  <si>
    <t>Risk-free Rate (Rf)</t>
  </si>
  <si>
    <t>Source: RBI 10-year Government Securities yield (FY2025)</t>
  </si>
  <si>
    <t>Beta (β)</t>
  </si>
  <si>
    <t>Market Risk Premium (Rm - Rf)</t>
  </si>
  <si>
    <t>Source: India Equity Risk Premium (Damodaran estimate)</t>
  </si>
  <si>
    <t>Cost of Equity [Ke = Rf + β×(Rm-Rf)]</t>
  </si>
  <si>
    <t>Cost of Debt</t>
  </si>
  <si>
    <t>Finance Cost (FY2025)</t>
  </si>
  <si>
    <t>Total Debt (FY2025)</t>
  </si>
  <si>
    <t>Pre-tax Cost of Debt [Kd = FC/Debt]</t>
  </si>
  <si>
    <t>Tax Rate</t>
  </si>
  <si>
    <t>Post-tax Cost of Debt [Kd*(1-T)]</t>
  </si>
  <si>
    <t>WACC</t>
  </si>
  <si>
    <t>Source</t>
  </si>
  <si>
    <t>Weight</t>
  </si>
  <si>
    <t>Cost</t>
  </si>
  <si>
    <t>Weighted Cost</t>
  </si>
  <si>
    <t>Debt</t>
  </si>
  <si>
    <t>Equity</t>
  </si>
  <si>
    <t>(Check: weights = 100%)</t>
  </si>
  <si>
    <t>wacc = we*ke+wd*kd</t>
  </si>
  <si>
    <t>Consolidated Statement of Cash Flows</t>
  </si>
  <si>
    <t>A) CASH FLOWS FROM OPERATING ACTIVITIES</t>
  </si>
  <si>
    <t>Profit before tax</t>
  </si>
  <si>
    <t>Adjustments to reconcile profit before tax to net cash flows:</t>
  </si>
  <si>
    <t xml:space="preserve">  Depreciation and amortisation expense</t>
  </si>
  <si>
    <t xml:space="preserve">  Exceptional item / Provision for restructuring cost</t>
  </si>
  <si>
    <t xml:space="preserve">  Exceptional Items - Expense / (Income)</t>
  </si>
  <si>
    <t xml:space="preserve">  Expected credit loss on non current financial assets</t>
  </si>
  <si>
    <t xml:space="preserve">  (Gain) / Loss on PP&amp;E sold, discarded and written off (net)</t>
  </si>
  <si>
    <t xml:space="preserve">  Loss on buy back of shares of joint venture</t>
  </si>
  <si>
    <t xml:space="preserve">  Gain on sale of current financial assets measured at FVTPL</t>
  </si>
  <si>
    <t xml:space="preserve">  Gain on sale of investment in subsidiary company</t>
  </si>
  <si>
    <t xml:space="preserve">  Net gain on fair valuation of liquid mutual fund measured at FVTPL</t>
  </si>
  <si>
    <t xml:space="preserve">  Finance costs</t>
  </si>
  <si>
    <t xml:space="preserve">  Interest income</t>
  </si>
  <si>
    <t xml:space="preserve">  Provision for slow and non moving spares (net)</t>
  </si>
  <si>
    <t xml:space="preserve">  Impairment loss / (Reversal) on trade receivable (net)</t>
  </si>
  <si>
    <t xml:space="preserve">  Discounting income on interest free loan / Unwinding of discounting charge</t>
  </si>
  <si>
    <t xml:space="preserve">  Unrealised exchange (gain) / loss (net)</t>
  </si>
  <si>
    <t xml:space="preserve">  Fair value movement in derivative instruments</t>
  </si>
  <si>
    <t xml:space="preserve">  Interest on income tax written back</t>
  </si>
  <si>
    <t xml:space="preserve">  Provisions no longer required written back</t>
  </si>
  <si>
    <t xml:space="preserve">  Compensation Expenses under Employees Stock Options Scheme</t>
  </si>
  <si>
    <t xml:space="preserve">  Inventories written off</t>
  </si>
  <si>
    <t xml:space="preserve">  Impairment of goodwill in subsidiary company</t>
  </si>
  <si>
    <t xml:space="preserve">  Provisions / (Reversal) for doubtful advances (net)</t>
  </si>
  <si>
    <t xml:space="preserve">  Bad debts and claims written off / written back (net)</t>
  </si>
  <si>
    <t xml:space="preserve">  Unrealised share of profit in associates and joint ventures</t>
  </si>
  <si>
    <t xml:space="preserve">  Other non cash items</t>
  </si>
  <si>
    <t>Operating profit before working capital changes</t>
  </si>
  <si>
    <t>Changes in Working Capital</t>
  </si>
  <si>
    <t xml:space="preserve">  Decrease / (Increase) in Trade receivables, loans &amp; advances and other assets</t>
  </si>
  <si>
    <t xml:space="preserve">  Decrease / (Increase) in Inventories</t>
  </si>
  <si>
    <t xml:space="preserve">  (Increase) / Decrease in Inventories</t>
  </si>
  <si>
    <t xml:space="preserve">  (Increase) / Decrease in Trade Receivables</t>
  </si>
  <si>
    <t xml:space="preserve">  (Increase) / Decrease in Other Financial Assets</t>
  </si>
  <si>
    <t xml:space="preserve">  (Increase) / Decrease in Other Assets</t>
  </si>
  <si>
    <t xml:space="preserve">  Increase / (Decrease) in Trade payables, other liabilities and provisions</t>
  </si>
  <si>
    <t xml:space="preserve">  Increase / (Decrease) in Trade Payables</t>
  </si>
  <si>
    <t xml:space="preserve">  Increase / (Decrease) in Provisions</t>
  </si>
  <si>
    <t xml:space="preserve">  Increase / (Decrease) in Other Financial Liabilities</t>
  </si>
  <si>
    <t xml:space="preserve">  Increase / (Decrease) in Other Liabilities</t>
  </si>
  <si>
    <t>Cash generated from operations</t>
  </si>
  <si>
    <t xml:space="preserve">  Direct taxes paid (net of refunds)</t>
  </si>
  <si>
    <t>Net cash flow from operating activities (A)</t>
  </si>
  <si>
    <t>B) CASH FLOWS FROM INVESTING ACTIVITIES</t>
  </si>
  <si>
    <t xml:space="preserve">  Purchase of PP&amp;E, intangibles etc. (incl. CWIP and capital advances)</t>
  </si>
  <si>
    <t xml:space="preserve">  Proceeds from sale of PP&amp;E and other intangible assets</t>
  </si>
  <si>
    <t xml:space="preserve">  Inter corporate deposits given</t>
  </si>
  <si>
    <t xml:space="preserve">  Inter corporate deposits received back</t>
  </si>
  <si>
    <t xml:space="preserve">  Proceeds from sale of investment in Subsidiary Company</t>
  </si>
  <si>
    <t xml:space="preserve">  Proceeds from buyback of shares of joint venture</t>
  </si>
  <si>
    <t xml:space="preserve">  Payment received against loans given to joint venture</t>
  </si>
  <si>
    <t xml:space="preserve">  Gain on sale of current financial assets (FVTPL)</t>
  </si>
  <si>
    <t xml:space="preserve">  Investments in bank deposits (original maturity &gt;3 months, ≤12 months)</t>
  </si>
  <si>
    <t xml:space="preserve">  Redemption of bank deposits (original maturity &gt;3 months, ≤12 months)</t>
  </si>
  <si>
    <t xml:space="preserve">  (Investment) / Redemption in bank and margin money deposits (&gt;3 months)</t>
  </si>
  <si>
    <t xml:space="preserve">  Investments in bank deposits (original maturity &gt;12 months)</t>
  </si>
  <si>
    <t xml:space="preserve">  Redemption of bank deposits (original maturity &gt;12 months)</t>
  </si>
  <si>
    <t xml:space="preserve">  Purchase of non current investment / Investment in equity shares</t>
  </si>
  <si>
    <t xml:space="preserve">  Investment in certificate of deposits</t>
  </si>
  <si>
    <t xml:space="preserve">  Redemption of certificate of deposits</t>
  </si>
  <si>
    <t xml:space="preserve">  Investments in government securities (net)</t>
  </si>
  <si>
    <t xml:space="preserve">  Payment made towards acquisition of Subsidiary Companies</t>
  </si>
  <si>
    <t xml:space="preserve">  Payment made towards acquisition of Business Unit</t>
  </si>
  <si>
    <t xml:space="preserve">  Proceeds due to adjustment of purchase consideration paid earlier</t>
  </si>
  <si>
    <t xml:space="preserve">  Investment in optionally convertible debentures</t>
  </si>
  <si>
    <t xml:space="preserve">  Proceeds from sale of units of mutual funds (net)</t>
  </si>
  <si>
    <t xml:space="preserve">  Dividend received from joint venture and associates</t>
  </si>
  <si>
    <t xml:space="preserve">  Interest received</t>
  </si>
  <si>
    <t>Net cash used in investing activities (B)</t>
  </si>
  <si>
    <t>C) CASH FLOWS FROM FINANCING ACTIVITIES</t>
  </si>
  <si>
    <t xml:space="preserve">  Proceeds from non-current borrowings</t>
  </si>
  <si>
    <t xml:space="preserve">  Repayment of non-current borrowings</t>
  </si>
  <si>
    <t xml:space="preserve">  Interest paid / Finance Costs Paid</t>
  </si>
  <si>
    <t xml:space="preserve">  Repayment / Payment of principal portion of lease liabilities</t>
  </si>
  <si>
    <t xml:space="preserve">  Interest portion of lease repayment</t>
  </si>
  <si>
    <t xml:space="preserve">  Net movement in earmarked balances with banks</t>
  </si>
  <si>
    <t xml:space="preserve">  Money received against share warrants</t>
  </si>
  <si>
    <t xml:space="preserve">  Dividend paid on equity shares</t>
  </si>
  <si>
    <t xml:space="preserve">  Dividend paid to Non-controlling Interest</t>
  </si>
  <si>
    <t>Net cash used in / generated from financing activities (C)</t>
  </si>
  <si>
    <t>Net increase / (decrease) in cash and cash equivalents (A + B + C)</t>
  </si>
  <si>
    <t>Cash and cash equivalents</t>
  </si>
  <si>
    <t xml:space="preserve">  Cash and cash equivalents at the end of the year</t>
  </si>
  <si>
    <t xml:space="preserve">  Cash and cash equivalents related to entity held for sale (end)</t>
  </si>
  <si>
    <t xml:space="preserve">  Transfer on sale of investment in subsidiary</t>
  </si>
  <si>
    <t xml:space="preserve">  Adjustment for fair value gain on liquid mutual funds measured at FVTPL</t>
  </si>
  <si>
    <t xml:space="preserve">  Closing cash and cash equivalents (net)</t>
  </si>
  <si>
    <t xml:space="preserve">  Cash and cash equivalents at the beginning of the year</t>
  </si>
  <si>
    <t xml:space="preserve">  Cash and cash equivalents related to entity held for sale (beginning)</t>
  </si>
  <si>
    <t xml:space="preserve">  Opening cash and cash equivalents (net)</t>
  </si>
  <si>
    <t>Net increase / (decrease) in cash and cash equivalents</t>
  </si>
  <si>
    <t>Date</t>
  </si>
  <si>
    <t>Close Price (Ambuja Cement)</t>
  </si>
  <si>
    <t>Close Price (Nifty)</t>
  </si>
  <si>
    <t>Rm Ambuja Cement)</t>
  </si>
  <si>
    <t>Rm Nifty</t>
  </si>
  <si>
    <t>Beta</t>
  </si>
  <si>
    <t>Covariance</t>
  </si>
  <si>
    <t>156.64999389648438</t>
  </si>
  <si>
    <t>8253.7998046875</t>
  </si>
  <si>
    <t>8083.7998046875</t>
  </si>
  <si>
    <t>8792.2001953125</t>
  </si>
  <si>
    <t>149.6999969482422</t>
  </si>
  <si>
    <t>158.8000030517578</t>
  </si>
  <si>
    <t>SUMMARY OUTPUT</t>
  </si>
  <si>
    <t>168.5500030517578</t>
  </si>
  <si>
    <t>8925.2998046875</t>
  </si>
  <si>
    <t>Regression Statistics</t>
  </si>
  <si>
    <t>169.6999969482422</t>
  </si>
  <si>
    <t>8992.7998046875</t>
  </si>
  <si>
    <t>Multiple R</t>
  </si>
  <si>
    <t>172.9499969482422</t>
  </si>
  <si>
    <t>R Square</t>
  </si>
  <si>
    <t>170.3000030517578</t>
  </si>
  <si>
    <t>Adjusted R Square</t>
  </si>
  <si>
    <t>167.5500030517578</t>
  </si>
  <si>
    <t>8981.4501953125</t>
  </si>
  <si>
    <t>Standard Error</t>
  </si>
  <si>
    <t>9187.2998046875</t>
  </si>
  <si>
    <t>Observations</t>
  </si>
  <si>
    <t>171.4499969482422</t>
  </si>
  <si>
    <t>167.9499969482422</t>
  </si>
  <si>
    <t>ANOVA</t>
  </si>
  <si>
    <t>172.3000030517578</t>
  </si>
  <si>
    <t>9282.2998046875</t>
  </si>
  <si>
    <t>df</t>
  </si>
  <si>
    <t>SS</t>
  </si>
  <si>
    <t>MS</t>
  </si>
  <si>
    <t>F</t>
  </si>
  <si>
    <t>Significance F</t>
  </si>
  <si>
    <t>167.6999969482422</t>
  </si>
  <si>
    <t>Regression</t>
  </si>
  <si>
    <t>Residual</t>
  </si>
  <si>
    <t>171.64999389648438</t>
  </si>
  <si>
    <t>Total</t>
  </si>
  <si>
    <t>162.35000610351562</t>
  </si>
  <si>
    <t>164.8000030517578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</si>
  <si>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</si>
  <si>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</si>
  <si>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</si>
  <si>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</si>
  <si>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</si>
  <si>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</si>
  <si>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</si>
  <si>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167.85000610351562</t>
  </si>
  <si>
    <t>Intercept</t>
  </si>
  <si>
    <t>168.60000610351562</t>
  </si>
  <si>
    <t>9199.0498046875</t>
  </si>
  <si>
    <t>X Variable 1</t>
  </si>
  <si>
    <t>169.35000610351562</t>
  </si>
  <si>
    <t>173.9499969482422</t>
  </si>
  <si>
    <t>9239.2001953125</t>
  </si>
  <si>
    <t>175.1999969482422</t>
  </si>
  <si>
    <t>9196.5498046875</t>
  </si>
  <si>
    <t>9383.5498046875</t>
  </si>
  <si>
    <t>181.8000030517578</t>
  </si>
  <si>
    <t>172.14999389648438</t>
  </si>
  <si>
    <t>174.60000610351562</t>
  </si>
  <si>
    <t>179.64999389648438</t>
  </si>
  <si>
    <t>9066.5498046875</t>
  </si>
  <si>
    <t>186.9499969482422</t>
  </si>
  <si>
    <t>188.5500030517578</t>
  </si>
  <si>
    <t>9029.0498046875</t>
  </si>
  <si>
    <t>187.4499969482422</t>
  </si>
  <si>
    <t>9314.9501953125</t>
  </si>
  <si>
    <t>191.3000030517578</t>
  </si>
  <si>
    <t>191.5500030517578</t>
  </si>
  <si>
    <t>9580.2998046875</t>
  </si>
  <si>
    <t>188.9499969482422</t>
  </si>
  <si>
    <t>191.1999969482422</t>
  </si>
  <si>
    <t>10061.5498046875</t>
  </si>
  <si>
    <t>10029.099609375</t>
  </si>
  <si>
    <t>195.10000610351562</t>
  </si>
  <si>
    <t>10142.150390625</t>
  </si>
  <si>
    <t>191.4499969482422</t>
  </si>
  <si>
    <t>10167.4501953125</t>
  </si>
  <si>
    <t>187.8000030517578</t>
  </si>
  <si>
    <t>10046.650390625</t>
  </si>
  <si>
    <t>10116.150390625</t>
  </si>
  <si>
    <t>193.6999969482422</t>
  </si>
  <si>
    <t>9813.7001953125</t>
  </si>
  <si>
    <t>190.60000610351562</t>
  </si>
  <si>
    <t>187.14999389648438</t>
  </si>
  <si>
    <t>187.35000610351562</t>
  </si>
  <si>
    <t>10091.650390625</t>
  </si>
  <si>
    <t>190.8000030517578</t>
  </si>
  <si>
    <t>10244.400390625</t>
  </si>
  <si>
    <t>191.10000610351562</t>
  </si>
  <si>
    <t>10311.2001953125</t>
  </si>
  <si>
    <t>188.6999969482422</t>
  </si>
  <si>
    <t>10305.2998046875</t>
  </si>
  <si>
    <t>10288.900390625</t>
  </si>
  <si>
    <t>187.5500030517578</t>
  </si>
  <si>
    <t>10312.400390625</t>
  </si>
  <si>
    <t>193.60000610351562</t>
  </si>
  <si>
    <t>10302.099609375</t>
  </si>
  <si>
    <t>192.1999969482422</t>
  </si>
  <si>
    <t>10430.0498046875</t>
  </si>
  <si>
    <t>10551.7001953125</t>
  </si>
  <si>
    <t>195.8000030517578</t>
  </si>
  <si>
    <t>10607.349609375</t>
  </si>
  <si>
    <t>193.89999389648438</t>
  </si>
  <si>
    <t>10763.650390625</t>
  </si>
  <si>
    <t>10799.650390625</t>
  </si>
  <si>
    <t>195.5500030517578</t>
  </si>
  <si>
    <t>10813.4501953125</t>
  </si>
  <si>
    <t>197.1999969482422</t>
  </si>
  <si>
    <t>10768.0498046875</t>
  </si>
  <si>
    <t>198.4499969482422</t>
  </si>
  <si>
    <t>10802.7001953125</t>
  </si>
  <si>
    <t>188.64999389648438</t>
  </si>
  <si>
    <t>10618.2001953125</t>
  </si>
  <si>
    <t>10739.9501953125</t>
  </si>
  <si>
    <t>193.4499969482422</t>
  </si>
  <si>
    <t>10901.7001953125</t>
  </si>
  <si>
    <t>195.6999969482422</t>
  </si>
  <si>
    <t>11022.2001953125</t>
  </si>
  <si>
    <t>204.9499969482422</t>
  </si>
  <si>
    <t>200.89999389648438</t>
  </si>
  <si>
    <t>11132.599609375</t>
  </si>
  <si>
    <t>197.9499969482422</t>
  </si>
  <si>
    <t>11215.4501953125</t>
  </si>
  <si>
    <t>200.9499969482422</t>
  </si>
  <si>
    <t>11194.150390625</t>
  </si>
  <si>
    <t>207.14999389648438</t>
  </si>
  <si>
    <t>11131.7998046875</t>
  </si>
  <si>
    <t>216.6999969482422</t>
  </si>
  <si>
    <t>11300.5498046875</t>
  </si>
  <si>
    <t>215.60000610351562</t>
  </si>
  <si>
    <t>11202.849609375</t>
  </si>
  <si>
    <t>11102.150390625</t>
  </si>
  <si>
    <t>220.10000610351562</t>
  </si>
  <si>
    <t>11073.4501953125</t>
  </si>
  <si>
    <t>221.14999389648438</t>
  </si>
  <si>
    <t>10891.599609375</t>
  </si>
  <si>
    <t>221.5500030517578</t>
  </si>
  <si>
    <t>220.89999389648438</t>
  </si>
  <si>
    <t>11101.650390625</t>
  </si>
  <si>
    <t>222.9499969482422</t>
  </si>
  <si>
    <t>11200.150390625</t>
  </si>
  <si>
    <t>219.5500030517578</t>
  </si>
  <si>
    <t>11214.0498046875</t>
  </si>
  <si>
    <t>221.85000610351562</t>
  </si>
  <si>
    <t>11270.150390625</t>
  </si>
  <si>
    <t>221.8000030517578</t>
  </si>
  <si>
    <t>11308.400390625</t>
  </si>
  <si>
    <t>11300.4501953125</t>
  </si>
  <si>
    <t>11178.400390625</t>
  </si>
  <si>
    <t>219.35000610351562</t>
  </si>
  <si>
    <t>11247.099609375</t>
  </si>
  <si>
    <t>228.1999969482422</t>
  </si>
  <si>
    <t>11385.349609375</t>
  </si>
  <si>
    <t>226.9499969482422</t>
  </si>
  <si>
    <t>11408.400390625</t>
  </si>
  <si>
    <t>225.35000610351562</t>
  </si>
  <si>
    <t>11312.2001953125</t>
  </si>
  <si>
    <t>225.9499969482422</t>
  </si>
  <si>
    <t>11371.599609375</t>
  </si>
  <si>
    <t>224.1999969482422</t>
  </si>
  <si>
    <t>11466.4501953125</t>
  </si>
  <si>
    <t>222.35000610351562</t>
  </si>
  <si>
    <t>220.85000610351562</t>
  </si>
  <si>
    <t>11549.599609375</t>
  </si>
  <si>
    <t>221.35000610351562</t>
  </si>
  <si>
    <t>222.4499969482422</t>
  </si>
  <si>
    <t>11647.599609375</t>
  </si>
  <si>
    <t>210.5500030517578</t>
  </si>
  <si>
    <t>214.60000610351562</t>
  </si>
  <si>
    <t>11527.4501953125</t>
  </si>
  <si>
    <t>11333.849609375</t>
  </si>
  <si>
    <t>11355.0498046875</t>
  </si>
  <si>
    <t>11317.349609375</t>
  </si>
  <si>
    <t>209.4499969482422</t>
  </si>
  <si>
    <t>212.9499969482422</t>
  </si>
  <si>
    <t>212.4499969482422</t>
  </si>
  <si>
    <t>11464.4501953125</t>
  </si>
  <si>
    <t>211.10000610351562</t>
  </si>
  <si>
    <t>11440.0498046875</t>
  </si>
  <si>
    <t>217.4499969482422</t>
  </si>
  <si>
    <t>11521.7998046875</t>
  </si>
  <si>
    <t>218.60000610351562</t>
  </si>
  <si>
    <t>11604.5498046875</t>
  </si>
  <si>
    <t>220.3000030517578</t>
  </si>
  <si>
    <t>11516.099609375</t>
  </si>
  <si>
    <t>11504.9501953125</t>
  </si>
  <si>
    <t>11250.5498046875</t>
  </si>
  <si>
    <t>206.8000030517578</t>
  </si>
  <si>
    <t>11153.650390625</t>
  </si>
  <si>
    <t>11131.849609375</t>
  </si>
  <si>
    <t>10805.5498046875</t>
  </si>
  <si>
    <t>211.64999389648438</t>
  </si>
  <si>
    <t>11227.5498046875</t>
  </si>
  <si>
    <t>216.64999389648438</t>
  </si>
  <si>
    <t>11222.400390625</t>
  </si>
  <si>
    <t>11247.5498046875</t>
  </si>
  <si>
    <t>221.1999969482422</t>
  </si>
  <si>
    <t>11416.9501953125</t>
  </si>
  <si>
    <t>11503.349609375</t>
  </si>
  <si>
    <t>225.3000030517578</t>
  </si>
  <si>
    <t>11662.400390625</t>
  </si>
  <si>
    <t>234.8000030517578</t>
  </si>
  <si>
    <t>11738.849609375</t>
  </si>
  <si>
    <t>238.14999389648438</t>
  </si>
  <si>
    <t>11834.599609375</t>
  </si>
  <si>
    <t>239.35000610351562</t>
  </si>
  <si>
    <t>11914.2001953125</t>
  </si>
  <si>
    <t>238.39999389648438</t>
  </si>
  <si>
    <t>11930.9501953125</t>
  </si>
  <si>
    <t>246.60000610351562</t>
  </si>
  <si>
    <t>11971.0498046875</t>
  </si>
  <si>
    <t>243.35000610351562</t>
  </si>
  <si>
    <t>11680.349609375</t>
  </si>
  <si>
    <t>11762.4501953125</t>
  </si>
  <si>
    <t>247.60000610351562</t>
  </si>
  <si>
    <t>11873.0498046875</t>
  </si>
  <si>
    <t>251.4499969482422</t>
  </si>
  <si>
    <t>11896.7998046875</t>
  </si>
  <si>
    <t>253.35000610351562</t>
  </si>
  <si>
    <t>11937.650390625</t>
  </si>
  <si>
    <t>253.60000610351562</t>
  </si>
  <si>
    <t>11896.4501953125</t>
  </si>
  <si>
    <t>247.39999389648438</t>
  </si>
  <si>
    <t>11930.349609375</t>
  </si>
  <si>
    <t>245.0500030517578</t>
  </si>
  <si>
    <t>255.85000610351562</t>
  </si>
  <si>
    <t>11889.400390625</t>
  </si>
  <si>
    <t>251.8000030517578</t>
  </si>
  <si>
    <t>11729.599609375</t>
  </si>
  <si>
    <t>11670.7998046875</t>
  </si>
  <si>
    <t>259.70001220703125</t>
  </si>
  <si>
    <t>11642.400390625</t>
  </si>
  <si>
    <t>11669.150390625</t>
  </si>
  <si>
    <t>264.3999938964844</t>
  </si>
  <si>
    <t>12120.2998046875</t>
  </si>
  <si>
    <t>12263.5498046875</t>
  </si>
  <si>
    <t>249.3000030517578</t>
  </si>
  <si>
    <t>12461.0498046875</t>
  </si>
  <si>
    <t>249.89999389648438</t>
  </si>
  <si>
    <t>12631.099609375</t>
  </si>
  <si>
    <t>12749.150390625</t>
  </si>
  <si>
    <t>262.8500061035156</t>
  </si>
  <si>
    <t>12690.7998046875</t>
  </si>
  <si>
    <t>257.70001220703125</t>
  </si>
  <si>
    <t>12719.9501953125</t>
  </si>
  <si>
    <t>268.04998779296875</t>
  </si>
  <si>
    <t>12874.2001953125</t>
  </si>
  <si>
    <t>258.70001220703125</t>
  </si>
  <si>
    <t>12771.7001953125</t>
  </si>
  <si>
    <t>257.1000061035156</t>
  </si>
  <si>
    <t>12859.0498046875</t>
  </si>
  <si>
    <t>258.1499938964844</t>
  </si>
  <si>
    <t>12926.4501953125</t>
  </si>
  <si>
    <t>255.14999389648438</t>
  </si>
  <si>
    <t>13055.150390625</t>
  </si>
  <si>
    <t>256.20001220703125</t>
  </si>
  <si>
    <t>12858.400390625</t>
  </si>
  <si>
    <t>261.04998779296875</t>
  </si>
  <si>
    <t>12968.9501953125</t>
  </si>
  <si>
    <t>13109.0498046875</t>
  </si>
  <si>
    <t>261.1000061035156</t>
  </si>
  <si>
    <t>13133.900390625</t>
  </si>
  <si>
    <t>252.5500030517578</t>
  </si>
  <si>
    <t>13258.5498046875</t>
  </si>
  <si>
    <t>253.10000610351562</t>
  </si>
  <si>
    <t>13392.9501953125</t>
  </si>
  <si>
    <t>252.85000610351562</t>
  </si>
  <si>
    <t>13529.099609375</t>
  </si>
  <si>
    <t>248.3000030517578</t>
  </si>
  <si>
    <t>13478.2998046875</t>
  </si>
  <si>
    <t>245.8000030517578</t>
  </si>
  <si>
    <t>13513.849609375</t>
  </si>
  <si>
    <t>246.4499969482422</t>
  </si>
  <si>
    <t>13558.150390625</t>
  </si>
  <si>
    <t>13567.849609375</t>
  </si>
  <si>
    <t>13682.7001953125</t>
  </si>
  <si>
    <t>13740.7001953125</t>
  </si>
  <si>
    <t>251.0500030517578</t>
  </si>
  <si>
    <t>13760.5498046875</t>
  </si>
  <si>
    <t>235.39999389648438</t>
  </si>
  <si>
    <t>13328.400390625</t>
  </si>
  <si>
    <t>237.60000610351562</t>
  </si>
  <si>
    <t>13466.2998046875</t>
  </si>
  <si>
    <t>237.1999969482422</t>
  </si>
  <si>
    <t>13601.099609375</t>
  </si>
  <si>
    <t>246.6999969482422</t>
  </si>
  <si>
    <t>247.1999969482422</t>
  </si>
  <si>
    <t>13873.2001953125</t>
  </si>
  <si>
    <t>244.39999389648438</t>
  </si>
  <si>
    <t>13932.599609375</t>
  </si>
  <si>
    <t>252.39999389648438</t>
  </si>
  <si>
    <t>13981.9501953125</t>
  </si>
  <si>
    <t>248.85000610351562</t>
  </si>
  <si>
    <t>250.85000610351562</t>
  </si>
  <si>
    <t>252.89999389648438</t>
  </si>
  <si>
    <t>14132.900390625</t>
  </si>
  <si>
    <t>254.1999969482422</t>
  </si>
  <si>
    <t>14137.349609375</t>
  </si>
  <si>
    <t>269.95001220703125</t>
  </si>
  <si>
    <t>270.3500061035156</t>
  </si>
  <si>
    <t>268.1000061035156</t>
  </si>
  <si>
    <t>14563.4501953125</t>
  </si>
  <si>
    <t>264.8999938964844</t>
  </si>
  <si>
    <t>14564.849609375</t>
  </si>
  <si>
    <t>267.04998779296875</t>
  </si>
  <si>
    <t>14595.599609375</t>
  </si>
  <si>
    <t>264.1000061035156</t>
  </si>
  <si>
    <t>14433.7001953125</t>
  </si>
  <si>
    <t>256.04998779296875</t>
  </si>
  <si>
    <t>14281.2998046875</t>
  </si>
  <si>
    <t>261.95001220703125</t>
  </si>
  <si>
    <t>14521.150390625</t>
  </si>
  <si>
    <t>262.1000061035156</t>
  </si>
  <si>
    <t>14644.7001953125</t>
  </si>
  <si>
    <t>14590.349609375</t>
  </si>
  <si>
    <t>14371.900390625</t>
  </si>
  <si>
    <t>14238.900390625</t>
  </si>
  <si>
    <t>13817.5498046875</t>
  </si>
  <si>
    <t>13634.599609375</t>
  </si>
  <si>
    <t>260.79998779296875</t>
  </si>
  <si>
    <t>14281.2001953125</t>
  </si>
  <si>
    <t>14647.849609375</t>
  </si>
  <si>
    <t>268.95001220703125</t>
  </si>
  <si>
    <t>14789.9501953125</t>
  </si>
  <si>
    <t>14895.650390625</t>
  </si>
  <si>
    <t>271.29998779296875</t>
  </si>
  <si>
    <t>274.3500061035156</t>
  </si>
  <si>
    <t>15115.7998046875</t>
  </si>
  <si>
    <t>270.54998779296875</t>
  </si>
  <si>
    <t>15109.2998046875</t>
  </si>
  <si>
    <t>271.8999938964844</t>
  </si>
  <si>
    <t>276.8999938964844</t>
  </si>
  <si>
    <t>15173.2998046875</t>
  </si>
  <si>
    <t>277.45001220703125</t>
  </si>
  <si>
    <t>15163.2998046875</t>
  </si>
  <si>
    <t>283.3999938964844</t>
  </si>
  <si>
    <t>15314.7001953125</t>
  </si>
  <si>
    <t>284.04998779296875</t>
  </si>
  <si>
    <t>15313.4501953125</t>
  </si>
  <si>
    <t>286.6499938964844</t>
  </si>
  <si>
    <t>15208.900390625</t>
  </si>
  <si>
    <t>282.79998779296875</t>
  </si>
  <si>
    <t>15118.9501953125</t>
  </si>
  <si>
    <t>275.29998779296875</t>
  </si>
  <si>
    <t>266.95001220703125</t>
  </si>
  <si>
    <t>14675.7001953125</t>
  </si>
  <si>
    <t>264.70001220703125</t>
  </si>
  <si>
    <t>14707.7998046875</t>
  </si>
  <si>
    <t>268.3999938964844</t>
  </si>
  <si>
    <t>279.70001220703125</t>
  </si>
  <si>
    <t>15097.349609375</t>
  </si>
  <si>
    <t>14529.150390625</t>
  </si>
  <si>
    <t>277.8999938964844</t>
  </si>
  <si>
    <t>14761.5498046875</t>
  </si>
  <si>
    <t>278.79998779296875</t>
  </si>
  <si>
    <t>14919.099609375</t>
  </si>
  <si>
    <t>282.1000061035156</t>
  </si>
  <si>
    <t>15245.599609375</t>
  </si>
  <si>
    <t>284.79998779296875</t>
  </si>
  <si>
    <t>14938.099609375</t>
  </si>
  <si>
    <t>14956.2001953125</t>
  </si>
  <si>
    <t>291.04998779296875</t>
  </si>
  <si>
    <t>15098.400390625</t>
  </si>
  <si>
    <t>15174.7998046875</t>
  </si>
  <si>
    <t>15030.9501953125</t>
  </si>
  <si>
    <t>283.6499938964844</t>
  </si>
  <si>
    <t>285.54998779296875</t>
  </si>
  <si>
    <t>14910.4501953125</t>
  </si>
  <si>
    <t>280.8500061035156</t>
  </si>
  <si>
    <t>14721.2998046875</t>
  </si>
  <si>
    <t>281.04998779296875</t>
  </si>
  <si>
    <t>14557.849609375</t>
  </si>
  <si>
    <t>283.45001220703125</t>
  </si>
  <si>
    <t>295.6000061035156</t>
  </si>
  <si>
    <t>14736.400390625</t>
  </si>
  <si>
    <t>304.45001220703125</t>
  </si>
  <si>
    <t>303.79998779296875</t>
  </si>
  <si>
    <t>14549.400390625</t>
  </si>
  <si>
    <t>294.1000061035156</t>
  </si>
  <si>
    <t>14324.900390625</t>
  </si>
  <si>
    <t>294.8999938964844</t>
  </si>
  <si>
    <t>14507.2998046875</t>
  </si>
  <si>
    <t>299.8500061035156</t>
  </si>
  <si>
    <t>14845.099609375</t>
  </si>
  <si>
    <t>308.8500061035156</t>
  </si>
  <si>
    <t>14690.7001953125</t>
  </si>
  <si>
    <t>14867.349609375</t>
  </si>
  <si>
    <t>306.04998779296875</t>
  </si>
  <si>
    <t>14637.7998046875</t>
  </si>
  <si>
    <t>308.6499938964844</t>
  </si>
  <si>
    <t>14819.0498046875</t>
  </si>
  <si>
    <t>320.79998779296875</t>
  </si>
  <si>
    <t>14873.7998046875</t>
  </si>
  <si>
    <t>316.3500061035156</t>
  </si>
  <si>
    <t>14834.849609375</t>
  </si>
  <si>
    <t>304.29998779296875</t>
  </si>
  <si>
    <t>14310.7998046875</t>
  </si>
  <si>
    <t>302.29998779296875</t>
  </si>
  <si>
    <t>14504.7998046875</t>
  </si>
  <si>
    <t>295.20001220703125</t>
  </si>
  <si>
    <t>14581.4501953125</t>
  </si>
  <si>
    <t>300.70001220703125</t>
  </si>
  <si>
    <t>14617.849609375</t>
  </si>
  <si>
    <t>300.95001220703125</t>
  </si>
  <si>
    <t>14359.4501953125</t>
  </si>
  <si>
    <t>295.70001220703125</t>
  </si>
  <si>
    <t>14296.400390625</t>
  </si>
  <si>
    <t>14406.150390625</t>
  </si>
  <si>
    <t>14341.349609375</t>
  </si>
  <si>
    <t>303.3500061035156</t>
  </si>
  <si>
    <t>306.54998779296875</t>
  </si>
  <si>
    <t>14653.0498046875</t>
  </si>
  <si>
    <t>14864.5498046875</t>
  </si>
  <si>
    <t>314.04998779296875</t>
  </si>
  <si>
    <t>14894.900390625</t>
  </si>
  <si>
    <t>309.04998779296875</t>
  </si>
  <si>
    <t>14631.099609375</t>
  </si>
  <si>
    <t>311.6499938964844</t>
  </si>
  <si>
    <t>14634.150390625</t>
  </si>
  <si>
    <t>306.95001220703125</t>
  </si>
  <si>
    <t>311.45001220703125</t>
  </si>
  <si>
    <t>314.3999938964844</t>
  </si>
  <si>
    <t>14724.7998046875</t>
  </si>
  <si>
    <t>14823.150390625</t>
  </si>
  <si>
    <t>311.3500061035156</t>
  </si>
  <si>
    <t>14942.349609375</t>
  </si>
  <si>
    <t>314.8999938964844</t>
  </si>
  <si>
    <t>307.1000061035156</t>
  </si>
  <si>
    <t>14677.7998046875</t>
  </si>
  <si>
    <t>310.20001220703125</t>
  </si>
  <si>
    <t>14923.150390625</t>
  </si>
  <si>
    <t>315.6499938964844</t>
  </si>
  <si>
    <t>15108.099609375</t>
  </si>
  <si>
    <t>317.6499938964844</t>
  </si>
  <si>
    <t>15030.150390625</t>
  </si>
  <si>
    <t>14906.0498046875</t>
  </si>
  <si>
    <t>321.45001220703125</t>
  </si>
  <si>
    <t>15175.2998046875</t>
  </si>
  <si>
    <t>326.20001220703125</t>
  </si>
  <si>
    <t>15197.7001953125</t>
  </si>
  <si>
    <t>322.29998779296875</t>
  </si>
  <si>
    <t>15208.4501953125</t>
  </si>
  <si>
    <t>323.1000061035156</t>
  </si>
  <si>
    <t>15301.4501953125</t>
  </si>
  <si>
    <t>330.1000061035156</t>
  </si>
  <si>
    <t>15337.849609375</t>
  </si>
  <si>
    <t>325.6499938964844</t>
  </si>
  <si>
    <t>15435.650390625</t>
  </si>
  <si>
    <t>326.79998779296875</t>
  </si>
  <si>
    <t>15582.7998046875</t>
  </si>
  <si>
    <t>324.20001220703125</t>
  </si>
  <si>
    <t>15574.849609375</t>
  </si>
  <si>
    <t>331.1000061035156</t>
  </si>
  <si>
    <t>15576.2001953125</t>
  </si>
  <si>
    <t>333.95001220703125</t>
  </si>
  <si>
    <t>15690.349609375</t>
  </si>
  <si>
    <t>332.04998779296875</t>
  </si>
  <si>
    <t>339.04998779296875</t>
  </si>
  <si>
    <t>15751.650390625</t>
  </si>
  <si>
    <t>340.3500061035156</t>
  </si>
  <si>
    <t>15740.099609375</t>
  </si>
  <si>
    <t>334.3500061035156</t>
  </si>
  <si>
    <t>15635.349609375</t>
  </si>
  <si>
    <t>341.54998779296875</t>
  </si>
  <si>
    <t>337.70001220703125</t>
  </si>
  <si>
    <t>15799.349609375</t>
  </si>
  <si>
    <t>15811.849609375</t>
  </si>
  <si>
    <t>341.45001220703125</t>
  </si>
  <si>
    <t>338.8999938964844</t>
  </si>
  <si>
    <t>15767.5498046875</t>
  </si>
  <si>
    <t>15691.400390625</t>
  </si>
  <si>
    <t>341.29998779296875</t>
  </si>
  <si>
    <t>15683.349609375</t>
  </si>
  <si>
    <t>345.1499938964844</t>
  </si>
  <si>
    <t>15686.9501953125</t>
  </si>
  <si>
    <t>15790.4501953125</t>
  </si>
  <si>
    <t>348.04998779296875</t>
  </si>
  <si>
    <t>15860.349609375</t>
  </si>
  <si>
    <t>344.3500061035156</t>
  </si>
  <si>
    <t>15814.7001953125</t>
  </si>
  <si>
    <t>344.3999938964844</t>
  </si>
  <si>
    <t>15748.4501953125</t>
  </si>
  <si>
    <t>340.6499938964844</t>
  </si>
  <si>
    <t>340.29998779296875</t>
  </si>
  <si>
    <t>15722.2001953125</t>
  </si>
  <si>
    <t>15834.349609375</t>
  </si>
  <si>
    <t>351.8500061035156</t>
  </si>
  <si>
    <t>357.45001220703125</t>
  </si>
  <si>
    <t>15879.650390625</t>
  </si>
  <si>
    <t>15727.900390625</t>
  </si>
  <si>
    <t>363.6000061035156</t>
  </si>
  <si>
    <t>15689.7998046875</t>
  </si>
  <si>
    <t>15692.599609375</t>
  </si>
  <si>
    <t>368.95001220703125</t>
  </si>
  <si>
    <t>15812.349609375</t>
  </si>
  <si>
    <t>15853.9501953125</t>
  </si>
  <si>
    <t>386.20001220703125</t>
  </si>
  <si>
    <t>15924.2001953125</t>
  </si>
  <si>
    <t>383.04998779296875</t>
  </si>
  <si>
    <t>15923.400390625</t>
  </si>
  <si>
    <t>386.54998779296875</t>
  </si>
  <si>
    <t>15752.400390625</t>
  </si>
  <si>
    <t>404.45001220703125</t>
  </si>
  <si>
    <t>15632.099609375</t>
  </si>
  <si>
    <t>400.20001220703125</t>
  </si>
  <si>
    <t>15824.0498046875</t>
  </si>
  <si>
    <t>402.29998779296875</t>
  </si>
  <si>
    <t>15856.0498046875</t>
  </si>
  <si>
    <t>408.1000061035156</t>
  </si>
  <si>
    <t>15824.4501953125</t>
  </si>
  <si>
    <t>408.79998779296875</t>
  </si>
  <si>
    <t>15746.4501953125</t>
  </si>
  <si>
    <t>409.3999938964844</t>
  </si>
  <si>
    <t>15709.400390625</t>
  </si>
  <si>
    <t>15778.4501953125</t>
  </si>
  <si>
    <t>411.1499938964844</t>
  </si>
  <si>
    <t>15763.0498046875</t>
  </si>
  <si>
    <t>418.1000061035156</t>
  </si>
  <si>
    <t>15885.150390625</t>
  </si>
  <si>
    <t>422.20001220703125</t>
  </si>
  <si>
    <t>419.04998779296875</t>
  </si>
  <si>
    <t>16258.7998046875</t>
  </si>
  <si>
    <t>418.8999938964844</t>
  </si>
  <si>
    <t>16294.599609375</t>
  </si>
  <si>
    <t>403.8999938964844</t>
  </si>
  <si>
    <t>16238.2001953125</t>
  </si>
  <si>
    <t>405.45001220703125</t>
  </si>
  <si>
    <t>400.70001220703125</t>
  </si>
  <si>
    <t>16280.099609375</t>
  </si>
  <si>
    <t>399.79998779296875</t>
  </si>
  <si>
    <t>16364.400390625</t>
  </si>
  <si>
    <t>402.45001220703125</t>
  </si>
  <si>
    <t>16529.099609375</t>
  </si>
  <si>
    <t>16614.599609375</t>
  </si>
  <si>
    <t>16568.849609375</t>
  </si>
  <si>
    <t>391.79998779296875</t>
  </si>
  <si>
    <t>390.6499938964844</t>
  </si>
  <si>
    <t>395.3500061035156</t>
  </si>
  <si>
    <t>16624.599609375</t>
  </si>
  <si>
    <t>397.04998779296875</t>
  </si>
  <si>
    <t>16634.650390625</t>
  </si>
  <si>
    <t>398.3500061035156</t>
  </si>
  <si>
    <t>16636.900390625</t>
  </si>
  <si>
    <t>410.04998779296875</t>
  </si>
  <si>
    <t>417.70001220703125</t>
  </si>
  <si>
    <t>421.04998779296875</t>
  </si>
  <si>
    <t>428.70001220703125</t>
  </si>
  <si>
    <t>17234.150390625</t>
  </si>
  <si>
    <t>437.1000061035156</t>
  </si>
  <si>
    <t>17323.599609375</t>
  </si>
  <si>
    <t>438.29998779296875</t>
  </si>
  <si>
    <t>17362.099609375</t>
  </si>
  <si>
    <t>435.95001220703125</t>
  </si>
  <si>
    <t>438.3500061035156</t>
  </si>
  <si>
    <t>432.45001220703125</t>
  </si>
  <si>
    <t>437.04998779296875</t>
  </si>
  <si>
    <t>430.20001220703125</t>
  </si>
  <si>
    <t>419.79998779296875</t>
  </si>
  <si>
    <t>17585.150390625</t>
  </si>
  <si>
    <t>409.79998779296875</t>
  </si>
  <si>
    <t>17396.900390625</t>
  </si>
  <si>
    <t>413.20001220703125</t>
  </si>
  <si>
    <t>17546.650390625</t>
  </si>
  <si>
    <t>419.54998779296875</t>
  </si>
  <si>
    <t>410.70001220703125</t>
  </si>
  <si>
    <t>17855.099609375</t>
  </si>
  <si>
    <t>413.1000061035156</t>
  </si>
  <si>
    <t>17748.599609375</t>
  </si>
  <si>
    <t>406.45001220703125</t>
  </si>
  <si>
    <t>17618.150390625</t>
  </si>
  <si>
    <t>403.6499938964844</t>
  </si>
  <si>
    <t>394.8999938964844</t>
  </si>
  <si>
    <t>402.8999938964844</t>
  </si>
  <si>
    <t>17790.349609375</t>
  </si>
  <si>
    <t>403.04998779296875</t>
  </si>
  <si>
    <t>402.95001220703125</t>
  </si>
  <si>
    <t>403.6000061035156</t>
  </si>
  <si>
    <t>410.6000061035156</t>
  </si>
  <si>
    <t>389.3500061035156</t>
  </si>
  <si>
    <t>18266.599609375</t>
  </si>
  <si>
    <t>379.8999938964844</t>
  </si>
  <si>
    <t>18178.099609375</t>
  </si>
  <si>
    <t>376.1000061035156</t>
  </si>
  <si>
    <t>18114.900390625</t>
  </si>
  <si>
    <t>375.8999938964844</t>
  </si>
  <si>
    <t>18125.400390625</t>
  </si>
  <si>
    <t>380.3500061035156</t>
  </si>
  <si>
    <t>18268.400390625</t>
  </si>
  <si>
    <t>381.8500061035156</t>
  </si>
  <si>
    <t>390.04998779296875</t>
  </si>
  <si>
    <t>404.79998779296875</t>
  </si>
  <si>
    <t>17671.650390625</t>
  </si>
  <si>
    <t>17929.650390625</t>
  </si>
  <si>
    <t>412.8999938964844</t>
  </si>
  <si>
    <t>428.3500061035156</t>
  </si>
  <si>
    <t>421.20001220703125</t>
  </si>
  <si>
    <t>17873.599609375</t>
  </si>
  <si>
    <t>422.8500061035156</t>
  </si>
  <si>
    <t>409.1499938964844</t>
  </si>
  <si>
    <t>17898.650390625</t>
  </si>
  <si>
    <t>400.8500061035156</t>
  </si>
  <si>
    <t>388.70001220703125</t>
  </si>
  <si>
    <t>395.79998779296875</t>
  </si>
  <si>
    <t>17503.349609375</t>
  </si>
  <si>
    <t>390.6000061035156</t>
  </si>
  <si>
    <t>372.3500061035156</t>
  </si>
  <si>
    <t>369.1499938964844</t>
  </si>
  <si>
    <t>374.6000061035156</t>
  </si>
  <si>
    <t>371.3999938964844</t>
  </si>
  <si>
    <t>17166.900390625</t>
  </si>
  <si>
    <t>377.3500061035156</t>
  </si>
  <si>
    <t>17401.650390625</t>
  </si>
  <si>
    <t>376.6000061035156</t>
  </si>
  <si>
    <t>370.1499938964844</t>
  </si>
  <si>
    <t>376.95001220703125</t>
  </si>
  <si>
    <t>377.54998779296875</t>
  </si>
  <si>
    <t>17516.849609375</t>
  </si>
  <si>
    <t>377.6499938964844</t>
  </si>
  <si>
    <t>379.8500061035156</t>
  </si>
  <si>
    <t>378.54998779296875</t>
  </si>
  <si>
    <t>17324.900390625</t>
  </si>
  <si>
    <t>378.8999938964844</t>
  </si>
  <si>
    <t>17221.400390625</t>
  </si>
  <si>
    <t>375.70001220703125</t>
  </si>
  <si>
    <t>17248.400390625</t>
  </si>
  <si>
    <t>368.6000061035156</t>
  </si>
  <si>
    <t>350.29998779296875</t>
  </si>
  <si>
    <t>361.45001220703125</t>
  </si>
  <si>
    <t>16770.849609375</t>
  </si>
  <si>
    <t>369.3999938964844</t>
  </si>
  <si>
    <t>17072.599609375</t>
  </si>
  <si>
    <t>367.8999938964844</t>
  </si>
  <si>
    <t>369.95001220703125</t>
  </si>
  <si>
    <t>380.20001220703125</t>
  </si>
  <si>
    <t>375.79998779296875</t>
  </si>
  <si>
    <t>17213.599609375</t>
  </si>
  <si>
    <t>370.95001220703125</t>
  </si>
  <si>
    <t>390.45001220703125</t>
  </si>
  <si>
    <t>393.70001220703125</t>
  </si>
  <si>
    <t>387.04998779296875</t>
  </si>
  <si>
    <t>17745.900390625</t>
  </si>
  <si>
    <t>399.3500061035156</t>
  </si>
  <si>
    <t>397.6499938964844</t>
  </si>
  <si>
    <t>397.8999938964844</t>
  </si>
  <si>
    <t>18212.349609375</t>
  </si>
  <si>
    <t>396.3999938964844</t>
  </si>
  <si>
    <t>402.70001220703125</t>
  </si>
  <si>
    <t>407.79998779296875</t>
  </si>
  <si>
    <t>18308.099609375</t>
  </si>
  <si>
    <t>380.6499938964844</t>
  </si>
  <si>
    <t>374.8500061035156</t>
  </si>
  <si>
    <t>17938.400390625</t>
  </si>
  <si>
    <t>375.1000061035156</t>
  </si>
  <si>
    <t>368.6499938964844</t>
  </si>
  <si>
    <t>17617.150390625</t>
  </si>
  <si>
    <t>352.8500061035156</t>
  </si>
  <si>
    <t>17149.099609375</t>
  </si>
  <si>
    <t>351.6499938964844</t>
  </si>
  <si>
    <t>17110.150390625</t>
  </si>
  <si>
    <t>360.70001220703125</t>
  </si>
  <si>
    <t>365.1499938964844</t>
  </si>
  <si>
    <t>17339.849609375</t>
  </si>
  <si>
    <t>380.3999938964844</t>
  </si>
  <si>
    <t>17576.849609375</t>
  </si>
  <si>
    <t>381.8999938964844</t>
  </si>
  <si>
    <t>382.6499938964844</t>
  </si>
  <si>
    <t>376.29998779296875</t>
  </si>
  <si>
    <t>382.79998779296875</t>
  </si>
  <si>
    <t>17605.849609375</t>
  </si>
  <si>
    <t>355.1000061035156</t>
  </si>
  <si>
    <t>363.54998779296875</t>
  </si>
  <si>
    <t>359.79998779296875</t>
  </si>
  <si>
    <t>17304.599609375</t>
  </si>
  <si>
    <t>338.3500061035156</t>
  </si>
  <si>
    <t>338.54998779296875</t>
  </si>
  <si>
    <t>17206.650390625</t>
  </si>
  <si>
    <t>337.3500061035156</t>
  </si>
  <si>
    <t>330.95001220703125</t>
  </si>
  <si>
    <t>16247.9501953125</t>
  </si>
  <si>
    <t>308.70001220703125</t>
  </si>
  <si>
    <t>16658.400390625</t>
  </si>
  <si>
    <t>16793.900390625</t>
  </si>
  <si>
    <t>304.1499938964844</t>
  </si>
  <si>
    <t>290.20001220703125</t>
  </si>
  <si>
    <t>292.6000061035156</t>
  </si>
  <si>
    <t>16245.349609375</t>
  </si>
  <si>
    <t>281.20001220703125</t>
  </si>
  <si>
    <t>15863.150390625</t>
  </si>
  <si>
    <t>282.8999938964844</t>
  </si>
  <si>
    <t>16013.4501953125</t>
  </si>
  <si>
    <t>291.6499938964844</t>
  </si>
  <si>
    <t>16345.349609375</t>
  </si>
  <si>
    <t>293.20001220703125</t>
  </si>
  <si>
    <t>16594.900390625</t>
  </si>
  <si>
    <t>293.45001220703125</t>
  </si>
  <si>
    <t>291.20001220703125</t>
  </si>
  <si>
    <t>295.1000061035156</t>
  </si>
  <si>
    <t>309.3500061035156</t>
  </si>
  <si>
    <t>16975.349609375</t>
  </si>
  <si>
    <t>306.20001220703125</t>
  </si>
  <si>
    <t>300.3500061035156</t>
  </si>
  <si>
    <t>17117.599609375</t>
  </si>
  <si>
    <t>300.8999938964844</t>
  </si>
  <si>
    <t>297.8500061035156</t>
  </si>
  <si>
    <t>17245.650390625</t>
  </si>
  <si>
    <t>297.04998779296875</t>
  </si>
  <si>
    <t>297.79998779296875</t>
  </si>
  <si>
    <t>291.79998779296875</t>
  </si>
  <si>
    <t>302.45001220703125</t>
  </si>
  <si>
    <t>303.04998779296875</t>
  </si>
  <si>
    <t>304.95001220703125</t>
  </si>
  <si>
    <t>18053.400390625</t>
  </si>
  <si>
    <t>316.79998779296875</t>
  </si>
  <si>
    <t>17957.400390625</t>
  </si>
  <si>
    <t>320.70001220703125</t>
  </si>
  <si>
    <t>17807.650390625</t>
  </si>
  <si>
    <t>325.6000061035156</t>
  </si>
  <si>
    <t>17784.349609375</t>
  </si>
  <si>
    <t>360.20001220703125</t>
  </si>
  <si>
    <t>359.6499938964844</t>
  </si>
  <si>
    <t>369.20001220703125</t>
  </si>
  <si>
    <t>17475.650390625</t>
  </si>
  <si>
    <t>363.3999938964844</t>
  </si>
  <si>
    <t>17173.650390625</t>
  </si>
  <si>
    <t>16958.650390625</t>
  </si>
  <si>
    <t>371.29998779296875</t>
  </si>
  <si>
    <t>17392.599609375</t>
  </si>
  <si>
    <t>374.20001220703125</t>
  </si>
  <si>
    <t>376.3500061035156</t>
  </si>
  <si>
    <t>385.1499938964844</t>
  </si>
  <si>
    <t>384.54998779296875</t>
  </si>
  <si>
    <t>17038.400390625</t>
  </si>
  <si>
    <t>383.3500061035156</t>
  </si>
  <si>
    <t>372.20001220703125</t>
  </si>
  <si>
    <t>378.1499938964844</t>
  </si>
  <si>
    <t>17069.099609375</t>
  </si>
  <si>
    <t>368.1000061035156</t>
  </si>
  <si>
    <t>16677.599609375</t>
  </si>
  <si>
    <t>366.3500061035156</t>
  </si>
  <si>
    <t>16682.650390625</t>
  </si>
  <si>
    <t>365.3999938964844</t>
  </si>
  <si>
    <t>16301.849609375</t>
  </si>
  <si>
    <t>358.20001220703125</t>
  </si>
  <si>
    <t>16240.0498046875</t>
  </si>
  <si>
    <t>359.04998779296875</t>
  </si>
  <si>
    <t>16167.099609375</t>
  </si>
  <si>
    <t>373.54998779296875</t>
  </si>
  <si>
    <t>359.1000061035156</t>
  </si>
  <si>
    <t>15782.150390625</t>
  </si>
  <si>
    <t>15842.2998046875</t>
  </si>
  <si>
    <t>368.79998779296875</t>
  </si>
  <si>
    <t>16259.2998046875</t>
  </si>
  <si>
    <t>361.1000061035156</t>
  </si>
  <si>
    <t>16240.2998046875</t>
  </si>
  <si>
    <t>15809.400390625</t>
  </si>
  <si>
    <t>16266.150390625</t>
  </si>
  <si>
    <t>363.45001220703125</t>
  </si>
  <si>
    <t>16214.7001953125</t>
  </si>
  <si>
    <t>16125.150390625</t>
  </si>
  <si>
    <t>361.70001220703125</t>
  </si>
  <si>
    <t>16025.7998046875</t>
  </si>
  <si>
    <t>16170.150390625</t>
  </si>
  <si>
    <t>366.29998779296875</t>
  </si>
  <si>
    <t>16352.4501953125</t>
  </si>
  <si>
    <t>371.54998779296875</t>
  </si>
  <si>
    <t>16661.400390625</t>
  </si>
  <si>
    <t>371.6499938964844</t>
  </si>
  <si>
    <t>366.8999938964844</t>
  </si>
  <si>
    <t>364.8999938964844</t>
  </si>
  <si>
    <t>363.3500061035156</t>
  </si>
  <si>
    <t>16416.349609375</t>
  </si>
  <si>
    <t>363.04998779296875</t>
  </si>
  <si>
    <t>365.29998779296875</t>
  </si>
  <si>
    <t>16478.099609375</t>
  </si>
  <si>
    <t>16201.7998046875</t>
  </si>
  <si>
    <t>362.70001220703125</t>
  </si>
  <si>
    <t>15774.400390625</t>
  </si>
  <si>
    <t>359.54998779296875</t>
  </si>
  <si>
    <t>15732.099609375</t>
  </si>
  <si>
    <t>361.95001220703125</t>
  </si>
  <si>
    <t>15692.150390625</t>
  </si>
  <si>
    <t>359.3999938964844</t>
  </si>
  <si>
    <t>15360.599609375</t>
  </si>
  <si>
    <t>357.3500061035156</t>
  </si>
  <si>
    <t>357.29998779296875</t>
  </si>
  <si>
    <t>15350.150390625</t>
  </si>
  <si>
    <t>358.8999938964844</t>
  </si>
  <si>
    <t>15638.7998046875</t>
  </si>
  <si>
    <t>357.95001220703125</t>
  </si>
  <si>
    <t>15413.2998046875</t>
  </si>
  <si>
    <t>358.95001220703125</t>
  </si>
  <si>
    <t>15556.650390625</t>
  </si>
  <si>
    <t>360.6000061035156</t>
  </si>
  <si>
    <t>15832.0498046875</t>
  </si>
  <si>
    <t>366.45001220703125</t>
  </si>
  <si>
    <t>15850.2001953125</t>
  </si>
  <si>
    <t>15799.099609375</t>
  </si>
  <si>
    <t>367.54998779296875</t>
  </si>
  <si>
    <t>15752.0498046875</t>
  </si>
  <si>
    <t>368.54998779296875</t>
  </si>
  <si>
    <t>15835.349609375</t>
  </si>
  <si>
    <t>366.6499938964844</t>
  </si>
  <si>
    <t>15810.849609375</t>
  </si>
  <si>
    <t>15989.7998046875</t>
  </si>
  <si>
    <t>366.95001220703125</t>
  </si>
  <si>
    <t>16132.900390625</t>
  </si>
  <si>
    <t>368.45001220703125</t>
  </si>
  <si>
    <t>16220.599609375</t>
  </si>
  <si>
    <t>370.8999938964844</t>
  </si>
  <si>
    <t>16058.2998046875</t>
  </si>
  <si>
    <t>371.20001220703125</t>
  </si>
  <si>
    <t>15966.650390625</t>
  </si>
  <si>
    <t>369.8999938964844</t>
  </si>
  <si>
    <t>15938.650390625</t>
  </si>
  <si>
    <t>16049.2001953125</t>
  </si>
  <si>
    <t>370.70001220703125</t>
  </si>
  <si>
    <t>16340.5498046875</t>
  </si>
  <si>
    <t>367.8500061035156</t>
  </si>
  <si>
    <t>16520.849609375</t>
  </si>
  <si>
    <t>372.54998779296875</t>
  </si>
  <si>
    <t>371.1499938964844</t>
  </si>
  <si>
    <t>16483.849609375</t>
  </si>
  <si>
    <t>370.8500061035156</t>
  </si>
  <si>
    <t>16929.599609375</t>
  </si>
  <si>
    <t>374.79998779296875</t>
  </si>
  <si>
    <t>375.3999938964844</t>
  </si>
  <si>
    <t>378.6499938964844</t>
  </si>
  <si>
    <t>17388.150390625</t>
  </si>
  <si>
    <t>17525.099609375</t>
  </si>
  <si>
    <t>380.04998779296875</t>
  </si>
  <si>
    <t>384.79998779296875</t>
  </si>
  <si>
    <t>17698.150390625</t>
  </si>
  <si>
    <t>396.1000061035156</t>
  </si>
  <si>
    <t>398.29998779296875</t>
  </si>
  <si>
    <t>409.6000061035156</t>
  </si>
  <si>
    <t>420.45001220703125</t>
  </si>
  <si>
    <t>404.1499938964844</t>
  </si>
  <si>
    <t>397.1499938964844</t>
  </si>
  <si>
    <t>402.8500061035156</t>
  </si>
  <si>
    <t>17558.900390625</t>
  </si>
  <si>
    <t>403.45001220703125</t>
  </si>
  <si>
    <t>17312.900390625</t>
  </si>
  <si>
    <t>415.6000061035156</t>
  </si>
  <si>
    <t>417.95001220703125</t>
  </si>
  <si>
    <t>17655.599609375</t>
  </si>
  <si>
    <t>448.8999938964844</t>
  </si>
  <si>
    <t>17624.400390625</t>
  </si>
  <si>
    <t>461.8999938964844</t>
  </si>
  <si>
    <t>454.70001220703125</t>
  </si>
  <si>
    <t>17833.349609375</t>
  </si>
  <si>
    <t>475.6499938964844</t>
  </si>
  <si>
    <t>17936.349609375</t>
  </si>
  <si>
    <t>524.5999755859375</t>
  </si>
  <si>
    <t>17877.400390625</t>
  </si>
  <si>
    <t>516.7000122070312</t>
  </si>
  <si>
    <t>17530.849609375</t>
  </si>
  <si>
    <t>564.9000244140625</t>
  </si>
  <si>
    <t>574.3499755859375</t>
  </si>
  <si>
    <t>541.3499755859375</t>
  </si>
  <si>
    <t>17718.349609375</t>
  </si>
  <si>
    <t>534.0499877929688</t>
  </si>
  <si>
    <t>539.3499755859375</t>
  </si>
  <si>
    <t>17327.349609375</t>
  </si>
  <si>
    <t>511.20001220703125</t>
  </si>
  <si>
    <t>504.3500061035156</t>
  </si>
  <si>
    <t>17007.400390625</t>
  </si>
  <si>
    <t>500.04998779296875</t>
  </si>
  <si>
    <t>16858.599609375</t>
  </si>
  <si>
    <t>506.3500061035156</t>
  </si>
  <si>
    <t>16818.099609375</t>
  </si>
  <si>
    <t>515.5999755859375</t>
  </si>
  <si>
    <t>17094.349609375</t>
  </si>
  <si>
    <t>488.6499938964844</t>
  </si>
  <si>
    <t>16887.349609375</t>
  </si>
  <si>
    <t>492.20001220703125</t>
  </si>
  <si>
    <t>506.8999938964844</t>
  </si>
  <si>
    <t>521.7999877929688</t>
  </si>
  <si>
    <t>17314.650390625</t>
  </si>
  <si>
    <t>522.6500244140625</t>
  </si>
  <si>
    <t>500.20001220703125</t>
  </si>
  <si>
    <t>505.45001220703125</t>
  </si>
  <si>
    <t>17123.599609375</t>
  </si>
  <si>
    <t>496.8500061035156</t>
  </si>
  <si>
    <t>17014.349609375</t>
  </si>
  <si>
    <t>501.8500061035156</t>
  </si>
  <si>
    <t>520.5499877929688</t>
  </si>
  <si>
    <t>507.8500061035156</t>
  </si>
  <si>
    <t>510.70001220703125</t>
  </si>
  <si>
    <t>517.7000122070312</t>
  </si>
  <si>
    <t>512.5999755859375</t>
  </si>
  <si>
    <t>516.9000244140625</t>
  </si>
  <si>
    <t>513.0999755859375</t>
  </si>
  <si>
    <t>17656.349609375</t>
  </si>
  <si>
    <t>527.5999755859375</t>
  </si>
  <si>
    <t>520.0999755859375</t>
  </si>
  <si>
    <t>532.9500122070312</t>
  </si>
  <si>
    <t>544.0499877929688</t>
  </si>
  <si>
    <t>18145.400390625</t>
  </si>
  <si>
    <t>18082.849609375</t>
  </si>
  <si>
    <t>558.5999755859375</t>
  </si>
  <si>
    <t>18117.150390625</t>
  </si>
  <si>
    <t>568.0999755859375</t>
  </si>
  <si>
    <t>558.1500244140625</t>
  </si>
  <si>
    <t>557.5499877929688</t>
  </si>
  <si>
    <t>580.2999877929688</t>
  </si>
  <si>
    <t>18329.150390625</t>
  </si>
  <si>
    <t>586.4500122070312</t>
  </si>
  <si>
    <t>18403.400390625</t>
  </si>
  <si>
    <t>577.2000122070312</t>
  </si>
  <si>
    <t>18409.650390625</t>
  </si>
  <si>
    <t>574.2000122070312</t>
  </si>
  <si>
    <t>18343.900390625</t>
  </si>
  <si>
    <t>574.0999755859375</t>
  </si>
  <si>
    <t>18307.650390625</t>
  </si>
  <si>
    <t>564.0499877929688</t>
  </si>
  <si>
    <t>565.8499755859375</t>
  </si>
  <si>
    <t>562.9000244140625</t>
  </si>
  <si>
    <t>557.8499755859375</t>
  </si>
  <si>
    <t>18484.099609375</t>
  </si>
  <si>
    <t>564.6500244140625</t>
  </si>
  <si>
    <t>568.4500122070312</t>
  </si>
  <si>
    <t>564.9500122070312</t>
  </si>
  <si>
    <t>18758.349609375</t>
  </si>
  <si>
    <t>580.9500122070312</t>
  </si>
  <si>
    <t>577.9500122070312</t>
  </si>
  <si>
    <t>18696.099609375</t>
  </si>
  <si>
    <t>573.3499755859375</t>
  </si>
  <si>
    <t>18609.349609375</t>
  </si>
  <si>
    <t>18496.599609375</t>
  </si>
  <si>
    <t>585.0499877929688</t>
  </si>
  <si>
    <t>18497.150390625</t>
  </si>
  <si>
    <t>584.5499877929688</t>
  </si>
  <si>
    <t>582.2000122070312</t>
  </si>
  <si>
    <t>561.2000122070312</t>
  </si>
  <si>
    <t>18414.900390625</t>
  </si>
  <si>
    <t>556.0499877929688</t>
  </si>
  <si>
    <t>563.8499755859375</t>
  </si>
  <si>
    <t>560.0999755859375</t>
  </si>
  <si>
    <t>539.2000122070312</t>
  </si>
  <si>
    <t>18199.099609375</t>
  </si>
  <si>
    <t>532.8499755859375</t>
  </si>
  <si>
    <t>18127.349609375</t>
  </si>
  <si>
    <t>514.1500244140625</t>
  </si>
  <si>
    <t>18014.599609375</t>
  </si>
  <si>
    <t>523.2999877929688</t>
  </si>
  <si>
    <t>518.4000244140625</t>
  </si>
  <si>
    <t>524.0999755859375</t>
  </si>
  <si>
    <t>530.9500122070312</t>
  </si>
  <si>
    <t>518.8499755859375</t>
  </si>
  <si>
    <t>17992.150390625</t>
  </si>
  <si>
    <t>519.7999877929688</t>
  </si>
  <si>
    <t>514.4500122070312</t>
  </si>
  <si>
    <t>17914.150390625</t>
  </si>
  <si>
    <t>508.1000061035156</t>
  </si>
  <si>
    <t>510.3999938964844</t>
  </si>
  <si>
    <t>518.6500244140625</t>
  </si>
  <si>
    <t>17956.599609375</t>
  </si>
  <si>
    <t>17894.849609375</t>
  </si>
  <si>
    <t>520.4500122070312</t>
  </si>
  <si>
    <t>18165.349609375</t>
  </si>
  <si>
    <t>18107.849609375</t>
  </si>
  <si>
    <t>18027.650390625</t>
  </si>
  <si>
    <t>501.1000061035156</t>
  </si>
  <si>
    <t>498.95001220703125</t>
  </si>
  <si>
    <t>460.20001220703125</t>
  </si>
  <si>
    <t>380.45001220703125</t>
  </si>
  <si>
    <t>17604.349609375</t>
  </si>
  <si>
    <t>401.20001220703125</t>
  </si>
  <si>
    <t>17662.150390625</t>
  </si>
  <si>
    <t>334.1000061035156</t>
  </si>
  <si>
    <t>352.54998779296875</t>
  </si>
  <si>
    <t>17610.400390625</t>
  </si>
  <si>
    <t>373.6000061035156</t>
  </si>
  <si>
    <t>17764.599609375</t>
  </si>
  <si>
    <t>384.04998779296875</t>
  </si>
  <si>
    <t>384.6499938964844</t>
  </si>
  <si>
    <t>357.79998779296875</t>
  </si>
  <si>
    <t>360.79998779296875</t>
  </si>
  <si>
    <t>342.45001220703125</t>
  </si>
  <si>
    <t>17770.900390625</t>
  </si>
  <si>
    <t>17929.849609375</t>
  </si>
  <si>
    <t>344.8500061035156</t>
  </si>
  <si>
    <t>18015.849609375</t>
  </si>
  <si>
    <t>347.79998779296875</t>
  </si>
  <si>
    <t>18035.849609375</t>
  </si>
  <si>
    <t>353.29998779296875</t>
  </si>
  <si>
    <t>352.45001220703125</t>
  </si>
  <si>
    <t>17844.599609375</t>
  </si>
  <si>
    <t>335.3999938964844</t>
  </si>
  <si>
    <t>336.8999938964844</t>
  </si>
  <si>
    <t>329.8999938964844</t>
  </si>
  <si>
    <t>342.1000061035156</t>
  </si>
  <si>
    <t>353.6000061035156</t>
  </si>
  <si>
    <t>17450.900390625</t>
  </si>
  <si>
    <t>17321.900390625</t>
  </si>
  <si>
    <t>391.8500061035156</t>
  </si>
  <si>
    <t>17594.349609375</t>
  </si>
  <si>
    <t>392.1000061035156</t>
  </si>
  <si>
    <t>17754.400390625</t>
  </si>
  <si>
    <t>384.70001220703125</t>
  </si>
  <si>
    <t>17589.599609375</t>
  </si>
  <si>
    <t>378.3500061035156</t>
  </si>
  <si>
    <t>17412.900390625</t>
  </si>
  <si>
    <t>353.3999938964844</t>
  </si>
  <si>
    <t>16972.150390625</t>
  </si>
  <si>
    <t>378.79998779296875</t>
  </si>
  <si>
    <t>16985.599609375</t>
  </si>
  <si>
    <t>378.45001220703125</t>
  </si>
  <si>
    <t>16988.400390625</t>
  </si>
  <si>
    <t>375.54998779296875</t>
  </si>
  <si>
    <t>17151.900390625</t>
  </si>
  <si>
    <t>372.1499938964844</t>
  </si>
  <si>
    <t>17076.900390625</t>
  </si>
  <si>
    <t>371.79998779296875</t>
  </si>
  <si>
    <t>363.8999938964844</t>
  </si>
  <si>
    <t>365.54998779296875</t>
  </si>
  <si>
    <t>379.95001220703125</t>
  </si>
  <si>
    <t>383.6000061035156</t>
  </si>
  <si>
    <t>17599.150390625</t>
  </si>
  <si>
    <t>384.3500061035156</t>
  </si>
  <si>
    <t>384.3999938964844</t>
  </si>
  <si>
    <t>396.04998779296875</t>
  </si>
  <si>
    <t>17812.400390625</t>
  </si>
  <si>
    <t>392.6499938964844</t>
  </si>
  <si>
    <t>391.54998779296875</t>
  </si>
  <si>
    <t>17706.849609375</t>
  </si>
  <si>
    <t>17660.150390625</t>
  </si>
  <si>
    <t>380.70001220703125</t>
  </si>
  <si>
    <t>380.29998779296875</t>
  </si>
  <si>
    <t>17743.400390625</t>
  </si>
  <si>
    <t>386.45001220703125</t>
  </si>
  <si>
    <t>17813.599609375</t>
  </si>
  <si>
    <t>388.79998779296875</t>
  </si>
  <si>
    <t>394.3999938964844</t>
  </si>
  <si>
    <t>18147.650390625</t>
  </si>
  <si>
    <t>383.6499938964844</t>
  </si>
  <si>
    <t>18089.849609375</t>
  </si>
  <si>
    <t>388.29998779296875</t>
  </si>
  <si>
    <t>400.54998779296875</t>
  </si>
  <si>
    <t>18264.400390625</t>
  </si>
  <si>
    <t>405.6499938964844</t>
  </si>
  <si>
    <t>408.29998779296875</t>
  </si>
  <si>
    <t>18315.099609375</t>
  </si>
  <si>
    <t>412.20001220703125</t>
  </si>
  <si>
    <t>406.6000061035156</t>
  </si>
  <si>
    <t>18398.849609375</t>
  </si>
  <si>
    <t>400.8999938964844</t>
  </si>
  <si>
    <t>406.29998779296875</t>
  </si>
  <si>
    <t>399.04998779296875</t>
  </si>
  <si>
    <t>403.1499938964844</t>
  </si>
  <si>
    <t>18203.400390625</t>
  </si>
  <si>
    <t>423.8999938964844</t>
  </si>
  <si>
    <t>18314.400390625</t>
  </si>
  <si>
    <t>427.29998779296875</t>
  </si>
  <si>
    <t>422.29998779296875</t>
  </si>
  <si>
    <t>18285.400390625</t>
  </si>
  <si>
    <t>419.20001220703125</t>
  </si>
  <si>
    <t>18321.150390625</t>
  </si>
  <si>
    <t>424.54998779296875</t>
  </si>
  <si>
    <t>18499.349609375</t>
  </si>
  <si>
    <t>18598.650390625</t>
  </si>
  <si>
    <t>430.8999938964844</t>
  </si>
  <si>
    <t>18633.849609375</t>
  </si>
  <si>
    <t>423.6000061035156</t>
  </si>
  <si>
    <t>18534.400390625</t>
  </si>
  <si>
    <t>438.04998779296875</t>
  </si>
  <si>
    <t>18534.099609375</t>
  </si>
  <si>
    <t>439.04998779296875</t>
  </si>
  <si>
    <t>18593.849609375</t>
  </si>
  <si>
    <t>459.1499938964844</t>
  </si>
  <si>
    <t>18726.400390625</t>
  </si>
  <si>
    <t>451.70001220703125</t>
  </si>
  <si>
    <t>455.70001220703125</t>
  </si>
  <si>
    <t>18563.400390625</t>
  </si>
  <si>
    <t>456.29998779296875</t>
  </si>
  <si>
    <t>458.95001220703125</t>
  </si>
  <si>
    <t>18716.150390625</t>
  </si>
  <si>
    <t>464.6000061035156</t>
  </si>
  <si>
    <t>18755.900390625</t>
  </si>
  <si>
    <t>458.3500061035156</t>
  </si>
  <si>
    <t>18688.099609375</t>
  </si>
  <si>
    <t>460.8999938964844</t>
  </si>
  <si>
    <t>452.8500061035156</t>
  </si>
  <si>
    <t>448.95001220703125</t>
  </si>
  <si>
    <t>448.1000061035156</t>
  </si>
  <si>
    <t>18856.849609375</t>
  </si>
  <si>
    <t>444.8500061035156</t>
  </si>
  <si>
    <t>425.79998779296875</t>
  </si>
  <si>
    <t>432.04998779296875</t>
  </si>
  <si>
    <t>433.8500061035156</t>
  </si>
  <si>
    <t>18817.400390625</t>
  </si>
  <si>
    <t>18972.099609375</t>
  </si>
  <si>
    <t>425.8999938964844</t>
  </si>
  <si>
    <t>435.8500061035156</t>
  </si>
  <si>
    <t>432.70001220703125</t>
  </si>
  <si>
    <t>432.3999938964844</t>
  </si>
  <si>
    <t>417.8999938964844</t>
  </si>
  <si>
    <t>19355.900390625</t>
  </si>
  <si>
    <t>19439.400390625</t>
  </si>
  <si>
    <t>421.54998779296875</t>
  </si>
  <si>
    <t>416.8999938964844</t>
  </si>
  <si>
    <t>416.6000061035156</t>
  </si>
  <si>
    <t>416.20001220703125</t>
  </si>
  <si>
    <t>419.29998779296875</t>
  </si>
  <si>
    <t>19833.150390625</t>
  </si>
  <si>
    <t>420.8999938964844</t>
  </si>
  <si>
    <t>19979.150390625</t>
  </si>
  <si>
    <t>416.1000061035156</t>
  </si>
  <si>
    <t>19672.349609375</t>
  </si>
  <si>
    <t>440.1000061035156</t>
  </si>
  <si>
    <t>19680.599609375</t>
  </si>
  <si>
    <t>19659.900390625</t>
  </si>
  <si>
    <t>454.79998779296875</t>
  </si>
  <si>
    <t>461.54998779296875</t>
  </si>
  <si>
    <t>474.3500061035156</t>
  </si>
  <si>
    <t>19381.650390625</t>
  </si>
  <si>
    <t>474.1000061035156</t>
  </si>
  <si>
    <t>466.20001220703125</t>
  </si>
  <si>
    <t>19570.849609375</t>
  </si>
  <si>
    <t>462.6499938964844</t>
  </si>
  <si>
    <t>457.20001220703125</t>
  </si>
  <si>
    <t>19543.099609375</t>
  </si>
  <si>
    <t>456.3999938964844</t>
  </si>
  <si>
    <t>440.95001220703125</t>
  </si>
  <si>
    <t>437.20001220703125</t>
  </si>
  <si>
    <t>453.04998779296875</t>
  </si>
  <si>
    <t>19310.150390625</t>
  </si>
  <si>
    <t>19393.599609375</t>
  </si>
  <si>
    <t>463.79998779296875</t>
  </si>
  <si>
    <t>453.29998779296875</t>
  </si>
  <si>
    <t>434.6000061035156</t>
  </si>
  <si>
    <t>438.8500061035156</t>
  </si>
  <si>
    <t>441.20001220703125</t>
  </si>
  <si>
    <t>19342.650390625</t>
  </si>
  <si>
    <t>444.04998779296875</t>
  </si>
  <si>
    <t>428.3999938964844</t>
  </si>
  <si>
    <t>433.8999938964844</t>
  </si>
  <si>
    <t>441.1499938964844</t>
  </si>
  <si>
    <t>440.20001220703125</t>
  </si>
  <si>
    <t>19574.900390625</t>
  </si>
  <si>
    <t>439.45001220703125</t>
  </si>
  <si>
    <t>439.20001220703125</t>
  </si>
  <si>
    <t>450.8999938964844</t>
  </si>
  <si>
    <t>19996.349609375</t>
  </si>
  <si>
    <t>443.8999938964844</t>
  </si>
  <si>
    <t>445.20001220703125</t>
  </si>
  <si>
    <t>20103.099609375</t>
  </si>
  <si>
    <t>445.04998779296875</t>
  </si>
  <si>
    <t>20192.349609375</t>
  </si>
  <si>
    <t>436.6499938964844</t>
  </si>
  <si>
    <t>428.1499938964844</t>
  </si>
  <si>
    <t>19901.400390625</t>
  </si>
  <si>
    <t>426.1000061035156</t>
  </si>
  <si>
    <t>19742.349609375</t>
  </si>
  <si>
    <t>420.95001220703125</t>
  </si>
  <si>
    <t>422.8999938964844</t>
  </si>
  <si>
    <t>430.45001220703125</t>
  </si>
  <si>
    <t>419.8999938964844</t>
  </si>
  <si>
    <t>424.79998779296875</t>
  </si>
  <si>
    <t>432.20001220703125</t>
  </si>
  <si>
    <t>429.6499938964844</t>
  </si>
  <si>
    <t>19436.099609375</t>
  </si>
  <si>
    <t>432.8500061035156</t>
  </si>
  <si>
    <t>435.70001220703125</t>
  </si>
  <si>
    <t>19512.349609375</t>
  </si>
  <si>
    <t>19689.849609375</t>
  </si>
  <si>
    <t>445.1000061035156</t>
  </si>
  <si>
    <t>19811.349609375</t>
  </si>
  <si>
    <t>445.6000061035156</t>
  </si>
  <si>
    <t>439.8999938964844</t>
  </si>
  <si>
    <t>442.6499938964844</t>
  </si>
  <si>
    <t>19671.099609375</t>
  </si>
  <si>
    <t>437.45001220703125</t>
  </si>
  <si>
    <t>430.8500061035156</t>
  </si>
  <si>
    <t>19542.650390625</t>
  </si>
  <si>
    <t>415.95001220703125</t>
  </si>
  <si>
    <t>19122.150390625</t>
  </si>
  <si>
    <t>416.29998779296875</t>
  </si>
  <si>
    <t>421.95001220703125</t>
  </si>
  <si>
    <t>19140.900390625</t>
  </si>
  <si>
    <t>424.45001220703125</t>
  </si>
  <si>
    <t>19079.599609375</t>
  </si>
  <si>
    <t>406.6499938964844</t>
  </si>
  <si>
    <t>18989.150390625</t>
  </si>
  <si>
    <t>419.70001220703125</t>
  </si>
  <si>
    <t>19230.599609375</t>
  </si>
  <si>
    <t>418.29998779296875</t>
  </si>
  <si>
    <t>19425.349609375</t>
  </si>
  <si>
    <t>419.3999938964844</t>
  </si>
  <si>
    <t>418.1499938964844</t>
  </si>
  <si>
    <t>421.1000061035156</t>
  </si>
  <si>
    <t>420.1499938964844</t>
  </si>
  <si>
    <t>19783.400390625</t>
  </si>
  <si>
    <t>19811.849609375</t>
  </si>
  <si>
    <t>414.29998779296875</t>
  </si>
  <si>
    <t>431.20001220703125</t>
  </si>
  <si>
    <t>435.6499938964844</t>
  </si>
  <si>
    <t>20096.599609375</t>
  </si>
  <si>
    <t>20133.150390625</t>
  </si>
  <si>
    <t>20267.900390625</t>
  </si>
  <si>
    <t>474.54998779296875</t>
  </si>
  <si>
    <t>509.04998779296875</t>
  </si>
  <si>
    <t>20855.099609375</t>
  </si>
  <si>
    <t>505.1000061035156</t>
  </si>
  <si>
    <t>20901.150390625</t>
  </si>
  <si>
    <t>494.3500061035156</t>
  </si>
  <si>
    <t>20969.400390625</t>
  </si>
  <si>
    <t>20997.099609375</t>
  </si>
  <si>
    <t>501.3500061035156</t>
  </si>
  <si>
    <t>20906.400390625</t>
  </si>
  <si>
    <t>20926.349609375</t>
  </si>
  <si>
    <t>522.4000244140625</t>
  </si>
  <si>
    <t>21456.650390625</t>
  </si>
  <si>
    <t>525.6500244140625</t>
  </si>
  <si>
    <t>21418.650390625</t>
  </si>
  <si>
    <t>522.3499755859375</t>
  </si>
  <si>
    <t>21453.099609375</t>
  </si>
  <si>
    <t>490.45001220703125</t>
  </si>
  <si>
    <t>21150.150390625</t>
  </si>
  <si>
    <t>503.8999938964844</t>
  </si>
  <si>
    <t>503.79998779296875</t>
  </si>
  <si>
    <t>21349.400390625</t>
  </si>
  <si>
    <t>505.3500061035156</t>
  </si>
  <si>
    <t>21441.349609375</t>
  </si>
  <si>
    <t>520.9000244140625</t>
  </si>
  <si>
    <t>21731.400390625</t>
  </si>
  <si>
    <t>534.2999877929688</t>
  </si>
  <si>
    <t>21741.900390625</t>
  </si>
  <si>
    <t>530.9000244140625</t>
  </si>
  <si>
    <t>536.0999755859375</t>
  </si>
  <si>
    <t>21517.349609375</t>
  </si>
  <si>
    <t>549.4500122070312</t>
  </si>
  <si>
    <t>21658.599609375</t>
  </si>
  <si>
    <t>542.3499755859375</t>
  </si>
  <si>
    <t>530.2000122070312</t>
  </si>
  <si>
    <t>525.2000122070312</t>
  </si>
  <si>
    <t>21544.849609375</t>
  </si>
  <si>
    <t>526.1500244140625</t>
  </si>
  <si>
    <t>532.4000244140625</t>
  </si>
  <si>
    <t>531.4500122070312</t>
  </si>
  <si>
    <t>528.7000122070312</t>
  </si>
  <si>
    <t>524.1500244140625</t>
  </si>
  <si>
    <t>537.0999755859375</t>
  </si>
  <si>
    <t>21622.400390625</t>
  </si>
  <si>
    <t>525.0499877929688</t>
  </si>
  <si>
    <t>527.4500122070312</t>
  </si>
  <si>
    <t>560.1500244140625</t>
  </si>
  <si>
    <t>21352.599609375</t>
  </si>
  <si>
    <t>21737.599609375</t>
  </si>
  <si>
    <t>570.8499755859375</t>
  </si>
  <si>
    <t>21522.099609375</t>
  </si>
  <si>
    <t>560.2999877929688</t>
  </si>
  <si>
    <t>565.0499877929688</t>
  </si>
  <si>
    <t>557.4000244140625</t>
  </si>
  <si>
    <t>566.5999755859375</t>
  </si>
  <si>
    <t>21929.400390625</t>
  </si>
  <si>
    <t>568.2000122070312</t>
  </si>
  <si>
    <t>563.3499755859375</t>
  </si>
  <si>
    <t>576.2000122070312</t>
  </si>
  <si>
    <t>570.9000244140625</t>
  </si>
  <si>
    <t>585.0999755859375</t>
  </si>
  <si>
    <t>584.8499755859375</t>
  </si>
  <si>
    <t>588.7999877929688</t>
  </si>
  <si>
    <t>587.7999877929688</t>
  </si>
  <si>
    <t>602.9500122070312</t>
  </si>
  <si>
    <t>608.5999755859375</t>
  </si>
  <si>
    <t>603.3499755859375</t>
  </si>
  <si>
    <t>22198.349609375</t>
  </si>
  <si>
    <t>21951.150390625</t>
  </si>
  <si>
    <t>605.9000244140625</t>
  </si>
  <si>
    <t>617.5999755859375</t>
  </si>
  <si>
    <t>617.1500244140625</t>
  </si>
  <si>
    <t>22405.599609375</t>
  </si>
  <si>
    <t>613.0999755859375</t>
  </si>
  <si>
    <t>598.2999877929688</t>
  </si>
  <si>
    <t>603.1500244140625</t>
  </si>
  <si>
    <t>602.0499877929688</t>
  </si>
  <si>
    <t>22332.650390625</t>
  </si>
  <si>
    <t>587.5499877929688</t>
  </si>
  <si>
    <t>582.4500122070312</t>
  </si>
  <si>
    <t>22146.650390625</t>
  </si>
  <si>
    <t>22023.349609375</t>
  </si>
  <si>
    <t>584.6500244140625</t>
  </si>
  <si>
    <t>576.3499755859375</t>
  </si>
  <si>
    <t>21839.099609375</t>
  </si>
  <si>
    <t>587.2000122070312</t>
  </si>
  <si>
    <t>589.3499755859375</t>
  </si>
  <si>
    <t>595.0499877929688</t>
  </si>
  <si>
    <t>22123.650390625</t>
  </si>
  <si>
    <t>612.3499755859375</t>
  </si>
  <si>
    <t>22326.900390625</t>
  </si>
  <si>
    <t>634.7000122070312</t>
  </si>
  <si>
    <t>634.9500122070312</t>
  </si>
  <si>
    <t>22434.650390625</t>
  </si>
  <si>
    <t>624.7000122070312</t>
  </si>
  <si>
    <t>22514.650390625</t>
  </si>
  <si>
    <t>627.2000122070312</t>
  </si>
  <si>
    <t>630.5499877929688</t>
  </si>
  <si>
    <t>623.0999755859375</t>
  </si>
  <si>
    <t>625.6500244140625</t>
  </si>
  <si>
    <t>608.8499755859375</t>
  </si>
  <si>
    <t>22519.400390625</t>
  </si>
  <si>
    <t>606.8499755859375</t>
  </si>
  <si>
    <t>617.5499877929688</t>
  </si>
  <si>
    <t>22147.900390625</t>
  </si>
  <si>
    <t>21995.849609375</t>
  </si>
  <si>
    <t>609.6500244140625</t>
  </si>
  <si>
    <t>616.2999877929688</t>
  </si>
  <si>
    <t>22336.400390625</t>
  </si>
  <si>
    <t>636.5499877929688</t>
  </si>
  <si>
    <t>644.4500122070312</t>
  </si>
  <si>
    <t>22402.400390625</t>
  </si>
  <si>
    <t>638.3499755859375</t>
  </si>
  <si>
    <t>22570.349609375</t>
  </si>
  <si>
    <t>632.3499755859375</t>
  </si>
  <si>
    <t>629.6500244140625</t>
  </si>
  <si>
    <t>22643.400390625</t>
  </si>
  <si>
    <t>619.9000244140625</t>
  </si>
  <si>
    <t>22604.849609375</t>
  </si>
  <si>
    <t>625.7000122070312</t>
  </si>
  <si>
    <t>622.4500122070312</t>
  </si>
  <si>
    <t>22475.849609375</t>
  </si>
  <si>
    <t>607.4500122070312</t>
  </si>
  <si>
    <t>593.9500122070312</t>
  </si>
  <si>
    <t>594.5499877929688</t>
  </si>
  <si>
    <t>574.2999877929688</t>
  </si>
  <si>
    <t>581.7999877929688</t>
  </si>
  <si>
    <t>588.2000122070312</t>
  </si>
  <si>
    <t>610.2000122070312</t>
  </si>
  <si>
    <t>22217.849609375</t>
  </si>
  <si>
    <t>615.4000244140625</t>
  </si>
  <si>
    <t>22403.849609375</t>
  </si>
  <si>
    <t>620.7000122070312</t>
  </si>
  <si>
    <t>22466.099609375</t>
  </si>
  <si>
    <t>631.7000122070312</t>
  </si>
  <si>
    <t>633.0499877929688</t>
  </si>
  <si>
    <t>22967.650390625</t>
  </si>
  <si>
    <t>635.2999877929688</t>
  </si>
  <si>
    <t>22957.099609375</t>
  </si>
  <si>
    <t>22888.150390625</t>
  </si>
  <si>
    <t>630.0999755859375</t>
  </si>
  <si>
    <t>619.1500244140625</t>
  </si>
  <si>
    <t>22488.650390625</t>
  </si>
  <si>
    <t>634.0499877929688</t>
  </si>
  <si>
    <t>670.7999877929688</t>
  </si>
  <si>
    <t>23263.900390625</t>
  </si>
  <si>
    <t>556.5999755859375</t>
  </si>
  <si>
    <t>598.9000244140625</t>
  </si>
  <si>
    <t>22620.349609375</t>
  </si>
  <si>
    <t>610.0499877929688</t>
  </si>
  <si>
    <t>22821.400390625</t>
  </si>
  <si>
    <t>621.2999877929688</t>
  </si>
  <si>
    <t>23290.150390625</t>
  </si>
  <si>
    <t>640.3499755859375</t>
  </si>
  <si>
    <t>23264.849609375</t>
  </si>
  <si>
    <t>668.7000122070312</t>
  </si>
  <si>
    <t>23398.900390625</t>
  </si>
  <si>
    <t>677.2000122070312</t>
  </si>
  <si>
    <t>23465.599609375</t>
  </si>
  <si>
    <t>674.0999755859375</t>
  </si>
  <si>
    <t>23557.900390625</t>
  </si>
  <si>
    <t>666.7999877929688</t>
  </si>
  <si>
    <t>659.1500244140625</t>
  </si>
  <si>
    <t>657.4500122070312</t>
  </si>
  <si>
    <t>23501.099609375</t>
  </si>
  <si>
    <t>23537.849609375</t>
  </si>
  <si>
    <t>648.7999877929688</t>
  </si>
  <si>
    <t>657.0499877929688</t>
  </si>
  <si>
    <t>660.6500244140625</t>
  </si>
  <si>
    <t>24010.599609375</t>
  </si>
  <si>
    <t>692.3499755859375</t>
  </si>
  <si>
    <t>24123.849609375</t>
  </si>
  <si>
    <t>692.7000122070312</t>
  </si>
  <si>
    <t>682.0999755859375</t>
  </si>
  <si>
    <t>24302.150390625</t>
  </si>
  <si>
    <t>24323.849609375</t>
  </si>
  <si>
    <t>683.5499877929688</t>
  </si>
  <si>
    <t>677.6500244140625</t>
  </si>
  <si>
    <t>679.1500244140625</t>
  </si>
  <si>
    <t>24502.150390625</t>
  </si>
  <si>
    <t>684.2000122070312</t>
  </si>
  <si>
    <t>685.3499755859375</t>
  </si>
  <si>
    <t>24800.849609375</t>
  </si>
  <si>
    <t>677.9000244140625</t>
  </si>
  <si>
    <t>24530.900390625</t>
  </si>
  <si>
    <t>687.0999755859375</t>
  </si>
  <si>
    <t>691.3499755859375</t>
  </si>
  <si>
    <t>682.4000244140625</t>
  </si>
  <si>
    <t>675.9000244140625</t>
  </si>
  <si>
    <t>24406.099609375</t>
  </si>
  <si>
    <t>686.4000244140625</t>
  </si>
  <si>
    <t>24834.849609375</t>
  </si>
  <si>
    <t>679.8499755859375</t>
  </si>
  <si>
    <t>24836.099609375</t>
  </si>
  <si>
    <t>674.4500122070312</t>
  </si>
  <si>
    <t>679.9500122070312</t>
  </si>
  <si>
    <t>24951.150390625</t>
  </si>
  <si>
    <t>25010.900390625</t>
  </si>
  <si>
    <t>652.7999877929688</t>
  </si>
  <si>
    <t>636.1500244140625</t>
  </si>
  <si>
    <t>24055.599609375</t>
  </si>
  <si>
    <t>625.5499877929688</t>
  </si>
  <si>
    <t>643.2999877929688</t>
  </si>
  <si>
    <t>635.4500122070312</t>
  </si>
  <si>
    <t>624.4000244140625</t>
  </si>
  <si>
    <t>623.2000122070312</t>
  </si>
  <si>
    <t>24541.150390625</t>
  </si>
  <si>
    <t>633.7000122070312</t>
  </si>
  <si>
    <t>24572.650390625</t>
  </si>
  <si>
    <t>626.4500122070312</t>
  </si>
  <si>
    <t>24698.849609375</t>
  </si>
  <si>
    <t>631.7999877929688</t>
  </si>
  <si>
    <t>633.5999755859375</t>
  </si>
  <si>
    <t>24823.150390625</t>
  </si>
  <si>
    <t>627.6500244140625</t>
  </si>
  <si>
    <t>25010.599609375</t>
  </si>
  <si>
    <t>624.4500122070312</t>
  </si>
  <si>
    <t>616.4000244140625</t>
  </si>
  <si>
    <t>25052.349609375</t>
  </si>
  <si>
    <t>617.0499877929688</t>
  </si>
  <si>
    <t>25235.900390625</t>
  </si>
  <si>
    <t>620.4000244140625</t>
  </si>
  <si>
    <t>617.7999877929688</t>
  </si>
  <si>
    <t>25279.849609375</t>
  </si>
  <si>
    <t>627.0999755859375</t>
  </si>
  <si>
    <t>631.8499755859375</t>
  </si>
  <si>
    <t>25145.099609375</t>
  </si>
  <si>
    <t>24852.150390625</t>
  </si>
  <si>
    <t>630.1500244140625</t>
  </si>
  <si>
    <t>24936.400390625</t>
  </si>
  <si>
    <t>627.0499877929688</t>
  </si>
  <si>
    <t>25041.099609375</t>
  </si>
  <si>
    <t>628.1500244140625</t>
  </si>
  <si>
    <t>25388.900390625</t>
  </si>
  <si>
    <t>629.5999755859375</t>
  </si>
  <si>
    <t>627.2999877929688</t>
  </si>
  <si>
    <t>620.0999755859375</t>
  </si>
  <si>
    <t>608.4000244140625</t>
  </si>
  <si>
    <t>616.5499877929688</t>
  </si>
  <si>
    <t>622.0499877929688</t>
  </si>
  <si>
    <t>618.2999877929688</t>
  </si>
  <si>
    <t>25940.400390625</t>
  </si>
  <si>
    <t>616.0499877929688</t>
  </si>
  <si>
    <t>26004.150390625</t>
  </si>
  <si>
    <t>625.1500244140625</t>
  </si>
  <si>
    <t>632.5499877929688</t>
  </si>
  <si>
    <t>25810.849609375</t>
  </si>
  <si>
    <t>632.4500122070312</t>
  </si>
  <si>
    <t>25796.900390625</t>
  </si>
  <si>
    <t>617.4500122070312</t>
  </si>
  <si>
    <t>25250.099609375</t>
  </si>
  <si>
    <t>610.7000122070312</t>
  </si>
  <si>
    <t>25014.599609375</t>
  </si>
  <si>
    <t>590.3499755859375</t>
  </si>
  <si>
    <t>606.4000244140625</t>
  </si>
  <si>
    <t>25013.150390625</t>
  </si>
  <si>
    <t>607.9500122070312</t>
  </si>
  <si>
    <t>585.2000122070312</t>
  </si>
  <si>
    <t>588.9000244140625</t>
  </si>
  <si>
    <t>25057.349609375</t>
  </si>
  <si>
    <t>589.0499877929688</t>
  </si>
  <si>
    <t>24749.849609375</t>
  </si>
  <si>
    <t>573.9500122070312</t>
  </si>
  <si>
    <t>571.9000244140625</t>
  </si>
  <si>
    <t>24781.099609375</t>
  </si>
  <si>
    <t>24472.099609375</t>
  </si>
  <si>
    <t>555.8499755859375</t>
  </si>
  <si>
    <t>558.9000244140625</t>
  </si>
  <si>
    <t>24399.400390625</t>
  </si>
  <si>
    <t>552.7000122070312</t>
  </si>
  <si>
    <t>569.4000244140625</t>
  </si>
  <si>
    <t>24339.150390625</t>
  </si>
  <si>
    <t>24466.849609375</t>
  </si>
  <si>
    <t>579.7000122070312</t>
  </si>
  <si>
    <t>24340.849609375</t>
  </si>
  <si>
    <t>580.5499877929688</t>
  </si>
  <si>
    <t>24205.349609375</t>
  </si>
  <si>
    <t>24304.349609375</t>
  </si>
  <si>
    <t>571.4000244140625</t>
  </si>
  <si>
    <t>23995.349609375</t>
  </si>
  <si>
    <t>582.6500244140625</t>
  </si>
  <si>
    <t>570.7000122070312</t>
  </si>
  <si>
    <t>24199.349609375</t>
  </si>
  <si>
    <t>560.4000244140625</t>
  </si>
  <si>
    <t>545.3499755859375</t>
  </si>
  <si>
    <t>550.5499877929688</t>
  </si>
  <si>
    <t>549.5499877929688</t>
  </si>
  <si>
    <t>484.1499938964844</t>
  </si>
  <si>
    <t>23349.900390625</t>
  </si>
  <si>
    <t>499.8500061035156</t>
  </si>
  <si>
    <t>504.95001220703125</t>
  </si>
  <si>
    <t>24221.900390625</t>
  </si>
  <si>
    <t>493.70001220703125</t>
  </si>
  <si>
    <t>24274.900390625</t>
  </si>
  <si>
    <t>23914.150390625</t>
  </si>
  <si>
    <t>24131.099609375</t>
  </si>
  <si>
    <t>538.7999877929688</t>
  </si>
  <si>
    <t>566.5499877929688</t>
  </si>
  <si>
    <t>24457.150390625</t>
  </si>
  <si>
    <t>564.7000122070312</t>
  </si>
  <si>
    <t>571.0999755859375</t>
  </si>
  <si>
    <t>24708.400390625</t>
  </si>
  <si>
    <t>565.2999877929688</t>
  </si>
  <si>
    <t>571.2999877929688</t>
  </si>
  <si>
    <t>578.4500122070312</t>
  </si>
  <si>
    <t>576.9500122070312</t>
  </si>
  <si>
    <t>564.5499877929688</t>
  </si>
  <si>
    <t>24198.849609375</t>
  </si>
  <si>
    <t>563.2999877929688</t>
  </si>
  <si>
    <t>548.7999877929688</t>
  </si>
  <si>
    <t>550.6500244140625</t>
  </si>
  <si>
    <t>543.0999755859375</t>
  </si>
  <si>
    <t>23727.650390625</t>
  </si>
  <si>
    <t>547.9500122070312</t>
  </si>
  <si>
    <t>23813.400390625</t>
  </si>
  <si>
    <t>544.5999755859375</t>
  </si>
  <si>
    <t>23644.900390625</t>
  </si>
  <si>
    <t>535.7999877929688</t>
  </si>
  <si>
    <t>538.5999755859375</t>
  </si>
  <si>
    <t>23742.900390625</t>
  </si>
  <si>
    <t>549.8499755859375</t>
  </si>
  <si>
    <t>24188.650390625</t>
  </si>
  <si>
    <t>548.7000122070312</t>
  </si>
  <si>
    <t>529.9000244140625</t>
  </si>
  <si>
    <t>23707.900390625</t>
  </si>
  <si>
    <t>538.0499877929688</t>
  </si>
  <si>
    <t>493.20001220703125</t>
  </si>
  <si>
    <t>515.3499755859375</t>
  </si>
  <si>
    <t>519.2999877929688</t>
  </si>
  <si>
    <t>540.1500244140625</t>
  </si>
  <si>
    <t>535.3499755859375</t>
  </si>
  <si>
    <t>23024.650390625</t>
  </si>
  <si>
    <t>536.6500244140625</t>
  </si>
  <si>
    <t>23155.349609375</t>
  </si>
  <si>
    <t>23205.349609375</t>
  </si>
  <si>
    <t>551.7999877929688</t>
  </si>
  <si>
    <t>534.9000244140625</t>
  </si>
  <si>
    <t>22829.150390625</t>
  </si>
  <si>
    <t>543.1500244140625</t>
  </si>
  <si>
    <t>522.0999755859375</t>
  </si>
  <si>
    <t>23163.099609375</t>
  </si>
  <si>
    <t>509.54998779296875</t>
  </si>
  <si>
    <t>512.7999877929688</t>
  </si>
  <si>
    <t>23508.400390625</t>
  </si>
  <si>
    <t>23482.150390625</t>
  </si>
  <si>
    <t>495.1499938964844</t>
  </si>
  <si>
    <t>513.7000122070312</t>
  </si>
  <si>
    <t>23603.349609375</t>
  </si>
  <si>
    <t>23381.599609375</t>
  </si>
  <si>
    <t>499.8999938964844</t>
  </si>
  <si>
    <t>23031.400390625</t>
  </si>
  <si>
    <t>488.29998779296875</t>
  </si>
  <si>
    <t>479.8999938964844</t>
  </si>
  <si>
    <t>22932.900390625</t>
  </si>
  <si>
    <t>482.8500061035156</t>
  </si>
  <si>
    <t>22913.150390625</t>
  </si>
  <si>
    <t>481.95001220703125</t>
  </si>
  <si>
    <t>22795.900390625</t>
  </si>
  <si>
    <t>470.3999938964844</t>
  </si>
  <si>
    <t>22553.349609375</t>
  </si>
  <si>
    <t>469.79998779296875</t>
  </si>
  <si>
    <t>464.95001220703125</t>
  </si>
  <si>
    <t>471.79998779296875</t>
  </si>
  <si>
    <t>22082.650390625</t>
  </si>
  <si>
    <t>491.1000061035156</t>
  </si>
  <si>
    <t>499.79998779296875</t>
  </si>
  <si>
    <t>489.6000061035156</t>
  </si>
  <si>
    <t>495.54998779296875</t>
  </si>
  <si>
    <t>22497.900390625</t>
  </si>
  <si>
    <t>489.20001220703125</t>
  </si>
  <si>
    <t>485.79998779296875</t>
  </si>
  <si>
    <t>490.54998779296875</t>
  </si>
  <si>
    <t>507.04998779296875</t>
  </si>
  <si>
    <t>22907.599609375</t>
  </si>
  <si>
    <t>504.70001220703125</t>
  </si>
  <si>
    <t>23190.650390625</t>
  </si>
  <si>
    <t>23350.400390625</t>
  </si>
  <si>
    <t>23658.349609375</t>
  </si>
  <si>
    <t>23668.650390625</t>
  </si>
  <si>
    <t>532.4500122070312</t>
  </si>
  <si>
    <t>23486.849609375</t>
  </si>
  <si>
    <t>542.7999877929688</t>
  </si>
  <si>
    <t>538.3499755859375</t>
  </si>
  <si>
    <t>23519.349609375</t>
  </si>
  <si>
    <t>23332.349609375</t>
  </si>
  <si>
    <t>540.7000122070312</t>
  </si>
  <si>
    <t>23250.099609375</t>
  </si>
  <si>
    <t>528.2000122070312</t>
  </si>
  <si>
    <t>22161.599609375</t>
  </si>
  <si>
    <t>536.7999877929688</t>
  </si>
  <si>
    <t>22535.849609375</t>
  </si>
  <si>
    <t>547.7999877929688</t>
  </si>
  <si>
    <t>22399.150390625</t>
  </si>
  <si>
    <t>548.6500244140625</t>
  </si>
  <si>
    <t>558.0499877929688</t>
  </si>
  <si>
    <t>569.7999877929688</t>
  </si>
  <si>
    <t>23851.650390625</t>
  </si>
  <si>
    <t>578.9000244140625</t>
  </si>
  <si>
    <t>577.9000244140625</t>
  </si>
  <si>
    <t>24039.349609375</t>
  </si>
  <si>
    <t>544.9500122070312</t>
  </si>
  <si>
    <t>533.9500122070312</t>
  </si>
  <si>
    <t>539.7000122070312</t>
  </si>
  <si>
    <t>528.4500122070312</t>
  </si>
  <si>
    <t>541.4000244140625</t>
  </si>
  <si>
    <t>24461.150390625</t>
  </si>
  <si>
    <t>535.1500244140625</t>
  </si>
  <si>
    <t>24379.599609375</t>
  </si>
  <si>
    <t>535.2000122070312</t>
  </si>
  <si>
    <t>24414.400390625</t>
  </si>
  <si>
    <t>524.4000244140625</t>
  </si>
  <si>
    <t>541.6500244140625</t>
  </si>
  <si>
    <t>536.9000244140625</t>
  </si>
  <si>
    <t>24578.349609375</t>
  </si>
  <si>
    <t>543.5999755859375</t>
  </si>
  <si>
    <t>24666.900390625</t>
  </si>
  <si>
    <t>547.5499877929688</t>
  </si>
  <si>
    <t>25062.099609375</t>
  </si>
  <si>
    <t>565.5499877929688</t>
  </si>
  <si>
    <t>562.0499877929688</t>
  </si>
  <si>
    <t>24683.900390625</t>
  </si>
  <si>
    <t>567.7999877929688</t>
  </si>
  <si>
    <t>24853.150390625</t>
  </si>
  <si>
    <t>567.1500244140625</t>
  </si>
  <si>
    <t>25001.150390625</t>
  </si>
  <si>
    <t>562.7000122070312</t>
  </si>
  <si>
    <t>561.6500244140625</t>
  </si>
  <si>
    <t>561.4500122070312</t>
  </si>
  <si>
    <t>24833.599609375</t>
  </si>
  <si>
    <t>555.5499877929688</t>
  </si>
  <si>
    <t>24716.599609375</t>
  </si>
  <si>
    <t>552.4000244140625</t>
  </si>
  <si>
    <t>552.4500122070312</t>
  </si>
  <si>
    <t>550.1500244140625</t>
  </si>
  <si>
    <t>24750.900390625</t>
  </si>
  <si>
    <t>555.1500244140625</t>
  </si>
  <si>
    <t>561.0999755859375</t>
  </si>
  <si>
    <t>25141.400390625</t>
  </si>
  <si>
    <t>548.3499755859375</t>
  </si>
  <si>
    <t>24718.599609375</t>
  </si>
  <si>
    <t>550.9000244140625</t>
  </si>
  <si>
    <t>24853.400390625</t>
  </si>
  <si>
    <t>545.0499877929688</t>
  </si>
  <si>
    <t>532.7999877929688</t>
  </si>
  <si>
    <t>533.4500122070312</t>
  </si>
  <si>
    <t>25112.400390625</t>
  </si>
  <si>
    <t>535.5499877929688</t>
  </si>
  <si>
    <t>24971.900390625</t>
  </si>
  <si>
    <t>554.2000122070312</t>
  </si>
  <si>
    <t>25044.349609375</t>
  </si>
  <si>
    <t>559.4000244140625</t>
  </si>
  <si>
    <t>574.9500122070312</t>
  </si>
  <si>
    <t>577.4500122070312</t>
  </si>
  <si>
    <t>594.2000122070312</t>
  </si>
  <si>
    <t>25453.400390625</t>
  </si>
  <si>
    <t>591.5499877929688</t>
  </si>
  <si>
    <t>25476.099609375</t>
  </si>
  <si>
    <t>585.4000244140625</t>
  </si>
  <si>
    <t>587.1500244140625</t>
  </si>
  <si>
    <t>25149.849609375</t>
  </si>
  <si>
    <t>590.1500244140625</t>
  </si>
  <si>
    <t>593.0999755859375</t>
  </si>
  <si>
    <t>594.5999755859375</t>
  </si>
  <si>
    <t>596.7000122070312</t>
  </si>
  <si>
    <t>24968.400390625</t>
  </si>
  <si>
    <t>620.5499877929688</t>
  </si>
  <si>
    <t>25060.900390625</t>
  </si>
  <si>
    <t>25219.900390625</t>
  </si>
  <si>
    <t>611.0499877929688</t>
  </si>
  <si>
    <t>24680.900390625</t>
  </si>
  <si>
    <t>24821.099609375</t>
  </si>
  <si>
    <t>617.8499755859375</t>
  </si>
  <si>
    <t>592.7000122070312</t>
  </si>
  <si>
    <t>24768.349609375</t>
  </si>
  <si>
    <t>24565.349609375</t>
  </si>
  <si>
    <t>602.7000122070312</t>
  </si>
  <si>
    <t>589.9000244140625</t>
  </si>
  <si>
    <t>592.3499755859375</t>
  </si>
  <si>
    <t>24596.150390625</t>
  </si>
  <si>
    <t>588.8499755859375</t>
  </si>
  <si>
    <t>24487.400390625</t>
  </si>
  <si>
    <t>580.8499755859375</t>
  </si>
  <si>
    <t>24619.349609375</t>
  </si>
  <si>
    <t>578.0499877929688</t>
  </si>
  <si>
    <t>590.0499877929688</t>
  </si>
  <si>
    <t>592.4000244140625</t>
  </si>
  <si>
    <t>24980.650390625</t>
  </si>
  <si>
    <t>591.9000244140625</t>
  </si>
  <si>
    <t>577.1500244140625</t>
  </si>
  <si>
    <t>24870.099609375</t>
  </si>
  <si>
    <t>572.7999877929688</t>
  </si>
  <si>
    <t>561.7999877929688</t>
  </si>
  <si>
    <t>24500.900390625</t>
  </si>
  <si>
    <t>563.2000122070312</t>
  </si>
  <si>
    <t>24426.849609375</t>
  </si>
  <si>
    <t>567.0999755859375</t>
  </si>
  <si>
    <t>24579.599609375</t>
  </si>
  <si>
    <t>567.7000122070312</t>
  </si>
  <si>
    <t>566.7000122070312</t>
  </si>
  <si>
    <t>570.2999877929688</t>
  </si>
  <si>
    <t>24773.150390625</t>
  </si>
  <si>
    <t>567.5999755859375</t>
  </si>
  <si>
    <t>24868.599609375</t>
  </si>
  <si>
    <t>566.8499755859375</t>
  </si>
  <si>
    <t>24973.099609375</t>
  </si>
  <si>
    <t>560.5499877929688</t>
  </si>
  <si>
    <t>573.6500244140625</t>
  </si>
  <si>
    <t>25239.099609375</t>
  </si>
  <si>
    <t>582.0499877929688</t>
  </si>
  <si>
    <t>25423.599609375</t>
  </si>
  <si>
    <t>590.2999877929688</t>
  </si>
  <si>
    <t>25202.349609375</t>
  </si>
  <si>
    <t>591.5999755859375</t>
  </si>
  <si>
    <t>25056.900390625</t>
  </si>
  <si>
    <t>579.4000244140625</t>
  </si>
  <si>
    <t>24890.849609375</t>
  </si>
  <si>
    <t>565.2000122070312</t>
  </si>
  <si>
    <t>562.1500244140625</t>
  </si>
  <si>
    <t>24634.900390625</t>
  </si>
  <si>
    <t>569.9500122070312</t>
  </si>
  <si>
    <t>24611.099609375</t>
  </si>
  <si>
    <t>576.1500244140625</t>
  </si>
  <si>
    <t>573.7999877929688</t>
  </si>
  <si>
    <t>25077.650390625</t>
  </si>
  <si>
    <t>566.2999877929688</t>
  </si>
  <si>
    <t>25046.150390625</t>
  </si>
  <si>
    <t>565.9000244140625</t>
  </si>
  <si>
    <t>25285.349609375</t>
  </si>
  <si>
    <t>25227.349609375</t>
  </si>
  <si>
    <t>563.5999755859375</t>
  </si>
  <si>
    <t>569.7000122070312</t>
  </si>
  <si>
    <t>25709.849609375</t>
  </si>
  <si>
    <t>25843.150390625</t>
  </si>
  <si>
    <t>25868.599609375</t>
  </si>
  <si>
    <t>564.3499755859375</t>
  </si>
  <si>
    <t>25891.400390625</t>
  </si>
  <si>
    <t>25795.150390625</t>
  </si>
  <si>
    <t>554.9000244140625</t>
  </si>
  <si>
    <t>26053.900390625</t>
  </si>
  <si>
    <t>567.9000244140625</t>
  </si>
  <si>
    <t>25877.849609375</t>
  </si>
  <si>
    <t>565.4000244140625</t>
  </si>
  <si>
    <t>25722.099609375</t>
  </si>
  <si>
    <t>25763.349609375</t>
  </si>
  <si>
    <t>567.4000244140625</t>
  </si>
  <si>
    <t>25597.650390625</t>
  </si>
  <si>
    <t>558.4000244140625</t>
  </si>
  <si>
    <t>558.7999877929688</t>
  </si>
  <si>
    <t>556.0999755859375</t>
  </si>
  <si>
    <t>25574.349609375</t>
  </si>
  <si>
    <t>562.5499877929688</t>
  </si>
  <si>
    <t>559.3499755859375</t>
  </si>
  <si>
    <t>25879.150390625</t>
  </si>
  <si>
    <t>557.7999877929688</t>
  </si>
  <si>
    <t>555.2999877929688</t>
  </si>
  <si>
    <t>26052.650390625</t>
  </si>
  <si>
    <t>26192.150390625</t>
  </si>
  <si>
    <t>26068.150390625</t>
  </si>
  <si>
    <t>545.8499755859375</t>
  </si>
  <si>
    <t>550.2000122070312</t>
  </si>
  <si>
    <t>543.3499755859375</t>
  </si>
  <si>
    <t>533.7999877929688</t>
  </si>
  <si>
    <t>528.9500122070312</t>
  </si>
  <si>
    <t>533.0499877929688</t>
  </si>
  <si>
    <t>25839.650390625</t>
  </si>
  <si>
    <t>529.7000122070312</t>
  </si>
  <si>
    <t>548.1500244140625</t>
  </si>
  <si>
    <t>553.4500122070312</t>
  </si>
  <si>
    <t>25860.099609375</t>
  </si>
  <si>
    <t>541.2999877929688</t>
  </si>
  <si>
    <t>539.6500244140625</t>
  </si>
  <si>
    <t>25966.400390625</t>
  </si>
  <si>
    <t>539.9500122070312</t>
  </si>
  <si>
    <t>26172.400390625</t>
  </si>
  <si>
    <t>546.9000244140625</t>
  </si>
  <si>
    <t>26177.150390625</t>
  </si>
  <si>
    <t>548.0999755859375</t>
  </si>
  <si>
    <t>26142.099609375</t>
  </si>
  <si>
    <t>554.6500244140625</t>
  </si>
  <si>
    <t>552.0999755859375</t>
  </si>
  <si>
    <t>25942.099609375</t>
  </si>
  <si>
    <t>25938.849609375</t>
  </si>
  <si>
    <t>556.3499755859375</t>
  </si>
  <si>
    <t>26129.599609375</t>
  </si>
  <si>
    <t>559.6500244140625</t>
  </si>
  <si>
    <t>563.5499877929688</t>
  </si>
  <si>
    <t>546.7000122070312</t>
  </si>
  <si>
    <t>25876.849609375</t>
  </si>
  <si>
    <t>536.9500122070312</t>
  </si>
  <si>
    <t>538.7000122070312</t>
  </si>
  <si>
    <t>537.6500244140625</t>
  </si>
  <si>
    <t>25665.599609375</t>
  </si>
  <si>
    <t>25694.349609375</t>
  </si>
  <si>
    <t>552.1500244140625</t>
  </si>
  <si>
    <t>536.2999877929688</t>
  </si>
  <si>
    <t>538.6500244140625</t>
  </si>
  <si>
    <t>546.5999755859375</t>
  </si>
  <si>
    <t>25289.900390625</t>
  </si>
  <si>
    <t>518.5999755859375</t>
  </si>
  <si>
    <t>25048.650390625</t>
  </si>
  <si>
    <t>25175.400390625</t>
  </si>
  <si>
    <t>536.0499877929688</t>
  </si>
  <si>
    <t>25418.900390625</t>
  </si>
  <si>
    <t>510.1499938964844</t>
  </si>
  <si>
    <t>25320.650390625</t>
  </si>
  <si>
    <t>25088.400390625</t>
  </si>
  <si>
    <t>529.4500122070312</t>
  </si>
  <si>
    <t>542.4500122070312</t>
  </si>
  <si>
    <t>25935.150390625</t>
  </si>
  <si>
    <t>25953.849609375</t>
  </si>
  <si>
    <t>519.4500122070312</t>
  </si>
  <si>
    <t>25471.099609375</t>
  </si>
  <si>
    <t>524.7000122070312</t>
  </si>
  <si>
    <t>25725.400390625</t>
  </si>
  <si>
    <t>25819.349609375</t>
  </si>
  <si>
    <t>512.1500244140625</t>
  </si>
  <si>
    <t>25454.349609375</t>
  </si>
  <si>
    <t>515.2999877929688</t>
  </si>
  <si>
    <t>25424.650390625</t>
  </si>
  <si>
    <t>511.1000061035156</t>
  </si>
  <si>
    <t>500.3999938964844</t>
  </si>
  <si>
    <t>25178.650390625</t>
  </si>
  <si>
    <t>476.1499938964844</t>
  </si>
  <si>
    <t>24765.900390625</t>
  </si>
  <si>
    <t>451.95001220703125</t>
  </si>
  <si>
    <t>462.1000061035156</t>
  </si>
  <si>
    <t>24261.599609375</t>
  </si>
  <si>
    <t>457.79998779296875</t>
  </si>
  <si>
    <t>23866.849609375</t>
  </si>
  <si>
    <t>446.45001220703125</t>
  </si>
  <si>
    <t>23639.150390625</t>
  </si>
  <si>
    <t>425.3500061035156</t>
  </si>
  <si>
    <t>23151.099609375</t>
  </si>
  <si>
    <t>434.20001220703125</t>
  </si>
  <si>
    <t>23581.150390625</t>
  </si>
  <si>
    <t>419.95001220703125</t>
  </si>
  <si>
    <t>23002.150390625</t>
  </si>
  <si>
    <t>420.54998779296875</t>
  </si>
  <si>
    <t>22512.650390625</t>
  </si>
  <si>
    <t>407.54998779296875</t>
  </si>
  <si>
    <t>22912.400390625</t>
  </si>
  <si>
    <t>421.79998779296875</t>
  </si>
  <si>
    <t>408.8500061035156</t>
  </si>
  <si>
    <t>22819.599609375</t>
  </si>
  <si>
    <t>22331.400390625</t>
  </si>
  <si>
    <t>420.3500061035156</t>
  </si>
  <si>
    <t>22679.400390625</t>
  </si>
  <si>
    <t>418.45001220703125</t>
  </si>
  <si>
    <t>22713.099609375</t>
  </si>
  <si>
    <t>430.04998779296875</t>
  </si>
  <si>
    <t>23123.650390625</t>
  </si>
  <si>
    <t>23997.349609375</t>
  </si>
  <si>
    <t>434.04998779296875</t>
  </si>
  <si>
    <t>23775.099609375</t>
  </si>
  <si>
    <t>24050.599609375</t>
  </si>
  <si>
    <t>23842.650390625</t>
  </si>
  <si>
    <t>458.04998779296875</t>
  </si>
  <si>
    <t>454.8999938964844</t>
  </si>
  <si>
    <t>24364.849609375</t>
  </si>
  <si>
    <t>24576.599609375</t>
  </si>
  <si>
    <t>24378.099609375</t>
  </si>
  <si>
    <t>450.3999938964844</t>
  </si>
  <si>
    <t>451.20001220703125</t>
  </si>
  <si>
    <t>458.79998779296875</t>
  </si>
  <si>
    <t>454.6000061035156</t>
  </si>
  <si>
    <t>24177.650390625</t>
  </si>
  <si>
    <t>444.20001220703125</t>
  </si>
  <si>
    <t>445.29998779296875</t>
  </si>
  <si>
    <t>433.1000061035156</t>
  </si>
  <si>
    <t>446.8999938964844</t>
  </si>
  <si>
    <t>450.6499938964844</t>
  </si>
  <si>
    <t>24326.650390625</t>
  </si>
  <si>
    <t>444.29998779296875</t>
  </si>
  <si>
    <t>24176.150390625</t>
  </si>
  <si>
    <t>436.20001220703125</t>
  </si>
  <si>
    <t>23815.849609375</t>
  </si>
  <si>
    <t>426.95001220703125</t>
  </si>
  <si>
    <t>438.3999938964844</t>
  </si>
  <si>
    <t>23412.599609375</t>
  </si>
  <si>
    <t>23689.599609375</t>
  </si>
  <si>
    <t>430.1499938964844</t>
  </si>
  <si>
    <t>431.70001220703125</t>
  </si>
  <si>
    <t xml:space="preserve"> Consolidated Quarterly Results  (Rs. Crores)</t>
  </si>
  <si>
    <t>Quarter ended</t>
  </si>
  <si>
    <t>Years</t>
  </si>
  <si>
    <t>Net Sales</t>
  </si>
  <si>
    <t>Other Income</t>
  </si>
  <si>
    <t>Expenditure</t>
  </si>
  <si>
    <t>Cost of Materials Consumed</t>
  </si>
  <si>
    <t>Finance Costs</t>
  </si>
  <si>
    <t>Other Expenses</t>
  </si>
  <si>
    <t>Employee benefit expense</t>
  </si>
  <si>
    <t>Purchases of stock-in-trade</t>
  </si>
  <si>
    <t>Changes in inventories of finished goods, work-in-progress and stock-in-trade</t>
  </si>
  <si>
    <t>Depreciation and amortisation expense</t>
  </si>
  <si>
    <t>Profit (+)/ Loss (-) from Ordinary Activities before Tax</t>
  </si>
  <si>
    <t>Tax</t>
  </si>
  <si>
    <t>Net Profit (+)/ Loss (-) from Ordinary Activities after Tax</t>
  </si>
  <si>
    <t>Net Profit</t>
  </si>
  <si>
    <t>Current tax</t>
  </si>
  <si>
    <t>Deferred tax</t>
  </si>
  <si>
    <t>Minority Interest</t>
  </si>
  <si>
    <t>Share of Profit &amp; Loss of Asso</t>
  </si>
  <si>
    <t>Net Profit after Mino Inter &amp; Share of P &amp; L</t>
  </si>
  <si>
    <t>Any Other</t>
  </si>
  <si>
    <t>Income Attributable to Consolidated Group</t>
  </si>
  <si>
    <t>EPS after Extraordinary items (in Rs)</t>
  </si>
  <si>
    <t>Exceptional Item</t>
  </si>
  <si>
    <t>Profit after Interest but before Exceptional Items</t>
  </si>
  <si>
    <t>Net Profit Loss for the period from continuing operations</t>
  </si>
  <si>
    <t>Profit (loss) from discontinuing operations before tax</t>
  </si>
  <si>
    <t>Tax expense of discontinuing operations</t>
  </si>
  <si>
    <t>Net profit (loss) from discontinuing operation after tax</t>
  </si>
  <si>
    <t>Other Comprehensive Income Net of Taxes</t>
  </si>
  <si>
    <t>Any Other Comprehensive Item</t>
  </si>
  <si>
    <t>Total Comprehensive Income for the Period</t>
  </si>
  <si>
    <t>Total Amount of items that will not be reclassified to profit and loss</t>
  </si>
  <si>
    <t>Income tax relating to items that will not be reclassified to profit or loss</t>
  </si>
  <si>
    <t>Total Amount of items that will be reclassified to profit and loss</t>
  </si>
  <si>
    <t>Income tax relating to items that will be reclassified to profit or loss</t>
  </si>
  <si>
    <t>Net movement in regulatory deferral account balances</t>
  </si>
  <si>
    <t>Share of profit(loss) of associates and joint ventures</t>
  </si>
  <si>
    <t>Basic EPS for continuing operation</t>
  </si>
  <si>
    <t>Diluted EPS for continuing operation</t>
  </si>
  <si>
    <t>Basic for discontinued &amp; continuing operation</t>
  </si>
  <si>
    <t>Diluted for discontinued &amp; continuing operation</t>
  </si>
  <si>
    <t>Ambuja Cement</t>
  </si>
  <si>
    <t>Ultra tech Cement</t>
  </si>
  <si>
    <t>Metric</t>
  </si>
  <si>
    <t>Debtor Days</t>
  </si>
  <si>
    <t>Inventory Days</t>
  </si>
  <si>
    <t>Days Payable</t>
  </si>
  <si>
    <t>Cash Conversion Cycle</t>
  </si>
  <si>
    <t>Working Capital Days</t>
  </si>
  <si>
    <t>ROCE %</t>
  </si>
  <si>
    <t>Shree Cement</t>
  </si>
  <si>
    <t>J.K Cement</t>
  </si>
  <si>
    <t>Ratio Analysis- Ambuja</t>
  </si>
  <si>
    <t>Trends</t>
  </si>
  <si>
    <t>Mean</t>
  </si>
  <si>
    <t>Median</t>
  </si>
  <si>
    <t>Sales Growth</t>
  </si>
  <si>
    <t>EBITDA Growth</t>
  </si>
  <si>
    <t>EBIT Growth</t>
  </si>
  <si>
    <t>Net Profit Growth</t>
  </si>
  <si>
    <t xml:space="preserve">Dividend Growth </t>
  </si>
  <si>
    <t>Gross Margin</t>
  </si>
  <si>
    <t>EBITDA Margin</t>
  </si>
  <si>
    <t>EBIT Margin</t>
  </si>
  <si>
    <t>EBT Margin</t>
  </si>
  <si>
    <t>Net Profit Margin</t>
  </si>
  <si>
    <t>Sales Expenses%Sales</t>
  </si>
  <si>
    <t>Depriciation%Sales</t>
  </si>
  <si>
    <t>Operating Income%Sales</t>
  </si>
  <si>
    <t xml:space="preserve">Return on Capital Employed </t>
  </si>
  <si>
    <t>Retained Earning %</t>
  </si>
  <si>
    <t>Return on Equity %</t>
  </si>
  <si>
    <t xml:space="preserve">Self Sustained Growth Rate </t>
  </si>
  <si>
    <t xml:space="preserve">Interest Coverage Ratio </t>
  </si>
  <si>
    <t>Debtor Turnover Ratio</t>
  </si>
  <si>
    <t>Creditor Turnover Ratio</t>
  </si>
  <si>
    <t>Inventory Turnover</t>
  </si>
  <si>
    <t>Fixed Asset Turnover</t>
  </si>
  <si>
    <t>Capital Turnover Ratio</t>
  </si>
  <si>
    <t>(In days)</t>
  </si>
  <si>
    <t>Debtors Day</t>
  </si>
  <si>
    <t>Payable Days</t>
  </si>
  <si>
    <t>CFO/Sales</t>
  </si>
  <si>
    <t>CFO/Total Assets</t>
  </si>
  <si>
    <t>CFO/Total Debt</t>
  </si>
  <si>
    <t xml:space="preserve">Particular </t>
  </si>
  <si>
    <t>Mar 31, 2023</t>
  </si>
  <si>
    <t xml:space="preserve">Beginning balance </t>
  </si>
  <si>
    <t xml:space="preserve">Add: Net Purchases </t>
  </si>
  <si>
    <t xml:space="preserve">Total Fixed Assets </t>
  </si>
  <si>
    <t xml:space="preserve">Less: Depreciation </t>
  </si>
  <si>
    <t xml:space="preserve">Closing Balance(Fixed Asests ) </t>
  </si>
  <si>
    <t xml:space="preserve">Net Capital expenditure </t>
  </si>
  <si>
    <t xml:space="preserve">Net Capital expenditure / Sales percentage </t>
  </si>
  <si>
    <t xml:space="preserve">Median Capital expenditure /Sales percentage </t>
  </si>
  <si>
    <t xml:space="preserve">Average  Capital expenditure /Sales percentage </t>
  </si>
  <si>
    <t xml:space="preserve">Inventory </t>
  </si>
  <si>
    <t xml:space="preserve">Trade Receivables </t>
  </si>
  <si>
    <t>Trade Payable</t>
  </si>
  <si>
    <t xml:space="preserve">Non Cash working Capital </t>
  </si>
  <si>
    <t xml:space="preserve">Change in Working Capital </t>
  </si>
  <si>
    <t xml:space="preserve">change in working Capital /percentage of sales </t>
  </si>
  <si>
    <t xml:space="preserve">Median Non Cash working Capital  /Sales percentage </t>
  </si>
  <si>
    <t xml:space="preserve">Average  Non Cash working Capital  /Sales percentage </t>
  </si>
  <si>
    <t>EBIT</t>
  </si>
  <si>
    <t>Less: Tax on EBIT</t>
  </si>
  <si>
    <t>EBIT * (1- Tax) NOPAT</t>
  </si>
  <si>
    <t xml:space="preserve">Less: Net Capital expenditure </t>
  </si>
  <si>
    <t xml:space="preserve">Less: Net Change in working Capital </t>
  </si>
  <si>
    <t>Reinvestment</t>
  </si>
  <si>
    <t>Free Cash Flow</t>
  </si>
  <si>
    <t xml:space="preserve">Reinvestment Rate </t>
  </si>
  <si>
    <t xml:space="preserve">Median Reinvestment rate   /Sales percentage </t>
  </si>
  <si>
    <t xml:space="preserve">Average Reinvestment rate   /Sales percentage </t>
  </si>
  <si>
    <t>Consolidated Balance Sheet</t>
  </si>
  <si>
    <t xml:space="preserve">Mar 31, 2023
</t>
  </si>
  <si>
    <t>ASSETS</t>
  </si>
  <si>
    <t>1  Non-current assets</t>
  </si>
  <si>
    <t>a) Property, plant and equipment</t>
  </si>
  <si>
    <t>b) Right-of-use assets</t>
  </si>
  <si>
    <t>c) Capital work-in-progress</t>
  </si>
  <si>
    <t>d) Goodwill</t>
  </si>
  <si>
    <t>e) Other intangible assets</t>
  </si>
  <si>
    <t xml:space="preserve">   Other intangible assets under development</t>
  </si>
  <si>
    <t>f) Investments in associates and joint ventures</t>
  </si>
  <si>
    <t>g) Financial assets</t>
  </si>
  <si>
    <t xml:space="preserve">   i) Investments</t>
  </si>
  <si>
    <t xml:space="preserve">   ii) Loans</t>
  </si>
  <si>
    <t xml:space="preserve">   iii) Other financial assets</t>
  </si>
  <si>
    <t>h) Non-current tax assets (net)</t>
  </si>
  <si>
    <t>i) Deferred tax assets (net)</t>
  </si>
  <si>
    <t>j) Other non-current assets</t>
  </si>
  <si>
    <t>Total - Non-current assets</t>
  </si>
  <si>
    <t>2  Current assets</t>
  </si>
  <si>
    <t>a) Inventories</t>
  </si>
  <si>
    <t>b) Financial assets</t>
  </si>
  <si>
    <t xml:space="preserve">   ii) Trade receivables</t>
  </si>
  <si>
    <t xml:space="preserve">   iii) Cash and cash equivalents</t>
  </si>
  <si>
    <t xml:space="preserve">   iv) Bank balances other than cash and cash equivalents</t>
  </si>
  <si>
    <t xml:space="preserve">   v) Loans</t>
  </si>
  <si>
    <t xml:space="preserve">   vi) Other financial assets</t>
  </si>
  <si>
    <t>c) Current tax assets (net)</t>
  </si>
  <si>
    <t>d) Other current assets</t>
  </si>
  <si>
    <t>e) Non-current assets classified as held for sale</t>
  </si>
  <si>
    <t>Total - Current assets</t>
  </si>
  <si>
    <t>TOTAL - ASSETS</t>
  </si>
  <si>
    <t>EQUITY AND LIABILITIES</t>
  </si>
  <si>
    <t>a) Equity share capital</t>
  </si>
  <si>
    <t>b) Other equity</t>
  </si>
  <si>
    <t>c) Money received against share warrants</t>
  </si>
  <si>
    <t>Equity attributable to owners of the Company</t>
  </si>
  <si>
    <t>d) Non-controlling interest</t>
  </si>
  <si>
    <t>Liabilities</t>
  </si>
  <si>
    <t>1  Non-current liabilities</t>
  </si>
  <si>
    <t>a) Financial liabilities</t>
  </si>
  <si>
    <t xml:space="preserve">   i) Borrowings</t>
  </si>
  <si>
    <t xml:space="preserve">   ii) Lease liabilities</t>
  </si>
  <si>
    <t xml:space="preserve">   iii) Other financial liabilities</t>
  </si>
  <si>
    <t>b) Provisions</t>
  </si>
  <si>
    <t>c) Deferred tax liabilities (net)</t>
  </si>
  <si>
    <t>d) Other non-current liabilities</t>
  </si>
  <si>
    <t>Total - Non-current liabilities</t>
  </si>
  <si>
    <t>2  Current liabilities</t>
  </si>
  <si>
    <t xml:space="preserve">   ia) Lease liabilities</t>
  </si>
  <si>
    <t xml:space="preserve">   ii) Trade payables</t>
  </si>
  <si>
    <t xml:space="preserve">      - Micro and small enterprises</t>
  </si>
  <si>
    <t xml:space="preserve">      - Others</t>
  </si>
  <si>
    <t>b) Other current liabilities</t>
  </si>
  <si>
    <t>c) Provisions</t>
  </si>
  <si>
    <t>d) Current tax liabilities (net)</t>
  </si>
  <si>
    <t>Total - Current liabilities</t>
  </si>
  <si>
    <t>Total Liabilities</t>
  </si>
  <si>
    <t>TOTAL - EQUITY AND LIABILITIES</t>
  </si>
  <si>
    <t>Note: FY2019 figures from 2020 Annual Report | FY Dec 2021 restated per 2022-23 report | Mar 2023 = 15-month period (Jan 2022 - Mar 2023)</t>
  </si>
  <si>
    <t>INR Cr</t>
  </si>
  <si>
    <t>LTM</t>
  </si>
  <si>
    <t>Y1E</t>
  </si>
  <si>
    <t>Y2E</t>
  </si>
  <si>
    <t>Y3E</t>
  </si>
  <si>
    <t>Y4E</t>
  </si>
  <si>
    <t>Y5E</t>
  </si>
  <si>
    <t>Y6E</t>
  </si>
  <si>
    <t>Y7E</t>
  </si>
  <si>
    <t>Y8E</t>
  </si>
  <si>
    <t>Y9E</t>
  </si>
  <si>
    <t>Y10E</t>
  </si>
  <si>
    <t>Terminal Year</t>
  </si>
  <si>
    <t>Terminal growth rate %</t>
  </si>
  <si>
    <t xml:space="preserve">Sales </t>
  </si>
  <si>
    <t>Cost of Capital %</t>
  </si>
  <si>
    <t>Terminal reinvestment rate %</t>
  </si>
  <si>
    <t>EBIT Margin %</t>
  </si>
  <si>
    <t>Enterprise value = Equity Value + Minority interest</t>
  </si>
  <si>
    <t>EBIT(1-T)</t>
  </si>
  <si>
    <t>Less: Net Capital Expenditure</t>
  </si>
  <si>
    <t>Non Cash Working Capital</t>
  </si>
  <si>
    <t>Less: Change in Working Capital</t>
  </si>
  <si>
    <t>Free Cash Flow To Firm (FCFF)</t>
  </si>
  <si>
    <t>Implied Reinvestment rate %</t>
  </si>
  <si>
    <t>Terminal Value</t>
  </si>
  <si>
    <t>Present Value Interest Factor(PVIF)</t>
  </si>
  <si>
    <t>Present value of FCFF</t>
  </si>
  <si>
    <t>Present value of Terminal value</t>
  </si>
  <si>
    <t>Value of operating assets</t>
  </si>
  <si>
    <t>Add: Cash</t>
  </si>
  <si>
    <t>Less: Debt</t>
  </si>
  <si>
    <t>Less: Minority Interest (NCI - Book Value)</t>
  </si>
  <si>
    <t>Equity Value</t>
  </si>
  <si>
    <t>No. of Shares outstanding (Cr)</t>
  </si>
  <si>
    <t xml:space="preserve">intrinsic value per share </t>
  </si>
  <si>
    <t>Note: TV uses Terminal FCFF (reinvestment-adjusted). Cash includes bank balances. Debt includes lease liabilities. NCI at book value.</t>
  </si>
  <si>
    <t>Particulars (in RS Cr.)</t>
  </si>
  <si>
    <t>Dec 20</t>
  </si>
  <si>
    <t>Dec 21</t>
  </si>
  <si>
    <t>Mar 23</t>
  </si>
  <si>
    <t>Mar 24</t>
  </si>
  <si>
    <t>Mar 25</t>
  </si>
  <si>
    <t>Revenue from operations</t>
  </si>
  <si>
    <t>Revenue growth in %</t>
  </si>
  <si>
    <t>Less: Material cost</t>
  </si>
  <si>
    <t>Less: Employee costs</t>
  </si>
  <si>
    <t>Less: Other Expenses</t>
  </si>
  <si>
    <t>EBITDA</t>
  </si>
  <si>
    <t>Less: Depreciation And Amortization</t>
  </si>
  <si>
    <t xml:space="preserve">EBIT </t>
  </si>
  <si>
    <t>ADD: Non operating  income/ Other Income</t>
  </si>
  <si>
    <t xml:space="preserve">Less: Interest Expenses </t>
  </si>
  <si>
    <t>EBT</t>
  </si>
  <si>
    <t>Less: TAX</t>
  </si>
  <si>
    <t>Less:Non Controlling Interest/Minority Interest</t>
  </si>
  <si>
    <t>Net Profit- Pat</t>
  </si>
  <si>
    <t>Historical Growth</t>
  </si>
  <si>
    <t>Average Growth</t>
  </si>
  <si>
    <t>CAGR</t>
  </si>
  <si>
    <t>RRI</t>
  </si>
  <si>
    <t>Margins</t>
  </si>
  <si>
    <t>Net Proftt</t>
  </si>
  <si>
    <t>Effective tax rate</t>
  </si>
  <si>
    <t>Marginal Tax rate</t>
  </si>
  <si>
    <t>Return On Capital</t>
  </si>
  <si>
    <t>EBIT*(1-T)</t>
  </si>
  <si>
    <t>Book Equity</t>
  </si>
  <si>
    <t>Book Debt</t>
  </si>
  <si>
    <t>Cash and Cash equivalents</t>
  </si>
  <si>
    <t>Capital Employed</t>
  </si>
  <si>
    <t>Pre-Tax Return on capital</t>
  </si>
  <si>
    <t>Post Tax return On capital</t>
  </si>
  <si>
    <t>Growth In EBIT</t>
  </si>
  <si>
    <t>Scenario 1: High Growth</t>
  </si>
  <si>
    <t>INR Cr.</t>
  </si>
  <si>
    <t>Y4W</t>
  </si>
  <si>
    <t>Sales</t>
  </si>
  <si>
    <t>Risk free rate</t>
  </si>
  <si>
    <t>Sales Growth %</t>
  </si>
  <si>
    <t>Scenario 2: Average Growth</t>
  </si>
  <si>
    <t>Average rate</t>
  </si>
  <si>
    <t>Scenario 3: EBIT Growth</t>
  </si>
  <si>
    <t>Live Scenario</t>
  </si>
  <si>
    <t>Sales Forecasting</t>
  </si>
  <si>
    <t>EBITDA Forecasting</t>
  </si>
  <si>
    <t>Earning per share Forecasting</t>
  </si>
  <si>
    <t>Year Weight</t>
  </si>
  <si>
    <t>Year</t>
  </si>
  <si>
    <t>EPS</t>
  </si>
  <si>
    <t>EPS Growth</t>
  </si>
  <si>
    <t>Company</t>
  </si>
  <si>
    <t>Market Data</t>
  </si>
  <si>
    <t>Financial Data</t>
  </si>
  <si>
    <t>Valuation Ratios</t>
  </si>
  <si>
    <t>Price
(₹)</t>
  </si>
  <si>
    <t>Shares
(Cr.)</t>
  </si>
  <si>
    <t>Mkt Cap
(Cr.)</t>
  </si>
  <si>
    <t>EV
(Cr.)</t>
  </si>
  <si>
    <t>Revenue
(Cr.)</t>
  </si>
  <si>
    <t>EBITDA
(Cr.)</t>
  </si>
  <si>
    <t>EBIT
(Cr.)</t>
  </si>
  <si>
    <t>EPS
(₹)</t>
  </si>
  <si>
    <t>P/E</t>
  </si>
  <si>
    <t>EV/Sales</t>
  </si>
  <si>
    <t>EV/EBITDA</t>
  </si>
  <si>
    <t>EV/EBIT</t>
  </si>
  <si>
    <t>Ambuja Cements</t>
  </si>
  <si>
    <t>UltraTech Cem.</t>
  </si>
  <si>
    <t>J K Cements</t>
  </si>
  <si>
    <t>Dalmia BharatLtd</t>
  </si>
  <si>
    <t>ACC</t>
  </si>
  <si>
    <t>Peer Average</t>
  </si>
  <si>
    <t>Peer Median</t>
  </si>
  <si>
    <t>Ambuja — IMPLIED SHARE PRICE FROM PEER MULTIPLES</t>
  </si>
  <si>
    <t>Valuation
Basis</t>
  </si>
  <si>
    <t>Peer Avg
Multiple</t>
  </si>
  <si>
    <t>Peer Median
Multiple</t>
  </si>
  <si>
    <t>Ambuja
Actual</t>
  </si>
  <si>
    <t>Implied EV
(Avg)</t>
  </si>
  <si>
    <t>Implied EV
(Median)</t>
  </si>
  <si>
    <t>Implied Equity
(Avg)</t>
  </si>
  <si>
    <t>Implied Equity
(Median)</t>
  </si>
  <si>
    <t>Implied Price
(Avg) ₹</t>
  </si>
  <si>
    <t>Implied Price
(Med) ₹</t>
  </si>
  <si>
    <t>CMP ₹</t>
  </si>
  <si>
    <t>Premium/Disc
(vs Avg)</t>
  </si>
  <si>
    <t>Premium/Disc
(vs Med)</t>
  </si>
  <si>
    <t>EV / Sales</t>
  </si>
  <si>
    <t>EV / EBITDA</t>
  </si>
  <si>
    <t>P / E</t>
  </si>
  <si>
    <t>EV/Revenue</t>
  </si>
  <si>
    <t>P/E Ratio</t>
  </si>
  <si>
    <t>Max</t>
  </si>
  <si>
    <t>75th Percentile</t>
  </si>
  <si>
    <t>Average</t>
  </si>
  <si>
    <t>median</t>
  </si>
  <si>
    <t>25th Percentile</t>
  </si>
  <si>
    <t>Min.</t>
  </si>
  <si>
    <t>M&amp;M Industry Comparable comps</t>
  </si>
  <si>
    <t>Implied Enterprise Value</t>
  </si>
  <si>
    <t>Net Debt</t>
  </si>
  <si>
    <t>Implied Market Value</t>
  </si>
  <si>
    <t>Share Outstanding</t>
  </si>
  <si>
    <t>Implied Value per Share</t>
  </si>
  <si>
    <t>Gordon Growth Model (Dividend Discount Model) — Ambuja Cements</t>
  </si>
  <si>
    <t>Intrinsic Value = D1 / (Ke - g)   where D1 = next year dividend, Ke = cost of equity, g = sustainable growth rate</t>
  </si>
  <si>
    <t>STEP 1: Historical Dividend Per Share</t>
  </si>
  <si>
    <t>FY22 (Dec21)</t>
  </si>
  <si>
    <t>FY23 (Mar23)</t>
  </si>
  <si>
    <t>FY24 (Mar24)</t>
  </si>
  <si>
    <t>FY25 (Mar25)</t>
  </si>
  <si>
    <t>Total Equity Dividend Paid (Rs Cr)</t>
  </si>
  <si>
    <t>Shares Outstanding (Cr)</t>
  </si>
  <si>
    <t>Dividend Per Share - DPS (Rs)</t>
  </si>
  <si>
    <t>STEP 2: Dividend Growth Rate (g)</t>
  </si>
  <si>
    <t>YoY DPS Growth</t>
  </si>
  <si>
    <t>Average Historical DPS Growth</t>
  </si>
  <si>
    <t>(FY23 to FY25 average)</t>
  </si>
  <si>
    <t>Revenue CAGR (from Assumptions sheet)</t>
  </si>
  <si>
    <t>(used as proxy for sustainable growth)</t>
  </si>
  <si>
    <t>Dividend Growth Rate Used (g)</t>
  </si>
  <si>
    <t>DPS CAGR FY22-FY25 (conservative, based on actual dividend history)</t>
  </si>
  <si>
    <t>STEP 3: Cost of Equity (Ke) — from CAPM</t>
  </si>
  <si>
    <t>Risk Free Rate (Rf)</t>
  </si>
  <si>
    <t>RBI 10Y Gsec yield</t>
  </si>
  <si>
    <t>Regression beta from Nifty50 vs Ambuja Cements</t>
  </si>
  <si>
    <t>India ERP (Damodaran)</t>
  </si>
  <si>
    <t>Cost of Equity Ke = Rf + β × (Rm - Rf)</t>
  </si>
  <si>
    <t>STEP 4: Validity Check — Ke must be &gt; g</t>
  </si>
  <si>
    <t>Cost of Equity (Ke)</t>
  </si>
  <si>
    <t>Growth Rate (g)</t>
  </si>
  <si>
    <t>Ke - g (spread)</t>
  </si>
  <si>
    <t>STEP 5: D1 — Expected Dividend Next Year</t>
  </si>
  <si>
    <t>D0 — Latest DPS (FY25)</t>
  </si>
  <si>
    <t>FY25 actual dividend per share</t>
  </si>
  <si>
    <t>D1 = D0 × (1 + g)</t>
  </si>
  <si>
    <t>Expected dividend in next year (D1)</t>
  </si>
  <si>
    <t>STEP 6: Intrinsic Value per Share</t>
  </si>
  <si>
    <t>Gordon Growth Model Formula: P = D1 / (Ke - g)</t>
  </si>
  <si>
    <t>Intrinsic Value (P)</t>
  </si>
  <si>
    <t>Current Market Price (CMP)</t>
  </si>
  <si>
    <t>Ambuja CMP from Relative Valuation sheet</t>
  </si>
  <si>
    <t>Premium / (Discount) to Intrinsic Value</t>
  </si>
  <si>
    <t>STEP 7: Sensitivity Analysis — Intrinsic Value at different g and Ke</t>
  </si>
  <si>
    <t>g ↓  /  Ke →</t>
  </si>
  <si>
    <t>Note: Sensitivity shows negative values where g &gt;= Ke — model breaks down mathematically.</t>
  </si>
  <si>
    <t>Ambuja's DPS CAGR (FY22-FY25) of ~25.3% significantly exceeds its Cost of Equity (~14.9%), driven by a one-off large dividend in FY23 (Mar 2023 = 15-month period). This makes GGM output unreliable.</t>
  </si>
  <si>
    <t>For a capital-intensive cement company with lumpy dividends, DCF is a more appropriate valuation method. Revenue CAGR (~6.6%) from Assumptions sheet is a better proxy for sustainable long-run growth.</t>
  </si>
  <si>
    <t>g= roe*retention ratio</t>
  </si>
  <si>
    <t>roe</t>
  </si>
  <si>
    <t>retention ratio</t>
  </si>
  <si>
    <t xml:space="preserve">dividend payout ratio formula </t>
  </si>
  <si>
    <t>dps/eps</t>
  </si>
  <si>
    <t>1-dpr</t>
  </si>
  <si>
    <t>growth</t>
  </si>
  <si>
    <t>67.33% held by Adani promoter group (as on 31 March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</si>
</sst>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 * #,##0.00_ ;_ * \-#,##0.00_ ;_ * \-??_ ;_ @_ "/>
    <numFmt numFmtId="165" formatCode="#,##0.00;\(#,##0.00\)"/>
    <numFmt numFmtId="166" formatCode="#,##0.00;\(#,##0.00\);\-"/>
    <numFmt numFmtId="167" formatCode="m/d/yyyy"/>
    <numFmt numFmtId="168" formatCode="0.000"/>
    <numFmt numFmtId="169" formatCode="mmm\-yy"/>
    <numFmt numFmtId="170" formatCode="d/mmm/yy"/>
    <numFmt numFmtId="171" formatCode="0.0"/>
    <numFmt numFmtId="172" formatCode="0.0%"/>
    <numFmt numFmtId="173" formatCode="_ * #,##0.0000_ ;_ * \-#,##0.0000_ ;_ * \-??_ ;_ @_ "/>
    <numFmt numFmtId="174" formatCode="yyyy\A"/>
    <numFmt numFmtId="175" formatCode="yyyy\E"/>
    <numFmt numFmtId="176" formatCode="#,##0.0"/>
    <numFmt numFmtId="177" formatCode="0.0\x"/>
    <numFmt numFmtId="178" formatCode="0.0000"/>
    <numFmt numFmtId="179" formatCode="0.\X"/>
  </numFmts>
  <fonts count="76" x14ac:knownFonts="1">
    <font>
      <sz val="11"/>
      <color theme="1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  <charset val="1"/>
    </font>
    <font>
      <b/>
      <sz val="11"/>
      <color rgb="FF1F3864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595959"/>
      <name val="Calibri"/>
      <family val="2"/>
      <charset val="1"/>
    </font>
    <font>
      <i/>
      <sz val="8"/>
      <color rgb="FF595959"/>
      <name val="Calibri"/>
      <family val="2"/>
      <charset val="1"/>
    </font>
    <font>
      <b/>
      <sz val="10"/>
      <color rgb="FF1F3864"/>
      <name val="Calibri"/>
      <family val="2"/>
      <charset val="1"/>
    </font>
    <font>
      <i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i/>
      <sz val="11"/>
      <color rgb="FF666666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mbria"/>
      <family val="1"/>
      <charset val="1"/>
    </font>
    <font>
      <sz val="10"/>
      <color rgb="FF595959"/>
      <name val="Calibri"/>
      <family val="2"/>
      <charset val="1"/>
    </font>
    <font>
      <b/>
      <sz val="10"/>
      <color theme="4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theme="0"/>
      <name val="Arial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8"/>
      <color rgb="FF000000"/>
      <name val="Poppins"/>
    </font>
    <font>
      <sz val="8"/>
      <color rgb="FF000000"/>
      <name val="Poppins"/>
    </font>
    <font>
      <b/>
      <sz val="8"/>
      <color rgb="FFFFFFFF"/>
      <name val="Poppins"/>
    </font>
    <font>
      <b/>
      <sz val="9"/>
      <name val="Arial"/>
      <family val="2"/>
      <charset val="1"/>
    </font>
    <font>
      <sz val="11"/>
      <color rgb="FF333333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rgb="FF000000"/>
      <name val="Cambria"/>
      <family val="1"/>
      <charset val="1"/>
    </font>
    <font>
      <sz val="8"/>
      <name val="Cambria"/>
      <family val="1"/>
      <charset val="1"/>
    </font>
    <font>
      <b/>
      <sz val="20"/>
      <color theme="0"/>
      <name val="Calibri"/>
      <family val="2"/>
      <charset val="1"/>
    </font>
    <font>
      <b/>
      <sz val="11"/>
      <name val="Cambria"/>
      <family val="1"/>
      <charset val="1"/>
    </font>
    <font>
      <b/>
      <sz val="11"/>
      <color rgb="FFFFFFFF"/>
      <name val="Cambria"/>
      <family val="1"/>
      <charset val="1"/>
    </font>
    <font>
      <sz val="11"/>
      <color rgb="FF0070C0"/>
      <name val="Calibri"/>
      <family val="2"/>
      <charset val="1"/>
    </font>
    <font>
      <sz val="11"/>
      <color theme="1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22222F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606F7B"/>
      <name val="Arial"/>
      <family val="2"/>
      <charset val="1"/>
    </font>
    <font>
      <sz val="11"/>
      <color rgb="FF22222F"/>
      <name val="Arial"/>
      <family val="2"/>
      <charset val="1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sz val="11"/>
      <color rgb="FF333333"/>
      <name val="Calibri"/>
      <family val="2"/>
      <scheme val="minor"/>
    </font>
    <font>
      <sz val="11"/>
      <color rgb="FF22222F"/>
      <name val="Calibri"/>
      <family val="2"/>
      <scheme val="minor"/>
    </font>
    <font>
      <sz val="11"/>
      <color rgb="FF22222F"/>
      <name val="Calibri"/>
      <family val="2"/>
      <scheme val="minor"/>
    </font>
    <font>
      <b/>
      <sz val="11"/>
      <name val="Calibri"/>
      <family val="2"/>
    </font>
    <font>
      <b/>
      <sz val="30"/>
      <name val="Calibri"/>
      <family val="2"/>
      <charset val="1"/>
    </font>
    <font>
      <i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B6CA8"/>
      <name val="Calibri"/>
      <family val="2"/>
      <scheme val="minor"/>
    </font>
    <font>
      <sz val="11"/>
      <color rgb="FF1A1A2A"/>
      <name val="Calibri"/>
      <family val="2"/>
      <scheme val="minor"/>
    </font>
    <font>
      <b/>
      <sz val="11"/>
      <color rgb="FF1A1A2A"/>
      <name val="Calibri"/>
      <family val="2"/>
      <scheme val="minor"/>
    </font>
    <font>
      <b/>
      <sz val="11"/>
      <color rgb="FF1F3864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color rgb="FF595959"/>
      <name val="Calibri"/>
      <family val="2"/>
      <charset val="1"/>
      <scheme val="minor"/>
    </font>
    <font>
      <sz val="11"/>
      <name val="Calibri"/>
      <family val="2"/>
    </font>
    <font>
      <sz val="11"/>
      <name val="Arial"/>
      <family val="2"/>
      <charset val="1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Arial"/>
      <family val="2"/>
      <charset val="1"/>
    </font>
    <font>
      <sz val="11"/>
      <color theme="0"/>
      <name val="Calibri"/>
      <family val="2"/>
    </font>
    <font>
      <b/>
      <sz val="12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11"/>
      <color theme="0"/>
      <name val="Calibri"/>
      <family val="2"/>
      <charset val="1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B6CA8"/>
        <bgColor rgb="FF2F76B5"/>
      </patternFill>
    </fill>
    <fill>
      <patternFill patternType="solid">
        <fgColor rgb="FFF0F4F8"/>
        <bgColor rgb="FFF2F7FC"/>
      </patternFill>
    </fill>
    <fill>
      <patternFill patternType="solid">
        <fgColor rgb="FFFFFFFF"/>
        <bgColor rgb="FFF8F8FC"/>
      </patternFill>
    </fill>
    <fill>
      <patternFill patternType="solid">
        <fgColor rgb="FF2C3E50"/>
        <bgColor rgb="FF1F3F5A"/>
      </patternFill>
    </fill>
    <fill>
      <patternFill patternType="solid">
        <fgColor rgb="FFBDD7EE"/>
        <bgColor rgb="FFB8CCE4"/>
      </patternFill>
    </fill>
    <fill>
      <patternFill patternType="solid">
        <fgColor rgb="FFE0E0E0"/>
        <bgColor rgb="FFDBE4F0"/>
      </patternFill>
    </fill>
    <fill>
      <patternFill patternType="solid">
        <fgColor rgb="FFA9A9A9"/>
        <bgColor rgb="FFA9D08E"/>
      </patternFill>
    </fill>
    <fill>
      <patternFill patternType="solid">
        <fgColor rgb="FFD9E1F2"/>
        <bgColor rgb="FFDAE3F3"/>
      </patternFill>
    </fill>
    <fill>
      <patternFill patternType="solid">
        <fgColor rgb="FFD6E4F0"/>
        <bgColor rgb="FFD6E4F7"/>
      </patternFill>
    </fill>
    <fill>
      <patternFill patternType="solid">
        <fgColor rgb="FF1D324E"/>
        <bgColor rgb="FF1F3864"/>
      </patternFill>
    </fill>
    <fill>
      <patternFill patternType="solid">
        <fgColor rgb="FFF8F8FC"/>
        <bgColor rgb="FFF2F7FC"/>
      </patternFill>
    </fill>
    <fill>
      <patternFill patternType="solid">
        <fgColor rgb="FFD5E8F5"/>
        <bgColor rgb="FFD6E4F7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/>
        <bgColor rgb="FF1A1A2A"/>
      </patternFill>
    </fill>
    <fill>
      <patternFill patternType="solid">
        <fgColor theme="8" tint="0.39997558519241921"/>
        <bgColor rgb="FF1F3F5A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F0F4F8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8FC"/>
      </patternFill>
    </fill>
    <fill>
      <patternFill patternType="solid">
        <fgColor theme="0"/>
        <bgColor rgb="FFEEEEEE"/>
      </patternFill>
    </fill>
    <fill>
      <patternFill patternType="solid">
        <fgColor theme="0"/>
        <bgColor rgb="FF1A5276"/>
      </patternFill>
    </fill>
    <fill>
      <patternFill patternType="solid">
        <fgColor theme="0"/>
        <bgColor rgb="FFE2EFDA"/>
      </patternFill>
    </fill>
    <fill>
      <patternFill patternType="solid">
        <fgColor theme="8" tint="0.59999389629810485"/>
        <bgColor rgb="FF1A5276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BE4F0"/>
      </patternFill>
    </fill>
    <fill>
      <patternFill patternType="solid">
        <fgColor theme="0"/>
        <bgColor rgb="FFDAE3F3"/>
      </patternFill>
    </fill>
    <fill>
      <patternFill patternType="solid">
        <fgColor theme="0"/>
        <bgColor rgb="FFFBE5D6"/>
      </patternFill>
    </fill>
    <fill>
      <patternFill patternType="solid">
        <fgColor theme="8" tint="0.79998168889431442"/>
        <bgColor rgb="FF4472C4"/>
      </patternFill>
    </fill>
    <fill>
      <patternFill patternType="solid">
        <fgColor theme="4" tint="-0.249977111117893"/>
        <bgColor rgb="FF1F3864"/>
      </patternFill>
    </fill>
    <fill>
      <patternFill patternType="solid">
        <fgColor theme="4" tint="-0.249977111117893"/>
        <bgColor rgb="FF1F4E79"/>
      </patternFill>
    </fill>
    <fill>
      <patternFill patternType="solid">
        <fgColor theme="4" tint="-0.249977111117893"/>
        <bgColor rgb="FF4472C4"/>
      </patternFill>
    </fill>
    <fill>
      <patternFill patternType="solid">
        <fgColor theme="4" tint="-0.249977111117893"/>
        <bgColor rgb="FFC55A11"/>
      </patternFill>
    </fill>
    <fill>
      <patternFill patternType="solid">
        <fgColor theme="4" tint="-0.249977111117893"/>
        <bgColor rgb="FF0D1B2A"/>
      </patternFill>
    </fill>
    <fill>
      <patternFill patternType="solid">
        <fgColor theme="4" tint="-0.249977111117893"/>
        <bgColor rgb="FFDCE6F1"/>
      </patternFill>
    </fill>
    <fill>
      <patternFill patternType="solid">
        <fgColor theme="4" tint="-0.249977111117893"/>
        <bgColor rgb="FFF09018"/>
      </patternFill>
    </fill>
    <fill>
      <patternFill patternType="solid">
        <fgColor theme="4" tint="-0.249977111117893"/>
        <bgColor rgb="FFFFF2CC"/>
      </patternFill>
    </fill>
    <fill>
      <patternFill patternType="solid">
        <fgColor theme="4" tint="-0.249977111117893"/>
        <bgColor rgb="FF1A527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1F3F5A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D5DCE4"/>
      </right>
      <top style="thin">
        <color rgb="FFD5DCE4"/>
      </top>
      <bottom style="thin">
        <color rgb="FFD5DCE4"/>
      </bottom>
      <diagonal/>
    </border>
    <border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  <border>
      <left style="thin">
        <color rgb="FFD5DCE4"/>
      </left>
      <right style="medium">
        <color auto="1"/>
      </right>
      <top style="thin">
        <color rgb="FFD5DCE4"/>
      </top>
      <bottom style="thin">
        <color rgb="FFD5DCE4"/>
      </bottom>
      <diagonal/>
    </border>
    <border>
      <left style="medium">
        <color auto="1"/>
      </left>
      <right style="thin">
        <color rgb="FFD5DCE4"/>
      </right>
      <top style="thin">
        <color rgb="FFD5DCE4"/>
      </top>
      <bottom style="medium">
        <color auto="1"/>
      </bottom>
      <diagonal/>
    </border>
    <border>
      <left style="thin">
        <color rgb="FFD5DCE4"/>
      </left>
      <right style="thin">
        <color rgb="FFD5DCE4"/>
      </right>
      <top style="thin">
        <color rgb="FFD5DCE4"/>
      </top>
      <bottom style="medium">
        <color auto="1"/>
      </bottom>
      <diagonal/>
    </border>
    <border>
      <left style="thin">
        <color rgb="FFD5DCE4"/>
      </left>
      <right style="medium">
        <color auto="1"/>
      </right>
      <top style="thin">
        <color rgb="FFD5DCE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359">
    <xf numFmtId="0" fontId="0" fillId="0" borderId="0" xfId="0"/>
    <xf numFmtId="0" fontId="0" fillId="0" borderId="0" xfId="0" applyAlignment="1"/>
    <xf numFmtId="0" fontId="0" fillId="0" borderId="11" xfId="0" applyBorder="1" applyAlignment="1"/>
    <xf numFmtId="0" fontId="11" fillId="0" borderId="0" xfId="0" applyFont="1" applyAlignment="1"/>
    <xf numFmtId="0" fontId="16" fillId="0" borderId="0" xfId="0" applyFont="1" applyAlignment="1">
      <alignment horizontal="right" vertical="center"/>
    </xf>
    <xf numFmtId="4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0" xfId="0" applyFont="1" applyAlignment="1">
      <alignment wrapText="1"/>
    </xf>
    <xf numFmtId="10" fontId="20" fillId="0" borderId="0" xfId="0" applyNumberFormat="1" applyFont="1" applyAlignment="1"/>
    <xf numFmtId="0" fontId="21" fillId="0" borderId="11" xfId="0" applyFont="1" applyBorder="1" applyAlignment="1">
      <alignment horizontal="right" vertical="center"/>
    </xf>
    <xf numFmtId="0" fontId="0" fillId="4" borderId="0" xfId="0" applyFill="1" applyAlignment="1"/>
    <xf numFmtId="0" fontId="21" fillId="0" borderId="11" xfId="0" applyFont="1" applyBorder="1" applyAlignment="1">
      <alignment horizontal="left" vertical="center"/>
    </xf>
    <xf numFmtId="165" fontId="21" fillId="0" borderId="11" xfId="0" applyNumberFormat="1" applyFont="1" applyBorder="1" applyAlignment="1">
      <alignment horizontal="right" vertical="center"/>
    </xf>
    <xf numFmtId="0" fontId="22" fillId="10" borderId="11" xfId="0" applyFont="1" applyFill="1" applyBorder="1" applyAlignment="1">
      <alignment horizontal="left" vertical="center"/>
    </xf>
    <xf numFmtId="165" fontId="22" fillId="10" borderId="11" xfId="0" applyNumberFormat="1" applyFont="1" applyFill="1" applyBorder="1" applyAlignment="1">
      <alignment horizontal="right" vertical="center"/>
    </xf>
    <xf numFmtId="166" fontId="21" fillId="0" borderId="11" xfId="0" applyNumberFormat="1" applyFont="1" applyBorder="1" applyAlignment="1">
      <alignment horizontal="right" vertical="center"/>
    </xf>
    <xf numFmtId="0" fontId="21" fillId="10" borderId="11" xfId="0" applyFont="1" applyFill="1" applyBorder="1" applyAlignment="1">
      <alignment horizontal="left" vertical="center"/>
    </xf>
    <xf numFmtId="166" fontId="21" fillId="10" borderId="11" xfId="0" applyNumberFormat="1" applyFont="1" applyFill="1" applyBorder="1" applyAlignment="1">
      <alignment horizontal="right" vertical="center"/>
    </xf>
    <xf numFmtId="165" fontId="21" fillId="10" borderId="11" xfId="0" applyNumberFormat="1" applyFont="1" applyFill="1" applyBorder="1" applyAlignment="1">
      <alignment horizontal="right" vertical="center"/>
    </xf>
    <xf numFmtId="0" fontId="6" fillId="4" borderId="0" xfId="0" applyFont="1" applyFill="1" applyAlignment="1"/>
    <xf numFmtId="167" fontId="6" fillId="4" borderId="11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/>
    </xf>
    <xf numFmtId="0" fontId="0" fillId="4" borderId="13" xfId="0" applyFont="1" applyFill="1" applyBorder="1" applyAlignment="1"/>
    <xf numFmtId="0" fontId="0" fillId="4" borderId="0" xfId="0" applyFill="1" applyAlignment="1">
      <alignment horizontal="center"/>
    </xf>
    <xf numFmtId="0" fontId="27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center" vertical="center" wrapText="1"/>
    </xf>
    <xf numFmtId="170" fontId="28" fillId="4" borderId="0" xfId="0" applyNumberFormat="1" applyFont="1" applyFill="1" applyAlignment="1">
      <alignment horizontal="center" vertical="center" wrapText="1"/>
    </xf>
    <xf numFmtId="0" fontId="29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left" vertical="center" wrapText="1"/>
    </xf>
    <xf numFmtId="4" fontId="28" fillId="4" borderId="0" xfId="0" applyNumberFormat="1" applyFont="1" applyFill="1" applyAlignment="1">
      <alignment horizontal="right" vertical="center" wrapText="1"/>
    </xf>
    <xf numFmtId="0" fontId="28" fillId="4" borderId="0" xfId="0" applyFont="1" applyFill="1" applyAlignment="1">
      <alignment horizontal="right" vertical="center" wrapText="1"/>
    </xf>
    <xf numFmtId="10" fontId="0" fillId="0" borderId="11" xfId="0" applyNumberFormat="1" applyBorder="1" applyAlignment="1"/>
    <xf numFmtId="0" fontId="12" fillId="0" borderId="11" xfId="0" applyFont="1" applyBorder="1" applyAlignment="1"/>
    <xf numFmtId="10" fontId="11" fillId="0" borderId="11" xfId="0" applyNumberFormat="1" applyFont="1" applyBorder="1" applyAlignment="1"/>
    <xf numFmtId="0" fontId="11" fillId="0" borderId="11" xfId="0" applyFont="1" applyBorder="1" applyAlignment="1"/>
    <xf numFmtId="172" fontId="11" fillId="0" borderId="11" xfId="0" applyNumberFormat="1" applyFont="1" applyBorder="1" applyAlignment="1"/>
    <xf numFmtId="2" fontId="11" fillId="0" borderId="11" xfId="0" applyNumberFormat="1" applyFont="1" applyBorder="1" applyAlignment="1"/>
    <xf numFmtId="4" fontId="11" fillId="0" borderId="11" xfId="0" applyNumberFormat="1" applyFont="1" applyBorder="1" applyAlignment="1"/>
    <xf numFmtId="4" fontId="0" fillId="0" borderId="11" xfId="0" applyNumberFormat="1" applyBorder="1" applyAlignment="1"/>
    <xf numFmtId="4" fontId="0" fillId="0" borderId="14" xfId="0" applyNumberFormat="1" applyBorder="1" applyAlignment="1"/>
    <xf numFmtId="4" fontId="26" fillId="0" borderId="11" xfId="0" applyNumberFormat="1" applyFont="1" applyBorder="1" applyAlignment="1"/>
    <xf numFmtId="4" fontId="12" fillId="0" borderId="11" xfId="0" applyNumberFormat="1" applyFont="1" applyBorder="1" applyAlignment="1"/>
    <xf numFmtId="4" fontId="6" fillId="0" borderId="11" xfId="0" applyNumberFormat="1" applyFont="1" applyBorder="1" applyAlignment="1"/>
    <xf numFmtId="10" fontId="6" fillId="0" borderId="11" xfId="0" applyNumberFormat="1" applyFont="1" applyBorder="1" applyAlignment="1"/>
    <xf numFmtId="10" fontId="11" fillId="0" borderId="0" xfId="0" applyNumberFormat="1" applyFont="1" applyAlignment="1"/>
    <xf numFmtId="10" fontId="33" fillId="0" borderId="0" xfId="0" applyNumberFormat="1" applyFont="1" applyAlignment="1"/>
    <xf numFmtId="10" fontId="0" fillId="0" borderId="0" xfId="0" applyNumberFormat="1" applyAlignment="1"/>
    <xf numFmtId="0" fontId="0" fillId="0" borderId="0" xfId="0" applyAlignment="1">
      <alignment horizontal="center" vertical="center"/>
    </xf>
    <xf numFmtId="0" fontId="15" fillId="0" borderId="0" xfId="0" applyFont="1" applyAlignment="1"/>
    <xf numFmtId="0" fontId="24" fillId="0" borderId="15" xfId="0" applyFont="1" applyBorder="1" applyAlignment="1"/>
    <xf numFmtId="164" fontId="11" fillId="0" borderId="0" xfId="0" applyNumberFormat="1" applyFont="1" applyAlignment="1"/>
    <xf numFmtId="4" fontId="6" fillId="0" borderId="0" xfId="0" applyNumberFormat="1" applyFont="1" applyAlignment="1"/>
    <xf numFmtId="172" fontId="6" fillId="0" borderId="0" xfId="0" applyNumberFormat="1" applyFont="1" applyAlignment="1"/>
    <xf numFmtId="173" fontId="11" fillId="0" borderId="0" xfId="0" applyNumberFormat="1" applyFont="1" applyAlignment="1"/>
    <xf numFmtId="10" fontId="6" fillId="0" borderId="0" xfId="0" applyNumberFormat="1" applyFont="1" applyAlignment="1"/>
    <xf numFmtId="0" fontId="24" fillId="0" borderId="0" xfId="0" applyFont="1" applyAlignment="1"/>
    <xf numFmtId="164" fontId="24" fillId="0" borderId="0" xfId="0" applyNumberFormat="1" applyFont="1" applyAlignment="1"/>
    <xf numFmtId="2" fontId="11" fillId="0" borderId="0" xfId="0" applyNumberFormat="1" applyFont="1" applyAlignment="1"/>
    <xf numFmtId="4" fontId="11" fillId="0" borderId="0" xfId="0" applyNumberFormat="1" applyFont="1" applyAlignment="1"/>
    <xf numFmtId="9" fontId="11" fillId="0" borderId="0" xfId="0" applyNumberFormat="1" applyFont="1" applyAlignment="1"/>
    <xf numFmtId="164" fontId="6" fillId="0" borderId="0" xfId="0" applyNumberFormat="1" applyFont="1" applyAlignment="1"/>
    <xf numFmtId="0" fontId="24" fillId="0" borderId="16" xfId="0" applyFont="1" applyBorder="1" applyAlignment="1"/>
    <xf numFmtId="0" fontId="11" fillId="0" borderId="16" xfId="0" applyFont="1" applyBorder="1" applyAlignment="1"/>
    <xf numFmtId="164" fontId="24" fillId="0" borderId="16" xfId="0" applyNumberFormat="1" applyFont="1" applyBorder="1" applyAlignment="1"/>
    <xf numFmtId="2" fontId="24" fillId="0" borderId="16" xfId="0" applyNumberFormat="1" applyFont="1" applyBorder="1" applyAlignment="1"/>
    <xf numFmtId="0" fontId="26" fillId="0" borderId="11" xfId="0" applyFont="1" applyBorder="1" applyAlignment="1"/>
    <xf numFmtId="0" fontId="12" fillId="0" borderId="17" xfId="0" applyFont="1" applyBorder="1" applyAlignment="1"/>
    <xf numFmtId="0" fontId="11" fillId="0" borderId="14" xfId="0" applyFont="1" applyBorder="1" applyAlignment="1"/>
    <xf numFmtId="10" fontId="33" fillId="0" borderId="11" xfId="0" applyNumberFormat="1" applyFont="1" applyBorder="1" applyAlignment="1"/>
    <xf numFmtId="10" fontId="26" fillId="0" borderId="11" xfId="0" applyNumberFormat="1" applyFont="1" applyBorder="1" applyAlignment="1"/>
    <xf numFmtId="0" fontId="36" fillId="0" borderId="11" xfId="0" applyFont="1" applyBorder="1" applyAlignment="1"/>
    <xf numFmtId="0" fontId="15" fillId="0" borderId="11" xfId="0" applyFont="1" applyBorder="1" applyAlignment="1"/>
    <xf numFmtId="0" fontId="36" fillId="0" borderId="11" xfId="0" applyFont="1" applyBorder="1" applyAlignment="1">
      <alignment horizontal="right"/>
    </xf>
    <xf numFmtId="164" fontId="15" fillId="0" borderId="11" xfId="0" applyNumberFormat="1" applyFont="1" applyBorder="1" applyAlignment="1">
      <alignment horizontal="right"/>
    </xf>
    <xf numFmtId="10" fontId="15" fillId="0" borderId="0" xfId="0" applyNumberFormat="1" applyFont="1" applyAlignment="1"/>
    <xf numFmtId="0" fontId="15" fillId="0" borderId="11" xfId="0" applyFont="1" applyBorder="1" applyAlignment="1">
      <alignment horizontal="right"/>
    </xf>
    <xf numFmtId="10" fontId="15" fillId="0" borderId="11" xfId="0" applyNumberFormat="1" applyFont="1" applyBorder="1" applyAlignment="1">
      <alignment horizontal="right"/>
    </xf>
    <xf numFmtId="0" fontId="36" fillId="0" borderId="0" xfId="0" applyFont="1" applyAlignment="1"/>
    <xf numFmtId="0" fontId="37" fillId="11" borderId="11" xfId="0" applyFont="1" applyFill="1" applyBorder="1" applyAlignment="1">
      <alignment horizontal="right"/>
    </xf>
    <xf numFmtId="174" fontId="11" fillId="0" borderId="11" xfId="0" applyNumberFormat="1" applyFont="1" applyBorder="1" applyAlignment="1"/>
    <xf numFmtId="4" fontId="38" fillId="0" borderId="11" xfId="0" applyNumberFormat="1" applyFont="1" applyBorder="1" applyAlignment="1"/>
    <xf numFmtId="9" fontId="11" fillId="0" borderId="11" xfId="0" applyNumberFormat="1" applyFont="1" applyBorder="1" applyAlignment="1"/>
    <xf numFmtId="9" fontId="0" fillId="0" borderId="0" xfId="0" applyNumberFormat="1" applyAlignment="1"/>
    <xf numFmtId="0" fontId="39" fillId="0" borderId="0" xfId="0" applyFont="1" applyAlignment="1"/>
    <xf numFmtId="0" fontId="40" fillId="0" borderId="11" xfId="0" applyFont="1" applyBorder="1" applyAlignment="1"/>
    <xf numFmtId="0" fontId="41" fillId="12" borderId="11" xfId="0" applyFont="1" applyFill="1" applyBorder="1" applyAlignment="1">
      <alignment horizontal="right" vertical="center" wrapText="1"/>
    </xf>
    <xf numFmtId="4" fontId="42" fillId="0" borderId="11" xfId="0" applyNumberFormat="1" applyFont="1" applyBorder="1" applyAlignment="1"/>
    <xf numFmtId="4" fontId="6" fillId="12" borderId="11" xfId="0" applyNumberFormat="1" applyFont="1" applyFill="1" applyBorder="1" applyAlignment="1">
      <alignment horizontal="right" vertical="center" wrapText="1"/>
    </xf>
    <xf numFmtId="3" fontId="42" fillId="0" borderId="11" xfId="0" applyNumberFormat="1" applyFont="1" applyBorder="1" applyAlignment="1">
      <alignment horizontal="right"/>
    </xf>
    <xf numFmtId="176" fontId="42" fillId="0" borderId="11" xfId="0" applyNumberFormat="1" applyFont="1" applyBorder="1" applyAlignment="1"/>
    <xf numFmtId="171" fontId="6" fillId="13" borderId="11" xfId="0" applyNumberFormat="1" applyFont="1" applyFill="1" applyBorder="1" applyAlignment="1"/>
    <xf numFmtId="3" fontId="41" fillId="0" borderId="11" xfId="0" applyNumberFormat="1" applyFont="1" applyBorder="1" applyAlignment="1">
      <alignment horizontal="right"/>
    </xf>
    <xf numFmtId="176" fontId="11" fillId="0" borderId="11" xfId="0" applyNumberFormat="1" applyFont="1" applyBorder="1" applyAlignment="1"/>
    <xf numFmtId="0" fontId="41" fillId="4" borderId="11" xfId="0" applyFont="1" applyFill="1" applyBorder="1" applyAlignment="1">
      <alignment horizontal="right" vertical="center" wrapText="1"/>
    </xf>
    <xf numFmtId="0" fontId="39" fillId="0" borderId="11" xfId="0" applyFont="1" applyBorder="1" applyAlignment="1"/>
    <xf numFmtId="0" fontId="40" fillId="4" borderId="11" xfId="0" applyFont="1" applyFill="1" applyBorder="1" applyAlignment="1">
      <alignment horizontal="left" vertical="center"/>
    </xf>
    <xf numFmtId="2" fontId="31" fillId="4" borderId="11" xfId="0" applyNumberFormat="1" applyFont="1" applyFill="1" applyBorder="1" applyAlignment="1">
      <alignment horizontal="right" vertical="top" wrapText="1"/>
    </xf>
    <xf numFmtId="0" fontId="12" fillId="0" borderId="11" xfId="0" applyFont="1" applyBorder="1" applyAlignment="1">
      <alignment horizontal="left" vertical="center"/>
    </xf>
    <xf numFmtId="176" fontId="6" fillId="0" borderId="11" xfId="0" applyNumberFormat="1" applyFont="1" applyBorder="1" applyAlignment="1"/>
    <xf numFmtId="171" fontId="6" fillId="0" borderId="11" xfId="0" applyNumberFormat="1" applyFont="1" applyBorder="1" applyAlignment="1"/>
    <xf numFmtId="4" fontId="39" fillId="4" borderId="19" xfId="0" applyNumberFormat="1" applyFont="1" applyFill="1" applyBorder="1" applyAlignment="1">
      <alignment horizontal="right" vertical="center" wrapText="1"/>
    </xf>
    <xf numFmtId="0" fontId="39" fillId="4" borderId="19" xfId="0" applyFont="1" applyFill="1" applyBorder="1" applyAlignment="1">
      <alignment horizontal="right" vertical="center" wrapText="1"/>
    </xf>
    <xf numFmtId="177" fontId="6" fillId="0" borderId="11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2" fontId="6" fillId="0" borderId="11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171" fontId="11" fillId="0" borderId="0" xfId="0" applyNumberFormat="1" applyFont="1" applyAlignment="1"/>
    <xf numFmtId="178" fontId="11" fillId="0" borderId="0" xfId="0" applyNumberFormat="1" applyFont="1" applyAlignment="1"/>
    <xf numFmtId="179" fontId="11" fillId="0" borderId="0" xfId="0" applyNumberFormat="1" applyFont="1" applyAlignment="1"/>
    <xf numFmtId="177" fontId="6" fillId="0" borderId="11" xfId="0" applyNumberFormat="1" applyFont="1" applyBorder="1" applyAlignment="1"/>
    <xf numFmtId="0" fontId="12" fillId="0" borderId="0" xfId="0" applyFont="1" applyAlignment="1"/>
    <xf numFmtId="3" fontId="6" fillId="0" borderId="11" xfId="0" applyNumberFormat="1" applyFont="1" applyBorder="1" applyAlignment="1"/>
    <xf numFmtId="0" fontId="12" fillId="0" borderId="16" xfId="0" applyFont="1" applyBorder="1" applyAlignment="1"/>
    <xf numFmtId="0" fontId="43" fillId="4" borderId="20" xfId="0" applyFont="1" applyFill="1" applyBorder="1" applyAlignment="1">
      <alignment horizontal="left" vertical="center" indent="2"/>
    </xf>
    <xf numFmtId="0" fontId="43" fillId="4" borderId="20" xfId="0" applyFont="1" applyFill="1" applyBorder="1" applyAlignment="1">
      <alignment horizontal="left" vertical="center"/>
    </xf>
    <xf numFmtId="0" fontId="43" fillId="4" borderId="20" xfId="0" applyFont="1" applyFill="1" applyBorder="1" applyAlignment="1">
      <alignment horizontal="right" vertical="center" wrapText="1"/>
    </xf>
    <xf numFmtId="0" fontId="45" fillId="0" borderId="0" xfId="0" applyFont="1" applyAlignment="1"/>
    <xf numFmtId="0" fontId="48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49" fillId="0" borderId="0" xfId="0" applyFont="1" applyAlignment="1"/>
    <xf numFmtId="4" fontId="2" fillId="0" borderId="0" xfId="0" applyNumberFormat="1" applyFont="1" applyAlignment="1"/>
    <xf numFmtId="10" fontId="2" fillId="0" borderId="0" xfId="0" applyNumberFormat="1" applyFont="1" applyAlignment="1"/>
    <xf numFmtId="10" fontId="47" fillId="0" borderId="0" xfId="0" applyNumberFormat="1" applyFont="1" applyAlignment="1"/>
    <xf numFmtId="10" fontId="47" fillId="0" borderId="0" xfId="0" applyNumberFormat="1" applyFont="1"/>
    <xf numFmtId="2" fontId="2" fillId="0" borderId="0" xfId="0" applyNumberFormat="1" applyFont="1" applyAlignment="1"/>
    <xf numFmtId="0" fontId="47" fillId="0" borderId="0" xfId="0" applyFont="1"/>
    <xf numFmtId="10" fontId="2" fillId="0" borderId="0" xfId="0" applyNumberFormat="1" applyFont="1"/>
    <xf numFmtId="4" fontId="47" fillId="0" borderId="0" xfId="0" applyNumberFormat="1" applyFont="1" applyAlignment="1"/>
    <xf numFmtId="10" fontId="48" fillId="0" borderId="0" xfId="0" applyNumberFormat="1" applyFont="1" applyAlignment="1"/>
    <xf numFmtId="4" fontId="49" fillId="0" borderId="0" xfId="0" applyNumberFormat="1" applyFont="1" applyAlignment="1"/>
    <xf numFmtId="0" fontId="0" fillId="14" borderId="0" xfId="0" applyFill="1"/>
    <xf numFmtId="17" fontId="50" fillId="14" borderId="20" xfId="0" applyNumberFormat="1" applyFont="1" applyFill="1" applyBorder="1" applyAlignment="1">
      <alignment horizontal="right" vertical="center" wrapText="1"/>
    </xf>
    <xf numFmtId="0" fontId="51" fillId="15" borderId="0" xfId="0" applyFont="1" applyFill="1" applyAlignment="1">
      <alignment horizontal="left" vertical="center" indent="2"/>
    </xf>
    <xf numFmtId="0" fontId="51" fillId="15" borderId="0" xfId="0" applyFont="1" applyFill="1" applyAlignment="1">
      <alignment horizontal="right" vertical="center" wrapText="1"/>
    </xf>
    <xf numFmtId="0" fontId="51" fillId="14" borderId="0" xfId="0" applyFont="1" applyFill="1" applyAlignment="1">
      <alignment horizontal="left" vertical="center" indent="2"/>
    </xf>
    <xf numFmtId="0" fontId="51" fillId="14" borderId="0" xfId="0" applyFont="1" applyFill="1" applyAlignment="1">
      <alignment horizontal="right" vertical="center" wrapText="1"/>
    </xf>
    <xf numFmtId="0" fontId="52" fillId="14" borderId="21" xfId="0" applyFont="1" applyFill="1" applyBorder="1" applyAlignment="1">
      <alignment horizontal="left" vertical="center" indent="2"/>
    </xf>
    <xf numFmtId="0" fontId="52" fillId="14" borderId="21" xfId="0" applyFont="1" applyFill="1" applyBorder="1" applyAlignment="1">
      <alignment horizontal="right" vertical="center" wrapText="1"/>
    </xf>
    <xf numFmtId="9" fontId="52" fillId="14" borderId="21" xfId="0" applyNumberFormat="1" applyFont="1" applyFill="1" applyBorder="1" applyAlignment="1">
      <alignment horizontal="right" vertical="center" wrapText="1"/>
    </xf>
    <xf numFmtId="0" fontId="53" fillId="0" borderId="11" xfId="0" applyFont="1" applyBorder="1" applyAlignment="1">
      <alignment horizontal="center" vertical="center" wrapText="1"/>
    </xf>
    <xf numFmtId="169" fontId="53" fillId="0" borderId="11" xfId="0" applyNumberFormat="1" applyFont="1" applyBorder="1" applyAlignment="1">
      <alignment horizontal="center" vertical="center" wrapText="1"/>
    </xf>
    <xf numFmtId="169" fontId="47" fillId="0" borderId="11" xfId="0" applyNumberFormat="1" applyFont="1" applyBorder="1" applyAlignment="1">
      <alignment horizontal="center" vertical="center"/>
    </xf>
    <xf numFmtId="0" fontId="54" fillId="15" borderId="11" xfId="0" applyFont="1" applyFill="1" applyBorder="1" applyAlignment="1">
      <alignment horizontal="right" vertical="center" wrapText="1"/>
    </xf>
    <xf numFmtId="0" fontId="54" fillId="14" borderId="11" xfId="0" applyFont="1" applyFill="1" applyBorder="1" applyAlignment="1">
      <alignment horizontal="right" vertical="center" wrapText="1"/>
    </xf>
    <xf numFmtId="0" fontId="55" fillId="14" borderId="11" xfId="0" applyFont="1" applyFill="1" applyBorder="1" applyAlignment="1">
      <alignment horizontal="right" vertical="center" wrapText="1"/>
    </xf>
    <xf numFmtId="9" fontId="55" fillId="14" borderId="11" xfId="0" applyNumberFormat="1" applyFont="1" applyFill="1" applyBorder="1" applyAlignment="1">
      <alignment horizontal="right" vertical="center" wrapText="1"/>
    </xf>
    <xf numFmtId="175" fontId="56" fillId="0" borderId="11" xfId="0" applyNumberFormat="1" applyFont="1" applyBorder="1" applyAlignment="1"/>
    <xf numFmtId="2" fontId="56" fillId="0" borderId="11" xfId="0" applyNumberFormat="1" applyFont="1" applyBorder="1" applyAlignment="1"/>
    <xf numFmtId="9" fontId="56" fillId="0" borderId="11" xfId="0" applyNumberFormat="1" applyFont="1" applyBorder="1" applyAlignment="1"/>
    <xf numFmtId="0" fontId="8" fillId="0" borderId="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 wrapText="1" indent="1"/>
    </xf>
    <xf numFmtId="0" fontId="34" fillId="0" borderId="0" xfId="0" applyFont="1" applyBorder="1" applyAlignment="1"/>
    <xf numFmtId="0" fontId="16" fillId="0" borderId="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indent="1"/>
    </xf>
    <xf numFmtId="0" fontId="25" fillId="4" borderId="12" xfId="0" applyFont="1" applyFill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57" fillId="16" borderId="1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1" fillId="0" borderId="0" xfId="0" applyFont="1" applyAlignment="1"/>
    <xf numFmtId="0" fontId="1" fillId="0" borderId="4" xfId="0" applyFont="1" applyBorder="1" applyAlignment="1"/>
    <xf numFmtId="0" fontId="59" fillId="2" borderId="2" xfId="0" applyFont="1" applyFill="1" applyBorder="1" applyAlignment="1">
      <alignment horizontal="left" vertical="center"/>
    </xf>
    <xf numFmtId="0" fontId="60" fillId="3" borderId="5" xfId="0" applyFont="1" applyFill="1" applyBorder="1" applyAlignment="1">
      <alignment horizontal="left" vertical="center"/>
    </xf>
    <xf numFmtId="0" fontId="61" fillId="3" borderId="6" xfId="0" applyFont="1" applyFill="1" applyBorder="1" applyAlignment="1">
      <alignment horizontal="left" vertical="center" wrapText="1"/>
    </xf>
    <xf numFmtId="0" fontId="60" fillId="3" borderId="6" xfId="0" applyFont="1" applyFill="1" applyBorder="1" applyAlignment="1">
      <alignment horizontal="left" vertical="center"/>
    </xf>
    <xf numFmtId="0" fontId="61" fillId="3" borderId="7" xfId="0" applyFont="1" applyFill="1" applyBorder="1" applyAlignment="1">
      <alignment horizontal="left" vertical="center" wrapText="1"/>
    </xf>
    <xf numFmtId="0" fontId="60" fillId="4" borderId="5" xfId="0" applyFont="1" applyFill="1" applyBorder="1" applyAlignment="1">
      <alignment horizontal="left" vertical="center"/>
    </xf>
    <xf numFmtId="0" fontId="61" fillId="4" borderId="6" xfId="0" applyFont="1" applyFill="1" applyBorder="1" applyAlignment="1">
      <alignment horizontal="left" vertical="center" wrapText="1"/>
    </xf>
    <xf numFmtId="0" fontId="60" fillId="4" borderId="6" xfId="0" applyFont="1" applyFill="1" applyBorder="1" applyAlignment="1">
      <alignment horizontal="left" vertical="center"/>
    </xf>
    <xf numFmtId="0" fontId="61" fillId="4" borderId="7" xfId="0" applyFont="1" applyFill="1" applyBorder="1" applyAlignment="1">
      <alignment horizontal="left" vertical="center" wrapText="1"/>
    </xf>
    <xf numFmtId="0" fontId="61" fillId="3" borderId="6" xfId="0" applyFont="1" applyFill="1" applyBorder="1" applyAlignment="1">
      <alignment horizontal="left" vertical="center" wrapText="1"/>
    </xf>
    <xf numFmtId="0" fontId="61" fillId="4" borderId="6" xfId="0" applyFont="1" applyFill="1" applyBorder="1" applyAlignment="1">
      <alignment horizontal="left" vertical="center" wrapText="1"/>
    </xf>
    <xf numFmtId="0" fontId="59" fillId="5" borderId="5" xfId="0" applyFont="1" applyFill="1" applyBorder="1" applyAlignment="1">
      <alignment horizontal="center" vertical="center"/>
    </xf>
    <xf numFmtId="0" fontId="59" fillId="5" borderId="6" xfId="0" applyFont="1" applyFill="1" applyBorder="1" applyAlignment="1">
      <alignment horizontal="center" vertical="center"/>
    </xf>
    <xf numFmtId="0" fontId="59" fillId="5" borderId="7" xfId="0" applyFont="1" applyFill="1" applyBorder="1" applyAlignment="1">
      <alignment horizontal="center" vertical="center"/>
    </xf>
    <xf numFmtId="0" fontId="62" fillId="3" borderId="5" xfId="0" applyFont="1" applyFill="1" applyBorder="1" applyAlignment="1">
      <alignment horizontal="left" vertical="center" wrapText="1"/>
    </xf>
    <xf numFmtId="0" fontId="61" fillId="3" borderId="6" xfId="0" applyFont="1" applyFill="1" applyBorder="1" applyAlignment="1">
      <alignment horizontal="left" vertical="center"/>
    </xf>
    <xf numFmtId="0" fontId="62" fillId="4" borderId="5" xfId="0" applyFont="1" applyFill="1" applyBorder="1" applyAlignment="1">
      <alignment horizontal="left" vertical="center" wrapText="1"/>
    </xf>
    <xf numFmtId="0" fontId="61" fillId="4" borderId="6" xfId="0" applyFont="1" applyFill="1" applyBorder="1" applyAlignment="1">
      <alignment horizontal="left" vertical="center"/>
    </xf>
    <xf numFmtId="0" fontId="60" fillId="4" borderId="8" xfId="0" applyFont="1" applyFill="1" applyBorder="1" applyAlignment="1">
      <alignment horizontal="left" vertical="center"/>
    </xf>
    <xf numFmtId="0" fontId="61" fillId="4" borderId="9" xfId="0" applyFont="1" applyFill="1" applyBorder="1" applyAlignment="1">
      <alignment horizontal="left" vertical="center" wrapText="1"/>
    </xf>
    <xf numFmtId="0" fontId="60" fillId="4" borderId="9" xfId="0" applyFont="1" applyFill="1" applyBorder="1" applyAlignment="1">
      <alignment horizontal="left" vertical="center"/>
    </xf>
    <xf numFmtId="0" fontId="61" fillId="4" borderId="10" xfId="0" applyFont="1" applyFill="1" applyBorder="1" applyAlignment="1">
      <alignment horizontal="left" vertical="center" wrapText="1"/>
    </xf>
    <xf numFmtId="0" fontId="66" fillId="0" borderId="0" xfId="0" applyFont="1" applyAlignment="1"/>
    <xf numFmtId="0" fontId="63" fillId="18" borderId="11" xfId="0" applyFont="1" applyFill="1" applyBorder="1" applyAlignment="1">
      <alignment horizontal="left" vertical="center"/>
    </xf>
    <xf numFmtId="0" fontId="63" fillId="18" borderId="11" xfId="0" applyFont="1" applyFill="1" applyBorder="1" applyAlignment="1">
      <alignment horizontal="center" vertical="center"/>
    </xf>
    <xf numFmtId="0" fontId="63" fillId="18" borderId="11" xfId="0" applyFont="1" applyFill="1" applyBorder="1" applyAlignment="1">
      <alignment horizontal="right" vertical="center"/>
    </xf>
    <xf numFmtId="0" fontId="64" fillId="19" borderId="11" xfId="0" applyFont="1" applyFill="1" applyBorder="1" applyAlignment="1">
      <alignment horizontal="left" vertical="center"/>
    </xf>
    <xf numFmtId="0" fontId="64" fillId="19" borderId="11" xfId="0" applyFont="1" applyFill="1" applyBorder="1" applyAlignment="1">
      <alignment horizontal="center" vertical="center"/>
    </xf>
    <xf numFmtId="0" fontId="64" fillId="19" borderId="11" xfId="0" applyFont="1" applyFill="1" applyBorder="1" applyAlignment="1">
      <alignment horizontal="right" vertical="center"/>
    </xf>
    <xf numFmtId="0" fontId="65" fillId="19" borderId="11" xfId="0" applyFont="1" applyFill="1" applyBorder="1" applyAlignment="1">
      <alignment horizontal="left" vertical="center"/>
    </xf>
    <xf numFmtId="0" fontId="65" fillId="19" borderId="11" xfId="0" applyFont="1" applyFill="1" applyBorder="1" applyAlignment="1">
      <alignment horizontal="center" vertical="center"/>
    </xf>
    <xf numFmtId="0" fontId="65" fillId="19" borderId="11" xfId="0" applyFont="1" applyFill="1" applyBorder="1" applyAlignment="1">
      <alignment horizontal="right" vertical="center"/>
    </xf>
    <xf numFmtId="0" fontId="63" fillId="20" borderId="11" xfId="0" applyFont="1" applyFill="1" applyBorder="1" applyAlignment="1">
      <alignment horizontal="left" vertical="center"/>
    </xf>
    <xf numFmtId="0" fontId="63" fillId="20" borderId="11" xfId="0" applyFont="1" applyFill="1" applyBorder="1" applyAlignment="1">
      <alignment horizontal="center" vertical="center"/>
    </xf>
    <xf numFmtId="0" fontId="63" fillId="20" borderId="11" xfId="0" applyFont="1" applyFill="1" applyBorder="1" applyAlignment="1">
      <alignment horizontal="right" vertical="center"/>
    </xf>
    <xf numFmtId="0" fontId="63" fillId="6" borderId="11" xfId="0" applyFont="1" applyFill="1" applyBorder="1" applyAlignment="1">
      <alignment horizontal="left" vertical="center"/>
    </xf>
    <xf numFmtId="0" fontId="63" fillId="6" borderId="11" xfId="0" applyFont="1" applyFill="1" applyBorder="1" applyAlignment="1">
      <alignment horizontal="center" vertical="center"/>
    </xf>
    <xf numFmtId="0" fontId="63" fillId="6" borderId="11" xfId="0" applyFont="1" applyFill="1" applyBorder="1" applyAlignment="1">
      <alignment horizontal="right" vertical="center"/>
    </xf>
    <xf numFmtId="0" fontId="9" fillId="18" borderId="11" xfId="0" applyFont="1" applyFill="1" applyBorder="1" applyAlignment="1">
      <alignment horizontal="left" vertical="center"/>
    </xf>
    <xf numFmtId="0" fontId="9" fillId="18" borderId="11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horizontal="right" vertical="center"/>
    </xf>
    <xf numFmtId="0" fontId="6" fillId="19" borderId="11" xfId="0" applyFont="1" applyFill="1" applyBorder="1" applyAlignment="1">
      <alignment horizontal="left" vertical="center"/>
    </xf>
    <xf numFmtId="0" fontId="6" fillId="19" borderId="11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right" vertical="center"/>
    </xf>
    <xf numFmtId="0" fontId="7" fillId="19" borderId="11" xfId="0" applyFont="1" applyFill="1" applyBorder="1" applyAlignment="1">
      <alignment horizontal="left" vertical="center"/>
    </xf>
    <xf numFmtId="0" fontId="7" fillId="19" borderId="11" xfId="0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right" vertical="center"/>
    </xf>
    <xf numFmtId="0" fontId="5" fillId="20" borderId="11" xfId="0" applyFont="1" applyFill="1" applyBorder="1" applyAlignment="1">
      <alignment horizontal="left" vertical="center"/>
    </xf>
    <xf numFmtId="0" fontId="5" fillId="20" borderId="11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right" vertical="center"/>
    </xf>
    <xf numFmtId="0" fontId="5" fillId="18" borderId="11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right" vertical="center"/>
    </xf>
    <xf numFmtId="0" fontId="12" fillId="17" borderId="11" xfId="0" applyFont="1" applyFill="1" applyBorder="1" applyAlignment="1">
      <alignment horizontal="left" vertical="center"/>
    </xf>
    <xf numFmtId="0" fontId="12" fillId="17" borderId="11" xfId="0" applyFont="1" applyFill="1" applyBorder="1" applyAlignment="1">
      <alignment horizontal="center" vertical="center"/>
    </xf>
    <xf numFmtId="0" fontId="12" fillId="17" borderId="11" xfId="0" applyFont="1" applyFill="1" applyBorder="1" applyAlignment="1">
      <alignment horizontal="right" vertical="center"/>
    </xf>
    <xf numFmtId="0" fontId="10" fillId="21" borderId="11" xfId="0" applyFont="1" applyFill="1" applyBorder="1" applyAlignment="1">
      <alignment horizontal="right"/>
    </xf>
    <xf numFmtId="0" fontId="11" fillId="22" borderId="11" xfId="0" applyFont="1" applyFill="1" applyBorder="1" applyAlignment="1">
      <alignment horizontal="left" vertical="center" wrapText="1" indent="1"/>
    </xf>
    <xf numFmtId="4" fontId="11" fillId="22" borderId="11" xfId="0" applyNumberFormat="1" applyFont="1" applyFill="1" applyBorder="1" applyAlignment="1">
      <alignment horizontal="right" vertical="center"/>
    </xf>
    <xf numFmtId="49" fontId="11" fillId="22" borderId="11" xfId="0" applyNumberFormat="1" applyFont="1" applyFill="1" applyBorder="1" applyAlignment="1">
      <alignment horizontal="right" vertical="center"/>
    </xf>
    <xf numFmtId="0" fontId="12" fillId="23" borderId="11" xfId="0" applyFont="1" applyFill="1" applyBorder="1" applyAlignment="1">
      <alignment horizontal="left" vertical="center" wrapText="1" indent="1"/>
    </xf>
    <xf numFmtId="4" fontId="12" fillId="23" borderId="11" xfId="0" applyNumberFormat="1" applyFont="1" applyFill="1" applyBorder="1" applyAlignment="1">
      <alignment horizontal="right" vertical="center"/>
    </xf>
    <xf numFmtId="0" fontId="12" fillId="25" borderId="11" xfId="0" applyFont="1" applyFill="1" applyBorder="1" applyAlignment="1">
      <alignment horizontal="left" vertical="center" wrapText="1" indent="1"/>
    </xf>
    <xf numFmtId="4" fontId="12" fillId="25" borderId="11" xfId="0" applyNumberFormat="1" applyFont="1" applyFill="1" applyBorder="1" applyAlignment="1">
      <alignment horizontal="right" vertical="center"/>
    </xf>
    <xf numFmtId="0" fontId="0" fillId="21" borderId="11" xfId="0" applyFill="1" applyBorder="1" applyAlignment="1"/>
    <xf numFmtId="0" fontId="12" fillId="24" borderId="11" xfId="0" applyFont="1" applyFill="1" applyBorder="1" applyAlignment="1">
      <alignment horizontal="left" vertical="center" wrapText="1" indent="1"/>
    </xf>
    <xf numFmtId="0" fontId="14" fillId="7" borderId="11" xfId="0" applyFont="1" applyFill="1" applyBorder="1" applyAlignment="1">
      <alignment vertical="center"/>
    </xf>
    <xf numFmtId="4" fontId="15" fillId="0" borderId="11" xfId="0" applyNumberFormat="1" applyFont="1" applyBorder="1" applyAlignment="1">
      <alignment horizontal="center" vertical="center"/>
    </xf>
    <xf numFmtId="4" fontId="14" fillId="0" borderId="11" xfId="0" applyNumberFormat="1" applyFont="1" applyBorder="1" applyAlignment="1">
      <alignment horizontal="center" vertical="center"/>
    </xf>
    <xf numFmtId="164" fontId="18" fillId="8" borderId="11" xfId="0" applyNumberFormat="1" applyFont="1" applyFill="1" applyBorder="1" applyAlignment="1">
      <alignment horizontal="left" vertical="center"/>
    </xf>
    <xf numFmtId="10" fontId="14" fillId="0" borderId="11" xfId="0" applyNumberFormat="1" applyFont="1" applyBorder="1" applyAlignment="1">
      <alignment horizontal="center" vertical="center"/>
    </xf>
    <xf numFmtId="164" fontId="18" fillId="8" borderId="11" xfId="0" applyNumberFormat="1" applyFont="1" applyFill="1" applyBorder="1" applyAlignment="1">
      <alignment vertical="center"/>
    </xf>
    <xf numFmtId="172" fontId="3" fillId="0" borderId="11" xfId="1" applyNumberFormat="1" applyBorder="1" applyAlignment="1">
      <alignment horizontal="center" vertical="center"/>
    </xf>
    <xf numFmtId="10" fontId="19" fillId="4" borderId="11" xfId="0" applyNumberFormat="1" applyFont="1" applyFill="1" applyBorder="1" applyAlignment="1">
      <alignment horizontal="center" vertical="center"/>
    </xf>
    <xf numFmtId="2" fontId="19" fillId="4" borderId="11" xfId="0" applyNumberFormat="1" applyFont="1" applyFill="1" applyBorder="1" applyAlignment="1">
      <alignment horizontal="center" vertical="center"/>
    </xf>
    <xf numFmtId="10" fontId="18" fillId="8" borderId="11" xfId="0" applyNumberFormat="1" applyFont="1" applyFill="1" applyBorder="1" applyAlignment="1">
      <alignment vertical="center"/>
    </xf>
    <xf numFmtId="10" fontId="18" fillId="4" borderId="11" xfId="0" applyNumberFormat="1" applyFont="1" applyFill="1" applyBorder="1" applyAlignment="1">
      <alignment horizontal="center" vertical="center"/>
    </xf>
    <xf numFmtId="10" fontId="14" fillId="7" borderId="11" xfId="0" applyNumberFormat="1" applyFont="1" applyFill="1" applyBorder="1" applyAlignment="1">
      <alignment horizontal="left" vertical="center"/>
    </xf>
    <xf numFmtId="4" fontId="19" fillId="4" borderId="11" xfId="0" applyNumberFormat="1" applyFont="1" applyFill="1" applyBorder="1" applyAlignment="1">
      <alignment horizontal="center" vertical="center"/>
    </xf>
    <xf numFmtId="164" fontId="14" fillId="7" borderId="11" xfId="0" applyNumberFormat="1" applyFont="1" applyFill="1" applyBorder="1" applyAlignment="1">
      <alignment vertical="center"/>
    </xf>
    <xf numFmtId="10" fontId="19" fillId="0" borderId="11" xfId="0" applyNumberFormat="1" applyFont="1" applyBorder="1" applyAlignment="1">
      <alignment horizontal="center" vertical="center"/>
    </xf>
    <xf numFmtId="0" fontId="18" fillId="8" borderId="11" xfId="0" applyFont="1" applyFill="1" applyBorder="1" applyAlignment="1">
      <alignment vertical="center"/>
    </xf>
    <xf numFmtId="10" fontId="18" fillId="0" borderId="11" xfId="0" applyNumberFormat="1" applyFont="1" applyBorder="1" applyAlignment="1">
      <alignment horizontal="center" vertical="center"/>
    </xf>
    <xf numFmtId="10" fontId="18" fillId="9" borderId="11" xfId="0" applyNumberFormat="1" applyFont="1" applyFill="1" applyBorder="1" applyAlignment="1">
      <alignment horizontal="center" vertical="center"/>
    </xf>
    <xf numFmtId="10" fontId="14" fillId="4" borderId="11" xfId="0" applyNumberFormat="1" applyFont="1" applyFill="1" applyBorder="1" applyAlignment="1">
      <alignment horizontal="center" vertical="center"/>
    </xf>
    <xf numFmtId="10" fontId="14" fillId="0" borderId="11" xfId="0" applyNumberFormat="1" applyFont="1" applyBorder="1" applyAlignment="1">
      <alignment vertical="center"/>
    </xf>
    <xf numFmtId="164" fontId="16" fillId="0" borderId="11" xfId="0" applyNumberFormat="1" applyFont="1" applyBorder="1" applyAlignment="1">
      <alignment vertical="center"/>
    </xf>
    <xf numFmtId="10" fontId="18" fillId="0" borderId="11" xfId="0" applyNumberFormat="1" applyFont="1" applyBorder="1" applyAlignment="1">
      <alignment vertical="center"/>
    </xf>
    <xf numFmtId="0" fontId="12" fillId="20" borderId="11" xfId="0" applyFont="1" applyFill="1" applyBorder="1" applyAlignment="1">
      <alignment horizontal="left" vertical="center" indent="1"/>
    </xf>
    <xf numFmtId="0" fontId="11" fillId="21" borderId="11" xfId="0" applyFont="1" applyFill="1" applyBorder="1" applyAlignment="1">
      <alignment horizontal="left" vertical="center" indent="1"/>
    </xf>
    <xf numFmtId="4" fontId="11" fillId="21" borderId="11" xfId="0" applyNumberFormat="1" applyFont="1" applyFill="1" applyBorder="1" applyAlignment="1">
      <alignment horizontal="right" vertical="center"/>
    </xf>
    <xf numFmtId="49" fontId="11" fillId="21" borderId="11" xfId="0" applyNumberFormat="1" applyFont="1" applyFill="1" applyBorder="1" applyAlignment="1">
      <alignment horizontal="right" vertical="center"/>
    </xf>
    <xf numFmtId="0" fontId="12" fillId="20" borderId="11" xfId="0" applyFont="1" applyFill="1" applyBorder="1" applyAlignment="1">
      <alignment horizontal="left" vertical="center" indent="1"/>
    </xf>
    <xf numFmtId="49" fontId="12" fillId="20" borderId="11" xfId="0" applyNumberFormat="1" applyFont="1" applyFill="1" applyBorder="1" applyAlignment="1">
      <alignment horizontal="right" vertical="center"/>
    </xf>
    <xf numFmtId="0" fontId="12" fillId="23" borderId="11" xfId="0" applyFont="1" applyFill="1" applyBorder="1" applyAlignment="1">
      <alignment horizontal="left" vertical="center" indent="1"/>
    </xf>
    <xf numFmtId="4" fontId="11" fillId="23" borderId="11" xfId="0" applyNumberFormat="1" applyFont="1" applyFill="1" applyBorder="1" applyAlignment="1">
      <alignment horizontal="right" vertical="center"/>
    </xf>
    <xf numFmtId="0" fontId="12" fillId="25" borderId="11" xfId="0" applyFont="1" applyFill="1" applyBorder="1" applyAlignment="1">
      <alignment horizontal="left" vertical="center" indent="1"/>
    </xf>
    <xf numFmtId="0" fontId="4" fillId="24" borderId="11" xfId="0" applyFont="1" applyFill="1" applyBorder="1" applyAlignment="1">
      <alignment horizontal="left" vertical="center" indent="1"/>
    </xf>
    <xf numFmtId="0" fontId="0" fillId="0" borderId="0" xfId="0" applyFill="1" applyAlignment="1"/>
    <xf numFmtId="0" fontId="67" fillId="26" borderId="11" xfId="0" applyFont="1" applyFill="1" applyBorder="1" applyAlignment="1">
      <alignment horizontal="left" vertical="center"/>
    </xf>
    <xf numFmtId="165" fontId="67" fillId="26" borderId="11" xfId="0" applyNumberFormat="1" applyFont="1" applyFill="1" applyBorder="1" applyAlignment="1">
      <alignment horizontal="right" vertical="center"/>
    </xf>
    <xf numFmtId="0" fontId="24" fillId="4" borderId="1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167" fontId="6" fillId="4" borderId="22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0" fontId="24" fillId="4" borderId="25" xfId="0" applyFont="1" applyFill="1" applyBorder="1" applyAlignment="1">
      <alignment horizontal="center" vertical="center"/>
    </xf>
    <xf numFmtId="0" fontId="6" fillId="4" borderId="11" xfId="0" applyFont="1" applyFill="1" applyBorder="1" applyAlignment="1"/>
    <xf numFmtId="0" fontId="0" fillId="4" borderId="11" xfId="0" applyFill="1" applyBorder="1" applyAlignment="1"/>
    <xf numFmtId="168" fontId="0" fillId="4" borderId="11" xfId="0" applyNumberFormat="1" applyFill="1" applyBorder="1" applyAlignment="1"/>
    <xf numFmtId="2" fontId="68" fillId="4" borderId="0" xfId="0" applyNumberFormat="1" applyFont="1" applyFill="1" applyAlignment="1"/>
    <xf numFmtId="0" fontId="0" fillId="21" borderId="11" xfId="0" applyFill="1" applyBorder="1" applyAlignment="1">
      <alignment horizontal="center" vertical="center"/>
    </xf>
    <xf numFmtId="0" fontId="26" fillId="28" borderId="11" xfId="0" applyFont="1" applyFill="1" applyBorder="1" applyAlignment="1">
      <alignment horizontal="center" vertical="center"/>
    </xf>
    <xf numFmtId="0" fontId="12" fillId="27" borderId="11" xfId="0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19" fillId="29" borderId="11" xfId="0" applyFont="1" applyFill="1" applyBorder="1" applyAlignment="1">
      <alignment horizontal="center" vertical="center"/>
    </xf>
    <xf numFmtId="4" fontId="19" fillId="21" borderId="11" xfId="0" applyNumberFormat="1" applyFont="1" applyFill="1" applyBorder="1" applyAlignment="1">
      <alignment horizontal="center" vertical="center"/>
    </xf>
    <xf numFmtId="0" fontId="19" fillId="28" borderId="11" xfId="0" applyFont="1" applyFill="1" applyBorder="1" applyAlignment="1">
      <alignment horizontal="center" vertical="center" wrapText="1"/>
    </xf>
    <xf numFmtId="4" fontId="19" fillId="28" borderId="11" xfId="0" applyNumberFormat="1" applyFont="1" applyFill="1" applyBorder="1" applyAlignment="1">
      <alignment horizontal="center" vertical="center" wrapText="1"/>
    </xf>
    <xf numFmtId="4" fontId="19" fillId="28" borderId="11" xfId="0" applyNumberFormat="1" applyFont="1" applyFill="1" applyBorder="1" applyAlignment="1">
      <alignment horizontal="right" vertical="center"/>
    </xf>
    <xf numFmtId="0" fontId="19" fillId="21" borderId="11" xfId="0" applyFont="1" applyFill="1" applyBorder="1" applyAlignment="1">
      <alignment horizontal="center" vertical="center" wrapText="1"/>
    </xf>
    <xf numFmtId="4" fontId="19" fillId="21" borderId="11" xfId="0" applyNumberFormat="1" applyFont="1" applyFill="1" applyBorder="1" applyAlignment="1">
      <alignment horizontal="right" vertical="center"/>
    </xf>
    <xf numFmtId="0" fontId="19" fillId="21" borderId="11" xfId="0" applyFont="1" applyFill="1" applyBorder="1" applyAlignment="1">
      <alignment horizontal="center" vertical="center"/>
    </xf>
    <xf numFmtId="0" fontId="19" fillId="30" borderId="11" xfId="0" applyFont="1" applyFill="1" applyBorder="1" applyAlignment="1">
      <alignment horizontal="center" vertical="center" wrapText="1"/>
    </xf>
    <xf numFmtId="4" fontId="19" fillId="30" borderId="11" xfId="0" applyNumberFormat="1" applyFont="1" applyFill="1" applyBorder="1" applyAlignment="1">
      <alignment horizontal="center" vertical="center" wrapText="1"/>
    </xf>
    <xf numFmtId="4" fontId="19" fillId="30" borderId="11" xfId="0" applyNumberFormat="1" applyFont="1" applyFill="1" applyBorder="1" applyAlignment="1">
      <alignment horizontal="right" vertical="center"/>
    </xf>
    <xf numFmtId="2" fontId="19" fillId="21" borderId="11" xfId="0" applyNumberFormat="1" applyFont="1" applyFill="1" applyBorder="1" applyAlignment="1">
      <alignment horizontal="center" vertical="center"/>
    </xf>
    <xf numFmtId="2" fontId="19" fillId="21" borderId="11" xfId="0" applyNumberFormat="1" applyFont="1" applyFill="1" applyBorder="1" applyAlignment="1">
      <alignment horizontal="right" vertical="center"/>
    </xf>
    <xf numFmtId="2" fontId="19" fillId="28" borderId="11" xfId="0" applyNumberFormat="1" applyFont="1" applyFill="1" applyBorder="1" applyAlignment="1">
      <alignment horizontal="center" vertical="center" wrapText="1"/>
    </xf>
    <xf numFmtId="2" fontId="19" fillId="28" borderId="11" xfId="0" applyNumberFormat="1" applyFont="1" applyFill="1" applyBorder="1" applyAlignment="1">
      <alignment horizontal="right" vertical="center"/>
    </xf>
    <xf numFmtId="0" fontId="30" fillId="21" borderId="11" xfId="0" applyFont="1" applyFill="1" applyBorder="1" applyAlignment="1">
      <alignment horizontal="center" vertical="center"/>
    </xf>
    <xf numFmtId="0" fontId="11" fillId="28" borderId="11" xfId="0" applyFont="1" applyFill="1" applyBorder="1" applyAlignment="1">
      <alignment horizontal="center" vertical="center" wrapText="1"/>
    </xf>
    <xf numFmtId="3" fontId="11" fillId="28" borderId="11" xfId="0" applyNumberFormat="1" applyFont="1" applyFill="1" applyBorder="1" applyAlignment="1">
      <alignment horizontal="center" vertical="center" wrapText="1"/>
    </xf>
    <xf numFmtId="4" fontId="11" fillId="28" borderId="11" xfId="0" applyNumberFormat="1" applyFont="1" applyFill="1" applyBorder="1" applyAlignment="1">
      <alignment horizontal="right" vertical="center"/>
    </xf>
    <xf numFmtId="4" fontId="11" fillId="28" borderId="11" xfId="0" applyNumberFormat="1" applyFont="1" applyFill="1" applyBorder="1" applyAlignment="1">
      <alignment horizontal="center" vertical="center" wrapText="1"/>
    </xf>
    <xf numFmtId="0" fontId="12" fillId="31" borderId="11" xfId="0" applyFont="1" applyFill="1" applyBorder="1" applyAlignment="1">
      <alignment horizontal="center" vertical="center"/>
    </xf>
    <xf numFmtId="169" fontId="12" fillId="31" borderId="11" xfId="0" applyNumberFormat="1" applyFont="1" applyFill="1" applyBorder="1" applyAlignment="1">
      <alignment horizontal="center" vertical="center"/>
    </xf>
    <xf numFmtId="0" fontId="32" fillId="32" borderId="11" xfId="0" applyFont="1" applyFill="1" applyBorder="1" applyAlignment="1">
      <alignment horizontal="center" vertical="center"/>
    </xf>
    <xf numFmtId="0" fontId="32" fillId="33" borderId="11" xfId="0" applyFont="1" applyFill="1" applyBorder="1" applyAlignment="1">
      <alignment horizontal="center" vertical="center"/>
    </xf>
    <xf numFmtId="0" fontId="32" fillId="34" borderId="11" xfId="0" applyFont="1" applyFill="1" applyBorder="1" applyAlignment="1">
      <alignment horizontal="center" vertical="center"/>
    </xf>
    <xf numFmtId="0" fontId="32" fillId="33" borderId="11" xfId="0" applyFont="1" applyFill="1" applyBorder="1" applyAlignment="1">
      <alignment horizontal="center" vertical="center" wrapText="1"/>
    </xf>
    <xf numFmtId="0" fontId="32" fillId="34" borderId="11" xfId="0" applyFont="1" applyFill="1" applyBorder="1" applyAlignment="1">
      <alignment horizontal="center" vertical="center" wrapText="1"/>
    </xf>
    <xf numFmtId="0" fontId="32" fillId="32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 wrapText="1"/>
    </xf>
    <xf numFmtId="0" fontId="32" fillId="36" borderId="0" xfId="0" applyFont="1" applyFill="1" applyAlignment="1">
      <alignment horizontal="center"/>
    </xf>
    <xf numFmtId="0" fontId="32" fillId="36" borderId="0" xfId="0" applyFont="1" applyFill="1" applyAlignment="1"/>
    <xf numFmtId="0" fontId="44" fillId="0" borderId="0" xfId="0" applyFont="1" applyFill="1" applyAlignment="1">
      <alignment horizontal="left" vertical="center" indent="2"/>
    </xf>
    <xf numFmtId="0" fontId="40" fillId="0" borderId="0" xfId="0" applyFont="1" applyFill="1" applyAlignment="1">
      <alignment horizontal="left" vertical="center"/>
    </xf>
    <xf numFmtId="0" fontId="44" fillId="0" borderId="0" xfId="0" applyFont="1" applyFill="1" applyAlignment="1">
      <alignment horizontal="right" vertical="center" wrapText="1"/>
    </xf>
    <xf numFmtId="0" fontId="44" fillId="0" borderId="0" xfId="0" applyFont="1" applyFill="1" applyBorder="1" applyAlignment="1">
      <alignment horizontal="right" vertical="center" wrapText="1"/>
    </xf>
    <xf numFmtId="0" fontId="44" fillId="0" borderId="0" xfId="0" applyFont="1" applyFill="1" applyBorder="1" applyAlignment="1">
      <alignment horizontal="left" vertical="center" indent="2"/>
    </xf>
    <xf numFmtId="0" fontId="40" fillId="0" borderId="0" xfId="0" applyFont="1" applyFill="1" applyBorder="1" applyAlignment="1">
      <alignment horizontal="left" vertical="center"/>
    </xf>
    <xf numFmtId="0" fontId="32" fillId="36" borderId="18" xfId="0" applyFont="1" applyFill="1" applyBorder="1" applyAlignment="1">
      <alignment horizontal="center"/>
    </xf>
    <xf numFmtId="0" fontId="32" fillId="36" borderId="18" xfId="0" applyFont="1" applyFill="1" applyBorder="1" applyAlignment="1"/>
    <xf numFmtId="0" fontId="32" fillId="36" borderId="11" xfId="0" applyFont="1" applyFill="1" applyBorder="1" applyAlignment="1"/>
    <xf numFmtId="0" fontId="32" fillId="36" borderId="14" xfId="0" applyFont="1" applyFill="1" applyBorder="1" applyAlignment="1"/>
    <xf numFmtId="0" fontId="32" fillId="36" borderId="11" xfId="0" applyFont="1" applyFill="1" applyBorder="1" applyAlignment="1">
      <alignment horizontal="center"/>
    </xf>
    <xf numFmtId="0" fontId="35" fillId="36" borderId="11" xfId="0" applyFont="1" applyFill="1" applyBorder="1" applyAlignment="1">
      <alignment horizontal="center"/>
    </xf>
    <xf numFmtId="0" fontId="32" fillId="37" borderId="11" xfId="0" applyFont="1" applyFill="1" applyBorder="1" applyAlignment="1"/>
    <xf numFmtId="169" fontId="32" fillId="36" borderId="11" xfId="0" applyNumberFormat="1" applyFont="1" applyFill="1" applyBorder="1" applyAlignment="1"/>
    <xf numFmtId="0" fontId="69" fillId="36" borderId="14" xfId="0" applyFont="1" applyFill="1" applyBorder="1" applyAlignment="1">
      <alignment horizontal="center"/>
    </xf>
    <xf numFmtId="0" fontId="69" fillId="36" borderId="26" xfId="0" applyFont="1" applyFill="1" applyBorder="1" applyAlignment="1">
      <alignment horizontal="center"/>
    </xf>
    <xf numFmtId="0" fontId="69" fillId="36" borderId="18" xfId="0" applyFont="1" applyFill="1" applyBorder="1" applyAlignment="1">
      <alignment horizontal="center"/>
    </xf>
    <xf numFmtId="0" fontId="70" fillId="36" borderId="11" xfId="0" applyFont="1" applyFill="1" applyBorder="1" applyAlignment="1"/>
    <xf numFmtId="169" fontId="70" fillId="36" borderId="11" xfId="0" applyNumberFormat="1" applyFont="1" applyFill="1" applyBorder="1" applyAlignment="1"/>
    <xf numFmtId="169" fontId="70" fillId="36" borderId="0" xfId="0" applyNumberFormat="1" applyFont="1" applyFill="1" applyAlignment="1"/>
    <xf numFmtId="169" fontId="70" fillId="36" borderId="11" xfId="0" applyNumberFormat="1" applyFont="1" applyFill="1" applyBorder="1" applyAlignment="1">
      <alignment horizontal="center"/>
    </xf>
    <xf numFmtId="0" fontId="70" fillId="36" borderId="11" xfId="0" applyFont="1" applyFill="1" applyBorder="1" applyAlignment="1">
      <alignment horizontal="center"/>
    </xf>
    <xf numFmtId="0" fontId="46" fillId="38" borderId="11" xfId="0" applyFont="1" applyFill="1" applyBorder="1" applyAlignment="1">
      <alignment horizontal="center" vertical="center"/>
    </xf>
    <xf numFmtId="0" fontId="32" fillId="39" borderId="11" xfId="0" applyFont="1" applyFill="1" applyBorder="1" applyAlignment="1">
      <alignment horizontal="center" vertical="center" wrapText="1"/>
    </xf>
    <xf numFmtId="0" fontId="71" fillId="40" borderId="11" xfId="0" applyFont="1" applyFill="1" applyBorder="1" applyAlignment="1">
      <alignment horizontal="center" vertical="center"/>
    </xf>
    <xf numFmtId="0" fontId="23" fillId="41" borderId="11" xfId="0" applyFont="1" applyFill="1" applyBorder="1" applyAlignment="1">
      <alignment horizontal="right" vertical="center"/>
    </xf>
    <xf numFmtId="0" fontId="71" fillId="40" borderId="11" xfId="0" applyFont="1" applyFill="1" applyBorder="1" applyAlignment="1">
      <alignment horizontal="left" vertical="center" wrapText="1"/>
    </xf>
    <xf numFmtId="0" fontId="71" fillId="40" borderId="11" xfId="0" applyFont="1" applyFill="1" applyBorder="1" applyAlignment="1">
      <alignment horizontal="center" vertical="center" wrapText="1"/>
    </xf>
    <xf numFmtId="0" fontId="71" fillId="40" borderId="11" xfId="0" applyFont="1" applyFill="1" applyBorder="1" applyAlignment="1">
      <alignment horizontal="left" vertical="center"/>
    </xf>
    <xf numFmtId="0" fontId="72" fillId="40" borderId="11" xfId="0" applyFont="1" applyFill="1" applyBorder="1" applyAlignment="1"/>
    <xf numFmtId="166" fontId="23" fillId="40" borderId="11" xfId="0" applyNumberFormat="1" applyFont="1" applyFill="1" applyBorder="1" applyAlignment="1">
      <alignment horizontal="right" vertical="center"/>
    </xf>
    <xf numFmtId="0" fontId="23" fillId="40" borderId="11" xfId="0" applyFont="1" applyFill="1" applyBorder="1" applyAlignment="1">
      <alignment horizontal="right" vertical="center"/>
    </xf>
    <xf numFmtId="0" fontId="32" fillId="40" borderId="11" xfId="0" applyFont="1" applyFill="1" applyBorder="1" applyAlignment="1">
      <alignment horizontal="center" vertical="center"/>
    </xf>
    <xf numFmtId="0" fontId="32" fillId="40" borderId="11" xfId="0" applyFont="1" applyFill="1" applyBorder="1" applyAlignment="1">
      <alignment horizontal="center" vertical="center" wrapText="1"/>
    </xf>
    <xf numFmtId="0" fontId="32" fillId="40" borderId="11" xfId="0" applyFont="1" applyFill="1" applyBorder="1" applyAlignment="1">
      <alignment horizontal="center" wrapText="1"/>
    </xf>
    <xf numFmtId="0" fontId="32" fillId="40" borderId="11" xfId="0" applyFont="1" applyFill="1" applyBorder="1" applyAlignment="1">
      <alignment horizontal="left" vertical="center" indent="1"/>
    </xf>
    <xf numFmtId="0" fontId="73" fillId="40" borderId="11" xfId="0" applyFont="1" applyFill="1" applyBorder="1" applyAlignment="1">
      <alignment horizontal="center" vertical="center"/>
    </xf>
    <xf numFmtId="0" fontId="74" fillId="40" borderId="11" xfId="0" applyFont="1" applyFill="1" applyBorder="1" applyAlignment="1">
      <alignment horizontal="center" vertical="center"/>
    </xf>
    <xf numFmtId="10" fontId="74" fillId="40" borderId="11" xfId="0" applyNumberFormat="1" applyFont="1" applyFill="1" applyBorder="1" applyAlignment="1">
      <alignment vertical="center"/>
    </xf>
    <xf numFmtId="0" fontId="32" fillId="40" borderId="11" xfId="0" applyFont="1" applyFill="1" applyBorder="1" applyAlignment="1">
      <alignment horizontal="left" vertical="center" wrapText="1" indent="1"/>
    </xf>
    <xf numFmtId="0" fontId="73" fillId="42" borderId="11" xfId="0" applyFont="1" applyFill="1" applyBorder="1" applyAlignment="1">
      <alignment horizontal="center" vertical="center"/>
    </xf>
    <xf numFmtId="0" fontId="74" fillId="42" borderId="11" xfId="0" applyFont="1" applyFill="1" applyBorder="1" applyAlignment="1">
      <alignment horizontal="left" vertical="center"/>
    </xf>
    <xf numFmtId="0" fontId="74" fillId="42" borderId="11" xfId="0" applyFont="1" applyFill="1" applyBorder="1" applyAlignment="1">
      <alignment horizontal="center" vertical="center"/>
    </xf>
    <xf numFmtId="0" fontId="74" fillId="42" borderId="11" xfId="0" applyFont="1" applyFill="1" applyBorder="1" applyAlignment="1">
      <alignment horizontal="right" vertical="center"/>
    </xf>
    <xf numFmtId="0" fontId="75" fillId="42" borderId="11" xfId="0" applyFont="1" applyFill="1" applyBorder="1" applyAlignment="1">
      <alignment horizontal="center" vertical="center" wrapText="1"/>
    </xf>
    <xf numFmtId="0" fontId="75" fillId="42" borderId="11" xfId="0" applyFont="1" applyFill="1" applyBorder="1" applyAlignment="1">
      <alignment horizontal="left" vertical="center"/>
    </xf>
    <xf numFmtId="0" fontId="75" fillId="42" borderId="11" xfId="0" applyFont="1" applyFill="1" applyBorder="1" applyAlignment="1">
      <alignment horizontal="center" vertical="center"/>
    </xf>
    <xf numFmtId="0" fontId="75" fillId="42" borderId="11" xfId="0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2F7FC"/>
      <rgbColor rgb="FF0000FF"/>
      <rgbColor rgb="FFEEEEEE"/>
      <rgbColor rgb="FFFF00FF"/>
      <rgbColor rgb="FFDCE6F1"/>
      <rgbColor rgb="FF800000"/>
      <rgbColor rgb="FF008000"/>
      <rgbColor rgb="FF1A1A2A"/>
      <rgbColor rgb="FF1A5276"/>
      <rgbColor rgb="FF800080"/>
      <rgbColor rgb="FF1B6CA8"/>
      <rgbColor rgb="FFB8CCE4"/>
      <rgbColor rgb="FF666666"/>
      <rgbColor rgb="FF645DF9"/>
      <rgbColor rgb="FF595959"/>
      <rgbColor rgb="FFFFF2CC"/>
      <rgbColor rgb="FFDDEBF7"/>
      <rgbColor rgb="FF2C3E50"/>
      <rgbColor rgb="FFDAE3F3"/>
      <rgbColor rgb="FF0070C0"/>
      <rgbColor rgb="FFBDD7EE"/>
      <rgbColor rgb="FF1D324E"/>
      <rgbColor rgb="FFFF00FF"/>
      <rgbColor rgb="FFF0F4F8"/>
      <rgbColor rgb="FFEAF2FB"/>
      <rgbColor rgb="FF800080"/>
      <rgbColor rgb="FF800000"/>
      <rgbColor rgb="FF2F76B5"/>
      <rgbColor rgb="FF1F4E79"/>
      <rgbColor rgb="FFD6E4F7"/>
      <rgbColor rgb="FFD5E8F5"/>
      <rgbColor rgb="FFC6EFCE"/>
      <rgbColor rgb="FFE2EFDA"/>
      <rgbColor rgb="FFD5DCE4"/>
      <rgbColor rgb="FFE0E0E0"/>
      <rgbColor rgb="FFD9E1F2"/>
      <rgbColor rgb="FFFBE5D6"/>
      <rgbColor rgb="FF4472C4"/>
      <rgbColor rgb="FFD6E4F0"/>
      <rgbColor rgb="FFA9D08E"/>
      <rgbColor rgb="FFDBE4F0"/>
      <rgbColor rgb="FFF09018"/>
      <rgbColor rgb="FFC55A11"/>
      <rgbColor rgb="FF606F7B"/>
      <rgbColor rgb="FFA9A9A9"/>
      <rgbColor rgb="FF002060"/>
      <rgbColor rgb="FF5A89C0"/>
      <rgbColor rgb="FF0D1B2A"/>
      <rgbColor rgb="FF22222F"/>
      <rgbColor rgb="FFF8F8FC"/>
      <rgbColor rgb="FF1F3F5A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Forecasting!$E$11:$E$14</c:f>
              <c:numCache>
                <c:formatCode>0.00</c:formatCode>
                <c:ptCount val="4"/>
                <c:pt idx="0">
                  <c:v>37950.531333333332</c:v>
                </c:pt>
                <c:pt idx="1">
                  <c:v>39918.323619047616</c:v>
                </c:pt>
                <c:pt idx="2">
                  <c:v>41886.1159047619</c:v>
                </c:pt>
                <c:pt idx="3">
                  <c:v>43853.908190476184</c:v>
                </c:pt>
              </c:numCache>
            </c:numRef>
          </c:xVal>
          <c:yVal>
            <c:numRef>
              <c:f>Forecasting!$F$11:$F$14</c:f>
              <c:numCache>
                <c:formatCode>0%</c:formatCode>
                <c:ptCount val="4"/>
                <c:pt idx="0">
                  <c:v>0.12620538889399976</c:v>
                </c:pt>
                <c:pt idx="1">
                  <c:v>5.185150817601071E-2</c:v>
                </c:pt>
                <c:pt idx="2">
                  <c:v>4.9295464020320805E-2</c:v>
                </c:pt>
                <c:pt idx="3">
                  <c:v>4.6979583645056278E-2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A-46CA-BCEF-6667F1C8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786832"/>
        <c:axId val="636789456"/>
      </c:scatterChart>
      <c:valAx>
        <c:axId val="63678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89456"/>
        <c:crosses val="autoZero"/>
        <c:crossBetween val="midCat"/>
      </c:valAx>
      <c:valAx>
        <c:axId val="6367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8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Forecasting!$I$11:$I$14</c:f>
              <c:numCache>
                <c:formatCode>yyyy\E</c:formatCode>
                <c:ptCount val="4"/>
                <c:pt idx="0">
                  <c:v>46020</c:v>
                </c:pt>
                <c:pt idx="1">
                  <c:v>46385</c:v>
                </c:pt>
                <c:pt idx="2">
                  <c:v>46750</c:v>
                </c:pt>
                <c:pt idx="3">
                  <c:v>47115</c:v>
                </c:pt>
              </c:numCache>
            </c:numRef>
          </c:cat>
          <c:val>
            <c:numRef>
              <c:f>Forecasting!$J$11:$J$14</c:f>
              <c:numCache>
                <c:formatCode>0.00</c:formatCode>
                <c:ptCount val="4"/>
                <c:pt idx="0">
                  <c:v>5618.7559999999967</c:v>
                </c:pt>
                <c:pt idx="1">
                  <c:v>5709.7791428571381</c:v>
                </c:pt>
                <c:pt idx="2">
                  <c:v>5800.8022857142805</c:v>
                </c:pt>
                <c:pt idx="3">
                  <c:v>5891.8254285714229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A-4106-9CD7-F4FB680BC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073288"/>
        <c:axId val="64107361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Forecasting!$I$11:$I$14</c:f>
              <c:numCache>
                <c:formatCode>yyyy\E</c:formatCode>
                <c:ptCount val="4"/>
                <c:pt idx="0">
                  <c:v>46020</c:v>
                </c:pt>
                <c:pt idx="1">
                  <c:v>46385</c:v>
                </c:pt>
                <c:pt idx="2">
                  <c:v>46750</c:v>
                </c:pt>
                <c:pt idx="3">
                  <c:v>47115</c:v>
                </c:pt>
              </c:numCache>
            </c:numRef>
          </c:cat>
          <c:val>
            <c:numRef>
              <c:f>Forecasting!$K$11:$K$14</c:f>
              <c:numCache>
                <c:formatCode>0%</c:formatCode>
                <c:ptCount val="4"/>
                <c:pt idx="0">
                  <c:v>0.22074951495966555</c:v>
                </c:pt>
                <c:pt idx="1">
                  <c:v>1.6199874644341472E-2</c:v>
                </c:pt>
                <c:pt idx="2">
                  <c:v>1.5941622360474517E-2</c:v>
                </c:pt>
                <c:pt idx="3">
                  <c:v>1.5691474795013507E-2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CA-4106-9CD7-F4FB680BC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059184"/>
        <c:axId val="641060496"/>
      </c:lineChart>
      <c:dateAx>
        <c:axId val="641073288"/>
        <c:scaling>
          <c:orientation val="minMax"/>
        </c:scaling>
        <c:delete val="0"/>
        <c:axPos val="b"/>
        <c:numFmt formatCode="yyyy\E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73616"/>
        <c:crosses val="autoZero"/>
        <c:auto val="1"/>
        <c:lblOffset val="100"/>
        <c:baseTimeUnit val="years"/>
      </c:dateAx>
      <c:valAx>
        <c:axId val="6410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73288"/>
        <c:crosses val="autoZero"/>
        <c:crossBetween val="between"/>
      </c:valAx>
      <c:valAx>
        <c:axId val="64106049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59184"/>
        <c:crosses val="max"/>
        <c:crossBetween val="between"/>
      </c:valAx>
      <c:dateAx>
        <c:axId val="641059184"/>
        <c:scaling>
          <c:orientation val="minMax"/>
        </c:scaling>
        <c:delete val="1"/>
        <c:axPos val="b"/>
        <c:numFmt formatCode="yyyy\E" sourceLinked="1"/>
        <c:majorTickMark val="out"/>
        <c:minorTickMark val="none"/>
        <c:tickLblPos val="nextTo"/>
        <c:crossAx val="641060496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numRef>
              <c:f>Forecasting!$N$11:$N$14</c:f>
              <c:numCache>
                <c:formatCode>yyyy\E</c:formatCode>
                <c:ptCount val="4"/>
                <c:pt idx="0">
                  <c:v>46020</c:v>
                </c:pt>
                <c:pt idx="1">
                  <c:v>46385</c:v>
                </c:pt>
                <c:pt idx="2">
                  <c:v>46750</c:v>
                </c:pt>
                <c:pt idx="3">
                  <c:v>47115</c:v>
                </c:pt>
              </c:numCache>
            </c:numRef>
          </c:cat>
          <c:val>
            <c:numRef>
              <c:f>Forecasting!$O$11:$O$14</c:f>
              <c:numCache>
                <c:formatCode>0.00</c:formatCode>
                <c:ptCount val="4"/>
                <c:pt idx="0">
                  <c:v>19.026666666666664</c:v>
                </c:pt>
                <c:pt idx="1">
                  <c:v>20.440952380952382</c:v>
                </c:pt>
                <c:pt idx="2">
                  <c:v>21.855238095238093</c:v>
                </c:pt>
                <c:pt idx="3">
                  <c:v>23.269523809523811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E-447A-9172-EECD589A7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987344"/>
        <c:axId val="631986360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Forecasting!$N$11:$N$14</c:f>
              <c:numCache>
                <c:formatCode>yyyy\E</c:formatCode>
                <c:ptCount val="4"/>
                <c:pt idx="0">
                  <c:v>46020</c:v>
                </c:pt>
                <c:pt idx="1">
                  <c:v>46385</c:v>
                </c:pt>
                <c:pt idx="2">
                  <c:v>46750</c:v>
                </c:pt>
                <c:pt idx="3">
                  <c:v>47115</c:v>
                </c:pt>
              </c:numCache>
            </c:numRef>
          </c:cat>
          <c:val>
            <c:numRef>
              <c:f>Forecasting!$P$11:$P$14</c:f>
              <c:numCache>
                <c:formatCode>0%</c:formatCode>
                <c:ptCount val="4"/>
                <c:pt idx="0">
                  <c:v>0.11921568627450962</c:v>
                </c:pt>
                <c:pt idx="1">
                  <c:v>7.4331764941435799E-2</c:v>
                </c:pt>
                <c:pt idx="2">
                  <c:v>6.9188836602525117E-2</c:v>
                </c:pt>
                <c:pt idx="3">
                  <c:v>6.471152170123777E-2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E-447A-9172-EECD589A7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986688"/>
        <c:axId val="631987672"/>
      </c:lineChart>
      <c:dateAx>
        <c:axId val="631987344"/>
        <c:scaling>
          <c:orientation val="minMax"/>
        </c:scaling>
        <c:delete val="0"/>
        <c:axPos val="b"/>
        <c:numFmt formatCode="yyyy\E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86360"/>
        <c:crosses val="autoZero"/>
        <c:auto val="1"/>
        <c:lblOffset val="100"/>
        <c:baseTimeUnit val="years"/>
      </c:dateAx>
      <c:valAx>
        <c:axId val="63198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87344"/>
        <c:crosses val="autoZero"/>
        <c:crossBetween val="between"/>
      </c:valAx>
      <c:valAx>
        <c:axId val="63198767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86688"/>
        <c:crosses val="max"/>
        <c:crossBetween val="between"/>
      </c:valAx>
      <c:dateAx>
        <c:axId val="631986688"/>
        <c:scaling>
          <c:orientation val="minMax"/>
        </c:scaling>
        <c:delete val="1"/>
        <c:axPos val="b"/>
        <c:numFmt formatCode="yyyy\E" sourceLinked="1"/>
        <c:majorTickMark val="out"/>
        <c:minorTickMark val="none"/>
        <c:tickLblPos val="nextTo"/>
        <c:crossAx val="631987672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14</xdr:row>
      <xdr:rowOff>118110</xdr:rowOff>
    </xdr:from>
    <xdr:to>
      <xdr:col>6</xdr:col>
      <xdr:colOff>99060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4F4C1-C24E-48A0-B12D-B4CC66C9F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312420</xdr:colOff>
      <xdr:row>14</xdr:row>
      <xdr:rowOff>110490</xdr:rowOff>
    </xdr:from>
    <xdr:to>
      <xdr:col>11</xdr:col>
      <xdr:colOff>548640</xdr:colOff>
      <xdr:row>29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A6F0D2-A397-4201-ABD9-807C766BE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83820</xdr:colOff>
      <xdr:row>14</xdr:row>
      <xdr:rowOff>118110</xdr:rowOff>
    </xdr:from>
    <xdr:to>
      <xdr:col>17</xdr:col>
      <xdr:colOff>60960</xdr:colOff>
      <xdr:row>29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1ABD22-604A-4143-BC65-C9AD3741A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SHREECEM/consolidated/" TargetMode="External"/><Relationship Id="rId2" Type="http://schemas.openxmlformats.org/officeDocument/2006/relationships/hyperlink" Target="https://www.screener.in/company/ULTRACEMCO/consolidated/" TargetMode="External"/><Relationship Id="rId1" Type="http://schemas.openxmlformats.org/officeDocument/2006/relationships/hyperlink" Target="https://www.screener.in/company/AMBUJACEM/consolidated/" TargetMode="External"/><Relationship Id="rId6" Type="http://schemas.openxmlformats.org/officeDocument/2006/relationships/hyperlink" Target="https://www.screener.in/company/ACC/consolidated/" TargetMode="External"/><Relationship Id="rId5" Type="http://schemas.openxmlformats.org/officeDocument/2006/relationships/hyperlink" Target="https://www.screener.in/company/DALBHARAT/consolidated/" TargetMode="External"/><Relationship Id="rId4" Type="http://schemas.openxmlformats.org/officeDocument/2006/relationships/hyperlink" Target="https://www.screener.in/company/JKCEMENT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showGridLines="0" tabSelected="1" zoomScaleNormal="100" workbookViewId="0">
      <selection activeCell="H6" sqref="H6"/>
    </sheetView>
  </sheetViews>
  <sheetFormatPr defaultColWidth="9" defaultRowHeight="14.4" x14ac:dyDescent="0.3"/>
  <cols>
    <col min="1" max="1" width="8.88671875" style="1" customWidth="1"/>
    <col min="2" max="2" width="21.77734375" style="1" customWidth="1"/>
    <col min="3" max="3" width="37.5546875" style="1" customWidth="1"/>
    <col min="4" max="4" width="19.88671875" style="1" customWidth="1"/>
    <col min="5" max="5" width="16.6640625" style="1" bestFit="1" customWidth="1"/>
  </cols>
  <sheetData>
    <row r="1" spans="2:5" ht="38.4" x14ac:dyDescent="0.3">
      <c r="B1" s="160" t="s">
        <v>0</v>
      </c>
      <c r="C1" s="160"/>
      <c r="D1" s="160"/>
      <c r="E1" s="160"/>
    </row>
    <row r="2" spans="2:5" x14ac:dyDescent="0.3">
      <c r="B2" s="161" t="s">
        <v>1</v>
      </c>
      <c r="C2" s="161"/>
      <c r="D2" s="161"/>
      <c r="E2" s="161"/>
    </row>
    <row r="3" spans="2:5" x14ac:dyDescent="0.3">
      <c r="B3" s="162"/>
      <c r="C3" s="163"/>
      <c r="D3" s="163"/>
      <c r="E3" s="164"/>
    </row>
    <row r="4" spans="2:5" x14ac:dyDescent="0.3">
      <c r="B4" s="165" t="s">
        <v>2</v>
      </c>
      <c r="C4" s="165"/>
      <c r="D4" s="165"/>
      <c r="E4" s="165"/>
    </row>
    <row r="5" spans="2:5" ht="57.6" x14ac:dyDescent="0.3">
      <c r="B5" s="166" t="s">
        <v>3</v>
      </c>
      <c r="C5" s="167" t="s">
        <v>4</v>
      </c>
      <c r="D5" s="168" t="s">
        <v>5</v>
      </c>
      <c r="E5" s="169" t="s">
        <v>6</v>
      </c>
    </row>
    <row r="6" spans="2:5" ht="43.2" x14ac:dyDescent="0.3">
      <c r="B6" s="170" t="s">
        <v>7</v>
      </c>
      <c r="C6" s="171" t="s">
        <v>8</v>
      </c>
      <c r="D6" s="172" t="s">
        <v>9</v>
      </c>
      <c r="E6" s="173" t="s">
        <v>10</v>
      </c>
    </row>
    <row r="7" spans="2:5" ht="43.2" x14ac:dyDescent="0.3">
      <c r="B7" s="166" t="s">
        <v>11</v>
      </c>
      <c r="C7" s="167" t="s">
        <v>12</v>
      </c>
      <c r="D7" s="168" t="s">
        <v>13</v>
      </c>
      <c r="E7" s="169" t="s">
        <v>14</v>
      </c>
    </row>
    <row r="8" spans="2:5" ht="43.2" x14ac:dyDescent="0.3">
      <c r="B8" s="170" t="s">
        <v>15</v>
      </c>
      <c r="C8" s="171" t="s">
        <v>16</v>
      </c>
      <c r="D8" s="172" t="s">
        <v>17</v>
      </c>
      <c r="E8" s="173" t="s">
        <v>18</v>
      </c>
    </row>
    <row r="9" spans="2:5" ht="57.6" x14ac:dyDescent="0.3">
      <c r="B9" s="166" t="s">
        <v>19</v>
      </c>
      <c r="C9" s="167" t="s">
        <v>20</v>
      </c>
      <c r="D9" s="168" t="s">
        <v>21</v>
      </c>
      <c r="E9" s="169" t="s">
        <v>22</v>
      </c>
    </row>
    <row r="10" spans="2:5" x14ac:dyDescent="0.3">
      <c r="B10" s="165" t="s">
        <v>23</v>
      </c>
      <c r="C10" s="165"/>
      <c r="D10" s="165"/>
      <c r="E10" s="165"/>
    </row>
    <row r="11" spans="2:5" x14ac:dyDescent="0.3">
      <c r="B11" s="166" t="s">
        <v>24</v>
      </c>
      <c r="C11" s="174" t="s">
        <v>25</v>
      </c>
      <c r="D11" s="174"/>
      <c r="E11" s="174"/>
    </row>
    <row r="12" spans="2:5" x14ac:dyDescent="0.3">
      <c r="B12" s="170" t="s">
        <v>26</v>
      </c>
      <c r="C12" s="175" t="s">
        <v>27</v>
      </c>
      <c r="D12" s="175"/>
      <c r="E12" s="175"/>
    </row>
    <row r="13" spans="2:5" x14ac:dyDescent="0.3">
      <c r="B13" s="166" t="s">
        <v>28</v>
      </c>
      <c r="C13" s="174" t="s">
        <v>2722</v>
      </c>
      <c r="D13" s="174"/>
      <c r="E13" s="174"/>
    </row>
    <row r="14" spans="2:5" x14ac:dyDescent="0.3">
      <c r="B14" s="170" t="s">
        <v>29</v>
      </c>
      <c r="C14" s="175" t="s">
        <v>30</v>
      </c>
      <c r="D14" s="175"/>
      <c r="E14" s="175"/>
    </row>
    <row r="15" spans="2:5" x14ac:dyDescent="0.3">
      <c r="B15" s="165" t="s">
        <v>31</v>
      </c>
      <c r="C15" s="165"/>
      <c r="D15" s="165"/>
      <c r="E15" s="165"/>
    </row>
    <row r="16" spans="2:5" x14ac:dyDescent="0.3">
      <c r="B16" s="166" t="s">
        <v>32</v>
      </c>
      <c r="C16" s="174" t="s">
        <v>33</v>
      </c>
      <c r="D16" s="174"/>
      <c r="E16" s="174"/>
    </row>
    <row r="17" spans="2:5" x14ac:dyDescent="0.3">
      <c r="B17" s="170" t="s">
        <v>34</v>
      </c>
      <c r="C17" s="175" t="s">
        <v>35</v>
      </c>
      <c r="D17" s="175"/>
      <c r="E17" s="175"/>
    </row>
    <row r="18" spans="2:5" x14ac:dyDescent="0.3">
      <c r="B18" s="166" t="s">
        <v>36</v>
      </c>
      <c r="C18" s="174" t="s">
        <v>37</v>
      </c>
      <c r="D18" s="174"/>
      <c r="E18" s="174"/>
    </row>
    <row r="19" spans="2:5" x14ac:dyDescent="0.3">
      <c r="B19" s="170" t="s">
        <v>38</v>
      </c>
      <c r="C19" s="175" t="s">
        <v>39</v>
      </c>
      <c r="D19" s="175"/>
      <c r="E19" s="175"/>
    </row>
    <row r="20" spans="2:5" x14ac:dyDescent="0.3">
      <c r="B20" s="166" t="s">
        <v>40</v>
      </c>
      <c r="C20" s="174" t="s">
        <v>41</v>
      </c>
      <c r="D20" s="174"/>
      <c r="E20" s="174"/>
    </row>
    <row r="21" spans="2:5" x14ac:dyDescent="0.3">
      <c r="B21" s="170" t="s">
        <v>42</v>
      </c>
      <c r="C21" s="175" t="s">
        <v>43</v>
      </c>
      <c r="D21" s="175"/>
      <c r="E21" s="175"/>
    </row>
    <row r="22" spans="2:5" x14ac:dyDescent="0.3">
      <c r="B22" s="165" t="s">
        <v>44</v>
      </c>
      <c r="C22" s="165"/>
      <c r="D22" s="165"/>
      <c r="E22" s="165"/>
    </row>
    <row r="23" spans="2:5" x14ac:dyDescent="0.3">
      <c r="B23" s="176" t="s">
        <v>45</v>
      </c>
      <c r="C23" s="177" t="s">
        <v>46</v>
      </c>
      <c r="D23" s="177" t="s">
        <v>47</v>
      </c>
      <c r="E23" s="178" t="s">
        <v>48</v>
      </c>
    </row>
    <row r="24" spans="2:5" ht="100.8" x14ac:dyDescent="0.3">
      <c r="B24" s="179" t="s">
        <v>49</v>
      </c>
      <c r="C24" s="168" t="s">
        <v>50</v>
      </c>
      <c r="D24" s="180" t="s">
        <v>51</v>
      </c>
      <c r="E24" s="169" t="s">
        <v>52</v>
      </c>
    </row>
    <row r="25" spans="2:5" ht="115.2" x14ac:dyDescent="0.3">
      <c r="B25" s="181" t="s">
        <v>53</v>
      </c>
      <c r="C25" s="172" t="s">
        <v>54</v>
      </c>
      <c r="D25" s="182" t="s">
        <v>55</v>
      </c>
      <c r="E25" s="173" t="s">
        <v>56</v>
      </c>
    </row>
    <row r="26" spans="2:5" ht="86.4" x14ac:dyDescent="0.3">
      <c r="B26" s="179" t="s">
        <v>57</v>
      </c>
      <c r="C26" s="168" t="s">
        <v>58</v>
      </c>
      <c r="D26" s="180" t="s">
        <v>59</v>
      </c>
      <c r="E26" s="169" t="s">
        <v>60</v>
      </c>
    </row>
    <row r="27" spans="2:5" ht="57.6" x14ac:dyDescent="0.3">
      <c r="B27" s="181" t="s">
        <v>61</v>
      </c>
      <c r="C27" s="172" t="s">
        <v>62</v>
      </c>
      <c r="D27" s="182" t="s">
        <v>63</v>
      </c>
      <c r="E27" s="173" t="s">
        <v>64</v>
      </c>
    </row>
    <row r="28" spans="2:5" ht="28.8" x14ac:dyDescent="0.3">
      <c r="B28" s="179" t="s">
        <v>65</v>
      </c>
      <c r="C28" s="168" t="s">
        <v>62</v>
      </c>
      <c r="D28" s="180" t="s">
        <v>63</v>
      </c>
      <c r="E28" s="169" t="s">
        <v>66</v>
      </c>
    </row>
    <row r="29" spans="2:5" ht="28.8" x14ac:dyDescent="0.3">
      <c r="B29" s="181" t="s">
        <v>67</v>
      </c>
      <c r="C29" s="172" t="s">
        <v>62</v>
      </c>
      <c r="D29" s="182" t="s">
        <v>68</v>
      </c>
      <c r="E29" s="173" t="s">
        <v>69</v>
      </c>
    </row>
    <row r="30" spans="2:5" ht="28.8" x14ac:dyDescent="0.3">
      <c r="B30" s="179" t="s">
        <v>70</v>
      </c>
      <c r="C30" s="168" t="s">
        <v>62</v>
      </c>
      <c r="D30" s="180" t="s">
        <v>68</v>
      </c>
      <c r="E30" s="169" t="s">
        <v>71</v>
      </c>
    </row>
    <row r="31" spans="2:5" ht="57.6" x14ac:dyDescent="0.3">
      <c r="B31" s="181" t="s">
        <v>72</v>
      </c>
      <c r="C31" s="172" t="s">
        <v>73</v>
      </c>
      <c r="D31" s="182" t="s">
        <v>68</v>
      </c>
      <c r="E31" s="173" t="s">
        <v>74</v>
      </c>
    </row>
    <row r="32" spans="2:5" ht="86.4" x14ac:dyDescent="0.3">
      <c r="B32" s="179" t="s">
        <v>75</v>
      </c>
      <c r="C32" s="168" t="s">
        <v>73</v>
      </c>
      <c r="D32" s="180" t="s">
        <v>68</v>
      </c>
      <c r="E32" s="169" t="s">
        <v>76</v>
      </c>
    </row>
    <row r="33" spans="2:5" x14ac:dyDescent="0.3">
      <c r="B33" s="165" t="s">
        <v>77</v>
      </c>
      <c r="C33" s="165"/>
      <c r="D33" s="165"/>
      <c r="E33" s="165"/>
    </row>
    <row r="34" spans="2:5" x14ac:dyDescent="0.3">
      <c r="B34" s="166" t="s">
        <v>78</v>
      </c>
      <c r="C34" s="167" t="s">
        <v>79</v>
      </c>
      <c r="D34" s="168" t="s">
        <v>80</v>
      </c>
      <c r="E34" s="169" t="s">
        <v>81</v>
      </c>
    </row>
    <row r="35" spans="2:5" ht="43.2" x14ac:dyDescent="0.3">
      <c r="B35" s="170" t="s">
        <v>82</v>
      </c>
      <c r="C35" s="171" t="s">
        <v>83</v>
      </c>
      <c r="D35" s="172" t="s">
        <v>84</v>
      </c>
      <c r="E35" s="173" t="s">
        <v>85</v>
      </c>
    </row>
    <row r="36" spans="2:5" ht="72" x14ac:dyDescent="0.3">
      <c r="B36" s="166" t="s">
        <v>86</v>
      </c>
      <c r="C36" s="167" t="s">
        <v>87</v>
      </c>
      <c r="D36" s="168" t="s">
        <v>88</v>
      </c>
      <c r="E36" s="169" t="s">
        <v>89</v>
      </c>
    </row>
    <row r="37" spans="2:5" ht="72" x14ac:dyDescent="0.3">
      <c r="B37" s="170" t="s">
        <v>90</v>
      </c>
      <c r="C37" s="171" t="s">
        <v>91</v>
      </c>
      <c r="D37" s="172" t="s">
        <v>92</v>
      </c>
      <c r="E37" s="173" t="s">
        <v>93</v>
      </c>
    </row>
    <row r="38" spans="2:5" x14ac:dyDescent="0.3">
      <c r="B38" s="165" t="s">
        <v>94</v>
      </c>
      <c r="C38" s="165"/>
      <c r="D38" s="165"/>
      <c r="E38" s="165"/>
    </row>
    <row r="39" spans="2:5" ht="115.2" x14ac:dyDescent="0.3">
      <c r="B39" s="166" t="s">
        <v>95</v>
      </c>
      <c r="C39" s="167" t="s">
        <v>96</v>
      </c>
      <c r="D39" s="168" t="s">
        <v>97</v>
      </c>
      <c r="E39" s="169" t="s">
        <v>98</v>
      </c>
    </row>
    <row r="40" spans="2:5" ht="72" x14ac:dyDescent="0.3">
      <c r="B40" s="170" t="s">
        <v>99</v>
      </c>
      <c r="C40" s="171" t="s">
        <v>100</v>
      </c>
      <c r="D40" s="172" t="s">
        <v>101</v>
      </c>
      <c r="E40" s="173" t="s">
        <v>102</v>
      </c>
    </row>
    <row r="41" spans="2:5" ht="72" x14ac:dyDescent="0.3">
      <c r="B41" s="166" t="s">
        <v>103</v>
      </c>
      <c r="C41" s="167" t="s">
        <v>104</v>
      </c>
      <c r="D41" s="168" t="s">
        <v>105</v>
      </c>
      <c r="E41" s="169" t="s">
        <v>106</v>
      </c>
    </row>
    <row r="42" spans="2:5" ht="115.2" x14ac:dyDescent="0.3">
      <c r="B42" s="170" t="s">
        <v>107</v>
      </c>
      <c r="C42" s="171" t="s">
        <v>108</v>
      </c>
      <c r="D42" s="172" t="s">
        <v>109</v>
      </c>
      <c r="E42" s="173" t="s">
        <v>110</v>
      </c>
    </row>
    <row r="43" spans="2:5" x14ac:dyDescent="0.3">
      <c r="B43" s="165" t="s">
        <v>111</v>
      </c>
      <c r="C43" s="165"/>
      <c r="D43" s="165"/>
      <c r="E43" s="165"/>
    </row>
    <row r="44" spans="2:5" x14ac:dyDescent="0.3">
      <c r="B44" s="166" t="s">
        <v>112</v>
      </c>
      <c r="C44" s="174" t="s">
        <v>113</v>
      </c>
      <c r="D44" s="174"/>
      <c r="E44" s="174"/>
    </row>
    <row r="45" spans="2:5" x14ac:dyDescent="0.3">
      <c r="B45" s="170" t="s">
        <v>114</v>
      </c>
      <c r="C45" s="175" t="s">
        <v>115</v>
      </c>
      <c r="D45" s="175"/>
      <c r="E45" s="175"/>
    </row>
    <row r="46" spans="2:5" x14ac:dyDescent="0.3">
      <c r="B46" s="166" t="s">
        <v>116</v>
      </c>
      <c r="C46" s="174" t="s">
        <v>117</v>
      </c>
      <c r="D46" s="174"/>
      <c r="E46" s="174"/>
    </row>
    <row r="47" spans="2:5" x14ac:dyDescent="0.3">
      <c r="B47" s="170" t="s">
        <v>118</v>
      </c>
      <c r="C47" s="175" t="s">
        <v>119</v>
      </c>
      <c r="D47" s="175"/>
      <c r="E47" s="175"/>
    </row>
    <row r="48" spans="2:5" x14ac:dyDescent="0.3">
      <c r="B48" s="166" t="s">
        <v>120</v>
      </c>
      <c r="C48" s="174" t="s">
        <v>121</v>
      </c>
      <c r="D48" s="174"/>
      <c r="E48" s="174"/>
    </row>
    <row r="49" spans="2:5" x14ac:dyDescent="0.3">
      <c r="B49" s="170" t="s">
        <v>122</v>
      </c>
      <c r="C49" s="175" t="s">
        <v>123</v>
      </c>
      <c r="D49" s="175"/>
      <c r="E49" s="175"/>
    </row>
    <row r="50" spans="2:5" x14ac:dyDescent="0.3">
      <c r="B50" s="166" t="s">
        <v>124</v>
      </c>
      <c r="C50" s="174" t="s">
        <v>125</v>
      </c>
      <c r="D50" s="174"/>
      <c r="E50" s="174"/>
    </row>
    <row r="51" spans="2:5" x14ac:dyDescent="0.3">
      <c r="B51" s="165" t="s">
        <v>126</v>
      </c>
      <c r="C51" s="165"/>
      <c r="D51" s="165"/>
      <c r="E51" s="165"/>
    </row>
    <row r="52" spans="2:5" x14ac:dyDescent="0.3">
      <c r="B52" s="166" t="s">
        <v>127</v>
      </c>
      <c r="C52" s="174" t="s">
        <v>128</v>
      </c>
      <c r="D52" s="174"/>
      <c r="E52" s="174"/>
    </row>
    <row r="53" spans="2:5" x14ac:dyDescent="0.3">
      <c r="B53" s="170" t="s">
        <v>129</v>
      </c>
      <c r="C53" s="175" t="s">
        <v>130</v>
      </c>
      <c r="D53" s="175"/>
      <c r="E53" s="175"/>
    </row>
    <row r="54" spans="2:5" x14ac:dyDescent="0.3">
      <c r="B54" s="166" t="s">
        <v>131</v>
      </c>
      <c r="C54" s="174" t="s">
        <v>132</v>
      </c>
      <c r="D54" s="174"/>
      <c r="E54" s="174"/>
    </row>
    <row r="55" spans="2:5" x14ac:dyDescent="0.3">
      <c r="B55" s="170" t="s">
        <v>133</v>
      </c>
      <c r="C55" s="175" t="s">
        <v>134</v>
      </c>
      <c r="D55" s="175"/>
      <c r="E55" s="175"/>
    </row>
    <row r="56" spans="2:5" x14ac:dyDescent="0.3">
      <c r="B56" s="165" t="s">
        <v>135</v>
      </c>
      <c r="C56" s="165"/>
      <c r="D56" s="165"/>
      <c r="E56" s="165"/>
    </row>
    <row r="57" spans="2:5" ht="144" x14ac:dyDescent="0.3">
      <c r="B57" s="166" t="s">
        <v>136</v>
      </c>
      <c r="C57" s="167" t="s">
        <v>137</v>
      </c>
      <c r="D57" s="168" t="s">
        <v>138</v>
      </c>
      <c r="E57" s="169" t="s">
        <v>139</v>
      </c>
    </row>
    <row r="58" spans="2:5" ht="101.4" thickBot="1" x14ac:dyDescent="0.35">
      <c r="B58" s="183" t="s">
        <v>140</v>
      </c>
      <c r="C58" s="184" t="s">
        <v>141</v>
      </c>
      <c r="D58" s="185" t="s">
        <v>142</v>
      </c>
      <c r="E58" s="186" t="s">
        <v>143</v>
      </c>
    </row>
  </sheetData>
  <mergeCells count="32">
    <mergeCell ref="C55:E55"/>
    <mergeCell ref="B56:E56"/>
    <mergeCell ref="C50:E50"/>
    <mergeCell ref="B51:E51"/>
    <mergeCell ref="C52:E52"/>
    <mergeCell ref="C53:E53"/>
    <mergeCell ref="C54:E54"/>
    <mergeCell ref="C45:E45"/>
    <mergeCell ref="C46:E46"/>
    <mergeCell ref="C47:E47"/>
    <mergeCell ref="C48:E48"/>
    <mergeCell ref="C49:E49"/>
    <mergeCell ref="B22:E22"/>
    <mergeCell ref="B33:E33"/>
    <mergeCell ref="B38:E38"/>
    <mergeCell ref="B43:E43"/>
    <mergeCell ref="C44:E44"/>
    <mergeCell ref="C17:E17"/>
    <mergeCell ref="C18:E18"/>
    <mergeCell ref="C19:E19"/>
    <mergeCell ref="C20:E20"/>
    <mergeCell ref="C21:E21"/>
    <mergeCell ref="C12:E12"/>
    <mergeCell ref="C13:E13"/>
    <mergeCell ref="C14:E14"/>
    <mergeCell ref="B15:E15"/>
    <mergeCell ref="C16:E16"/>
    <mergeCell ref="B1:E1"/>
    <mergeCell ref="B2:E2"/>
    <mergeCell ref="B4:E4"/>
    <mergeCell ref="B10:E10"/>
    <mergeCell ref="C11:E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showGridLines="0" zoomScaleNormal="100" workbookViewId="0">
      <selection activeCell="A13" sqref="A13:D13"/>
    </sheetView>
  </sheetViews>
  <sheetFormatPr defaultColWidth="9" defaultRowHeight="14.4" x14ac:dyDescent="0.3"/>
  <cols>
    <col min="1" max="1" width="37.109375" style="1" bestFit="1" customWidth="1"/>
    <col min="2" max="2" width="17.88671875" style="1" bestFit="1" customWidth="1"/>
    <col min="3" max="3" width="13.33203125" style="1" customWidth="1"/>
    <col min="4" max="4" width="7.5546875" style="1" bestFit="1" customWidth="1"/>
    <col min="6" max="6" width="10" style="1" customWidth="1"/>
    <col min="7" max="7" width="8.77734375" style="1" customWidth="1"/>
    <col min="8" max="8" width="10" style="1" customWidth="1"/>
    <col min="9" max="9" width="5.109375" style="1" customWidth="1"/>
    <col min="10" max="10" width="10" style="1" customWidth="1"/>
    <col min="11" max="11" width="10.21875" style="1" customWidth="1"/>
    <col min="12" max="12" width="10" style="1" customWidth="1"/>
  </cols>
  <sheetData>
    <row r="1" spans="1:4" ht="41.25" customHeight="1" x14ac:dyDescent="0.3">
      <c r="A1" s="355" t="s">
        <v>144</v>
      </c>
      <c r="B1" s="355"/>
      <c r="C1" s="355"/>
      <c r="D1" s="355"/>
    </row>
    <row r="2" spans="1:4" ht="18" customHeight="1" x14ac:dyDescent="0.3">
      <c r="A2" s="356" t="s">
        <v>145</v>
      </c>
      <c r="B2" s="357" t="s">
        <v>146</v>
      </c>
      <c r="C2" s="358" t="s">
        <v>147</v>
      </c>
      <c r="D2" s="357" t="s">
        <v>148</v>
      </c>
    </row>
    <row r="3" spans="1:4" ht="15.75" customHeight="1" x14ac:dyDescent="0.3">
      <c r="A3" s="188" t="s">
        <v>149</v>
      </c>
      <c r="B3" s="189"/>
      <c r="C3" s="190"/>
      <c r="D3" s="189"/>
    </row>
    <row r="4" spans="1:4" ht="15" customHeight="1" x14ac:dyDescent="0.3">
      <c r="A4" s="191" t="s">
        <v>150</v>
      </c>
      <c r="B4" s="192" t="s">
        <v>151</v>
      </c>
      <c r="C4" s="193" t="s">
        <v>152</v>
      </c>
      <c r="D4" s="192" t="s">
        <v>153</v>
      </c>
    </row>
    <row r="5" spans="1:4" ht="15" customHeight="1" x14ac:dyDescent="0.3">
      <c r="A5" s="194" t="s">
        <v>154</v>
      </c>
      <c r="B5" s="195" t="s">
        <v>151</v>
      </c>
      <c r="C5" s="196" t="s">
        <v>152</v>
      </c>
      <c r="D5" s="195" t="s">
        <v>153</v>
      </c>
    </row>
    <row r="6" spans="1:4" ht="15.75" customHeight="1" x14ac:dyDescent="0.3">
      <c r="A6" s="197" t="s">
        <v>155</v>
      </c>
      <c r="B6" s="198" t="s">
        <v>151</v>
      </c>
      <c r="C6" s="199" t="s">
        <v>152</v>
      </c>
      <c r="D6" s="198" t="s">
        <v>153</v>
      </c>
    </row>
    <row r="7" spans="1:4" ht="15.75" customHeight="1" x14ac:dyDescent="0.3">
      <c r="A7" s="188" t="s">
        <v>156</v>
      </c>
      <c r="B7" s="189"/>
      <c r="C7" s="190"/>
      <c r="D7" s="189"/>
    </row>
    <row r="8" spans="1:4" ht="15" customHeight="1" x14ac:dyDescent="0.3">
      <c r="A8" s="191" t="s">
        <v>150</v>
      </c>
      <c r="B8" s="192" t="s">
        <v>157</v>
      </c>
      <c r="C8" s="193" t="s">
        <v>158</v>
      </c>
      <c r="D8" s="192" t="s">
        <v>159</v>
      </c>
    </row>
    <row r="9" spans="1:4" ht="15" customHeight="1" x14ac:dyDescent="0.3">
      <c r="A9" s="194" t="s">
        <v>160</v>
      </c>
      <c r="B9" s="195" t="s">
        <v>151</v>
      </c>
      <c r="C9" s="196" t="s">
        <v>161</v>
      </c>
      <c r="D9" s="195" t="s">
        <v>162</v>
      </c>
    </row>
    <row r="10" spans="1:4" ht="15" customHeight="1" x14ac:dyDescent="0.3">
      <c r="A10" s="194" t="s">
        <v>163</v>
      </c>
      <c r="B10" s="195" t="s">
        <v>151</v>
      </c>
      <c r="C10" s="196" t="s">
        <v>164</v>
      </c>
      <c r="D10" s="195" t="s">
        <v>165</v>
      </c>
    </row>
    <row r="11" spans="1:4" ht="15" customHeight="1" x14ac:dyDescent="0.3">
      <c r="A11" s="194" t="s">
        <v>166</v>
      </c>
      <c r="B11" s="195" t="s">
        <v>151</v>
      </c>
      <c r="C11" s="196" t="s">
        <v>167</v>
      </c>
      <c r="D11" s="195" t="s">
        <v>168</v>
      </c>
    </row>
    <row r="12" spans="1:4" ht="15.75" customHeight="1" x14ac:dyDescent="0.3">
      <c r="A12" s="200" t="s">
        <v>169</v>
      </c>
      <c r="B12" s="201" t="s">
        <v>157</v>
      </c>
      <c r="C12" s="202" t="s">
        <v>158</v>
      </c>
      <c r="D12" s="201" t="s">
        <v>159</v>
      </c>
    </row>
    <row r="13" spans="1:4" ht="18" customHeight="1" x14ac:dyDescent="0.3">
      <c r="A13" s="356" t="s">
        <v>170</v>
      </c>
      <c r="B13" s="357" t="s">
        <v>171</v>
      </c>
      <c r="C13" s="358" t="s">
        <v>172</v>
      </c>
      <c r="D13" s="357" t="s">
        <v>173</v>
      </c>
    </row>
    <row r="14" spans="1:4" ht="16.5" customHeight="1" x14ac:dyDescent="0.3"/>
    <row r="15" spans="1:4" ht="12.75" customHeight="1" x14ac:dyDescent="0.3">
      <c r="A15" s="153"/>
      <c r="B15" s="153"/>
      <c r="C15" s="153"/>
      <c r="D15" s="153"/>
    </row>
    <row r="20" spans="4:4" x14ac:dyDescent="0.3">
      <c r="D20" s="187"/>
    </row>
  </sheetData>
  <mergeCells count="2">
    <mergeCell ref="A1:D1"/>
    <mergeCell ref="A15:D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showGridLines="0" zoomScaleNormal="100" workbookViewId="0">
      <selection sqref="A1:D2"/>
    </sheetView>
  </sheetViews>
  <sheetFormatPr defaultColWidth="9" defaultRowHeight="14.4" x14ac:dyDescent="0.3"/>
  <cols>
    <col min="1" max="1" width="36.88671875" style="1" customWidth="1"/>
    <col min="2" max="2" width="16.6640625" style="1" customWidth="1"/>
    <col min="3" max="3" width="11.6640625" style="1" customWidth="1"/>
    <col min="4" max="4" width="7.109375" style="1" customWidth="1"/>
  </cols>
  <sheetData>
    <row r="1" spans="1:4" ht="21.75" customHeight="1" x14ac:dyDescent="0.3">
      <c r="A1" s="351" t="s">
        <v>174</v>
      </c>
      <c r="B1" s="351"/>
      <c r="C1" s="351"/>
      <c r="D1" s="351"/>
    </row>
    <row r="2" spans="1:4" ht="18" customHeight="1" x14ac:dyDescent="0.3">
      <c r="A2" s="352" t="s">
        <v>145</v>
      </c>
      <c r="B2" s="353" t="s">
        <v>146</v>
      </c>
      <c r="C2" s="354" t="s">
        <v>147</v>
      </c>
      <c r="D2" s="353" t="s">
        <v>148</v>
      </c>
    </row>
    <row r="3" spans="1:4" ht="15.75" customHeight="1" x14ac:dyDescent="0.3">
      <c r="A3" s="203" t="s">
        <v>175</v>
      </c>
      <c r="B3" s="204"/>
      <c r="C3" s="205"/>
      <c r="D3" s="204"/>
    </row>
    <row r="4" spans="1:4" ht="15" customHeight="1" x14ac:dyDescent="0.3">
      <c r="A4" s="206" t="s">
        <v>176</v>
      </c>
      <c r="B4" s="207" t="s">
        <v>177</v>
      </c>
      <c r="C4" s="208" t="s">
        <v>178</v>
      </c>
      <c r="D4" s="207" t="s">
        <v>179</v>
      </c>
    </row>
    <row r="5" spans="1:4" ht="15" customHeight="1" x14ac:dyDescent="0.3">
      <c r="A5" s="209" t="s">
        <v>180</v>
      </c>
      <c r="B5" s="210" t="s">
        <v>151</v>
      </c>
      <c r="C5" s="211" t="s">
        <v>181</v>
      </c>
      <c r="D5" s="210" t="s">
        <v>182</v>
      </c>
    </row>
    <row r="6" spans="1:4" ht="15" customHeight="1" x14ac:dyDescent="0.3">
      <c r="A6" s="209" t="s">
        <v>183</v>
      </c>
      <c r="B6" s="210" t="s">
        <v>151</v>
      </c>
      <c r="C6" s="211" t="s">
        <v>184</v>
      </c>
      <c r="D6" s="210" t="s">
        <v>185</v>
      </c>
    </row>
    <row r="7" spans="1:4" ht="15" customHeight="1" x14ac:dyDescent="0.3">
      <c r="A7" s="209" t="s">
        <v>186</v>
      </c>
      <c r="B7" s="210" t="s">
        <v>151</v>
      </c>
      <c r="C7" s="211" t="s">
        <v>187</v>
      </c>
      <c r="D7" s="210" t="s">
        <v>188</v>
      </c>
    </row>
    <row r="8" spans="1:4" ht="15" customHeight="1" x14ac:dyDescent="0.3">
      <c r="A8" s="206" t="s">
        <v>189</v>
      </c>
      <c r="B8" s="207" t="s">
        <v>190</v>
      </c>
      <c r="C8" s="208" t="s">
        <v>191</v>
      </c>
      <c r="D8" s="207" t="s">
        <v>162</v>
      </c>
    </row>
    <row r="9" spans="1:4" ht="15" customHeight="1" x14ac:dyDescent="0.3">
      <c r="A9" s="206" t="s">
        <v>192</v>
      </c>
      <c r="B9" s="207" t="s">
        <v>193</v>
      </c>
      <c r="C9" s="208" t="s">
        <v>194</v>
      </c>
      <c r="D9" s="207" t="s">
        <v>195</v>
      </c>
    </row>
    <row r="10" spans="1:4" ht="15" customHeight="1" x14ac:dyDescent="0.3">
      <c r="A10" s="206" t="s">
        <v>196</v>
      </c>
      <c r="B10" s="207" t="s">
        <v>197</v>
      </c>
      <c r="C10" s="208" t="s">
        <v>198</v>
      </c>
      <c r="D10" s="207" t="s">
        <v>199</v>
      </c>
    </row>
    <row r="11" spans="1:4" ht="15" customHeight="1" x14ac:dyDescent="0.3">
      <c r="A11" s="209" t="s">
        <v>200</v>
      </c>
      <c r="B11" s="210" t="s">
        <v>151</v>
      </c>
      <c r="C11" s="211" t="s">
        <v>201</v>
      </c>
      <c r="D11" s="210" t="s">
        <v>202</v>
      </c>
    </row>
    <row r="12" spans="1:4" ht="15" customHeight="1" x14ac:dyDescent="0.3">
      <c r="A12" s="206" t="s">
        <v>203</v>
      </c>
      <c r="B12" s="207" t="s">
        <v>151</v>
      </c>
      <c r="C12" s="208" t="s">
        <v>204</v>
      </c>
      <c r="D12" s="207" t="s">
        <v>205</v>
      </c>
    </row>
    <row r="13" spans="1:4" ht="15" customHeight="1" x14ac:dyDescent="0.3">
      <c r="A13" s="209" t="s">
        <v>206</v>
      </c>
      <c r="B13" s="210" t="s">
        <v>151</v>
      </c>
      <c r="C13" s="211" t="s">
        <v>204</v>
      </c>
      <c r="D13" s="210" t="s">
        <v>205</v>
      </c>
    </row>
    <row r="14" spans="1:4" ht="15" customHeight="1" x14ac:dyDescent="0.3">
      <c r="A14" s="206" t="s">
        <v>207</v>
      </c>
      <c r="B14" s="207" t="s">
        <v>208</v>
      </c>
      <c r="C14" s="208" t="s">
        <v>209</v>
      </c>
      <c r="D14" s="207" t="s">
        <v>210</v>
      </c>
    </row>
    <row r="15" spans="1:4" ht="15" customHeight="1" x14ac:dyDescent="0.3">
      <c r="A15" s="206" t="s">
        <v>211</v>
      </c>
      <c r="B15" s="207" t="s">
        <v>212</v>
      </c>
      <c r="C15" s="208" t="s">
        <v>213</v>
      </c>
      <c r="D15" s="207" t="s">
        <v>214</v>
      </c>
    </row>
    <row r="16" spans="1:4" ht="15" customHeight="1" x14ac:dyDescent="0.3">
      <c r="A16" s="206" t="s">
        <v>215</v>
      </c>
      <c r="B16" s="207" t="s">
        <v>216</v>
      </c>
      <c r="C16" s="208" t="s">
        <v>217</v>
      </c>
      <c r="D16" s="207" t="s">
        <v>214</v>
      </c>
    </row>
    <row r="17" spans="1:4" ht="15.75" customHeight="1" x14ac:dyDescent="0.3">
      <c r="A17" s="212" t="s">
        <v>218</v>
      </c>
      <c r="B17" s="213" t="s">
        <v>219</v>
      </c>
      <c r="C17" s="214" t="s">
        <v>220</v>
      </c>
      <c r="D17" s="213" t="s">
        <v>221</v>
      </c>
    </row>
    <row r="18" spans="1:4" ht="15.75" customHeight="1" x14ac:dyDescent="0.3">
      <c r="A18" s="215" t="s">
        <v>222</v>
      </c>
      <c r="B18" s="216"/>
      <c r="C18" s="217"/>
      <c r="D18" s="216"/>
    </row>
    <row r="19" spans="1:4" ht="15" customHeight="1" x14ac:dyDescent="0.3">
      <c r="A19" s="206" t="s">
        <v>223</v>
      </c>
      <c r="B19" s="207" t="s">
        <v>224</v>
      </c>
      <c r="C19" s="208" t="s">
        <v>225</v>
      </c>
      <c r="D19" s="207" t="s">
        <v>226</v>
      </c>
    </row>
    <row r="20" spans="1:4" ht="15" customHeight="1" x14ac:dyDescent="0.3">
      <c r="A20" s="206" t="s">
        <v>227</v>
      </c>
      <c r="B20" s="207" t="s">
        <v>228</v>
      </c>
      <c r="C20" s="208" t="s">
        <v>229</v>
      </c>
      <c r="D20" s="207" t="s">
        <v>230</v>
      </c>
    </row>
    <row r="21" spans="1:4" ht="15" customHeight="1" x14ac:dyDescent="0.3">
      <c r="A21" s="206" t="s">
        <v>231</v>
      </c>
      <c r="B21" s="207" t="s">
        <v>232</v>
      </c>
      <c r="C21" s="208" t="s">
        <v>233</v>
      </c>
      <c r="D21" s="207" t="s">
        <v>214</v>
      </c>
    </row>
    <row r="22" spans="1:4" ht="15.75" customHeight="1" x14ac:dyDescent="0.3">
      <c r="A22" s="212" t="s">
        <v>234</v>
      </c>
      <c r="B22" s="213" t="s">
        <v>235</v>
      </c>
      <c r="C22" s="214" t="s">
        <v>236</v>
      </c>
      <c r="D22" s="213" t="s">
        <v>237</v>
      </c>
    </row>
    <row r="23" spans="1:4" ht="15.75" customHeight="1" x14ac:dyDescent="0.3">
      <c r="A23" s="215" t="s">
        <v>238</v>
      </c>
      <c r="B23" s="216"/>
      <c r="C23" s="217"/>
      <c r="D23" s="216"/>
    </row>
    <row r="24" spans="1:4" ht="15" customHeight="1" x14ac:dyDescent="0.3">
      <c r="A24" s="206" t="s">
        <v>239</v>
      </c>
      <c r="B24" s="207" t="s">
        <v>151</v>
      </c>
      <c r="C24" s="208" t="s">
        <v>240</v>
      </c>
      <c r="D24" s="207" t="s">
        <v>214</v>
      </c>
    </row>
    <row r="25" spans="1:4" ht="15.75" customHeight="1" x14ac:dyDescent="0.3">
      <c r="A25" s="212" t="s">
        <v>241</v>
      </c>
      <c r="B25" s="213" t="s">
        <v>151</v>
      </c>
      <c r="C25" s="214" t="s">
        <v>240</v>
      </c>
      <c r="D25" s="213" t="s">
        <v>214</v>
      </c>
    </row>
    <row r="26" spans="1:4" ht="15.75" customHeight="1" x14ac:dyDescent="0.3">
      <c r="A26" s="215" t="s">
        <v>242</v>
      </c>
      <c r="B26" s="216"/>
      <c r="C26" s="217"/>
      <c r="D26" s="216"/>
    </row>
    <row r="27" spans="1:4" ht="15" customHeight="1" x14ac:dyDescent="0.3">
      <c r="A27" s="206" t="s">
        <v>243</v>
      </c>
      <c r="B27" s="207" t="s">
        <v>151</v>
      </c>
      <c r="C27" s="208" t="s">
        <v>244</v>
      </c>
      <c r="D27" s="207" t="s">
        <v>245</v>
      </c>
    </row>
    <row r="28" spans="1:4" ht="15" customHeight="1" x14ac:dyDescent="0.3">
      <c r="A28" s="206" t="s">
        <v>246</v>
      </c>
      <c r="B28" s="207" t="s">
        <v>247</v>
      </c>
      <c r="C28" s="208" t="s">
        <v>248</v>
      </c>
      <c r="D28" s="207" t="s">
        <v>249</v>
      </c>
    </row>
    <row r="29" spans="1:4" ht="15" customHeight="1" x14ac:dyDescent="0.3">
      <c r="A29" s="206" t="s">
        <v>250</v>
      </c>
      <c r="B29" s="207" t="s">
        <v>251</v>
      </c>
      <c r="C29" s="208" t="s">
        <v>252</v>
      </c>
      <c r="D29" s="207" t="s">
        <v>253</v>
      </c>
    </row>
    <row r="30" spans="1:4" ht="15" customHeight="1" x14ac:dyDescent="0.3">
      <c r="A30" s="206" t="s">
        <v>254</v>
      </c>
      <c r="B30" s="207" t="s">
        <v>255</v>
      </c>
      <c r="C30" s="208" t="s">
        <v>256</v>
      </c>
      <c r="D30" s="207" t="s">
        <v>257</v>
      </c>
    </row>
    <row r="31" spans="1:4" ht="15" customHeight="1" x14ac:dyDescent="0.3">
      <c r="A31" s="206" t="s">
        <v>258</v>
      </c>
      <c r="B31" s="207" t="s">
        <v>259</v>
      </c>
      <c r="C31" s="208" t="s">
        <v>260</v>
      </c>
      <c r="D31" s="207" t="s">
        <v>261</v>
      </c>
    </row>
    <row r="32" spans="1:4" ht="15" customHeight="1" x14ac:dyDescent="0.3">
      <c r="A32" s="206" t="s">
        <v>262</v>
      </c>
      <c r="B32" s="207" t="s">
        <v>263</v>
      </c>
      <c r="C32" s="208" t="s">
        <v>264</v>
      </c>
      <c r="D32" s="207" t="s">
        <v>230</v>
      </c>
    </row>
    <row r="33" spans="1:4" ht="15" customHeight="1" x14ac:dyDescent="0.3">
      <c r="A33" s="206" t="s">
        <v>265</v>
      </c>
      <c r="B33" s="207" t="s">
        <v>216</v>
      </c>
      <c r="C33" s="208" t="s">
        <v>266</v>
      </c>
      <c r="D33" s="207" t="s">
        <v>214</v>
      </c>
    </row>
    <row r="34" spans="1:4" ht="15.75" customHeight="1" x14ac:dyDescent="0.3">
      <c r="A34" s="212" t="s">
        <v>267</v>
      </c>
      <c r="B34" s="213" t="s">
        <v>268</v>
      </c>
      <c r="C34" s="214" t="s">
        <v>269</v>
      </c>
      <c r="D34" s="213" t="s">
        <v>270</v>
      </c>
    </row>
    <row r="35" spans="1:4" ht="18" customHeight="1" x14ac:dyDescent="0.3">
      <c r="A35" s="218" t="s">
        <v>271</v>
      </c>
      <c r="B35" s="219" t="s">
        <v>272</v>
      </c>
      <c r="C35" s="220" t="s">
        <v>273</v>
      </c>
      <c r="D35" s="219" t="s">
        <v>274</v>
      </c>
    </row>
    <row r="36" spans="1:4" ht="30.75" customHeight="1" x14ac:dyDescent="0.3"/>
    <row r="37" spans="1:4" ht="12.75" customHeight="1" x14ac:dyDescent="0.3">
      <c r="A37" s="153"/>
      <c r="B37" s="153"/>
      <c r="C37" s="153"/>
      <c r="D37" s="153"/>
    </row>
    <row r="38" spans="1:4" ht="46.5" customHeight="1" x14ac:dyDescent="0.3"/>
    <row r="39" spans="1:4" ht="46.5" customHeight="1" x14ac:dyDescent="0.3"/>
    <row r="40" spans="1:4" ht="46.5" customHeight="1" x14ac:dyDescent="0.3"/>
    <row r="41" spans="1:4" ht="46.5" customHeight="1" x14ac:dyDescent="0.3"/>
    <row r="42" spans="1:4" ht="46.5" customHeight="1" x14ac:dyDescent="0.3"/>
    <row r="43" spans="1:4" ht="46.5" customHeight="1" x14ac:dyDescent="0.3"/>
    <row r="44" spans="1:4" ht="46.5" customHeight="1" x14ac:dyDescent="0.3"/>
    <row r="45" spans="1:4" ht="46.5" customHeight="1" x14ac:dyDescent="0.3"/>
    <row r="46" spans="1:4" ht="30.75" customHeight="1" x14ac:dyDescent="0.3"/>
    <row r="47" spans="1:4" ht="30.75" customHeight="1" x14ac:dyDescent="0.3"/>
  </sheetData>
  <mergeCells count="2">
    <mergeCell ref="A1:D1"/>
    <mergeCell ref="A37:D3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showGridLines="0" zoomScaleNormal="100" workbookViewId="0">
      <selection activeCell="A4" sqref="A4:G5"/>
    </sheetView>
  </sheetViews>
  <sheetFormatPr defaultColWidth="8.6640625" defaultRowHeight="14.4" x14ac:dyDescent="0.3"/>
  <cols>
    <col min="1" max="1" width="52.44140625" style="1" customWidth="1"/>
    <col min="2" max="4" width="12" style="1" customWidth="1"/>
    <col min="5" max="7" width="11.88671875" style="1" customWidth="1"/>
  </cols>
  <sheetData>
    <row r="1" spans="1:7" ht="14.25" customHeight="1" x14ac:dyDescent="0.3">
      <c r="A1" s="343" t="s">
        <v>0</v>
      </c>
      <c r="B1" s="343"/>
      <c r="C1" s="343"/>
      <c r="D1" s="343"/>
      <c r="E1" s="343"/>
      <c r="F1" s="343"/>
      <c r="G1" s="343"/>
    </row>
    <row r="2" spans="1:7" ht="14.25" customHeight="1" x14ac:dyDescent="0.3">
      <c r="A2" s="343" t="s">
        <v>275</v>
      </c>
      <c r="B2" s="343"/>
      <c r="C2" s="343"/>
      <c r="D2" s="343"/>
      <c r="E2" s="343"/>
      <c r="F2" s="343"/>
      <c r="G2" s="343"/>
    </row>
    <row r="3" spans="1:7" ht="14.25" customHeight="1" x14ac:dyDescent="0.3">
      <c r="A3" s="221" t="s">
        <v>276</v>
      </c>
      <c r="B3" s="221"/>
      <c r="C3" s="221"/>
      <c r="D3" s="221"/>
      <c r="E3" s="221"/>
      <c r="F3" s="221"/>
      <c r="G3" s="221"/>
    </row>
    <row r="4" spans="1:7" ht="28.5" customHeight="1" x14ac:dyDescent="0.3">
      <c r="A4" s="344" t="s">
        <v>277</v>
      </c>
      <c r="B4" s="344" t="s">
        <v>278</v>
      </c>
      <c r="C4" s="344" t="s">
        <v>279</v>
      </c>
      <c r="D4" s="344" t="s">
        <v>280</v>
      </c>
      <c r="E4" s="344" t="s">
        <v>281</v>
      </c>
      <c r="F4" s="344" t="s">
        <v>282</v>
      </c>
      <c r="G4" s="344" t="s">
        <v>283</v>
      </c>
    </row>
    <row r="5" spans="1:7" ht="14.25" customHeight="1" x14ac:dyDescent="0.3">
      <c r="A5" s="350" t="s">
        <v>284</v>
      </c>
      <c r="B5" s="350"/>
      <c r="C5" s="350"/>
      <c r="D5" s="350"/>
      <c r="E5" s="350"/>
      <c r="F5" s="350"/>
      <c r="G5" s="350"/>
    </row>
    <row r="6" spans="1:7" ht="14.25" customHeight="1" x14ac:dyDescent="0.3">
      <c r="A6" s="222" t="s">
        <v>285</v>
      </c>
      <c r="B6" s="223">
        <v>27103.55</v>
      </c>
      <c r="C6" s="223">
        <v>24516.17</v>
      </c>
      <c r="D6" s="223">
        <v>28965.46</v>
      </c>
      <c r="E6" s="223">
        <v>38937.03</v>
      </c>
      <c r="F6" s="223">
        <v>33159.64</v>
      </c>
      <c r="G6" s="223">
        <v>33697.699999999997</v>
      </c>
    </row>
    <row r="7" spans="1:7" ht="14.25" customHeight="1" x14ac:dyDescent="0.3">
      <c r="A7" s="222" t="s">
        <v>286</v>
      </c>
      <c r="B7" s="224" t="s">
        <v>287</v>
      </c>
      <c r="C7" s="224" t="s">
        <v>287</v>
      </c>
      <c r="D7" s="224" t="s">
        <v>287</v>
      </c>
      <c r="E7" s="224" t="s">
        <v>287</v>
      </c>
      <c r="F7" s="224" t="s">
        <v>287</v>
      </c>
      <c r="G7" s="223">
        <v>1347.06</v>
      </c>
    </row>
    <row r="8" spans="1:7" ht="14.25" customHeight="1" x14ac:dyDescent="0.3">
      <c r="A8" s="222" t="s">
        <v>288</v>
      </c>
      <c r="B8" s="223">
        <v>580.74</v>
      </c>
      <c r="C8" s="223">
        <v>449.59</v>
      </c>
      <c r="D8" s="223">
        <v>352.44</v>
      </c>
      <c r="E8" s="223">
        <v>737.71</v>
      </c>
      <c r="F8" s="223">
        <v>1166.4000000000001</v>
      </c>
      <c r="G8" s="223">
        <v>2654.25</v>
      </c>
    </row>
    <row r="9" spans="1:7" ht="14.25" customHeight="1" x14ac:dyDescent="0.3">
      <c r="A9" s="225" t="s">
        <v>289</v>
      </c>
      <c r="B9" s="226">
        <v>27684.29</v>
      </c>
      <c r="C9" s="226">
        <v>24965.759999999998</v>
      </c>
      <c r="D9" s="226">
        <v>29317.9</v>
      </c>
      <c r="E9" s="226">
        <v>39674.74</v>
      </c>
      <c r="F9" s="226">
        <v>34326.04</v>
      </c>
      <c r="G9" s="226">
        <v>37699.01</v>
      </c>
    </row>
    <row r="10" spans="1:7" ht="14.25" customHeight="1" x14ac:dyDescent="0.3">
      <c r="A10" s="230" t="s">
        <v>290</v>
      </c>
      <c r="B10" s="230"/>
      <c r="C10" s="230"/>
      <c r="D10" s="230"/>
      <c r="E10" s="230"/>
      <c r="F10" s="230"/>
      <c r="G10" s="230"/>
    </row>
    <row r="11" spans="1:7" ht="14.25" customHeight="1" x14ac:dyDescent="0.3">
      <c r="A11" s="222" t="s">
        <v>291</v>
      </c>
      <c r="B11" s="223">
        <v>3231.22</v>
      </c>
      <c r="C11" s="223">
        <v>2532.87</v>
      </c>
      <c r="D11" s="223">
        <v>3183.41</v>
      </c>
      <c r="E11" s="223">
        <v>4749.6499999999996</v>
      </c>
      <c r="F11" s="223">
        <v>4321.96</v>
      </c>
      <c r="G11" s="223">
        <v>5708.07</v>
      </c>
    </row>
    <row r="12" spans="1:7" ht="14.25" customHeight="1" x14ac:dyDescent="0.3">
      <c r="A12" s="222" t="s">
        <v>292</v>
      </c>
      <c r="B12" s="223">
        <v>308.82</v>
      </c>
      <c r="C12" s="223">
        <v>334.92</v>
      </c>
      <c r="D12" s="223">
        <v>309.20999999999998</v>
      </c>
      <c r="E12" s="223">
        <v>481.12</v>
      </c>
      <c r="F12" s="223">
        <v>576.83000000000004</v>
      </c>
      <c r="G12" s="223">
        <v>763.66</v>
      </c>
    </row>
    <row r="13" spans="1:7" ht="14.25" customHeight="1" x14ac:dyDescent="0.3">
      <c r="A13" s="222" t="s">
        <v>293</v>
      </c>
      <c r="B13" s="223">
        <v>143.63999999999999</v>
      </c>
      <c r="C13" s="223">
        <v>256.45</v>
      </c>
      <c r="D13" s="223">
        <v>-530.34</v>
      </c>
      <c r="E13" s="223">
        <v>-119.86</v>
      </c>
      <c r="F13" s="223">
        <v>23.99</v>
      </c>
      <c r="G13" s="223">
        <v>55.69</v>
      </c>
    </row>
    <row r="14" spans="1:7" ht="14.25" customHeight="1" x14ac:dyDescent="0.3">
      <c r="A14" s="222" t="s">
        <v>294</v>
      </c>
      <c r="B14" s="223">
        <v>1570.75</v>
      </c>
      <c r="C14" s="223">
        <v>1540.4</v>
      </c>
      <c r="D14" s="223">
        <v>1529.15</v>
      </c>
      <c r="E14" s="223">
        <v>1856.53</v>
      </c>
      <c r="F14" s="223">
        <v>1352.79</v>
      </c>
      <c r="G14" s="223">
        <v>1403.41</v>
      </c>
    </row>
    <row r="15" spans="1:7" ht="14.25" customHeight="1" x14ac:dyDescent="0.3">
      <c r="A15" s="222" t="s">
        <v>295</v>
      </c>
      <c r="B15" s="223">
        <v>169.87</v>
      </c>
      <c r="C15" s="223">
        <v>140.22</v>
      </c>
      <c r="D15" s="223">
        <v>145.66</v>
      </c>
      <c r="E15" s="223">
        <v>194.9</v>
      </c>
      <c r="F15" s="223">
        <v>276.38</v>
      </c>
      <c r="G15" s="223">
        <v>215.94</v>
      </c>
    </row>
    <row r="16" spans="1:7" ht="14.25" customHeight="1" x14ac:dyDescent="0.3">
      <c r="A16" s="222" t="s">
        <v>296</v>
      </c>
      <c r="B16" s="223">
        <v>1152.52</v>
      </c>
      <c r="C16" s="223">
        <v>1161.78</v>
      </c>
      <c r="D16" s="223">
        <v>1152.49</v>
      </c>
      <c r="E16" s="223">
        <v>1644.67</v>
      </c>
      <c r="F16" s="223">
        <v>1623.38</v>
      </c>
      <c r="G16" s="223">
        <v>2478.34</v>
      </c>
    </row>
    <row r="17" spans="1:7" ht="14.25" customHeight="1" x14ac:dyDescent="0.3">
      <c r="A17" s="222" t="s">
        <v>297</v>
      </c>
      <c r="B17" s="223">
        <v>5722.19</v>
      </c>
      <c r="C17" s="223">
        <v>4827.6400000000003</v>
      </c>
      <c r="D17" s="223">
        <v>6787.52</v>
      </c>
      <c r="E17" s="223">
        <v>11761.9</v>
      </c>
      <c r="F17" s="223">
        <v>8109.31</v>
      </c>
      <c r="G17" s="223">
        <v>8347.84</v>
      </c>
    </row>
    <row r="18" spans="1:7" ht="14.25" customHeight="1" x14ac:dyDescent="0.3">
      <c r="A18" s="222" t="s">
        <v>298</v>
      </c>
      <c r="B18" s="223">
        <v>7127.97</v>
      </c>
      <c r="C18" s="223">
        <v>6271.54</v>
      </c>
      <c r="D18" s="223">
        <v>7132.9</v>
      </c>
      <c r="E18" s="223">
        <v>9523.7199999999993</v>
      </c>
      <c r="F18" s="223">
        <v>8000.64</v>
      </c>
      <c r="G18" s="223">
        <v>8301.19</v>
      </c>
    </row>
    <row r="19" spans="1:7" ht="14.25" customHeight="1" x14ac:dyDescent="0.3">
      <c r="A19" s="222" t="s">
        <v>299</v>
      </c>
      <c r="B19" s="223">
        <v>4410.4399999999996</v>
      </c>
      <c r="C19" s="223">
        <v>3768.92</v>
      </c>
      <c r="D19" s="223">
        <v>4387.84</v>
      </c>
      <c r="E19" s="223">
        <v>5608.5</v>
      </c>
      <c r="F19" s="223">
        <v>4388.97</v>
      </c>
      <c r="G19" s="223">
        <v>4515.13</v>
      </c>
    </row>
    <row r="20" spans="1:7" ht="14.25" customHeight="1" x14ac:dyDescent="0.3">
      <c r="A20" s="225" t="s">
        <v>300</v>
      </c>
      <c r="B20" s="226">
        <v>23837.42</v>
      </c>
      <c r="C20" s="226">
        <v>20834.740000000002</v>
      </c>
      <c r="D20" s="226">
        <v>24097.84</v>
      </c>
      <c r="E20" s="226">
        <v>35701.129999999997</v>
      </c>
      <c r="F20" s="226">
        <v>28674.25</v>
      </c>
      <c r="G20" s="226">
        <v>31789.27</v>
      </c>
    </row>
    <row r="21" spans="1:7" ht="14.25" customHeight="1" x14ac:dyDescent="0.3">
      <c r="A21" s="222" t="s">
        <v>301</v>
      </c>
      <c r="B21" s="223">
        <v>-8.4700000000000006</v>
      </c>
      <c r="C21" s="223">
        <v>-22.14</v>
      </c>
      <c r="D21" s="223">
        <v>-44.63</v>
      </c>
      <c r="E21" s="223">
        <v>-46.9</v>
      </c>
      <c r="F21" s="223">
        <v>-14.36</v>
      </c>
      <c r="G21" s="223">
        <v>-20.88</v>
      </c>
    </row>
    <row r="22" spans="1:7" ht="14.25" customHeight="1" x14ac:dyDescent="0.3">
      <c r="A22" s="225" t="s">
        <v>302</v>
      </c>
      <c r="B22" s="226">
        <v>23828.95</v>
      </c>
      <c r="C22" s="226">
        <v>20812.599999999999</v>
      </c>
      <c r="D22" s="226">
        <v>24053.21</v>
      </c>
      <c r="E22" s="226">
        <v>35654.230000000003</v>
      </c>
      <c r="F22" s="226">
        <v>28659.89</v>
      </c>
      <c r="G22" s="226">
        <v>31768.39</v>
      </c>
    </row>
    <row r="23" spans="1:7" ht="14.25" customHeight="1" x14ac:dyDescent="0.3">
      <c r="A23" s="225" t="s">
        <v>303</v>
      </c>
      <c r="B23" s="226">
        <v>3855.34</v>
      </c>
      <c r="C23" s="226">
        <v>4153.16</v>
      </c>
      <c r="D23" s="226">
        <v>5264.69</v>
      </c>
      <c r="E23" s="226">
        <v>4020.51</v>
      </c>
      <c r="F23" s="226">
        <v>5666.15</v>
      </c>
      <c r="G23" s="226">
        <v>5930.62</v>
      </c>
    </row>
    <row r="24" spans="1:7" ht="14.25" customHeight="1" x14ac:dyDescent="0.3">
      <c r="A24" s="222" t="s">
        <v>304</v>
      </c>
      <c r="B24" s="223">
        <v>19.97</v>
      </c>
      <c r="C24" s="223">
        <v>14.44</v>
      </c>
      <c r="D24" s="223">
        <v>20.23</v>
      </c>
      <c r="E24" s="223">
        <v>28.02</v>
      </c>
      <c r="F24" s="223">
        <v>22.9</v>
      </c>
      <c r="G24" s="223">
        <v>13.22</v>
      </c>
    </row>
    <row r="25" spans="1:7" ht="14.25" customHeight="1" x14ac:dyDescent="0.3">
      <c r="A25" s="225" t="s">
        <v>305</v>
      </c>
      <c r="B25" s="226">
        <v>3875.31</v>
      </c>
      <c r="C25" s="226">
        <v>4167.6000000000004</v>
      </c>
      <c r="D25" s="226">
        <v>5284.92</v>
      </c>
      <c r="E25" s="226">
        <v>4048.53</v>
      </c>
      <c r="F25" s="226">
        <v>5689.05</v>
      </c>
      <c r="G25" s="226">
        <v>5943.84</v>
      </c>
    </row>
    <row r="26" spans="1:7" ht="14.25" customHeight="1" x14ac:dyDescent="0.3">
      <c r="A26" s="222" t="s">
        <v>306</v>
      </c>
      <c r="B26" s="224" t="s">
        <v>287</v>
      </c>
      <c r="C26" s="223">
        <v>176.01</v>
      </c>
      <c r="D26" s="223">
        <v>120.45</v>
      </c>
      <c r="E26" s="223">
        <v>319.04000000000002</v>
      </c>
      <c r="F26" s="223">
        <v>-211.57</v>
      </c>
      <c r="G26" s="223">
        <v>21.47</v>
      </c>
    </row>
    <row r="27" spans="1:7" ht="14.25" customHeight="1" x14ac:dyDescent="0.3">
      <c r="A27" s="225" t="s">
        <v>307</v>
      </c>
      <c r="B27" s="226">
        <v>3875.31</v>
      </c>
      <c r="C27" s="226">
        <v>3991.59</v>
      </c>
      <c r="D27" s="226">
        <v>5164.47</v>
      </c>
      <c r="E27" s="226">
        <v>3729.49</v>
      </c>
      <c r="F27" s="226">
        <v>5900.62</v>
      </c>
      <c r="G27" s="226">
        <v>5922.37</v>
      </c>
    </row>
    <row r="28" spans="1:7" x14ac:dyDescent="0.3">
      <c r="A28" s="230" t="s">
        <v>308</v>
      </c>
      <c r="B28" s="230"/>
      <c r="C28" s="230"/>
      <c r="D28" s="230"/>
      <c r="E28" s="230"/>
      <c r="F28" s="230"/>
      <c r="G28" s="230"/>
    </row>
    <row r="29" spans="1:7" ht="14.25" customHeight="1" x14ac:dyDescent="0.3">
      <c r="A29" s="222" t="s">
        <v>309</v>
      </c>
      <c r="B29" s="223">
        <v>1264.7</v>
      </c>
      <c r="C29" s="223">
        <v>1200.42</v>
      </c>
      <c r="D29" s="223">
        <v>1326.98</v>
      </c>
      <c r="E29" s="223">
        <v>770.6</v>
      </c>
      <c r="F29" s="223">
        <v>1260.1099999999999</v>
      </c>
      <c r="G29" s="223">
        <v>1274.53</v>
      </c>
    </row>
    <row r="30" spans="1:7" ht="14.25" customHeight="1" x14ac:dyDescent="0.3">
      <c r="A30" s="222" t="s">
        <v>310</v>
      </c>
      <c r="B30" s="224" t="s">
        <v>287</v>
      </c>
      <c r="C30" s="224" t="s">
        <v>287</v>
      </c>
      <c r="D30" s="224" t="s">
        <v>287</v>
      </c>
      <c r="E30" s="224" t="s">
        <v>287</v>
      </c>
      <c r="F30" s="223">
        <v>-266.89</v>
      </c>
      <c r="G30" s="223">
        <v>-769.87</v>
      </c>
    </row>
    <row r="31" spans="1:7" ht="14.25" customHeight="1" x14ac:dyDescent="0.3">
      <c r="A31" s="222" t="s">
        <v>311</v>
      </c>
      <c r="B31" s="223">
        <v>-172.55</v>
      </c>
      <c r="C31" s="223">
        <v>-315.67</v>
      </c>
      <c r="D31" s="223">
        <v>126.45</v>
      </c>
      <c r="E31" s="223">
        <v>-65.489999999999995</v>
      </c>
      <c r="F31" s="223">
        <v>169.39</v>
      </c>
      <c r="G31" s="223">
        <v>259.3</v>
      </c>
    </row>
    <row r="32" spans="1:7" ht="14.25" customHeight="1" x14ac:dyDescent="0.3">
      <c r="A32" s="225" t="s">
        <v>312</v>
      </c>
      <c r="B32" s="226">
        <v>1092.1500000000001</v>
      </c>
      <c r="C32" s="226">
        <v>884.75</v>
      </c>
      <c r="D32" s="226">
        <v>1453.43</v>
      </c>
      <c r="E32" s="226">
        <v>705.11</v>
      </c>
      <c r="F32" s="226">
        <v>1162.6099999999999</v>
      </c>
      <c r="G32" s="226">
        <v>763.96</v>
      </c>
    </row>
    <row r="33" spans="1:7" ht="14.25" customHeight="1" x14ac:dyDescent="0.3">
      <c r="A33" s="227" t="s">
        <v>313</v>
      </c>
      <c r="B33" s="228">
        <v>2783.16</v>
      </c>
      <c r="C33" s="228">
        <v>3106.84</v>
      </c>
      <c r="D33" s="228">
        <v>3711.04</v>
      </c>
      <c r="E33" s="228">
        <v>3024.38</v>
      </c>
      <c r="F33" s="228">
        <v>4738.01</v>
      </c>
      <c r="G33" s="228">
        <v>5158.41</v>
      </c>
    </row>
    <row r="34" spans="1:7" ht="14.25" customHeight="1" x14ac:dyDescent="0.3">
      <c r="A34" s="230" t="s">
        <v>314</v>
      </c>
      <c r="B34" s="230"/>
      <c r="C34" s="230"/>
      <c r="D34" s="230"/>
      <c r="E34" s="230"/>
      <c r="F34" s="230"/>
      <c r="G34" s="230"/>
    </row>
    <row r="35" spans="1:7" ht="14.25" customHeight="1" x14ac:dyDescent="0.3">
      <c r="A35" s="222" t="s">
        <v>315</v>
      </c>
      <c r="B35" s="223">
        <v>-82.78</v>
      </c>
      <c r="C35" s="223">
        <v>-15.39</v>
      </c>
      <c r="D35" s="223">
        <v>14.86</v>
      </c>
      <c r="E35" s="223">
        <v>38.61</v>
      </c>
      <c r="F35" s="223">
        <v>40.29</v>
      </c>
      <c r="G35" s="223">
        <v>-52.29</v>
      </c>
    </row>
    <row r="36" spans="1:7" ht="14.25" customHeight="1" x14ac:dyDescent="0.3">
      <c r="A36" s="222" t="s">
        <v>316</v>
      </c>
      <c r="B36" s="223">
        <v>0.18</v>
      </c>
      <c r="C36" s="223">
        <v>-0.05</v>
      </c>
      <c r="D36" s="224" t="s">
        <v>287</v>
      </c>
      <c r="E36" s="223">
        <v>-7.0000000000000007E-2</v>
      </c>
      <c r="F36" s="223">
        <v>-0.17</v>
      </c>
      <c r="G36" s="223">
        <v>-0.02</v>
      </c>
    </row>
    <row r="37" spans="1:7" ht="14.25" customHeight="1" x14ac:dyDescent="0.3">
      <c r="A37" s="222" t="s">
        <v>317</v>
      </c>
      <c r="B37" s="223">
        <v>28.92</v>
      </c>
      <c r="C37" s="223">
        <v>-6.18</v>
      </c>
      <c r="D37" s="223">
        <v>-3.75</v>
      </c>
      <c r="E37" s="223">
        <v>-9.67</v>
      </c>
      <c r="F37" s="223">
        <v>-10.15</v>
      </c>
      <c r="G37" s="223">
        <v>12.43</v>
      </c>
    </row>
    <row r="38" spans="1:7" ht="14.25" customHeight="1" x14ac:dyDescent="0.3">
      <c r="A38" s="222" t="s">
        <v>318</v>
      </c>
      <c r="B38" s="224" t="s">
        <v>287</v>
      </c>
      <c r="C38" s="224" t="s">
        <v>287</v>
      </c>
      <c r="D38" s="224" t="s">
        <v>287</v>
      </c>
      <c r="E38" s="224" t="s">
        <v>287</v>
      </c>
      <c r="F38" s="224" t="s">
        <v>287</v>
      </c>
      <c r="G38" s="223">
        <v>0.25</v>
      </c>
    </row>
    <row r="39" spans="1:7" ht="14.25" customHeight="1" x14ac:dyDescent="0.3">
      <c r="A39" s="225" t="s">
        <v>319</v>
      </c>
      <c r="B39" s="226">
        <v>-53.68</v>
      </c>
      <c r="C39" s="226">
        <v>-21.62</v>
      </c>
      <c r="D39" s="226">
        <v>11.11</v>
      </c>
      <c r="E39" s="226">
        <v>28.87</v>
      </c>
      <c r="F39" s="226">
        <v>29.97</v>
      </c>
      <c r="G39" s="226">
        <v>-39.630000000000003</v>
      </c>
    </row>
    <row r="40" spans="1:7" ht="14.25" customHeight="1" x14ac:dyDescent="0.3">
      <c r="A40" s="227" t="s">
        <v>320</v>
      </c>
      <c r="B40" s="228">
        <v>2729.48</v>
      </c>
      <c r="C40" s="228">
        <v>3085.22</v>
      </c>
      <c r="D40" s="228">
        <v>3722.15</v>
      </c>
      <c r="E40" s="228">
        <v>3053.25</v>
      </c>
      <c r="F40" s="228">
        <v>4767.9799999999996</v>
      </c>
      <c r="G40" s="228">
        <v>5118.78</v>
      </c>
    </row>
    <row r="41" spans="1:7" ht="14.25" customHeight="1" x14ac:dyDescent="0.3">
      <c r="A41" s="230" t="s">
        <v>321</v>
      </c>
      <c r="B41" s="230"/>
      <c r="C41" s="230"/>
      <c r="D41" s="230"/>
      <c r="E41" s="230"/>
      <c r="F41" s="230"/>
      <c r="G41" s="230"/>
    </row>
    <row r="42" spans="1:7" ht="14.25" customHeight="1" x14ac:dyDescent="0.3">
      <c r="A42" s="222" t="s">
        <v>322</v>
      </c>
      <c r="B42" s="224"/>
      <c r="C42" s="224"/>
      <c r="D42" s="224"/>
      <c r="E42" s="224"/>
      <c r="F42" s="224"/>
      <c r="G42" s="224"/>
    </row>
    <row r="43" spans="1:7" ht="14.25" customHeight="1" x14ac:dyDescent="0.3">
      <c r="A43" s="222" t="s">
        <v>323</v>
      </c>
      <c r="B43" s="223">
        <v>2095</v>
      </c>
      <c r="C43" s="223">
        <v>2365.44</v>
      </c>
      <c r="D43" s="223">
        <v>2780.38</v>
      </c>
      <c r="E43" s="223">
        <v>2583.4</v>
      </c>
      <c r="F43" s="223">
        <v>3576.79</v>
      </c>
      <c r="G43" s="223">
        <v>4167.43</v>
      </c>
    </row>
    <row r="44" spans="1:7" ht="14.25" customHeight="1" x14ac:dyDescent="0.3">
      <c r="A44" s="222" t="s">
        <v>324</v>
      </c>
      <c r="B44" s="223">
        <v>688.16</v>
      </c>
      <c r="C44" s="223">
        <v>741.4</v>
      </c>
      <c r="D44" s="223">
        <v>930.66</v>
      </c>
      <c r="E44" s="223">
        <v>440.98</v>
      </c>
      <c r="F44" s="223">
        <v>1161.22</v>
      </c>
      <c r="G44" s="223">
        <v>990.98</v>
      </c>
    </row>
    <row r="45" spans="1:7" ht="14.25" customHeight="1" x14ac:dyDescent="0.3">
      <c r="A45" s="222" t="s">
        <v>325</v>
      </c>
      <c r="B45" s="224"/>
      <c r="C45" s="224"/>
      <c r="D45" s="224"/>
      <c r="E45" s="224"/>
      <c r="F45" s="224"/>
      <c r="G45" s="224"/>
    </row>
    <row r="46" spans="1:7" ht="14.25" customHeight="1" x14ac:dyDescent="0.3">
      <c r="A46" s="222" t="s">
        <v>323</v>
      </c>
      <c r="B46" s="223">
        <v>-29.09</v>
      </c>
      <c r="C46" s="223">
        <v>-14.34</v>
      </c>
      <c r="D46" s="223">
        <v>8.4</v>
      </c>
      <c r="E46" s="223">
        <v>13.41</v>
      </c>
      <c r="F46" s="223">
        <v>15.52</v>
      </c>
      <c r="G46" s="223">
        <v>-22.32</v>
      </c>
    </row>
    <row r="47" spans="1:7" ht="14.25" customHeight="1" x14ac:dyDescent="0.3">
      <c r="A47" s="222" t="s">
        <v>324</v>
      </c>
      <c r="B47" s="223">
        <v>-24.59</v>
      </c>
      <c r="C47" s="223">
        <v>-7.28</v>
      </c>
      <c r="D47" s="223">
        <v>2.71</v>
      </c>
      <c r="E47" s="223">
        <v>15.46</v>
      </c>
      <c r="F47" s="223">
        <v>14.45</v>
      </c>
      <c r="G47" s="223">
        <v>-17.309999999999999</v>
      </c>
    </row>
    <row r="48" spans="1:7" ht="14.25" customHeight="1" x14ac:dyDescent="0.3">
      <c r="A48" s="222" t="s">
        <v>326</v>
      </c>
      <c r="B48" s="224"/>
      <c r="C48" s="224"/>
      <c r="D48" s="224"/>
      <c r="E48" s="224"/>
      <c r="F48" s="224"/>
      <c r="G48" s="224"/>
    </row>
    <row r="49" spans="1:7" ht="14.25" customHeight="1" x14ac:dyDescent="0.3">
      <c r="A49" s="222" t="s">
        <v>323</v>
      </c>
      <c r="B49" s="223">
        <v>2065.91</v>
      </c>
      <c r="C49" s="223">
        <v>2351.1</v>
      </c>
      <c r="D49" s="223">
        <v>2788.78</v>
      </c>
      <c r="E49" s="223">
        <v>2596.81</v>
      </c>
      <c r="F49" s="223">
        <v>3592.31</v>
      </c>
      <c r="G49" s="223">
        <v>4145.1099999999997</v>
      </c>
    </row>
    <row r="50" spans="1:7" ht="14.25" customHeight="1" x14ac:dyDescent="0.3">
      <c r="A50" s="222" t="s">
        <v>324</v>
      </c>
      <c r="B50" s="223">
        <v>663.57</v>
      </c>
      <c r="C50" s="223">
        <v>734.12</v>
      </c>
      <c r="D50" s="223">
        <v>933.37</v>
      </c>
      <c r="E50" s="223">
        <v>456.44</v>
      </c>
      <c r="F50" s="223">
        <v>1175.67</v>
      </c>
      <c r="G50" s="223">
        <v>973.67</v>
      </c>
    </row>
    <row r="51" spans="1:7" ht="14.25" customHeight="1" x14ac:dyDescent="0.3">
      <c r="A51" s="230" t="s">
        <v>327</v>
      </c>
      <c r="B51" s="230"/>
      <c r="C51" s="230"/>
      <c r="D51" s="230"/>
      <c r="E51" s="230"/>
      <c r="F51" s="230"/>
      <c r="G51" s="230"/>
    </row>
    <row r="52" spans="1:7" ht="14.25" customHeight="1" x14ac:dyDescent="0.3">
      <c r="A52" s="222" t="s">
        <v>328</v>
      </c>
      <c r="B52" s="223">
        <v>10.55</v>
      </c>
      <c r="C52" s="223">
        <v>11.91</v>
      </c>
      <c r="D52" s="223">
        <v>14</v>
      </c>
      <c r="E52" s="223">
        <v>13.01</v>
      </c>
      <c r="F52" s="223">
        <v>17.989999999999998</v>
      </c>
      <c r="G52" s="223">
        <v>17</v>
      </c>
    </row>
    <row r="53" spans="1:7" ht="14.25" customHeight="1" x14ac:dyDescent="0.3">
      <c r="A53" s="222" t="s">
        <v>329</v>
      </c>
      <c r="B53" s="223">
        <v>10.55</v>
      </c>
      <c r="C53" s="223">
        <v>11.91</v>
      </c>
      <c r="D53" s="223">
        <v>14</v>
      </c>
      <c r="E53" s="223">
        <v>12.64</v>
      </c>
      <c r="F53" s="223">
        <v>16.670000000000002</v>
      </c>
      <c r="G53" s="223">
        <v>16.96</v>
      </c>
    </row>
    <row r="54" spans="1:7" ht="14.25" customHeight="1" x14ac:dyDescent="0.3">
      <c r="A54" s="229"/>
      <c r="B54" s="229"/>
      <c r="C54" s="229"/>
      <c r="D54" s="229"/>
      <c r="E54" s="229"/>
      <c r="F54" s="229"/>
      <c r="G54" s="229"/>
    </row>
    <row r="55" spans="1:7" ht="14.25" customHeight="1" x14ac:dyDescent="0.3">
      <c r="A55" s="154" t="s">
        <v>330</v>
      </c>
      <c r="B55" s="154"/>
      <c r="C55" s="154"/>
      <c r="D55" s="154"/>
      <c r="E55" s="154"/>
      <c r="F55" s="154"/>
      <c r="G55" s="154"/>
    </row>
    <row r="56" spans="1:7" ht="27.75" customHeight="1" x14ac:dyDescent="0.3">
      <c r="A56" s="154" t="s">
        <v>331</v>
      </c>
      <c r="B56" s="154"/>
      <c r="C56" s="154"/>
      <c r="D56" s="154"/>
      <c r="E56" s="154"/>
      <c r="F56" s="154"/>
      <c r="G56" s="154"/>
    </row>
  </sheetData>
  <mergeCells count="11">
    <mergeCell ref="A56:G56"/>
    <mergeCell ref="A28:G28"/>
    <mergeCell ref="A34:G34"/>
    <mergeCell ref="A41:G41"/>
    <mergeCell ref="A51:G51"/>
    <mergeCell ref="A55:G55"/>
    <mergeCell ref="A1:G1"/>
    <mergeCell ref="A2:G2"/>
    <mergeCell ref="A3:G3"/>
    <mergeCell ref="A5:G5"/>
    <mergeCell ref="A10:G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2"/>
  <sheetViews>
    <sheetView showGridLines="0" zoomScale="89" zoomScaleNormal="89" workbookViewId="0"/>
  </sheetViews>
  <sheetFormatPr defaultColWidth="8.6640625" defaultRowHeight="14.4" x14ac:dyDescent="0.3"/>
  <cols>
    <col min="1" max="1" width="30.5546875" style="1" customWidth="1"/>
    <col min="2" max="2" width="10.33203125" style="1" customWidth="1"/>
    <col min="3" max="12" width="14.88671875" style="1" customWidth="1"/>
    <col min="14" max="14" width="12.5546875" style="1" customWidth="1"/>
    <col min="16" max="16" width="43.77734375" style="1" customWidth="1"/>
    <col min="17" max="17" width="7" style="1" customWidth="1"/>
  </cols>
  <sheetData>
    <row r="1" spans="1:17" ht="14.25" customHeight="1" x14ac:dyDescent="0.3">
      <c r="A1" s="3"/>
      <c r="B1" s="3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50"/>
      <c r="N1" s="50"/>
      <c r="O1" s="50"/>
      <c r="P1" s="50"/>
      <c r="Q1" s="50"/>
    </row>
    <row r="2" spans="1:17" ht="14.25" customHeight="1" x14ac:dyDescent="0.3">
      <c r="A2" s="51" t="s">
        <v>2526</v>
      </c>
      <c r="B2" s="51" t="s">
        <v>2527</v>
      </c>
      <c r="C2" s="51" t="s">
        <v>2528</v>
      </c>
      <c r="D2" s="51" t="s">
        <v>2529</v>
      </c>
      <c r="E2" s="51" t="s">
        <v>2530</v>
      </c>
      <c r="F2" s="51" t="s">
        <v>2531</v>
      </c>
      <c r="G2" s="51" t="s">
        <v>2532</v>
      </c>
      <c r="H2" s="51" t="s">
        <v>2533</v>
      </c>
      <c r="I2" s="51" t="s">
        <v>2534</v>
      </c>
      <c r="J2" s="51" t="s">
        <v>2535</v>
      </c>
      <c r="K2" s="51" t="s">
        <v>2536</v>
      </c>
      <c r="L2" s="51" t="s">
        <v>2537</v>
      </c>
      <c r="M2" s="50"/>
      <c r="N2" s="51" t="s">
        <v>2538</v>
      </c>
      <c r="O2" s="3"/>
      <c r="P2" s="3" t="s">
        <v>2539</v>
      </c>
      <c r="Q2" s="46">
        <v>5.5E-2</v>
      </c>
    </row>
    <row r="3" spans="1:17" ht="14.25" customHeight="1" x14ac:dyDescent="0.3">
      <c r="A3" s="3" t="s">
        <v>2540</v>
      </c>
      <c r="B3" s="52">
        <f>'Growth Scenario'!B18</f>
        <v>33697.699999999997</v>
      </c>
      <c r="C3" s="52">
        <f>'Growth Scenario'!C18</f>
        <v>35911.18916921271</v>
      </c>
      <c r="D3" s="52">
        <f>'Growth Scenario'!D18</f>
        <v>38238.100727878293</v>
      </c>
      <c r="E3" s="52">
        <f>'Growth Scenario'!E18</f>
        <v>40681.741380649248</v>
      </c>
      <c r="F3" s="52">
        <f>'Growth Scenario'!F18</f>
        <v>43245.323241680278</v>
      </c>
      <c r="G3" s="52">
        <f>'Growth Scenario'!G18</f>
        <v>45931.946181392166</v>
      </c>
      <c r="H3" s="52">
        <f>'Growth Scenario'!H18</f>
        <v>48744.579513346893</v>
      </c>
      <c r="I3" s="52">
        <f>'Growth Scenario'!I18</f>
        <v>51686.04307572102</v>
      </c>
      <c r="J3" s="52">
        <f>'Growth Scenario'!J18</f>
        <v>54758.987769216728</v>
      </c>
      <c r="K3" s="52">
        <f>'Growth Scenario'!K18</f>
        <v>57965.875620644576</v>
      </c>
      <c r="L3" s="52">
        <f>'Growth Scenario'!L18</f>
        <v>61308.959448792899</v>
      </c>
      <c r="M3" s="50"/>
      <c r="N3" s="53">
        <f>L3*(1+$Q$2)</f>
        <v>64680.952218476501</v>
      </c>
      <c r="O3" s="3"/>
      <c r="P3" s="3" t="s">
        <v>2541</v>
      </c>
      <c r="Q3" s="46">
        <f>Wacc!E27</f>
        <v>0.13506582218276972</v>
      </c>
    </row>
    <row r="4" spans="1:17" ht="14.25" customHeight="1" x14ac:dyDescent="0.3">
      <c r="A4" s="3" t="s">
        <v>2408</v>
      </c>
      <c r="B4" s="3"/>
      <c r="C4" s="46">
        <f>'Growth Scenario'!C19</f>
        <v>6.5686654258679811E-2</v>
      </c>
      <c r="D4" s="46">
        <f>'Growth Scenario'!D19</f>
        <v>6.479628250964424E-2</v>
      </c>
      <c r="E4" s="46">
        <f>'Growth Scenario'!E19</f>
        <v>6.390591076060867E-2</v>
      </c>
      <c r="F4" s="46">
        <f>'Growth Scenario'!F19</f>
        <v>6.3015539011573099E-2</v>
      </c>
      <c r="G4" s="46">
        <f>'Growth Scenario'!G19</f>
        <v>6.2125167262537521E-2</v>
      </c>
      <c r="H4" s="46">
        <f>'Growth Scenario'!H19</f>
        <v>6.1234795513501944E-2</v>
      </c>
      <c r="I4" s="46">
        <f>'Growth Scenario'!I19</f>
        <v>6.0344423764466366E-2</v>
      </c>
      <c r="J4" s="46">
        <f>'Growth Scenario'!J19</f>
        <v>5.9454052015430789E-2</v>
      </c>
      <c r="K4" s="46">
        <f>'Growth Scenario'!K19</f>
        <v>5.8563680266395211E-2</v>
      </c>
      <c r="L4" s="46">
        <f>'Growth Scenario'!L19</f>
        <v>5.7673308517359634E-2</v>
      </c>
      <c r="M4" s="50"/>
      <c r="N4" s="54">
        <f>$Q$2</f>
        <v>5.5E-2</v>
      </c>
      <c r="O4" s="3"/>
      <c r="P4" s="3" t="s">
        <v>2542</v>
      </c>
      <c r="Q4" s="46">
        <f>Q2*Q3</f>
        <v>7.4286202200523344E-3</v>
      </c>
    </row>
    <row r="5" spans="1:17" ht="14.25" customHeight="1" x14ac:dyDescent="0.3">
      <c r="A5" s="3" t="s">
        <v>2456</v>
      </c>
      <c r="B5" s="3"/>
      <c r="C5" s="55">
        <f t="shared" ref="C5:L5" si="0">C3*C6</f>
        <v>5156.8962525009902</v>
      </c>
      <c r="D5" s="55">
        <f t="shared" si="0"/>
        <v>5491.0439589509697</v>
      </c>
      <c r="E5" s="55">
        <f t="shared" si="0"/>
        <v>5841.95412417427</v>
      </c>
      <c r="F5" s="55">
        <f t="shared" si="0"/>
        <v>6210.0880121899936</v>
      </c>
      <c r="G5" s="55">
        <f t="shared" si="0"/>
        <v>6595.8907686623761</v>
      </c>
      <c r="H5" s="55">
        <f t="shared" si="0"/>
        <v>6999.7887911108119</v>
      </c>
      <c r="I5" s="55">
        <f t="shared" si="0"/>
        <v>7422.1870121833645</v>
      </c>
      <c r="J5" s="55">
        <f t="shared" si="0"/>
        <v>7863.4661048739681</v>
      </c>
      <c r="K5" s="55">
        <f t="shared" si="0"/>
        <v>8323.9796196254429</v>
      </c>
      <c r="L5" s="55">
        <f t="shared" si="0"/>
        <v>8804.0510643203124</v>
      </c>
      <c r="M5" s="50"/>
      <c r="N5" s="53">
        <f>N6*N3</f>
        <v>9288.2738728579297</v>
      </c>
      <c r="O5" s="3"/>
      <c r="P5" s="3"/>
      <c r="Q5" s="3"/>
    </row>
    <row r="6" spans="1:17" ht="14.25" customHeight="1" x14ac:dyDescent="0.3">
      <c r="A6" s="3" t="s">
        <v>2543</v>
      </c>
      <c r="B6" s="3"/>
      <c r="C6" s="56">
        <f>MEDIAN(Assumptions!B29:F29)</f>
        <v>0.14360137806079915</v>
      </c>
      <c r="D6" s="46">
        <f t="shared" ref="D6:L6" si="1">C6</f>
        <v>0.14360137806079915</v>
      </c>
      <c r="E6" s="46">
        <f t="shared" si="1"/>
        <v>0.14360137806079915</v>
      </c>
      <c r="F6" s="46">
        <f t="shared" si="1"/>
        <v>0.14360137806079915</v>
      </c>
      <c r="G6" s="46">
        <f t="shared" si="1"/>
        <v>0.14360137806079915</v>
      </c>
      <c r="H6" s="46">
        <f t="shared" si="1"/>
        <v>0.14360137806079915</v>
      </c>
      <c r="I6" s="46">
        <f t="shared" si="1"/>
        <v>0.14360137806079915</v>
      </c>
      <c r="J6" s="46">
        <f t="shared" si="1"/>
        <v>0.14360137806079915</v>
      </c>
      <c r="K6" s="46">
        <f t="shared" si="1"/>
        <v>0.14360137806079915</v>
      </c>
      <c r="L6" s="46">
        <f t="shared" si="1"/>
        <v>0.14360137806079915</v>
      </c>
      <c r="M6" s="50"/>
      <c r="N6" s="54">
        <f>L6</f>
        <v>0.14360137806079915</v>
      </c>
      <c r="O6" s="3"/>
      <c r="P6" s="3" t="s">
        <v>2544</v>
      </c>
      <c r="Q6" s="3"/>
    </row>
    <row r="7" spans="1:17" ht="14.25" customHeight="1" x14ac:dyDescent="0.3">
      <c r="A7" s="3" t="s">
        <v>2457</v>
      </c>
      <c r="B7" s="3"/>
      <c r="C7" s="52">
        <f>Assumptions!$B$35*'DCF Valuation'!C5</f>
        <v>1289.2240631252475</v>
      </c>
      <c r="D7" s="52">
        <f>Assumptions!$B$35*'DCF Valuation'!D5</f>
        <v>1372.7609897377424</v>
      </c>
      <c r="E7" s="52">
        <f>Assumptions!$B$35*'DCF Valuation'!E5</f>
        <v>1460.4885310435675</v>
      </c>
      <c r="F7" s="52">
        <f>Assumptions!$B$35*'DCF Valuation'!F5</f>
        <v>1552.5220030474984</v>
      </c>
      <c r="G7" s="52">
        <f>Assumptions!$B$35*'DCF Valuation'!G5</f>
        <v>1648.972692165594</v>
      </c>
      <c r="H7" s="52">
        <f>Assumptions!$B$35*'DCF Valuation'!H5</f>
        <v>1749.947197777703</v>
      </c>
      <c r="I7" s="52">
        <f>Assumptions!$B$35*'DCF Valuation'!I5</f>
        <v>1855.5467530458411</v>
      </c>
      <c r="J7" s="52">
        <f>Assumptions!$B$35*'DCF Valuation'!J5</f>
        <v>1965.866526218492</v>
      </c>
      <c r="K7" s="52">
        <f>Assumptions!$B$35*'DCF Valuation'!K5</f>
        <v>2080.9949049063607</v>
      </c>
      <c r="L7" s="52">
        <f>Assumptions!$B$35*'DCF Valuation'!L5</f>
        <v>2201.0127660800781</v>
      </c>
      <c r="M7" s="50"/>
      <c r="N7" s="53">
        <f>Assumptions!$B$35*N5</f>
        <v>2322.0684682144824</v>
      </c>
      <c r="O7" s="3"/>
      <c r="P7" s="3"/>
      <c r="Q7" s="3"/>
    </row>
    <row r="8" spans="1:17" ht="14.25" customHeight="1" x14ac:dyDescent="0.3">
      <c r="A8" s="57" t="s">
        <v>2545</v>
      </c>
      <c r="B8" s="3"/>
      <c r="C8" s="58">
        <f t="shared" ref="C8:L8" si="2">C5-C7</f>
        <v>3867.6721893757426</v>
      </c>
      <c r="D8" s="58">
        <f t="shared" si="2"/>
        <v>4118.2829692132273</v>
      </c>
      <c r="E8" s="58">
        <f t="shared" si="2"/>
        <v>4381.4655931307025</v>
      </c>
      <c r="F8" s="58">
        <f t="shared" si="2"/>
        <v>4657.5660091424952</v>
      </c>
      <c r="G8" s="58">
        <f t="shared" si="2"/>
        <v>4946.9180764967823</v>
      </c>
      <c r="H8" s="58">
        <f t="shared" si="2"/>
        <v>5249.8415933331089</v>
      </c>
      <c r="I8" s="58">
        <f t="shared" si="2"/>
        <v>5566.6402591375236</v>
      </c>
      <c r="J8" s="58">
        <f t="shared" si="2"/>
        <v>5897.5995786554759</v>
      </c>
      <c r="K8" s="58">
        <f t="shared" si="2"/>
        <v>6242.9847147190821</v>
      </c>
      <c r="L8" s="58">
        <f t="shared" si="2"/>
        <v>6603.0382982402343</v>
      </c>
      <c r="M8" s="50"/>
      <c r="N8" s="53">
        <f>N5-N7</f>
        <v>6966.2054046434478</v>
      </c>
      <c r="O8" s="3"/>
      <c r="P8" s="3"/>
      <c r="Q8" s="3"/>
    </row>
    <row r="9" spans="1:17" ht="14.25" customHeight="1" x14ac:dyDescent="0.3">
      <c r="A9" s="3" t="s">
        <v>2546</v>
      </c>
      <c r="B9" s="3"/>
      <c r="C9" s="59">
        <f>C3*'Fixed Asset Scheduled'!$B$11</f>
        <v>2202.5303549393452</v>
      </c>
      <c r="D9" s="59">
        <f>D3*'Fixed Asset Scheduled'!$B$11</f>
        <v>2345.2461340540622</v>
      </c>
      <c r="E9" s="59">
        <f>E3*'Fixed Asset Scheduled'!$B$11</f>
        <v>2495.1212242085835</v>
      </c>
      <c r="F9" s="59">
        <f>F3*'Fixed Asset Scheduled'!$B$11</f>
        <v>2652.3526330513037</v>
      </c>
      <c r="G9" s="59">
        <f>G3*'Fixed Asset Scheduled'!$B$11</f>
        <v>2817.1304840188477</v>
      </c>
      <c r="H9" s="59">
        <f>H3*'Fixed Asset Scheduled'!$B$11</f>
        <v>2989.6368931425945</v>
      </c>
      <c r="I9" s="59">
        <f>I3*'Fixed Asset Scheduled'!$B$11</f>
        <v>3170.0448087242735</v>
      </c>
      <c r="J9" s="59">
        <f>J3*'Fixed Asset Scheduled'!$B$11</f>
        <v>3358.5168176734128</v>
      </c>
      <c r="K9" s="59">
        <f>K3*'Fixed Asset Scheduled'!$B$11</f>
        <v>3555.203922752949</v>
      </c>
      <c r="L9" s="59">
        <f>L3*'Fixed Asset Scheduled'!$B$11</f>
        <v>3760.2442954320068</v>
      </c>
      <c r="M9" s="50"/>
      <c r="N9" s="3"/>
      <c r="O9" s="3"/>
      <c r="P9" s="3"/>
      <c r="Q9" s="3"/>
    </row>
    <row r="10" spans="1:17" ht="14.25" customHeight="1" x14ac:dyDescent="0.3">
      <c r="A10" s="3" t="s">
        <v>2547</v>
      </c>
      <c r="B10" s="60">
        <f>'Change in working capital'!F5</f>
        <v>3078.8500000000004</v>
      </c>
      <c r="C10" s="52">
        <f>'Change in working capital'!$B$9*'DCF Valuation'!C3</f>
        <v>1790.4239727002227</v>
      </c>
      <c r="D10" s="52">
        <f>'Change in working capital'!$B$9*'DCF Valuation'!D3</f>
        <v>1906.4367902473459</v>
      </c>
      <c r="E10" s="52">
        <f>'Change in working capital'!$B$9*'DCF Valuation'!E3</f>
        <v>2028.2693696356341</v>
      </c>
      <c r="F10" s="52">
        <f>'Change in working capital'!$B$9*'DCF Valuation'!F3</f>
        <v>2156.0818572238873</v>
      </c>
      <c r="G10" s="52">
        <f>'Change in working capital'!$B$9*'DCF Valuation'!G3</f>
        <v>2290.0288032356434</v>
      </c>
      <c r="H10" s="52">
        <f>'Change in working capital'!$B$9*'DCF Valuation'!H3</f>
        <v>2430.2582487218078</v>
      </c>
      <c r="I10" s="52">
        <f>'Change in working capital'!$B$9*'DCF Valuation'!I3</f>
        <v>2576.9107823397662</v>
      </c>
      <c r="J10" s="52">
        <f>'Change in working capital'!$B$9*'DCF Valuation'!J3</f>
        <v>2730.1185700321189</v>
      </c>
      <c r="K10" s="52">
        <f>'Change in working capital'!$B$9*'DCF Valuation'!K3</f>
        <v>2890.0043610568277</v>
      </c>
      <c r="L10" s="52">
        <f>'Change in working capital'!$B$9*'DCF Valuation'!L3</f>
        <v>3056.6804741885726</v>
      </c>
      <c r="M10" s="50"/>
      <c r="N10" s="3"/>
      <c r="O10" s="3"/>
      <c r="P10" s="3"/>
      <c r="Q10" s="3"/>
    </row>
    <row r="11" spans="1:17" ht="14.25" customHeight="1" x14ac:dyDescent="0.3">
      <c r="A11" s="3" t="s">
        <v>2548</v>
      </c>
      <c r="B11" s="3"/>
      <c r="C11" s="52">
        <f t="shared" ref="C11:L11" si="3">C10-B10</f>
        <v>-1288.4260272997776</v>
      </c>
      <c r="D11" s="52">
        <f t="shared" si="3"/>
        <v>116.01281754712318</v>
      </c>
      <c r="E11" s="52">
        <f t="shared" si="3"/>
        <v>121.8325793882882</v>
      </c>
      <c r="F11" s="52">
        <f t="shared" si="3"/>
        <v>127.81248758825313</v>
      </c>
      <c r="G11" s="52">
        <f t="shared" si="3"/>
        <v>133.94694601175615</v>
      </c>
      <c r="H11" s="52">
        <f t="shared" si="3"/>
        <v>140.22944548616442</v>
      </c>
      <c r="I11" s="52">
        <f t="shared" si="3"/>
        <v>146.6525336179584</v>
      </c>
      <c r="J11" s="52">
        <f t="shared" si="3"/>
        <v>153.20778769235267</v>
      </c>
      <c r="K11" s="52">
        <f t="shared" si="3"/>
        <v>159.88579102470885</v>
      </c>
      <c r="L11" s="52">
        <f t="shared" si="3"/>
        <v>166.67611313174484</v>
      </c>
      <c r="M11" s="50"/>
      <c r="N11" s="3"/>
      <c r="O11" s="3"/>
      <c r="P11" s="3"/>
      <c r="Q11" s="3"/>
    </row>
    <row r="12" spans="1:17" ht="14.25" customHeight="1" x14ac:dyDescent="0.3">
      <c r="A12" s="3" t="s">
        <v>2461</v>
      </c>
      <c r="B12" s="3"/>
      <c r="C12" s="59">
        <f t="shared" ref="C12:L12" si="4">C9+C11</f>
        <v>914.1043276395676</v>
      </c>
      <c r="D12" s="59">
        <f t="shared" si="4"/>
        <v>2461.2589516011853</v>
      </c>
      <c r="E12" s="59">
        <f t="shared" si="4"/>
        <v>2616.9538035968717</v>
      </c>
      <c r="F12" s="59">
        <f t="shared" si="4"/>
        <v>2780.1651206395568</v>
      </c>
      <c r="G12" s="59">
        <f t="shared" si="4"/>
        <v>2951.0774300306039</v>
      </c>
      <c r="H12" s="59">
        <f t="shared" si="4"/>
        <v>3129.866338628759</v>
      </c>
      <c r="I12" s="59">
        <f t="shared" si="4"/>
        <v>3316.6973423422319</v>
      </c>
      <c r="J12" s="59">
        <f t="shared" si="4"/>
        <v>3511.7246053657655</v>
      </c>
      <c r="K12" s="59">
        <f t="shared" si="4"/>
        <v>3715.0897137776578</v>
      </c>
      <c r="L12" s="59">
        <f t="shared" si="4"/>
        <v>3926.9204085637516</v>
      </c>
      <c r="M12" s="50"/>
      <c r="N12" s="53">
        <f>N8*N14</f>
        <v>51.749294325972173</v>
      </c>
      <c r="O12" s="3"/>
      <c r="P12" s="3"/>
      <c r="Q12" s="3"/>
    </row>
    <row r="13" spans="1:17" ht="14.25" customHeight="1" x14ac:dyDescent="0.3">
      <c r="A13" s="57" t="s">
        <v>2549</v>
      </c>
      <c r="B13" s="3"/>
      <c r="C13" s="58">
        <f>C8-C12</f>
        <v>2953.567861736175</v>
      </c>
      <c r="D13" s="58">
        <f t="shared" ref="D13:L13" si="5">D8-(D12)</f>
        <v>1657.0240176120419</v>
      </c>
      <c r="E13" s="58">
        <f t="shared" si="5"/>
        <v>1764.5117895338308</v>
      </c>
      <c r="F13" s="58">
        <f t="shared" si="5"/>
        <v>1877.4008885029384</v>
      </c>
      <c r="G13" s="58">
        <f t="shared" si="5"/>
        <v>1995.8406464661784</v>
      </c>
      <c r="H13" s="58">
        <f t="shared" si="5"/>
        <v>2119.9752547043499</v>
      </c>
      <c r="I13" s="58">
        <f t="shared" si="5"/>
        <v>2249.9429167952917</v>
      </c>
      <c r="J13" s="58">
        <f t="shared" si="5"/>
        <v>2385.8749732897104</v>
      </c>
      <c r="K13" s="58">
        <f t="shared" si="5"/>
        <v>2527.8950009414243</v>
      </c>
      <c r="L13" s="58">
        <f t="shared" si="5"/>
        <v>2676.1178896764827</v>
      </c>
      <c r="M13" s="50"/>
      <c r="N13" s="53">
        <f>N8-N12</f>
        <v>6914.4561103174756</v>
      </c>
      <c r="O13" s="3"/>
      <c r="P13" s="3"/>
      <c r="Q13" s="3"/>
    </row>
    <row r="14" spans="1:17" ht="14.25" customHeight="1" x14ac:dyDescent="0.3">
      <c r="A14" s="3" t="s">
        <v>2550</v>
      </c>
      <c r="B14" s="3"/>
      <c r="C14" s="61">
        <f t="shared" ref="C14:L14" si="6">C13/C8</f>
        <v>0.76365516960032032</v>
      </c>
      <c r="D14" s="61">
        <f t="shared" si="6"/>
        <v>0.40235798025520481</v>
      </c>
      <c r="E14" s="61">
        <f t="shared" si="6"/>
        <v>0.40272181808302837</v>
      </c>
      <c r="F14" s="61">
        <f t="shared" si="6"/>
        <v>0.40308626540509018</v>
      </c>
      <c r="G14" s="61">
        <f t="shared" si="6"/>
        <v>0.40345132375419412</v>
      </c>
      <c r="H14" s="61">
        <f t="shared" si="6"/>
        <v>0.40381699466828747</v>
      </c>
      <c r="I14" s="61">
        <f t="shared" si="6"/>
        <v>0.40418327969048429</v>
      </c>
      <c r="J14" s="61">
        <f t="shared" si="6"/>
        <v>0.40455018036908463</v>
      </c>
      <c r="K14" s="61">
        <f t="shared" si="6"/>
        <v>0.40491769825759905</v>
      </c>
      <c r="L14" s="61">
        <f t="shared" si="6"/>
        <v>0.40528583491476805</v>
      </c>
      <c r="M14" s="50"/>
      <c r="N14" s="56">
        <f>$Q$4</f>
        <v>7.4286202200523344E-3</v>
      </c>
      <c r="O14" s="3"/>
      <c r="P14" s="3"/>
      <c r="Q14" s="3"/>
    </row>
    <row r="15" spans="1:17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50"/>
      <c r="N15" s="50"/>
      <c r="O15" s="50"/>
      <c r="P15" s="50"/>
      <c r="Q15" s="50"/>
    </row>
    <row r="16" spans="1:17" ht="14.25" customHeight="1" x14ac:dyDescent="0.3">
      <c r="A16" s="3" t="s">
        <v>2551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62">
        <f>N13/($Q$3-$Q$2)</f>
        <v>86359.646623418754</v>
      </c>
      <c r="M16" s="50"/>
      <c r="N16" s="50"/>
      <c r="O16" s="50"/>
      <c r="P16" s="50"/>
      <c r="Q16" s="50"/>
    </row>
    <row r="17" spans="1:17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50"/>
      <c r="N17" s="50"/>
      <c r="O17" s="50"/>
      <c r="P17" s="50"/>
      <c r="Q17" s="50"/>
    </row>
    <row r="18" spans="1:17" ht="14.25" customHeight="1" x14ac:dyDescent="0.3">
      <c r="A18" s="3" t="s">
        <v>2552</v>
      </c>
      <c r="B18" s="3"/>
      <c r="C18" s="3">
        <f t="shared" ref="C18:L18" si="7">1/(1+$Q$3)^C1</f>
        <v>0.88100617643210022</v>
      </c>
      <c r="D18" s="3">
        <f t="shared" si="7"/>
        <v>0.77617188291150885</v>
      </c>
      <c r="E18" s="3">
        <f t="shared" si="7"/>
        <v>0.68381222281797216</v>
      </c>
      <c r="F18" s="3">
        <f t="shared" si="7"/>
        <v>0.60244279182239702</v>
      </c>
      <c r="G18" s="3">
        <f t="shared" si="7"/>
        <v>0.53075582054252968</v>
      </c>
      <c r="H18" s="3">
        <f t="shared" si="7"/>
        <v>0.46759915607525604</v>
      </c>
      <c r="I18" s="3">
        <f t="shared" si="7"/>
        <v>0.41195774459673812</v>
      </c>
      <c r="J18" s="3">
        <f t="shared" si="7"/>
        <v>0.36293731741876395</v>
      </c>
      <c r="K18" s="3">
        <f t="shared" si="7"/>
        <v>0.3197500183036287</v>
      </c>
      <c r="L18" s="3">
        <f t="shared" si="7"/>
        <v>0.28170174103977397</v>
      </c>
      <c r="M18" s="50"/>
      <c r="N18" s="50"/>
      <c r="O18" s="50"/>
      <c r="P18" s="50"/>
      <c r="Q18" s="50"/>
    </row>
    <row r="19" spans="1:17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50"/>
      <c r="N19" s="50"/>
      <c r="O19" s="50"/>
      <c r="P19" s="50"/>
      <c r="Q19" s="50"/>
    </row>
    <row r="20" spans="1:17" ht="14.25" customHeight="1" x14ac:dyDescent="0.3">
      <c r="A20" s="3" t="s">
        <v>2553</v>
      </c>
      <c r="B20" s="3"/>
      <c r="C20" s="59">
        <f>SUMPRODUCT(C18:L18,C13:L13)</f>
        <v>11631.437035644076</v>
      </c>
      <c r="D20" s="3"/>
      <c r="E20" s="3"/>
      <c r="F20" s="3"/>
      <c r="G20" s="3"/>
      <c r="H20" s="3"/>
      <c r="I20" s="3"/>
      <c r="J20" s="3"/>
      <c r="K20" s="3"/>
      <c r="L20" s="3"/>
      <c r="M20" s="50"/>
      <c r="N20" s="50"/>
      <c r="O20" s="50"/>
      <c r="P20" s="50"/>
      <c r="Q20" s="50"/>
    </row>
    <row r="21" spans="1:17" ht="14.25" customHeight="1" x14ac:dyDescent="0.3">
      <c r="A21" s="3" t="s">
        <v>2554</v>
      </c>
      <c r="B21" s="3"/>
      <c r="C21" s="52">
        <f>L16*L18</f>
        <v>24327.662809396701</v>
      </c>
      <c r="D21" s="3"/>
      <c r="E21" s="3"/>
      <c r="F21" s="3"/>
      <c r="G21" s="3"/>
      <c r="H21" s="3"/>
      <c r="I21" s="3"/>
      <c r="J21" s="3"/>
      <c r="K21" s="3"/>
      <c r="L21" s="3"/>
      <c r="M21" s="50"/>
      <c r="N21" s="50"/>
      <c r="O21" s="50"/>
      <c r="P21" s="50"/>
      <c r="Q21" s="50"/>
    </row>
    <row r="22" spans="1:17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50"/>
      <c r="N22" s="50"/>
      <c r="O22" s="50"/>
      <c r="P22" s="50"/>
      <c r="Q22" s="50"/>
    </row>
    <row r="23" spans="1:17" ht="24" customHeight="1" x14ac:dyDescent="0.3">
      <c r="A23" s="57" t="s">
        <v>2555</v>
      </c>
      <c r="B23" s="3"/>
      <c r="C23" s="58">
        <f>C20+C21</f>
        <v>35959.099845040779</v>
      </c>
      <c r="D23" s="3"/>
      <c r="E23" s="3"/>
      <c r="F23" s="3"/>
      <c r="G23" s="3"/>
      <c r="H23" s="3"/>
      <c r="I23" s="3"/>
      <c r="J23" s="3"/>
      <c r="K23" s="3"/>
      <c r="L23" s="3"/>
      <c r="M23" s="50"/>
      <c r="N23" s="50"/>
      <c r="O23" s="50"/>
      <c r="P23" s="50"/>
      <c r="Q23" s="50"/>
    </row>
    <row r="24" spans="1:17" ht="14.25" customHeight="1" x14ac:dyDescent="0.3">
      <c r="A24" s="3" t="s">
        <v>2556</v>
      </c>
      <c r="B24" s="3"/>
      <c r="C24" s="60">
        <f>'Consolidated Balance sheet'!G26+'Consolidated Balance sheet'!G27</f>
        <v>6172.16</v>
      </c>
      <c r="D24" s="3"/>
      <c r="E24" s="3"/>
      <c r="F24" s="3"/>
      <c r="G24" s="3"/>
      <c r="H24" s="3"/>
      <c r="I24" s="3"/>
      <c r="J24" s="3"/>
      <c r="K24" s="3"/>
      <c r="L24" s="3"/>
      <c r="M24" s="50"/>
      <c r="N24" s="50"/>
      <c r="O24" s="50"/>
      <c r="P24" s="50"/>
      <c r="Q24" s="50"/>
    </row>
    <row r="25" spans="1:17" ht="14.25" customHeight="1" x14ac:dyDescent="0.3">
      <c r="A25" s="3" t="s">
        <v>2557</v>
      </c>
      <c r="B25" s="3"/>
      <c r="C25" s="60">
        <f>'Consolidated Balance sheet'!G47+'Consolidated Balance sheet'!G56+'Consolidated Balance sheet'!G48+'Consolidated Balance sheet'!G57</f>
        <v>788.5</v>
      </c>
      <c r="D25" s="3"/>
      <c r="E25" s="3"/>
      <c r="F25" s="3"/>
      <c r="G25" s="3"/>
      <c r="H25" s="3"/>
      <c r="I25" s="3"/>
      <c r="J25" s="3"/>
      <c r="K25" s="3"/>
      <c r="L25" s="3"/>
      <c r="M25" s="50"/>
      <c r="N25" s="50"/>
      <c r="O25" s="50"/>
      <c r="P25" s="50"/>
      <c r="Q25" s="50"/>
    </row>
    <row r="26" spans="1:17" ht="14.25" customHeight="1" x14ac:dyDescent="0.3">
      <c r="A26" s="3" t="s">
        <v>2558</v>
      </c>
      <c r="B26" s="3"/>
      <c r="C26" s="60">
        <f>'Consolidated Balance sheet'!G42</f>
        <v>10368.17</v>
      </c>
      <c r="D26" s="3"/>
      <c r="E26" s="3"/>
      <c r="F26" s="3"/>
      <c r="G26" s="3"/>
      <c r="H26" s="3"/>
      <c r="I26" s="3"/>
      <c r="J26" s="3"/>
      <c r="K26" s="3"/>
      <c r="L26" s="3"/>
      <c r="M26" s="50"/>
      <c r="N26" s="50"/>
      <c r="O26" s="50"/>
      <c r="P26" s="50"/>
      <c r="Q26" s="50"/>
    </row>
    <row r="27" spans="1:17" ht="15" customHeight="1" x14ac:dyDescent="0.3">
      <c r="A27" s="63" t="s">
        <v>2559</v>
      </c>
      <c r="B27" s="64"/>
      <c r="C27" s="65">
        <f>C23+C24-C25-C26</f>
        <v>30974.589845040784</v>
      </c>
      <c r="D27" s="3"/>
      <c r="E27" s="3"/>
      <c r="F27" s="3"/>
      <c r="G27" s="3"/>
      <c r="H27" s="3"/>
      <c r="I27" s="3"/>
      <c r="J27" s="3"/>
      <c r="K27" s="3"/>
      <c r="L27" s="3"/>
      <c r="M27" s="50"/>
      <c r="N27" s="50"/>
      <c r="O27" s="50"/>
      <c r="P27" s="50"/>
      <c r="Q27" s="50"/>
    </row>
    <row r="28" spans="1:17" ht="1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50"/>
      <c r="N28" s="50"/>
      <c r="O28" s="50"/>
      <c r="P28" s="50"/>
      <c r="Q28" s="50"/>
    </row>
    <row r="29" spans="1:17" ht="14.25" customHeight="1" x14ac:dyDescent="0.3">
      <c r="A29" s="3" t="s">
        <v>2560</v>
      </c>
      <c r="B29" s="3"/>
      <c r="C29" s="52">
        <f>'Consolidated Balance sheet'!G38/2</f>
        <v>246.31</v>
      </c>
      <c r="D29" s="3"/>
      <c r="E29" s="3"/>
      <c r="F29" s="3"/>
      <c r="G29" s="3"/>
      <c r="H29" s="3"/>
      <c r="I29" s="3"/>
      <c r="J29" s="3"/>
      <c r="K29" s="3"/>
      <c r="L29" s="3"/>
      <c r="M29" s="50"/>
      <c r="N29" s="50"/>
      <c r="O29" s="50"/>
      <c r="P29" s="50"/>
      <c r="Q29" s="50"/>
    </row>
    <row r="30" spans="1:17" ht="15" customHeight="1" x14ac:dyDescent="0.3">
      <c r="A30" s="63" t="s">
        <v>2561</v>
      </c>
      <c r="B30" s="64"/>
      <c r="C30" s="66">
        <f>C27/C29</f>
        <v>125.75449573724487</v>
      </c>
      <c r="D30" s="3"/>
      <c r="E30" s="3"/>
      <c r="F30" s="3"/>
      <c r="G30" s="3"/>
      <c r="H30" s="3"/>
      <c r="I30" s="3"/>
      <c r="J30" s="3"/>
      <c r="K30" s="3"/>
      <c r="L30" s="3"/>
      <c r="M30" s="50"/>
      <c r="N30" s="50"/>
      <c r="O30" s="50"/>
      <c r="P30" s="50"/>
      <c r="Q30" s="50"/>
    </row>
    <row r="31" spans="1:17" ht="15" customHeight="1" x14ac:dyDescent="0.3"/>
    <row r="32" spans="1:17" ht="14.25" customHeight="1" x14ac:dyDescent="0.3">
      <c r="A32" s="155" t="s">
        <v>2562</v>
      </c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</row>
  </sheetData>
  <mergeCells count="1">
    <mergeCell ref="A32:Q3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9"/>
  <sheetViews>
    <sheetView showGridLines="0" zoomScaleNormal="100" workbookViewId="0">
      <selection activeCell="B6" sqref="B6"/>
    </sheetView>
  </sheetViews>
  <sheetFormatPr defaultColWidth="8.6640625" defaultRowHeight="14.4" x14ac:dyDescent="0.3"/>
  <cols>
    <col min="1" max="1" width="52" style="1" customWidth="1"/>
    <col min="2" max="7" width="16" style="1" customWidth="1"/>
  </cols>
  <sheetData>
    <row r="1" spans="1:7" ht="27.75" customHeight="1" x14ac:dyDescent="0.3">
      <c r="A1" s="347" t="s">
        <v>0</v>
      </c>
      <c r="B1" s="347"/>
      <c r="C1" s="347"/>
      <c r="D1" s="347"/>
      <c r="E1" s="347"/>
      <c r="F1" s="347"/>
      <c r="G1" s="347"/>
    </row>
    <row r="2" spans="1:7" ht="21.75" customHeight="1" x14ac:dyDescent="0.3">
      <c r="A2" s="347" t="s">
        <v>2466</v>
      </c>
      <c r="B2" s="347"/>
      <c r="C2" s="347"/>
      <c r="D2" s="347"/>
      <c r="E2" s="347"/>
      <c r="F2" s="347"/>
      <c r="G2" s="347"/>
    </row>
    <row r="3" spans="1:7" s="49" customFormat="1" ht="36" customHeight="1" x14ac:dyDescent="0.3">
      <c r="A3" s="344" t="s">
        <v>277</v>
      </c>
      <c r="B3" s="344" t="s">
        <v>278</v>
      </c>
      <c r="C3" s="344" t="s">
        <v>279</v>
      </c>
      <c r="D3" s="344" t="s">
        <v>280</v>
      </c>
      <c r="E3" s="345" t="s">
        <v>2467</v>
      </c>
      <c r="F3" s="344" t="s">
        <v>282</v>
      </c>
      <c r="G3" s="344" t="s">
        <v>283</v>
      </c>
    </row>
    <row r="4" spans="1:7" ht="18" customHeight="1" x14ac:dyDescent="0.3">
      <c r="A4" s="346" t="s">
        <v>2468</v>
      </c>
      <c r="B4" s="346"/>
      <c r="C4" s="346"/>
      <c r="D4" s="346"/>
      <c r="E4" s="346"/>
      <c r="F4" s="346"/>
      <c r="G4" s="346"/>
    </row>
    <row r="5" spans="1:7" ht="15.75" customHeight="1" x14ac:dyDescent="0.3">
      <c r="A5" s="253" t="s">
        <v>2469</v>
      </c>
      <c r="B5" s="253"/>
      <c r="C5" s="253"/>
      <c r="D5" s="253"/>
      <c r="E5" s="253"/>
      <c r="F5" s="253"/>
      <c r="G5" s="253"/>
    </row>
    <row r="6" spans="1:7" ht="15.75" customHeight="1" x14ac:dyDescent="0.3">
      <c r="A6" s="254" t="s">
        <v>2470</v>
      </c>
      <c r="B6" s="255">
        <v>12605.99</v>
      </c>
      <c r="C6" s="255">
        <v>11885.36</v>
      </c>
      <c r="D6" s="255">
        <v>13661.89</v>
      </c>
      <c r="E6" s="255">
        <v>14729.35</v>
      </c>
      <c r="F6" s="255">
        <v>19956.669999999998</v>
      </c>
      <c r="G6" s="255">
        <v>24656.29</v>
      </c>
    </row>
    <row r="7" spans="1:7" ht="15.75" customHeight="1" x14ac:dyDescent="0.3">
      <c r="A7" s="254" t="s">
        <v>2471</v>
      </c>
      <c r="B7" s="256" t="s">
        <v>287</v>
      </c>
      <c r="C7" s="255">
        <v>503.87</v>
      </c>
      <c r="D7" s="255">
        <v>497.87</v>
      </c>
      <c r="E7" s="255">
        <v>588.15</v>
      </c>
      <c r="F7" s="255">
        <v>758.34</v>
      </c>
      <c r="G7" s="255">
        <v>1464.76</v>
      </c>
    </row>
    <row r="8" spans="1:7" ht="15.75" customHeight="1" x14ac:dyDescent="0.3">
      <c r="A8" s="254" t="s">
        <v>2472</v>
      </c>
      <c r="B8" s="255">
        <v>1554.43</v>
      </c>
      <c r="C8" s="255">
        <v>2421.85</v>
      </c>
      <c r="D8" s="255">
        <v>2196.38</v>
      </c>
      <c r="E8" s="255">
        <v>2525.87</v>
      </c>
      <c r="F8" s="255">
        <v>2658.45</v>
      </c>
      <c r="G8" s="255">
        <v>9820.4</v>
      </c>
    </row>
    <row r="9" spans="1:7" ht="15.75" customHeight="1" x14ac:dyDescent="0.3">
      <c r="A9" s="254" t="s">
        <v>2473</v>
      </c>
      <c r="B9" s="255">
        <v>7881.49</v>
      </c>
      <c r="C9" s="255">
        <v>7876.11</v>
      </c>
      <c r="D9" s="255">
        <v>7869.69</v>
      </c>
      <c r="E9" s="255">
        <v>7869.69</v>
      </c>
      <c r="F9" s="255">
        <v>8219.27</v>
      </c>
      <c r="G9" s="255">
        <v>10856.07</v>
      </c>
    </row>
    <row r="10" spans="1:7" ht="15.75" customHeight="1" x14ac:dyDescent="0.3">
      <c r="A10" s="254" t="s">
        <v>2474</v>
      </c>
      <c r="B10" s="255">
        <v>213.86</v>
      </c>
      <c r="C10" s="255">
        <v>220.63</v>
      </c>
      <c r="D10" s="255">
        <v>224.11</v>
      </c>
      <c r="E10" s="255">
        <v>364.3</v>
      </c>
      <c r="F10" s="255">
        <v>3454.19</v>
      </c>
      <c r="G10" s="255">
        <v>5600.63</v>
      </c>
    </row>
    <row r="11" spans="1:7" ht="15.75" customHeight="1" x14ac:dyDescent="0.3">
      <c r="A11" s="254" t="s">
        <v>2475</v>
      </c>
      <c r="B11" s="256" t="s">
        <v>287</v>
      </c>
      <c r="C11" s="256" t="s">
        <v>287</v>
      </c>
      <c r="D11" s="256" t="s">
        <v>287</v>
      </c>
      <c r="E11" s="256" t="s">
        <v>287</v>
      </c>
      <c r="F11" s="256" t="s">
        <v>287</v>
      </c>
      <c r="G11" s="255">
        <v>65.31</v>
      </c>
    </row>
    <row r="12" spans="1:7" ht="15.75" customHeight="1" x14ac:dyDescent="0.3">
      <c r="A12" s="254" t="s">
        <v>2476</v>
      </c>
      <c r="B12" s="255">
        <v>145.87</v>
      </c>
      <c r="C12" s="255">
        <v>154.6</v>
      </c>
      <c r="D12" s="255">
        <v>170.51</v>
      </c>
      <c r="E12" s="255">
        <v>186.05</v>
      </c>
      <c r="F12" s="255">
        <v>62.26</v>
      </c>
      <c r="G12" s="255">
        <v>60.39</v>
      </c>
    </row>
    <row r="13" spans="1:7" ht="15.75" customHeight="1" x14ac:dyDescent="0.3">
      <c r="A13" s="257" t="s">
        <v>2477</v>
      </c>
      <c r="B13" s="258" t="s">
        <v>287</v>
      </c>
      <c r="C13" s="258" t="s">
        <v>287</v>
      </c>
      <c r="D13" s="258" t="s">
        <v>287</v>
      </c>
      <c r="E13" s="258" t="s">
        <v>287</v>
      </c>
      <c r="F13" s="258" t="s">
        <v>287</v>
      </c>
      <c r="G13" s="258" t="s">
        <v>287</v>
      </c>
    </row>
    <row r="14" spans="1:7" ht="15.75" customHeight="1" x14ac:dyDescent="0.3">
      <c r="A14" s="254" t="s">
        <v>2478</v>
      </c>
      <c r="B14" s="255">
        <v>3.7</v>
      </c>
      <c r="C14" s="255">
        <v>12.7</v>
      </c>
      <c r="D14" s="255">
        <v>27.6</v>
      </c>
      <c r="E14" s="255">
        <v>27.6</v>
      </c>
      <c r="F14" s="255">
        <v>27.6</v>
      </c>
      <c r="G14" s="255">
        <v>28.96</v>
      </c>
    </row>
    <row r="15" spans="1:7" ht="15.75" customHeight="1" x14ac:dyDescent="0.3">
      <c r="A15" s="254" t="s">
        <v>2479</v>
      </c>
      <c r="B15" s="255">
        <v>208.63</v>
      </c>
      <c r="C15" s="255">
        <v>212.28</v>
      </c>
      <c r="D15" s="255">
        <v>11.56</v>
      </c>
      <c r="E15" s="255">
        <v>9.89</v>
      </c>
      <c r="F15" s="255">
        <v>11.58</v>
      </c>
      <c r="G15" s="255">
        <v>4.95</v>
      </c>
    </row>
    <row r="16" spans="1:7" ht="15.75" customHeight="1" x14ac:dyDescent="0.3">
      <c r="A16" s="254" t="s">
        <v>2480</v>
      </c>
      <c r="B16" s="255">
        <v>841.68</v>
      </c>
      <c r="C16" s="255">
        <v>1184.0899999999999</v>
      </c>
      <c r="D16" s="255">
        <v>1255.1199999999999</v>
      </c>
      <c r="E16" s="255">
        <v>3133.72</v>
      </c>
      <c r="F16" s="255">
        <v>1167.3900000000001</v>
      </c>
      <c r="G16" s="255">
        <v>3721.7</v>
      </c>
    </row>
    <row r="17" spans="1:7" ht="15.75" customHeight="1" x14ac:dyDescent="0.3">
      <c r="A17" s="254" t="s">
        <v>2481</v>
      </c>
      <c r="B17" s="255">
        <v>1041.99</v>
      </c>
      <c r="C17" s="255">
        <v>1100.29</v>
      </c>
      <c r="D17" s="255">
        <v>1125.8599999999999</v>
      </c>
      <c r="E17" s="255">
        <v>1128.08</v>
      </c>
      <c r="F17" s="255">
        <v>1250.3599999999999</v>
      </c>
      <c r="G17" s="255">
        <v>1748.48</v>
      </c>
    </row>
    <row r="18" spans="1:7" ht="15.75" customHeight="1" x14ac:dyDescent="0.3">
      <c r="A18" s="254" t="s">
        <v>2482</v>
      </c>
      <c r="B18" s="255">
        <v>4.16</v>
      </c>
      <c r="C18" s="255">
        <v>2.91</v>
      </c>
      <c r="D18" s="255">
        <v>2.91</v>
      </c>
      <c r="E18" s="256" t="s">
        <v>287</v>
      </c>
      <c r="F18" s="255">
        <v>36.94</v>
      </c>
      <c r="G18" s="255">
        <v>4.37</v>
      </c>
    </row>
    <row r="19" spans="1:7" ht="15.75" customHeight="1" x14ac:dyDescent="0.3">
      <c r="A19" s="254" t="s">
        <v>2483</v>
      </c>
      <c r="B19" s="255">
        <v>1361.53</v>
      </c>
      <c r="C19" s="255">
        <v>1341.18</v>
      </c>
      <c r="D19" s="255">
        <v>1141.3599999999999</v>
      </c>
      <c r="E19" s="255">
        <v>1909.39</v>
      </c>
      <c r="F19" s="255">
        <v>2842.6</v>
      </c>
      <c r="G19" s="255">
        <v>3195.95</v>
      </c>
    </row>
    <row r="20" spans="1:7" ht="15.75" customHeight="1" x14ac:dyDescent="0.3">
      <c r="A20" s="259" t="s">
        <v>2484</v>
      </c>
      <c r="B20" s="226">
        <v>25863.33</v>
      </c>
      <c r="C20" s="226">
        <v>26915.87</v>
      </c>
      <c r="D20" s="226">
        <v>28184.86</v>
      </c>
      <c r="E20" s="226">
        <v>32472.09</v>
      </c>
      <c r="F20" s="226">
        <v>40445.65</v>
      </c>
      <c r="G20" s="226">
        <v>61228.26</v>
      </c>
    </row>
    <row r="21" spans="1:7" ht="15.75" customHeight="1" x14ac:dyDescent="0.3">
      <c r="A21" s="253" t="s">
        <v>2485</v>
      </c>
      <c r="B21" s="253"/>
      <c r="C21" s="253"/>
      <c r="D21" s="253"/>
      <c r="E21" s="253"/>
      <c r="F21" s="253"/>
      <c r="G21" s="253"/>
    </row>
    <row r="22" spans="1:7" ht="15.75" customHeight="1" x14ac:dyDescent="0.3">
      <c r="A22" s="254" t="s">
        <v>2486</v>
      </c>
      <c r="B22" s="255">
        <v>2096.5</v>
      </c>
      <c r="C22" s="255">
        <v>1648.58</v>
      </c>
      <c r="D22" s="255">
        <v>2738.04</v>
      </c>
      <c r="E22" s="255">
        <v>3272.79</v>
      </c>
      <c r="F22" s="255">
        <v>3608.55</v>
      </c>
      <c r="G22" s="255">
        <v>4248.01</v>
      </c>
    </row>
    <row r="23" spans="1:7" ht="15.75" customHeight="1" x14ac:dyDescent="0.3">
      <c r="A23" s="257" t="s">
        <v>2487</v>
      </c>
      <c r="B23" s="258" t="s">
        <v>287</v>
      </c>
      <c r="C23" s="258" t="s">
        <v>287</v>
      </c>
      <c r="D23" s="258" t="s">
        <v>287</v>
      </c>
      <c r="E23" s="258" t="s">
        <v>287</v>
      </c>
      <c r="F23" s="258" t="s">
        <v>287</v>
      </c>
      <c r="G23" s="258" t="s">
        <v>287</v>
      </c>
    </row>
    <row r="24" spans="1:7" ht="15.75" customHeight="1" x14ac:dyDescent="0.3">
      <c r="A24" s="254" t="s">
        <v>2478</v>
      </c>
      <c r="B24" s="256" t="s">
        <v>287</v>
      </c>
      <c r="C24" s="256" t="s">
        <v>287</v>
      </c>
      <c r="D24" s="256" t="s">
        <v>287</v>
      </c>
      <c r="E24" s="256" t="s">
        <v>287</v>
      </c>
      <c r="F24" s="255">
        <v>758.69</v>
      </c>
      <c r="G24" s="255">
        <v>1822.16</v>
      </c>
    </row>
    <row r="25" spans="1:7" ht="15.75" customHeight="1" x14ac:dyDescent="0.3">
      <c r="A25" s="254" t="s">
        <v>2488</v>
      </c>
      <c r="B25" s="255">
        <v>1068.56</v>
      </c>
      <c r="C25" s="255">
        <v>561.13</v>
      </c>
      <c r="D25" s="255">
        <v>645.83000000000004</v>
      </c>
      <c r="E25" s="255">
        <v>1154.3599999999999</v>
      </c>
      <c r="F25" s="255">
        <v>1213.1400000000001</v>
      </c>
      <c r="G25" s="255">
        <v>1590.3</v>
      </c>
    </row>
    <row r="26" spans="1:7" ht="15.75" customHeight="1" x14ac:dyDescent="0.3">
      <c r="A26" s="254" t="s">
        <v>2489</v>
      </c>
      <c r="B26" s="255">
        <v>9011.8799999999992</v>
      </c>
      <c r="C26" s="255">
        <v>8571.56</v>
      </c>
      <c r="D26" s="255">
        <v>11358.49</v>
      </c>
      <c r="E26" s="255">
        <v>543.87</v>
      </c>
      <c r="F26" s="255">
        <v>3007.1</v>
      </c>
      <c r="G26" s="255">
        <v>5043.32</v>
      </c>
    </row>
    <row r="27" spans="1:7" ht="15.75" customHeight="1" x14ac:dyDescent="0.3">
      <c r="A27" s="254" t="s">
        <v>2490</v>
      </c>
      <c r="B27" s="255">
        <v>342.67</v>
      </c>
      <c r="C27" s="255">
        <v>364.07</v>
      </c>
      <c r="D27" s="255">
        <v>335.8</v>
      </c>
      <c r="E27" s="255">
        <v>2417.17</v>
      </c>
      <c r="F27" s="255">
        <v>8061.77</v>
      </c>
      <c r="G27" s="255">
        <v>1128.8399999999999</v>
      </c>
    </row>
    <row r="28" spans="1:7" ht="15.75" customHeight="1" x14ac:dyDescent="0.3">
      <c r="A28" s="254" t="s">
        <v>2491</v>
      </c>
      <c r="B28" s="255">
        <v>32.28</v>
      </c>
      <c r="C28" s="255">
        <v>62.06</v>
      </c>
      <c r="D28" s="255">
        <v>9.91</v>
      </c>
      <c r="E28" s="255">
        <v>8.61</v>
      </c>
      <c r="F28" s="255">
        <v>6.24</v>
      </c>
      <c r="G28" s="255">
        <v>7.7</v>
      </c>
    </row>
    <row r="29" spans="1:7" ht="15.75" customHeight="1" x14ac:dyDescent="0.3">
      <c r="A29" s="254" t="s">
        <v>2492</v>
      </c>
      <c r="B29" s="255">
        <v>496.62</v>
      </c>
      <c r="C29" s="255">
        <v>346.35</v>
      </c>
      <c r="D29" s="255">
        <v>474.25</v>
      </c>
      <c r="E29" s="255">
        <v>7901.58</v>
      </c>
      <c r="F29" s="255">
        <v>5715</v>
      </c>
      <c r="G29" s="255">
        <v>1888.24</v>
      </c>
    </row>
    <row r="30" spans="1:7" ht="15.75" customHeight="1" x14ac:dyDescent="0.3">
      <c r="A30" s="254" t="s">
        <v>2493</v>
      </c>
      <c r="B30" s="256" t="s">
        <v>287</v>
      </c>
      <c r="C30" s="255">
        <v>71.260000000000005</v>
      </c>
      <c r="D30" s="256" t="s">
        <v>287</v>
      </c>
      <c r="E30" s="256" t="s">
        <v>287</v>
      </c>
      <c r="F30" s="256" t="s">
        <v>287</v>
      </c>
      <c r="G30" s="255">
        <v>16.18</v>
      </c>
    </row>
    <row r="31" spans="1:7" ht="15.75" customHeight="1" x14ac:dyDescent="0.3">
      <c r="A31" s="254" t="s">
        <v>2494</v>
      </c>
      <c r="B31" s="255">
        <v>1235.25</v>
      </c>
      <c r="C31" s="255">
        <v>1153.69</v>
      </c>
      <c r="D31" s="255">
        <v>1434.66</v>
      </c>
      <c r="E31" s="255">
        <v>3948.86</v>
      </c>
      <c r="F31" s="255">
        <v>2459.7399999999998</v>
      </c>
      <c r="G31" s="255">
        <v>3965.63</v>
      </c>
    </row>
    <row r="32" spans="1:7" ht="15.75" customHeight="1" x14ac:dyDescent="0.3">
      <c r="A32" s="259" t="s">
        <v>300</v>
      </c>
      <c r="B32" s="260">
        <v>14283.76</v>
      </c>
      <c r="C32" s="260">
        <v>12778.7</v>
      </c>
      <c r="D32" s="260">
        <v>16996.98</v>
      </c>
      <c r="E32" s="260">
        <v>19247.240000000002</v>
      </c>
      <c r="F32" s="260">
        <v>24830.23</v>
      </c>
      <c r="G32" s="260">
        <v>19710.38</v>
      </c>
    </row>
    <row r="33" spans="1:7" ht="15.75" customHeight="1" x14ac:dyDescent="0.3">
      <c r="A33" s="254" t="s">
        <v>2495</v>
      </c>
      <c r="B33" s="255">
        <v>35.25</v>
      </c>
      <c r="C33" s="255">
        <v>26.13</v>
      </c>
      <c r="D33" s="255">
        <v>25.44</v>
      </c>
      <c r="E33" s="255">
        <v>2.13</v>
      </c>
      <c r="F33" s="255">
        <v>21.93</v>
      </c>
      <c r="G33" s="255">
        <v>6.77</v>
      </c>
    </row>
    <row r="34" spans="1:7" ht="15.75" customHeight="1" x14ac:dyDescent="0.3">
      <c r="A34" s="259" t="s">
        <v>2496</v>
      </c>
      <c r="B34" s="226">
        <v>14319.01</v>
      </c>
      <c r="C34" s="226">
        <v>12804.83</v>
      </c>
      <c r="D34" s="226">
        <v>17022.419999999998</v>
      </c>
      <c r="E34" s="226">
        <v>19249.37</v>
      </c>
      <c r="F34" s="226">
        <v>24852.16</v>
      </c>
      <c r="G34" s="226">
        <v>19717.150000000001</v>
      </c>
    </row>
    <row r="35" spans="1:7" ht="15.75" customHeight="1" x14ac:dyDescent="0.3">
      <c r="A35" s="261" t="s">
        <v>2497</v>
      </c>
      <c r="B35" s="228">
        <v>40182.339999999997</v>
      </c>
      <c r="C35" s="228">
        <v>39720.699999999997</v>
      </c>
      <c r="D35" s="228">
        <v>45207.28</v>
      </c>
      <c r="E35" s="228">
        <v>51721.46</v>
      </c>
      <c r="F35" s="228">
        <v>65297.81</v>
      </c>
      <c r="G35" s="228">
        <v>80945.41</v>
      </c>
    </row>
    <row r="36" spans="1:7" ht="18" customHeight="1" x14ac:dyDescent="0.3">
      <c r="A36" s="262" t="s">
        <v>2498</v>
      </c>
      <c r="B36" s="262"/>
      <c r="C36" s="262"/>
      <c r="D36" s="262"/>
      <c r="E36" s="262"/>
      <c r="F36" s="262"/>
      <c r="G36" s="262"/>
    </row>
    <row r="37" spans="1:7" ht="15.75" customHeight="1" x14ac:dyDescent="0.3">
      <c r="A37" s="257" t="s">
        <v>363</v>
      </c>
      <c r="B37" s="258" t="s">
        <v>287</v>
      </c>
      <c r="C37" s="258" t="s">
        <v>287</v>
      </c>
      <c r="D37" s="258" t="s">
        <v>287</v>
      </c>
      <c r="E37" s="258" t="s">
        <v>287</v>
      </c>
      <c r="F37" s="258" t="s">
        <v>287</v>
      </c>
      <c r="G37" s="258" t="s">
        <v>287</v>
      </c>
    </row>
    <row r="38" spans="1:7" ht="15.75" customHeight="1" x14ac:dyDescent="0.3">
      <c r="A38" s="254" t="s">
        <v>2499</v>
      </c>
      <c r="B38" s="255">
        <v>397.13</v>
      </c>
      <c r="C38" s="255">
        <v>397.13</v>
      </c>
      <c r="D38" s="255">
        <v>397.13</v>
      </c>
      <c r="E38" s="255">
        <v>397.13</v>
      </c>
      <c r="F38" s="255">
        <v>439.54</v>
      </c>
      <c r="G38" s="255">
        <v>492.62</v>
      </c>
    </row>
    <row r="39" spans="1:7" ht="15.75" customHeight="1" x14ac:dyDescent="0.3">
      <c r="A39" s="254" t="s">
        <v>2500</v>
      </c>
      <c r="B39" s="255">
        <v>23680.86</v>
      </c>
      <c r="C39" s="255">
        <v>22360.47</v>
      </c>
      <c r="D39" s="255">
        <v>24956.61</v>
      </c>
      <c r="E39" s="255">
        <v>26301.040000000001</v>
      </c>
      <c r="F39" s="255">
        <v>38235.870000000003</v>
      </c>
      <c r="G39" s="255">
        <v>52950.63</v>
      </c>
    </row>
    <row r="40" spans="1:7" ht="15.75" customHeight="1" x14ac:dyDescent="0.3">
      <c r="A40" s="254" t="s">
        <v>2501</v>
      </c>
      <c r="B40" s="256" t="s">
        <v>287</v>
      </c>
      <c r="C40" s="256" t="s">
        <v>287</v>
      </c>
      <c r="D40" s="256" t="s">
        <v>287</v>
      </c>
      <c r="E40" s="255">
        <v>5000.03</v>
      </c>
      <c r="F40" s="255">
        <v>2779.65</v>
      </c>
      <c r="G40" s="256" t="s">
        <v>287</v>
      </c>
    </row>
    <row r="41" spans="1:7" ht="15.75" customHeight="1" x14ac:dyDescent="0.3">
      <c r="A41" s="259" t="s">
        <v>2502</v>
      </c>
      <c r="B41" s="226">
        <v>24077.99</v>
      </c>
      <c r="C41" s="226">
        <v>22757.599999999999</v>
      </c>
      <c r="D41" s="226">
        <v>25353.74</v>
      </c>
      <c r="E41" s="226">
        <v>31698.2</v>
      </c>
      <c r="F41" s="226">
        <v>41455.06</v>
      </c>
      <c r="G41" s="226">
        <v>53443.25</v>
      </c>
    </row>
    <row r="42" spans="1:7" ht="15.75" customHeight="1" x14ac:dyDescent="0.3">
      <c r="A42" s="254" t="s">
        <v>2503</v>
      </c>
      <c r="B42" s="255">
        <v>5736.76</v>
      </c>
      <c r="C42" s="255">
        <v>6340.89</v>
      </c>
      <c r="D42" s="255">
        <v>7145.03</v>
      </c>
      <c r="E42" s="255">
        <v>7058.35</v>
      </c>
      <c r="F42" s="255">
        <v>9390.84</v>
      </c>
      <c r="G42" s="255">
        <v>10368.17</v>
      </c>
    </row>
    <row r="43" spans="1:7" ht="15.75" customHeight="1" x14ac:dyDescent="0.3">
      <c r="A43" s="259" t="s">
        <v>335</v>
      </c>
      <c r="B43" s="226">
        <v>29814.75</v>
      </c>
      <c r="C43" s="226">
        <v>29098.49</v>
      </c>
      <c r="D43" s="226">
        <v>32498.77</v>
      </c>
      <c r="E43" s="226">
        <v>38756.550000000003</v>
      </c>
      <c r="F43" s="226">
        <v>50845.9</v>
      </c>
      <c r="G43" s="226">
        <v>63811.42</v>
      </c>
    </row>
    <row r="44" spans="1:7" ht="15.75" customHeight="1" x14ac:dyDescent="0.3">
      <c r="A44" s="257" t="s">
        <v>2504</v>
      </c>
      <c r="B44" s="258" t="s">
        <v>287</v>
      </c>
      <c r="C44" s="258" t="s">
        <v>287</v>
      </c>
      <c r="D44" s="258" t="s">
        <v>287</v>
      </c>
      <c r="E44" s="258" t="s">
        <v>287</v>
      </c>
      <c r="F44" s="258" t="s">
        <v>287</v>
      </c>
      <c r="G44" s="258" t="s">
        <v>287</v>
      </c>
    </row>
    <row r="45" spans="1:7" ht="15.75" customHeight="1" x14ac:dyDescent="0.3">
      <c r="A45" s="253" t="s">
        <v>2505</v>
      </c>
      <c r="B45" s="253"/>
      <c r="C45" s="253"/>
      <c r="D45" s="253"/>
      <c r="E45" s="253"/>
      <c r="F45" s="253"/>
      <c r="G45" s="253"/>
    </row>
    <row r="46" spans="1:7" ht="15.75" customHeight="1" x14ac:dyDescent="0.3">
      <c r="A46" s="257" t="s">
        <v>2506</v>
      </c>
      <c r="B46" s="258" t="s">
        <v>287</v>
      </c>
      <c r="C46" s="258" t="s">
        <v>287</v>
      </c>
      <c r="D46" s="258" t="s">
        <v>287</v>
      </c>
      <c r="E46" s="258" t="s">
        <v>287</v>
      </c>
      <c r="F46" s="258" t="s">
        <v>287</v>
      </c>
      <c r="G46" s="258" t="s">
        <v>287</v>
      </c>
    </row>
    <row r="47" spans="1:7" ht="15.75" customHeight="1" x14ac:dyDescent="0.3">
      <c r="A47" s="254" t="s">
        <v>2507</v>
      </c>
      <c r="B47" s="255">
        <v>35.28</v>
      </c>
      <c r="C47" s="255">
        <v>43.6</v>
      </c>
      <c r="D47" s="255">
        <v>43.5</v>
      </c>
      <c r="E47" s="255">
        <v>34.22</v>
      </c>
      <c r="F47" s="255">
        <v>18.91</v>
      </c>
      <c r="G47" s="255">
        <v>14.39</v>
      </c>
    </row>
    <row r="48" spans="1:7" ht="15.75" customHeight="1" x14ac:dyDescent="0.3">
      <c r="A48" s="254" t="s">
        <v>2508</v>
      </c>
      <c r="B48" s="256" t="s">
        <v>287</v>
      </c>
      <c r="C48" s="255">
        <v>380.75</v>
      </c>
      <c r="D48" s="255">
        <v>362.52</v>
      </c>
      <c r="E48" s="255">
        <v>414.5</v>
      </c>
      <c r="F48" s="255">
        <v>499.05</v>
      </c>
      <c r="G48" s="255">
        <v>457.54</v>
      </c>
    </row>
    <row r="49" spans="1:7" ht="15.75" customHeight="1" x14ac:dyDescent="0.3">
      <c r="A49" s="254" t="s">
        <v>2509</v>
      </c>
      <c r="B49" s="255">
        <v>0.62</v>
      </c>
      <c r="C49" s="255">
        <v>0.13</v>
      </c>
      <c r="D49" s="255">
        <v>0.13</v>
      </c>
      <c r="E49" s="256" t="s">
        <v>287</v>
      </c>
      <c r="F49" s="256" t="s">
        <v>287</v>
      </c>
      <c r="G49" s="256" t="s">
        <v>287</v>
      </c>
    </row>
    <row r="50" spans="1:7" ht="15.75" customHeight="1" x14ac:dyDescent="0.3">
      <c r="A50" s="254" t="s">
        <v>2510</v>
      </c>
      <c r="B50" s="255">
        <v>288.82</v>
      </c>
      <c r="C50" s="255">
        <v>271.41000000000003</v>
      </c>
      <c r="D50" s="255">
        <v>281.54000000000002</v>
      </c>
      <c r="E50" s="255">
        <v>264.88</v>
      </c>
      <c r="F50" s="255">
        <v>255.97</v>
      </c>
      <c r="G50" s="255">
        <v>254.08</v>
      </c>
    </row>
    <row r="51" spans="1:7" ht="15.75" customHeight="1" x14ac:dyDescent="0.3">
      <c r="A51" s="254" t="s">
        <v>2511</v>
      </c>
      <c r="B51" s="255">
        <v>936.73</v>
      </c>
      <c r="C51" s="255">
        <v>626</v>
      </c>
      <c r="D51" s="255">
        <v>756.19</v>
      </c>
      <c r="E51" s="255">
        <v>700.37</v>
      </c>
      <c r="F51" s="255">
        <v>1549.1</v>
      </c>
      <c r="G51" s="255">
        <v>2407.5700000000002</v>
      </c>
    </row>
    <row r="52" spans="1:7" ht="15.75" customHeight="1" x14ac:dyDescent="0.3">
      <c r="A52" s="254" t="s">
        <v>2512</v>
      </c>
      <c r="B52" s="255">
        <v>35.83</v>
      </c>
      <c r="C52" s="255">
        <v>40.049999999999997</v>
      </c>
      <c r="D52" s="255">
        <v>36.74</v>
      </c>
      <c r="E52" s="255">
        <v>37.270000000000003</v>
      </c>
      <c r="F52" s="256" t="s">
        <v>287</v>
      </c>
      <c r="G52" s="255">
        <v>155.15</v>
      </c>
    </row>
    <row r="53" spans="1:7" ht="15.75" customHeight="1" x14ac:dyDescent="0.3">
      <c r="A53" s="259" t="s">
        <v>2513</v>
      </c>
      <c r="B53" s="226">
        <v>1297.28</v>
      </c>
      <c r="C53" s="226">
        <v>1361.81</v>
      </c>
      <c r="D53" s="226">
        <v>1480.62</v>
      </c>
      <c r="E53" s="226">
        <v>1451.24</v>
      </c>
      <c r="F53" s="226">
        <v>2323.0300000000002</v>
      </c>
      <c r="G53" s="226">
        <v>3288.73</v>
      </c>
    </row>
    <row r="54" spans="1:7" ht="15.75" customHeight="1" x14ac:dyDescent="0.3">
      <c r="A54" s="253" t="s">
        <v>2514</v>
      </c>
      <c r="B54" s="253"/>
      <c r="C54" s="253"/>
      <c r="D54" s="253"/>
      <c r="E54" s="253"/>
      <c r="F54" s="253"/>
      <c r="G54" s="253"/>
    </row>
    <row r="55" spans="1:7" ht="15.75" customHeight="1" x14ac:dyDescent="0.3">
      <c r="A55" s="257" t="s">
        <v>2506</v>
      </c>
      <c r="B55" s="258" t="s">
        <v>287</v>
      </c>
      <c r="C55" s="258" t="s">
        <v>287</v>
      </c>
      <c r="D55" s="258" t="s">
        <v>287</v>
      </c>
      <c r="E55" s="258" t="s">
        <v>287</v>
      </c>
      <c r="F55" s="258" t="s">
        <v>287</v>
      </c>
      <c r="G55" s="258" t="s">
        <v>287</v>
      </c>
    </row>
    <row r="56" spans="1:7" ht="15.75" customHeight="1" x14ac:dyDescent="0.3">
      <c r="A56" s="254" t="s">
        <v>2507</v>
      </c>
      <c r="B56" s="256" t="s">
        <v>287</v>
      </c>
      <c r="C56" s="256" t="s">
        <v>287</v>
      </c>
      <c r="D56" s="256" t="s">
        <v>287</v>
      </c>
      <c r="E56" s="255">
        <v>13.49</v>
      </c>
      <c r="F56" s="255">
        <v>17.87</v>
      </c>
      <c r="G56" s="255">
        <v>12.43</v>
      </c>
    </row>
    <row r="57" spans="1:7" ht="15.75" customHeight="1" x14ac:dyDescent="0.3">
      <c r="A57" s="254" t="s">
        <v>2515</v>
      </c>
      <c r="B57" s="256" t="s">
        <v>287</v>
      </c>
      <c r="C57" s="255">
        <v>46.38</v>
      </c>
      <c r="D57" s="255">
        <v>67.11</v>
      </c>
      <c r="E57" s="255">
        <v>60.52</v>
      </c>
      <c r="F57" s="255">
        <v>163.18</v>
      </c>
      <c r="G57" s="255">
        <v>304.14</v>
      </c>
    </row>
    <row r="58" spans="1:7" ht="15.75" customHeight="1" x14ac:dyDescent="0.3">
      <c r="A58" s="257" t="s">
        <v>2516</v>
      </c>
      <c r="B58" s="258" t="s">
        <v>287</v>
      </c>
      <c r="C58" s="258" t="s">
        <v>287</v>
      </c>
      <c r="D58" s="258" t="s">
        <v>287</v>
      </c>
      <c r="E58" s="258" t="s">
        <v>287</v>
      </c>
      <c r="F58" s="258" t="s">
        <v>287</v>
      </c>
      <c r="G58" s="258" t="s">
        <v>287</v>
      </c>
    </row>
    <row r="59" spans="1:7" ht="15.75" customHeight="1" x14ac:dyDescent="0.3">
      <c r="A59" s="254" t="s">
        <v>2517</v>
      </c>
      <c r="B59" s="255">
        <v>12.37</v>
      </c>
      <c r="C59" s="255">
        <v>8.76</v>
      </c>
      <c r="D59" s="255">
        <v>34.950000000000003</v>
      </c>
      <c r="E59" s="255">
        <v>51.22</v>
      </c>
      <c r="F59" s="255">
        <v>717.42</v>
      </c>
      <c r="G59" s="255">
        <v>472.59</v>
      </c>
    </row>
    <row r="60" spans="1:7" ht="15.75" customHeight="1" x14ac:dyDescent="0.3">
      <c r="A60" s="254" t="s">
        <v>2518</v>
      </c>
      <c r="B60" s="255">
        <v>2320.5100000000002</v>
      </c>
      <c r="C60" s="255">
        <v>2204.65</v>
      </c>
      <c r="D60" s="255">
        <v>2877.87</v>
      </c>
      <c r="E60" s="255">
        <v>2722.69</v>
      </c>
      <c r="F60" s="255">
        <v>2391.33</v>
      </c>
      <c r="G60" s="255">
        <v>2286.87</v>
      </c>
    </row>
    <row r="61" spans="1:7" ht="15.75" customHeight="1" x14ac:dyDescent="0.3">
      <c r="A61" s="254" t="s">
        <v>2509</v>
      </c>
      <c r="B61" s="255">
        <v>1719.63</v>
      </c>
      <c r="C61" s="255">
        <v>1794.06</v>
      </c>
      <c r="D61" s="255">
        <v>2008.86</v>
      </c>
      <c r="E61" s="255">
        <v>2121.13</v>
      </c>
      <c r="F61" s="255">
        <v>2389.52</v>
      </c>
      <c r="G61" s="255">
        <v>4935.99</v>
      </c>
    </row>
    <row r="62" spans="1:7" ht="15.75" customHeight="1" x14ac:dyDescent="0.3">
      <c r="A62" s="254" t="s">
        <v>2519</v>
      </c>
      <c r="B62" s="255">
        <v>3658.72</v>
      </c>
      <c r="C62" s="255">
        <v>3910.9</v>
      </c>
      <c r="D62" s="255">
        <v>4305.87</v>
      </c>
      <c r="E62" s="255">
        <v>4732.7</v>
      </c>
      <c r="F62" s="255">
        <v>3751.65</v>
      </c>
      <c r="G62" s="255">
        <v>3057.19</v>
      </c>
    </row>
    <row r="63" spans="1:7" ht="15.75" customHeight="1" x14ac:dyDescent="0.3">
      <c r="A63" s="254" t="s">
        <v>2520</v>
      </c>
      <c r="B63" s="255">
        <v>109.89</v>
      </c>
      <c r="C63" s="255">
        <v>21.14</v>
      </c>
      <c r="D63" s="255">
        <v>24.64</v>
      </c>
      <c r="E63" s="255">
        <v>14.64</v>
      </c>
      <c r="F63" s="255">
        <v>42.97</v>
      </c>
      <c r="G63" s="255">
        <v>55.09</v>
      </c>
    </row>
    <row r="64" spans="1:7" ht="15.75" customHeight="1" x14ac:dyDescent="0.3">
      <c r="A64" s="254" t="s">
        <v>2521</v>
      </c>
      <c r="B64" s="255">
        <v>1249.19</v>
      </c>
      <c r="C64" s="255">
        <v>1320.89</v>
      </c>
      <c r="D64" s="255">
        <v>1908.59</v>
      </c>
      <c r="E64" s="255">
        <v>1797.28</v>
      </c>
      <c r="F64" s="255">
        <v>2654.94</v>
      </c>
      <c r="G64" s="255">
        <v>2720.96</v>
      </c>
    </row>
    <row r="65" spans="1:7" ht="15.75" customHeight="1" x14ac:dyDescent="0.3">
      <c r="A65" s="259" t="s">
        <v>2522</v>
      </c>
      <c r="B65" s="226">
        <v>9070.31</v>
      </c>
      <c r="C65" s="226">
        <v>9260.4</v>
      </c>
      <c r="D65" s="226">
        <v>11227.89</v>
      </c>
      <c r="E65" s="226">
        <v>11513.67</v>
      </c>
      <c r="F65" s="226">
        <v>12128.88</v>
      </c>
      <c r="G65" s="226">
        <v>13845.26</v>
      </c>
    </row>
    <row r="66" spans="1:7" ht="15.75" customHeight="1" x14ac:dyDescent="0.3">
      <c r="A66" s="259" t="s">
        <v>2523</v>
      </c>
      <c r="B66" s="226">
        <v>10367.59</v>
      </c>
      <c r="C66" s="226">
        <v>10622.21</v>
      </c>
      <c r="D66" s="226">
        <v>12708.51</v>
      </c>
      <c r="E66" s="226">
        <v>12964.91</v>
      </c>
      <c r="F66" s="226">
        <v>14451.91</v>
      </c>
      <c r="G66" s="226">
        <v>17133.990000000002</v>
      </c>
    </row>
    <row r="67" spans="1:7" ht="15.75" customHeight="1" x14ac:dyDescent="0.3">
      <c r="A67" s="261" t="s">
        <v>2524</v>
      </c>
      <c r="B67" s="228">
        <v>40182.339999999997</v>
      </c>
      <c r="C67" s="228">
        <v>39720.699999999997</v>
      </c>
      <c r="D67" s="228">
        <v>45207.28</v>
      </c>
      <c r="E67" s="228">
        <v>51721.46</v>
      </c>
      <c r="F67" s="228">
        <v>65297.81</v>
      </c>
      <c r="G67" s="228">
        <v>80945.41</v>
      </c>
    </row>
    <row r="68" spans="1:7" ht="13.5" customHeight="1" x14ac:dyDescent="0.3">
      <c r="A68" s="157" t="s">
        <v>330</v>
      </c>
      <c r="B68" s="157"/>
      <c r="C68" s="157"/>
      <c r="D68" s="157"/>
      <c r="E68" s="157"/>
      <c r="F68" s="157"/>
      <c r="G68" s="157"/>
    </row>
    <row r="69" spans="1:7" ht="14.25" customHeight="1" x14ac:dyDescent="0.3">
      <c r="A69" s="157" t="s">
        <v>2525</v>
      </c>
      <c r="B69" s="157"/>
      <c r="C69" s="157"/>
      <c r="D69" s="157"/>
      <c r="E69" s="157"/>
      <c r="F69" s="157"/>
      <c r="G69" s="157"/>
    </row>
  </sheetData>
  <mergeCells count="10">
    <mergeCell ref="A36:G36"/>
    <mergeCell ref="A45:G45"/>
    <mergeCell ref="A54:G54"/>
    <mergeCell ref="A68:G68"/>
    <mergeCell ref="A69:G69"/>
    <mergeCell ref="A1:G1"/>
    <mergeCell ref="A2:G2"/>
    <mergeCell ref="A4:G4"/>
    <mergeCell ref="A5:G5"/>
    <mergeCell ref="A21:G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6"/>
  <sheetViews>
    <sheetView showGridLines="0" zoomScaleNormal="100" workbookViewId="0">
      <selection activeCell="A75" sqref="A75:F75"/>
    </sheetView>
  </sheetViews>
  <sheetFormatPr defaultColWidth="8.6640625" defaultRowHeight="14.4" x14ac:dyDescent="0.3"/>
  <cols>
    <col min="1" max="1" width="73.77734375" style="1" customWidth="1"/>
    <col min="2" max="3" width="14" style="1" customWidth="1"/>
    <col min="4" max="4" width="16" style="1" customWidth="1"/>
    <col min="5" max="7" width="14" style="1" customWidth="1"/>
  </cols>
  <sheetData>
    <row r="1" spans="1:7" ht="19.5" customHeight="1" x14ac:dyDescent="0.3">
      <c r="A1" s="335" t="s">
        <v>0</v>
      </c>
      <c r="B1" s="335"/>
      <c r="C1" s="335"/>
      <c r="D1" s="335"/>
      <c r="E1" s="335"/>
      <c r="F1" s="335"/>
    </row>
    <row r="2" spans="1:7" ht="19.5" customHeight="1" x14ac:dyDescent="0.3">
      <c r="A2" s="335" t="s">
        <v>366</v>
      </c>
      <c r="B2" s="335"/>
      <c r="C2" s="335"/>
      <c r="D2" s="335"/>
      <c r="E2" s="335"/>
      <c r="F2" s="335"/>
    </row>
    <row r="3" spans="1:7" ht="14.25" customHeight="1" x14ac:dyDescent="0.3">
      <c r="A3" s="336" t="s">
        <v>276</v>
      </c>
      <c r="B3" s="336"/>
      <c r="C3" s="336"/>
      <c r="D3" s="336"/>
      <c r="E3" s="336"/>
      <c r="F3" s="336"/>
    </row>
    <row r="4" spans="1:7" ht="31.5" customHeight="1" x14ac:dyDescent="0.3">
      <c r="A4" s="337" t="s">
        <v>277</v>
      </c>
      <c r="B4" s="338" t="s">
        <v>279</v>
      </c>
      <c r="C4" s="338" t="s">
        <v>280</v>
      </c>
      <c r="D4" s="338" t="s">
        <v>281</v>
      </c>
      <c r="E4" s="338" t="s">
        <v>282</v>
      </c>
      <c r="F4" s="338" t="s">
        <v>283</v>
      </c>
    </row>
    <row r="5" spans="1:7" ht="18" customHeight="1" x14ac:dyDescent="0.3">
      <c r="A5" s="339" t="s">
        <v>367</v>
      </c>
      <c r="B5" s="340"/>
      <c r="C5" s="340"/>
      <c r="D5" s="340"/>
      <c r="E5" s="340"/>
      <c r="F5" s="340"/>
      <c r="G5" s="10"/>
    </row>
    <row r="6" spans="1:7" ht="18" customHeight="1" x14ac:dyDescent="0.3">
      <c r="A6" s="11" t="s">
        <v>368</v>
      </c>
      <c r="B6" s="12">
        <v>3991.59</v>
      </c>
      <c r="C6" s="12">
        <v>5164.47</v>
      </c>
      <c r="D6" s="12">
        <v>3729.49</v>
      </c>
      <c r="E6" s="12">
        <v>5900.62</v>
      </c>
      <c r="F6" s="12">
        <v>5922.37</v>
      </c>
    </row>
    <row r="7" spans="1:7" ht="18" customHeight="1" x14ac:dyDescent="0.3">
      <c r="A7" s="11" t="s">
        <v>369</v>
      </c>
      <c r="B7" s="9" t="s">
        <v>287</v>
      </c>
      <c r="C7" s="9" t="s">
        <v>287</v>
      </c>
      <c r="D7" s="9" t="s">
        <v>287</v>
      </c>
      <c r="E7" s="9" t="s">
        <v>287</v>
      </c>
      <c r="F7" s="9" t="s">
        <v>287</v>
      </c>
    </row>
    <row r="8" spans="1:7" ht="18" customHeight="1" x14ac:dyDescent="0.3">
      <c r="A8" s="11" t="s">
        <v>370</v>
      </c>
      <c r="B8" s="12">
        <v>1161.78</v>
      </c>
      <c r="C8" s="12">
        <v>1152.49</v>
      </c>
      <c r="D8" s="12">
        <v>1644.67</v>
      </c>
      <c r="E8" s="12">
        <v>1623.38</v>
      </c>
      <c r="F8" s="12">
        <v>2478.34</v>
      </c>
    </row>
    <row r="9" spans="1:7" ht="18" customHeight="1" x14ac:dyDescent="0.3">
      <c r="A9" s="11" t="s">
        <v>371</v>
      </c>
      <c r="B9" s="12">
        <v>176.01</v>
      </c>
      <c r="C9" s="12">
        <v>113.11</v>
      </c>
      <c r="D9" s="12">
        <v>147.13</v>
      </c>
      <c r="E9" s="9" t="s">
        <v>287</v>
      </c>
      <c r="F9" s="9" t="s">
        <v>287</v>
      </c>
    </row>
    <row r="10" spans="1:7" ht="18" customHeight="1" x14ac:dyDescent="0.3">
      <c r="A10" s="11" t="s">
        <v>372</v>
      </c>
      <c r="B10" s="9" t="s">
        <v>287</v>
      </c>
      <c r="C10" s="9" t="s">
        <v>287</v>
      </c>
      <c r="D10" s="9" t="s">
        <v>287</v>
      </c>
      <c r="E10" s="12">
        <v>-211.57</v>
      </c>
      <c r="F10" s="12">
        <v>21.47</v>
      </c>
    </row>
    <row r="11" spans="1:7" ht="18" customHeight="1" x14ac:dyDescent="0.3">
      <c r="A11" s="11" t="s">
        <v>373</v>
      </c>
      <c r="B11" s="12">
        <v>128.91999999999999</v>
      </c>
      <c r="C11" s="9" t="s">
        <v>287</v>
      </c>
      <c r="D11" s="9" t="s">
        <v>287</v>
      </c>
      <c r="E11" s="9" t="s">
        <v>287</v>
      </c>
      <c r="F11" s="9" t="s">
        <v>287</v>
      </c>
    </row>
    <row r="12" spans="1:7" ht="18" customHeight="1" x14ac:dyDescent="0.3">
      <c r="A12" s="11" t="s">
        <v>374</v>
      </c>
      <c r="B12" s="12">
        <v>32.86</v>
      </c>
      <c r="C12" s="12">
        <v>25.27</v>
      </c>
      <c r="D12" s="12">
        <v>-96.09</v>
      </c>
      <c r="E12" s="12">
        <v>-115.81</v>
      </c>
      <c r="F12" s="12">
        <v>-35.79</v>
      </c>
    </row>
    <row r="13" spans="1:7" ht="18" customHeight="1" x14ac:dyDescent="0.3">
      <c r="A13" s="11" t="s">
        <v>375</v>
      </c>
      <c r="B13" s="12">
        <v>0.26</v>
      </c>
      <c r="C13" s="9" t="s">
        <v>287</v>
      </c>
      <c r="D13" s="9" t="s">
        <v>287</v>
      </c>
      <c r="E13" s="9" t="s">
        <v>287</v>
      </c>
      <c r="F13" s="9" t="s">
        <v>287</v>
      </c>
    </row>
    <row r="14" spans="1:7" ht="18" customHeight="1" x14ac:dyDescent="0.3">
      <c r="A14" s="11" t="s">
        <v>376</v>
      </c>
      <c r="B14" s="12">
        <v>-26.65</v>
      </c>
      <c r="C14" s="12">
        <v>-17.8</v>
      </c>
      <c r="D14" s="12">
        <v>-52.25</v>
      </c>
      <c r="E14" s="12">
        <v>-46.31</v>
      </c>
      <c r="F14" s="12">
        <v>-116.72</v>
      </c>
    </row>
    <row r="15" spans="1:7" ht="18" customHeight="1" x14ac:dyDescent="0.3">
      <c r="A15" s="11" t="s">
        <v>377</v>
      </c>
      <c r="B15" s="12">
        <v>-12.91</v>
      </c>
      <c r="C15" s="9" t="s">
        <v>287</v>
      </c>
      <c r="D15" s="12">
        <v>-16.52</v>
      </c>
      <c r="E15" s="9" t="s">
        <v>287</v>
      </c>
      <c r="F15" s="9" t="s">
        <v>287</v>
      </c>
    </row>
    <row r="16" spans="1:7" ht="18" customHeight="1" x14ac:dyDescent="0.3">
      <c r="A16" s="11" t="s">
        <v>378</v>
      </c>
      <c r="B16" s="12">
        <v>-0.47</v>
      </c>
      <c r="C16" s="12">
        <v>-0.37</v>
      </c>
      <c r="D16" s="12">
        <v>-0.21</v>
      </c>
      <c r="E16" s="12">
        <v>-16.760000000000002</v>
      </c>
      <c r="F16" s="12">
        <v>-27.19</v>
      </c>
    </row>
    <row r="17" spans="1:6" ht="18" customHeight="1" x14ac:dyDescent="0.3">
      <c r="A17" s="11" t="s">
        <v>379</v>
      </c>
      <c r="B17" s="12">
        <v>140.22</v>
      </c>
      <c r="C17" s="12">
        <v>142.32</v>
      </c>
      <c r="D17" s="12">
        <v>190.54</v>
      </c>
      <c r="E17" s="12">
        <v>276.38</v>
      </c>
      <c r="F17" s="12">
        <v>215.94</v>
      </c>
    </row>
    <row r="18" spans="1:6" ht="18" customHeight="1" x14ac:dyDescent="0.3">
      <c r="A18" s="11" t="s">
        <v>380</v>
      </c>
      <c r="B18" s="12">
        <v>-401.42</v>
      </c>
      <c r="C18" s="12">
        <v>-302.3</v>
      </c>
      <c r="D18" s="12">
        <v>-538.26</v>
      </c>
      <c r="E18" s="12">
        <v>-936.9</v>
      </c>
      <c r="F18" s="12">
        <v>-2433.91</v>
      </c>
    </row>
    <row r="19" spans="1:6" ht="18" customHeight="1" x14ac:dyDescent="0.3">
      <c r="A19" s="11" t="s">
        <v>381</v>
      </c>
      <c r="B19" s="12">
        <v>25.39</v>
      </c>
      <c r="C19" s="12">
        <v>29.85</v>
      </c>
      <c r="D19" s="12">
        <v>-2.57</v>
      </c>
      <c r="E19" s="12">
        <v>-6.05</v>
      </c>
      <c r="F19" s="12">
        <v>17.559999999999999</v>
      </c>
    </row>
    <row r="20" spans="1:6" ht="18" customHeight="1" x14ac:dyDescent="0.3">
      <c r="A20" s="11" t="s">
        <v>382</v>
      </c>
      <c r="B20" s="12">
        <v>51.48</v>
      </c>
      <c r="C20" s="12">
        <v>-8.7899999999999991</v>
      </c>
      <c r="D20" s="12">
        <v>7.22</v>
      </c>
      <c r="E20" s="12">
        <v>18.8</v>
      </c>
      <c r="F20" s="12">
        <v>9.3699999999999992</v>
      </c>
    </row>
    <row r="21" spans="1:6" ht="18" customHeight="1" x14ac:dyDescent="0.3">
      <c r="A21" s="11" t="s">
        <v>383</v>
      </c>
      <c r="B21" s="12">
        <v>-3.25</v>
      </c>
      <c r="C21" s="12">
        <v>3.34</v>
      </c>
      <c r="D21" s="9" t="s">
        <v>287</v>
      </c>
      <c r="E21" s="9" t="s">
        <v>287</v>
      </c>
      <c r="F21" s="9" t="s">
        <v>287</v>
      </c>
    </row>
    <row r="22" spans="1:6" ht="18" customHeight="1" x14ac:dyDescent="0.3">
      <c r="A22" s="11" t="s">
        <v>384</v>
      </c>
      <c r="B22" s="12">
        <v>8.2899999999999991</v>
      </c>
      <c r="C22" s="12">
        <v>3.36</v>
      </c>
      <c r="D22" s="12">
        <v>37.44</v>
      </c>
      <c r="E22" s="12">
        <v>2.4700000000000002</v>
      </c>
      <c r="F22" s="12">
        <v>6.16</v>
      </c>
    </row>
    <row r="23" spans="1:6" ht="18" customHeight="1" x14ac:dyDescent="0.3">
      <c r="A23" s="11" t="s">
        <v>385</v>
      </c>
      <c r="B23" s="12">
        <v>1.3</v>
      </c>
      <c r="C23" s="12">
        <v>5.92</v>
      </c>
      <c r="D23" s="12">
        <v>-7.31</v>
      </c>
      <c r="E23" s="12">
        <v>5.46</v>
      </c>
      <c r="F23" s="12">
        <v>0.47</v>
      </c>
    </row>
    <row r="24" spans="1:6" ht="18" customHeight="1" x14ac:dyDescent="0.3">
      <c r="A24" s="11" t="s">
        <v>386</v>
      </c>
      <c r="B24" s="12">
        <v>-5.77</v>
      </c>
      <c r="C24" s="9" t="s">
        <v>287</v>
      </c>
      <c r="D24" s="9" t="s">
        <v>287</v>
      </c>
      <c r="E24" s="9" t="s">
        <v>287</v>
      </c>
      <c r="F24" s="9" t="s">
        <v>287</v>
      </c>
    </row>
    <row r="25" spans="1:6" ht="18" customHeight="1" x14ac:dyDescent="0.3">
      <c r="A25" s="11" t="s">
        <v>387</v>
      </c>
      <c r="B25" s="12">
        <v>-11.86</v>
      </c>
      <c r="C25" s="12">
        <v>-18.53</v>
      </c>
      <c r="D25" s="12">
        <v>-46.84</v>
      </c>
      <c r="E25" s="12">
        <v>-110.01</v>
      </c>
      <c r="F25" s="9" t="s">
        <v>287</v>
      </c>
    </row>
    <row r="26" spans="1:6" ht="18" customHeight="1" x14ac:dyDescent="0.3">
      <c r="A26" s="11" t="s">
        <v>388</v>
      </c>
      <c r="B26" s="12">
        <v>3.66</v>
      </c>
      <c r="C26" s="12">
        <v>8.01</v>
      </c>
      <c r="D26" s="12">
        <v>2.94</v>
      </c>
      <c r="E26" s="9" t="s">
        <v>287</v>
      </c>
      <c r="F26" s="9" t="s">
        <v>287</v>
      </c>
    </row>
    <row r="27" spans="1:6" ht="18" customHeight="1" x14ac:dyDescent="0.3">
      <c r="A27" s="11" t="s">
        <v>389</v>
      </c>
      <c r="B27" s="12">
        <v>1.66</v>
      </c>
      <c r="C27" s="12">
        <v>2.4</v>
      </c>
      <c r="D27" s="9" t="s">
        <v>287</v>
      </c>
      <c r="E27" s="9" t="s">
        <v>287</v>
      </c>
      <c r="F27" s="9" t="s">
        <v>287</v>
      </c>
    </row>
    <row r="28" spans="1:6" ht="18" customHeight="1" x14ac:dyDescent="0.3">
      <c r="A28" s="11" t="s">
        <v>390</v>
      </c>
      <c r="B28" s="9" t="s">
        <v>287</v>
      </c>
      <c r="C28" s="12">
        <v>6.42</v>
      </c>
      <c r="D28" s="9" t="s">
        <v>287</v>
      </c>
      <c r="E28" s="9" t="s">
        <v>287</v>
      </c>
      <c r="F28" s="9" t="s">
        <v>287</v>
      </c>
    </row>
    <row r="29" spans="1:6" ht="18" customHeight="1" x14ac:dyDescent="0.3">
      <c r="A29" s="11" t="s">
        <v>391</v>
      </c>
      <c r="B29" s="9" t="s">
        <v>287</v>
      </c>
      <c r="C29" s="12">
        <v>-0.13</v>
      </c>
      <c r="D29" s="9" t="s">
        <v>287</v>
      </c>
      <c r="E29" s="9" t="s">
        <v>287</v>
      </c>
      <c r="F29" s="9" t="s">
        <v>287</v>
      </c>
    </row>
    <row r="30" spans="1:6" ht="18" customHeight="1" x14ac:dyDescent="0.3">
      <c r="A30" s="11" t="s">
        <v>392</v>
      </c>
      <c r="B30" s="12">
        <v>1.07</v>
      </c>
      <c r="C30" s="9" t="s">
        <v>287</v>
      </c>
      <c r="D30" s="9" t="s">
        <v>287</v>
      </c>
      <c r="E30" s="9" t="s">
        <v>287</v>
      </c>
      <c r="F30" s="9" t="s">
        <v>287</v>
      </c>
    </row>
    <row r="31" spans="1:6" ht="18" customHeight="1" x14ac:dyDescent="0.3">
      <c r="A31" s="11" t="s">
        <v>393</v>
      </c>
      <c r="B31" s="12">
        <v>-14.44</v>
      </c>
      <c r="C31" s="12">
        <v>-20.23</v>
      </c>
      <c r="D31" s="12">
        <v>-28.02</v>
      </c>
      <c r="E31" s="12">
        <v>-22.9</v>
      </c>
      <c r="F31" s="12">
        <v>-13.22</v>
      </c>
    </row>
    <row r="32" spans="1:6" ht="18" customHeight="1" x14ac:dyDescent="0.3">
      <c r="A32" s="11" t="s">
        <v>394</v>
      </c>
      <c r="B32" s="12">
        <v>-2.41</v>
      </c>
      <c r="C32" s="12">
        <v>-0.63</v>
      </c>
      <c r="D32" s="12">
        <v>-25.04</v>
      </c>
      <c r="E32" s="12">
        <v>6.49</v>
      </c>
      <c r="F32" s="12">
        <v>-26.1</v>
      </c>
    </row>
    <row r="33" spans="1:7" ht="18" customHeight="1" x14ac:dyDescent="0.3">
      <c r="A33" s="13" t="s">
        <v>395</v>
      </c>
      <c r="B33" s="14">
        <v>5245.31</v>
      </c>
      <c r="C33" s="14">
        <v>6288.18</v>
      </c>
      <c r="D33" s="14">
        <v>4946.32</v>
      </c>
      <c r="E33" s="14">
        <v>6367.29</v>
      </c>
      <c r="F33" s="14">
        <v>6018.75</v>
      </c>
    </row>
    <row r="34" spans="1:7" ht="18" customHeight="1" x14ac:dyDescent="0.3">
      <c r="A34" s="11" t="s">
        <v>396</v>
      </c>
      <c r="B34" s="9" t="s">
        <v>287</v>
      </c>
      <c r="C34" s="9" t="s">
        <v>287</v>
      </c>
      <c r="D34" s="9" t="s">
        <v>287</v>
      </c>
      <c r="E34" s="9" t="s">
        <v>287</v>
      </c>
      <c r="F34" s="9" t="s">
        <v>287</v>
      </c>
    </row>
    <row r="35" spans="1:7" ht="18" customHeight="1" x14ac:dyDescent="0.3">
      <c r="A35" s="11" t="s">
        <v>397</v>
      </c>
      <c r="B35" s="12">
        <v>244.5</v>
      </c>
      <c r="C35" s="12">
        <v>-268.02999999999997</v>
      </c>
      <c r="D35" s="9" t="s">
        <v>287</v>
      </c>
      <c r="E35" s="9" t="s">
        <v>287</v>
      </c>
      <c r="F35" s="9" t="s">
        <v>287</v>
      </c>
    </row>
    <row r="36" spans="1:7" ht="18" customHeight="1" x14ac:dyDescent="0.3">
      <c r="A36" s="11" t="s">
        <v>398</v>
      </c>
      <c r="B36" s="12">
        <v>420.49</v>
      </c>
      <c r="C36" s="12">
        <v>-1121.71</v>
      </c>
      <c r="D36" s="15" t="s">
        <v>287</v>
      </c>
      <c r="E36" s="15" t="s">
        <v>287</v>
      </c>
      <c r="F36" s="15" t="s">
        <v>287</v>
      </c>
    </row>
    <row r="37" spans="1:7" ht="18" customHeight="1" x14ac:dyDescent="0.3">
      <c r="A37" s="11" t="s">
        <v>399</v>
      </c>
      <c r="B37" s="9" t="s">
        <v>287</v>
      </c>
      <c r="C37" s="9" t="s">
        <v>287</v>
      </c>
      <c r="D37" s="12">
        <v>-466.99</v>
      </c>
      <c r="E37" s="12">
        <v>-228.29</v>
      </c>
      <c r="F37" s="12">
        <v>-512.89</v>
      </c>
    </row>
    <row r="38" spans="1:7" ht="18" customHeight="1" x14ac:dyDescent="0.3">
      <c r="A38" s="11" t="s">
        <v>400</v>
      </c>
      <c r="B38" s="9" t="s">
        <v>287</v>
      </c>
      <c r="C38" s="9" t="s">
        <v>287</v>
      </c>
      <c r="D38" s="12">
        <v>-547.07000000000005</v>
      </c>
      <c r="E38" s="12">
        <v>24.35</v>
      </c>
      <c r="F38" s="12">
        <v>-382.32</v>
      </c>
    </row>
    <row r="39" spans="1:7" ht="18" customHeight="1" x14ac:dyDescent="0.3">
      <c r="A39" s="11" t="s">
        <v>401</v>
      </c>
      <c r="B39" s="15" t="s">
        <v>287</v>
      </c>
      <c r="C39" s="15" t="s">
        <v>287</v>
      </c>
      <c r="D39" s="9" t="s">
        <v>287</v>
      </c>
      <c r="E39" s="9" t="s">
        <v>287</v>
      </c>
      <c r="F39" s="12">
        <v>-305.02</v>
      </c>
    </row>
    <row r="40" spans="1:7" ht="18" customHeight="1" x14ac:dyDescent="0.3">
      <c r="A40" s="11" t="s">
        <v>402</v>
      </c>
      <c r="B40" s="9" t="s">
        <v>287</v>
      </c>
      <c r="C40" s="9" t="s">
        <v>287</v>
      </c>
      <c r="D40" s="12">
        <v>-2720.44</v>
      </c>
      <c r="E40" s="12">
        <v>975.24</v>
      </c>
      <c r="F40" s="12">
        <v>-995.13</v>
      </c>
    </row>
    <row r="41" spans="1:7" ht="18" customHeight="1" x14ac:dyDescent="0.3">
      <c r="A41" s="11" t="s">
        <v>403</v>
      </c>
      <c r="B41" s="12">
        <v>92.24</v>
      </c>
      <c r="C41" s="12">
        <v>1058.33</v>
      </c>
      <c r="D41" s="15" t="s">
        <v>287</v>
      </c>
      <c r="E41" s="15" t="s">
        <v>287</v>
      </c>
      <c r="F41" s="15" t="s">
        <v>287</v>
      </c>
    </row>
    <row r="42" spans="1:7" ht="18" customHeight="1" x14ac:dyDescent="0.3">
      <c r="A42" s="11" t="s">
        <v>404</v>
      </c>
      <c r="B42" s="9" t="s">
        <v>287</v>
      </c>
      <c r="C42" s="9" t="s">
        <v>287</v>
      </c>
      <c r="D42" s="12">
        <v>-27.76</v>
      </c>
      <c r="E42" s="12">
        <v>102.98</v>
      </c>
      <c r="F42" s="12">
        <v>-576.29</v>
      </c>
    </row>
    <row r="43" spans="1:7" ht="18" customHeight="1" x14ac:dyDescent="0.3">
      <c r="A43" s="16" t="s">
        <v>405</v>
      </c>
      <c r="B43" s="17" t="s">
        <v>287</v>
      </c>
      <c r="C43" s="17" t="s">
        <v>287</v>
      </c>
      <c r="D43" s="18">
        <v>-1.76</v>
      </c>
      <c r="E43" s="18">
        <v>45.83</v>
      </c>
      <c r="F43" s="18">
        <v>-70.040000000000006</v>
      </c>
    </row>
    <row r="44" spans="1:7" ht="18" customHeight="1" x14ac:dyDescent="0.3">
      <c r="A44" s="11" t="s">
        <v>406</v>
      </c>
      <c r="B44" s="15" t="s">
        <v>287</v>
      </c>
      <c r="C44" s="15" t="s">
        <v>287</v>
      </c>
      <c r="D44" s="15" t="s">
        <v>287</v>
      </c>
      <c r="E44" s="15" t="s">
        <v>287</v>
      </c>
      <c r="F44" s="12">
        <v>-506.44</v>
      </c>
    </row>
    <row r="45" spans="1:7" ht="18" customHeight="1" x14ac:dyDescent="0.3">
      <c r="A45" s="16" t="s">
        <v>407</v>
      </c>
      <c r="B45" s="17" t="s">
        <v>287</v>
      </c>
      <c r="C45" s="17" t="s">
        <v>287</v>
      </c>
      <c r="D45" s="18">
        <v>291.11</v>
      </c>
      <c r="E45" s="18">
        <v>-726.02</v>
      </c>
      <c r="F45" s="18">
        <v>-53.09</v>
      </c>
    </row>
    <row r="46" spans="1:7" ht="18" customHeight="1" x14ac:dyDescent="0.3">
      <c r="A46" s="13" t="s">
        <v>408</v>
      </c>
      <c r="B46" s="14">
        <v>6002.54</v>
      </c>
      <c r="C46" s="14">
        <v>5956.77</v>
      </c>
      <c r="D46" s="14">
        <v>1473.41</v>
      </c>
      <c r="E46" s="14">
        <v>6561.38</v>
      </c>
      <c r="F46" s="14">
        <v>2617.5300000000002</v>
      </c>
      <c r="G46" s="263"/>
    </row>
    <row r="47" spans="1:7" ht="18" customHeight="1" x14ac:dyDescent="0.3">
      <c r="A47" s="11" t="s">
        <v>409</v>
      </c>
      <c r="B47" s="12">
        <v>-1170.17</v>
      </c>
      <c r="C47" s="12">
        <v>-647.61</v>
      </c>
      <c r="D47" s="12">
        <v>-738.49</v>
      </c>
      <c r="E47" s="12">
        <v>-915.56</v>
      </c>
      <c r="F47" s="12">
        <v>-380.18</v>
      </c>
    </row>
    <row r="48" spans="1:7" ht="18" customHeight="1" x14ac:dyDescent="0.3">
      <c r="A48" s="13" t="s">
        <v>410</v>
      </c>
      <c r="B48" s="14">
        <v>4832.37</v>
      </c>
      <c r="C48" s="14">
        <v>5309.16</v>
      </c>
      <c r="D48" s="14">
        <v>734.92</v>
      </c>
      <c r="E48" s="14">
        <v>5645.82</v>
      </c>
      <c r="F48" s="14">
        <v>2237.35</v>
      </c>
    </row>
    <row r="49" spans="1:6" ht="18" customHeight="1" x14ac:dyDescent="0.3">
      <c r="A49" s="339" t="s">
        <v>411</v>
      </c>
      <c r="B49" s="341"/>
      <c r="C49" s="341"/>
      <c r="D49" s="341"/>
      <c r="E49" s="341"/>
      <c r="F49" s="342"/>
    </row>
    <row r="50" spans="1:6" ht="18" customHeight="1" x14ac:dyDescent="0.3">
      <c r="A50" s="11" t="s">
        <v>412</v>
      </c>
      <c r="B50" s="12">
        <v>-1733.65</v>
      </c>
      <c r="C50" s="12">
        <v>-2334.1</v>
      </c>
      <c r="D50" s="12">
        <v>-4231.78</v>
      </c>
      <c r="E50" s="12">
        <v>-4482.46</v>
      </c>
      <c r="F50" s="12">
        <v>-8687.0499999999993</v>
      </c>
    </row>
    <row r="51" spans="1:6" ht="18" customHeight="1" x14ac:dyDescent="0.3">
      <c r="A51" s="11" t="s">
        <v>413</v>
      </c>
      <c r="B51" s="12">
        <v>8.33</v>
      </c>
      <c r="C51" s="12">
        <v>37.76</v>
      </c>
      <c r="D51" s="12">
        <v>165.85</v>
      </c>
      <c r="E51" s="12">
        <v>521.32000000000005</v>
      </c>
      <c r="F51" s="12">
        <v>95.56</v>
      </c>
    </row>
    <row r="52" spans="1:6" ht="18" customHeight="1" x14ac:dyDescent="0.3">
      <c r="A52" s="11" t="s">
        <v>414</v>
      </c>
      <c r="B52" s="12">
        <v>-0.02</v>
      </c>
      <c r="C52" s="12">
        <v>-0.02</v>
      </c>
      <c r="D52" s="12">
        <v>-0.05</v>
      </c>
      <c r="E52" s="12">
        <v>-2340.61</v>
      </c>
      <c r="F52" s="9" t="s">
        <v>287</v>
      </c>
    </row>
    <row r="53" spans="1:6" ht="18" customHeight="1" x14ac:dyDescent="0.3">
      <c r="A53" s="11" t="s">
        <v>415</v>
      </c>
      <c r="B53" s="9" t="s">
        <v>287</v>
      </c>
      <c r="C53" s="15" t="s">
        <v>287</v>
      </c>
      <c r="D53" s="9" t="s">
        <v>287</v>
      </c>
      <c r="E53" s="12">
        <v>255</v>
      </c>
      <c r="F53" s="12">
        <v>5.17</v>
      </c>
    </row>
    <row r="54" spans="1:6" ht="18" customHeight="1" x14ac:dyDescent="0.3">
      <c r="A54" s="11" t="s">
        <v>416</v>
      </c>
      <c r="B54" s="12">
        <v>20</v>
      </c>
      <c r="C54" s="15" t="s">
        <v>287</v>
      </c>
      <c r="D54" s="15" t="s">
        <v>287</v>
      </c>
      <c r="E54" s="12">
        <v>46.05</v>
      </c>
      <c r="F54" s="12">
        <v>61</v>
      </c>
    </row>
    <row r="55" spans="1:6" ht="18" customHeight="1" x14ac:dyDescent="0.3">
      <c r="A55" s="11" t="s">
        <v>417</v>
      </c>
      <c r="B55" s="12">
        <v>2.2400000000000002</v>
      </c>
      <c r="C55" s="15" t="s">
        <v>287</v>
      </c>
      <c r="D55" s="9" t="s">
        <v>287</v>
      </c>
      <c r="E55" s="9" t="s">
        <v>287</v>
      </c>
      <c r="F55" s="9" t="s">
        <v>287</v>
      </c>
    </row>
    <row r="56" spans="1:6" ht="18" customHeight="1" x14ac:dyDescent="0.3">
      <c r="A56" s="11" t="s">
        <v>418</v>
      </c>
      <c r="B56" s="15" t="s">
        <v>287</v>
      </c>
      <c r="C56" s="12">
        <v>0.12</v>
      </c>
      <c r="D56" s="9" t="s">
        <v>287</v>
      </c>
      <c r="E56" s="9" t="s">
        <v>287</v>
      </c>
      <c r="F56" s="9" t="s">
        <v>287</v>
      </c>
    </row>
    <row r="57" spans="1:6" ht="18" customHeight="1" x14ac:dyDescent="0.3">
      <c r="A57" s="11" t="s">
        <v>419</v>
      </c>
      <c r="B57" s="12">
        <v>26.65</v>
      </c>
      <c r="C57" s="12">
        <v>8.26</v>
      </c>
      <c r="D57" s="12">
        <v>52.25</v>
      </c>
      <c r="E57" s="15" t="s">
        <v>287</v>
      </c>
      <c r="F57" s="15" t="s">
        <v>287</v>
      </c>
    </row>
    <row r="58" spans="1:6" ht="18" customHeight="1" x14ac:dyDescent="0.3">
      <c r="A58" s="11" t="s">
        <v>420</v>
      </c>
      <c r="B58" s="12">
        <v>-15438.05</v>
      </c>
      <c r="C58" s="12">
        <v>-15710.06</v>
      </c>
      <c r="D58" s="9" t="s">
        <v>287</v>
      </c>
      <c r="E58" s="9" t="s">
        <v>287</v>
      </c>
      <c r="F58" s="9" t="s">
        <v>287</v>
      </c>
    </row>
    <row r="59" spans="1:6" ht="18" customHeight="1" x14ac:dyDescent="0.3">
      <c r="A59" s="11" t="s">
        <v>421</v>
      </c>
      <c r="B59" s="12">
        <v>15423.65</v>
      </c>
      <c r="C59" s="12">
        <v>15730.72</v>
      </c>
      <c r="D59" s="9" t="s">
        <v>287</v>
      </c>
      <c r="E59" s="9" t="s">
        <v>287</v>
      </c>
      <c r="F59" s="9" t="s">
        <v>287</v>
      </c>
    </row>
    <row r="60" spans="1:6" ht="18" customHeight="1" x14ac:dyDescent="0.3">
      <c r="A60" s="11" t="s">
        <v>422</v>
      </c>
      <c r="B60" s="15" t="s">
        <v>287</v>
      </c>
      <c r="C60" s="15" t="s">
        <v>287</v>
      </c>
      <c r="D60" s="12">
        <v>-10914.28</v>
      </c>
      <c r="E60" s="12">
        <v>-927.24</v>
      </c>
      <c r="F60" s="12">
        <v>9142.18</v>
      </c>
    </row>
    <row r="61" spans="1:6" ht="18" customHeight="1" x14ac:dyDescent="0.3">
      <c r="A61" s="11" t="s">
        <v>423</v>
      </c>
      <c r="B61" s="12">
        <v>-31.65</v>
      </c>
      <c r="C61" s="12">
        <v>-24.27</v>
      </c>
      <c r="D61" s="9" t="s">
        <v>287</v>
      </c>
      <c r="E61" s="9" t="s">
        <v>287</v>
      </c>
      <c r="F61" s="9" t="s">
        <v>287</v>
      </c>
    </row>
    <row r="62" spans="1:6" ht="18" customHeight="1" x14ac:dyDescent="0.3">
      <c r="A62" s="11" t="s">
        <v>424</v>
      </c>
      <c r="B62" s="12">
        <v>20.420000000000002</v>
      </c>
      <c r="C62" s="12">
        <v>7.4</v>
      </c>
      <c r="D62" s="9" t="s">
        <v>287</v>
      </c>
      <c r="E62" s="9" t="s">
        <v>287</v>
      </c>
      <c r="F62" s="9" t="s">
        <v>287</v>
      </c>
    </row>
    <row r="63" spans="1:6" ht="18" customHeight="1" x14ac:dyDescent="0.3">
      <c r="A63" s="11" t="s">
        <v>425</v>
      </c>
      <c r="B63" s="12">
        <v>-9</v>
      </c>
      <c r="C63" s="12">
        <v>-14.9</v>
      </c>
      <c r="D63" s="9" t="s">
        <v>287</v>
      </c>
      <c r="E63" s="15" t="s">
        <v>287</v>
      </c>
      <c r="F63" s="15" t="s">
        <v>287</v>
      </c>
    </row>
    <row r="64" spans="1:6" ht="18" customHeight="1" x14ac:dyDescent="0.3">
      <c r="A64" s="11" t="s">
        <v>426</v>
      </c>
      <c r="B64" s="12">
        <v>-750</v>
      </c>
      <c r="C64" s="9" t="s">
        <v>287</v>
      </c>
      <c r="D64" s="9" t="s">
        <v>287</v>
      </c>
      <c r="E64" s="15" t="s">
        <v>287</v>
      </c>
      <c r="F64" s="15" t="s">
        <v>287</v>
      </c>
    </row>
    <row r="65" spans="1:6" ht="18" customHeight="1" x14ac:dyDescent="0.3">
      <c r="A65" s="11" t="s">
        <v>427</v>
      </c>
      <c r="B65" s="12">
        <v>750</v>
      </c>
      <c r="C65" s="12">
        <v>9.5399999999999991</v>
      </c>
      <c r="D65" s="9" t="s">
        <v>287</v>
      </c>
      <c r="E65" s="9" t="s">
        <v>287</v>
      </c>
      <c r="F65" s="15" t="s">
        <v>287</v>
      </c>
    </row>
    <row r="66" spans="1:6" ht="18" customHeight="1" x14ac:dyDescent="0.3">
      <c r="A66" s="11" t="s">
        <v>428</v>
      </c>
      <c r="B66" s="9" t="s">
        <v>287</v>
      </c>
      <c r="C66" s="9" t="s">
        <v>287</v>
      </c>
      <c r="D66" s="9" t="s">
        <v>287</v>
      </c>
      <c r="E66" s="12">
        <v>-751.33</v>
      </c>
      <c r="F66" s="12">
        <v>-1041.57</v>
      </c>
    </row>
    <row r="67" spans="1:6" ht="18" customHeight="1" x14ac:dyDescent="0.3">
      <c r="A67" s="11" t="s">
        <v>429</v>
      </c>
      <c r="B67" s="9" t="s">
        <v>287</v>
      </c>
      <c r="C67" s="9" t="s">
        <v>287</v>
      </c>
      <c r="D67" s="9" t="s">
        <v>287</v>
      </c>
      <c r="E67" s="12">
        <v>-2354.27</v>
      </c>
      <c r="F67" s="12">
        <v>-3897.55</v>
      </c>
    </row>
    <row r="68" spans="1:6" ht="18" customHeight="1" x14ac:dyDescent="0.3">
      <c r="A68" s="11" t="s">
        <v>430</v>
      </c>
      <c r="B68" s="9" t="s">
        <v>287</v>
      </c>
      <c r="C68" s="9" t="s">
        <v>287</v>
      </c>
      <c r="D68" s="9" t="s">
        <v>287</v>
      </c>
      <c r="E68" s="15" t="s">
        <v>287</v>
      </c>
      <c r="F68" s="12">
        <v>-413.75</v>
      </c>
    </row>
    <row r="69" spans="1:6" ht="18" customHeight="1" x14ac:dyDescent="0.3">
      <c r="A69" s="11" t="s">
        <v>431</v>
      </c>
      <c r="B69" s="15" t="s">
        <v>287</v>
      </c>
      <c r="C69" s="15" t="s">
        <v>287</v>
      </c>
      <c r="D69" s="15" t="s">
        <v>287</v>
      </c>
      <c r="E69" s="15" t="s">
        <v>287</v>
      </c>
      <c r="F69" s="12">
        <v>1.56</v>
      </c>
    </row>
    <row r="70" spans="1:6" ht="18" customHeight="1" x14ac:dyDescent="0.3">
      <c r="A70" s="11" t="s">
        <v>432</v>
      </c>
      <c r="B70" s="15" t="s">
        <v>287</v>
      </c>
      <c r="C70" s="15" t="s">
        <v>287</v>
      </c>
      <c r="D70" s="15" t="s">
        <v>287</v>
      </c>
      <c r="E70" s="15" t="s">
        <v>287</v>
      </c>
      <c r="F70" s="12">
        <v>-3910</v>
      </c>
    </row>
    <row r="71" spans="1:6" ht="18" customHeight="1" x14ac:dyDescent="0.3">
      <c r="A71" s="16" t="s">
        <v>433</v>
      </c>
      <c r="B71" s="17" t="s">
        <v>287</v>
      </c>
      <c r="C71" s="17" t="s">
        <v>287</v>
      </c>
      <c r="D71" s="17" t="s">
        <v>287</v>
      </c>
      <c r="E71" s="18">
        <v>53.47</v>
      </c>
      <c r="F71" s="18">
        <v>116.72</v>
      </c>
    </row>
    <row r="72" spans="1:6" ht="18" customHeight="1" x14ac:dyDescent="0.3">
      <c r="A72" s="264" t="s">
        <v>434</v>
      </c>
      <c r="B72" s="265">
        <v>2.79</v>
      </c>
      <c r="C72" s="265">
        <v>4.3099999999999996</v>
      </c>
      <c r="D72" s="265">
        <v>12.39</v>
      </c>
      <c r="E72" s="265">
        <v>26.04</v>
      </c>
      <c r="F72" s="265">
        <v>15.07</v>
      </c>
    </row>
    <row r="73" spans="1:6" ht="18" customHeight="1" x14ac:dyDescent="0.3">
      <c r="A73" s="11" t="s">
        <v>435</v>
      </c>
      <c r="B73" s="12">
        <v>390.98</v>
      </c>
      <c r="C73" s="12">
        <v>278.31</v>
      </c>
      <c r="D73" s="12">
        <v>434.87</v>
      </c>
      <c r="E73" s="12">
        <v>1003.6</v>
      </c>
      <c r="F73" s="12">
        <v>981.56</v>
      </c>
    </row>
    <row r="74" spans="1:6" ht="18" customHeight="1" x14ac:dyDescent="0.3">
      <c r="A74" s="13" t="s">
        <v>436</v>
      </c>
      <c r="B74" s="14">
        <v>-1317.31</v>
      </c>
      <c r="C74" s="14">
        <v>-2007.05</v>
      </c>
      <c r="D74" s="14">
        <v>-14480.75</v>
      </c>
      <c r="E74" s="14">
        <v>-8950.43</v>
      </c>
      <c r="F74" s="14">
        <v>-7531.1</v>
      </c>
    </row>
    <row r="75" spans="1:6" ht="18" customHeight="1" x14ac:dyDescent="0.3">
      <c r="A75" s="339" t="s">
        <v>437</v>
      </c>
      <c r="B75" s="341"/>
      <c r="C75" s="341"/>
      <c r="D75" s="341"/>
      <c r="E75" s="341"/>
      <c r="F75" s="341"/>
    </row>
    <row r="76" spans="1:6" ht="18" customHeight="1" x14ac:dyDescent="0.3">
      <c r="A76" s="11" t="s">
        <v>438</v>
      </c>
      <c r="B76" s="12">
        <v>8.4700000000000006</v>
      </c>
      <c r="C76" s="15" t="s">
        <v>287</v>
      </c>
      <c r="D76" s="15" t="s">
        <v>287</v>
      </c>
      <c r="E76" s="15" t="s">
        <v>287</v>
      </c>
      <c r="F76" s="12">
        <v>9.7200000000000006</v>
      </c>
    </row>
    <row r="77" spans="1:6" ht="18" customHeight="1" x14ac:dyDescent="0.3">
      <c r="A77" s="11" t="s">
        <v>439</v>
      </c>
      <c r="B77" s="12">
        <v>-5.86</v>
      </c>
      <c r="C77" s="15" t="s">
        <v>287</v>
      </c>
      <c r="D77" s="12">
        <v>-3.58</v>
      </c>
      <c r="E77" s="12">
        <v>-24.05</v>
      </c>
      <c r="F77" s="12">
        <v>-1180.83</v>
      </c>
    </row>
    <row r="78" spans="1:6" ht="18" customHeight="1" x14ac:dyDescent="0.3">
      <c r="A78" s="11" t="s">
        <v>440</v>
      </c>
      <c r="B78" s="12">
        <v>-86.4</v>
      </c>
      <c r="C78" s="12">
        <v>-107.21</v>
      </c>
      <c r="D78" s="12">
        <v>-127.5</v>
      </c>
      <c r="E78" s="12">
        <v>-234.08</v>
      </c>
      <c r="F78" s="12">
        <v>-175.79</v>
      </c>
    </row>
    <row r="79" spans="1:6" ht="18" customHeight="1" x14ac:dyDescent="0.3">
      <c r="A79" s="11" t="s">
        <v>441</v>
      </c>
      <c r="B79" s="12">
        <v>-41.05</v>
      </c>
      <c r="C79" s="12">
        <v>-54.08</v>
      </c>
      <c r="D79" s="12">
        <v>-142.91</v>
      </c>
      <c r="E79" s="12">
        <v>-129.25</v>
      </c>
      <c r="F79" s="12">
        <v>-837.17</v>
      </c>
    </row>
    <row r="80" spans="1:6" ht="18" customHeight="1" x14ac:dyDescent="0.3">
      <c r="A80" s="11" t="s">
        <v>442</v>
      </c>
      <c r="B80" s="12">
        <v>-26.61</v>
      </c>
      <c r="C80" s="12">
        <v>-24.59</v>
      </c>
      <c r="D80" s="15" t="s">
        <v>287</v>
      </c>
      <c r="E80" s="15" t="s">
        <v>287</v>
      </c>
      <c r="F80" s="15" t="s">
        <v>287</v>
      </c>
    </row>
    <row r="81" spans="1:6" ht="18" customHeight="1" x14ac:dyDescent="0.3">
      <c r="A81" s="11" t="s">
        <v>443</v>
      </c>
      <c r="B81" s="12">
        <v>-8.84</v>
      </c>
      <c r="C81" s="12">
        <v>3.54</v>
      </c>
      <c r="D81" s="12">
        <v>0.45</v>
      </c>
      <c r="E81" s="15" t="s">
        <v>287</v>
      </c>
      <c r="F81" s="15" t="s">
        <v>287</v>
      </c>
    </row>
    <row r="82" spans="1:6" ht="18" customHeight="1" x14ac:dyDescent="0.3">
      <c r="A82" s="16" t="s">
        <v>444</v>
      </c>
      <c r="B82" s="17" t="s">
        <v>287</v>
      </c>
      <c r="C82" s="17" t="s">
        <v>287</v>
      </c>
      <c r="D82" s="18">
        <v>5000.03</v>
      </c>
      <c r="E82" s="18">
        <v>6660.96</v>
      </c>
      <c r="F82" s="18">
        <v>8339.09</v>
      </c>
    </row>
    <row r="83" spans="1:6" ht="18" customHeight="1" x14ac:dyDescent="0.3">
      <c r="A83" s="16" t="s">
        <v>445</v>
      </c>
      <c r="B83" s="18">
        <v>-3664.61</v>
      </c>
      <c r="C83" s="18">
        <v>-202.1</v>
      </c>
      <c r="D83" s="18">
        <v>-1251.42</v>
      </c>
      <c r="E83" s="18">
        <v>-496.41</v>
      </c>
      <c r="F83" s="18">
        <v>-492.63</v>
      </c>
    </row>
    <row r="84" spans="1:6" ht="18" customHeight="1" x14ac:dyDescent="0.3">
      <c r="A84" s="11" t="s">
        <v>446</v>
      </c>
      <c r="B84" s="12">
        <v>-131.32</v>
      </c>
      <c r="C84" s="12">
        <v>-131.32</v>
      </c>
      <c r="D84" s="12">
        <v>-544.05999999999995</v>
      </c>
      <c r="E84" s="12">
        <v>-88.4</v>
      </c>
      <c r="F84" s="12">
        <v>-70.349999999999994</v>
      </c>
    </row>
    <row r="85" spans="1:6" ht="18" customHeight="1" x14ac:dyDescent="0.3">
      <c r="A85" s="13" t="s">
        <v>447</v>
      </c>
      <c r="B85" s="14">
        <v>-3956.22</v>
      </c>
      <c r="C85" s="14">
        <v>-515.76</v>
      </c>
      <c r="D85" s="14">
        <v>2931.01</v>
      </c>
      <c r="E85" s="14">
        <v>5688.77</v>
      </c>
      <c r="F85" s="14">
        <v>5592.04</v>
      </c>
    </row>
    <row r="86" spans="1:6" ht="18" customHeight="1" x14ac:dyDescent="0.3">
      <c r="A86" s="13" t="s">
        <v>448</v>
      </c>
      <c r="B86" s="14">
        <v>-441.16</v>
      </c>
      <c r="C86" s="14">
        <v>2786.35</v>
      </c>
      <c r="D86" s="14">
        <v>-10814.82</v>
      </c>
      <c r="E86" s="14">
        <v>2384.16</v>
      </c>
      <c r="F86" s="14">
        <v>298.29000000000002</v>
      </c>
    </row>
    <row r="87" spans="1:6" ht="18" customHeight="1" x14ac:dyDescent="0.3">
      <c r="A87" s="11" t="s">
        <v>449</v>
      </c>
      <c r="B87" s="15" t="s">
        <v>287</v>
      </c>
      <c r="C87" s="9" t="s">
        <v>287</v>
      </c>
      <c r="D87" s="15" t="s">
        <v>287</v>
      </c>
      <c r="E87" s="9" t="s">
        <v>287</v>
      </c>
      <c r="F87" s="9" t="s">
        <v>287</v>
      </c>
    </row>
    <row r="88" spans="1:6" ht="18" customHeight="1" x14ac:dyDescent="0.3">
      <c r="A88" s="11" t="s">
        <v>450</v>
      </c>
      <c r="B88" s="12">
        <v>8571.56</v>
      </c>
      <c r="C88" s="12">
        <v>11358.49</v>
      </c>
      <c r="D88" s="12">
        <v>543.87</v>
      </c>
      <c r="E88" s="12">
        <v>3007.1</v>
      </c>
      <c r="F88" s="12">
        <v>5043.32</v>
      </c>
    </row>
    <row r="89" spans="1:6" ht="18" customHeight="1" x14ac:dyDescent="0.3">
      <c r="A89" s="16" t="s">
        <v>451</v>
      </c>
      <c r="B89" s="18">
        <v>0.47</v>
      </c>
      <c r="C89" s="18">
        <v>0.26</v>
      </c>
      <c r="D89" s="17" t="s">
        <v>287</v>
      </c>
      <c r="E89" s="17" t="s">
        <v>287</v>
      </c>
      <c r="F89" s="17" t="s">
        <v>287</v>
      </c>
    </row>
    <row r="90" spans="1:6" ht="18" customHeight="1" x14ac:dyDescent="0.3">
      <c r="A90" s="11" t="s">
        <v>452</v>
      </c>
      <c r="B90" s="12">
        <v>0.01</v>
      </c>
      <c r="C90" s="15" t="s">
        <v>287</v>
      </c>
      <c r="D90" s="12">
        <v>0.27</v>
      </c>
      <c r="E90" s="15" t="s">
        <v>287</v>
      </c>
      <c r="F90" s="15" t="s">
        <v>287</v>
      </c>
    </row>
    <row r="91" spans="1:6" ht="18" customHeight="1" x14ac:dyDescent="0.3">
      <c r="A91" s="11" t="s">
        <v>453</v>
      </c>
      <c r="B91" s="12">
        <v>-0.47</v>
      </c>
      <c r="C91" s="12">
        <v>-0.37</v>
      </c>
      <c r="D91" s="12">
        <v>-0.21</v>
      </c>
      <c r="E91" s="12">
        <v>-9.4</v>
      </c>
      <c r="F91" s="12">
        <v>-2.42</v>
      </c>
    </row>
    <row r="92" spans="1:6" ht="18" customHeight="1" x14ac:dyDescent="0.3">
      <c r="A92" s="13" t="s">
        <v>454</v>
      </c>
      <c r="B92" s="14">
        <v>8571.57</v>
      </c>
      <c r="C92" s="14">
        <v>11358.38</v>
      </c>
      <c r="D92" s="14">
        <v>543.92999999999995</v>
      </c>
      <c r="E92" s="14">
        <v>2997.7</v>
      </c>
      <c r="F92" s="14">
        <v>5040.8999999999996</v>
      </c>
    </row>
    <row r="93" spans="1:6" ht="18" customHeight="1" x14ac:dyDescent="0.3">
      <c r="A93" s="16" t="s">
        <v>455</v>
      </c>
      <c r="B93" s="18">
        <v>9011.8799999999992</v>
      </c>
      <c r="C93" s="18">
        <v>8571.56</v>
      </c>
      <c r="D93" s="18">
        <v>11358.49</v>
      </c>
      <c r="E93" s="18">
        <v>543.87</v>
      </c>
      <c r="F93" s="18">
        <v>3007.1</v>
      </c>
    </row>
    <row r="94" spans="1:6" ht="18" customHeight="1" x14ac:dyDescent="0.3">
      <c r="A94" s="11" t="s">
        <v>456</v>
      </c>
      <c r="B94" s="12">
        <v>0.85</v>
      </c>
      <c r="C94" s="12">
        <v>0.47</v>
      </c>
      <c r="D94" s="12">
        <v>0.26</v>
      </c>
      <c r="E94" s="9" t="s">
        <v>287</v>
      </c>
      <c r="F94" s="12">
        <v>1735.51</v>
      </c>
    </row>
    <row r="95" spans="1:6" ht="18" customHeight="1" x14ac:dyDescent="0.3">
      <c r="A95" s="13" t="s">
        <v>457</v>
      </c>
      <c r="B95" s="14">
        <v>9012.73</v>
      </c>
      <c r="C95" s="14">
        <v>8572.0300000000007</v>
      </c>
      <c r="D95" s="14">
        <v>11358.75</v>
      </c>
      <c r="E95" s="14">
        <v>613.54</v>
      </c>
      <c r="F95" s="14">
        <v>4742.6099999999997</v>
      </c>
    </row>
    <row r="96" spans="1:6" ht="18" customHeight="1" x14ac:dyDescent="0.3">
      <c r="A96" s="13" t="s">
        <v>458</v>
      </c>
      <c r="B96" s="14">
        <v>-441.16</v>
      </c>
      <c r="C96" s="14">
        <v>2786.35</v>
      </c>
      <c r="D96" s="14">
        <v>-10814.82</v>
      </c>
      <c r="E96" s="14">
        <v>2384.16</v>
      </c>
      <c r="F96" s="14">
        <v>298.29000000000002</v>
      </c>
    </row>
  </sheetData>
  <mergeCells count="3">
    <mergeCell ref="A1:F1"/>
    <mergeCell ref="A2:F2"/>
    <mergeCell ref="A3:F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7"/>
  <sheetViews>
    <sheetView showGridLines="0" zoomScaleNormal="100" workbookViewId="0">
      <selection activeCell="D15" sqref="D15"/>
    </sheetView>
  </sheetViews>
  <sheetFormatPr defaultColWidth="8.6640625" defaultRowHeight="14.4" x14ac:dyDescent="0.3"/>
  <cols>
    <col min="1" max="1" width="2" style="1" customWidth="1"/>
    <col min="2" max="2" width="33.6640625" style="1" customWidth="1"/>
    <col min="3" max="3" width="14" style="1" customWidth="1"/>
    <col min="4" max="4" width="34.109375" style="1" customWidth="1"/>
    <col min="5" max="5" width="16" style="1" customWidth="1"/>
    <col min="6" max="6" width="4" style="1" customWidth="1"/>
    <col min="7" max="7" width="22" style="1" customWidth="1"/>
    <col min="8" max="9" width="8" style="1" customWidth="1"/>
    <col min="10" max="10" width="20.21875" style="1" customWidth="1"/>
    <col min="11" max="11" width="8" style="1" customWidth="1"/>
  </cols>
  <sheetData>
    <row r="2" spans="2:11" ht="14.25" customHeight="1" x14ac:dyDescent="0.3">
      <c r="B2" s="348" t="s">
        <v>332</v>
      </c>
      <c r="C2" s="348"/>
    </row>
    <row r="3" spans="2:11" ht="14.25" customHeight="1" x14ac:dyDescent="0.3">
      <c r="B3" s="231" t="s">
        <v>333</v>
      </c>
      <c r="C3" s="232">
        <f>'Consolidated Balance sheet'!G47+'Consolidated Balance sheet'!G56</f>
        <v>26.82</v>
      </c>
      <c r="D3" s="3" t="s">
        <v>334</v>
      </c>
    </row>
    <row r="4" spans="2:11" ht="14.25" customHeight="1" x14ac:dyDescent="0.3">
      <c r="B4" s="231" t="s">
        <v>335</v>
      </c>
      <c r="C4" s="233">
        <f>'Relative Valuations'!C3*G4</f>
        <v>107637.47</v>
      </c>
      <c r="D4" s="1" t="s">
        <v>336</v>
      </c>
      <c r="F4" s="4" t="s">
        <v>337</v>
      </c>
      <c r="G4" s="5">
        <v>437</v>
      </c>
      <c r="H4" s="6" t="s">
        <v>338</v>
      </c>
    </row>
    <row r="5" spans="2:11" ht="28.5" customHeight="1" x14ac:dyDescent="0.3">
      <c r="B5" s="234" t="s">
        <v>339</v>
      </c>
      <c r="C5" s="233">
        <f>C4+C3</f>
        <v>107664.29000000001</v>
      </c>
      <c r="D5" s="7" t="s">
        <v>340</v>
      </c>
    </row>
    <row r="6" spans="2:11" ht="14.25" customHeight="1" x14ac:dyDescent="0.3">
      <c r="B6" s="231" t="s">
        <v>341</v>
      </c>
      <c r="C6" s="235">
        <f>C3/C5</f>
        <v>2.4910766606086378E-4</v>
      </c>
    </row>
    <row r="7" spans="2:11" ht="14.25" customHeight="1" x14ac:dyDescent="0.3">
      <c r="B7" s="231" t="s">
        <v>342</v>
      </c>
      <c r="C7" s="235">
        <f>C4/C5</f>
        <v>0.9997508923339391</v>
      </c>
    </row>
    <row r="8" spans="2:11" ht="14.25" customHeight="1" x14ac:dyDescent="0.3">
      <c r="B8" s="236" t="s">
        <v>343</v>
      </c>
      <c r="C8" s="237">
        <f>C3/C4</f>
        <v>2.4916973615228972E-4</v>
      </c>
    </row>
    <row r="10" spans="2:11" ht="14.25" customHeight="1" x14ac:dyDescent="0.3">
      <c r="B10" s="348" t="s">
        <v>344</v>
      </c>
      <c r="C10" s="348"/>
    </row>
    <row r="11" spans="2:11" ht="14.25" customHeight="1" x14ac:dyDescent="0.3">
      <c r="B11" s="231" t="s">
        <v>345</v>
      </c>
      <c r="C11" s="238">
        <v>6.25E-2</v>
      </c>
      <c r="E11" s="156" t="s">
        <v>346</v>
      </c>
      <c r="F11" s="156"/>
      <c r="G11" s="156"/>
      <c r="H11" s="156"/>
      <c r="I11" s="156"/>
      <c r="J11" s="156"/>
      <c r="K11" s="156"/>
    </row>
    <row r="12" spans="2:11" ht="14.25" customHeight="1" x14ac:dyDescent="0.3">
      <c r="B12" s="231" t="s">
        <v>347</v>
      </c>
      <c r="C12" s="239">
        <f>BETA!H3</f>
        <v>1.0923357727358798</v>
      </c>
    </row>
    <row r="13" spans="2:11" ht="14.25" customHeight="1" x14ac:dyDescent="0.3">
      <c r="B13" s="231" t="s">
        <v>348</v>
      </c>
      <c r="C13" s="238">
        <v>6.5000000000000002E-2</v>
      </c>
      <c r="E13" s="156" t="s">
        <v>349</v>
      </c>
      <c r="F13" s="156"/>
      <c r="G13" s="156"/>
      <c r="H13" s="156"/>
      <c r="I13" s="156"/>
      <c r="J13" s="156"/>
      <c r="K13" s="156"/>
    </row>
    <row r="14" spans="2:11" ht="14.25" customHeight="1" x14ac:dyDescent="0.3">
      <c r="B14" s="240" t="s">
        <v>350</v>
      </c>
      <c r="C14" s="241">
        <f>C11+(C12*C13)</f>
        <v>0.13350182522783219</v>
      </c>
    </row>
    <row r="16" spans="2:11" ht="14.25" customHeight="1" x14ac:dyDescent="0.3">
      <c r="B16" s="348" t="s">
        <v>351</v>
      </c>
      <c r="C16" s="348"/>
    </row>
    <row r="17" spans="2:7" ht="14.25" customHeight="1" x14ac:dyDescent="0.3">
      <c r="B17" s="242" t="s">
        <v>352</v>
      </c>
      <c r="C17" s="243">
        <f>'Consolidated P&amp;L'!G15</f>
        <v>215.94</v>
      </c>
    </row>
    <row r="18" spans="2:7" ht="14.25" customHeight="1" x14ac:dyDescent="0.3">
      <c r="B18" s="231" t="s">
        <v>353</v>
      </c>
      <c r="C18" s="243">
        <f>C3</f>
        <v>26.82</v>
      </c>
      <c r="D18" s="8"/>
    </row>
    <row r="19" spans="2:7" ht="14.25" customHeight="1" x14ac:dyDescent="0.3">
      <c r="B19" s="231" t="s">
        <v>354</v>
      </c>
      <c r="C19" s="238">
        <f>IFERROR(C17/C18,0)</f>
        <v>8.0514541387024607</v>
      </c>
    </row>
    <row r="20" spans="2:7" ht="14.25" customHeight="1" x14ac:dyDescent="0.3">
      <c r="B20" s="244" t="s">
        <v>355</v>
      </c>
      <c r="C20" s="245">
        <f>Assumptions!G34</f>
        <v>0.20363461763396207</v>
      </c>
    </row>
    <row r="21" spans="2:7" ht="14.25" customHeight="1" x14ac:dyDescent="0.3">
      <c r="B21" s="246" t="s">
        <v>356</v>
      </c>
      <c r="C21" s="247">
        <f>C19*(1-C20)</f>
        <v>6.4118993537704041</v>
      </c>
    </row>
    <row r="23" spans="2:7" ht="17.25" customHeight="1" x14ac:dyDescent="0.3">
      <c r="B23" s="348" t="s">
        <v>357</v>
      </c>
      <c r="C23" s="348"/>
      <c r="D23" s="348"/>
      <c r="E23" s="348"/>
    </row>
    <row r="24" spans="2:7" ht="14.25" customHeight="1" x14ac:dyDescent="0.3">
      <c r="B24" s="248" t="s">
        <v>358</v>
      </c>
      <c r="C24" s="248" t="s">
        <v>359</v>
      </c>
      <c r="D24" s="248" t="s">
        <v>360</v>
      </c>
      <c r="E24" s="248" t="s">
        <v>361</v>
      </c>
    </row>
    <row r="25" spans="2:7" ht="14.25" customHeight="1" x14ac:dyDescent="0.3">
      <c r="B25" s="242" t="s">
        <v>362</v>
      </c>
      <c r="C25" s="249">
        <f>C6</f>
        <v>2.4910766606086378E-4</v>
      </c>
      <c r="D25" s="249">
        <f>C21</f>
        <v>6.4118993537704041</v>
      </c>
      <c r="E25" s="249">
        <f>D25*C25</f>
        <v>1.5972532830349061E-3</v>
      </c>
    </row>
    <row r="26" spans="2:7" ht="14.25" customHeight="1" x14ac:dyDescent="0.3">
      <c r="B26" s="242" t="s">
        <v>363</v>
      </c>
      <c r="C26" s="249">
        <f>C7</f>
        <v>0.9997508923339391</v>
      </c>
      <c r="D26" s="249">
        <f>C14</f>
        <v>0.13350182522783219</v>
      </c>
      <c r="E26" s="249">
        <f>C26*D26</f>
        <v>0.13346856889973482</v>
      </c>
    </row>
    <row r="27" spans="2:7" ht="15" customHeight="1" x14ac:dyDescent="0.3">
      <c r="B27" s="349" t="s">
        <v>357</v>
      </c>
      <c r="C27" s="250">
        <f>SUM(C25:C26)</f>
        <v>1</v>
      </c>
      <c r="D27" s="251" t="s">
        <v>364</v>
      </c>
      <c r="E27" s="252">
        <f>E25+E26</f>
        <v>0.13506582218276972</v>
      </c>
      <c r="G27" s="6" t="s">
        <v>365</v>
      </c>
    </row>
  </sheetData>
  <mergeCells count="6">
    <mergeCell ref="B23:E23"/>
    <mergeCell ref="B2:C2"/>
    <mergeCell ref="B10:C10"/>
    <mergeCell ref="E11:K11"/>
    <mergeCell ref="E13:K13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18"/>
  <sheetViews>
    <sheetView topLeftCell="B1" zoomScaleNormal="100" workbookViewId="0">
      <selection activeCell="I3" sqref="I3"/>
    </sheetView>
  </sheetViews>
  <sheetFormatPr defaultColWidth="8.6640625" defaultRowHeight="14.4" x14ac:dyDescent="0.3"/>
  <cols>
    <col min="1" max="1" width="10.33203125" style="10" customWidth="1"/>
    <col min="2" max="2" width="25.88671875" style="10" bestFit="1" customWidth="1"/>
    <col min="3" max="3" width="10.33203125" style="10" customWidth="1"/>
    <col min="4" max="4" width="16.6640625" style="10" customWidth="1"/>
    <col min="5" max="5" width="8.6640625" style="10"/>
    <col min="6" max="6" width="17.77734375" style="10" customWidth="1"/>
    <col min="7" max="7" width="8.109375" style="10" customWidth="1"/>
    <col min="8" max="8" width="4.77734375" style="10" bestFit="1" customWidth="1"/>
    <col min="9" max="9" width="17.44140625" style="10" customWidth="1"/>
    <col min="10" max="10" width="12" style="10" bestFit="1" customWidth="1"/>
    <col min="11" max="11" width="13.44140625" style="10" bestFit="1" customWidth="1"/>
    <col min="12" max="13" width="12" style="10" bestFit="1" customWidth="1"/>
    <col min="14" max="14" width="12.6640625" style="10" customWidth="1"/>
    <col min="15" max="15" width="12" style="10" customWidth="1"/>
    <col min="16" max="16" width="12.6640625" style="10" customWidth="1"/>
    <col min="17" max="17" width="12.109375" style="10" customWidth="1"/>
    <col min="18" max="16384" width="8.6640625" style="10"/>
  </cols>
  <sheetData>
    <row r="1" spans="1:14" ht="14.25" customHeight="1" thickBot="1" x14ac:dyDescent="0.35">
      <c r="A1" s="266" t="s">
        <v>459</v>
      </c>
      <c r="B1" s="269" t="s">
        <v>460</v>
      </c>
      <c r="C1" s="270" t="s">
        <v>459</v>
      </c>
      <c r="D1" s="271" t="s">
        <v>461</v>
      </c>
      <c r="F1" s="272" t="s">
        <v>462</v>
      </c>
      <c r="G1" s="272" t="s">
        <v>463</v>
      </c>
      <c r="H1" s="19" t="s">
        <v>464</v>
      </c>
      <c r="I1" s="19" t="s">
        <v>465</v>
      </c>
    </row>
    <row r="2" spans="1:14" ht="14.25" customHeight="1" x14ac:dyDescent="0.3">
      <c r="A2" s="20">
        <v>43922</v>
      </c>
      <c r="B2" s="267" t="s">
        <v>466</v>
      </c>
      <c r="C2" s="268">
        <v>43922</v>
      </c>
      <c r="D2" s="267" t="s">
        <v>467</v>
      </c>
      <c r="F2" s="273"/>
      <c r="G2" s="273"/>
    </row>
    <row r="3" spans="1:14" ht="14.25" customHeight="1" x14ac:dyDescent="0.3">
      <c r="A3" s="20">
        <v>43924</v>
      </c>
      <c r="B3" s="21">
        <v>153</v>
      </c>
      <c r="C3" s="20">
        <v>43924</v>
      </c>
      <c r="D3" s="21" t="s">
        <v>468</v>
      </c>
      <c r="F3" s="274">
        <f t="shared" ref="F3:F66" si="0">(B3-B2)/B2</f>
        <v>-2.3300313046267722E-2</v>
      </c>
      <c r="G3" s="274">
        <f t="shared" ref="G3:G66" si="1">(D3-D2)/D2</f>
        <v>-2.0596574186770748E-2</v>
      </c>
      <c r="H3" s="275">
        <f>SLOPE(F3:F1515,G3:G1515)</f>
        <v>1.0923357727358798</v>
      </c>
      <c r="I3" s="275">
        <f>_xlfn.COVARIANCE.S(F3:F1515,G3:G1515)/_xlfn.VAR.S(G3:G1515)</f>
        <v>1.0923357727358789</v>
      </c>
    </row>
    <row r="4" spans="1:14" ht="14.25" customHeight="1" x14ac:dyDescent="0.3">
      <c r="A4" s="20">
        <v>43928</v>
      </c>
      <c r="B4" s="21">
        <v>159</v>
      </c>
      <c r="C4" s="20">
        <v>43928</v>
      </c>
      <c r="D4" s="21" t="s">
        <v>469</v>
      </c>
      <c r="F4" s="274">
        <f t="shared" si="0"/>
        <v>3.9215686274509803E-2</v>
      </c>
      <c r="G4" s="274">
        <f t="shared" si="1"/>
        <v>8.7632104671150374E-2</v>
      </c>
    </row>
    <row r="5" spans="1:14" ht="14.25" customHeight="1" x14ac:dyDescent="0.3">
      <c r="A5" s="20">
        <v>43929</v>
      </c>
      <c r="B5" s="21" t="s">
        <v>470</v>
      </c>
      <c r="C5" s="20">
        <v>43929</v>
      </c>
      <c r="D5" s="21">
        <v>8748.75</v>
      </c>
      <c r="F5" s="274">
        <f t="shared" si="0"/>
        <v>-5.849058523118246E-2</v>
      </c>
      <c r="G5" s="274">
        <f t="shared" si="1"/>
        <v>-4.9419024075071866E-3</v>
      </c>
    </row>
    <row r="6" spans="1:14" ht="14.25" customHeight="1" x14ac:dyDescent="0.3">
      <c r="A6" s="20">
        <v>43930</v>
      </c>
      <c r="B6" s="21" t="s">
        <v>471</v>
      </c>
      <c r="C6" s="20">
        <v>43930</v>
      </c>
      <c r="D6" s="21">
        <v>9111.900390625</v>
      </c>
      <c r="F6" s="274">
        <f t="shared" si="0"/>
        <v>6.0788285163835241E-2</v>
      </c>
      <c r="G6" s="274">
        <f t="shared" si="1"/>
        <v>4.1508831618802686E-2</v>
      </c>
      <c r="I6" s="10" t="s">
        <v>472</v>
      </c>
    </row>
    <row r="7" spans="1:14" ht="15" customHeight="1" x14ac:dyDescent="0.3">
      <c r="A7" s="20">
        <v>43934</v>
      </c>
      <c r="B7" s="21">
        <v>165</v>
      </c>
      <c r="C7" s="20">
        <v>43934</v>
      </c>
      <c r="D7" s="21">
        <v>8993.849609375</v>
      </c>
      <c r="F7" s="274">
        <f t="shared" si="0"/>
        <v>3.9042801190767445E-2</v>
      </c>
      <c r="G7" s="274">
        <f t="shared" si="1"/>
        <v>-1.2955670737079107E-2</v>
      </c>
    </row>
    <row r="8" spans="1:14" ht="14.25" customHeight="1" x14ac:dyDescent="0.3">
      <c r="A8" s="20">
        <v>43936</v>
      </c>
      <c r="B8" s="21" t="s">
        <v>473</v>
      </c>
      <c r="C8" s="20">
        <v>43936</v>
      </c>
      <c r="D8" s="21" t="s">
        <v>474</v>
      </c>
      <c r="F8" s="274">
        <f t="shared" si="0"/>
        <v>2.1515170010648413E-2</v>
      </c>
      <c r="G8" s="274">
        <f t="shared" si="1"/>
        <v>-7.6218535626885646E-3</v>
      </c>
      <c r="I8" s="158" t="s">
        <v>475</v>
      </c>
      <c r="J8" s="158"/>
    </row>
    <row r="9" spans="1:14" ht="14.25" customHeight="1" x14ac:dyDescent="0.3">
      <c r="A9" s="20">
        <v>43937</v>
      </c>
      <c r="B9" s="21" t="s">
        <v>476</v>
      </c>
      <c r="C9" s="20">
        <v>43937</v>
      </c>
      <c r="D9" s="21" t="s">
        <v>477</v>
      </c>
      <c r="F9" s="274">
        <f t="shared" si="0"/>
        <v>6.8228648808263109E-3</v>
      </c>
      <c r="G9" s="274">
        <f t="shared" si="1"/>
        <v>7.5627711647903986E-3</v>
      </c>
      <c r="I9" s="10" t="s">
        <v>478</v>
      </c>
      <c r="J9" s="10">
        <v>0.51156170124837796</v>
      </c>
    </row>
    <row r="10" spans="1:14" ht="14.25" customHeight="1" x14ac:dyDescent="0.3">
      <c r="A10" s="20">
        <v>43938</v>
      </c>
      <c r="B10" s="21" t="s">
        <v>479</v>
      </c>
      <c r="C10" s="20">
        <v>43938</v>
      </c>
      <c r="D10" s="21">
        <v>9266.75</v>
      </c>
      <c r="F10" s="274">
        <f t="shared" si="0"/>
        <v>1.9151444068624471E-2</v>
      </c>
      <c r="G10" s="274">
        <f t="shared" si="1"/>
        <v>3.0463281876874804E-2</v>
      </c>
      <c r="I10" s="10" t="s">
        <v>480</v>
      </c>
      <c r="J10" s="10">
        <v>0.26169537418413502</v>
      </c>
    </row>
    <row r="11" spans="1:14" ht="14.25" customHeight="1" x14ac:dyDescent="0.3">
      <c r="A11" s="20">
        <v>43941</v>
      </c>
      <c r="B11" s="21" t="s">
        <v>481</v>
      </c>
      <c r="C11" s="20">
        <v>43941</v>
      </c>
      <c r="D11" s="21">
        <v>9261.849609375</v>
      </c>
      <c r="F11" s="274">
        <f t="shared" si="0"/>
        <v>-1.5322312479011217E-2</v>
      </c>
      <c r="G11" s="274">
        <f t="shared" si="1"/>
        <v>-5.2881437666927461E-4</v>
      </c>
      <c r="I11" s="10" t="s">
        <v>482</v>
      </c>
      <c r="J11" s="10">
        <v>0.261206754312649</v>
      </c>
    </row>
    <row r="12" spans="1:14" ht="14.25" customHeight="1" x14ac:dyDescent="0.3">
      <c r="A12" s="20">
        <v>43942</v>
      </c>
      <c r="B12" s="21" t="s">
        <v>483</v>
      </c>
      <c r="C12" s="20">
        <v>43942</v>
      </c>
      <c r="D12" s="21" t="s">
        <v>484</v>
      </c>
      <c r="F12" s="274">
        <f t="shared" si="0"/>
        <v>-1.614797387387145E-2</v>
      </c>
      <c r="G12" s="274">
        <f t="shared" si="1"/>
        <v>-3.0274667144095602E-2</v>
      </c>
      <c r="I12" s="10" t="s">
        <v>485</v>
      </c>
      <c r="J12" s="10">
        <v>1.8030475956450898E-2</v>
      </c>
    </row>
    <row r="13" spans="1:14" ht="15" customHeight="1" x14ac:dyDescent="0.3">
      <c r="A13" s="20">
        <v>43943</v>
      </c>
      <c r="B13" s="21">
        <v>176.5</v>
      </c>
      <c r="C13" s="20">
        <v>43943</v>
      </c>
      <c r="D13" s="21" t="s">
        <v>486</v>
      </c>
      <c r="F13" s="274">
        <f t="shared" si="0"/>
        <v>5.3416871293510602E-2</v>
      </c>
      <c r="G13" s="274">
        <f t="shared" si="1"/>
        <v>2.2919417788725787E-2</v>
      </c>
      <c r="I13" s="23" t="s">
        <v>487</v>
      </c>
      <c r="J13" s="23">
        <v>1513</v>
      </c>
    </row>
    <row r="14" spans="1:14" ht="14.25" customHeight="1" x14ac:dyDescent="0.3">
      <c r="A14" s="20">
        <v>43944</v>
      </c>
      <c r="B14" s="21" t="s">
        <v>488</v>
      </c>
      <c r="C14" s="20">
        <v>43944</v>
      </c>
      <c r="D14" s="21">
        <v>9313.900390625</v>
      </c>
      <c r="F14" s="274">
        <f t="shared" si="0"/>
        <v>-2.8611915307410831E-2</v>
      </c>
      <c r="G14" s="274">
        <f t="shared" si="1"/>
        <v>1.3779955877014752E-2</v>
      </c>
    </row>
    <row r="15" spans="1:14" ht="15" customHeight="1" x14ac:dyDescent="0.3">
      <c r="A15" s="20">
        <v>43945</v>
      </c>
      <c r="B15" s="21" t="s">
        <v>489</v>
      </c>
      <c r="C15" s="20">
        <v>43945</v>
      </c>
      <c r="D15" s="21">
        <v>9154.400390625</v>
      </c>
      <c r="F15" s="274">
        <f t="shared" si="0"/>
        <v>-2.0414115265668942E-2</v>
      </c>
      <c r="G15" s="274">
        <f t="shared" si="1"/>
        <v>-1.7124941572334865E-2</v>
      </c>
      <c r="I15" s="10" t="s">
        <v>490</v>
      </c>
    </row>
    <row r="16" spans="1:14" ht="14.25" customHeight="1" x14ac:dyDescent="0.3">
      <c r="A16" s="20">
        <v>43948</v>
      </c>
      <c r="B16" s="21" t="s">
        <v>491</v>
      </c>
      <c r="C16" s="20">
        <v>43948</v>
      </c>
      <c r="D16" s="21" t="s">
        <v>492</v>
      </c>
      <c r="F16" s="274">
        <f t="shared" si="0"/>
        <v>2.5900602456429715E-2</v>
      </c>
      <c r="G16" s="274">
        <f t="shared" si="1"/>
        <v>1.3971358975458566E-2</v>
      </c>
      <c r="I16" s="22"/>
      <c r="J16" s="22" t="s">
        <v>493</v>
      </c>
      <c r="K16" s="22" t="s">
        <v>494</v>
      </c>
      <c r="L16" s="22" t="s">
        <v>495</v>
      </c>
      <c r="M16" s="22" t="s">
        <v>496</v>
      </c>
      <c r="N16" s="22" t="s">
        <v>497</v>
      </c>
    </row>
    <row r="17" spans="1:17" ht="14.25" customHeight="1" x14ac:dyDescent="0.3">
      <c r="A17" s="20">
        <v>43949</v>
      </c>
      <c r="B17" s="21" t="s">
        <v>498</v>
      </c>
      <c r="C17" s="20">
        <v>43949</v>
      </c>
      <c r="D17" s="21">
        <v>9380.900390625</v>
      </c>
      <c r="F17" s="274">
        <f t="shared" si="0"/>
        <v>-2.6697655380384464E-2</v>
      </c>
      <c r="G17" s="274">
        <f t="shared" si="1"/>
        <v>1.0622430648890199E-2</v>
      </c>
      <c r="I17" s="10" t="s">
        <v>499</v>
      </c>
      <c r="J17" s="10">
        <v>1</v>
      </c>
      <c r="K17" s="10">
        <v>0.174116249183834</v>
      </c>
      <c r="L17" s="10">
        <v>0.174116249183834</v>
      </c>
      <c r="M17" s="10">
        <v>535.58070282339895</v>
      </c>
      <c r="N17" s="10">
        <v>1.1337563381229399E-101</v>
      </c>
    </row>
    <row r="18" spans="1:17" ht="14.25" customHeight="1" x14ac:dyDescent="0.3">
      <c r="A18" s="20">
        <v>43950</v>
      </c>
      <c r="B18" s="21">
        <v>169.5</v>
      </c>
      <c r="C18" s="20">
        <v>43950</v>
      </c>
      <c r="D18" s="21">
        <v>9553.349609375</v>
      </c>
      <c r="F18" s="274">
        <f t="shared" si="0"/>
        <v>1.0733470986964625E-2</v>
      </c>
      <c r="G18" s="274">
        <f t="shared" si="1"/>
        <v>1.838301352419654E-2</v>
      </c>
      <c r="I18" s="10" t="s">
        <v>500</v>
      </c>
      <c r="J18" s="10">
        <v>1511</v>
      </c>
      <c r="K18" s="10">
        <v>0.49122317351960998</v>
      </c>
      <c r="L18" s="10">
        <v>3.2509806321615498E-4</v>
      </c>
    </row>
    <row r="19" spans="1:17" ht="15" customHeight="1" x14ac:dyDescent="0.3">
      <c r="A19" s="20">
        <v>43951</v>
      </c>
      <c r="B19" s="21" t="s">
        <v>501</v>
      </c>
      <c r="C19" s="20">
        <v>43951</v>
      </c>
      <c r="D19" s="21">
        <v>9859.900390625</v>
      </c>
      <c r="F19" s="274">
        <f t="shared" si="0"/>
        <v>1.2684329772766994E-2</v>
      </c>
      <c r="G19" s="274">
        <f t="shared" si="1"/>
        <v>3.2088303452139151E-2</v>
      </c>
      <c r="I19" s="23" t="s">
        <v>502</v>
      </c>
      <c r="J19" s="23">
        <v>1512</v>
      </c>
      <c r="K19" s="23">
        <v>0.66533942270344404</v>
      </c>
      <c r="L19" s="23"/>
      <c r="M19" s="23"/>
      <c r="N19" s="23"/>
    </row>
    <row r="20" spans="1:17" ht="15" customHeight="1" x14ac:dyDescent="0.3">
      <c r="A20" s="20">
        <v>43955</v>
      </c>
      <c r="B20" s="21" t="s">
        <v>503</v>
      </c>
      <c r="C20" s="20">
        <v>43955</v>
      </c>
      <c r="D20" s="21">
        <v>9293.5</v>
      </c>
      <c r="F20" s="274">
        <f t="shared" si="0"/>
        <v>-5.4179948288128089E-2</v>
      </c>
      <c r="G20" s="274">
        <f t="shared" si="1"/>
        <v>-5.7444839013134998E-2</v>
      </c>
    </row>
    <row r="21" spans="1:17" ht="14.25" customHeight="1" x14ac:dyDescent="0.3">
      <c r="A21" s="20">
        <v>43956</v>
      </c>
      <c r="B21" s="21" t="s">
        <v>504</v>
      </c>
      <c r="C21" s="20">
        <v>43956</v>
      </c>
      <c r="D21" s="21">
        <v>9205.599609375</v>
      </c>
      <c r="F21" s="274">
        <f t="shared" si="0"/>
        <v>1.5090833730427217E-2</v>
      </c>
      <c r="G21" s="274">
        <f t="shared" si="1"/>
        <v>-9.4582655216011186E-3</v>
      </c>
      <c r="I21" s="22"/>
      <c r="J21" s="22" t="s">
        <v>505</v>
      </c>
      <c r="K21" s="22" t="s">
        <v>485</v>
      </c>
      <c r="L21" s="22" t="s">
        <v>506</v>
      </c>
      <c r="M21" s="22" t="s">
        <v>507</v>
      </c>
      <c r="N21" s="22" t="s">
        <v>508</v>
      </c>
      <c r="O21" s="22" t="s">
        <v>509</v>
      </c>
      <c r="P21" s="22" t="s">
        <v>510</v>
      </c>
      <c r="Q21" s="22" t="s">
        <v>511</v>
      </c>
    </row>
    <row r="22" spans="1:17" ht="14.25" customHeight="1" x14ac:dyDescent="0.3">
      <c r="A22" s="20">
        <v>43957</v>
      </c>
      <c r="B22" s="21" t="s">
        <v>512</v>
      </c>
      <c r="C22" s="20">
        <v>43957</v>
      </c>
      <c r="D22" s="21">
        <v>9270.900390625</v>
      </c>
      <c r="F22" s="274">
        <f t="shared" si="0"/>
        <v>1.8507299728630036E-2</v>
      </c>
      <c r="G22" s="274">
        <f t="shared" si="1"/>
        <v>7.0935934671216378E-3</v>
      </c>
      <c r="I22" s="10" t="s">
        <v>513</v>
      </c>
      <c r="J22" s="10">
        <v>8.2113965703913298E-5</v>
      </c>
      <c r="K22" s="10">
        <v>4.64866336562597E-4</v>
      </c>
      <c r="L22" s="10">
        <v>0.17663994840128899</v>
      </c>
      <c r="M22" s="10">
        <v>0.85981488522528204</v>
      </c>
      <c r="N22" s="10">
        <v>-8.2973772714434798E-4</v>
      </c>
      <c r="O22" s="10">
        <v>9.9396565855217403E-4</v>
      </c>
      <c r="P22" s="10">
        <v>-8.2973772714434798E-4</v>
      </c>
      <c r="Q22" s="10">
        <v>9.9396565855217403E-4</v>
      </c>
    </row>
    <row r="23" spans="1:17" ht="15" customHeight="1" x14ac:dyDescent="0.3">
      <c r="A23" s="20">
        <v>43958</v>
      </c>
      <c r="B23" s="21" t="s">
        <v>514</v>
      </c>
      <c r="C23" s="20">
        <v>43958</v>
      </c>
      <c r="D23" s="21" t="s">
        <v>515</v>
      </c>
      <c r="F23" s="274">
        <f t="shared" si="0"/>
        <v>4.4682750832756388E-3</v>
      </c>
      <c r="G23" s="274">
        <f t="shared" si="1"/>
        <v>-7.7501195040513404E-3</v>
      </c>
      <c r="I23" s="23" t="s">
        <v>516</v>
      </c>
      <c r="J23" s="23">
        <v>1.09233577273588</v>
      </c>
      <c r="K23" s="23">
        <v>4.7200184486158599E-2</v>
      </c>
      <c r="L23" s="23">
        <v>23.142616594140701</v>
      </c>
      <c r="M23" s="23">
        <v>1.13375633812349E-101</v>
      </c>
      <c r="N23" s="23">
        <v>0.99975094836527501</v>
      </c>
      <c r="O23" s="23">
        <v>1.18492059710648</v>
      </c>
      <c r="P23" s="23">
        <v>0.99975094836527501</v>
      </c>
      <c r="Q23" s="23">
        <v>1.18492059710648</v>
      </c>
    </row>
    <row r="24" spans="1:17" ht="14.25" customHeight="1" x14ac:dyDescent="0.3">
      <c r="A24" s="20">
        <v>43959</v>
      </c>
      <c r="B24" s="21" t="s">
        <v>517</v>
      </c>
      <c r="C24" s="20">
        <v>43959</v>
      </c>
      <c r="D24" s="21">
        <v>9251.5</v>
      </c>
      <c r="F24" s="274">
        <f t="shared" si="0"/>
        <v>4.448398415475288E-3</v>
      </c>
      <c r="G24" s="274">
        <f t="shared" si="1"/>
        <v>5.7016970693835461E-3</v>
      </c>
    </row>
    <row r="25" spans="1:17" ht="14.25" customHeight="1" x14ac:dyDescent="0.3">
      <c r="A25" s="20">
        <v>43962</v>
      </c>
      <c r="B25" s="21" t="s">
        <v>518</v>
      </c>
      <c r="C25" s="20">
        <v>43962</v>
      </c>
      <c r="D25" s="21" t="s">
        <v>519</v>
      </c>
      <c r="F25" s="274">
        <f t="shared" si="0"/>
        <v>2.7162625798284587E-2</v>
      </c>
      <c r="G25" s="274">
        <f t="shared" si="1"/>
        <v>-1.3294930214019349E-3</v>
      </c>
    </row>
    <row r="26" spans="1:17" ht="14.25" customHeight="1" x14ac:dyDescent="0.3">
      <c r="A26" s="20">
        <v>43963</v>
      </c>
      <c r="B26" s="21" t="s">
        <v>520</v>
      </c>
      <c r="C26" s="20">
        <v>43963</v>
      </c>
      <c r="D26" s="21" t="s">
        <v>521</v>
      </c>
      <c r="F26" s="274">
        <f t="shared" si="0"/>
        <v>7.185973106811446E-3</v>
      </c>
      <c r="G26" s="274">
        <f t="shared" si="1"/>
        <v>-4.6162427183511663E-3</v>
      </c>
    </row>
    <row r="27" spans="1:17" ht="14.25" customHeight="1" x14ac:dyDescent="0.3">
      <c r="A27" s="20">
        <v>43964</v>
      </c>
      <c r="B27" s="21">
        <v>183</v>
      </c>
      <c r="C27" s="20">
        <v>43964</v>
      </c>
      <c r="D27" s="21" t="s">
        <v>522</v>
      </c>
      <c r="F27" s="274">
        <f t="shared" si="0"/>
        <v>4.4520566139406428E-2</v>
      </c>
      <c r="G27" s="274">
        <f t="shared" si="1"/>
        <v>2.0333712530397619E-2</v>
      </c>
    </row>
    <row r="28" spans="1:17" ht="14.25" customHeight="1" x14ac:dyDescent="0.3">
      <c r="A28" s="20">
        <v>43965</v>
      </c>
      <c r="B28" s="21">
        <v>182.5</v>
      </c>
      <c r="C28" s="20">
        <v>43965</v>
      </c>
      <c r="D28" s="21">
        <v>9142.75</v>
      </c>
      <c r="F28" s="274">
        <f t="shared" si="0"/>
        <v>-2.7322404371584699E-3</v>
      </c>
      <c r="G28" s="274">
        <f t="shared" si="1"/>
        <v>-2.5661909373274686E-2</v>
      </c>
    </row>
    <row r="29" spans="1:17" ht="14.25" customHeight="1" x14ac:dyDescent="0.3">
      <c r="A29" s="20">
        <v>43966</v>
      </c>
      <c r="B29" s="21" t="s">
        <v>523</v>
      </c>
      <c r="C29" s="20">
        <v>43966</v>
      </c>
      <c r="D29" s="21">
        <v>9136.849609375</v>
      </c>
      <c r="F29" s="274">
        <f t="shared" si="0"/>
        <v>-3.8355997164000641E-3</v>
      </c>
      <c r="G29" s="274">
        <f t="shared" si="1"/>
        <v>-6.453627874545405E-4</v>
      </c>
    </row>
    <row r="30" spans="1:17" ht="14.25" customHeight="1" x14ac:dyDescent="0.3">
      <c r="A30" s="20">
        <v>43969</v>
      </c>
      <c r="B30" s="21" t="s">
        <v>524</v>
      </c>
      <c r="C30" s="20">
        <v>43969</v>
      </c>
      <c r="D30" s="21">
        <v>8823.25</v>
      </c>
      <c r="F30" s="274">
        <f t="shared" si="0"/>
        <v>-5.3080357498815352E-2</v>
      </c>
      <c r="G30" s="274">
        <f t="shared" si="1"/>
        <v>-3.4322509703259917E-2</v>
      </c>
    </row>
    <row r="31" spans="1:17" ht="14.25" customHeight="1" x14ac:dyDescent="0.3">
      <c r="A31" s="20">
        <v>43970</v>
      </c>
      <c r="B31" s="21" t="s">
        <v>525</v>
      </c>
      <c r="C31" s="20">
        <v>43970</v>
      </c>
      <c r="D31" s="21">
        <v>8879.099609375</v>
      </c>
      <c r="F31" s="274">
        <f t="shared" si="0"/>
        <v>1.4231846029017102E-2</v>
      </c>
      <c r="G31" s="274">
        <f t="shared" si="1"/>
        <v>6.3298228402232735E-3</v>
      </c>
    </row>
    <row r="32" spans="1:17" ht="14.25" customHeight="1" x14ac:dyDescent="0.3">
      <c r="A32" s="20">
        <v>43971</v>
      </c>
      <c r="B32" s="21" t="s">
        <v>526</v>
      </c>
      <c r="C32" s="20">
        <v>43971</v>
      </c>
      <c r="D32" s="21" t="s">
        <v>527</v>
      </c>
      <c r="F32" s="274">
        <f t="shared" si="0"/>
        <v>2.8923182224718954E-2</v>
      </c>
      <c r="G32" s="274">
        <f t="shared" si="1"/>
        <v>2.1111396826157987E-2</v>
      </c>
    </row>
    <row r="33" spans="1:7" ht="14.25" customHeight="1" x14ac:dyDescent="0.3">
      <c r="A33" s="20">
        <v>43972</v>
      </c>
      <c r="B33" s="21">
        <v>181</v>
      </c>
      <c r="C33" s="20">
        <v>43972</v>
      </c>
      <c r="D33" s="21">
        <v>9106.25</v>
      </c>
      <c r="F33" s="274">
        <f t="shared" si="0"/>
        <v>7.5146459748497429E-3</v>
      </c>
      <c r="G33" s="274">
        <f t="shared" si="1"/>
        <v>4.378754451001261E-3</v>
      </c>
    </row>
    <row r="34" spans="1:7" ht="14.25" customHeight="1" x14ac:dyDescent="0.3">
      <c r="A34" s="20">
        <v>43973</v>
      </c>
      <c r="B34" s="21" t="s">
        <v>528</v>
      </c>
      <c r="C34" s="20">
        <v>43973</v>
      </c>
      <c r="D34" s="21">
        <v>9039.25</v>
      </c>
      <c r="F34" s="274">
        <f t="shared" si="0"/>
        <v>3.2872911316254083E-2</v>
      </c>
      <c r="G34" s="274">
        <f t="shared" si="1"/>
        <v>-7.3575840768702813E-3</v>
      </c>
    </row>
    <row r="35" spans="1:7" ht="14.25" customHeight="1" x14ac:dyDescent="0.3">
      <c r="A35" s="20">
        <v>43977</v>
      </c>
      <c r="B35" s="21" t="s">
        <v>529</v>
      </c>
      <c r="C35" s="20">
        <v>43977</v>
      </c>
      <c r="D35" s="21" t="s">
        <v>530</v>
      </c>
      <c r="F35" s="274">
        <f t="shared" si="0"/>
        <v>8.5584708726043415E-3</v>
      </c>
      <c r="G35" s="274">
        <f t="shared" si="1"/>
        <v>-1.1284338094974694E-3</v>
      </c>
    </row>
    <row r="36" spans="1:7" ht="14.25" customHeight="1" x14ac:dyDescent="0.3">
      <c r="A36" s="20">
        <v>43978</v>
      </c>
      <c r="B36" s="21" t="s">
        <v>531</v>
      </c>
      <c r="C36" s="20">
        <v>43978</v>
      </c>
      <c r="D36" s="21" t="s">
        <v>532</v>
      </c>
      <c r="F36" s="274">
        <f t="shared" si="0"/>
        <v>-5.8340285638343262E-3</v>
      </c>
      <c r="G36" s="274">
        <f t="shared" si="1"/>
        <v>3.1664504771761547E-2</v>
      </c>
    </row>
    <row r="37" spans="1:7" ht="14.25" customHeight="1" x14ac:dyDescent="0.3">
      <c r="A37" s="20">
        <v>43979</v>
      </c>
      <c r="B37" s="21" t="s">
        <v>533</v>
      </c>
      <c r="C37" s="20">
        <v>43979</v>
      </c>
      <c r="D37" s="21">
        <v>9490.099609375</v>
      </c>
      <c r="F37" s="274">
        <f t="shared" si="0"/>
        <v>2.053884324456964E-2</v>
      </c>
      <c r="G37" s="274">
        <f t="shared" si="1"/>
        <v>1.8803043536468854E-2</v>
      </c>
    </row>
    <row r="38" spans="1:7" ht="14.25" customHeight="1" x14ac:dyDescent="0.3">
      <c r="A38" s="20">
        <v>43980</v>
      </c>
      <c r="B38" s="21" t="s">
        <v>534</v>
      </c>
      <c r="C38" s="20">
        <v>43980</v>
      </c>
      <c r="D38" s="21" t="s">
        <v>535</v>
      </c>
      <c r="F38" s="274">
        <f t="shared" si="0"/>
        <v>1.3068478620586403E-3</v>
      </c>
      <c r="G38" s="274">
        <f t="shared" si="1"/>
        <v>9.5046626511057671E-3</v>
      </c>
    </row>
    <row r="39" spans="1:7" ht="14.25" customHeight="1" x14ac:dyDescent="0.3">
      <c r="A39" s="20">
        <v>43983</v>
      </c>
      <c r="B39" s="21" t="s">
        <v>536</v>
      </c>
      <c r="C39" s="20">
        <v>43983</v>
      </c>
      <c r="D39" s="21">
        <v>9826.150390625</v>
      </c>
      <c r="F39" s="274">
        <f t="shared" si="0"/>
        <v>-1.3573511156836034E-2</v>
      </c>
      <c r="G39" s="274">
        <f t="shared" si="1"/>
        <v>2.5662097319460599E-2</v>
      </c>
    </row>
    <row r="40" spans="1:7" ht="14.25" customHeight="1" x14ac:dyDescent="0.3">
      <c r="A40" s="20">
        <v>43984</v>
      </c>
      <c r="B40" s="21" t="s">
        <v>537</v>
      </c>
      <c r="C40" s="20">
        <v>43984</v>
      </c>
      <c r="D40" s="21">
        <v>9979.099609375</v>
      </c>
      <c r="F40" s="274">
        <f t="shared" si="0"/>
        <v>1.1907912338396755E-2</v>
      </c>
      <c r="G40" s="274">
        <f t="shared" si="1"/>
        <v>1.556552797074293E-2</v>
      </c>
    </row>
    <row r="41" spans="1:7" ht="14.25" customHeight="1" x14ac:dyDescent="0.3">
      <c r="A41" s="20">
        <v>43985</v>
      </c>
      <c r="B41" s="21">
        <v>187.75</v>
      </c>
      <c r="C41" s="20">
        <v>43985</v>
      </c>
      <c r="D41" s="21" t="s">
        <v>538</v>
      </c>
      <c r="F41" s="274">
        <f t="shared" si="0"/>
        <v>-1.8043917381316204E-2</v>
      </c>
      <c r="G41" s="274">
        <f t="shared" si="1"/>
        <v>8.262288035990847E-3</v>
      </c>
    </row>
    <row r="42" spans="1:7" ht="14.25" customHeight="1" x14ac:dyDescent="0.3">
      <c r="A42" s="20">
        <v>43986</v>
      </c>
      <c r="B42" s="21">
        <v>186.75</v>
      </c>
      <c r="C42" s="20">
        <v>43986</v>
      </c>
      <c r="D42" s="21" t="s">
        <v>539</v>
      </c>
      <c r="F42" s="274">
        <f t="shared" si="0"/>
        <v>-5.3262316910785623E-3</v>
      </c>
      <c r="G42" s="274">
        <f t="shared" si="1"/>
        <v>-3.2251686810099594E-3</v>
      </c>
    </row>
    <row r="43" spans="1:7" ht="14.25" customHeight="1" x14ac:dyDescent="0.3">
      <c r="A43" s="20">
        <v>43987</v>
      </c>
      <c r="B43" s="21" t="s">
        <v>540</v>
      </c>
      <c r="C43" s="20">
        <v>43987</v>
      </c>
      <c r="D43" s="21" t="s">
        <v>541</v>
      </c>
      <c r="F43" s="274">
        <f t="shared" si="0"/>
        <v>4.4712214744390896E-2</v>
      </c>
      <c r="G43" s="274">
        <f t="shared" si="1"/>
        <v>1.1272276241460641E-2</v>
      </c>
    </row>
    <row r="44" spans="1:7" ht="14.25" customHeight="1" x14ac:dyDescent="0.3">
      <c r="A44" s="20">
        <v>43990</v>
      </c>
      <c r="B44" s="21" t="s">
        <v>542</v>
      </c>
      <c r="C44" s="20">
        <v>43990</v>
      </c>
      <c r="D44" s="21" t="s">
        <v>543</v>
      </c>
      <c r="F44" s="274">
        <f t="shared" si="0"/>
        <v>-1.8708401030681727E-2</v>
      </c>
      <c r="G44" s="274">
        <f t="shared" si="1"/>
        <v>2.4945207587225419E-3</v>
      </c>
    </row>
    <row r="45" spans="1:7" ht="14.25" customHeight="1" x14ac:dyDescent="0.3">
      <c r="A45" s="20">
        <v>43991</v>
      </c>
      <c r="B45" s="21" t="s">
        <v>544</v>
      </c>
      <c r="C45" s="20">
        <v>43991</v>
      </c>
      <c r="D45" s="21" t="s">
        <v>545</v>
      </c>
      <c r="F45" s="274">
        <f t="shared" si="0"/>
        <v>-1.906499845738711E-2</v>
      </c>
      <c r="G45" s="274">
        <f t="shared" si="1"/>
        <v>-1.1881032349997872E-2</v>
      </c>
    </row>
    <row r="46" spans="1:7" ht="14.25" customHeight="1" x14ac:dyDescent="0.3">
      <c r="A46" s="20">
        <v>43992</v>
      </c>
      <c r="B46" s="21">
        <v>192</v>
      </c>
      <c r="C46" s="20">
        <v>43992</v>
      </c>
      <c r="D46" s="21" t="s">
        <v>546</v>
      </c>
      <c r="F46" s="274">
        <f t="shared" si="0"/>
        <v>2.2364200638939864E-2</v>
      </c>
      <c r="G46" s="274">
        <f t="shared" si="1"/>
        <v>6.9177285262014996E-3</v>
      </c>
    </row>
    <row r="47" spans="1:7" ht="14.25" customHeight="1" x14ac:dyDescent="0.3">
      <c r="A47" s="20">
        <v>43993</v>
      </c>
      <c r="B47" s="21">
        <v>189.5</v>
      </c>
      <c r="C47" s="20">
        <v>43993</v>
      </c>
      <c r="D47" s="21">
        <v>9902</v>
      </c>
      <c r="F47" s="274">
        <f t="shared" si="0"/>
        <v>-1.3020833333333334E-2</v>
      </c>
      <c r="G47" s="274">
        <f t="shared" si="1"/>
        <v>-2.1169158460066079E-2</v>
      </c>
    </row>
    <row r="48" spans="1:7" ht="14.25" customHeight="1" x14ac:dyDescent="0.3">
      <c r="A48" s="20">
        <v>43994</v>
      </c>
      <c r="B48" s="21" t="s">
        <v>547</v>
      </c>
      <c r="C48" s="20">
        <v>43994</v>
      </c>
      <c r="D48" s="21">
        <v>9972.900390625</v>
      </c>
      <c r="F48" s="274">
        <f t="shared" si="0"/>
        <v>2.2163572286237408E-2</v>
      </c>
      <c r="G48" s="274">
        <f t="shared" si="1"/>
        <v>7.1602091117955969E-3</v>
      </c>
    </row>
    <row r="49" spans="1:7" ht="14.25" customHeight="1" x14ac:dyDescent="0.3">
      <c r="A49" s="20">
        <v>43997</v>
      </c>
      <c r="B49" s="21">
        <v>191.5</v>
      </c>
      <c r="C49" s="20">
        <v>43997</v>
      </c>
      <c r="D49" s="21" t="s">
        <v>548</v>
      </c>
      <c r="F49" s="274">
        <f t="shared" si="0"/>
        <v>-1.1357754170898843E-2</v>
      </c>
      <c r="G49" s="274">
        <f t="shared" si="1"/>
        <v>-1.5963279394844428E-2</v>
      </c>
    </row>
    <row r="50" spans="1:7" ht="14.25" customHeight="1" x14ac:dyDescent="0.3">
      <c r="A50" s="20">
        <v>43998</v>
      </c>
      <c r="B50" s="21" t="s">
        <v>549</v>
      </c>
      <c r="C50" s="20">
        <v>43998</v>
      </c>
      <c r="D50" s="21">
        <v>9914</v>
      </c>
      <c r="F50" s="274">
        <f t="shared" si="0"/>
        <v>-4.6997070312532647E-3</v>
      </c>
      <c r="G50" s="274">
        <f t="shared" si="1"/>
        <v>1.0220386061458048E-2</v>
      </c>
    </row>
    <row r="51" spans="1:7" ht="14.25" customHeight="1" x14ac:dyDescent="0.3">
      <c r="A51" s="20">
        <v>43999</v>
      </c>
      <c r="B51" s="21" t="s">
        <v>550</v>
      </c>
      <c r="C51" s="20">
        <v>43999</v>
      </c>
      <c r="D51" s="21">
        <v>9881.150390625</v>
      </c>
      <c r="F51" s="274">
        <f t="shared" si="0"/>
        <v>-1.8100797988208302E-2</v>
      </c>
      <c r="G51" s="274">
        <f t="shared" si="1"/>
        <v>-3.3134566648174301E-3</v>
      </c>
    </row>
    <row r="52" spans="1:7" ht="14.25" customHeight="1" x14ac:dyDescent="0.3">
      <c r="A52" s="20">
        <v>44000</v>
      </c>
      <c r="B52" s="21" t="s">
        <v>551</v>
      </c>
      <c r="C52" s="20">
        <v>44000</v>
      </c>
      <c r="D52" s="21" t="s">
        <v>552</v>
      </c>
      <c r="F52" s="274">
        <f t="shared" si="0"/>
        <v>1.0687267622441095E-3</v>
      </c>
      <c r="G52" s="274">
        <f t="shared" si="1"/>
        <v>2.1303187551898549E-2</v>
      </c>
    </row>
    <row r="53" spans="1:7" ht="14.25" customHeight="1" x14ac:dyDescent="0.3">
      <c r="A53" s="20">
        <v>44001</v>
      </c>
      <c r="B53" s="21" t="s">
        <v>553</v>
      </c>
      <c r="C53" s="20">
        <v>44001</v>
      </c>
      <c r="D53" s="21" t="s">
        <v>554</v>
      </c>
      <c r="F53" s="274">
        <f t="shared" si="0"/>
        <v>1.8414714896437149E-2</v>
      </c>
      <c r="G53" s="274">
        <f t="shared" si="1"/>
        <v>1.5136275444292302E-2</v>
      </c>
    </row>
    <row r="54" spans="1:7" ht="14.25" customHeight="1" x14ac:dyDescent="0.3">
      <c r="A54" s="20">
        <v>44004</v>
      </c>
      <c r="B54" s="21" t="s">
        <v>555</v>
      </c>
      <c r="C54" s="20">
        <v>44004</v>
      </c>
      <c r="D54" s="21" t="s">
        <v>556</v>
      </c>
      <c r="F54" s="274">
        <f t="shared" si="0"/>
        <v>1.5723430134151084E-3</v>
      </c>
      <c r="G54" s="274">
        <f t="shared" si="1"/>
        <v>6.5206163504338216E-3</v>
      </c>
    </row>
    <row r="55" spans="1:7" ht="14.25" customHeight="1" x14ac:dyDescent="0.3">
      <c r="A55" s="20">
        <v>44005</v>
      </c>
      <c r="B55" s="21">
        <v>193.25</v>
      </c>
      <c r="C55" s="20">
        <v>44005</v>
      </c>
      <c r="D55" s="21">
        <v>10471</v>
      </c>
      <c r="F55" s="274">
        <f t="shared" si="0"/>
        <v>1.1250621809610995E-2</v>
      </c>
      <c r="G55" s="274">
        <f t="shared" si="1"/>
        <v>1.5497691991291706E-2</v>
      </c>
    </row>
    <row r="56" spans="1:7" ht="14.25" customHeight="1" x14ac:dyDescent="0.3">
      <c r="A56" s="20">
        <v>44006</v>
      </c>
      <c r="B56" s="21" t="s">
        <v>557</v>
      </c>
      <c r="C56" s="20">
        <v>44006</v>
      </c>
      <c r="D56" s="21" t="s">
        <v>558</v>
      </c>
      <c r="F56" s="274">
        <f t="shared" si="0"/>
        <v>-2.3544647098359697E-2</v>
      </c>
      <c r="G56" s="274">
        <f t="shared" si="1"/>
        <v>-1.5824677233549803E-2</v>
      </c>
    </row>
    <row r="57" spans="1:7" ht="14.25" customHeight="1" x14ac:dyDescent="0.3">
      <c r="A57" s="20">
        <v>44007</v>
      </c>
      <c r="B57" s="21">
        <v>186.25</v>
      </c>
      <c r="C57" s="20">
        <v>44007</v>
      </c>
      <c r="D57" s="21" t="s">
        <v>559</v>
      </c>
      <c r="F57" s="274">
        <f t="shared" si="0"/>
        <v>-1.2983555844539795E-2</v>
      </c>
      <c r="G57" s="274">
        <f t="shared" si="1"/>
        <v>-1.5913572989929427E-3</v>
      </c>
    </row>
    <row r="58" spans="1:7" ht="14.25" customHeight="1" x14ac:dyDescent="0.3">
      <c r="A58" s="20">
        <v>44008</v>
      </c>
      <c r="B58" s="21">
        <v>188</v>
      </c>
      <c r="C58" s="20">
        <v>44008</v>
      </c>
      <c r="D58" s="21">
        <v>10383</v>
      </c>
      <c r="F58" s="274">
        <f t="shared" si="0"/>
        <v>9.3959731543624154E-3</v>
      </c>
      <c r="G58" s="274">
        <f t="shared" si="1"/>
        <v>9.1457401473865295E-3</v>
      </c>
    </row>
    <row r="59" spans="1:7" ht="14.25" customHeight="1" x14ac:dyDescent="0.3">
      <c r="A59" s="20">
        <v>44011</v>
      </c>
      <c r="B59" s="21" t="s">
        <v>560</v>
      </c>
      <c r="C59" s="20">
        <v>44011</v>
      </c>
      <c r="D59" s="21" t="s">
        <v>561</v>
      </c>
      <c r="F59" s="274">
        <f t="shared" si="0"/>
        <v>-2.3936007885266581E-3</v>
      </c>
      <c r="G59" s="274">
        <f t="shared" si="1"/>
        <v>-6.7995386087835886E-3</v>
      </c>
    </row>
    <row r="60" spans="1:7" ht="14.25" customHeight="1" x14ac:dyDescent="0.3">
      <c r="A60" s="20">
        <v>44012</v>
      </c>
      <c r="B60" s="21" t="s">
        <v>562</v>
      </c>
      <c r="C60" s="20">
        <v>44012</v>
      </c>
      <c r="D60" s="21" t="s">
        <v>563</v>
      </c>
      <c r="F60" s="274">
        <f t="shared" si="0"/>
        <v>3.2258080262938894E-2</v>
      </c>
      <c r="G60" s="274">
        <f t="shared" si="1"/>
        <v>-9.9887328457149869E-4</v>
      </c>
    </row>
    <row r="61" spans="1:7" ht="14.25" customHeight="1" x14ac:dyDescent="0.3">
      <c r="A61" s="20">
        <v>44013</v>
      </c>
      <c r="B61" s="21" t="s">
        <v>564</v>
      </c>
      <c r="C61" s="20">
        <v>44013</v>
      </c>
      <c r="D61" s="21" t="s">
        <v>565</v>
      </c>
      <c r="F61" s="274">
        <f t="shared" si="0"/>
        <v>-7.2314520203292116E-3</v>
      </c>
      <c r="G61" s="274">
        <f t="shared" si="1"/>
        <v>1.2419817334717306E-2</v>
      </c>
    </row>
    <row r="62" spans="1:7" ht="14.25" customHeight="1" x14ac:dyDescent="0.3">
      <c r="A62" s="20">
        <v>44014</v>
      </c>
      <c r="B62" s="21" t="s">
        <v>547</v>
      </c>
      <c r="C62" s="20">
        <v>44014</v>
      </c>
      <c r="D62" s="21" t="s">
        <v>566</v>
      </c>
      <c r="F62" s="274">
        <f t="shared" si="0"/>
        <v>7.8043705713686283E-3</v>
      </c>
      <c r="G62" s="274">
        <f t="shared" si="1"/>
        <v>1.1663452514898594E-2</v>
      </c>
    </row>
    <row r="63" spans="1:7" ht="14.25" customHeight="1" x14ac:dyDescent="0.3">
      <c r="A63" s="20">
        <v>44015</v>
      </c>
      <c r="B63" s="21" t="s">
        <v>567</v>
      </c>
      <c r="C63" s="20">
        <v>44015</v>
      </c>
      <c r="D63" s="21" t="s">
        <v>568</v>
      </c>
      <c r="F63" s="274">
        <f t="shared" si="0"/>
        <v>1.0841539166756602E-2</v>
      </c>
      <c r="G63" s="274">
        <f t="shared" si="1"/>
        <v>5.2739760448483703E-3</v>
      </c>
    </row>
    <row r="64" spans="1:7" ht="14.25" customHeight="1" x14ac:dyDescent="0.3">
      <c r="A64" s="20">
        <v>44018</v>
      </c>
      <c r="B64" s="21" t="s">
        <v>569</v>
      </c>
      <c r="C64" s="20">
        <v>44018</v>
      </c>
      <c r="D64" s="21" t="s">
        <v>570</v>
      </c>
      <c r="F64" s="274">
        <f t="shared" si="0"/>
        <v>-9.7038259737449641E-3</v>
      </c>
      <c r="G64" s="274">
        <f t="shared" si="1"/>
        <v>1.4735139974255027E-2</v>
      </c>
    </row>
    <row r="65" spans="1:7" ht="14.25" customHeight="1" x14ac:dyDescent="0.3">
      <c r="A65" s="20">
        <v>44019</v>
      </c>
      <c r="B65" s="21">
        <v>193.25</v>
      </c>
      <c r="C65" s="20">
        <v>44019</v>
      </c>
      <c r="D65" s="21" t="s">
        <v>571</v>
      </c>
      <c r="F65" s="274">
        <f t="shared" si="0"/>
        <v>-3.3522120523170984E-3</v>
      </c>
      <c r="G65" s="274">
        <f t="shared" si="1"/>
        <v>3.3445902359812369E-3</v>
      </c>
    </row>
    <row r="66" spans="1:7" ht="14.25" customHeight="1" x14ac:dyDescent="0.3">
      <c r="A66" s="20">
        <v>44020</v>
      </c>
      <c r="B66" s="21" t="s">
        <v>572</v>
      </c>
      <c r="C66" s="20">
        <v>44020</v>
      </c>
      <c r="D66" s="21">
        <v>10705.75</v>
      </c>
      <c r="F66" s="274">
        <f t="shared" si="0"/>
        <v>1.1901697551135773E-2</v>
      </c>
      <c r="G66" s="274">
        <f t="shared" si="1"/>
        <v>-8.6947620736420681E-3</v>
      </c>
    </row>
    <row r="67" spans="1:7" ht="14.25" customHeight="1" x14ac:dyDescent="0.3">
      <c r="A67" s="20">
        <v>44021</v>
      </c>
      <c r="B67" s="21">
        <v>202</v>
      </c>
      <c r="C67" s="20">
        <v>44021</v>
      </c>
      <c r="D67" s="21" t="s">
        <v>573</v>
      </c>
      <c r="F67" s="274">
        <f t="shared" ref="F67:F130" si="2">(B67-B66)/B66</f>
        <v>3.2983875467063356E-2</v>
      </c>
      <c r="G67" s="274">
        <f t="shared" ref="G67:G130" si="3">(D67-D66)/D66</f>
        <v>1.0060032721901781E-2</v>
      </c>
    </row>
    <row r="68" spans="1:7" ht="14.25" customHeight="1" x14ac:dyDescent="0.3">
      <c r="A68" s="20">
        <v>44022</v>
      </c>
      <c r="B68" s="21" t="s">
        <v>574</v>
      </c>
      <c r="C68" s="20">
        <v>44022</v>
      </c>
      <c r="D68" s="21" t="s">
        <v>575</v>
      </c>
      <c r="F68" s="274">
        <f t="shared" si="2"/>
        <v>-2.3762391345336691E-2</v>
      </c>
      <c r="G68" s="274">
        <f t="shared" si="3"/>
        <v>-4.198511095439319E-3</v>
      </c>
    </row>
    <row r="69" spans="1:7" ht="14.25" customHeight="1" x14ac:dyDescent="0.3">
      <c r="A69" s="20">
        <v>44025</v>
      </c>
      <c r="B69" s="21" t="s">
        <v>576</v>
      </c>
      <c r="C69" s="20">
        <v>44025</v>
      </c>
      <c r="D69" s="21" t="s">
        <v>577</v>
      </c>
      <c r="F69" s="274">
        <f t="shared" si="2"/>
        <v>6.3387424916039967E-3</v>
      </c>
      <c r="G69" s="274">
        <f t="shared" si="3"/>
        <v>3.2178891492418752E-3</v>
      </c>
    </row>
    <row r="70" spans="1:7" ht="14.25" customHeight="1" x14ac:dyDescent="0.3">
      <c r="A70" s="20">
        <v>44026</v>
      </c>
      <c r="B70" s="21">
        <v>190.5</v>
      </c>
      <c r="C70" s="20">
        <v>44026</v>
      </c>
      <c r="D70" s="21" t="s">
        <v>568</v>
      </c>
      <c r="F70" s="274">
        <f t="shared" si="2"/>
        <v>-4.0060453869976316E-2</v>
      </c>
      <c r="G70" s="274">
        <f t="shared" si="3"/>
        <v>-1.8083496015400519E-2</v>
      </c>
    </row>
    <row r="71" spans="1:7" ht="14.25" customHeight="1" x14ac:dyDescent="0.3">
      <c r="A71" s="20">
        <v>44027</v>
      </c>
      <c r="B71" s="21" t="s">
        <v>578</v>
      </c>
      <c r="C71" s="20">
        <v>44027</v>
      </c>
      <c r="D71" s="21" t="s">
        <v>579</v>
      </c>
      <c r="F71" s="274">
        <f t="shared" si="2"/>
        <v>-9.7113181286928845E-3</v>
      </c>
      <c r="G71" s="274">
        <f t="shared" si="3"/>
        <v>1.0229309240368605E-3</v>
      </c>
    </row>
    <row r="72" spans="1:7" ht="14.25" customHeight="1" x14ac:dyDescent="0.3">
      <c r="A72" s="20">
        <v>44028</v>
      </c>
      <c r="B72" s="21">
        <v>192.5</v>
      </c>
      <c r="C72" s="20">
        <v>44028</v>
      </c>
      <c r="D72" s="21" t="s">
        <v>580</v>
      </c>
      <c r="F72" s="274">
        <f t="shared" si="2"/>
        <v>2.040819627923534E-2</v>
      </c>
      <c r="G72" s="274">
        <f t="shared" si="3"/>
        <v>1.1466161662100478E-2</v>
      </c>
    </row>
    <row r="73" spans="1:7" ht="14.25" customHeight="1" x14ac:dyDescent="0.3">
      <c r="A73" s="20">
        <v>44029</v>
      </c>
      <c r="B73" s="21" t="s">
        <v>581</v>
      </c>
      <c r="C73" s="20">
        <v>44029</v>
      </c>
      <c r="D73" s="21" t="s">
        <v>582</v>
      </c>
      <c r="F73" s="274">
        <f t="shared" si="2"/>
        <v>4.9350490817765642E-3</v>
      </c>
      <c r="G73" s="274">
        <f t="shared" si="3"/>
        <v>1.5060591255869745E-2</v>
      </c>
    </row>
    <row r="74" spans="1:7" ht="14.25" customHeight="1" x14ac:dyDescent="0.3">
      <c r="A74" s="20">
        <v>44032</v>
      </c>
      <c r="B74" s="21" t="s">
        <v>583</v>
      </c>
      <c r="C74" s="20">
        <v>44032</v>
      </c>
      <c r="D74" s="21" t="s">
        <v>584</v>
      </c>
      <c r="F74" s="274">
        <f t="shared" si="2"/>
        <v>1.163091256394278E-2</v>
      </c>
      <c r="G74" s="274">
        <f t="shared" si="3"/>
        <v>1.1053321760931606E-2</v>
      </c>
    </row>
    <row r="75" spans="1:7" ht="14.25" customHeight="1" x14ac:dyDescent="0.3">
      <c r="A75" s="20">
        <v>44033</v>
      </c>
      <c r="B75" s="21" t="s">
        <v>585</v>
      </c>
      <c r="C75" s="20">
        <v>44033</v>
      </c>
      <c r="D75" s="21">
        <v>11162.25</v>
      </c>
      <c r="F75" s="274">
        <f t="shared" si="2"/>
        <v>4.7266224549029533E-2</v>
      </c>
      <c r="G75" s="274">
        <f t="shared" si="3"/>
        <v>1.2706156865764434E-2</v>
      </c>
    </row>
    <row r="76" spans="1:7" ht="14.25" customHeight="1" x14ac:dyDescent="0.3">
      <c r="A76" s="20">
        <v>44034</v>
      </c>
      <c r="B76" s="21" t="s">
        <v>586</v>
      </c>
      <c r="C76" s="20">
        <v>44034</v>
      </c>
      <c r="D76" s="21" t="s">
        <v>587</v>
      </c>
      <c r="F76" s="274">
        <f t="shared" si="2"/>
        <v>-1.9760932481403107E-2</v>
      </c>
      <c r="G76" s="274">
        <f t="shared" si="3"/>
        <v>-2.6563094918139263E-3</v>
      </c>
    </row>
    <row r="77" spans="1:7" ht="14.25" customHeight="1" x14ac:dyDescent="0.3">
      <c r="A77" s="20">
        <v>44035</v>
      </c>
      <c r="B77" s="21" t="s">
        <v>588</v>
      </c>
      <c r="C77" s="20">
        <v>44035</v>
      </c>
      <c r="D77" s="21" t="s">
        <v>589</v>
      </c>
      <c r="F77" s="274">
        <f t="shared" si="2"/>
        <v>-1.468390760510444E-2</v>
      </c>
      <c r="G77" s="274">
        <f t="shared" si="3"/>
        <v>7.4421598588464239E-3</v>
      </c>
    </row>
    <row r="78" spans="1:7" ht="14.25" customHeight="1" x14ac:dyDescent="0.3">
      <c r="A78" s="20">
        <v>44036</v>
      </c>
      <c r="B78" s="21" t="s">
        <v>590</v>
      </c>
      <c r="C78" s="20">
        <v>44036</v>
      </c>
      <c r="D78" s="21" t="s">
        <v>591</v>
      </c>
      <c r="F78" s="274">
        <f t="shared" si="2"/>
        <v>1.5155342491793069E-2</v>
      </c>
      <c r="G78" s="274">
        <f t="shared" si="3"/>
        <v>-1.8991484351116158E-3</v>
      </c>
    </row>
    <row r="79" spans="1:7" ht="14.25" customHeight="1" x14ac:dyDescent="0.3">
      <c r="A79" s="20">
        <v>44039</v>
      </c>
      <c r="B79" s="21" t="s">
        <v>592</v>
      </c>
      <c r="C79" s="20">
        <v>44039</v>
      </c>
      <c r="D79" s="21" t="s">
        <v>593</v>
      </c>
      <c r="F79" s="274">
        <f t="shared" si="2"/>
        <v>3.0853431412785386E-2</v>
      </c>
      <c r="G79" s="274">
        <f t="shared" si="3"/>
        <v>-5.5699256988469672E-3</v>
      </c>
    </row>
    <row r="80" spans="1:7" ht="14.25" customHeight="1" x14ac:dyDescent="0.3">
      <c r="A80" s="20">
        <v>44040</v>
      </c>
      <c r="B80" s="21" t="s">
        <v>594</v>
      </c>
      <c r="C80" s="20">
        <v>44040</v>
      </c>
      <c r="D80" s="21" t="s">
        <v>595</v>
      </c>
      <c r="F80" s="274">
        <f t="shared" si="2"/>
        <v>4.6101874647074645E-2</v>
      </c>
      <c r="G80" s="274">
        <f t="shared" si="3"/>
        <v>1.515927369884436E-2</v>
      </c>
    </row>
    <row r="81" spans="1:7" ht="14.25" customHeight="1" x14ac:dyDescent="0.3">
      <c r="A81" s="20">
        <v>44041</v>
      </c>
      <c r="B81" s="21" t="s">
        <v>596</v>
      </c>
      <c r="C81" s="20">
        <v>44041</v>
      </c>
      <c r="D81" s="21" t="s">
        <v>597</v>
      </c>
      <c r="F81" s="274">
        <f t="shared" si="2"/>
        <v>-5.0760999548593337E-3</v>
      </c>
      <c r="G81" s="274">
        <f t="shared" si="3"/>
        <v>-8.6456143286031701E-3</v>
      </c>
    </row>
    <row r="82" spans="1:7" ht="14.25" customHeight="1" x14ac:dyDescent="0.3">
      <c r="A82" s="20">
        <v>44042</v>
      </c>
      <c r="B82" s="21">
        <v>221.25</v>
      </c>
      <c r="C82" s="20">
        <v>44042</v>
      </c>
      <c r="D82" s="21" t="s">
        <v>598</v>
      </c>
      <c r="F82" s="274">
        <f t="shared" si="2"/>
        <v>2.6205907868909317E-2</v>
      </c>
      <c r="G82" s="274">
        <f t="shared" si="3"/>
        <v>-8.988714680747906E-3</v>
      </c>
    </row>
    <row r="83" spans="1:7" ht="14.25" customHeight="1" x14ac:dyDescent="0.3">
      <c r="A83" s="20">
        <v>44043</v>
      </c>
      <c r="B83" s="21" t="s">
        <v>599</v>
      </c>
      <c r="C83" s="20">
        <v>44043</v>
      </c>
      <c r="D83" s="21" t="s">
        <v>600</v>
      </c>
      <c r="F83" s="274">
        <f t="shared" si="2"/>
        <v>-5.1977125264858768E-3</v>
      </c>
      <c r="G83" s="274">
        <f t="shared" si="3"/>
        <v>-2.5851023723057593E-3</v>
      </c>
    </row>
    <row r="84" spans="1:7" ht="14.25" customHeight="1" x14ac:dyDescent="0.3">
      <c r="A84" s="20">
        <v>44046</v>
      </c>
      <c r="B84" s="21" t="s">
        <v>601</v>
      </c>
      <c r="C84" s="20">
        <v>44046</v>
      </c>
      <c r="D84" s="21" t="s">
        <v>602</v>
      </c>
      <c r="F84" s="274">
        <f t="shared" si="2"/>
        <v>4.7705032433083498E-3</v>
      </c>
      <c r="G84" s="274">
        <f t="shared" si="3"/>
        <v>-1.6422215545294015E-2</v>
      </c>
    </row>
    <row r="85" spans="1:7" ht="14.25" customHeight="1" x14ac:dyDescent="0.3">
      <c r="A85" s="20">
        <v>44047</v>
      </c>
      <c r="B85" s="21" t="s">
        <v>603</v>
      </c>
      <c r="C85" s="20">
        <v>44047</v>
      </c>
      <c r="D85" s="21">
        <v>11095.25</v>
      </c>
      <c r="F85" s="274">
        <f t="shared" si="2"/>
        <v>1.8087685566937851E-3</v>
      </c>
      <c r="G85" s="274">
        <f t="shared" si="3"/>
        <v>1.8697932161379389E-2</v>
      </c>
    </row>
    <row r="86" spans="1:7" ht="14.25" customHeight="1" x14ac:dyDescent="0.3">
      <c r="A86" s="20">
        <v>44048</v>
      </c>
      <c r="B86" s="21" t="s">
        <v>604</v>
      </c>
      <c r="C86" s="20">
        <v>44048</v>
      </c>
      <c r="D86" s="21" t="s">
        <v>605</v>
      </c>
      <c r="F86" s="274">
        <f t="shared" si="2"/>
        <v>-2.9339162551089296E-3</v>
      </c>
      <c r="G86" s="274">
        <f t="shared" si="3"/>
        <v>5.7685862193280904E-4</v>
      </c>
    </row>
    <row r="87" spans="1:7" ht="14.25" customHeight="1" x14ac:dyDescent="0.3">
      <c r="A87" s="20">
        <v>44049</v>
      </c>
      <c r="B87" s="21" t="s">
        <v>606</v>
      </c>
      <c r="C87" s="20">
        <v>44049</v>
      </c>
      <c r="D87" s="21" t="s">
        <v>607</v>
      </c>
      <c r="F87" s="274">
        <f t="shared" si="2"/>
        <v>9.2802313644183964E-3</v>
      </c>
      <c r="G87" s="274">
        <f t="shared" si="3"/>
        <v>8.872554668374371E-3</v>
      </c>
    </row>
    <row r="88" spans="1:7" ht="14.25" customHeight="1" x14ac:dyDescent="0.3">
      <c r="A88" s="20">
        <v>44050</v>
      </c>
      <c r="B88" s="21" t="s">
        <v>608</v>
      </c>
      <c r="C88" s="20">
        <v>44050</v>
      </c>
      <c r="D88" s="21" t="s">
        <v>609</v>
      </c>
      <c r="F88" s="274">
        <f t="shared" si="2"/>
        <v>-1.5250028898965678E-2</v>
      </c>
      <c r="G88" s="274">
        <f t="shared" si="3"/>
        <v>1.2410024488719721E-3</v>
      </c>
    </row>
    <row r="89" spans="1:7" ht="14.25" customHeight="1" x14ac:dyDescent="0.3">
      <c r="A89" s="20">
        <v>44053</v>
      </c>
      <c r="B89" s="21" t="s">
        <v>610</v>
      </c>
      <c r="C89" s="20">
        <v>44053</v>
      </c>
      <c r="D89" s="21" t="s">
        <v>611</v>
      </c>
      <c r="F89" s="274">
        <f t="shared" si="2"/>
        <v>1.0475987336769957E-2</v>
      </c>
      <c r="G89" s="274">
        <f t="shared" si="3"/>
        <v>5.0027052594371233E-3</v>
      </c>
    </row>
    <row r="90" spans="1:7" ht="14.25" customHeight="1" x14ac:dyDescent="0.3">
      <c r="A90" s="20">
        <v>44054</v>
      </c>
      <c r="B90" s="21">
        <v>222.75</v>
      </c>
      <c r="C90" s="20">
        <v>44054</v>
      </c>
      <c r="D90" s="21">
        <v>11322.5</v>
      </c>
      <c r="F90" s="274">
        <f t="shared" si="2"/>
        <v>4.0567675083365293E-3</v>
      </c>
      <c r="G90" s="274">
        <f t="shared" si="3"/>
        <v>4.6449787767292505E-3</v>
      </c>
    </row>
    <row r="91" spans="1:7" ht="14.25" customHeight="1" x14ac:dyDescent="0.3">
      <c r="A91" s="20">
        <v>44055</v>
      </c>
      <c r="B91" s="21" t="s">
        <v>612</v>
      </c>
      <c r="C91" s="20">
        <v>44055</v>
      </c>
      <c r="D91" s="21" t="s">
        <v>613</v>
      </c>
      <c r="F91" s="274">
        <f t="shared" si="2"/>
        <v>-4.2648572311695249E-3</v>
      </c>
      <c r="G91" s="274">
        <f t="shared" si="3"/>
        <v>-1.2452735151247515E-3</v>
      </c>
    </row>
    <row r="92" spans="1:7" ht="14.25" customHeight="1" x14ac:dyDescent="0.3">
      <c r="A92" s="20">
        <v>44056</v>
      </c>
      <c r="B92" s="21">
        <v>222</v>
      </c>
      <c r="C92" s="20">
        <v>44056</v>
      </c>
      <c r="D92" s="21" t="s">
        <v>614</v>
      </c>
      <c r="F92" s="274">
        <f t="shared" si="2"/>
        <v>9.0169948372968451E-4</v>
      </c>
      <c r="G92" s="274">
        <f t="shared" si="3"/>
        <v>-7.0303447330101151E-4</v>
      </c>
    </row>
    <row r="93" spans="1:7" ht="14.25" customHeight="1" x14ac:dyDescent="0.3">
      <c r="A93" s="20">
        <v>44057</v>
      </c>
      <c r="B93" s="21">
        <v>220.75</v>
      </c>
      <c r="C93" s="20">
        <v>44057</v>
      </c>
      <c r="D93" s="21" t="s">
        <v>615</v>
      </c>
      <c r="F93" s="274">
        <f t="shared" si="2"/>
        <v>-5.6306306306306304E-3</v>
      </c>
      <c r="G93" s="274">
        <f t="shared" si="3"/>
        <v>-1.0800437378868946E-2</v>
      </c>
    </row>
    <row r="94" spans="1:7" ht="14.25" customHeight="1" x14ac:dyDescent="0.3">
      <c r="A94" s="20">
        <v>44060</v>
      </c>
      <c r="B94" s="21" t="s">
        <v>616</v>
      </c>
      <c r="C94" s="20">
        <v>44060</v>
      </c>
      <c r="D94" s="21" t="s">
        <v>617</v>
      </c>
      <c r="F94" s="274">
        <f t="shared" si="2"/>
        <v>-6.341988206047566E-3</v>
      </c>
      <c r="G94" s="274">
        <f t="shared" si="3"/>
        <v>6.1457110453492112E-3</v>
      </c>
    </row>
    <row r="95" spans="1:7" ht="14.25" customHeight="1" x14ac:dyDescent="0.3">
      <c r="A95" s="20">
        <v>44061</v>
      </c>
      <c r="B95" s="21" t="s">
        <v>618</v>
      </c>
      <c r="C95" s="20">
        <v>44061</v>
      </c>
      <c r="D95" s="21" t="s">
        <v>619</v>
      </c>
      <c r="F95" s="274">
        <f t="shared" si="2"/>
        <v>4.0346435370284546E-2</v>
      </c>
      <c r="G95" s="274">
        <f t="shared" si="3"/>
        <v>1.2292057935075276E-2</v>
      </c>
    </row>
    <row r="96" spans="1:7" ht="14.25" customHeight="1" x14ac:dyDescent="0.3">
      <c r="A96" s="20">
        <v>44062</v>
      </c>
      <c r="B96" s="21" t="s">
        <v>620</v>
      </c>
      <c r="C96" s="20">
        <v>44062</v>
      </c>
      <c r="D96" s="21" t="s">
        <v>621</v>
      </c>
      <c r="F96" s="274">
        <f t="shared" si="2"/>
        <v>-5.4776512564262319E-3</v>
      </c>
      <c r="G96" s="274">
        <f t="shared" si="3"/>
        <v>2.0246002135076617E-3</v>
      </c>
    </row>
    <row r="97" spans="1:7" ht="14.25" customHeight="1" x14ac:dyDescent="0.3">
      <c r="A97" s="20">
        <v>44063</v>
      </c>
      <c r="B97" s="21" t="s">
        <v>622</v>
      </c>
      <c r="C97" s="20">
        <v>44063</v>
      </c>
      <c r="D97" s="21" t="s">
        <v>623</v>
      </c>
      <c r="F97" s="274">
        <f t="shared" si="2"/>
        <v>-7.0499707699572308E-3</v>
      </c>
      <c r="G97" s="274">
        <f t="shared" si="3"/>
        <v>-8.432399987605076E-3</v>
      </c>
    </row>
    <row r="98" spans="1:7" ht="14.25" customHeight="1" x14ac:dyDescent="0.3">
      <c r="A98" s="20">
        <v>44064</v>
      </c>
      <c r="B98" s="21" t="s">
        <v>624</v>
      </c>
      <c r="C98" s="20">
        <v>44064</v>
      </c>
      <c r="D98" s="21" t="s">
        <v>625</v>
      </c>
      <c r="F98" s="274">
        <f t="shared" si="2"/>
        <v>2.6624842621543209E-3</v>
      </c>
      <c r="G98" s="274">
        <f t="shared" si="3"/>
        <v>5.2509160938571144E-3</v>
      </c>
    </row>
    <row r="99" spans="1:7" ht="14.25" customHeight="1" x14ac:dyDescent="0.3">
      <c r="A99" s="20">
        <v>44067</v>
      </c>
      <c r="B99" s="21" t="s">
        <v>626</v>
      </c>
      <c r="C99" s="20">
        <v>44067</v>
      </c>
      <c r="D99" s="21" t="s">
        <v>627</v>
      </c>
      <c r="F99" s="274">
        <f t="shared" si="2"/>
        <v>-7.7450764489316185E-3</v>
      </c>
      <c r="G99" s="274">
        <f t="shared" si="3"/>
        <v>8.341006471886599E-3</v>
      </c>
    </row>
    <row r="100" spans="1:7" ht="14.25" customHeight="1" x14ac:dyDescent="0.3">
      <c r="A100" s="20">
        <v>44068</v>
      </c>
      <c r="B100" s="21" t="s">
        <v>628</v>
      </c>
      <c r="C100" s="20">
        <v>44068</v>
      </c>
      <c r="D100" s="21">
        <v>11472.25</v>
      </c>
      <c r="F100" s="274">
        <f t="shared" si="2"/>
        <v>-8.2515203831785566E-3</v>
      </c>
      <c r="G100" s="274">
        <f t="shared" si="3"/>
        <v>5.0580646919575584E-4</v>
      </c>
    </row>
    <row r="101" spans="1:7" ht="14.25" customHeight="1" x14ac:dyDescent="0.3">
      <c r="A101" s="20">
        <v>44069</v>
      </c>
      <c r="B101" s="21" t="s">
        <v>629</v>
      </c>
      <c r="C101" s="20">
        <v>44069</v>
      </c>
      <c r="D101" s="21" t="s">
        <v>630</v>
      </c>
      <c r="F101" s="274">
        <f t="shared" si="2"/>
        <v>-6.7461207952550055E-3</v>
      </c>
      <c r="G101" s="274">
        <f t="shared" si="3"/>
        <v>6.7423225064830354E-3</v>
      </c>
    </row>
    <row r="102" spans="1:7" ht="14.25" customHeight="1" x14ac:dyDescent="0.3">
      <c r="A102" s="20">
        <v>44070</v>
      </c>
      <c r="B102" s="21" t="s">
        <v>631</v>
      </c>
      <c r="C102" s="20">
        <v>44070</v>
      </c>
      <c r="D102" s="21">
        <v>11559.25</v>
      </c>
      <c r="F102" s="274">
        <f t="shared" si="2"/>
        <v>2.2639800144069007E-3</v>
      </c>
      <c r="G102" s="274">
        <f t="shared" si="3"/>
        <v>8.3556062126747827E-4</v>
      </c>
    </row>
    <row r="103" spans="1:7" ht="14.25" customHeight="1" x14ac:dyDescent="0.3">
      <c r="A103" s="20">
        <v>44071</v>
      </c>
      <c r="B103" s="21" t="s">
        <v>632</v>
      </c>
      <c r="C103" s="20">
        <v>44071</v>
      </c>
      <c r="D103" s="21" t="s">
        <v>633</v>
      </c>
      <c r="F103" s="274">
        <f t="shared" si="2"/>
        <v>4.9694638102362413E-3</v>
      </c>
      <c r="G103" s="274">
        <f t="shared" si="3"/>
        <v>7.6431956549949179E-3</v>
      </c>
    </row>
    <row r="104" spans="1:7" ht="14.25" customHeight="1" x14ac:dyDescent="0.3">
      <c r="A104" s="20">
        <v>44074</v>
      </c>
      <c r="B104" s="21" t="s">
        <v>634</v>
      </c>
      <c r="C104" s="20">
        <v>44074</v>
      </c>
      <c r="D104" s="21">
        <v>11387.5</v>
      </c>
      <c r="F104" s="274">
        <f t="shared" si="2"/>
        <v>-5.3495140749558211E-2</v>
      </c>
      <c r="G104" s="274">
        <f t="shared" si="3"/>
        <v>-2.2330747801946185E-2</v>
      </c>
    </row>
    <row r="105" spans="1:7" ht="14.25" customHeight="1" x14ac:dyDescent="0.3">
      <c r="A105" s="20">
        <v>44075</v>
      </c>
      <c r="B105" s="21">
        <v>213</v>
      </c>
      <c r="C105" s="20">
        <v>44075</v>
      </c>
      <c r="D105" s="21">
        <v>11470.25</v>
      </c>
      <c r="F105" s="274">
        <f t="shared" si="2"/>
        <v>1.1636176265648205E-2</v>
      </c>
      <c r="G105" s="274">
        <f t="shared" si="3"/>
        <v>7.2667398463227223E-3</v>
      </c>
    </row>
    <row r="106" spans="1:7" ht="14.25" customHeight="1" x14ac:dyDescent="0.3">
      <c r="A106" s="20">
        <v>44076</v>
      </c>
      <c r="B106" s="21">
        <v>217.25</v>
      </c>
      <c r="C106" s="20">
        <v>44076</v>
      </c>
      <c r="D106" s="21">
        <v>11535</v>
      </c>
      <c r="F106" s="274">
        <f t="shared" si="2"/>
        <v>1.9953051643192488E-2</v>
      </c>
      <c r="G106" s="274">
        <f t="shared" si="3"/>
        <v>5.6450382511279177E-3</v>
      </c>
    </row>
    <row r="107" spans="1:7" ht="14.25" customHeight="1" x14ac:dyDescent="0.3">
      <c r="A107" s="20">
        <v>44077</v>
      </c>
      <c r="B107" s="21" t="s">
        <v>635</v>
      </c>
      <c r="C107" s="20">
        <v>44077</v>
      </c>
      <c r="D107" s="21" t="s">
        <v>636</v>
      </c>
      <c r="F107" s="274">
        <f t="shared" si="2"/>
        <v>-1.2197900559194478E-2</v>
      </c>
      <c r="G107" s="274">
        <f t="shared" si="3"/>
        <v>-6.5451276007802341E-4</v>
      </c>
    </row>
    <row r="108" spans="1:7" ht="14.25" customHeight="1" x14ac:dyDescent="0.3">
      <c r="A108" s="20">
        <v>44078</v>
      </c>
      <c r="B108" s="21">
        <v>208.5</v>
      </c>
      <c r="C108" s="20">
        <v>44078</v>
      </c>
      <c r="D108" s="21" t="s">
        <v>637</v>
      </c>
      <c r="F108" s="274">
        <f t="shared" si="2"/>
        <v>-2.8425004333749112E-2</v>
      </c>
      <c r="G108" s="274">
        <f t="shared" si="3"/>
        <v>-1.6794744948559863E-2</v>
      </c>
    </row>
    <row r="109" spans="1:7" ht="14.25" customHeight="1" x14ac:dyDescent="0.3">
      <c r="A109" s="20">
        <v>44081</v>
      </c>
      <c r="B109" s="21" t="s">
        <v>634</v>
      </c>
      <c r="C109" s="20">
        <v>44081</v>
      </c>
      <c r="D109" s="21" t="s">
        <v>638</v>
      </c>
      <c r="F109" s="274">
        <f t="shared" si="2"/>
        <v>9.8321489292901108E-3</v>
      </c>
      <c r="G109" s="274">
        <f t="shared" si="3"/>
        <v>1.870520259503344E-3</v>
      </c>
    </row>
    <row r="110" spans="1:7" ht="14.25" customHeight="1" x14ac:dyDescent="0.3">
      <c r="A110" s="20">
        <v>44082</v>
      </c>
      <c r="B110" s="21">
        <v>206.5</v>
      </c>
      <c r="C110" s="20">
        <v>44082</v>
      </c>
      <c r="D110" s="21" t="s">
        <v>639</v>
      </c>
      <c r="F110" s="274">
        <f t="shared" si="2"/>
        <v>-1.9235350240111013E-2</v>
      </c>
      <c r="G110" s="274">
        <f t="shared" si="3"/>
        <v>-3.3201259317186711E-3</v>
      </c>
    </row>
    <row r="111" spans="1:7" ht="14.25" customHeight="1" x14ac:dyDescent="0.3">
      <c r="A111" s="20">
        <v>44083</v>
      </c>
      <c r="B111" s="21" t="s">
        <v>640</v>
      </c>
      <c r="C111" s="20">
        <v>44083</v>
      </c>
      <c r="D111" s="21">
        <v>11278</v>
      </c>
      <c r="F111" s="274">
        <f t="shared" si="2"/>
        <v>1.4285699507225125E-2</v>
      </c>
      <c r="G111" s="274">
        <f t="shared" si="3"/>
        <v>-3.4769279675166877E-3</v>
      </c>
    </row>
    <row r="112" spans="1:7" ht="14.25" customHeight="1" x14ac:dyDescent="0.3">
      <c r="A112" s="20">
        <v>44084</v>
      </c>
      <c r="B112" s="21" t="s">
        <v>641</v>
      </c>
      <c r="C112" s="20">
        <v>44084</v>
      </c>
      <c r="D112" s="21">
        <v>11449.25</v>
      </c>
      <c r="F112" s="274">
        <f t="shared" si="2"/>
        <v>1.6710432327506304E-2</v>
      </c>
      <c r="G112" s="274">
        <f t="shared" si="3"/>
        <v>1.5184429863450966E-2</v>
      </c>
    </row>
    <row r="113" spans="1:7" ht="14.25" customHeight="1" x14ac:dyDescent="0.3">
      <c r="A113" s="20">
        <v>44085</v>
      </c>
      <c r="B113" s="21" t="s">
        <v>642</v>
      </c>
      <c r="C113" s="20">
        <v>44085</v>
      </c>
      <c r="D113" s="21" t="s">
        <v>643</v>
      </c>
      <c r="F113" s="274">
        <f t="shared" si="2"/>
        <v>-2.3479690404575411E-3</v>
      </c>
      <c r="G113" s="274">
        <f t="shared" si="3"/>
        <v>1.3276149365678974E-3</v>
      </c>
    </row>
    <row r="114" spans="1:7" ht="14.25" customHeight="1" x14ac:dyDescent="0.3">
      <c r="A114" s="20">
        <v>44088</v>
      </c>
      <c r="B114" s="21" t="s">
        <v>644</v>
      </c>
      <c r="C114" s="20">
        <v>44088</v>
      </c>
      <c r="D114" s="21" t="s">
        <v>645</v>
      </c>
      <c r="F114" s="274">
        <f t="shared" si="2"/>
        <v>-6.3543933354627425E-3</v>
      </c>
      <c r="G114" s="274">
        <f t="shared" si="3"/>
        <v>-2.1283524468514552E-3</v>
      </c>
    </row>
    <row r="115" spans="1:7" ht="14.25" customHeight="1" x14ac:dyDescent="0.3">
      <c r="A115" s="20">
        <v>44089</v>
      </c>
      <c r="B115" s="21" t="s">
        <v>646</v>
      </c>
      <c r="C115" s="20">
        <v>44089</v>
      </c>
      <c r="D115" s="21" t="s">
        <v>647</v>
      </c>
      <c r="F115" s="274">
        <f t="shared" si="2"/>
        <v>3.0080486315160065E-2</v>
      </c>
      <c r="G115" s="274">
        <f t="shared" si="3"/>
        <v>7.1459479106903336E-3</v>
      </c>
    </row>
    <row r="116" spans="1:7" ht="14.25" customHeight="1" x14ac:dyDescent="0.3">
      <c r="A116" s="20">
        <v>44090</v>
      </c>
      <c r="B116" s="21" t="s">
        <v>648</v>
      </c>
      <c r="C116" s="20">
        <v>44090</v>
      </c>
      <c r="D116" s="21" t="s">
        <v>649</v>
      </c>
      <c r="F116" s="274">
        <f t="shared" si="2"/>
        <v>5.2886142626469628E-3</v>
      </c>
      <c r="G116" s="274">
        <f t="shared" si="3"/>
        <v>7.1820376506050903E-3</v>
      </c>
    </row>
    <row r="117" spans="1:7" ht="14.25" customHeight="1" x14ac:dyDescent="0.3">
      <c r="A117" s="20">
        <v>44091</v>
      </c>
      <c r="B117" s="21" t="s">
        <v>650</v>
      </c>
      <c r="C117" s="20">
        <v>44091</v>
      </c>
      <c r="D117" s="21" t="s">
        <v>651</v>
      </c>
      <c r="F117" s="274">
        <f t="shared" si="2"/>
        <v>7.7767470300846133E-3</v>
      </c>
      <c r="G117" s="274">
        <f t="shared" si="3"/>
        <v>-7.6220272911209138E-3</v>
      </c>
    </row>
    <row r="118" spans="1:7" ht="14.25" customHeight="1" x14ac:dyDescent="0.3">
      <c r="A118" s="20">
        <v>44092</v>
      </c>
      <c r="B118" s="21">
        <v>220</v>
      </c>
      <c r="C118" s="20">
        <v>44092</v>
      </c>
      <c r="D118" s="21" t="s">
        <v>652</v>
      </c>
      <c r="F118" s="274">
        <f t="shared" si="2"/>
        <v>-1.3617932256065651E-3</v>
      </c>
      <c r="G118" s="274">
        <f t="shared" si="3"/>
        <v>-9.6815887676271147E-4</v>
      </c>
    </row>
    <row r="119" spans="1:7" ht="14.25" customHeight="1" x14ac:dyDescent="0.3">
      <c r="A119" s="20">
        <v>44095</v>
      </c>
      <c r="B119" s="21">
        <v>209.75</v>
      </c>
      <c r="C119" s="20">
        <v>44095</v>
      </c>
      <c r="D119" s="21" t="s">
        <v>653</v>
      </c>
      <c r="F119" s="274">
        <f t="shared" si="2"/>
        <v>-4.6590909090909093E-2</v>
      </c>
      <c r="G119" s="274">
        <f t="shared" si="3"/>
        <v>-2.2112254838673809E-2</v>
      </c>
    </row>
    <row r="120" spans="1:7" ht="14.25" customHeight="1" x14ac:dyDescent="0.3">
      <c r="A120" s="20">
        <v>44096</v>
      </c>
      <c r="B120" s="21" t="s">
        <v>654</v>
      </c>
      <c r="C120" s="20">
        <v>44096</v>
      </c>
      <c r="D120" s="21" t="s">
        <v>655</v>
      </c>
      <c r="F120" s="274">
        <f t="shared" si="2"/>
        <v>-1.4064347786617458E-2</v>
      </c>
      <c r="G120" s="274">
        <f t="shared" si="3"/>
        <v>-8.6128603263573144E-3</v>
      </c>
    </row>
    <row r="121" spans="1:7" ht="14.25" customHeight="1" x14ac:dyDescent="0.3">
      <c r="A121" s="20">
        <v>44097</v>
      </c>
      <c r="B121" s="21">
        <v>209.25</v>
      </c>
      <c r="C121" s="20">
        <v>44097</v>
      </c>
      <c r="D121" s="21" t="s">
        <v>656</v>
      </c>
      <c r="F121" s="274">
        <f t="shared" si="2"/>
        <v>1.1847180425958878E-2</v>
      </c>
      <c r="G121" s="274">
        <f t="shared" si="3"/>
        <v>-1.9545871070447262E-3</v>
      </c>
    </row>
    <row r="122" spans="1:7" ht="14.25" customHeight="1" x14ac:dyDescent="0.3">
      <c r="A122" s="20">
        <v>44098</v>
      </c>
      <c r="B122" s="21">
        <v>198.25</v>
      </c>
      <c r="C122" s="20">
        <v>44098</v>
      </c>
      <c r="D122" s="21" t="s">
        <v>657</v>
      </c>
      <c r="F122" s="274">
        <f t="shared" si="2"/>
        <v>-5.2568697729988054E-2</v>
      </c>
      <c r="G122" s="274">
        <f t="shared" si="3"/>
        <v>-2.9312272096516417E-2</v>
      </c>
    </row>
    <row r="123" spans="1:7" ht="14.25" customHeight="1" x14ac:dyDescent="0.3">
      <c r="A123" s="20">
        <v>44099</v>
      </c>
      <c r="B123" s="21">
        <v>205.5</v>
      </c>
      <c r="C123" s="20">
        <v>44099</v>
      </c>
      <c r="D123" s="21">
        <v>11050.25</v>
      </c>
      <c r="F123" s="274">
        <f t="shared" si="2"/>
        <v>3.6569987389659518E-2</v>
      </c>
      <c r="G123" s="274">
        <f t="shared" si="3"/>
        <v>2.264578848235449E-2</v>
      </c>
    </row>
    <row r="124" spans="1:7" ht="14.25" customHeight="1" x14ac:dyDescent="0.3">
      <c r="A124" s="20">
        <v>44102</v>
      </c>
      <c r="B124" s="21" t="s">
        <v>658</v>
      </c>
      <c r="C124" s="20">
        <v>44102</v>
      </c>
      <c r="D124" s="21" t="s">
        <v>659</v>
      </c>
      <c r="F124" s="274">
        <f t="shared" si="2"/>
        <v>2.9926977598462315E-2</v>
      </c>
      <c r="G124" s="274">
        <f t="shared" si="3"/>
        <v>1.6044868187371327E-2</v>
      </c>
    </row>
    <row r="125" spans="1:7" ht="14.25" customHeight="1" x14ac:dyDescent="0.3">
      <c r="A125" s="20">
        <v>44103</v>
      </c>
      <c r="B125" s="21" t="s">
        <v>660</v>
      </c>
      <c r="C125" s="20">
        <v>44103</v>
      </c>
      <c r="D125" s="21" t="s">
        <v>661</v>
      </c>
      <c r="F125" s="274">
        <f t="shared" si="2"/>
        <v>2.3623908075544063E-2</v>
      </c>
      <c r="G125" s="274">
        <f t="shared" si="3"/>
        <v>-4.5864094589454597E-4</v>
      </c>
    </row>
    <row r="126" spans="1:7" ht="14.25" customHeight="1" x14ac:dyDescent="0.3">
      <c r="A126" s="20">
        <v>44104</v>
      </c>
      <c r="B126" s="21">
        <v>217</v>
      </c>
      <c r="C126" s="20">
        <v>44104</v>
      </c>
      <c r="D126" s="21" t="s">
        <v>662</v>
      </c>
      <c r="F126" s="274">
        <f t="shared" si="2"/>
        <v>1.6155371030530858E-3</v>
      </c>
      <c r="G126" s="274">
        <f t="shared" si="3"/>
        <v>2.2410013176422921E-3</v>
      </c>
    </row>
    <row r="127" spans="1:7" ht="14.25" customHeight="1" x14ac:dyDescent="0.3">
      <c r="A127" s="20">
        <v>44105</v>
      </c>
      <c r="B127" s="21" t="s">
        <v>663</v>
      </c>
      <c r="C127" s="20">
        <v>44105</v>
      </c>
      <c r="D127" s="21" t="s">
        <v>664</v>
      </c>
      <c r="F127" s="274">
        <f t="shared" si="2"/>
        <v>1.9354824646276445E-2</v>
      </c>
      <c r="G127" s="274">
        <f t="shared" si="3"/>
        <v>1.5061092732783554E-2</v>
      </c>
    </row>
    <row r="128" spans="1:7" ht="14.25" customHeight="1" x14ac:dyDescent="0.3">
      <c r="A128" s="20">
        <v>44109</v>
      </c>
      <c r="B128" s="21" t="s">
        <v>631</v>
      </c>
      <c r="C128" s="20">
        <v>44109</v>
      </c>
      <c r="D128" s="21" t="s">
        <v>665</v>
      </c>
      <c r="F128" s="274">
        <f t="shared" si="2"/>
        <v>6.7816074748007992E-4</v>
      </c>
      <c r="G128" s="274">
        <f t="shared" si="3"/>
        <v>7.5676439490796176E-3</v>
      </c>
    </row>
    <row r="129" spans="1:7" ht="14.25" customHeight="1" x14ac:dyDescent="0.3">
      <c r="A129" s="20">
        <v>44110</v>
      </c>
      <c r="B129" s="21" t="s">
        <v>666</v>
      </c>
      <c r="C129" s="20">
        <v>44110</v>
      </c>
      <c r="D129" s="21" t="s">
        <v>667</v>
      </c>
      <c r="F129" s="274">
        <f t="shared" si="2"/>
        <v>1.7845027509937182E-2</v>
      </c>
      <c r="G129" s="274">
        <f t="shared" si="3"/>
        <v>1.3826475474619739E-2</v>
      </c>
    </row>
    <row r="130" spans="1:7" ht="14.25" customHeight="1" x14ac:dyDescent="0.3">
      <c r="A130" s="20">
        <v>44111</v>
      </c>
      <c r="B130" s="21" t="s">
        <v>668</v>
      </c>
      <c r="C130" s="20">
        <v>44111</v>
      </c>
      <c r="D130" s="21" t="s">
        <v>669</v>
      </c>
      <c r="F130" s="274">
        <f t="shared" si="2"/>
        <v>4.2166000316553987E-2</v>
      </c>
      <c r="G130" s="274">
        <f t="shared" si="3"/>
        <v>6.5551872847252682E-3</v>
      </c>
    </row>
    <row r="131" spans="1:7" ht="14.25" customHeight="1" x14ac:dyDescent="0.3">
      <c r="A131" s="20">
        <v>44112</v>
      </c>
      <c r="B131" s="21" t="s">
        <v>670</v>
      </c>
      <c r="C131" s="20">
        <v>44112</v>
      </c>
      <c r="D131" s="21" t="s">
        <v>671</v>
      </c>
      <c r="F131" s="274">
        <f t="shared" ref="F131:F194" si="4">(B131-B130)/B130</f>
        <v>1.4267422492275601E-2</v>
      </c>
      <c r="G131" s="274">
        <f t="shared" ref="G131:G194" si="5">(D131-D130)/D130</f>
        <v>8.1566766068398352E-3</v>
      </c>
    </row>
    <row r="132" spans="1:7" ht="14.25" customHeight="1" x14ac:dyDescent="0.3">
      <c r="A132" s="20">
        <v>44113</v>
      </c>
      <c r="B132" s="21" t="s">
        <v>672</v>
      </c>
      <c r="C132" s="20">
        <v>44113</v>
      </c>
      <c r="D132" s="21" t="s">
        <v>673</v>
      </c>
      <c r="F132" s="274">
        <f t="shared" si="4"/>
        <v>5.0388924534367201E-3</v>
      </c>
      <c r="G132" s="274">
        <f t="shared" si="5"/>
        <v>6.7260903253915667E-3</v>
      </c>
    </row>
    <row r="133" spans="1:7" ht="14.25" customHeight="1" x14ac:dyDescent="0.3">
      <c r="A133" s="20">
        <v>44116</v>
      </c>
      <c r="B133" s="21" t="s">
        <v>674</v>
      </c>
      <c r="C133" s="20">
        <v>44116</v>
      </c>
      <c r="D133" s="21" t="s">
        <v>675</v>
      </c>
      <c r="F133" s="274">
        <f t="shared" si="4"/>
        <v>-3.9691338324851734E-3</v>
      </c>
      <c r="G133" s="274">
        <f t="shared" si="5"/>
        <v>1.4058853909967107E-3</v>
      </c>
    </row>
    <row r="134" spans="1:7" ht="14.25" customHeight="1" x14ac:dyDescent="0.3">
      <c r="A134" s="20">
        <v>44117</v>
      </c>
      <c r="B134" s="21">
        <v>241.75</v>
      </c>
      <c r="C134" s="20">
        <v>44117</v>
      </c>
      <c r="D134" s="21">
        <v>11934.5</v>
      </c>
      <c r="F134" s="274">
        <f t="shared" si="4"/>
        <v>1.4052039384575677E-2</v>
      </c>
      <c r="G134" s="274">
        <f t="shared" si="5"/>
        <v>2.9752908438882491E-4</v>
      </c>
    </row>
    <row r="135" spans="1:7" ht="14.25" customHeight="1" x14ac:dyDescent="0.3">
      <c r="A135" s="20">
        <v>44118</v>
      </c>
      <c r="B135" s="21" t="s">
        <v>676</v>
      </c>
      <c r="C135" s="20">
        <v>44118</v>
      </c>
      <c r="D135" s="21" t="s">
        <v>677</v>
      </c>
      <c r="F135" s="274">
        <f t="shared" si="4"/>
        <v>2.0062072817021714E-2</v>
      </c>
      <c r="G135" s="274">
        <f t="shared" si="5"/>
        <v>3.0625333853533873E-3</v>
      </c>
    </row>
    <row r="136" spans="1:7" ht="14.25" customHeight="1" x14ac:dyDescent="0.3">
      <c r="A136" s="20">
        <v>44119</v>
      </c>
      <c r="B136" s="21" t="s">
        <v>678</v>
      </c>
      <c r="C136" s="20">
        <v>44119</v>
      </c>
      <c r="D136" s="21" t="s">
        <v>679</v>
      </c>
      <c r="F136" s="274">
        <f t="shared" si="4"/>
        <v>-1.3179237305597434E-2</v>
      </c>
      <c r="G136" s="274">
        <f t="shared" si="5"/>
        <v>-2.4283600858353342E-2</v>
      </c>
    </row>
    <row r="137" spans="1:7" ht="14.25" customHeight="1" x14ac:dyDescent="0.3">
      <c r="A137" s="20">
        <v>44120</v>
      </c>
      <c r="B137" s="21">
        <v>248</v>
      </c>
      <c r="C137" s="20">
        <v>44120</v>
      </c>
      <c r="D137" s="21" t="s">
        <v>680</v>
      </c>
      <c r="F137" s="274">
        <f t="shared" si="4"/>
        <v>1.9108254694298259E-2</v>
      </c>
      <c r="G137" s="274">
        <f t="shared" si="5"/>
        <v>7.0289493622351512E-3</v>
      </c>
    </row>
    <row r="138" spans="1:7" ht="14.25" customHeight="1" x14ac:dyDescent="0.3">
      <c r="A138" s="20">
        <v>44123</v>
      </c>
      <c r="B138" s="21" t="s">
        <v>681</v>
      </c>
      <c r="C138" s="20">
        <v>44123</v>
      </c>
      <c r="D138" s="21" t="s">
        <v>682</v>
      </c>
      <c r="F138" s="274">
        <f t="shared" si="4"/>
        <v>-1.612878614858872E-3</v>
      </c>
      <c r="G138" s="274">
        <f t="shared" si="5"/>
        <v>9.4027696218493221E-3</v>
      </c>
    </row>
    <row r="139" spans="1:7" ht="14.25" customHeight="1" x14ac:dyDescent="0.3">
      <c r="A139" s="20">
        <v>44124</v>
      </c>
      <c r="B139" s="21" t="s">
        <v>683</v>
      </c>
      <c r="C139" s="20">
        <v>44124</v>
      </c>
      <c r="D139" s="21" t="s">
        <v>684</v>
      </c>
      <c r="F139" s="274">
        <f t="shared" si="4"/>
        <v>1.5549235661639724E-2</v>
      </c>
      <c r="G139" s="274">
        <f t="shared" si="5"/>
        <v>2.000328507897226E-3</v>
      </c>
    </row>
    <row r="140" spans="1:7" ht="14.25" customHeight="1" x14ac:dyDescent="0.3">
      <c r="A140" s="20">
        <v>44125</v>
      </c>
      <c r="B140" s="21" t="s">
        <v>685</v>
      </c>
      <c r="C140" s="20">
        <v>44125</v>
      </c>
      <c r="D140" s="21" t="s">
        <v>686</v>
      </c>
      <c r="F140" s="274">
        <f t="shared" si="4"/>
        <v>7.5562106913212874E-3</v>
      </c>
      <c r="G140" s="274">
        <f t="shared" si="5"/>
        <v>3.4337457642520234E-3</v>
      </c>
    </row>
    <row r="141" spans="1:7" ht="14.25" customHeight="1" x14ac:dyDescent="0.3">
      <c r="A141" s="20">
        <v>44126</v>
      </c>
      <c r="B141" s="21" t="s">
        <v>687</v>
      </c>
      <c r="C141" s="20">
        <v>44126</v>
      </c>
      <c r="D141" s="21" t="s">
        <v>688</v>
      </c>
      <c r="F141" s="274">
        <f t="shared" si="4"/>
        <v>9.8677716193878344E-4</v>
      </c>
      <c r="G141" s="274">
        <f t="shared" si="5"/>
        <v>-3.4512817819539903E-3</v>
      </c>
    </row>
    <row r="142" spans="1:7" ht="14.25" customHeight="1" x14ac:dyDescent="0.3">
      <c r="A142" s="20">
        <v>44127</v>
      </c>
      <c r="B142" s="21" t="s">
        <v>689</v>
      </c>
      <c r="C142" s="20">
        <v>44127</v>
      </c>
      <c r="D142" s="21" t="s">
        <v>690</v>
      </c>
      <c r="F142" s="274">
        <f t="shared" si="4"/>
        <v>-2.444799707339226E-2</v>
      </c>
      <c r="G142" s="274">
        <f t="shared" si="5"/>
        <v>2.8495402835256875E-3</v>
      </c>
    </row>
    <row r="143" spans="1:7" ht="14.25" customHeight="1" x14ac:dyDescent="0.3">
      <c r="A143" s="20">
        <v>44130</v>
      </c>
      <c r="B143" s="21" t="s">
        <v>691</v>
      </c>
      <c r="C143" s="20">
        <v>44130</v>
      </c>
      <c r="D143" s="21">
        <v>11767.75</v>
      </c>
      <c r="F143" s="274">
        <f t="shared" si="4"/>
        <v>-9.4987506172303695E-3</v>
      </c>
      <c r="G143" s="274">
        <f t="shared" si="5"/>
        <v>-1.3629073304543183E-2</v>
      </c>
    </row>
    <row r="144" spans="1:7" ht="14.25" customHeight="1" x14ac:dyDescent="0.3">
      <c r="A144" s="20">
        <v>44131</v>
      </c>
      <c r="B144" s="21" t="s">
        <v>692</v>
      </c>
      <c r="C144" s="20">
        <v>44131</v>
      </c>
      <c r="D144" s="21" t="s">
        <v>693</v>
      </c>
      <c r="F144" s="274">
        <f t="shared" si="4"/>
        <v>4.4072650141844492E-2</v>
      </c>
      <c r="G144" s="274">
        <f t="shared" si="5"/>
        <v>1.0337608346965222E-2</v>
      </c>
    </row>
    <row r="145" spans="1:7" ht="14.25" customHeight="1" x14ac:dyDescent="0.3">
      <c r="A145" s="20">
        <v>44132</v>
      </c>
      <c r="B145" s="21" t="s">
        <v>694</v>
      </c>
      <c r="C145" s="20">
        <v>44132</v>
      </c>
      <c r="D145" s="21" t="s">
        <v>695</v>
      </c>
      <c r="F145" s="274">
        <f t="shared" si="4"/>
        <v>-1.582959919930356E-2</v>
      </c>
      <c r="G145" s="274">
        <f t="shared" si="5"/>
        <v>-1.3440608945763632E-2</v>
      </c>
    </row>
    <row r="146" spans="1:7" ht="14.25" customHeight="1" x14ac:dyDescent="0.3">
      <c r="A146" s="20">
        <v>44133</v>
      </c>
      <c r="B146" s="21">
        <v>254</v>
      </c>
      <c r="C146" s="20">
        <v>44133</v>
      </c>
      <c r="D146" s="21" t="s">
        <v>696</v>
      </c>
      <c r="F146" s="274">
        <f t="shared" si="4"/>
        <v>8.7370807052405269E-3</v>
      </c>
      <c r="G146" s="274">
        <f t="shared" si="5"/>
        <v>-5.012942184360979E-3</v>
      </c>
    </row>
    <row r="147" spans="1:7" ht="14.25" customHeight="1" x14ac:dyDescent="0.3">
      <c r="A147" s="20">
        <v>44134</v>
      </c>
      <c r="B147" s="21" t="s">
        <v>697</v>
      </c>
      <c r="C147" s="20">
        <v>44134</v>
      </c>
      <c r="D147" s="21" t="s">
        <v>698</v>
      </c>
      <c r="F147" s="274">
        <f t="shared" si="4"/>
        <v>2.2440992941067019E-2</v>
      </c>
      <c r="G147" s="274">
        <f t="shared" si="5"/>
        <v>-2.4333734223676395E-3</v>
      </c>
    </row>
    <row r="148" spans="1:7" ht="14.25" customHeight="1" x14ac:dyDescent="0.3">
      <c r="A148" s="20">
        <v>44137</v>
      </c>
      <c r="B148" s="21">
        <v>260.5</v>
      </c>
      <c r="C148" s="20">
        <v>44137</v>
      </c>
      <c r="D148" s="21" t="s">
        <v>699</v>
      </c>
      <c r="F148" s="274">
        <f t="shared" si="4"/>
        <v>3.0804303248597184E-3</v>
      </c>
      <c r="G148" s="274">
        <f t="shared" si="5"/>
        <v>2.2976361491175257E-3</v>
      </c>
    </row>
    <row r="149" spans="1:7" ht="14.25" customHeight="1" x14ac:dyDescent="0.3">
      <c r="A149" s="20">
        <v>44138</v>
      </c>
      <c r="B149" s="21">
        <v>262</v>
      </c>
      <c r="C149" s="20">
        <v>44138</v>
      </c>
      <c r="D149" s="21">
        <v>11813.5</v>
      </c>
      <c r="F149" s="274">
        <f t="shared" si="4"/>
        <v>5.7581573896353169E-3</v>
      </c>
      <c r="G149" s="274">
        <f t="shared" si="5"/>
        <v>1.2370190163199074E-2</v>
      </c>
    </row>
    <row r="150" spans="1:7" ht="14.25" customHeight="1" x14ac:dyDescent="0.3">
      <c r="A150" s="20">
        <v>44139</v>
      </c>
      <c r="B150" s="21" t="s">
        <v>700</v>
      </c>
      <c r="C150" s="20">
        <v>44139</v>
      </c>
      <c r="D150" s="21">
        <v>11908.5</v>
      </c>
      <c r="F150" s="274">
        <f t="shared" si="4"/>
        <v>9.1602820476487674E-3</v>
      </c>
      <c r="G150" s="274">
        <f t="shared" si="5"/>
        <v>8.041647267956151E-3</v>
      </c>
    </row>
    <row r="151" spans="1:7" ht="14.25" customHeight="1" x14ac:dyDescent="0.3">
      <c r="A151" s="20">
        <v>44140</v>
      </c>
      <c r="B151" s="21">
        <v>255.75</v>
      </c>
      <c r="C151" s="20">
        <v>44140</v>
      </c>
      <c r="D151" s="21" t="s">
        <v>701</v>
      </c>
      <c r="F151" s="274">
        <f t="shared" si="4"/>
        <v>-3.2715560121648724E-2</v>
      </c>
      <c r="G151" s="274">
        <f t="shared" si="5"/>
        <v>1.7785598915690475E-2</v>
      </c>
    </row>
    <row r="152" spans="1:7" ht="14.25" customHeight="1" x14ac:dyDescent="0.3">
      <c r="A152" s="20">
        <v>44141</v>
      </c>
      <c r="B152" s="21">
        <v>248</v>
      </c>
      <c r="C152" s="20">
        <v>44141</v>
      </c>
      <c r="D152" s="21" t="s">
        <v>702</v>
      </c>
      <c r="F152" s="274">
        <f t="shared" si="4"/>
        <v>-3.0303030303030304E-2</v>
      </c>
      <c r="G152" s="274">
        <f t="shared" si="5"/>
        <v>1.1819014571289595E-2</v>
      </c>
    </row>
    <row r="153" spans="1:7" ht="14.25" customHeight="1" x14ac:dyDescent="0.3">
      <c r="A153" s="20">
        <v>44144</v>
      </c>
      <c r="B153" s="21" t="s">
        <v>703</v>
      </c>
      <c r="C153" s="20">
        <v>44144</v>
      </c>
      <c r="D153" s="21" t="s">
        <v>704</v>
      </c>
      <c r="F153" s="274">
        <f t="shared" si="4"/>
        <v>5.2419477893426948E-3</v>
      </c>
      <c r="G153" s="274">
        <f t="shared" si="5"/>
        <v>1.6104635537461554E-2</v>
      </c>
    </row>
    <row r="154" spans="1:7" ht="14.25" customHeight="1" x14ac:dyDescent="0.3">
      <c r="A154" s="20">
        <v>44145</v>
      </c>
      <c r="B154" s="21" t="s">
        <v>705</v>
      </c>
      <c r="C154" s="20">
        <v>44145</v>
      </c>
      <c r="D154" s="21" t="s">
        <v>706</v>
      </c>
      <c r="F154" s="274">
        <f t="shared" si="4"/>
        <v>2.4067021154526563E-3</v>
      </c>
      <c r="G154" s="274">
        <f t="shared" si="5"/>
        <v>1.3646507104363872E-2</v>
      </c>
    </row>
    <row r="155" spans="1:7" ht="14.25" customHeight="1" x14ac:dyDescent="0.3">
      <c r="A155" s="20">
        <v>44146</v>
      </c>
      <c r="B155" s="21" t="s">
        <v>697</v>
      </c>
      <c r="C155" s="20">
        <v>44146</v>
      </c>
      <c r="D155" s="21" t="s">
        <v>707</v>
      </c>
      <c r="F155" s="274">
        <f t="shared" si="4"/>
        <v>3.921576050380568E-2</v>
      </c>
      <c r="G155" s="274">
        <f t="shared" si="5"/>
        <v>9.3460415087203378E-3</v>
      </c>
    </row>
    <row r="156" spans="1:7" ht="14.25" customHeight="1" x14ac:dyDescent="0.3">
      <c r="A156" s="20">
        <v>44147</v>
      </c>
      <c r="B156" s="21" t="s">
        <v>708</v>
      </c>
      <c r="C156" s="20">
        <v>44147</v>
      </c>
      <c r="D156" s="21" t="s">
        <v>709</v>
      </c>
      <c r="F156" s="274">
        <f t="shared" si="4"/>
        <v>1.2129355981596274E-2</v>
      </c>
      <c r="G156" s="274">
        <f t="shared" si="5"/>
        <v>-4.5768215253314216E-3</v>
      </c>
    </row>
    <row r="157" spans="1:7" ht="14.25" customHeight="1" x14ac:dyDescent="0.3">
      <c r="A157" s="20">
        <v>44148</v>
      </c>
      <c r="B157" s="21" t="s">
        <v>710</v>
      </c>
      <c r="C157" s="20">
        <v>44148</v>
      </c>
      <c r="D157" s="21" t="s">
        <v>711</v>
      </c>
      <c r="F157" s="274">
        <f t="shared" si="4"/>
        <v>-1.959290004526695E-2</v>
      </c>
      <c r="G157" s="274">
        <f t="shared" si="5"/>
        <v>2.2969703307614193E-3</v>
      </c>
    </row>
    <row r="158" spans="1:7" ht="14.25" customHeight="1" x14ac:dyDescent="0.3">
      <c r="A158" s="20">
        <v>44152</v>
      </c>
      <c r="B158" s="21" t="s">
        <v>712</v>
      </c>
      <c r="C158" s="20">
        <v>44152</v>
      </c>
      <c r="D158" s="21" t="s">
        <v>713</v>
      </c>
      <c r="F158" s="274">
        <f t="shared" si="4"/>
        <v>4.0162883568752125E-2</v>
      </c>
      <c r="G158" s="274">
        <f t="shared" si="5"/>
        <v>1.2126619808373427E-2</v>
      </c>
    </row>
    <row r="159" spans="1:7" ht="14.25" customHeight="1" x14ac:dyDescent="0.3">
      <c r="A159" s="20">
        <v>44153</v>
      </c>
      <c r="B159" s="21">
        <v>262</v>
      </c>
      <c r="C159" s="20">
        <v>44153</v>
      </c>
      <c r="D159" s="21">
        <v>12938.25</v>
      </c>
      <c r="F159" s="274">
        <f t="shared" si="4"/>
        <v>-2.2570371454897434E-2</v>
      </c>
      <c r="G159" s="274">
        <f t="shared" si="5"/>
        <v>4.9750511655722541E-3</v>
      </c>
    </row>
    <row r="160" spans="1:7" ht="14.25" customHeight="1" x14ac:dyDescent="0.3">
      <c r="A160" s="20">
        <v>44154</v>
      </c>
      <c r="B160" s="21" t="s">
        <v>714</v>
      </c>
      <c r="C160" s="20">
        <v>44154</v>
      </c>
      <c r="D160" s="21" t="s">
        <v>715</v>
      </c>
      <c r="F160" s="274">
        <f t="shared" si="4"/>
        <v>-1.2595373255606784E-2</v>
      </c>
      <c r="G160" s="274">
        <f t="shared" si="5"/>
        <v>-1.2872668613413716E-2</v>
      </c>
    </row>
    <row r="161" spans="1:7" ht="14.25" customHeight="1" x14ac:dyDescent="0.3">
      <c r="A161" s="20">
        <v>44155</v>
      </c>
      <c r="B161" s="21" t="s">
        <v>716</v>
      </c>
      <c r="C161" s="20">
        <v>44155</v>
      </c>
      <c r="D161" s="21" t="s">
        <v>717</v>
      </c>
      <c r="F161" s="274">
        <f t="shared" si="4"/>
        <v>-6.184793305056278E-3</v>
      </c>
      <c r="G161" s="274">
        <f t="shared" si="5"/>
        <v>6.83930941371919E-3</v>
      </c>
    </row>
    <row r="162" spans="1:7" ht="14.25" customHeight="1" x14ac:dyDescent="0.3">
      <c r="A162" s="20">
        <v>44158</v>
      </c>
      <c r="B162" s="21" t="s">
        <v>718</v>
      </c>
      <c r="C162" s="20">
        <v>44158</v>
      </c>
      <c r="D162" s="21" t="s">
        <v>719</v>
      </c>
      <c r="F162" s="274">
        <f t="shared" si="4"/>
        <v>4.0839664256803855E-3</v>
      </c>
      <c r="G162" s="274">
        <f t="shared" si="5"/>
        <v>5.241475198302023E-3</v>
      </c>
    </row>
    <row r="163" spans="1:7" ht="14.25" customHeight="1" x14ac:dyDescent="0.3">
      <c r="A163" s="20">
        <v>44159</v>
      </c>
      <c r="B163" s="21" t="s">
        <v>720</v>
      </c>
      <c r="C163" s="20">
        <v>44159</v>
      </c>
      <c r="D163" s="21" t="s">
        <v>721</v>
      </c>
      <c r="F163" s="274">
        <f t="shared" si="4"/>
        <v>-1.1621150768661055E-2</v>
      </c>
      <c r="G163" s="274">
        <f t="shared" si="5"/>
        <v>9.9563448098976444E-3</v>
      </c>
    </row>
    <row r="164" spans="1:7" ht="14.25" customHeight="1" x14ac:dyDescent="0.3">
      <c r="A164" s="20">
        <v>44160</v>
      </c>
      <c r="B164" s="21" t="s">
        <v>722</v>
      </c>
      <c r="C164" s="20">
        <v>44160</v>
      </c>
      <c r="D164" s="21" t="s">
        <v>723</v>
      </c>
      <c r="F164" s="274">
        <f t="shared" si="4"/>
        <v>4.1152981997444856E-3</v>
      </c>
      <c r="G164" s="274">
        <f t="shared" si="5"/>
        <v>-1.507068046809232E-2</v>
      </c>
    </row>
    <row r="165" spans="1:7" ht="14.25" customHeight="1" x14ac:dyDescent="0.3">
      <c r="A165" s="20">
        <v>44161</v>
      </c>
      <c r="B165" s="21">
        <v>260.75</v>
      </c>
      <c r="C165" s="20">
        <v>44161</v>
      </c>
      <c r="D165" s="21">
        <v>12987</v>
      </c>
      <c r="F165" s="274">
        <f t="shared" si="4"/>
        <v>1.7759514348860399E-2</v>
      </c>
      <c r="G165" s="274">
        <f t="shared" si="5"/>
        <v>1.0001213639976662E-2</v>
      </c>
    </row>
    <row r="166" spans="1:7" ht="14.25" customHeight="1" x14ac:dyDescent="0.3">
      <c r="A166" s="20">
        <v>44162</v>
      </c>
      <c r="B166" s="21" t="s">
        <v>724</v>
      </c>
      <c r="C166" s="20">
        <v>44162</v>
      </c>
      <c r="D166" s="21" t="s">
        <v>725</v>
      </c>
      <c r="F166" s="274">
        <f t="shared" si="4"/>
        <v>1.1504805099444334E-3</v>
      </c>
      <c r="G166" s="274">
        <f t="shared" si="5"/>
        <v>-1.3898363507738507E-3</v>
      </c>
    </row>
    <row r="167" spans="1:7" ht="14.25" customHeight="1" x14ac:dyDescent="0.3">
      <c r="A167" s="20">
        <v>44166</v>
      </c>
      <c r="B167" s="21">
        <v>262</v>
      </c>
      <c r="C167" s="20">
        <v>44166</v>
      </c>
      <c r="D167" s="21" t="s">
        <v>726</v>
      </c>
      <c r="F167" s="274">
        <f t="shared" si="4"/>
        <v>3.6391965196543854E-3</v>
      </c>
      <c r="G167" s="274">
        <f t="shared" si="5"/>
        <v>1.0802694687318455E-2</v>
      </c>
    </row>
    <row r="168" spans="1:7" ht="14.25" customHeight="1" x14ac:dyDescent="0.3">
      <c r="A168" s="20">
        <v>44167</v>
      </c>
      <c r="B168" s="21">
        <v>262.5</v>
      </c>
      <c r="C168" s="20">
        <v>44167</v>
      </c>
      <c r="D168" s="21">
        <v>13113.75</v>
      </c>
      <c r="F168" s="274">
        <f t="shared" si="4"/>
        <v>1.9083969465648854E-3</v>
      </c>
      <c r="G168" s="274">
        <f t="shared" si="5"/>
        <v>3.5854584295036521E-4</v>
      </c>
    </row>
    <row r="169" spans="1:7" ht="14.25" customHeight="1" x14ac:dyDescent="0.3">
      <c r="A169" s="20">
        <v>44168</v>
      </c>
      <c r="B169" s="21" t="s">
        <v>727</v>
      </c>
      <c r="C169" s="20">
        <v>44168</v>
      </c>
      <c r="D169" s="21" t="s">
        <v>728</v>
      </c>
      <c r="F169" s="274">
        <f t="shared" si="4"/>
        <v>-5.3333100818476198E-3</v>
      </c>
      <c r="G169" s="274">
        <f t="shared" si="5"/>
        <v>1.5365849299399485E-3</v>
      </c>
    </row>
    <row r="170" spans="1:7" ht="14.25" customHeight="1" x14ac:dyDescent="0.3">
      <c r="A170" s="20">
        <v>44169</v>
      </c>
      <c r="B170" s="21" t="s">
        <v>729</v>
      </c>
      <c r="C170" s="20">
        <v>44169</v>
      </c>
      <c r="D170" s="21" t="s">
        <v>730</v>
      </c>
      <c r="F170" s="274">
        <f t="shared" si="4"/>
        <v>-3.2746085223637644E-2</v>
      </c>
      <c r="G170" s="274">
        <f t="shared" si="5"/>
        <v>9.4906623588736031E-3</v>
      </c>
    </row>
    <row r="171" spans="1:7" ht="14.25" customHeight="1" x14ac:dyDescent="0.3">
      <c r="A171" s="20">
        <v>44172</v>
      </c>
      <c r="B171" s="21" t="s">
        <v>731</v>
      </c>
      <c r="C171" s="20">
        <v>44172</v>
      </c>
      <c r="D171" s="21">
        <v>13355.75</v>
      </c>
      <c r="F171" s="274">
        <f t="shared" si="4"/>
        <v>2.1777986343769519E-3</v>
      </c>
      <c r="G171" s="274">
        <f t="shared" si="5"/>
        <v>7.3311332494399436E-3</v>
      </c>
    </row>
    <row r="172" spans="1:7" ht="14.25" customHeight="1" x14ac:dyDescent="0.3">
      <c r="A172" s="20">
        <v>44173</v>
      </c>
      <c r="B172" s="21" t="s">
        <v>716</v>
      </c>
      <c r="C172" s="20">
        <v>44173</v>
      </c>
      <c r="D172" s="21" t="s">
        <v>732</v>
      </c>
      <c r="F172" s="274">
        <f t="shared" si="4"/>
        <v>1.5804029646542348E-2</v>
      </c>
      <c r="G172" s="274">
        <f t="shared" si="5"/>
        <v>2.7853318093330587E-3</v>
      </c>
    </row>
    <row r="173" spans="1:7" ht="14.25" customHeight="1" x14ac:dyDescent="0.3">
      <c r="A173" s="20">
        <v>44174</v>
      </c>
      <c r="B173" s="21" t="s">
        <v>733</v>
      </c>
      <c r="C173" s="20">
        <v>44174</v>
      </c>
      <c r="D173" s="21" t="s">
        <v>734</v>
      </c>
      <c r="F173" s="274">
        <f t="shared" si="4"/>
        <v>-1.6530532474156541E-2</v>
      </c>
      <c r="G173" s="274">
        <f t="shared" si="5"/>
        <v>1.0165752285866931E-2</v>
      </c>
    </row>
    <row r="174" spans="1:7" ht="14.25" customHeight="1" x14ac:dyDescent="0.3">
      <c r="A174" s="20">
        <v>44175</v>
      </c>
      <c r="B174" s="21" t="s">
        <v>735</v>
      </c>
      <c r="C174" s="20">
        <v>44175</v>
      </c>
      <c r="D174" s="21" t="s">
        <v>736</v>
      </c>
      <c r="F174" s="274">
        <f t="shared" si="4"/>
        <v>-1.7994870246889661E-2</v>
      </c>
      <c r="G174" s="274">
        <f t="shared" si="5"/>
        <v>-3.7548548058806688E-3</v>
      </c>
    </row>
    <row r="175" spans="1:7" ht="14.25" customHeight="1" x14ac:dyDescent="0.3">
      <c r="A175" s="20">
        <v>44176</v>
      </c>
      <c r="B175" s="21" t="s">
        <v>737</v>
      </c>
      <c r="C175" s="20">
        <v>44176</v>
      </c>
      <c r="D175" s="21" t="s">
        <v>738</v>
      </c>
      <c r="F175" s="274">
        <f t="shared" si="4"/>
        <v>-1.0068465442100242E-2</v>
      </c>
      <c r="G175" s="274">
        <f t="shared" si="5"/>
        <v>2.6375585350265351E-3</v>
      </c>
    </row>
    <row r="176" spans="1:7" ht="14.25" customHeight="1" x14ac:dyDescent="0.3">
      <c r="A176" s="20">
        <v>44179</v>
      </c>
      <c r="B176" s="21" t="s">
        <v>739</v>
      </c>
      <c r="C176" s="20">
        <v>44179</v>
      </c>
      <c r="D176" s="21" t="s">
        <v>740</v>
      </c>
      <c r="F176" s="274">
        <f t="shared" si="4"/>
        <v>2.6444014988402341E-3</v>
      </c>
      <c r="G176" s="274">
        <f t="shared" si="5"/>
        <v>3.2781762806703943E-3</v>
      </c>
    </row>
    <row r="177" spans="1:7" ht="14.25" customHeight="1" x14ac:dyDescent="0.3">
      <c r="A177" s="20">
        <v>44180</v>
      </c>
      <c r="B177" s="21" t="s">
        <v>681</v>
      </c>
      <c r="C177" s="20">
        <v>44180</v>
      </c>
      <c r="D177" s="21" t="s">
        <v>741</v>
      </c>
      <c r="F177" s="274">
        <f t="shared" si="4"/>
        <v>4.6662981112332068E-3</v>
      </c>
      <c r="G177" s="274">
        <f t="shared" si="5"/>
        <v>7.1537919779284052E-4</v>
      </c>
    </row>
    <row r="178" spans="1:7" ht="14.25" customHeight="1" x14ac:dyDescent="0.3">
      <c r="A178" s="20">
        <v>44181</v>
      </c>
      <c r="B178" s="21">
        <v>247.25</v>
      </c>
      <c r="C178" s="20">
        <v>44181</v>
      </c>
      <c r="D178" s="21" t="s">
        <v>742</v>
      </c>
      <c r="F178" s="274">
        <f t="shared" si="4"/>
        <v>-1.4135948904971814E-3</v>
      </c>
      <c r="G178" s="274">
        <f t="shared" si="5"/>
        <v>8.4649070592691042E-3</v>
      </c>
    </row>
    <row r="179" spans="1:7" ht="14.25" customHeight="1" x14ac:dyDescent="0.3">
      <c r="A179" s="20">
        <v>44182</v>
      </c>
      <c r="B179" s="21">
        <v>246.75</v>
      </c>
      <c r="C179" s="20">
        <v>44182</v>
      </c>
      <c r="D179" s="21" t="s">
        <v>743</v>
      </c>
      <c r="F179" s="274">
        <f t="shared" si="4"/>
        <v>-2.0222446916076846E-3</v>
      </c>
      <c r="G179" s="274">
        <f t="shared" si="5"/>
        <v>4.2389293905504104E-3</v>
      </c>
    </row>
    <row r="180" spans="1:7" ht="14.25" customHeight="1" x14ac:dyDescent="0.3">
      <c r="A180" s="20">
        <v>44183</v>
      </c>
      <c r="B180" s="21" t="s">
        <v>744</v>
      </c>
      <c r="C180" s="20">
        <v>44183</v>
      </c>
      <c r="D180" s="21" t="s">
        <v>745</v>
      </c>
      <c r="F180" s="274">
        <f t="shared" si="4"/>
        <v>1.7426557453929032E-2</v>
      </c>
      <c r="G180" s="274">
        <f t="shared" si="5"/>
        <v>1.4445849987885983E-3</v>
      </c>
    </row>
    <row r="181" spans="1:7" ht="14.25" customHeight="1" x14ac:dyDescent="0.3">
      <c r="A181" s="20">
        <v>44186</v>
      </c>
      <c r="B181" s="21" t="s">
        <v>746</v>
      </c>
      <c r="C181" s="20">
        <v>44186</v>
      </c>
      <c r="D181" s="21" t="s">
        <v>747</v>
      </c>
      <c r="F181" s="274">
        <f t="shared" si="4"/>
        <v>-6.2338215355633934E-2</v>
      </c>
      <c r="G181" s="274">
        <f t="shared" si="5"/>
        <v>-3.1404952577933277E-2</v>
      </c>
    </row>
    <row r="182" spans="1:7" ht="14.25" customHeight="1" x14ac:dyDescent="0.3">
      <c r="A182" s="20">
        <v>44187</v>
      </c>
      <c r="B182" s="21" t="s">
        <v>748</v>
      </c>
      <c r="C182" s="20">
        <v>44187</v>
      </c>
      <c r="D182" s="21" t="s">
        <v>749</v>
      </c>
      <c r="F182" s="274">
        <f t="shared" si="4"/>
        <v>9.3458464913913249E-3</v>
      </c>
      <c r="G182" s="274">
        <f t="shared" si="5"/>
        <v>1.034628387660806E-2</v>
      </c>
    </row>
    <row r="183" spans="1:7" ht="14.25" customHeight="1" x14ac:dyDescent="0.3">
      <c r="A183" s="20">
        <v>44188</v>
      </c>
      <c r="B183" s="21" t="s">
        <v>750</v>
      </c>
      <c r="C183" s="20">
        <v>44188</v>
      </c>
      <c r="D183" s="21" t="s">
        <v>751</v>
      </c>
      <c r="F183" s="274">
        <f t="shared" si="4"/>
        <v>-1.6835401725483943E-3</v>
      </c>
      <c r="G183" s="274">
        <f t="shared" si="5"/>
        <v>1.0010159185716136E-2</v>
      </c>
    </row>
    <row r="184" spans="1:7" ht="14.25" customHeight="1" x14ac:dyDescent="0.3">
      <c r="A184" s="20">
        <v>44189</v>
      </c>
      <c r="B184" s="21" t="s">
        <v>752</v>
      </c>
      <c r="C184" s="20">
        <v>44189</v>
      </c>
      <c r="D184" s="21">
        <v>13749.25</v>
      </c>
      <c r="F184" s="274">
        <f t="shared" si="4"/>
        <v>4.005059073450553E-2</v>
      </c>
      <c r="G184" s="274">
        <f t="shared" si="5"/>
        <v>1.0892530374741357E-2</v>
      </c>
    </row>
    <row r="185" spans="1:7" ht="14.25" customHeight="1" x14ac:dyDescent="0.3">
      <c r="A185" s="20">
        <v>44193</v>
      </c>
      <c r="B185" s="21" t="s">
        <v>753</v>
      </c>
      <c r="C185" s="20">
        <v>44193</v>
      </c>
      <c r="D185" s="21" t="s">
        <v>754</v>
      </c>
      <c r="F185" s="274">
        <f t="shared" si="4"/>
        <v>2.026753166538955E-3</v>
      </c>
      <c r="G185" s="274">
        <f t="shared" si="5"/>
        <v>9.0150513891666811E-3</v>
      </c>
    </row>
    <row r="186" spans="1:7" ht="14.25" customHeight="1" x14ac:dyDescent="0.3">
      <c r="A186" s="20">
        <v>44194</v>
      </c>
      <c r="B186" s="21" t="s">
        <v>755</v>
      </c>
      <c r="C186" s="20">
        <v>44194</v>
      </c>
      <c r="D186" s="21" t="s">
        <v>756</v>
      </c>
      <c r="F186" s="274">
        <f t="shared" si="4"/>
        <v>-1.1326873326556875E-2</v>
      </c>
      <c r="G186" s="274">
        <f t="shared" si="5"/>
        <v>4.281594241144878E-3</v>
      </c>
    </row>
    <row r="187" spans="1:7" ht="14.25" customHeight="1" x14ac:dyDescent="0.3">
      <c r="A187" s="20">
        <v>44195</v>
      </c>
      <c r="B187" s="21" t="s">
        <v>757</v>
      </c>
      <c r="C187" s="20">
        <v>44195</v>
      </c>
      <c r="D187" s="21" t="s">
        <v>758</v>
      </c>
      <c r="F187" s="274">
        <f t="shared" si="4"/>
        <v>3.2733225040048129E-2</v>
      </c>
      <c r="G187" s="274">
        <f t="shared" si="5"/>
        <v>3.542094606974341E-3</v>
      </c>
    </row>
    <row r="188" spans="1:7" ht="14.25" customHeight="1" x14ac:dyDescent="0.3">
      <c r="A188" s="20">
        <v>44196</v>
      </c>
      <c r="B188" s="21" t="s">
        <v>759</v>
      </c>
      <c r="C188" s="20">
        <v>44196</v>
      </c>
      <c r="D188" s="21">
        <v>13981.75</v>
      </c>
      <c r="F188" s="274">
        <f t="shared" si="4"/>
        <v>-1.4064928204494929E-2</v>
      </c>
      <c r="G188" s="274">
        <f t="shared" si="5"/>
        <v>-1.4318125133010144E-5</v>
      </c>
    </row>
    <row r="189" spans="1:7" ht="14.25" customHeight="1" x14ac:dyDescent="0.3">
      <c r="A189" s="20">
        <v>44197</v>
      </c>
      <c r="B189" s="21" t="s">
        <v>760</v>
      </c>
      <c r="C189" s="20">
        <v>44197</v>
      </c>
      <c r="D189" s="21">
        <v>14018.5</v>
      </c>
      <c r="F189" s="274">
        <f t="shared" si="4"/>
        <v>8.0369698651646931E-3</v>
      </c>
      <c r="G189" s="274">
        <f t="shared" si="5"/>
        <v>2.6284263414808589E-3</v>
      </c>
    </row>
    <row r="190" spans="1:7" ht="14.25" customHeight="1" x14ac:dyDescent="0.3">
      <c r="A190" s="20">
        <v>44200</v>
      </c>
      <c r="B190" s="21" t="s">
        <v>761</v>
      </c>
      <c r="C190" s="20">
        <v>44200</v>
      </c>
      <c r="D190" s="21" t="s">
        <v>762</v>
      </c>
      <c r="F190" s="274">
        <f t="shared" si="4"/>
        <v>8.1721656092886997E-3</v>
      </c>
      <c r="G190" s="274">
        <f t="shared" si="5"/>
        <v>8.1606727271106034E-3</v>
      </c>
    </row>
    <row r="191" spans="1:7" ht="14.25" customHeight="1" x14ac:dyDescent="0.3">
      <c r="A191" s="20">
        <v>44201</v>
      </c>
      <c r="B191" s="21" t="s">
        <v>763</v>
      </c>
      <c r="C191" s="20">
        <v>44201</v>
      </c>
      <c r="D191" s="21">
        <v>14199.5</v>
      </c>
      <c r="F191" s="274">
        <f t="shared" si="4"/>
        <v>5.1403838795270789E-3</v>
      </c>
      <c r="G191" s="274">
        <f t="shared" si="5"/>
        <v>4.7123808655142414E-3</v>
      </c>
    </row>
    <row r="192" spans="1:7" ht="14.25" customHeight="1" x14ac:dyDescent="0.3">
      <c r="A192" s="20">
        <v>44202</v>
      </c>
      <c r="B192" s="21" t="s">
        <v>727</v>
      </c>
      <c r="C192" s="20">
        <v>44202</v>
      </c>
      <c r="D192" s="21">
        <v>14146.25</v>
      </c>
      <c r="F192" s="274">
        <f t="shared" si="4"/>
        <v>2.7144017459126608E-2</v>
      </c>
      <c r="G192" s="274">
        <f t="shared" si="5"/>
        <v>-3.7501320469030598E-3</v>
      </c>
    </row>
    <row r="193" spans="1:7" ht="14.25" customHeight="1" x14ac:dyDescent="0.3">
      <c r="A193" s="20">
        <v>44203</v>
      </c>
      <c r="B193" s="21">
        <v>263</v>
      </c>
      <c r="C193" s="20">
        <v>44203</v>
      </c>
      <c r="D193" s="21" t="s">
        <v>764</v>
      </c>
      <c r="F193" s="274">
        <f t="shared" si="4"/>
        <v>7.276881853965694E-3</v>
      </c>
      <c r="G193" s="274">
        <f t="shared" si="5"/>
        <v>-6.2916961208800914E-4</v>
      </c>
    </row>
    <row r="194" spans="1:7" ht="14.25" customHeight="1" x14ac:dyDescent="0.3">
      <c r="A194" s="20">
        <v>44204</v>
      </c>
      <c r="B194" s="21" t="s">
        <v>765</v>
      </c>
      <c r="C194" s="20">
        <v>44204</v>
      </c>
      <c r="D194" s="21">
        <v>14347.25</v>
      </c>
      <c r="F194" s="274">
        <f t="shared" si="4"/>
        <v>2.6425901927874612E-2</v>
      </c>
      <c r="G194" s="274">
        <f t="shared" si="5"/>
        <v>1.4847223590326102E-2</v>
      </c>
    </row>
    <row r="195" spans="1:7" ht="14.25" customHeight="1" x14ac:dyDescent="0.3">
      <c r="A195" s="20">
        <v>44207</v>
      </c>
      <c r="B195" s="21" t="s">
        <v>766</v>
      </c>
      <c r="C195" s="20">
        <v>44207</v>
      </c>
      <c r="D195" s="21">
        <v>14484.75</v>
      </c>
      <c r="F195" s="274">
        <f t="shared" ref="F195:F258" si="6">(B195-B194)/B194</f>
        <v>1.4817332039133689E-3</v>
      </c>
      <c r="G195" s="274">
        <f t="shared" ref="G195:G258" si="7">(D195-D194)/D194</f>
        <v>9.5837181341372046E-3</v>
      </c>
    </row>
    <row r="196" spans="1:7" ht="14.25" customHeight="1" x14ac:dyDescent="0.3">
      <c r="A196" s="20">
        <v>44208</v>
      </c>
      <c r="B196" s="21" t="s">
        <v>767</v>
      </c>
      <c r="C196" s="20">
        <v>44208</v>
      </c>
      <c r="D196" s="21" t="s">
        <v>768</v>
      </c>
      <c r="F196" s="274">
        <f t="shared" si="6"/>
        <v>-8.3225446613768225E-3</v>
      </c>
      <c r="G196" s="274">
        <f t="shared" si="7"/>
        <v>5.4333140242323824E-3</v>
      </c>
    </row>
    <row r="197" spans="1:7" ht="14.25" customHeight="1" x14ac:dyDescent="0.3">
      <c r="A197" s="20">
        <v>44209</v>
      </c>
      <c r="B197" s="21" t="s">
        <v>769</v>
      </c>
      <c r="C197" s="20">
        <v>44209</v>
      </c>
      <c r="D197" s="21" t="s">
        <v>770</v>
      </c>
      <c r="F197" s="274">
        <f t="shared" si="6"/>
        <v>-1.1935890093920695E-2</v>
      </c>
      <c r="G197" s="274">
        <f t="shared" si="7"/>
        <v>9.6090833128981056E-5</v>
      </c>
    </row>
    <row r="198" spans="1:7" ht="14.25" customHeight="1" x14ac:dyDescent="0.3">
      <c r="A198" s="20">
        <v>44210</v>
      </c>
      <c r="B198" s="21" t="s">
        <v>771</v>
      </c>
      <c r="C198" s="20">
        <v>44210</v>
      </c>
      <c r="D198" s="21" t="s">
        <v>772</v>
      </c>
      <c r="F198" s="274">
        <f t="shared" si="6"/>
        <v>8.1162474368504343E-3</v>
      </c>
      <c r="G198" s="274">
        <f t="shared" si="7"/>
        <v>2.1112473403231747E-3</v>
      </c>
    </row>
    <row r="199" spans="1:7" ht="14.25" customHeight="1" x14ac:dyDescent="0.3">
      <c r="A199" s="20">
        <v>44211</v>
      </c>
      <c r="B199" s="21" t="s">
        <v>773</v>
      </c>
      <c r="C199" s="20">
        <v>44211</v>
      </c>
      <c r="D199" s="21" t="s">
        <v>774</v>
      </c>
      <c r="F199" s="274">
        <f t="shared" si="6"/>
        <v>-1.1046552422013219E-2</v>
      </c>
      <c r="G199" s="274">
        <f t="shared" si="7"/>
        <v>-1.1092344158201577E-2</v>
      </c>
    </row>
    <row r="200" spans="1:7" ht="14.25" customHeight="1" x14ac:dyDescent="0.3">
      <c r="A200" s="20">
        <v>44214</v>
      </c>
      <c r="B200" s="21" t="s">
        <v>775</v>
      </c>
      <c r="C200" s="20">
        <v>44214</v>
      </c>
      <c r="D200" s="21" t="s">
        <v>776</v>
      </c>
      <c r="F200" s="274">
        <f t="shared" si="6"/>
        <v>-3.0480947082567478E-2</v>
      </c>
      <c r="G200" s="274">
        <f t="shared" si="7"/>
        <v>-1.0558650142566607E-2</v>
      </c>
    </row>
    <row r="201" spans="1:7" ht="14.25" customHeight="1" x14ac:dyDescent="0.3">
      <c r="A201" s="20">
        <v>44215</v>
      </c>
      <c r="B201" s="21" t="s">
        <v>777</v>
      </c>
      <c r="C201" s="20">
        <v>44215</v>
      </c>
      <c r="D201" s="21" t="s">
        <v>778</v>
      </c>
      <c r="F201" s="274">
        <f t="shared" si="6"/>
        <v>2.3042470983570366E-2</v>
      </c>
      <c r="G201" s="274">
        <f t="shared" si="7"/>
        <v>1.6794730817062932E-2</v>
      </c>
    </row>
    <row r="202" spans="1:7" ht="14.25" customHeight="1" x14ac:dyDescent="0.3">
      <c r="A202" s="20">
        <v>44216</v>
      </c>
      <c r="B202" s="21" t="s">
        <v>779</v>
      </c>
      <c r="C202" s="20">
        <v>44216</v>
      </c>
      <c r="D202" s="21" t="s">
        <v>780</v>
      </c>
      <c r="F202" s="274">
        <f t="shared" si="6"/>
        <v>5.7260503719858613E-4</v>
      </c>
      <c r="G202" s="274">
        <f t="shared" si="7"/>
        <v>8.5082656238630369E-3</v>
      </c>
    </row>
    <row r="203" spans="1:7" ht="14.25" customHeight="1" x14ac:dyDescent="0.3">
      <c r="A203" s="20">
        <v>44217</v>
      </c>
      <c r="B203" s="21" t="s">
        <v>729</v>
      </c>
      <c r="C203" s="20">
        <v>44217</v>
      </c>
      <c r="D203" s="21" t="s">
        <v>781</v>
      </c>
      <c r="F203" s="274">
        <f t="shared" si="6"/>
        <v>-3.6436485422996476E-2</v>
      </c>
      <c r="G203" s="274">
        <f t="shared" si="7"/>
        <v>-3.7112802046228729E-3</v>
      </c>
    </row>
    <row r="204" spans="1:7" ht="14.25" customHeight="1" x14ac:dyDescent="0.3">
      <c r="A204" s="20">
        <v>44218</v>
      </c>
      <c r="B204" s="21" t="s">
        <v>710</v>
      </c>
      <c r="C204" s="20">
        <v>44218</v>
      </c>
      <c r="D204" s="21" t="s">
        <v>782</v>
      </c>
      <c r="F204" s="274">
        <f t="shared" si="6"/>
        <v>2.0392037588764567E-2</v>
      </c>
      <c r="G204" s="274">
        <f t="shared" si="7"/>
        <v>-1.4972171647596155E-2</v>
      </c>
    </row>
    <row r="205" spans="1:7" ht="14.25" customHeight="1" x14ac:dyDescent="0.3">
      <c r="A205" s="20">
        <v>44221</v>
      </c>
      <c r="B205" s="21">
        <v>257</v>
      </c>
      <c r="C205" s="20">
        <v>44221</v>
      </c>
      <c r="D205" s="21" t="s">
        <v>783</v>
      </c>
      <c r="F205" s="274">
        <f t="shared" si="6"/>
        <v>-2.7163840662477222E-3</v>
      </c>
      <c r="G205" s="274">
        <f t="shared" si="7"/>
        <v>-9.2541693433081298E-3</v>
      </c>
    </row>
    <row r="206" spans="1:7" ht="14.25" customHeight="1" x14ac:dyDescent="0.3">
      <c r="A206" s="20">
        <v>44223</v>
      </c>
      <c r="B206" s="21">
        <v>252.5</v>
      </c>
      <c r="C206" s="20">
        <v>44223</v>
      </c>
      <c r="D206" s="21">
        <v>13967.5</v>
      </c>
      <c r="F206" s="274">
        <f t="shared" si="6"/>
        <v>-1.7509727626459144E-2</v>
      </c>
      <c r="G206" s="274">
        <f t="shared" si="7"/>
        <v>-1.9060488041878015E-2</v>
      </c>
    </row>
    <row r="207" spans="1:7" ht="14.25" customHeight="1" x14ac:dyDescent="0.3">
      <c r="A207" s="20">
        <v>44224</v>
      </c>
      <c r="B207" s="21">
        <v>248</v>
      </c>
      <c r="C207" s="20">
        <v>44224</v>
      </c>
      <c r="D207" s="21" t="s">
        <v>784</v>
      </c>
      <c r="F207" s="274">
        <f t="shared" si="6"/>
        <v>-1.782178217821782E-2</v>
      </c>
      <c r="G207" s="274">
        <f t="shared" si="7"/>
        <v>-1.0735650281904421E-2</v>
      </c>
    </row>
    <row r="208" spans="1:7" ht="14.25" customHeight="1" x14ac:dyDescent="0.3">
      <c r="A208" s="20">
        <v>44225</v>
      </c>
      <c r="B208" s="21" t="s">
        <v>678</v>
      </c>
      <c r="C208" s="20">
        <v>44225</v>
      </c>
      <c r="D208" s="21" t="s">
        <v>785</v>
      </c>
      <c r="F208" s="274">
        <f t="shared" si="6"/>
        <v>-1.8749975389052421E-2</v>
      </c>
      <c r="G208" s="274">
        <f t="shared" si="7"/>
        <v>-1.3240422354072899E-2</v>
      </c>
    </row>
    <row r="209" spans="1:7" ht="14.25" customHeight="1" x14ac:dyDescent="0.3">
      <c r="A209" s="20">
        <v>44228</v>
      </c>
      <c r="B209" s="21" t="s">
        <v>786</v>
      </c>
      <c r="C209" s="20">
        <v>44228</v>
      </c>
      <c r="D209" s="21" t="s">
        <v>787</v>
      </c>
      <c r="F209" s="274">
        <f t="shared" si="6"/>
        <v>7.1707340258007748E-2</v>
      </c>
      <c r="G209" s="274">
        <f t="shared" si="7"/>
        <v>4.7423511101338432E-2</v>
      </c>
    </row>
    <row r="210" spans="1:7" ht="14.25" customHeight="1" x14ac:dyDescent="0.3">
      <c r="A210" s="20">
        <v>44229</v>
      </c>
      <c r="B210" s="21">
        <v>276.25</v>
      </c>
      <c r="C210" s="20">
        <v>44229</v>
      </c>
      <c r="D210" s="21" t="s">
        <v>788</v>
      </c>
      <c r="F210" s="274">
        <f t="shared" si="6"/>
        <v>5.9240847124949786E-2</v>
      </c>
      <c r="G210" s="274">
        <f t="shared" si="7"/>
        <v>2.5673571481957438E-2</v>
      </c>
    </row>
    <row r="211" spans="1:7" ht="14.25" customHeight="1" x14ac:dyDescent="0.3">
      <c r="A211" s="20">
        <v>44230</v>
      </c>
      <c r="B211" s="21" t="s">
        <v>789</v>
      </c>
      <c r="C211" s="20">
        <v>44230</v>
      </c>
      <c r="D211" s="21" t="s">
        <v>790</v>
      </c>
      <c r="F211" s="274">
        <f t="shared" si="6"/>
        <v>-2.6425295178168245E-2</v>
      </c>
      <c r="G211" s="274">
        <f t="shared" si="7"/>
        <v>9.7011226717232252E-3</v>
      </c>
    </row>
    <row r="212" spans="1:7" ht="14.25" customHeight="1" x14ac:dyDescent="0.3">
      <c r="A212" s="20">
        <v>44231</v>
      </c>
      <c r="B212" s="21">
        <v>272.75</v>
      </c>
      <c r="C212" s="20">
        <v>44231</v>
      </c>
      <c r="D212" s="21" t="s">
        <v>791</v>
      </c>
      <c r="F212" s="274">
        <f t="shared" si="6"/>
        <v>1.4128974234973604E-2</v>
      </c>
      <c r="G212" s="274">
        <f t="shared" si="7"/>
        <v>7.146758029381358E-3</v>
      </c>
    </row>
    <row r="213" spans="1:7" ht="14.25" customHeight="1" x14ac:dyDescent="0.3">
      <c r="A213" s="20">
        <v>44232</v>
      </c>
      <c r="B213" s="21" t="s">
        <v>792</v>
      </c>
      <c r="C213" s="20">
        <v>44232</v>
      </c>
      <c r="D213" s="21">
        <v>14924.25</v>
      </c>
      <c r="F213" s="274">
        <f t="shared" si="6"/>
        <v>-5.316268403417008E-3</v>
      </c>
      <c r="G213" s="274">
        <f t="shared" si="7"/>
        <v>1.919997356610892E-3</v>
      </c>
    </row>
    <row r="214" spans="1:7" ht="14.25" customHeight="1" x14ac:dyDescent="0.3">
      <c r="A214" s="20">
        <v>44235</v>
      </c>
      <c r="B214" s="21" t="s">
        <v>793</v>
      </c>
      <c r="C214" s="20">
        <v>44235</v>
      </c>
      <c r="D214" s="21" t="s">
        <v>794</v>
      </c>
      <c r="F214" s="274">
        <f t="shared" si="6"/>
        <v>1.1242235340144914E-2</v>
      </c>
      <c r="G214" s="274">
        <f t="shared" si="7"/>
        <v>1.2834802732968156E-2</v>
      </c>
    </row>
    <row r="215" spans="1:7" ht="14.25" customHeight="1" x14ac:dyDescent="0.3">
      <c r="A215" s="20">
        <v>44236</v>
      </c>
      <c r="B215" s="21" t="s">
        <v>795</v>
      </c>
      <c r="C215" s="20">
        <v>44236</v>
      </c>
      <c r="D215" s="21" t="s">
        <v>796</v>
      </c>
      <c r="F215" s="274">
        <f t="shared" si="6"/>
        <v>-1.3850986790622501E-2</v>
      </c>
      <c r="G215" s="274">
        <f t="shared" si="7"/>
        <v>-4.3001363368045607E-4</v>
      </c>
    </row>
    <row r="216" spans="1:7" ht="14.25" customHeight="1" x14ac:dyDescent="0.3">
      <c r="A216" s="20">
        <v>44237</v>
      </c>
      <c r="B216" s="21" t="s">
        <v>797</v>
      </c>
      <c r="C216" s="20">
        <v>44237</v>
      </c>
      <c r="D216" s="21">
        <v>15106.5</v>
      </c>
      <c r="F216" s="274">
        <f t="shared" si="6"/>
        <v>4.9898583050353943E-3</v>
      </c>
      <c r="G216" s="274">
        <f t="shared" si="7"/>
        <v>-1.8530340410820298E-4</v>
      </c>
    </row>
    <row r="217" spans="1:7" ht="14.25" customHeight="1" x14ac:dyDescent="0.3">
      <c r="A217" s="20">
        <v>44238</v>
      </c>
      <c r="B217" s="21" t="s">
        <v>798</v>
      </c>
      <c r="C217" s="20">
        <v>44238</v>
      </c>
      <c r="D217" s="21" t="s">
        <v>799</v>
      </c>
      <c r="F217" s="274">
        <f t="shared" si="6"/>
        <v>1.838911405751472E-2</v>
      </c>
      <c r="G217" s="274">
        <f t="shared" si="7"/>
        <v>4.4219246475027309E-3</v>
      </c>
    </row>
    <row r="218" spans="1:7" ht="14.25" customHeight="1" x14ac:dyDescent="0.3">
      <c r="A218" s="20">
        <v>44239</v>
      </c>
      <c r="B218" s="21" t="s">
        <v>800</v>
      </c>
      <c r="C218" s="20">
        <v>44239</v>
      </c>
      <c r="D218" s="21" t="s">
        <v>801</v>
      </c>
      <c r="F218" s="274">
        <f t="shared" si="6"/>
        <v>1.9863428048780087E-3</v>
      </c>
      <c r="G218" s="274">
        <f t="shared" si="7"/>
        <v>-6.590524229219205E-4</v>
      </c>
    </row>
    <row r="219" spans="1:7" ht="14.25" customHeight="1" x14ac:dyDescent="0.3">
      <c r="A219" s="20">
        <v>44242</v>
      </c>
      <c r="B219" s="21" t="s">
        <v>802</v>
      </c>
      <c r="C219" s="20">
        <v>44242</v>
      </c>
      <c r="D219" s="21" t="s">
        <v>803</v>
      </c>
      <c r="F219" s="274">
        <f t="shared" si="6"/>
        <v>2.1445238521067805E-2</v>
      </c>
      <c r="G219" s="274">
        <f t="shared" si="7"/>
        <v>9.984659841533761E-3</v>
      </c>
    </row>
    <row r="220" spans="1:7" ht="14.25" customHeight="1" x14ac:dyDescent="0.3">
      <c r="A220" s="20">
        <v>44243</v>
      </c>
      <c r="B220" s="21" t="s">
        <v>804</v>
      </c>
      <c r="C220" s="20">
        <v>44243</v>
      </c>
      <c r="D220" s="21" t="s">
        <v>805</v>
      </c>
      <c r="F220" s="274">
        <f t="shared" si="6"/>
        <v>2.2935564942935522E-3</v>
      </c>
      <c r="G220" s="274">
        <f t="shared" si="7"/>
        <v>-8.1620925258634719E-5</v>
      </c>
    </row>
    <row r="221" spans="1:7" ht="14.25" customHeight="1" x14ac:dyDescent="0.3">
      <c r="A221" s="20">
        <v>44244</v>
      </c>
      <c r="B221" s="21" t="s">
        <v>806</v>
      </c>
      <c r="C221" s="20">
        <v>44244</v>
      </c>
      <c r="D221" s="21" t="s">
        <v>807</v>
      </c>
      <c r="F221" s="274">
        <f t="shared" si="6"/>
        <v>9.1533399586378444E-3</v>
      </c>
      <c r="G221" s="274">
        <f t="shared" si="7"/>
        <v>-6.8273186874309392E-3</v>
      </c>
    </row>
    <row r="222" spans="1:7" ht="14.25" customHeight="1" x14ac:dyDescent="0.3">
      <c r="A222" s="20">
        <v>44245</v>
      </c>
      <c r="B222" s="21" t="s">
        <v>808</v>
      </c>
      <c r="C222" s="20">
        <v>44245</v>
      </c>
      <c r="D222" s="21" t="s">
        <v>809</v>
      </c>
      <c r="F222" s="274">
        <f t="shared" si="6"/>
        <v>-1.3431035009567429E-2</v>
      </c>
      <c r="G222" s="274">
        <f t="shared" si="7"/>
        <v>-5.9143128695843573E-3</v>
      </c>
    </row>
    <row r="223" spans="1:7" ht="14.25" customHeight="1" x14ac:dyDescent="0.3">
      <c r="A223" s="20">
        <v>44246</v>
      </c>
      <c r="B223" s="21" t="s">
        <v>810</v>
      </c>
      <c r="C223" s="20">
        <v>44246</v>
      </c>
      <c r="D223" s="21">
        <v>14981.75</v>
      </c>
      <c r="F223" s="274">
        <f t="shared" si="6"/>
        <v>-2.6520510338531533E-2</v>
      </c>
      <c r="G223" s="274">
        <f t="shared" si="7"/>
        <v>-9.0747170630297962E-3</v>
      </c>
    </row>
    <row r="224" spans="1:7" ht="14.25" customHeight="1" x14ac:dyDescent="0.3">
      <c r="A224" s="20">
        <v>44249</v>
      </c>
      <c r="B224" s="21" t="s">
        <v>811</v>
      </c>
      <c r="C224" s="20">
        <v>44249</v>
      </c>
      <c r="D224" s="21" t="s">
        <v>812</v>
      </c>
      <c r="F224" s="274">
        <f t="shared" si="6"/>
        <v>-3.0330461155764248E-2</v>
      </c>
      <c r="G224" s="274">
        <f t="shared" si="7"/>
        <v>-2.0428174591586429E-2</v>
      </c>
    </row>
    <row r="225" spans="1:7" ht="14.25" customHeight="1" x14ac:dyDescent="0.3">
      <c r="A225" s="20">
        <v>44250</v>
      </c>
      <c r="B225" s="21" t="s">
        <v>813</v>
      </c>
      <c r="C225" s="20">
        <v>44250</v>
      </c>
      <c r="D225" s="21" t="s">
        <v>814</v>
      </c>
      <c r="F225" s="274">
        <f t="shared" si="6"/>
        <v>-8.4285442858681343E-3</v>
      </c>
      <c r="G225" s="274">
        <f t="shared" si="7"/>
        <v>2.1872625461000351E-3</v>
      </c>
    </row>
    <row r="226" spans="1:7" ht="14.25" customHeight="1" x14ac:dyDescent="0.3">
      <c r="A226" s="20">
        <v>44251</v>
      </c>
      <c r="B226" s="21" t="s">
        <v>815</v>
      </c>
      <c r="C226" s="20">
        <v>44251</v>
      </c>
      <c r="D226" s="21">
        <v>14982</v>
      </c>
      <c r="F226" s="274">
        <f t="shared" si="6"/>
        <v>1.3978018582632595E-2</v>
      </c>
      <c r="G226" s="274">
        <f t="shared" si="7"/>
        <v>1.8643182457862263E-2</v>
      </c>
    </row>
    <row r="227" spans="1:7" ht="14.25" customHeight="1" x14ac:dyDescent="0.3">
      <c r="A227" s="20">
        <v>44252</v>
      </c>
      <c r="B227" s="21" t="s">
        <v>816</v>
      </c>
      <c r="C227" s="20">
        <v>44252</v>
      </c>
      <c r="D227" s="21" t="s">
        <v>817</v>
      </c>
      <c r="F227" s="274">
        <f t="shared" si="6"/>
        <v>4.210141046018509E-2</v>
      </c>
      <c r="G227" s="274">
        <f t="shared" si="7"/>
        <v>7.6992130139500736E-3</v>
      </c>
    </row>
    <row r="228" spans="1:7" ht="14.25" customHeight="1" x14ac:dyDescent="0.3">
      <c r="A228" s="20">
        <v>44253</v>
      </c>
      <c r="B228" s="21">
        <v>273.5</v>
      </c>
      <c r="C228" s="20">
        <v>44253</v>
      </c>
      <c r="D228" s="21" t="s">
        <v>818</v>
      </c>
      <c r="F228" s="274">
        <f t="shared" si="6"/>
        <v>-2.2166649754887528E-2</v>
      </c>
      <c r="G228" s="274">
        <f t="shared" si="7"/>
        <v>-3.7635693247586012E-2</v>
      </c>
    </row>
    <row r="229" spans="1:7" ht="14.25" customHeight="1" x14ac:dyDescent="0.3">
      <c r="A229" s="20">
        <v>44256</v>
      </c>
      <c r="B229" s="21" t="s">
        <v>819</v>
      </c>
      <c r="C229" s="20">
        <v>44256</v>
      </c>
      <c r="D229" s="21" t="s">
        <v>820</v>
      </c>
      <c r="F229" s="274">
        <f t="shared" si="6"/>
        <v>1.6087729054786021E-2</v>
      </c>
      <c r="G229" s="274">
        <f t="shared" si="7"/>
        <v>1.5995389118723471E-2</v>
      </c>
    </row>
    <row r="230" spans="1:7" ht="14.25" customHeight="1" x14ac:dyDescent="0.3">
      <c r="A230" s="20">
        <v>44257</v>
      </c>
      <c r="B230" s="21" t="s">
        <v>821</v>
      </c>
      <c r="C230" s="20">
        <v>44257</v>
      </c>
      <c r="D230" s="21" t="s">
        <v>822</v>
      </c>
      <c r="F230" s="274">
        <f t="shared" si="6"/>
        <v>3.2385531351226877E-3</v>
      </c>
      <c r="G230" s="274">
        <f t="shared" si="7"/>
        <v>1.0672985341787783E-2</v>
      </c>
    </row>
    <row r="231" spans="1:7" ht="14.25" customHeight="1" x14ac:dyDescent="0.3">
      <c r="A231" s="20">
        <v>44258</v>
      </c>
      <c r="B231" s="21" t="s">
        <v>823</v>
      </c>
      <c r="C231" s="20">
        <v>44258</v>
      </c>
      <c r="D231" s="21" t="s">
        <v>824</v>
      </c>
      <c r="F231" s="274">
        <f t="shared" si="6"/>
        <v>1.1836508088363061E-2</v>
      </c>
      <c r="G231" s="274">
        <f t="shared" si="7"/>
        <v>2.1884698711632098E-2</v>
      </c>
    </row>
    <row r="232" spans="1:7" ht="14.25" customHeight="1" x14ac:dyDescent="0.3">
      <c r="A232" s="20">
        <v>44259</v>
      </c>
      <c r="B232" s="21">
        <v>292</v>
      </c>
      <c r="C232" s="20">
        <v>44259</v>
      </c>
      <c r="D232" s="21">
        <v>15080.75</v>
      </c>
      <c r="F232" s="274">
        <f t="shared" si="6"/>
        <v>3.5093915924455009E-2</v>
      </c>
      <c r="G232" s="274">
        <f t="shared" si="7"/>
        <v>-1.0812930524138177E-2</v>
      </c>
    </row>
    <row r="233" spans="1:7" ht="14.25" customHeight="1" x14ac:dyDescent="0.3">
      <c r="A233" s="20">
        <v>44260</v>
      </c>
      <c r="B233" s="21" t="s">
        <v>825</v>
      </c>
      <c r="C233" s="20">
        <v>44260</v>
      </c>
      <c r="D233" s="21" t="s">
        <v>826</v>
      </c>
      <c r="F233" s="274">
        <f t="shared" si="6"/>
        <v>-2.4657576051479415E-2</v>
      </c>
      <c r="G233" s="274">
        <f t="shared" si="7"/>
        <v>-9.4591045289524733E-3</v>
      </c>
    </row>
    <row r="234" spans="1:7" ht="14.25" customHeight="1" x14ac:dyDescent="0.3">
      <c r="A234" s="20">
        <v>44263</v>
      </c>
      <c r="B234" s="21">
        <v>285.75</v>
      </c>
      <c r="C234" s="20">
        <v>44263</v>
      </c>
      <c r="D234" s="21" t="s">
        <v>827</v>
      </c>
      <c r="F234" s="274">
        <f t="shared" si="6"/>
        <v>3.3357171620477357E-3</v>
      </c>
      <c r="G234" s="274">
        <f t="shared" si="7"/>
        <v>1.2117060677611399E-3</v>
      </c>
    </row>
    <row r="235" spans="1:7" ht="14.25" customHeight="1" x14ac:dyDescent="0.3">
      <c r="A235" s="20">
        <v>44264</v>
      </c>
      <c r="B235" s="21" t="s">
        <v>828</v>
      </c>
      <c r="C235" s="20">
        <v>44264</v>
      </c>
      <c r="D235" s="21" t="s">
        <v>829</v>
      </c>
      <c r="F235" s="274">
        <f t="shared" si="6"/>
        <v>1.8547638820535471E-2</v>
      </c>
      <c r="G235" s="274">
        <f t="shared" si="7"/>
        <v>9.5077756017914027E-3</v>
      </c>
    </row>
    <row r="236" spans="1:7" ht="14.25" customHeight="1" x14ac:dyDescent="0.3">
      <c r="A236" s="20">
        <v>44265</v>
      </c>
      <c r="B236" s="21">
        <v>292</v>
      </c>
      <c r="C236" s="20">
        <v>44265</v>
      </c>
      <c r="D236" s="21" t="s">
        <v>830</v>
      </c>
      <c r="F236" s="274">
        <f t="shared" si="6"/>
        <v>3.2640860569551344E-3</v>
      </c>
      <c r="G236" s="274">
        <f t="shared" si="7"/>
        <v>5.0600998838220262E-3</v>
      </c>
    </row>
    <row r="237" spans="1:7" ht="14.25" customHeight="1" x14ac:dyDescent="0.3">
      <c r="A237" s="20">
        <v>44267</v>
      </c>
      <c r="B237" s="21">
        <v>289.5</v>
      </c>
      <c r="C237" s="20">
        <v>44267</v>
      </c>
      <c r="D237" s="21" t="s">
        <v>831</v>
      </c>
      <c r="F237" s="274">
        <f t="shared" si="6"/>
        <v>-8.5616438356164379E-3</v>
      </c>
      <c r="G237" s="274">
        <f t="shared" si="7"/>
        <v>-9.4795062357636382E-3</v>
      </c>
    </row>
    <row r="238" spans="1:7" ht="14.25" customHeight="1" x14ac:dyDescent="0.3">
      <c r="A238" s="20">
        <v>44270</v>
      </c>
      <c r="B238" s="21" t="s">
        <v>832</v>
      </c>
      <c r="C238" s="20">
        <v>44270</v>
      </c>
      <c r="D238" s="21">
        <v>14929.5</v>
      </c>
      <c r="F238" s="274">
        <f t="shared" si="6"/>
        <v>-2.0207274968967265E-2</v>
      </c>
      <c r="G238" s="274">
        <f t="shared" si="7"/>
        <v>-6.7494199630930788E-3</v>
      </c>
    </row>
    <row r="239" spans="1:7" ht="14.25" customHeight="1" x14ac:dyDescent="0.3">
      <c r="A239" s="20">
        <v>44271</v>
      </c>
      <c r="B239" s="21" t="s">
        <v>833</v>
      </c>
      <c r="C239" s="20">
        <v>44271</v>
      </c>
      <c r="D239" s="21" t="s">
        <v>834</v>
      </c>
      <c r="F239" s="274">
        <f t="shared" si="6"/>
        <v>6.698374536815337E-3</v>
      </c>
      <c r="G239" s="274">
        <f t="shared" si="7"/>
        <v>-1.2759841044576174E-3</v>
      </c>
    </row>
    <row r="240" spans="1:7" ht="14.25" customHeight="1" x14ac:dyDescent="0.3">
      <c r="A240" s="20">
        <v>44272</v>
      </c>
      <c r="B240" s="21" t="s">
        <v>835</v>
      </c>
      <c r="C240" s="20">
        <v>44272</v>
      </c>
      <c r="D240" s="21" t="s">
        <v>836</v>
      </c>
      <c r="F240" s="274">
        <f t="shared" si="6"/>
        <v>-1.6459400771750808E-2</v>
      </c>
      <c r="G240" s="274">
        <f t="shared" si="7"/>
        <v>-1.2685759862868828E-2</v>
      </c>
    </row>
    <row r="241" spans="1:7" ht="14.25" customHeight="1" x14ac:dyDescent="0.3">
      <c r="A241" s="20">
        <v>44273</v>
      </c>
      <c r="B241" s="21" t="s">
        <v>837</v>
      </c>
      <c r="C241" s="20">
        <v>44273</v>
      </c>
      <c r="D241" s="21" t="s">
        <v>838</v>
      </c>
      <c r="F241" s="274">
        <f t="shared" si="6"/>
        <v>7.120586971940551E-4</v>
      </c>
      <c r="G241" s="274">
        <f t="shared" si="7"/>
        <v>-1.1102973071742945E-2</v>
      </c>
    </row>
    <row r="242" spans="1:7" ht="14.25" customHeight="1" x14ac:dyDescent="0.3">
      <c r="A242" s="20">
        <v>44274</v>
      </c>
      <c r="B242" s="21" t="s">
        <v>839</v>
      </c>
      <c r="C242" s="20">
        <v>44274</v>
      </c>
      <c r="D242" s="21">
        <v>14744</v>
      </c>
      <c r="F242" s="274">
        <f t="shared" si="6"/>
        <v>8.539493037910963E-3</v>
      </c>
      <c r="G242" s="274">
        <f t="shared" si="7"/>
        <v>1.2786942826028538E-2</v>
      </c>
    </row>
    <row r="243" spans="1:7" ht="14.25" customHeight="1" x14ac:dyDescent="0.3">
      <c r="A243" s="20">
        <v>44277</v>
      </c>
      <c r="B243" s="21" t="s">
        <v>840</v>
      </c>
      <c r="C243" s="20">
        <v>44277</v>
      </c>
      <c r="D243" s="21" t="s">
        <v>841</v>
      </c>
      <c r="F243" s="274">
        <f t="shared" si="6"/>
        <v>4.2864679390486882E-2</v>
      </c>
      <c r="G243" s="274">
        <f t="shared" si="7"/>
        <v>-5.1543742369777532E-4</v>
      </c>
    </row>
    <row r="244" spans="1:7" ht="14.25" customHeight="1" x14ac:dyDescent="0.3">
      <c r="A244" s="20">
        <v>44278</v>
      </c>
      <c r="B244" s="21" t="s">
        <v>842</v>
      </c>
      <c r="C244" s="20">
        <v>44278</v>
      </c>
      <c r="D244" s="21">
        <v>14814.75</v>
      </c>
      <c r="F244" s="274">
        <f t="shared" si="6"/>
        <v>2.9939126930927311E-2</v>
      </c>
      <c r="G244" s="274">
        <f t="shared" si="7"/>
        <v>5.3167399974314239E-3</v>
      </c>
    </row>
    <row r="245" spans="1:7" ht="14.25" customHeight="1" x14ac:dyDescent="0.3">
      <c r="A245" s="20">
        <v>44279</v>
      </c>
      <c r="B245" s="21" t="s">
        <v>843</v>
      </c>
      <c r="C245" s="20">
        <v>44279</v>
      </c>
      <c r="D245" s="21" t="s">
        <v>844</v>
      </c>
      <c r="F245" s="274">
        <f t="shared" si="6"/>
        <v>-2.1350776416490477E-3</v>
      </c>
      <c r="G245" s="274">
        <f t="shared" si="7"/>
        <v>-1.7911176994211849E-2</v>
      </c>
    </row>
    <row r="246" spans="1:7" ht="14.25" customHeight="1" x14ac:dyDescent="0.3">
      <c r="A246" s="20">
        <v>44280</v>
      </c>
      <c r="B246" s="21" t="s">
        <v>845</v>
      </c>
      <c r="C246" s="20">
        <v>44280</v>
      </c>
      <c r="D246" s="21" t="s">
        <v>846</v>
      </c>
      <c r="F246" s="274">
        <f t="shared" si="6"/>
        <v>-3.1928841603717582E-2</v>
      </c>
      <c r="G246" s="274">
        <f t="shared" si="7"/>
        <v>-1.5430189146808966E-2</v>
      </c>
    </row>
    <row r="247" spans="1:7" ht="14.25" customHeight="1" x14ac:dyDescent="0.3">
      <c r="A247" s="20">
        <v>44281</v>
      </c>
      <c r="B247" s="21" t="s">
        <v>847</v>
      </c>
      <c r="C247" s="20">
        <v>44281</v>
      </c>
      <c r="D247" s="21" t="s">
        <v>848</v>
      </c>
      <c r="F247" s="274">
        <f t="shared" si="6"/>
        <v>2.7201216469455087E-3</v>
      </c>
      <c r="G247" s="274">
        <f t="shared" si="7"/>
        <v>1.2733031929623202E-2</v>
      </c>
    </row>
    <row r="248" spans="1:7" ht="14.25" customHeight="1" x14ac:dyDescent="0.3">
      <c r="A248" s="20">
        <v>44285</v>
      </c>
      <c r="B248" s="21" t="s">
        <v>849</v>
      </c>
      <c r="C248" s="20">
        <v>44285</v>
      </c>
      <c r="D248" s="21" t="s">
        <v>850</v>
      </c>
      <c r="F248" s="274">
        <f t="shared" si="6"/>
        <v>1.6785392707632879E-2</v>
      </c>
      <c r="G248" s="274">
        <f t="shared" si="7"/>
        <v>2.3284815867550514E-2</v>
      </c>
    </row>
    <row r="249" spans="1:7" ht="14.25" customHeight="1" x14ac:dyDescent="0.3">
      <c r="A249" s="20">
        <v>44286</v>
      </c>
      <c r="B249" s="21" t="s">
        <v>851</v>
      </c>
      <c r="C249" s="20">
        <v>44286</v>
      </c>
      <c r="D249" s="21" t="s">
        <v>852</v>
      </c>
      <c r="F249" s="274">
        <f t="shared" si="6"/>
        <v>3.0015006892789579E-2</v>
      </c>
      <c r="G249" s="274">
        <f t="shared" si="7"/>
        <v>-1.0400699094332345E-2</v>
      </c>
    </row>
    <row r="250" spans="1:7" ht="14.25" customHeight="1" x14ac:dyDescent="0.3">
      <c r="A250" s="20">
        <v>44287</v>
      </c>
      <c r="B250" s="21">
        <v>311</v>
      </c>
      <c r="C250" s="20">
        <v>44287</v>
      </c>
      <c r="D250" s="21" t="s">
        <v>853</v>
      </c>
      <c r="F250" s="274">
        <f t="shared" si="6"/>
        <v>6.9612881787167666E-3</v>
      </c>
      <c r="G250" s="274">
        <f t="shared" si="7"/>
        <v>1.2024574166918552E-2</v>
      </c>
    </row>
    <row r="251" spans="1:7" ht="14.25" customHeight="1" x14ac:dyDescent="0.3">
      <c r="A251" s="20">
        <v>44291</v>
      </c>
      <c r="B251" s="21" t="s">
        <v>854</v>
      </c>
      <c r="C251" s="20">
        <v>44291</v>
      </c>
      <c r="D251" s="21" t="s">
        <v>855</v>
      </c>
      <c r="F251" s="274">
        <f t="shared" si="6"/>
        <v>-1.5916437964733084E-2</v>
      </c>
      <c r="G251" s="274">
        <f t="shared" si="7"/>
        <v>-1.5439860548026079E-2</v>
      </c>
    </row>
    <row r="252" spans="1:7" ht="14.25" customHeight="1" x14ac:dyDescent="0.3">
      <c r="A252" s="20">
        <v>44292</v>
      </c>
      <c r="B252" s="21">
        <v>305.5</v>
      </c>
      <c r="C252" s="20">
        <v>44292</v>
      </c>
      <c r="D252" s="21">
        <v>14683.5</v>
      </c>
      <c r="F252" s="274">
        <f t="shared" si="6"/>
        <v>-1.7970521643675356E-3</v>
      </c>
      <c r="G252" s="274">
        <f t="shared" si="7"/>
        <v>3.1220672452334885E-3</v>
      </c>
    </row>
    <row r="253" spans="1:7" ht="14.25" customHeight="1" x14ac:dyDescent="0.3">
      <c r="A253" s="20">
        <v>44293</v>
      </c>
      <c r="B253" s="21" t="s">
        <v>856</v>
      </c>
      <c r="C253" s="20">
        <v>44293</v>
      </c>
      <c r="D253" s="21" t="s">
        <v>857</v>
      </c>
      <c r="F253" s="274">
        <f t="shared" si="6"/>
        <v>1.0310945651338714E-2</v>
      </c>
      <c r="G253" s="274">
        <f t="shared" si="7"/>
        <v>9.231436965811966E-3</v>
      </c>
    </row>
    <row r="254" spans="1:7" ht="14.25" customHeight="1" x14ac:dyDescent="0.3">
      <c r="A254" s="20">
        <v>44294</v>
      </c>
      <c r="B254" s="21" t="s">
        <v>858</v>
      </c>
      <c r="C254" s="20">
        <v>44294</v>
      </c>
      <c r="D254" s="21" t="s">
        <v>859</v>
      </c>
      <c r="F254" s="274">
        <f t="shared" si="6"/>
        <v>3.9364957514170365E-2</v>
      </c>
      <c r="G254" s="274">
        <f t="shared" si="7"/>
        <v>3.6945688638337464E-3</v>
      </c>
    </row>
    <row r="255" spans="1:7" ht="14.25" customHeight="1" x14ac:dyDescent="0.3">
      <c r="A255" s="20">
        <v>44295</v>
      </c>
      <c r="B255" s="21" t="s">
        <v>860</v>
      </c>
      <c r="C255" s="20">
        <v>44295</v>
      </c>
      <c r="D255" s="21" t="s">
        <v>861</v>
      </c>
      <c r="F255" s="274">
        <f t="shared" si="6"/>
        <v>-1.3871514522391E-2</v>
      </c>
      <c r="G255" s="274">
        <f t="shared" si="7"/>
        <v>-2.6187118170183242E-3</v>
      </c>
    </row>
    <row r="256" spans="1:7" ht="14.25" customHeight="1" x14ac:dyDescent="0.3">
      <c r="A256" s="20">
        <v>44298</v>
      </c>
      <c r="B256" s="21" t="s">
        <v>862</v>
      </c>
      <c r="C256" s="20">
        <v>44298</v>
      </c>
      <c r="D256" s="21" t="s">
        <v>863</v>
      </c>
      <c r="F256" s="274">
        <f t="shared" si="6"/>
        <v>-3.8090779447002829E-2</v>
      </c>
      <c r="G256" s="274">
        <f t="shared" si="7"/>
        <v>-3.5325589304007678E-2</v>
      </c>
    </row>
    <row r="257" spans="1:7" ht="14.25" customHeight="1" x14ac:dyDescent="0.3">
      <c r="A257" s="20">
        <v>44299</v>
      </c>
      <c r="B257" s="21" t="s">
        <v>864</v>
      </c>
      <c r="C257" s="20">
        <v>44299</v>
      </c>
      <c r="D257" s="21" t="s">
        <v>865</v>
      </c>
      <c r="F257" s="274">
        <f t="shared" si="6"/>
        <v>-6.5724616504444612E-3</v>
      </c>
      <c r="G257" s="274">
        <f t="shared" si="7"/>
        <v>1.3556195506030022E-2</v>
      </c>
    </row>
    <row r="258" spans="1:7" ht="14.25" customHeight="1" x14ac:dyDescent="0.3">
      <c r="A258" s="20">
        <v>44301</v>
      </c>
      <c r="B258" s="21" t="s">
        <v>866</v>
      </c>
      <c r="C258" s="20">
        <v>44301</v>
      </c>
      <c r="D258" s="21" t="s">
        <v>867</v>
      </c>
      <c r="F258" s="274">
        <f t="shared" si="6"/>
        <v>-2.3486522899893236E-2</v>
      </c>
      <c r="G258" s="274">
        <f t="shared" si="7"/>
        <v>5.2844845607747703E-3</v>
      </c>
    </row>
    <row r="259" spans="1:7" ht="14.25" customHeight="1" x14ac:dyDescent="0.3">
      <c r="A259" s="20">
        <v>44302</v>
      </c>
      <c r="B259" s="21" t="s">
        <v>868</v>
      </c>
      <c r="C259" s="20">
        <v>44302</v>
      </c>
      <c r="D259" s="21" t="s">
        <v>869</v>
      </c>
      <c r="F259" s="274">
        <f t="shared" ref="F259:F322" si="8">(B259-B258)/B258</f>
        <v>1.8631435543921031E-2</v>
      </c>
      <c r="G259" s="274">
        <f t="shared" ref="G259:G322" si="9">(D259-D258)/D258</f>
        <v>2.4962821650072447E-3</v>
      </c>
    </row>
    <row r="260" spans="1:7" ht="14.25" customHeight="1" x14ac:dyDescent="0.3">
      <c r="A260" s="20">
        <v>44305</v>
      </c>
      <c r="B260" s="21" t="s">
        <v>870</v>
      </c>
      <c r="C260" s="20">
        <v>44305</v>
      </c>
      <c r="D260" s="21" t="s">
        <v>871</v>
      </c>
      <c r="F260" s="274">
        <f t="shared" si="8"/>
        <v>8.313933816134194E-4</v>
      </c>
      <c r="G260" s="274">
        <f t="shared" si="9"/>
        <v>-1.7676978554819603E-2</v>
      </c>
    </row>
    <row r="261" spans="1:7" ht="14.25" customHeight="1" x14ac:dyDescent="0.3">
      <c r="A261" s="20">
        <v>44306</v>
      </c>
      <c r="B261" s="21" t="s">
        <v>872</v>
      </c>
      <c r="C261" s="20">
        <v>44306</v>
      </c>
      <c r="D261" s="21" t="s">
        <v>873</v>
      </c>
      <c r="F261" s="274">
        <f t="shared" si="8"/>
        <v>-1.7444757557904315E-2</v>
      </c>
      <c r="G261" s="274">
        <f t="shared" si="9"/>
        <v>-4.390823034999069E-3</v>
      </c>
    </row>
    <row r="262" spans="1:7" ht="14.25" customHeight="1" x14ac:dyDescent="0.3">
      <c r="A262" s="20">
        <v>44308</v>
      </c>
      <c r="B262" s="21" t="s">
        <v>840</v>
      </c>
      <c r="C262" s="20">
        <v>44308</v>
      </c>
      <c r="D262" s="21" t="s">
        <v>874</v>
      </c>
      <c r="F262" s="274">
        <f t="shared" si="8"/>
        <v>-3.3820121537906723E-4</v>
      </c>
      <c r="G262" s="274">
        <f t="shared" si="9"/>
        <v>7.6767575754222439E-3</v>
      </c>
    </row>
    <row r="263" spans="1:7" ht="14.25" customHeight="1" x14ac:dyDescent="0.3">
      <c r="A263" s="20">
        <v>44309</v>
      </c>
      <c r="B263" s="21" t="s">
        <v>866</v>
      </c>
      <c r="C263" s="20">
        <v>44309</v>
      </c>
      <c r="D263" s="21" t="s">
        <v>875</v>
      </c>
      <c r="F263" s="274">
        <f t="shared" si="8"/>
        <v>-1.3531592971074053E-3</v>
      </c>
      <c r="G263" s="274">
        <f t="shared" si="9"/>
        <v>-4.4981330537941623E-3</v>
      </c>
    </row>
    <row r="264" spans="1:7" ht="14.25" customHeight="1" x14ac:dyDescent="0.3">
      <c r="A264" s="20">
        <v>44312</v>
      </c>
      <c r="B264" s="21" t="s">
        <v>876</v>
      </c>
      <c r="C264" s="20">
        <v>44312</v>
      </c>
      <c r="D264" s="21">
        <v>14485</v>
      </c>
      <c r="F264" s="274">
        <f t="shared" si="8"/>
        <v>2.7608379266489277E-2</v>
      </c>
      <c r="G264" s="274">
        <f t="shared" si="9"/>
        <v>1.001651828716979E-2</v>
      </c>
    </row>
    <row r="265" spans="1:7" ht="14.25" customHeight="1" x14ac:dyDescent="0.3">
      <c r="A265" s="20">
        <v>44313</v>
      </c>
      <c r="B265" s="21" t="s">
        <v>877</v>
      </c>
      <c r="C265" s="20">
        <v>44313</v>
      </c>
      <c r="D265" s="21" t="s">
        <v>878</v>
      </c>
      <c r="F265" s="274">
        <f t="shared" si="8"/>
        <v>1.0548810367787008E-2</v>
      </c>
      <c r="G265" s="274">
        <f t="shared" si="9"/>
        <v>1.1601643402657923E-2</v>
      </c>
    </row>
    <row r="266" spans="1:7" ht="14.25" customHeight="1" x14ac:dyDescent="0.3">
      <c r="A266" s="20">
        <v>44314</v>
      </c>
      <c r="B266" s="21" t="s">
        <v>851</v>
      </c>
      <c r="C266" s="20">
        <v>44314</v>
      </c>
      <c r="D266" s="21" t="s">
        <v>879</v>
      </c>
      <c r="F266" s="274">
        <f t="shared" si="8"/>
        <v>7.5029143765627283E-3</v>
      </c>
      <c r="G266" s="274">
        <f t="shared" si="9"/>
        <v>1.4433855260107101E-2</v>
      </c>
    </row>
    <row r="267" spans="1:7" ht="14.25" customHeight="1" x14ac:dyDescent="0.3">
      <c r="A267" s="20">
        <v>44315</v>
      </c>
      <c r="B267" s="21" t="s">
        <v>880</v>
      </c>
      <c r="C267" s="20">
        <v>44315</v>
      </c>
      <c r="D267" s="21" t="s">
        <v>881</v>
      </c>
      <c r="F267" s="274">
        <f t="shared" si="8"/>
        <v>1.6836592477547731E-2</v>
      </c>
      <c r="G267" s="274">
        <f t="shared" si="9"/>
        <v>2.0418099664161384E-3</v>
      </c>
    </row>
    <row r="268" spans="1:7" ht="14.25" customHeight="1" x14ac:dyDescent="0.3">
      <c r="A268" s="20">
        <v>44316</v>
      </c>
      <c r="B268" s="21" t="s">
        <v>882</v>
      </c>
      <c r="C268" s="20">
        <v>44316</v>
      </c>
      <c r="D268" s="21" t="s">
        <v>883</v>
      </c>
      <c r="F268" s="274">
        <f t="shared" si="8"/>
        <v>-1.5921032301698935E-2</v>
      </c>
      <c r="G268" s="274">
        <f t="shared" si="9"/>
        <v>-1.7710812045177479E-2</v>
      </c>
    </row>
    <row r="269" spans="1:7" ht="14.25" customHeight="1" x14ac:dyDescent="0.3">
      <c r="A269" s="20">
        <v>44319</v>
      </c>
      <c r="B269" s="21" t="s">
        <v>884</v>
      </c>
      <c r="C269" s="20">
        <v>44319</v>
      </c>
      <c r="D269" s="21" t="s">
        <v>885</v>
      </c>
      <c r="F269" s="274">
        <f t="shared" si="8"/>
        <v>8.4128982566331802E-3</v>
      </c>
      <c r="G269" s="274">
        <f t="shared" si="9"/>
        <v>2.0851346320171222E-4</v>
      </c>
    </row>
    <row r="270" spans="1:7" ht="14.25" customHeight="1" x14ac:dyDescent="0.3">
      <c r="A270" s="20">
        <v>44320</v>
      </c>
      <c r="B270" s="21" t="s">
        <v>886</v>
      </c>
      <c r="C270" s="20">
        <v>44320</v>
      </c>
      <c r="D270" s="21">
        <v>14496.5</v>
      </c>
      <c r="F270" s="274">
        <f t="shared" si="8"/>
        <v>-1.5080961917214334E-2</v>
      </c>
      <c r="G270" s="274">
        <f t="shared" si="9"/>
        <v>-9.4061074234403283E-3</v>
      </c>
    </row>
    <row r="271" spans="1:7" ht="14.25" customHeight="1" x14ac:dyDescent="0.3">
      <c r="A271" s="20">
        <v>44321</v>
      </c>
      <c r="B271" s="21" t="s">
        <v>887</v>
      </c>
      <c r="C271" s="20">
        <v>44321</v>
      </c>
      <c r="D271" s="21" t="s">
        <v>869</v>
      </c>
      <c r="F271" s="274">
        <f t="shared" si="8"/>
        <v>1.4660367555108123E-2</v>
      </c>
      <c r="G271" s="274">
        <f t="shared" si="9"/>
        <v>8.3709591539337085E-3</v>
      </c>
    </row>
    <row r="272" spans="1:7" ht="14.25" customHeight="1" x14ac:dyDescent="0.3">
      <c r="A272" s="20">
        <v>44322</v>
      </c>
      <c r="B272" s="21" t="s">
        <v>888</v>
      </c>
      <c r="C272" s="20">
        <v>44322</v>
      </c>
      <c r="D272" s="21" t="s">
        <v>889</v>
      </c>
      <c r="F272" s="274">
        <f t="shared" si="8"/>
        <v>9.4717661705917833E-3</v>
      </c>
      <c r="G272" s="274">
        <f t="shared" si="9"/>
        <v>7.3164109749705355E-3</v>
      </c>
    </row>
    <row r="273" spans="1:7" ht="14.25" customHeight="1" x14ac:dyDescent="0.3">
      <c r="A273" s="20">
        <v>44323</v>
      </c>
      <c r="B273" s="21">
        <v>312.25</v>
      </c>
      <c r="C273" s="20">
        <v>44323</v>
      </c>
      <c r="D273" s="21" t="s">
        <v>890</v>
      </c>
      <c r="F273" s="274">
        <f t="shared" si="8"/>
        <v>-6.8384031113940206E-3</v>
      </c>
      <c r="G273" s="274">
        <f t="shared" si="9"/>
        <v>6.6792477481555316E-3</v>
      </c>
    </row>
    <row r="274" spans="1:7" ht="14.25" customHeight="1" x14ac:dyDescent="0.3">
      <c r="A274" s="20">
        <v>44326</v>
      </c>
      <c r="B274" s="21" t="s">
        <v>891</v>
      </c>
      <c r="C274" s="20">
        <v>44326</v>
      </c>
      <c r="D274" s="21" t="s">
        <v>892</v>
      </c>
      <c r="F274" s="274">
        <f t="shared" si="8"/>
        <v>-2.882286297790233E-3</v>
      </c>
      <c r="G274" s="274">
        <f t="shared" si="9"/>
        <v>8.041422748121637E-3</v>
      </c>
    </row>
    <row r="275" spans="1:7" ht="14.25" customHeight="1" x14ac:dyDescent="0.3">
      <c r="A275" s="20">
        <v>44327</v>
      </c>
      <c r="B275" s="21" t="s">
        <v>893</v>
      </c>
      <c r="C275" s="20">
        <v>44327</v>
      </c>
      <c r="D275" s="21">
        <v>14850.75</v>
      </c>
      <c r="F275" s="274">
        <f t="shared" si="8"/>
        <v>1.1401919779595917E-2</v>
      </c>
      <c r="G275" s="274">
        <f t="shared" si="9"/>
        <v>-6.1302011912189071E-3</v>
      </c>
    </row>
    <row r="276" spans="1:7" ht="14.25" customHeight="1" x14ac:dyDescent="0.3">
      <c r="A276" s="20">
        <v>44328</v>
      </c>
      <c r="B276" s="21" t="s">
        <v>882</v>
      </c>
      <c r="C276" s="20">
        <v>44328</v>
      </c>
      <c r="D276" s="21">
        <v>14696.5</v>
      </c>
      <c r="F276" s="274">
        <f t="shared" si="8"/>
        <v>-1.8577345877748792E-2</v>
      </c>
      <c r="G276" s="274">
        <f t="shared" si="9"/>
        <v>-1.0386680807366631E-2</v>
      </c>
    </row>
    <row r="277" spans="1:7" ht="14.25" customHeight="1" x14ac:dyDescent="0.3">
      <c r="A277" s="20">
        <v>44330</v>
      </c>
      <c r="B277" s="21" t="s">
        <v>894</v>
      </c>
      <c r="C277" s="20">
        <v>44330</v>
      </c>
      <c r="D277" s="21" t="s">
        <v>895</v>
      </c>
      <c r="F277" s="274">
        <f t="shared" si="8"/>
        <v>-6.3095996326629862E-3</v>
      </c>
      <c r="G277" s="274">
        <f t="shared" si="9"/>
        <v>-1.2724250884564353E-3</v>
      </c>
    </row>
    <row r="278" spans="1:7" ht="14.25" customHeight="1" x14ac:dyDescent="0.3">
      <c r="A278" s="20">
        <v>44333</v>
      </c>
      <c r="B278" s="21" t="s">
        <v>896</v>
      </c>
      <c r="C278" s="20">
        <v>44333</v>
      </c>
      <c r="D278" s="21" t="s">
        <v>897</v>
      </c>
      <c r="F278" s="274">
        <f t="shared" si="8"/>
        <v>1.0094451455240596E-2</v>
      </c>
      <c r="G278" s="274">
        <f t="shared" si="9"/>
        <v>1.6715760481972569E-2</v>
      </c>
    </row>
    <row r="279" spans="1:7" ht="14.25" customHeight="1" x14ac:dyDescent="0.3">
      <c r="A279" s="20">
        <v>44334</v>
      </c>
      <c r="B279" s="21" t="s">
        <v>898</v>
      </c>
      <c r="C279" s="20">
        <v>44334</v>
      </c>
      <c r="D279" s="21" t="s">
        <v>899</v>
      </c>
      <c r="F279" s="274">
        <f t="shared" si="8"/>
        <v>1.7569250402916084E-2</v>
      </c>
      <c r="G279" s="274">
        <f t="shared" si="9"/>
        <v>1.239344333527514E-2</v>
      </c>
    </row>
    <row r="280" spans="1:7" ht="14.25" customHeight="1" x14ac:dyDescent="0.3">
      <c r="A280" s="20">
        <v>44335</v>
      </c>
      <c r="B280" s="21" t="s">
        <v>900</v>
      </c>
      <c r="C280" s="20">
        <v>44335</v>
      </c>
      <c r="D280" s="21" t="s">
        <v>901</v>
      </c>
      <c r="F280" s="274">
        <f t="shared" si="8"/>
        <v>6.3361319140588712E-3</v>
      </c>
      <c r="G280" s="274">
        <f t="shared" si="9"/>
        <v>-5.1594324081388979E-3</v>
      </c>
    </row>
    <row r="281" spans="1:7" ht="14.25" customHeight="1" x14ac:dyDescent="0.3">
      <c r="A281" s="20">
        <v>44336</v>
      </c>
      <c r="B281" s="21">
        <v>320</v>
      </c>
      <c r="C281" s="20">
        <v>44336</v>
      </c>
      <c r="D281" s="21" t="s">
        <v>902</v>
      </c>
      <c r="F281" s="274">
        <f t="shared" si="8"/>
        <v>7.3980990041568979E-3</v>
      </c>
      <c r="G281" s="274">
        <f t="shared" si="9"/>
        <v>-8.2567760609306533E-3</v>
      </c>
    </row>
    <row r="282" spans="1:7" ht="14.25" customHeight="1" x14ac:dyDescent="0.3">
      <c r="A282" s="20">
        <v>44337</v>
      </c>
      <c r="B282" s="21" t="s">
        <v>903</v>
      </c>
      <c r="C282" s="20">
        <v>44337</v>
      </c>
      <c r="D282" s="21" t="s">
        <v>904</v>
      </c>
      <c r="F282" s="274">
        <f t="shared" si="8"/>
        <v>4.5312881469719455E-3</v>
      </c>
      <c r="G282" s="274">
        <f t="shared" si="9"/>
        <v>1.8063135674974671E-2</v>
      </c>
    </row>
    <row r="283" spans="1:7" ht="14.25" customHeight="1" x14ac:dyDescent="0.3">
      <c r="A283" s="20">
        <v>44340</v>
      </c>
      <c r="B283" s="21" t="s">
        <v>905</v>
      </c>
      <c r="C283" s="20">
        <v>44340</v>
      </c>
      <c r="D283" s="21" t="s">
        <v>906</v>
      </c>
      <c r="F283" s="274">
        <f t="shared" si="8"/>
        <v>1.4776792097120052E-2</v>
      </c>
      <c r="G283" s="274">
        <f t="shared" si="9"/>
        <v>1.4761086049898495E-3</v>
      </c>
    </row>
    <row r="284" spans="1:7" ht="14.25" customHeight="1" x14ac:dyDescent="0.3">
      <c r="A284" s="20">
        <v>44341</v>
      </c>
      <c r="B284" s="21" t="s">
        <v>907</v>
      </c>
      <c r="C284" s="20">
        <v>44341</v>
      </c>
      <c r="D284" s="21" t="s">
        <v>908</v>
      </c>
      <c r="F284" s="274">
        <f t="shared" si="8"/>
        <v>-1.1955929699928286E-2</v>
      </c>
      <c r="G284" s="274">
        <f t="shared" si="9"/>
        <v>7.0734386531165255E-4</v>
      </c>
    </row>
    <row r="285" spans="1:7" ht="14.25" customHeight="1" x14ac:dyDescent="0.3">
      <c r="A285" s="20">
        <v>44342</v>
      </c>
      <c r="B285" s="21" t="s">
        <v>909</v>
      </c>
      <c r="C285" s="20">
        <v>44342</v>
      </c>
      <c r="D285" s="21" t="s">
        <v>910</v>
      </c>
      <c r="F285" s="274">
        <f t="shared" si="8"/>
        <v>2.4822163848820461E-3</v>
      </c>
      <c r="G285" s="274">
        <f t="shared" si="9"/>
        <v>6.1150215048647203E-3</v>
      </c>
    </row>
    <row r="286" spans="1:7" ht="14.25" customHeight="1" x14ac:dyDescent="0.3">
      <c r="A286" s="20">
        <v>44343</v>
      </c>
      <c r="B286" s="21" t="s">
        <v>911</v>
      </c>
      <c r="C286" s="20">
        <v>44343</v>
      </c>
      <c r="D286" s="21" t="s">
        <v>912</v>
      </c>
      <c r="F286" s="274">
        <f t="shared" si="8"/>
        <v>2.1665118748890818E-2</v>
      </c>
      <c r="G286" s="274">
        <f t="shared" si="9"/>
        <v>2.3788211965458492E-3</v>
      </c>
    </row>
    <row r="287" spans="1:7" ht="14.25" customHeight="1" x14ac:dyDescent="0.3">
      <c r="A287" s="20">
        <v>44344</v>
      </c>
      <c r="B287" s="21" t="s">
        <v>913</v>
      </c>
      <c r="C287" s="20">
        <v>44344</v>
      </c>
      <c r="D287" s="21" t="s">
        <v>914</v>
      </c>
      <c r="F287" s="274">
        <f t="shared" si="8"/>
        <v>-1.3480800135567272E-2</v>
      </c>
      <c r="G287" s="274">
        <f t="shared" si="9"/>
        <v>6.3764337075140533E-3</v>
      </c>
    </row>
    <row r="288" spans="1:7" ht="14.25" customHeight="1" x14ac:dyDescent="0.3">
      <c r="A288" s="20">
        <v>44347</v>
      </c>
      <c r="B288" s="21" t="s">
        <v>915</v>
      </c>
      <c r="C288" s="20">
        <v>44347</v>
      </c>
      <c r="D288" s="21" t="s">
        <v>916</v>
      </c>
      <c r="F288" s="274">
        <f t="shared" si="8"/>
        <v>3.5313800646026984E-3</v>
      </c>
      <c r="G288" s="274">
        <f t="shared" si="9"/>
        <v>9.5330880357249285E-3</v>
      </c>
    </row>
    <row r="289" spans="1:7" ht="14.25" customHeight="1" x14ac:dyDescent="0.3">
      <c r="A289" s="20">
        <v>44348</v>
      </c>
      <c r="B289" s="21" t="s">
        <v>917</v>
      </c>
      <c r="C289" s="20">
        <v>44348</v>
      </c>
      <c r="D289" s="21" t="s">
        <v>918</v>
      </c>
      <c r="F289" s="274">
        <f t="shared" si="8"/>
        <v>-7.9558619432510691E-3</v>
      </c>
      <c r="G289" s="274">
        <f t="shared" si="9"/>
        <v>-5.1019042868717874E-4</v>
      </c>
    </row>
    <row r="290" spans="1:7" ht="14.25" customHeight="1" x14ac:dyDescent="0.3">
      <c r="A290" s="20">
        <v>44349</v>
      </c>
      <c r="B290" s="21" t="s">
        <v>919</v>
      </c>
      <c r="C290" s="20">
        <v>44349</v>
      </c>
      <c r="D290" s="21" t="s">
        <v>920</v>
      </c>
      <c r="F290" s="274">
        <f t="shared" si="8"/>
        <v>2.1283138916348057E-2</v>
      </c>
      <c r="G290" s="274">
        <f t="shared" si="9"/>
        <v>8.6715825280716621E-5</v>
      </c>
    </row>
    <row r="291" spans="1:7" ht="14.25" customHeight="1" x14ac:dyDescent="0.3">
      <c r="A291" s="20">
        <v>44350</v>
      </c>
      <c r="B291" s="21" t="s">
        <v>921</v>
      </c>
      <c r="C291" s="20">
        <v>44350</v>
      </c>
      <c r="D291" s="21" t="s">
        <v>922</v>
      </c>
      <c r="F291" s="274">
        <f t="shared" si="8"/>
        <v>8.6076896737507097E-3</v>
      </c>
      <c r="G291" s="274">
        <f t="shared" si="9"/>
        <v>7.3284506253875779E-3</v>
      </c>
    </row>
    <row r="292" spans="1:7" ht="14.25" customHeight="1" x14ac:dyDescent="0.3">
      <c r="A292" s="20">
        <v>44351</v>
      </c>
      <c r="B292" s="21" t="s">
        <v>923</v>
      </c>
      <c r="C292" s="20">
        <v>44351</v>
      </c>
      <c r="D292" s="21">
        <v>15670.25</v>
      </c>
      <c r="F292" s="274">
        <f t="shared" si="8"/>
        <v>-5.68954737119488E-3</v>
      </c>
      <c r="G292" s="274">
        <f t="shared" si="9"/>
        <v>-1.2810173052479636E-3</v>
      </c>
    </row>
    <row r="293" spans="1:7" ht="14.25" customHeight="1" x14ac:dyDescent="0.3">
      <c r="A293" s="20">
        <v>44354</v>
      </c>
      <c r="B293" s="21" t="s">
        <v>924</v>
      </c>
      <c r="C293" s="20">
        <v>44354</v>
      </c>
      <c r="D293" s="21" t="s">
        <v>925</v>
      </c>
      <c r="F293" s="274">
        <f t="shared" si="8"/>
        <v>2.1081163250529843E-2</v>
      </c>
      <c r="G293" s="274">
        <f t="shared" si="9"/>
        <v>5.1945814919991708E-3</v>
      </c>
    </row>
    <row r="294" spans="1:7" ht="14.25" customHeight="1" x14ac:dyDescent="0.3">
      <c r="A294" s="20">
        <v>44355</v>
      </c>
      <c r="B294" s="21" t="s">
        <v>926</v>
      </c>
      <c r="C294" s="20">
        <v>44355</v>
      </c>
      <c r="D294" s="21" t="s">
        <v>927</v>
      </c>
      <c r="F294" s="274">
        <f t="shared" si="8"/>
        <v>3.8342968805555916E-3</v>
      </c>
      <c r="G294" s="274">
        <f t="shared" si="9"/>
        <v>-7.3330609577741419E-4</v>
      </c>
    </row>
    <row r="295" spans="1:7" ht="14.25" customHeight="1" x14ac:dyDescent="0.3">
      <c r="A295" s="20">
        <v>44356</v>
      </c>
      <c r="B295" s="21" t="s">
        <v>928</v>
      </c>
      <c r="C295" s="20">
        <v>44356</v>
      </c>
      <c r="D295" s="21" t="s">
        <v>929</v>
      </c>
      <c r="F295" s="274">
        <f t="shared" si="8"/>
        <v>-1.7628911098579923E-2</v>
      </c>
      <c r="G295" s="274">
        <f t="shared" si="9"/>
        <v>-6.6549769442125761E-3</v>
      </c>
    </row>
    <row r="296" spans="1:7" ht="14.25" customHeight="1" x14ac:dyDescent="0.3">
      <c r="A296" s="20">
        <v>44357</v>
      </c>
      <c r="B296" s="21" t="s">
        <v>930</v>
      </c>
      <c r="C296" s="20">
        <v>44357</v>
      </c>
      <c r="D296" s="21">
        <v>15737.75</v>
      </c>
      <c r="F296" s="274">
        <f t="shared" si="8"/>
        <v>2.1534265165300735E-2</v>
      </c>
      <c r="G296" s="274">
        <f t="shared" si="9"/>
        <v>6.5492869160789623E-3</v>
      </c>
    </row>
    <row r="297" spans="1:7" ht="14.25" customHeight="1" x14ac:dyDescent="0.3">
      <c r="A297" s="20">
        <v>44358</v>
      </c>
      <c r="B297" s="21" t="s">
        <v>931</v>
      </c>
      <c r="C297" s="20">
        <v>44358</v>
      </c>
      <c r="D297" s="21" t="s">
        <v>932</v>
      </c>
      <c r="F297" s="274">
        <f t="shared" si="8"/>
        <v>-1.1272070629587221E-2</v>
      </c>
      <c r="G297" s="274">
        <f t="shared" si="9"/>
        <v>3.9141306333497486E-3</v>
      </c>
    </row>
    <row r="298" spans="1:7" ht="14.25" customHeight="1" x14ac:dyDescent="0.3">
      <c r="A298" s="20">
        <v>44361</v>
      </c>
      <c r="B298" s="21" t="s">
        <v>926</v>
      </c>
      <c r="C298" s="20">
        <v>44361</v>
      </c>
      <c r="D298" s="21" t="s">
        <v>933</v>
      </c>
      <c r="F298" s="274">
        <f t="shared" si="8"/>
        <v>7.8471833008385162E-3</v>
      </c>
      <c r="G298" s="274">
        <f t="shared" si="9"/>
        <v>7.9117180827385227E-4</v>
      </c>
    </row>
    <row r="299" spans="1:7" ht="14.25" customHeight="1" x14ac:dyDescent="0.3">
      <c r="A299" s="20">
        <v>44362</v>
      </c>
      <c r="B299" s="21" t="s">
        <v>934</v>
      </c>
      <c r="C299" s="20">
        <v>44362</v>
      </c>
      <c r="D299" s="21">
        <v>15869.25</v>
      </c>
      <c r="F299" s="274">
        <f t="shared" si="8"/>
        <v>3.2319849677965454E-3</v>
      </c>
      <c r="G299" s="274">
        <f t="shared" si="9"/>
        <v>3.630213545097643E-3</v>
      </c>
    </row>
    <row r="300" spans="1:7" ht="14.25" customHeight="1" x14ac:dyDescent="0.3">
      <c r="A300" s="20">
        <v>44363</v>
      </c>
      <c r="B300" s="21" t="s">
        <v>935</v>
      </c>
      <c r="C300" s="20">
        <v>44363</v>
      </c>
      <c r="D300" s="21" t="s">
        <v>936</v>
      </c>
      <c r="F300" s="274">
        <f t="shared" si="8"/>
        <v>-7.4682038933444102E-3</v>
      </c>
      <c r="G300" s="274">
        <f t="shared" si="9"/>
        <v>-6.4086327528081041E-3</v>
      </c>
    </row>
    <row r="301" spans="1:7" ht="14.25" customHeight="1" x14ac:dyDescent="0.3">
      <c r="A301" s="20">
        <v>44364</v>
      </c>
      <c r="B301" s="21">
        <v>346.25</v>
      </c>
      <c r="C301" s="20">
        <v>44364</v>
      </c>
      <c r="D301" s="21" t="s">
        <v>937</v>
      </c>
      <c r="F301" s="274">
        <f t="shared" si="8"/>
        <v>2.1687831914688854E-2</v>
      </c>
      <c r="G301" s="274">
        <f t="shared" si="9"/>
        <v>-4.829502047290931E-3</v>
      </c>
    </row>
    <row r="302" spans="1:7" ht="14.25" customHeight="1" x14ac:dyDescent="0.3">
      <c r="A302" s="20">
        <v>44365</v>
      </c>
      <c r="B302" s="21" t="s">
        <v>938</v>
      </c>
      <c r="C302" s="20">
        <v>44365</v>
      </c>
      <c r="D302" s="21" t="s">
        <v>939</v>
      </c>
      <c r="F302" s="274">
        <f t="shared" si="8"/>
        <v>-1.4296064135832459E-2</v>
      </c>
      <c r="G302" s="274">
        <f t="shared" si="9"/>
        <v>-5.1306964640390079E-4</v>
      </c>
    </row>
    <row r="303" spans="1:7" ht="14.25" customHeight="1" x14ac:dyDescent="0.3">
      <c r="A303" s="20">
        <v>44368</v>
      </c>
      <c r="B303" s="21">
        <v>344.75</v>
      </c>
      <c r="C303" s="20">
        <v>44368</v>
      </c>
      <c r="D303" s="21">
        <v>15746.5</v>
      </c>
      <c r="F303" s="274">
        <f t="shared" si="8"/>
        <v>1.010844515214211E-2</v>
      </c>
      <c r="G303" s="274">
        <f t="shared" si="9"/>
        <v>4.0265882096545708E-3</v>
      </c>
    </row>
    <row r="304" spans="1:7" ht="14.25" customHeight="1" x14ac:dyDescent="0.3">
      <c r="A304" s="20">
        <v>44369</v>
      </c>
      <c r="B304" s="21">
        <v>346.25</v>
      </c>
      <c r="C304" s="20">
        <v>44369</v>
      </c>
      <c r="D304" s="21">
        <v>15772.75</v>
      </c>
      <c r="F304" s="274">
        <f t="shared" si="8"/>
        <v>4.3509789702683103E-3</v>
      </c>
      <c r="G304" s="274">
        <f t="shared" si="9"/>
        <v>1.6670371193598578E-3</v>
      </c>
    </row>
    <row r="305" spans="1:7" ht="14.25" customHeight="1" x14ac:dyDescent="0.3">
      <c r="A305" s="20">
        <v>44370</v>
      </c>
      <c r="B305" s="21" t="s">
        <v>940</v>
      </c>
      <c r="C305" s="20">
        <v>44370</v>
      </c>
      <c r="D305" s="21" t="s">
        <v>941</v>
      </c>
      <c r="F305" s="274">
        <f t="shared" si="8"/>
        <v>-3.1769129343423045E-3</v>
      </c>
      <c r="G305" s="274">
        <f t="shared" si="9"/>
        <v>-5.4397492312691191E-3</v>
      </c>
    </row>
    <row r="306" spans="1:7" ht="14.25" customHeight="1" x14ac:dyDescent="0.3">
      <c r="A306" s="20">
        <v>44371</v>
      </c>
      <c r="B306" s="21">
        <v>346.5</v>
      </c>
      <c r="C306" s="20">
        <v>44371</v>
      </c>
      <c r="D306" s="21" t="s">
        <v>942</v>
      </c>
      <c r="F306" s="274">
        <f t="shared" si="8"/>
        <v>3.9113606472231648E-3</v>
      </c>
      <c r="G306" s="274">
        <f t="shared" si="9"/>
        <v>6.5978407983297719E-3</v>
      </c>
    </row>
    <row r="307" spans="1:7" ht="14.25" customHeight="1" x14ac:dyDescent="0.3">
      <c r="A307" s="20">
        <v>44372</v>
      </c>
      <c r="B307" s="21" t="s">
        <v>943</v>
      </c>
      <c r="C307" s="20">
        <v>44372</v>
      </c>
      <c r="D307" s="21" t="s">
        <v>944</v>
      </c>
      <c r="F307" s="274">
        <f t="shared" si="8"/>
        <v>4.4732692437749232E-3</v>
      </c>
      <c r="G307" s="274">
        <f t="shared" si="9"/>
        <v>4.4266891189239247E-3</v>
      </c>
    </row>
    <row r="308" spans="1:7" ht="14.25" customHeight="1" x14ac:dyDescent="0.3">
      <c r="A308" s="20">
        <v>44375</v>
      </c>
      <c r="B308" s="21" t="s">
        <v>945</v>
      </c>
      <c r="C308" s="20">
        <v>44375</v>
      </c>
      <c r="D308" s="21" t="s">
        <v>946</v>
      </c>
      <c r="F308" s="274">
        <f t="shared" si="8"/>
        <v>-1.0630604278756322E-2</v>
      </c>
      <c r="G308" s="274">
        <f t="shared" si="9"/>
        <v>-2.8782098242977434E-3</v>
      </c>
    </row>
    <row r="309" spans="1:7" ht="14.25" customHeight="1" x14ac:dyDescent="0.3">
      <c r="A309" s="20">
        <v>44376</v>
      </c>
      <c r="B309" s="21" t="s">
        <v>947</v>
      </c>
      <c r="C309" s="20">
        <v>44376</v>
      </c>
      <c r="D309" s="21" t="s">
        <v>948</v>
      </c>
      <c r="F309" s="274">
        <f t="shared" si="8"/>
        <v>1.4516565146785725E-4</v>
      </c>
      <c r="G309" s="274">
        <f t="shared" si="9"/>
        <v>-4.1891404314851697E-3</v>
      </c>
    </row>
    <row r="310" spans="1:7" ht="14.25" customHeight="1" x14ac:dyDescent="0.3">
      <c r="A310" s="20">
        <v>44377</v>
      </c>
      <c r="B310" s="21" t="s">
        <v>949</v>
      </c>
      <c r="C310" s="20">
        <v>44377</v>
      </c>
      <c r="D310" s="21">
        <v>15721.5</v>
      </c>
      <c r="F310" s="274">
        <f t="shared" si="8"/>
        <v>-1.0888501935128182E-2</v>
      </c>
      <c r="G310" s="274">
        <f t="shared" si="9"/>
        <v>-1.7112919035373831E-3</v>
      </c>
    </row>
    <row r="311" spans="1:7" ht="14.25" customHeight="1" x14ac:dyDescent="0.3">
      <c r="A311" s="20">
        <v>44378</v>
      </c>
      <c r="B311" s="21" t="s">
        <v>950</v>
      </c>
      <c r="C311" s="20">
        <v>44378</v>
      </c>
      <c r="D311" s="21">
        <v>15680</v>
      </c>
      <c r="F311" s="274">
        <f t="shared" si="8"/>
        <v>-1.0274654624603493E-3</v>
      </c>
      <c r="G311" s="274">
        <f t="shared" si="9"/>
        <v>-2.6396972299080877E-3</v>
      </c>
    </row>
    <row r="312" spans="1:7" ht="14.25" customHeight="1" x14ac:dyDescent="0.3">
      <c r="A312" s="20">
        <v>44379</v>
      </c>
      <c r="B312" s="21">
        <v>339.25</v>
      </c>
      <c r="C312" s="20">
        <v>44379</v>
      </c>
      <c r="D312" s="21" t="s">
        <v>951</v>
      </c>
      <c r="F312" s="274">
        <f t="shared" si="8"/>
        <v>-3.0854770221349624E-3</v>
      </c>
      <c r="G312" s="274">
        <f t="shared" si="9"/>
        <v>2.6913389867665818E-3</v>
      </c>
    </row>
    <row r="313" spans="1:7" ht="14.25" customHeight="1" x14ac:dyDescent="0.3">
      <c r="A313" s="20">
        <v>44382</v>
      </c>
      <c r="B313" s="21" t="s">
        <v>950</v>
      </c>
      <c r="C313" s="20">
        <v>44382</v>
      </c>
      <c r="D313" s="21" t="s">
        <v>952</v>
      </c>
      <c r="F313" s="274">
        <f t="shared" si="8"/>
        <v>3.0950266557642184E-3</v>
      </c>
      <c r="G313" s="274">
        <f t="shared" si="9"/>
        <v>7.1331882732250679E-3</v>
      </c>
    </row>
    <row r="314" spans="1:7" ht="14.25" customHeight="1" x14ac:dyDescent="0.3">
      <c r="A314" s="20">
        <v>44383</v>
      </c>
      <c r="B314" s="21" t="s">
        <v>953</v>
      </c>
      <c r="C314" s="20">
        <v>44383</v>
      </c>
      <c r="D314" s="21">
        <v>15818.25</v>
      </c>
      <c r="F314" s="274">
        <f t="shared" si="8"/>
        <v>3.3940695635798254E-2</v>
      </c>
      <c r="G314" s="274">
        <f t="shared" si="9"/>
        <v>-1.016752173102705E-3</v>
      </c>
    </row>
    <row r="315" spans="1:7" ht="14.25" customHeight="1" x14ac:dyDescent="0.3">
      <c r="A315" s="20">
        <v>44384</v>
      </c>
      <c r="B315" s="21" t="s">
        <v>954</v>
      </c>
      <c r="C315" s="20">
        <v>44384</v>
      </c>
      <c r="D315" s="21" t="s">
        <v>955</v>
      </c>
      <c r="F315" s="274">
        <f t="shared" si="8"/>
        <v>1.5915890312272696E-2</v>
      </c>
      <c r="G315" s="274">
        <f t="shared" si="9"/>
        <v>3.8816171589777632E-3</v>
      </c>
    </row>
    <row r="316" spans="1:7" ht="14.25" customHeight="1" x14ac:dyDescent="0.3">
      <c r="A316" s="20">
        <v>44385</v>
      </c>
      <c r="B316" s="21">
        <v>360.75</v>
      </c>
      <c r="C316" s="20">
        <v>44385</v>
      </c>
      <c r="D316" s="21" t="s">
        <v>956</v>
      </c>
      <c r="F316" s="274">
        <f t="shared" si="8"/>
        <v>9.232025962437683E-3</v>
      </c>
      <c r="G316" s="274">
        <f t="shared" si="9"/>
        <v>-9.5562557277451086E-3</v>
      </c>
    </row>
    <row r="317" spans="1:7" ht="14.25" customHeight="1" x14ac:dyDescent="0.3">
      <c r="A317" s="20">
        <v>44386</v>
      </c>
      <c r="B317" s="21" t="s">
        <v>957</v>
      </c>
      <c r="C317" s="20">
        <v>44386</v>
      </c>
      <c r="D317" s="21" t="s">
        <v>958</v>
      </c>
      <c r="F317" s="274">
        <f t="shared" si="8"/>
        <v>7.9002248191683989E-3</v>
      </c>
      <c r="G317" s="274">
        <f t="shared" si="9"/>
        <v>-2.4224839292732799E-3</v>
      </c>
    </row>
    <row r="318" spans="1:7" ht="14.25" customHeight="1" x14ac:dyDescent="0.3">
      <c r="A318" s="20">
        <v>44389</v>
      </c>
      <c r="B318" s="21">
        <v>371.75</v>
      </c>
      <c r="C318" s="20">
        <v>44389</v>
      </c>
      <c r="D318" s="21" t="s">
        <v>959</v>
      </c>
      <c r="F318" s="274">
        <f t="shared" si="8"/>
        <v>2.2414724311541238E-2</v>
      </c>
      <c r="G318" s="274">
        <f t="shared" si="9"/>
        <v>1.7844744498674405E-4</v>
      </c>
    </row>
    <row r="319" spans="1:7" ht="14.25" customHeight="1" x14ac:dyDescent="0.3">
      <c r="A319" s="20">
        <v>44390</v>
      </c>
      <c r="B319" s="21" t="s">
        <v>960</v>
      </c>
      <c r="C319" s="20">
        <v>44390</v>
      </c>
      <c r="D319" s="21" t="s">
        <v>961</v>
      </c>
      <c r="F319" s="274">
        <f t="shared" si="8"/>
        <v>-7.5319106737564961E-3</v>
      </c>
      <c r="G319" s="274">
        <f t="shared" si="9"/>
        <v>7.6309854951285136E-3</v>
      </c>
    </row>
    <row r="320" spans="1:7" ht="14.25" customHeight="1" x14ac:dyDescent="0.3">
      <c r="A320" s="20">
        <v>44391</v>
      </c>
      <c r="B320" s="21">
        <v>373</v>
      </c>
      <c r="C320" s="20">
        <v>44391</v>
      </c>
      <c r="D320" s="21" t="s">
        <v>962</v>
      </c>
      <c r="F320" s="274">
        <f t="shared" si="8"/>
        <v>1.0977063718584144E-2</v>
      </c>
      <c r="G320" s="274">
        <f t="shared" si="9"/>
        <v>2.6308921169334244E-3</v>
      </c>
    </row>
    <row r="321" spans="1:7" ht="14.25" customHeight="1" x14ac:dyDescent="0.3">
      <c r="A321" s="20">
        <v>44392</v>
      </c>
      <c r="B321" s="21" t="s">
        <v>963</v>
      </c>
      <c r="C321" s="20">
        <v>44392</v>
      </c>
      <c r="D321" s="21" t="s">
        <v>964</v>
      </c>
      <c r="F321" s="274">
        <f t="shared" si="8"/>
        <v>3.5388772673005421E-2</v>
      </c>
      <c r="G321" s="274">
        <f t="shared" si="9"/>
        <v>4.4310723280038215E-3</v>
      </c>
    </row>
    <row r="322" spans="1:7" ht="14.25" customHeight="1" x14ac:dyDescent="0.3">
      <c r="A322" s="20">
        <v>44393</v>
      </c>
      <c r="B322" s="21" t="s">
        <v>965</v>
      </c>
      <c r="C322" s="20">
        <v>44393</v>
      </c>
      <c r="D322" s="21" t="s">
        <v>966</v>
      </c>
      <c r="F322" s="274">
        <f t="shared" si="8"/>
        <v>-8.1564586082259662E-3</v>
      </c>
      <c r="G322" s="274">
        <f t="shared" si="9"/>
        <v>-5.0225736783655429E-5</v>
      </c>
    </row>
    <row r="323" spans="1:7" ht="14.25" customHeight="1" x14ac:dyDescent="0.3">
      <c r="A323" s="20">
        <v>44396</v>
      </c>
      <c r="B323" s="21" t="s">
        <v>967</v>
      </c>
      <c r="C323" s="20">
        <v>44396</v>
      </c>
      <c r="D323" s="21" t="s">
        <v>968</v>
      </c>
      <c r="F323" s="274">
        <f t="shared" ref="F323:F386" si="10">(B323-B322)/B322</f>
        <v>9.1371886477952073E-3</v>
      </c>
      <c r="G323" s="274">
        <f t="shared" ref="G323:G386" si="11">(D323-D322)/D322</f>
        <v>-1.0738912280361756E-2</v>
      </c>
    </row>
    <row r="324" spans="1:7" ht="14.25" customHeight="1" x14ac:dyDescent="0.3">
      <c r="A324" s="20">
        <v>44397</v>
      </c>
      <c r="B324" s="21" t="s">
        <v>969</v>
      </c>
      <c r="C324" s="20">
        <v>44397</v>
      </c>
      <c r="D324" s="21" t="s">
        <v>970</v>
      </c>
      <c r="F324" s="274">
        <f t="shared" si="10"/>
        <v>4.6307140031912435E-2</v>
      </c>
      <c r="G324" s="274">
        <f t="shared" si="11"/>
        <v>-7.6369809214344685E-3</v>
      </c>
    </row>
    <row r="325" spans="1:7" ht="14.25" customHeight="1" x14ac:dyDescent="0.3">
      <c r="A325" s="20">
        <v>44399</v>
      </c>
      <c r="B325" s="21" t="s">
        <v>971</v>
      </c>
      <c r="C325" s="20">
        <v>44399</v>
      </c>
      <c r="D325" s="21" t="s">
        <v>972</v>
      </c>
      <c r="F325" s="274">
        <f t="shared" si="10"/>
        <v>-1.0508097099090945E-2</v>
      </c>
      <c r="G325" s="274">
        <f t="shared" si="11"/>
        <v>1.2279233123449532E-2</v>
      </c>
    </row>
    <row r="326" spans="1:7" ht="14.25" customHeight="1" x14ac:dyDescent="0.3">
      <c r="A326" s="20">
        <v>44400</v>
      </c>
      <c r="B326" s="21" t="s">
        <v>973</v>
      </c>
      <c r="C326" s="20">
        <v>44400</v>
      </c>
      <c r="D326" s="21" t="s">
        <v>974</v>
      </c>
      <c r="F326" s="274">
        <f t="shared" si="10"/>
        <v>5.2473151471335569E-3</v>
      </c>
      <c r="G326" s="274">
        <f t="shared" si="11"/>
        <v>2.0222383267853947E-3</v>
      </c>
    </row>
    <row r="327" spans="1:7" ht="14.25" customHeight="1" x14ac:dyDescent="0.3">
      <c r="A327" s="20">
        <v>44403</v>
      </c>
      <c r="B327" s="21" t="s">
        <v>975</v>
      </c>
      <c r="C327" s="20">
        <v>44403</v>
      </c>
      <c r="D327" s="21" t="s">
        <v>976</v>
      </c>
      <c r="F327" s="274">
        <f t="shared" si="10"/>
        <v>1.4417147617543055E-2</v>
      </c>
      <c r="G327" s="274">
        <f t="shared" si="11"/>
        <v>-1.9929055322251985E-3</v>
      </c>
    </row>
    <row r="328" spans="1:7" ht="14.25" customHeight="1" x14ac:dyDescent="0.3">
      <c r="A328" s="20">
        <v>44404</v>
      </c>
      <c r="B328" s="21" t="s">
        <v>977</v>
      </c>
      <c r="C328" s="20">
        <v>44404</v>
      </c>
      <c r="D328" s="21" t="s">
        <v>978</v>
      </c>
      <c r="F328" s="274">
        <f t="shared" si="10"/>
        <v>1.7152209727619074E-3</v>
      </c>
      <c r="G328" s="274">
        <f t="shared" si="11"/>
        <v>-4.9290812026508866E-3</v>
      </c>
    </row>
    <row r="329" spans="1:7" ht="14.25" customHeight="1" x14ac:dyDescent="0.3">
      <c r="A329" s="20">
        <v>44405</v>
      </c>
      <c r="B329" s="21" t="s">
        <v>979</v>
      </c>
      <c r="C329" s="20">
        <v>44405</v>
      </c>
      <c r="D329" s="21" t="s">
        <v>980</v>
      </c>
      <c r="F329" s="274">
        <f t="shared" si="10"/>
        <v>1.4677253459700007E-3</v>
      </c>
      <c r="G329" s="274">
        <f t="shared" si="11"/>
        <v>-2.3528988583426387E-3</v>
      </c>
    </row>
    <row r="330" spans="1:7" ht="14.25" customHeight="1" x14ac:dyDescent="0.3">
      <c r="A330" s="20">
        <v>44406</v>
      </c>
      <c r="B330" s="21">
        <v>408.75</v>
      </c>
      <c r="C330" s="20">
        <v>44406</v>
      </c>
      <c r="D330" s="21" t="s">
        <v>981</v>
      </c>
      <c r="F330" s="274">
        <f t="shared" si="10"/>
        <v>-1.587674416644781E-3</v>
      </c>
      <c r="G330" s="274">
        <f t="shared" si="11"/>
        <v>4.3954449546468556E-3</v>
      </c>
    </row>
    <row r="331" spans="1:7" ht="14.25" customHeight="1" x14ac:dyDescent="0.3">
      <c r="A331" s="20">
        <v>44407</v>
      </c>
      <c r="B331" s="21" t="s">
        <v>982</v>
      </c>
      <c r="C331" s="20">
        <v>44407</v>
      </c>
      <c r="D331" s="21" t="s">
        <v>983</v>
      </c>
      <c r="F331" s="274">
        <f t="shared" si="10"/>
        <v>5.8715447008782316E-3</v>
      </c>
      <c r="G331" s="274">
        <f t="shared" si="11"/>
        <v>-9.7603949908687388E-4</v>
      </c>
    </row>
    <row r="332" spans="1:7" ht="14.25" customHeight="1" x14ac:dyDescent="0.3">
      <c r="A332" s="20">
        <v>44410</v>
      </c>
      <c r="B332" s="21" t="s">
        <v>984</v>
      </c>
      <c r="C332" s="20">
        <v>44410</v>
      </c>
      <c r="D332" s="21" t="s">
        <v>985</v>
      </c>
      <c r="F332" s="274">
        <f t="shared" si="10"/>
        <v>1.6903836337599072E-2</v>
      </c>
      <c r="G332" s="274">
        <f t="shared" si="11"/>
        <v>7.7460001364197065E-3</v>
      </c>
    </row>
    <row r="333" spans="1:7" ht="14.25" customHeight="1" x14ac:dyDescent="0.3">
      <c r="A333" s="20">
        <v>44411</v>
      </c>
      <c r="B333" s="21" t="s">
        <v>986</v>
      </c>
      <c r="C333" s="20">
        <v>44411</v>
      </c>
      <c r="D333" s="21">
        <v>16130.75</v>
      </c>
      <c r="F333" s="274">
        <f t="shared" si="10"/>
        <v>9.8062808985009339E-3</v>
      </c>
      <c r="G333" s="274">
        <f t="shared" si="11"/>
        <v>1.5460955882416225E-2</v>
      </c>
    </row>
    <row r="334" spans="1:7" ht="14.25" customHeight="1" x14ac:dyDescent="0.3">
      <c r="A334" s="20">
        <v>44412</v>
      </c>
      <c r="B334" s="21" t="s">
        <v>987</v>
      </c>
      <c r="C334" s="20">
        <v>44412</v>
      </c>
      <c r="D334" s="21" t="s">
        <v>988</v>
      </c>
      <c r="F334" s="274">
        <f t="shared" si="10"/>
        <v>-7.4609766058423461E-3</v>
      </c>
      <c r="G334" s="274">
        <f t="shared" si="11"/>
        <v>7.9382424678021788E-3</v>
      </c>
    </row>
    <row r="335" spans="1:7" ht="14.25" customHeight="1" x14ac:dyDescent="0.3">
      <c r="A335" s="20">
        <v>44413</v>
      </c>
      <c r="B335" s="21" t="s">
        <v>989</v>
      </c>
      <c r="C335" s="20">
        <v>44413</v>
      </c>
      <c r="D335" s="21" t="s">
        <v>990</v>
      </c>
      <c r="F335" s="274">
        <f t="shared" si="10"/>
        <v>-3.5793795693448045E-4</v>
      </c>
      <c r="G335" s="274">
        <f t="shared" si="11"/>
        <v>2.2018725316476757E-3</v>
      </c>
    </row>
    <row r="336" spans="1:7" ht="14.25" customHeight="1" x14ac:dyDescent="0.3">
      <c r="A336" s="20">
        <v>44414</v>
      </c>
      <c r="B336" s="21" t="s">
        <v>991</v>
      </c>
      <c r="C336" s="20">
        <v>44414</v>
      </c>
      <c r="D336" s="21" t="s">
        <v>992</v>
      </c>
      <c r="F336" s="274">
        <f t="shared" si="10"/>
        <v>-3.5808069273227799E-2</v>
      </c>
      <c r="G336" s="274">
        <f t="shared" si="11"/>
        <v>-3.4612335015615195E-3</v>
      </c>
    </row>
    <row r="337" spans="1:7" ht="14.25" customHeight="1" x14ac:dyDescent="0.3">
      <c r="A337" s="20">
        <v>44417</v>
      </c>
      <c r="B337" s="21" t="s">
        <v>993</v>
      </c>
      <c r="C337" s="20">
        <v>44417</v>
      </c>
      <c r="D337" s="21">
        <v>16258.25</v>
      </c>
      <c r="F337" s="274">
        <f t="shared" si="10"/>
        <v>3.8376289526369776E-3</v>
      </c>
      <c r="G337" s="274">
        <f t="shared" si="11"/>
        <v>1.2347307242392418E-3</v>
      </c>
    </row>
    <row r="338" spans="1:7" ht="14.25" customHeight="1" x14ac:dyDescent="0.3">
      <c r="A338" s="20">
        <v>44418</v>
      </c>
      <c r="B338" s="21" t="s">
        <v>994</v>
      </c>
      <c r="C338" s="20">
        <v>44418</v>
      </c>
      <c r="D338" s="21" t="s">
        <v>995</v>
      </c>
      <c r="F338" s="274">
        <f t="shared" si="10"/>
        <v>-1.171537762237026E-2</v>
      </c>
      <c r="G338" s="274">
        <f t="shared" si="11"/>
        <v>1.3439090538649608E-3</v>
      </c>
    </row>
    <row r="339" spans="1:7" ht="14.25" customHeight="1" x14ac:dyDescent="0.3">
      <c r="A339" s="20">
        <v>44419</v>
      </c>
      <c r="B339" s="21">
        <v>398.25</v>
      </c>
      <c r="C339" s="20">
        <v>44419</v>
      </c>
      <c r="D339" s="21">
        <v>16282.25</v>
      </c>
      <c r="F339" s="274">
        <f t="shared" si="10"/>
        <v>-6.1143302530401889E-3</v>
      </c>
      <c r="G339" s="274">
        <f t="shared" si="11"/>
        <v>1.3208706805219322E-4</v>
      </c>
    </row>
    <row r="340" spans="1:7" ht="14.25" customHeight="1" x14ac:dyDescent="0.3">
      <c r="A340" s="20">
        <v>44420</v>
      </c>
      <c r="B340" s="21" t="s">
        <v>996</v>
      </c>
      <c r="C340" s="20">
        <v>44420</v>
      </c>
      <c r="D340" s="21" t="s">
        <v>997</v>
      </c>
      <c r="F340" s="274">
        <f t="shared" si="10"/>
        <v>3.8919969691601029E-3</v>
      </c>
      <c r="G340" s="274">
        <f t="shared" si="11"/>
        <v>5.0453954843464512E-3</v>
      </c>
    </row>
    <row r="341" spans="1:7" ht="14.25" customHeight="1" x14ac:dyDescent="0.3">
      <c r="A341" s="20">
        <v>44421</v>
      </c>
      <c r="B341" s="21" t="s">
        <v>998</v>
      </c>
      <c r="C341" s="20">
        <v>44421</v>
      </c>
      <c r="D341" s="21" t="s">
        <v>999</v>
      </c>
      <c r="F341" s="274">
        <f t="shared" si="10"/>
        <v>6.6283754251520825E-3</v>
      </c>
      <c r="G341" s="274">
        <f t="shared" si="11"/>
        <v>1.0064482340847301E-2</v>
      </c>
    </row>
    <row r="342" spans="1:7" ht="14.25" customHeight="1" x14ac:dyDescent="0.3">
      <c r="A342" s="20">
        <v>44424</v>
      </c>
      <c r="B342" s="21">
        <v>396.25</v>
      </c>
      <c r="C342" s="20">
        <v>44424</v>
      </c>
      <c r="D342" s="21">
        <v>16563.05078125</v>
      </c>
      <c r="F342" s="274">
        <f t="shared" si="10"/>
        <v>-1.5405670316743763E-2</v>
      </c>
      <c r="G342" s="274">
        <f t="shared" si="11"/>
        <v>2.0540242770237479E-3</v>
      </c>
    </row>
    <row r="343" spans="1:7" ht="14.25" customHeight="1" x14ac:dyDescent="0.3">
      <c r="A343" s="20">
        <v>44425</v>
      </c>
      <c r="B343" s="21">
        <v>401.5</v>
      </c>
      <c r="C343" s="20">
        <v>44425</v>
      </c>
      <c r="D343" s="21" t="s">
        <v>1000</v>
      </c>
      <c r="F343" s="274">
        <f t="shared" si="10"/>
        <v>1.3249211356466877E-2</v>
      </c>
      <c r="G343" s="274">
        <f t="shared" si="11"/>
        <v>3.1122785775284361E-3</v>
      </c>
    </row>
    <row r="344" spans="1:7" ht="14.25" customHeight="1" x14ac:dyDescent="0.3">
      <c r="A344" s="20">
        <v>44426</v>
      </c>
      <c r="B344" s="21" t="s">
        <v>979</v>
      </c>
      <c r="C344" s="20">
        <v>44426</v>
      </c>
      <c r="D344" s="21" t="s">
        <v>1001</v>
      </c>
      <c r="F344" s="274">
        <f t="shared" si="10"/>
        <v>1.9676198994978772E-2</v>
      </c>
      <c r="G344" s="274">
        <f t="shared" si="11"/>
        <v>-2.7536023181795473E-3</v>
      </c>
    </row>
    <row r="345" spans="1:7" ht="14.25" customHeight="1" x14ac:dyDescent="0.3">
      <c r="A345" s="20">
        <v>44428</v>
      </c>
      <c r="B345" s="21" t="s">
        <v>1002</v>
      </c>
      <c r="C345" s="20">
        <v>44428</v>
      </c>
      <c r="D345" s="21">
        <v>16450.5</v>
      </c>
      <c r="F345" s="274">
        <f t="shared" si="10"/>
        <v>-4.2989756633865742E-2</v>
      </c>
      <c r="G345" s="274">
        <f t="shared" si="11"/>
        <v>-7.142898400624949E-3</v>
      </c>
    </row>
    <row r="346" spans="1:7" ht="14.25" customHeight="1" x14ac:dyDescent="0.3">
      <c r="A346" s="20">
        <v>44431</v>
      </c>
      <c r="B346" s="21" t="s">
        <v>1003</v>
      </c>
      <c r="C346" s="20">
        <v>44431</v>
      </c>
      <c r="D346" s="21">
        <v>16496.44921875</v>
      </c>
      <c r="F346" s="274">
        <f t="shared" si="10"/>
        <v>-2.9351555189218257E-3</v>
      </c>
      <c r="G346" s="274">
        <f t="shared" si="11"/>
        <v>2.7931806783988329E-3</v>
      </c>
    </row>
    <row r="347" spans="1:7" ht="14.25" customHeight="1" x14ac:dyDescent="0.3">
      <c r="A347" s="20">
        <v>44432</v>
      </c>
      <c r="B347" s="21" t="s">
        <v>1004</v>
      </c>
      <c r="C347" s="20">
        <v>44432</v>
      </c>
      <c r="D347" s="21" t="s">
        <v>1005</v>
      </c>
      <c r="F347" s="274">
        <f t="shared" si="10"/>
        <v>1.2031261437255907E-2</v>
      </c>
      <c r="G347" s="274">
        <f t="shared" si="11"/>
        <v>7.7683620836017982E-3</v>
      </c>
    </row>
    <row r="348" spans="1:7" ht="14.25" customHeight="1" x14ac:dyDescent="0.3">
      <c r="A348" s="20">
        <v>44433</v>
      </c>
      <c r="B348" s="21" t="s">
        <v>1006</v>
      </c>
      <c r="C348" s="20">
        <v>44433</v>
      </c>
      <c r="D348" s="21" t="s">
        <v>1007</v>
      </c>
      <c r="F348" s="274">
        <f t="shared" si="10"/>
        <v>4.2999409718180275E-3</v>
      </c>
      <c r="G348" s="274">
        <f t="shared" si="11"/>
        <v>6.0457283099510741E-4</v>
      </c>
    </row>
    <row r="349" spans="1:7" ht="14.25" customHeight="1" x14ac:dyDescent="0.3">
      <c r="A349" s="20">
        <v>44434</v>
      </c>
      <c r="B349" s="21" t="s">
        <v>1008</v>
      </c>
      <c r="C349" s="20">
        <v>44434</v>
      </c>
      <c r="D349" s="21" t="s">
        <v>1009</v>
      </c>
      <c r="F349" s="274">
        <f t="shared" si="10"/>
        <v>3.2741930500319052E-3</v>
      </c>
      <c r="G349" s="274">
        <f t="shared" si="11"/>
        <v>1.3525983096513173E-4</v>
      </c>
    </row>
    <row r="350" spans="1:7" ht="14.25" customHeight="1" x14ac:dyDescent="0.3">
      <c r="A350" s="20">
        <v>44435</v>
      </c>
      <c r="B350" s="21" t="s">
        <v>1010</v>
      </c>
      <c r="C350" s="20">
        <v>44435</v>
      </c>
      <c r="D350" s="21">
        <v>16705.19921875</v>
      </c>
      <c r="F350" s="274">
        <f t="shared" si="10"/>
        <v>2.9371109602575631E-2</v>
      </c>
      <c r="G350" s="274">
        <f t="shared" si="11"/>
        <v>4.1052615884799564E-3</v>
      </c>
    </row>
    <row r="351" spans="1:7" ht="14.25" customHeight="1" x14ac:dyDescent="0.3">
      <c r="A351" s="20">
        <v>44438</v>
      </c>
      <c r="B351" s="21" t="s">
        <v>1011</v>
      </c>
      <c r="C351" s="20">
        <v>44438</v>
      </c>
      <c r="D351" s="21">
        <v>16931.05078125</v>
      </c>
      <c r="F351" s="274">
        <f t="shared" si="10"/>
        <v>1.8656321526158579E-2</v>
      </c>
      <c r="G351" s="274">
        <f t="shared" si="11"/>
        <v>1.3519836521704158E-2</v>
      </c>
    </row>
    <row r="352" spans="1:7" ht="14.25" customHeight="1" x14ac:dyDescent="0.3">
      <c r="A352" s="20">
        <v>44439</v>
      </c>
      <c r="B352" s="21" t="s">
        <v>1012</v>
      </c>
      <c r="C352" s="20">
        <v>44439</v>
      </c>
      <c r="D352" s="21">
        <v>17132.19921875</v>
      </c>
      <c r="F352" s="274">
        <f t="shared" si="10"/>
        <v>8.020051443705942E-3</v>
      </c>
      <c r="G352" s="274">
        <f t="shared" si="11"/>
        <v>1.1880446175423345E-2</v>
      </c>
    </row>
    <row r="353" spans="1:7" ht="14.25" customHeight="1" x14ac:dyDescent="0.3">
      <c r="A353" s="20">
        <v>44440</v>
      </c>
      <c r="B353" s="21">
        <v>421.5</v>
      </c>
      <c r="C353" s="20">
        <v>44440</v>
      </c>
      <c r="D353" s="21">
        <v>17076.25</v>
      </c>
      <c r="F353" s="274">
        <f t="shared" si="10"/>
        <v>1.0687857025975305E-3</v>
      </c>
      <c r="G353" s="274">
        <f t="shared" si="11"/>
        <v>-3.2657347743637881E-3</v>
      </c>
    </row>
    <row r="354" spans="1:7" ht="14.25" customHeight="1" x14ac:dyDescent="0.3">
      <c r="A354" s="20">
        <v>44441</v>
      </c>
      <c r="B354" s="21" t="s">
        <v>1013</v>
      </c>
      <c r="C354" s="20">
        <v>44441</v>
      </c>
      <c r="D354" s="21" t="s">
        <v>1014</v>
      </c>
      <c r="F354" s="274">
        <f t="shared" si="10"/>
        <v>1.7081879494735521E-2</v>
      </c>
      <c r="G354" s="274">
        <f t="shared" si="11"/>
        <v>9.2467837273991649E-3</v>
      </c>
    </row>
    <row r="355" spans="1:7" ht="14.25" customHeight="1" x14ac:dyDescent="0.3">
      <c r="A355" s="20">
        <v>44442</v>
      </c>
      <c r="B355" s="21" t="s">
        <v>1015</v>
      </c>
      <c r="C355" s="20">
        <v>44442</v>
      </c>
      <c r="D355" s="21" t="s">
        <v>1016</v>
      </c>
      <c r="F355" s="274">
        <f t="shared" si="10"/>
        <v>1.9594106968271765E-2</v>
      </c>
      <c r="G355" s="274">
        <f t="shared" si="11"/>
        <v>5.1902308336974016E-3</v>
      </c>
    </row>
    <row r="356" spans="1:7" ht="14.25" customHeight="1" x14ac:dyDescent="0.3">
      <c r="A356" s="20">
        <v>44445</v>
      </c>
      <c r="B356" s="21" t="s">
        <v>1017</v>
      </c>
      <c r="C356" s="20">
        <v>44445</v>
      </c>
      <c r="D356" s="21">
        <v>17377.80078125</v>
      </c>
      <c r="F356" s="274">
        <f t="shared" si="10"/>
        <v>2.7453252635481068E-3</v>
      </c>
      <c r="G356" s="274">
        <f t="shared" si="11"/>
        <v>3.1287476677576867E-3</v>
      </c>
    </row>
    <row r="357" spans="1:7" ht="14.25" customHeight="1" x14ac:dyDescent="0.3">
      <c r="A357" s="20">
        <v>44446</v>
      </c>
      <c r="B357" s="21">
        <v>441.5</v>
      </c>
      <c r="C357" s="20">
        <v>44446</v>
      </c>
      <c r="D357" s="21" t="s">
        <v>1018</v>
      </c>
      <c r="F357" s="274">
        <f t="shared" si="10"/>
        <v>7.3009634865504993E-3</v>
      </c>
      <c r="G357" s="274">
        <f t="shared" si="11"/>
        <v>-9.0351892466974189E-4</v>
      </c>
    </row>
    <row r="358" spans="1:7" ht="14.25" customHeight="1" x14ac:dyDescent="0.3">
      <c r="A358" s="20">
        <v>44447</v>
      </c>
      <c r="B358" s="21" t="s">
        <v>1019</v>
      </c>
      <c r="C358" s="20">
        <v>44447</v>
      </c>
      <c r="D358" s="21">
        <v>17353.5</v>
      </c>
      <c r="F358" s="274">
        <f t="shared" si="10"/>
        <v>-1.2570753777959178E-2</v>
      </c>
      <c r="G358" s="274">
        <f t="shared" si="11"/>
        <v>-4.9530929832682655E-4</v>
      </c>
    </row>
    <row r="359" spans="1:7" ht="14.25" customHeight="1" x14ac:dyDescent="0.3">
      <c r="A359" s="20">
        <v>44448</v>
      </c>
      <c r="B359" s="21" t="s">
        <v>1020</v>
      </c>
      <c r="C359" s="20">
        <v>44448</v>
      </c>
      <c r="D359" s="21">
        <v>17369.25</v>
      </c>
      <c r="F359" s="274">
        <f t="shared" si="10"/>
        <v>5.5052043337120698E-3</v>
      </c>
      <c r="G359" s="274">
        <f t="shared" si="11"/>
        <v>9.0759789091537728E-4</v>
      </c>
    </row>
    <row r="360" spans="1:7" ht="14.25" customHeight="1" x14ac:dyDescent="0.3">
      <c r="A360" s="20">
        <v>44452</v>
      </c>
      <c r="B360" s="21">
        <v>436.25</v>
      </c>
      <c r="C360" s="20">
        <v>44452</v>
      </c>
      <c r="D360" s="21">
        <v>17355.30078125</v>
      </c>
      <c r="F360" s="274">
        <f t="shared" si="10"/>
        <v>-4.7907062262458134E-3</v>
      </c>
      <c r="G360" s="274">
        <f t="shared" si="11"/>
        <v>-8.0309850741972161E-4</v>
      </c>
    </row>
    <row r="361" spans="1:7" ht="14.25" customHeight="1" x14ac:dyDescent="0.3">
      <c r="A361" s="20">
        <v>44453</v>
      </c>
      <c r="B361" s="21" t="s">
        <v>1021</v>
      </c>
      <c r="C361" s="20">
        <v>44453</v>
      </c>
      <c r="D361" s="21">
        <v>17380</v>
      </c>
      <c r="F361" s="274">
        <f t="shared" si="10"/>
        <v>-8.7105737374647049E-3</v>
      </c>
      <c r="G361" s="274">
        <f t="shared" si="11"/>
        <v>1.4231512931590379E-3</v>
      </c>
    </row>
    <row r="362" spans="1:7" ht="14.25" customHeight="1" x14ac:dyDescent="0.3">
      <c r="A362" s="20">
        <v>44454</v>
      </c>
      <c r="B362" s="21" t="s">
        <v>1022</v>
      </c>
      <c r="C362" s="20">
        <v>44454</v>
      </c>
      <c r="D362" s="21">
        <v>17519.44921875</v>
      </c>
      <c r="F362" s="274">
        <f t="shared" si="10"/>
        <v>1.0637011113633169E-2</v>
      </c>
      <c r="G362" s="274">
        <f t="shared" si="11"/>
        <v>8.0235453826237053E-3</v>
      </c>
    </row>
    <row r="363" spans="1:7" ht="14.25" customHeight="1" x14ac:dyDescent="0.3">
      <c r="A363" s="20">
        <v>44455</v>
      </c>
      <c r="B363" s="21" t="s">
        <v>1023</v>
      </c>
      <c r="C363" s="20">
        <v>44455</v>
      </c>
      <c r="D363" s="21">
        <v>17629.5</v>
      </c>
      <c r="F363" s="274">
        <f t="shared" si="10"/>
        <v>-1.5673208505343431E-2</v>
      </c>
      <c r="G363" s="274">
        <f t="shared" si="11"/>
        <v>6.2816347635072543E-3</v>
      </c>
    </row>
    <row r="364" spans="1:7" ht="14.25" customHeight="1" x14ac:dyDescent="0.3">
      <c r="A364" s="20">
        <v>44456</v>
      </c>
      <c r="B364" s="21" t="s">
        <v>1024</v>
      </c>
      <c r="C364" s="20">
        <v>44456</v>
      </c>
      <c r="D364" s="21" t="s">
        <v>1025</v>
      </c>
      <c r="F364" s="274">
        <f t="shared" si="10"/>
        <v>-2.417485848200782E-2</v>
      </c>
      <c r="G364" s="274">
        <f t="shared" si="11"/>
        <v>-2.5156476006126098E-3</v>
      </c>
    </row>
    <row r="365" spans="1:7" ht="14.25" customHeight="1" x14ac:dyDescent="0.3">
      <c r="A365" s="20">
        <v>44459</v>
      </c>
      <c r="B365" s="21" t="s">
        <v>1026</v>
      </c>
      <c r="C365" s="20">
        <v>44459</v>
      </c>
      <c r="D365" s="21" t="s">
        <v>1027</v>
      </c>
      <c r="F365" s="274">
        <f t="shared" si="10"/>
        <v>-2.3820867772229859E-2</v>
      </c>
      <c r="G365" s="274">
        <f t="shared" si="11"/>
        <v>-1.0705054879733066E-2</v>
      </c>
    </row>
    <row r="366" spans="1:7" ht="14.25" customHeight="1" x14ac:dyDescent="0.3">
      <c r="A366" s="20">
        <v>44460</v>
      </c>
      <c r="B366" s="21" t="s">
        <v>1028</v>
      </c>
      <c r="C366" s="20">
        <v>44460</v>
      </c>
      <c r="D366" s="21">
        <v>17562</v>
      </c>
      <c r="F366" s="274">
        <f t="shared" si="10"/>
        <v>8.2967899349492228E-3</v>
      </c>
      <c r="G366" s="274">
        <f t="shared" si="11"/>
        <v>9.4901738624640509E-3</v>
      </c>
    </row>
    <row r="367" spans="1:7" ht="14.25" customHeight="1" x14ac:dyDescent="0.3">
      <c r="A367" s="20">
        <v>44461</v>
      </c>
      <c r="B367" s="21">
        <v>419.5</v>
      </c>
      <c r="C367" s="20">
        <v>44461</v>
      </c>
      <c r="D367" s="21" t="s">
        <v>1029</v>
      </c>
      <c r="F367" s="274">
        <f t="shared" si="10"/>
        <v>1.5246823830712793E-2</v>
      </c>
      <c r="G367" s="274">
        <f t="shared" si="11"/>
        <v>-8.7402399356565307E-4</v>
      </c>
    </row>
    <row r="368" spans="1:7" ht="14.25" customHeight="1" x14ac:dyDescent="0.3">
      <c r="A368" s="20">
        <v>44462</v>
      </c>
      <c r="B368" s="21" t="s">
        <v>1030</v>
      </c>
      <c r="C368" s="20">
        <v>44462</v>
      </c>
      <c r="D368" s="21">
        <v>17822.94921875</v>
      </c>
      <c r="F368" s="274">
        <f t="shared" si="10"/>
        <v>1.1916041231945419E-4</v>
      </c>
      <c r="G368" s="274">
        <f t="shared" si="11"/>
        <v>1.5746528367181906E-2</v>
      </c>
    </row>
    <row r="369" spans="1:7" ht="14.25" customHeight="1" x14ac:dyDescent="0.3">
      <c r="A369" s="20">
        <v>44463</v>
      </c>
      <c r="B369" s="21" t="s">
        <v>1031</v>
      </c>
      <c r="C369" s="20">
        <v>44463</v>
      </c>
      <c r="D369" s="21">
        <v>17853.19921875</v>
      </c>
      <c r="F369" s="274">
        <f t="shared" si="10"/>
        <v>-2.1093971739796869E-2</v>
      </c>
      <c r="G369" s="274">
        <f t="shared" si="11"/>
        <v>1.6972499684943592E-3</v>
      </c>
    </row>
    <row r="370" spans="1:7" ht="14.25" customHeight="1" x14ac:dyDescent="0.3">
      <c r="A370" s="20">
        <v>44466</v>
      </c>
      <c r="B370" s="21">
        <v>418</v>
      </c>
      <c r="C370" s="20">
        <v>44466</v>
      </c>
      <c r="D370" s="21" t="s">
        <v>1032</v>
      </c>
      <c r="F370" s="274">
        <f t="shared" si="10"/>
        <v>1.777450103724152E-2</v>
      </c>
      <c r="G370" s="274">
        <f t="shared" si="11"/>
        <v>1.0644538279750718E-4</v>
      </c>
    </row>
    <row r="371" spans="1:7" ht="14.25" customHeight="1" x14ac:dyDescent="0.3">
      <c r="A371" s="20">
        <v>44467</v>
      </c>
      <c r="B371" s="21" t="s">
        <v>1033</v>
      </c>
      <c r="C371" s="20">
        <v>44467</v>
      </c>
      <c r="D371" s="21" t="s">
        <v>1034</v>
      </c>
      <c r="F371" s="274">
        <f t="shared" si="10"/>
        <v>-1.1722473436566986E-2</v>
      </c>
      <c r="G371" s="274">
        <f t="shared" si="11"/>
        <v>-5.9646824901543032E-3</v>
      </c>
    </row>
    <row r="372" spans="1:7" ht="14.25" customHeight="1" x14ac:dyDescent="0.3">
      <c r="A372" s="20">
        <v>44468</v>
      </c>
      <c r="B372" s="21" t="s">
        <v>1035</v>
      </c>
      <c r="C372" s="20">
        <v>44468</v>
      </c>
      <c r="D372" s="21">
        <v>17711.30078125</v>
      </c>
      <c r="F372" s="274">
        <f t="shared" si="10"/>
        <v>-1.6097782130793808E-2</v>
      </c>
      <c r="G372" s="274">
        <f t="shared" si="11"/>
        <v>-2.1015082285871364E-3</v>
      </c>
    </row>
    <row r="373" spans="1:7" ht="14.25" customHeight="1" x14ac:dyDescent="0.3">
      <c r="A373" s="20">
        <v>44469</v>
      </c>
      <c r="B373" s="21" t="s">
        <v>971</v>
      </c>
      <c r="C373" s="20">
        <v>44469</v>
      </c>
      <c r="D373" s="21" t="s">
        <v>1036</v>
      </c>
      <c r="F373" s="274">
        <f t="shared" si="10"/>
        <v>-1.5377044685181298E-2</v>
      </c>
      <c r="G373" s="274">
        <f t="shared" si="11"/>
        <v>-5.2593760207388773E-3</v>
      </c>
    </row>
    <row r="374" spans="1:7" ht="14.25" customHeight="1" x14ac:dyDescent="0.3">
      <c r="A374" s="20">
        <v>44470</v>
      </c>
      <c r="B374" s="21">
        <v>402.25</v>
      </c>
      <c r="C374" s="20">
        <v>44470</v>
      </c>
      <c r="D374" s="21">
        <v>17532.05078125</v>
      </c>
      <c r="F374" s="274">
        <f t="shared" si="10"/>
        <v>5.1224081220379372E-3</v>
      </c>
      <c r="G374" s="274">
        <f t="shared" si="11"/>
        <v>-4.8869834497959255E-3</v>
      </c>
    </row>
    <row r="375" spans="1:7" ht="14.25" customHeight="1" x14ac:dyDescent="0.3">
      <c r="A375" s="20">
        <v>44473</v>
      </c>
      <c r="B375" s="21">
        <v>406.5</v>
      </c>
      <c r="C375" s="20">
        <v>44473</v>
      </c>
      <c r="D375" s="21">
        <v>17691.25</v>
      </c>
      <c r="F375" s="274">
        <f t="shared" si="10"/>
        <v>1.0565568676196395E-2</v>
      </c>
      <c r="G375" s="274">
        <f t="shared" si="11"/>
        <v>9.080467581137671E-3</v>
      </c>
    </row>
    <row r="376" spans="1:7" ht="14.25" customHeight="1" x14ac:dyDescent="0.3">
      <c r="A376" s="20">
        <v>44474</v>
      </c>
      <c r="B376" s="21" t="s">
        <v>1037</v>
      </c>
      <c r="C376" s="20">
        <v>44474</v>
      </c>
      <c r="D376" s="21">
        <v>17822.30078125</v>
      </c>
      <c r="F376" s="274">
        <f t="shared" si="10"/>
        <v>-7.0110851255006717E-3</v>
      </c>
      <c r="G376" s="274">
        <f t="shared" si="11"/>
        <v>7.4076609199463014E-3</v>
      </c>
    </row>
    <row r="377" spans="1:7" ht="14.25" customHeight="1" x14ac:dyDescent="0.3">
      <c r="A377" s="20">
        <v>44475</v>
      </c>
      <c r="B377" s="21" t="s">
        <v>1038</v>
      </c>
      <c r="C377" s="20">
        <v>44475</v>
      </c>
      <c r="D377" s="21">
        <v>17646</v>
      </c>
      <c r="F377" s="274">
        <f t="shared" si="10"/>
        <v>-2.1677195918015885E-2</v>
      </c>
      <c r="G377" s="274">
        <f t="shared" si="11"/>
        <v>-9.8921448702895716E-3</v>
      </c>
    </row>
    <row r="378" spans="1:7" ht="14.25" customHeight="1" x14ac:dyDescent="0.3">
      <c r="A378" s="20">
        <v>44476</v>
      </c>
      <c r="B378" s="21" t="s">
        <v>1039</v>
      </c>
      <c r="C378" s="20">
        <v>44476</v>
      </c>
      <c r="D378" s="21" t="s">
        <v>1040</v>
      </c>
      <c r="F378" s="274">
        <f t="shared" si="10"/>
        <v>2.0258293551903821E-2</v>
      </c>
      <c r="G378" s="274">
        <f t="shared" si="11"/>
        <v>8.1803020160376282E-3</v>
      </c>
    </row>
    <row r="379" spans="1:7" ht="14.25" customHeight="1" x14ac:dyDescent="0.3">
      <c r="A379" s="20">
        <v>44477</v>
      </c>
      <c r="B379" s="21" t="s">
        <v>1041</v>
      </c>
      <c r="C379" s="20">
        <v>44477</v>
      </c>
      <c r="D379" s="21">
        <v>17895.19921875</v>
      </c>
      <c r="F379" s="274">
        <f t="shared" si="10"/>
        <v>3.7228567574158728E-4</v>
      </c>
      <c r="G379" s="274">
        <f t="shared" si="11"/>
        <v>5.8936227604963589E-3</v>
      </c>
    </row>
    <row r="380" spans="1:7" ht="14.25" customHeight="1" x14ac:dyDescent="0.3">
      <c r="A380" s="20">
        <v>44480</v>
      </c>
      <c r="B380" s="21" t="s">
        <v>1042</v>
      </c>
      <c r="C380" s="20">
        <v>44480</v>
      </c>
      <c r="D380" s="21">
        <v>17945.94921875</v>
      </c>
      <c r="F380" s="274">
        <f t="shared" si="10"/>
        <v>-2.4804760939067984E-4</v>
      </c>
      <c r="G380" s="274">
        <f t="shared" si="11"/>
        <v>2.8359561343595336E-3</v>
      </c>
    </row>
    <row r="381" spans="1:7" ht="14.25" customHeight="1" x14ac:dyDescent="0.3">
      <c r="A381" s="20">
        <v>44481</v>
      </c>
      <c r="B381" s="21" t="s">
        <v>1043</v>
      </c>
      <c r="C381" s="20">
        <v>44481</v>
      </c>
      <c r="D381" s="21">
        <v>17991.94921875</v>
      </c>
      <c r="F381" s="274">
        <f t="shared" si="10"/>
        <v>1.6130881667525991E-3</v>
      </c>
      <c r="G381" s="274">
        <f t="shared" si="11"/>
        <v>2.5632525445875558E-3</v>
      </c>
    </row>
    <row r="382" spans="1:7" ht="14.25" customHeight="1" x14ac:dyDescent="0.3">
      <c r="A382" s="20">
        <v>44482</v>
      </c>
      <c r="B382" s="21">
        <v>404</v>
      </c>
      <c r="C382" s="20">
        <v>44482</v>
      </c>
      <c r="D382" s="21">
        <v>18161.75</v>
      </c>
      <c r="F382" s="274">
        <f t="shared" si="10"/>
        <v>9.9106513983156425E-4</v>
      </c>
      <c r="G382" s="274">
        <f t="shared" si="11"/>
        <v>9.4375978492116375E-3</v>
      </c>
    </row>
    <row r="383" spans="1:7" ht="14.25" customHeight="1" x14ac:dyDescent="0.3">
      <c r="A383" s="20">
        <v>44483</v>
      </c>
      <c r="B383" s="21">
        <v>408.75</v>
      </c>
      <c r="C383" s="20">
        <v>44483</v>
      </c>
      <c r="D383" s="21">
        <v>18338.55078125</v>
      </c>
      <c r="F383" s="274">
        <f t="shared" si="10"/>
        <v>1.1757425742574257E-2</v>
      </c>
      <c r="G383" s="274">
        <f t="shared" si="11"/>
        <v>9.7347877407188178E-3</v>
      </c>
    </row>
    <row r="384" spans="1:7" ht="14.25" customHeight="1" x14ac:dyDescent="0.3">
      <c r="A384" s="20">
        <v>44487</v>
      </c>
      <c r="B384" s="21" t="s">
        <v>1044</v>
      </c>
      <c r="C384" s="20">
        <v>44487</v>
      </c>
      <c r="D384" s="21">
        <v>18477.05078125</v>
      </c>
      <c r="F384" s="274">
        <f t="shared" si="10"/>
        <v>4.5260088159388371E-3</v>
      </c>
      <c r="G384" s="274">
        <f t="shared" si="11"/>
        <v>7.5523961327198996E-3</v>
      </c>
    </row>
    <row r="385" spans="1:7" ht="14.25" customHeight="1" x14ac:dyDescent="0.3">
      <c r="A385" s="20">
        <v>44488</v>
      </c>
      <c r="B385" s="21" t="s">
        <v>1045</v>
      </c>
      <c r="C385" s="20">
        <v>44488</v>
      </c>
      <c r="D385" s="21">
        <v>18418.75</v>
      </c>
      <c r="F385" s="274">
        <f t="shared" si="10"/>
        <v>-5.1753530648128467E-2</v>
      </c>
      <c r="G385" s="274">
        <f t="shared" si="11"/>
        <v>-3.1553077349964326E-3</v>
      </c>
    </row>
    <row r="386" spans="1:7" ht="14.25" customHeight="1" x14ac:dyDescent="0.3">
      <c r="A386" s="20">
        <v>44489</v>
      </c>
      <c r="B386" s="21">
        <v>392.75</v>
      </c>
      <c r="C386" s="20">
        <v>44489</v>
      </c>
      <c r="D386" s="21" t="s">
        <v>1046</v>
      </c>
      <c r="F386" s="274">
        <f t="shared" si="10"/>
        <v>8.7324870763737881E-3</v>
      </c>
      <c r="G386" s="274">
        <f t="shared" si="11"/>
        <v>-8.2606252120800815E-3</v>
      </c>
    </row>
    <row r="387" spans="1:7" ht="14.25" customHeight="1" x14ac:dyDescent="0.3">
      <c r="A387" s="20">
        <v>44490</v>
      </c>
      <c r="B387" s="21" t="s">
        <v>1047</v>
      </c>
      <c r="C387" s="20">
        <v>44490</v>
      </c>
      <c r="D387" s="21" t="s">
        <v>1048</v>
      </c>
      <c r="F387" s="274">
        <f t="shared" ref="F387:F450" si="12">(B387-B386)/B386</f>
        <v>-3.2718029544280137E-2</v>
      </c>
      <c r="G387" s="274">
        <f t="shared" ref="G387:G450" si="13">(D387-D386)/D386</f>
        <v>-4.8449082967023036E-3</v>
      </c>
    </row>
    <row r="388" spans="1:7" ht="14.25" customHeight="1" x14ac:dyDescent="0.3">
      <c r="A388" s="20">
        <v>44491</v>
      </c>
      <c r="B388" s="21" t="s">
        <v>1049</v>
      </c>
      <c r="C388" s="20">
        <v>44491</v>
      </c>
      <c r="D388" s="21" t="s">
        <v>1050</v>
      </c>
      <c r="F388" s="274">
        <f t="shared" si="12"/>
        <v>-1.0002600300131637E-2</v>
      </c>
      <c r="G388" s="274">
        <f t="shared" si="13"/>
        <v>-3.4766680845673349E-3</v>
      </c>
    </row>
    <row r="389" spans="1:7" ht="14.25" customHeight="1" x14ac:dyDescent="0.3">
      <c r="A389" s="20">
        <v>44494</v>
      </c>
      <c r="B389" s="21" t="s">
        <v>1051</v>
      </c>
      <c r="C389" s="20">
        <v>44494</v>
      </c>
      <c r="D389" s="21" t="s">
        <v>1052</v>
      </c>
      <c r="F389" s="274">
        <f t="shared" si="12"/>
        <v>-5.3180591274963379E-4</v>
      </c>
      <c r="G389" s="274">
        <f t="shared" si="13"/>
        <v>5.7963332801068358E-4</v>
      </c>
    </row>
    <row r="390" spans="1:7" ht="14.25" customHeight="1" x14ac:dyDescent="0.3">
      <c r="A390" s="20">
        <v>44495</v>
      </c>
      <c r="B390" s="21" t="s">
        <v>1053</v>
      </c>
      <c r="C390" s="20">
        <v>44495</v>
      </c>
      <c r="D390" s="21" t="s">
        <v>1054</v>
      </c>
      <c r="F390" s="274">
        <f t="shared" si="12"/>
        <v>1.1838287521378558E-2</v>
      </c>
      <c r="G390" s="274">
        <f t="shared" si="13"/>
        <v>7.8894808897001737E-3</v>
      </c>
    </row>
    <row r="391" spans="1:7" ht="14.25" customHeight="1" x14ac:dyDescent="0.3">
      <c r="A391" s="20">
        <v>44496</v>
      </c>
      <c r="B391" s="21" t="s">
        <v>1055</v>
      </c>
      <c r="C391" s="20">
        <v>44496</v>
      </c>
      <c r="D391" s="21">
        <v>18210.94921875</v>
      </c>
      <c r="F391" s="274">
        <f t="shared" si="12"/>
        <v>3.9437359693160201E-3</v>
      </c>
      <c r="G391" s="274">
        <f t="shared" si="13"/>
        <v>-3.144838663842887E-3</v>
      </c>
    </row>
    <row r="392" spans="1:7" ht="14.25" customHeight="1" x14ac:dyDescent="0.3">
      <c r="A392" s="20">
        <v>44497</v>
      </c>
      <c r="B392" s="21" t="s">
        <v>1056</v>
      </c>
      <c r="C392" s="20">
        <v>44497</v>
      </c>
      <c r="D392" s="21">
        <v>17857.25</v>
      </c>
      <c r="F392" s="274">
        <f t="shared" si="12"/>
        <v>2.1474352647332665E-2</v>
      </c>
      <c r="G392" s="274">
        <f t="shared" si="13"/>
        <v>-1.942233842406365E-2</v>
      </c>
    </row>
    <row r="393" spans="1:7" ht="14.25" customHeight="1" x14ac:dyDescent="0.3">
      <c r="A393" s="20">
        <v>44498</v>
      </c>
      <c r="B393" s="21" t="s">
        <v>1057</v>
      </c>
      <c r="C393" s="20">
        <v>44498</v>
      </c>
      <c r="D393" s="21" t="s">
        <v>1058</v>
      </c>
      <c r="F393" s="274">
        <f t="shared" si="12"/>
        <v>3.7815665841858845E-2</v>
      </c>
      <c r="G393" s="274">
        <f t="shared" si="13"/>
        <v>-1.0393515763905417E-2</v>
      </c>
    </row>
    <row r="394" spans="1:7" ht="14.25" customHeight="1" x14ac:dyDescent="0.3">
      <c r="A394" s="20">
        <v>44501</v>
      </c>
      <c r="B394" s="21" t="s">
        <v>1026</v>
      </c>
      <c r="C394" s="20">
        <v>44501</v>
      </c>
      <c r="D394" s="21" t="s">
        <v>1059</v>
      </c>
      <c r="F394" s="274">
        <f t="shared" si="12"/>
        <v>1.2351779028603167E-2</v>
      </c>
      <c r="G394" s="274">
        <f t="shared" si="13"/>
        <v>1.4599655057507915E-2</v>
      </c>
    </row>
    <row r="395" spans="1:7" ht="14.25" customHeight="1" x14ac:dyDescent="0.3">
      <c r="A395" s="20">
        <v>44502</v>
      </c>
      <c r="B395" s="21">
        <v>407.25</v>
      </c>
      <c r="C395" s="20">
        <v>44502</v>
      </c>
      <c r="D395" s="21">
        <v>17888.94921875</v>
      </c>
      <c r="F395" s="274">
        <f t="shared" si="12"/>
        <v>-6.2225179817630236E-3</v>
      </c>
      <c r="G395" s="274">
        <f t="shared" si="13"/>
        <v>-2.2700482713417379E-3</v>
      </c>
    </row>
    <row r="396" spans="1:7" ht="14.25" customHeight="1" x14ac:dyDescent="0.3">
      <c r="A396" s="20">
        <v>44503</v>
      </c>
      <c r="B396" s="21" t="s">
        <v>1060</v>
      </c>
      <c r="C396" s="20">
        <v>44503</v>
      </c>
      <c r="D396" s="21">
        <v>17829.19921875</v>
      </c>
      <c r="F396" s="274">
        <f t="shared" si="12"/>
        <v>1.3873527063189631E-2</v>
      </c>
      <c r="G396" s="274">
        <f t="shared" si="13"/>
        <v>-3.3400508475575552E-3</v>
      </c>
    </row>
    <row r="397" spans="1:7" ht="14.25" customHeight="1" x14ac:dyDescent="0.3">
      <c r="A397" s="20">
        <v>44504</v>
      </c>
      <c r="B397" s="21" t="s">
        <v>1028</v>
      </c>
      <c r="C397" s="20">
        <v>44504</v>
      </c>
      <c r="D397" s="21">
        <v>17916.80078125</v>
      </c>
      <c r="F397" s="274">
        <f t="shared" si="12"/>
        <v>7.2661253325729419E-4</v>
      </c>
      <c r="G397" s="274">
        <f t="shared" si="13"/>
        <v>4.9133761659847404E-3</v>
      </c>
    </row>
    <row r="398" spans="1:7" ht="14.25" customHeight="1" x14ac:dyDescent="0.3">
      <c r="A398" s="20">
        <v>44508</v>
      </c>
      <c r="B398" s="21">
        <v>429.75</v>
      </c>
      <c r="C398" s="20">
        <v>44508</v>
      </c>
      <c r="D398" s="21">
        <v>18068.55078125</v>
      </c>
      <c r="F398" s="274">
        <f t="shared" si="12"/>
        <v>4.0053212255658693E-2</v>
      </c>
      <c r="G398" s="274">
        <f t="shared" si="13"/>
        <v>8.4697040421863115E-3</v>
      </c>
    </row>
    <row r="399" spans="1:7" ht="14.25" customHeight="1" x14ac:dyDescent="0.3">
      <c r="A399" s="20">
        <v>44509</v>
      </c>
      <c r="B399" s="21">
        <v>431.25</v>
      </c>
      <c r="C399" s="20">
        <v>44509</v>
      </c>
      <c r="D399" s="21">
        <v>18044.25</v>
      </c>
      <c r="F399" s="274">
        <f t="shared" si="12"/>
        <v>3.4904013961605585E-3</v>
      </c>
      <c r="G399" s="274">
        <f t="shared" si="13"/>
        <v>-1.3449214352717915E-3</v>
      </c>
    </row>
    <row r="400" spans="1:7" ht="14.25" customHeight="1" x14ac:dyDescent="0.3">
      <c r="A400" s="20">
        <v>44510</v>
      </c>
      <c r="B400" s="21" t="s">
        <v>1061</v>
      </c>
      <c r="C400" s="20">
        <v>44510</v>
      </c>
      <c r="D400" s="21">
        <v>18017.19921875</v>
      </c>
      <c r="F400" s="274">
        <f t="shared" si="12"/>
        <v>-6.7246235280811603E-3</v>
      </c>
      <c r="G400" s="274">
        <f t="shared" si="13"/>
        <v>-1.499135805034845E-3</v>
      </c>
    </row>
    <row r="401" spans="1:7" ht="14.25" customHeight="1" x14ac:dyDescent="0.3">
      <c r="A401" s="20">
        <v>44511</v>
      </c>
      <c r="B401" s="21" t="s">
        <v>1062</v>
      </c>
      <c r="C401" s="20">
        <v>44511</v>
      </c>
      <c r="D401" s="21" t="s">
        <v>1063</v>
      </c>
      <c r="F401" s="274">
        <f t="shared" si="12"/>
        <v>-1.6691943024639787E-2</v>
      </c>
      <c r="G401" s="274">
        <f t="shared" si="13"/>
        <v>-7.970140510271978E-3</v>
      </c>
    </row>
    <row r="402" spans="1:7" ht="14.25" customHeight="1" x14ac:dyDescent="0.3">
      <c r="A402" s="20">
        <v>44512</v>
      </c>
      <c r="B402" s="21" t="s">
        <v>1064</v>
      </c>
      <c r="C402" s="20">
        <v>44512</v>
      </c>
      <c r="D402" s="21">
        <v>18102.75</v>
      </c>
      <c r="F402" s="274">
        <f t="shared" si="12"/>
        <v>3.9173643130688256E-3</v>
      </c>
      <c r="G402" s="274">
        <f t="shared" si="13"/>
        <v>1.2820606684330492E-2</v>
      </c>
    </row>
    <row r="403" spans="1:7" ht="14.25" customHeight="1" x14ac:dyDescent="0.3">
      <c r="A403" s="20">
        <v>44515</v>
      </c>
      <c r="B403" s="21">
        <v>421.25</v>
      </c>
      <c r="C403" s="20">
        <v>44515</v>
      </c>
      <c r="D403" s="21">
        <v>18109.44921875</v>
      </c>
      <c r="F403" s="274">
        <f t="shared" si="12"/>
        <v>-3.7838620797449232E-3</v>
      </c>
      <c r="G403" s="274">
        <f t="shared" si="13"/>
        <v>3.7006635732140142E-4</v>
      </c>
    </row>
    <row r="404" spans="1:7" ht="14.25" customHeight="1" x14ac:dyDescent="0.3">
      <c r="A404" s="20">
        <v>44516</v>
      </c>
      <c r="B404" s="21" t="s">
        <v>1026</v>
      </c>
      <c r="C404" s="20">
        <v>44516</v>
      </c>
      <c r="D404" s="21">
        <v>17999.19921875</v>
      </c>
      <c r="F404" s="274">
        <f t="shared" si="12"/>
        <v>-2.7181037880194634E-2</v>
      </c>
      <c r="G404" s="274">
        <f t="shared" si="13"/>
        <v>-6.0879819517564533E-3</v>
      </c>
    </row>
    <row r="405" spans="1:7" ht="14.25" customHeight="1" x14ac:dyDescent="0.3">
      <c r="A405" s="20">
        <v>44517</v>
      </c>
      <c r="B405" s="21" t="s">
        <v>1065</v>
      </c>
      <c r="C405" s="20">
        <v>44517</v>
      </c>
      <c r="D405" s="21" t="s">
        <v>1066</v>
      </c>
      <c r="F405" s="274">
        <f t="shared" si="12"/>
        <v>-1.586124733640579E-3</v>
      </c>
      <c r="G405" s="274">
        <f t="shared" si="13"/>
        <v>-5.5862945291619958E-3</v>
      </c>
    </row>
    <row r="406" spans="1:7" ht="14.25" customHeight="1" x14ac:dyDescent="0.3">
      <c r="A406" s="20">
        <v>44518</v>
      </c>
      <c r="B406" s="21" t="s">
        <v>1067</v>
      </c>
      <c r="C406" s="20">
        <v>44518</v>
      </c>
      <c r="D406" s="21">
        <v>17764.80078125</v>
      </c>
      <c r="F406" s="274">
        <f t="shared" si="12"/>
        <v>-2.0285929162371919E-2</v>
      </c>
      <c r="G406" s="274">
        <f t="shared" si="13"/>
        <v>-7.4781956434608098E-3</v>
      </c>
    </row>
    <row r="407" spans="1:7" ht="14.25" customHeight="1" x14ac:dyDescent="0.3">
      <c r="A407" s="20">
        <v>44522</v>
      </c>
      <c r="B407" s="21" t="s">
        <v>1068</v>
      </c>
      <c r="C407" s="20">
        <v>44522</v>
      </c>
      <c r="D407" s="21">
        <v>17416.55078125</v>
      </c>
      <c r="F407" s="274">
        <f t="shared" si="12"/>
        <v>-3.0310574308302189E-2</v>
      </c>
      <c r="G407" s="274">
        <f t="shared" si="13"/>
        <v>-1.96033721001568E-2</v>
      </c>
    </row>
    <row r="408" spans="1:7" ht="14.25" customHeight="1" x14ac:dyDescent="0.3">
      <c r="A408" s="20">
        <v>44523</v>
      </c>
      <c r="B408" s="21" t="s">
        <v>1069</v>
      </c>
      <c r="C408" s="20">
        <v>44523</v>
      </c>
      <c r="D408" s="21" t="s">
        <v>1070</v>
      </c>
      <c r="F408" s="274">
        <f t="shared" si="12"/>
        <v>1.8265951538368796E-2</v>
      </c>
      <c r="G408" s="274">
        <f t="shared" si="13"/>
        <v>4.9836979327987458E-3</v>
      </c>
    </row>
    <row r="409" spans="1:7" ht="14.25" customHeight="1" x14ac:dyDescent="0.3">
      <c r="A409" s="20">
        <v>44524</v>
      </c>
      <c r="B409" s="21">
        <v>393.5</v>
      </c>
      <c r="C409" s="20">
        <v>44524</v>
      </c>
      <c r="D409" s="21">
        <v>17415.05078125</v>
      </c>
      <c r="F409" s="274">
        <f t="shared" si="12"/>
        <v>-5.8109850022811799E-3</v>
      </c>
      <c r="G409" s="274">
        <f t="shared" si="13"/>
        <v>-5.0446817378146927E-3</v>
      </c>
    </row>
    <row r="410" spans="1:7" ht="14.25" customHeight="1" x14ac:dyDescent="0.3">
      <c r="A410" s="20">
        <v>44525</v>
      </c>
      <c r="B410" s="21" t="s">
        <v>1071</v>
      </c>
      <c r="C410" s="20">
        <v>44525</v>
      </c>
      <c r="D410" s="21">
        <v>17536.25</v>
      </c>
      <c r="F410" s="274">
        <f t="shared" si="12"/>
        <v>-7.3697430660355787E-3</v>
      </c>
      <c r="G410" s="274">
        <f t="shared" si="13"/>
        <v>6.9594525030320176E-3</v>
      </c>
    </row>
    <row r="411" spans="1:7" ht="14.25" customHeight="1" x14ac:dyDescent="0.3">
      <c r="A411" s="20">
        <v>44526</v>
      </c>
      <c r="B411" s="21" t="s">
        <v>1072</v>
      </c>
      <c r="C411" s="20">
        <v>44526</v>
      </c>
      <c r="D411" s="21">
        <v>17026.44921875</v>
      </c>
      <c r="F411" s="274">
        <f t="shared" si="12"/>
        <v>-4.6722989541284003E-2</v>
      </c>
      <c r="G411" s="274">
        <f t="shared" si="13"/>
        <v>-2.9071254187753939E-2</v>
      </c>
    </row>
    <row r="412" spans="1:7" ht="14.25" customHeight="1" x14ac:dyDescent="0.3">
      <c r="A412" s="20">
        <v>44529</v>
      </c>
      <c r="B412" s="21" t="s">
        <v>1073</v>
      </c>
      <c r="C412" s="20">
        <v>44529</v>
      </c>
      <c r="D412" s="21">
        <v>17053.94921875</v>
      </c>
      <c r="F412" s="274">
        <f t="shared" si="12"/>
        <v>-8.5940973669311679E-3</v>
      </c>
      <c r="G412" s="274">
        <f t="shared" si="13"/>
        <v>1.615134174289037E-3</v>
      </c>
    </row>
    <row r="413" spans="1:7" ht="14.25" customHeight="1" x14ac:dyDescent="0.3">
      <c r="A413" s="20">
        <v>44530</v>
      </c>
      <c r="B413" s="21" t="s">
        <v>1074</v>
      </c>
      <c r="C413" s="20">
        <v>44530</v>
      </c>
      <c r="D413" s="21">
        <v>16983.19921875</v>
      </c>
      <c r="F413" s="274">
        <f t="shared" si="12"/>
        <v>1.4763679526320945E-2</v>
      </c>
      <c r="G413" s="274">
        <f t="shared" si="13"/>
        <v>-4.1485991949720222E-3</v>
      </c>
    </row>
    <row r="414" spans="1:7" ht="14.25" customHeight="1" x14ac:dyDescent="0.3">
      <c r="A414" s="20">
        <v>44531</v>
      </c>
      <c r="B414" s="21" t="s">
        <v>1075</v>
      </c>
      <c r="C414" s="20">
        <v>44531</v>
      </c>
      <c r="D414" s="21" t="s">
        <v>1076</v>
      </c>
      <c r="F414" s="274">
        <f t="shared" si="12"/>
        <v>-8.5424777226158089E-3</v>
      </c>
      <c r="G414" s="274">
        <f t="shared" si="13"/>
        <v>1.0816641170421411E-2</v>
      </c>
    </row>
    <row r="415" spans="1:7" ht="14.25" customHeight="1" x14ac:dyDescent="0.3">
      <c r="A415" s="20">
        <v>44532</v>
      </c>
      <c r="B415" s="21" t="s">
        <v>1077</v>
      </c>
      <c r="C415" s="20">
        <v>44532</v>
      </c>
      <c r="D415" s="21" t="s">
        <v>1078</v>
      </c>
      <c r="F415" s="274">
        <f t="shared" si="12"/>
        <v>1.6020496243436669E-2</v>
      </c>
      <c r="G415" s="274">
        <f t="shared" si="13"/>
        <v>1.3674571102433792E-2</v>
      </c>
    </row>
    <row r="416" spans="1:7" ht="14.25" customHeight="1" x14ac:dyDescent="0.3">
      <c r="A416" s="20">
        <v>44533</v>
      </c>
      <c r="B416" s="21" t="s">
        <v>1079</v>
      </c>
      <c r="C416" s="20">
        <v>44533</v>
      </c>
      <c r="D416" s="21">
        <v>17196.69921875</v>
      </c>
      <c r="F416" s="274">
        <f t="shared" si="12"/>
        <v>-1.9875446876082979E-3</v>
      </c>
      <c r="G416" s="274">
        <f t="shared" si="13"/>
        <v>-1.1777685867394267E-2</v>
      </c>
    </row>
    <row r="417" spans="1:7" ht="14.25" customHeight="1" x14ac:dyDescent="0.3">
      <c r="A417" s="20">
        <v>44536</v>
      </c>
      <c r="B417" s="21" t="s">
        <v>1080</v>
      </c>
      <c r="C417" s="20">
        <v>44536</v>
      </c>
      <c r="D417" s="21">
        <v>16912.25</v>
      </c>
      <c r="F417" s="274">
        <f t="shared" si="12"/>
        <v>-1.712695725569937E-2</v>
      </c>
      <c r="G417" s="274">
        <f t="shared" si="13"/>
        <v>-1.6540919575999662E-2</v>
      </c>
    </row>
    <row r="418" spans="1:7" ht="14.25" customHeight="1" x14ac:dyDescent="0.3">
      <c r="A418" s="20">
        <v>44537</v>
      </c>
      <c r="B418" s="21">
        <v>372.75</v>
      </c>
      <c r="C418" s="20">
        <v>44537</v>
      </c>
      <c r="D418" s="21">
        <v>17176.69921875</v>
      </c>
      <c r="F418" s="274">
        <f t="shared" si="12"/>
        <v>7.0241959918636108E-3</v>
      </c>
      <c r="G418" s="274">
        <f t="shared" si="13"/>
        <v>1.5636548581649395E-2</v>
      </c>
    </row>
    <row r="419" spans="1:7" ht="14.25" customHeight="1" x14ac:dyDescent="0.3">
      <c r="A419" s="20">
        <v>44538</v>
      </c>
      <c r="B419" s="21" t="s">
        <v>1081</v>
      </c>
      <c r="C419" s="20">
        <v>44538</v>
      </c>
      <c r="D419" s="21">
        <v>17469.75</v>
      </c>
      <c r="F419" s="274">
        <f t="shared" si="12"/>
        <v>1.1267638382376989E-2</v>
      </c>
      <c r="G419" s="274">
        <f t="shared" si="13"/>
        <v>1.7060948527881727E-2</v>
      </c>
    </row>
    <row r="420" spans="1:7" ht="14.25" customHeight="1" x14ac:dyDescent="0.3">
      <c r="A420" s="20">
        <v>44539</v>
      </c>
      <c r="B420" s="21" t="s">
        <v>1082</v>
      </c>
      <c r="C420" s="20">
        <v>44539</v>
      </c>
      <c r="D420" s="21" t="s">
        <v>1083</v>
      </c>
      <c r="F420" s="274">
        <f t="shared" si="12"/>
        <v>1.5916582212695772E-3</v>
      </c>
      <c r="G420" s="274">
        <f t="shared" si="13"/>
        <v>2.6960665936833668E-3</v>
      </c>
    </row>
    <row r="421" spans="1:7" ht="14.25" customHeight="1" x14ac:dyDescent="0.3">
      <c r="A421" s="20">
        <v>44540</v>
      </c>
      <c r="B421" s="21" t="s">
        <v>1084</v>
      </c>
      <c r="C421" s="20">
        <v>44540</v>
      </c>
      <c r="D421" s="21">
        <v>17511.30078125</v>
      </c>
      <c r="F421" s="274">
        <f t="shared" si="12"/>
        <v>2.6488175539501023E-4</v>
      </c>
      <c r="G421" s="274">
        <f t="shared" si="13"/>
        <v>-3.1677089480920548E-4</v>
      </c>
    </row>
    <row r="422" spans="1:7" ht="14.25" customHeight="1" x14ac:dyDescent="0.3">
      <c r="A422" s="20">
        <v>44543</v>
      </c>
      <c r="B422" s="21" t="s">
        <v>1085</v>
      </c>
      <c r="C422" s="20">
        <v>44543</v>
      </c>
      <c r="D422" s="21">
        <v>17368.25</v>
      </c>
      <c r="F422" s="274">
        <f t="shared" si="12"/>
        <v>5.8255322192168725E-3</v>
      </c>
      <c r="G422" s="274">
        <f t="shared" si="13"/>
        <v>-8.1690551168631508E-3</v>
      </c>
    </row>
    <row r="423" spans="1:7" ht="14.25" customHeight="1" x14ac:dyDescent="0.3">
      <c r="A423" s="20">
        <v>44544</v>
      </c>
      <c r="B423" s="21" t="s">
        <v>1086</v>
      </c>
      <c r="C423" s="20">
        <v>44544</v>
      </c>
      <c r="D423" s="21" t="s">
        <v>1087</v>
      </c>
      <c r="F423" s="274">
        <f t="shared" si="12"/>
        <v>-3.4224517300460791E-3</v>
      </c>
      <c r="G423" s="274">
        <f t="shared" si="13"/>
        <v>-2.4959111813222402E-3</v>
      </c>
    </row>
    <row r="424" spans="1:7" ht="14.25" customHeight="1" x14ac:dyDescent="0.3">
      <c r="A424" s="20">
        <v>44545</v>
      </c>
      <c r="B424" s="21" t="s">
        <v>1088</v>
      </c>
      <c r="C424" s="20">
        <v>44545</v>
      </c>
      <c r="D424" s="21" t="s">
        <v>1089</v>
      </c>
      <c r="F424" s="274">
        <f t="shared" si="12"/>
        <v>9.245967898627623E-4</v>
      </c>
      <c r="G424" s="274">
        <f t="shared" si="13"/>
        <v>-5.9740603216401067E-3</v>
      </c>
    </row>
    <row r="425" spans="1:7" ht="14.25" customHeight="1" x14ac:dyDescent="0.3">
      <c r="A425" s="20">
        <v>44546</v>
      </c>
      <c r="B425" s="21" t="s">
        <v>1090</v>
      </c>
      <c r="C425" s="20">
        <v>44546</v>
      </c>
      <c r="D425" s="21" t="s">
        <v>1091</v>
      </c>
      <c r="F425" s="274">
        <f t="shared" si="12"/>
        <v>-8.4454519424647812E-3</v>
      </c>
      <c r="G425" s="274">
        <f t="shared" si="13"/>
        <v>1.5678167505296654E-3</v>
      </c>
    </row>
    <row r="426" spans="1:7" ht="14.25" customHeight="1" x14ac:dyDescent="0.3">
      <c r="A426" s="20">
        <v>44547</v>
      </c>
      <c r="B426" s="21" t="s">
        <v>1092</v>
      </c>
      <c r="C426" s="20">
        <v>44547</v>
      </c>
      <c r="D426" s="21">
        <v>16985.19921875</v>
      </c>
      <c r="F426" s="274">
        <f t="shared" si="12"/>
        <v>-1.8898072592032644E-2</v>
      </c>
      <c r="G426" s="274">
        <f t="shared" si="13"/>
        <v>-1.525945397337004E-2</v>
      </c>
    </row>
    <row r="427" spans="1:7" ht="14.25" customHeight="1" x14ac:dyDescent="0.3">
      <c r="A427" s="20">
        <v>44550</v>
      </c>
      <c r="B427" s="21" t="s">
        <v>1093</v>
      </c>
      <c r="C427" s="20">
        <v>44550</v>
      </c>
      <c r="D427" s="21">
        <v>16614.19921875</v>
      </c>
      <c r="F427" s="274">
        <f t="shared" si="12"/>
        <v>-4.9647363015527843E-2</v>
      </c>
      <c r="G427" s="274">
        <f t="shared" si="13"/>
        <v>-2.1842546279377886E-2</v>
      </c>
    </row>
    <row r="428" spans="1:7" ht="14.25" customHeight="1" x14ac:dyDescent="0.3">
      <c r="A428" s="20">
        <v>44551</v>
      </c>
      <c r="B428" s="21" t="s">
        <v>1094</v>
      </c>
      <c r="C428" s="20">
        <v>44551</v>
      </c>
      <c r="D428" s="21" t="s">
        <v>1095</v>
      </c>
      <c r="F428" s="274">
        <f t="shared" si="12"/>
        <v>3.1829930923813865E-2</v>
      </c>
      <c r="G428" s="274">
        <f t="shared" si="13"/>
        <v>9.4287054442089378E-3</v>
      </c>
    </row>
    <row r="429" spans="1:7" ht="14.25" customHeight="1" x14ac:dyDescent="0.3">
      <c r="A429" s="20">
        <v>44552</v>
      </c>
      <c r="B429" s="21">
        <v>363.75</v>
      </c>
      <c r="C429" s="20">
        <v>44552</v>
      </c>
      <c r="D429" s="21">
        <v>16955.44921875</v>
      </c>
      <c r="F429" s="274">
        <f t="shared" si="12"/>
        <v>6.363225108017405E-3</v>
      </c>
      <c r="G429" s="274">
        <f t="shared" si="13"/>
        <v>1.1007170994593368E-2</v>
      </c>
    </row>
    <row r="430" spans="1:7" ht="14.25" customHeight="1" x14ac:dyDescent="0.3">
      <c r="A430" s="20">
        <v>44553</v>
      </c>
      <c r="B430" s="21" t="s">
        <v>1096</v>
      </c>
      <c r="C430" s="20">
        <v>44553</v>
      </c>
      <c r="D430" s="21" t="s">
        <v>1097</v>
      </c>
      <c r="F430" s="274">
        <f t="shared" si="12"/>
        <v>1.5532629268684473E-2</v>
      </c>
      <c r="G430" s="274">
        <f t="shared" si="13"/>
        <v>6.9093062126275315E-3</v>
      </c>
    </row>
    <row r="431" spans="1:7" ht="14.25" customHeight="1" x14ac:dyDescent="0.3">
      <c r="A431" s="20">
        <v>44554</v>
      </c>
      <c r="B431" s="21" t="s">
        <v>1098</v>
      </c>
      <c r="C431" s="20">
        <v>44554</v>
      </c>
      <c r="D431" s="21">
        <v>17003.75</v>
      </c>
      <c r="F431" s="274">
        <f t="shared" si="12"/>
        <v>-4.0606389409425419E-3</v>
      </c>
      <c r="G431" s="274">
        <f t="shared" si="13"/>
        <v>-4.0327548791803756E-3</v>
      </c>
    </row>
    <row r="432" spans="1:7" ht="14.25" customHeight="1" x14ac:dyDescent="0.3">
      <c r="A432" s="20">
        <v>44557</v>
      </c>
      <c r="B432" s="21" t="s">
        <v>1099</v>
      </c>
      <c r="C432" s="20">
        <v>44557</v>
      </c>
      <c r="D432" s="21">
        <v>17086.25</v>
      </c>
      <c r="F432" s="274">
        <f t="shared" si="12"/>
        <v>5.5722162124413064E-3</v>
      </c>
      <c r="G432" s="274">
        <f t="shared" si="13"/>
        <v>4.8518709108284937E-3</v>
      </c>
    </row>
    <row r="433" spans="1:7" ht="14.25" customHeight="1" x14ac:dyDescent="0.3">
      <c r="A433" s="20">
        <v>44558</v>
      </c>
      <c r="B433" s="21" t="s">
        <v>1100</v>
      </c>
      <c r="C433" s="20">
        <v>44558</v>
      </c>
      <c r="D433" s="21">
        <v>17233.25</v>
      </c>
      <c r="F433" s="274">
        <f t="shared" si="12"/>
        <v>2.7706445902923517E-2</v>
      </c>
      <c r="G433" s="274">
        <f t="shared" si="13"/>
        <v>8.6034091740434561E-3</v>
      </c>
    </row>
    <row r="434" spans="1:7" ht="14.25" customHeight="1" x14ac:dyDescent="0.3">
      <c r="A434" s="20">
        <v>44559</v>
      </c>
      <c r="B434" s="21" t="s">
        <v>1101</v>
      </c>
      <c r="C434" s="20">
        <v>44559</v>
      </c>
      <c r="D434" s="21" t="s">
        <v>1102</v>
      </c>
      <c r="F434" s="274">
        <f t="shared" si="12"/>
        <v>-1.1572920233540283E-2</v>
      </c>
      <c r="G434" s="274">
        <f t="shared" si="13"/>
        <v>-1.1402602889762524E-3</v>
      </c>
    </row>
    <row r="435" spans="1:7" ht="14.25" customHeight="1" x14ac:dyDescent="0.3">
      <c r="A435" s="20">
        <v>44560</v>
      </c>
      <c r="B435" s="21" t="s">
        <v>1103</v>
      </c>
      <c r="C435" s="20">
        <v>44560</v>
      </c>
      <c r="D435" s="21">
        <v>17203.94921875</v>
      </c>
      <c r="F435" s="274">
        <f t="shared" si="12"/>
        <v>-1.2905736411595864E-2</v>
      </c>
      <c r="G435" s="274">
        <f t="shared" si="13"/>
        <v>-5.606259494814862E-4</v>
      </c>
    </row>
    <row r="436" spans="1:7" ht="14.25" customHeight="1" x14ac:dyDescent="0.3">
      <c r="A436" s="20">
        <v>44561</v>
      </c>
      <c r="B436" s="21">
        <v>377.5</v>
      </c>
      <c r="C436" s="20">
        <v>44561</v>
      </c>
      <c r="D436" s="21">
        <v>17354.05078125</v>
      </c>
      <c r="F436" s="274">
        <f t="shared" si="12"/>
        <v>1.765733273332085E-2</v>
      </c>
      <c r="G436" s="274">
        <f t="shared" si="13"/>
        <v>8.7248317576065267E-3</v>
      </c>
    </row>
    <row r="437" spans="1:7" ht="14.25" customHeight="1" x14ac:dyDescent="0.3">
      <c r="A437" s="20">
        <v>44564</v>
      </c>
      <c r="B437" s="21">
        <v>387</v>
      </c>
      <c r="C437" s="20">
        <v>44564</v>
      </c>
      <c r="D437" s="21">
        <v>17625.69921875</v>
      </c>
      <c r="F437" s="274">
        <f t="shared" si="12"/>
        <v>2.5165562913907286E-2</v>
      </c>
      <c r="G437" s="274">
        <f t="shared" si="13"/>
        <v>1.565331581220793E-2</v>
      </c>
    </row>
    <row r="438" spans="1:7" ht="14.25" customHeight="1" x14ac:dyDescent="0.3">
      <c r="A438" s="20">
        <v>44565</v>
      </c>
      <c r="B438" s="21" t="s">
        <v>1104</v>
      </c>
      <c r="C438" s="20">
        <v>44565</v>
      </c>
      <c r="D438" s="21">
        <v>17805.25</v>
      </c>
      <c r="F438" s="274">
        <f t="shared" si="12"/>
        <v>8.9147602248863637E-3</v>
      </c>
      <c r="G438" s="274">
        <f t="shared" si="13"/>
        <v>1.0186874235264159E-2</v>
      </c>
    </row>
    <row r="439" spans="1:7" ht="14.25" customHeight="1" x14ac:dyDescent="0.3">
      <c r="A439" s="20">
        <v>44566</v>
      </c>
      <c r="B439" s="21" t="s">
        <v>1105</v>
      </c>
      <c r="C439" s="20">
        <v>44566</v>
      </c>
      <c r="D439" s="21">
        <v>17925.25</v>
      </c>
      <c r="F439" s="274">
        <f t="shared" si="12"/>
        <v>8.3237287703726084E-3</v>
      </c>
      <c r="G439" s="274">
        <f t="shared" si="13"/>
        <v>6.7395852346920151E-3</v>
      </c>
    </row>
    <row r="440" spans="1:7" ht="14.25" customHeight="1" x14ac:dyDescent="0.3">
      <c r="A440" s="20">
        <v>44567</v>
      </c>
      <c r="B440" s="21" t="s">
        <v>1106</v>
      </c>
      <c r="C440" s="20">
        <v>44567</v>
      </c>
      <c r="D440" s="21" t="s">
        <v>1107</v>
      </c>
      <c r="F440" s="274">
        <f t="shared" si="12"/>
        <v>-1.6891095270187676E-2</v>
      </c>
      <c r="G440" s="274">
        <f t="shared" si="13"/>
        <v>-1.0005417462796892E-2</v>
      </c>
    </row>
    <row r="441" spans="1:7" ht="14.25" customHeight="1" x14ac:dyDescent="0.3">
      <c r="A441" s="20">
        <v>44568</v>
      </c>
      <c r="B441" s="21">
        <v>397.25</v>
      </c>
      <c r="C441" s="20">
        <v>44568</v>
      </c>
      <c r="D441" s="21">
        <v>17812.69921875</v>
      </c>
      <c r="F441" s="274">
        <f t="shared" si="12"/>
        <v>2.635321671289639E-2</v>
      </c>
      <c r="G441" s="274">
        <f t="shared" si="13"/>
        <v>3.7641836511315718E-3</v>
      </c>
    </row>
    <row r="442" spans="1:7" ht="14.25" customHeight="1" x14ac:dyDescent="0.3">
      <c r="A442" s="20">
        <v>44571</v>
      </c>
      <c r="B442" s="21" t="s">
        <v>1108</v>
      </c>
      <c r="C442" s="20">
        <v>44571</v>
      </c>
      <c r="D442" s="21">
        <v>18003.30078125</v>
      </c>
      <c r="F442" s="274">
        <f t="shared" si="12"/>
        <v>5.2863589767526741E-3</v>
      </c>
      <c r="G442" s="274">
        <f t="shared" si="13"/>
        <v>1.0700318921871708E-2</v>
      </c>
    </row>
    <row r="443" spans="1:7" ht="14.25" customHeight="1" x14ac:dyDescent="0.3">
      <c r="A443" s="20">
        <v>44572</v>
      </c>
      <c r="B443" s="21" t="s">
        <v>1109</v>
      </c>
      <c r="C443" s="20">
        <v>44572</v>
      </c>
      <c r="D443" s="21">
        <v>18055.75</v>
      </c>
      <c r="F443" s="274">
        <f t="shared" si="12"/>
        <v>-4.2569479931104963E-3</v>
      </c>
      <c r="G443" s="274">
        <f t="shared" si="13"/>
        <v>2.9133112526023332E-3</v>
      </c>
    </row>
    <row r="444" spans="1:7" ht="14.25" customHeight="1" x14ac:dyDescent="0.3">
      <c r="A444" s="20">
        <v>44573</v>
      </c>
      <c r="B444" s="21" t="s">
        <v>1110</v>
      </c>
      <c r="C444" s="20">
        <v>44573</v>
      </c>
      <c r="D444" s="21" t="s">
        <v>1111</v>
      </c>
      <c r="F444" s="274">
        <f t="shared" si="12"/>
        <v>6.2869358440146206E-4</v>
      </c>
      <c r="G444" s="274">
        <f t="shared" si="13"/>
        <v>8.6731157318305808E-3</v>
      </c>
    </row>
    <row r="445" spans="1:7" ht="14.25" customHeight="1" x14ac:dyDescent="0.3">
      <c r="A445" s="20">
        <v>44574</v>
      </c>
      <c r="B445" s="21" t="s">
        <v>1112</v>
      </c>
      <c r="C445" s="20">
        <v>44574</v>
      </c>
      <c r="D445" s="21">
        <v>18257.80078125</v>
      </c>
      <c r="F445" s="274">
        <f t="shared" si="12"/>
        <v>-3.7697914627016402E-3</v>
      </c>
      <c r="G445" s="274">
        <f t="shared" si="13"/>
        <v>2.495623730592319E-3</v>
      </c>
    </row>
    <row r="446" spans="1:7" ht="14.25" customHeight="1" x14ac:dyDescent="0.3">
      <c r="A446" s="20">
        <v>44575</v>
      </c>
      <c r="B446" s="21" t="s">
        <v>1113</v>
      </c>
      <c r="C446" s="20">
        <v>44575</v>
      </c>
      <c r="D446" s="21">
        <v>18255.75</v>
      </c>
      <c r="F446" s="274">
        <f t="shared" si="12"/>
        <v>1.5893083772832335E-2</v>
      </c>
      <c r="G446" s="274">
        <f t="shared" si="13"/>
        <v>-1.1232356375068276E-4</v>
      </c>
    </row>
    <row r="447" spans="1:7" ht="14.25" customHeight="1" x14ac:dyDescent="0.3">
      <c r="A447" s="20">
        <v>44578</v>
      </c>
      <c r="B447" s="21" t="s">
        <v>1114</v>
      </c>
      <c r="C447" s="20">
        <v>44578</v>
      </c>
      <c r="D447" s="21" t="s">
        <v>1115</v>
      </c>
      <c r="F447" s="274">
        <f t="shared" si="12"/>
        <v>1.2664453517113513E-2</v>
      </c>
      <c r="G447" s="274">
        <f t="shared" si="13"/>
        <v>2.867568266162716E-3</v>
      </c>
    </row>
    <row r="448" spans="1:7" ht="14.25" customHeight="1" x14ac:dyDescent="0.3">
      <c r="A448" s="20">
        <v>44579</v>
      </c>
      <c r="B448" s="21" t="s">
        <v>1116</v>
      </c>
      <c r="C448" s="20">
        <v>44579</v>
      </c>
      <c r="D448" s="21">
        <v>18113.05078125</v>
      </c>
      <c r="F448" s="274">
        <f t="shared" si="12"/>
        <v>-6.6576740336411061E-2</v>
      </c>
      <c r="G448" s="274">
        <f t="shared" si="13"/>
        <v>-1.0653690567923372E-2</v>
      </c>
    </row>
    <row r="449" spans="1:7" ht="14.25" customHeight="1" x14ac:dyDescent="0.3">
      <c r="A449" s="20">
        <v>44580</v>
      </c>
      <c r="B449" s="21" t="s">
        <v>1117</v>
      </c>
      <c r="C449" s="20">
        <v>44580</v>
      </c>
      <c r="D449" s="21" t="s">
        <v>1118</v>
      </c>
      <c r="F449" s="274">
        <f t="shared" si="12"/>
        <v>-1.523706261912159E-2</v>
      </c>
      <c r="G449" s="274">
        <f t="shared" si="13"/>
        <v>-9.642240433941256E-3</v>
      </c>
    </row>
    <row r="450" spans="1:7" ht="14.25" customHeight="1" x14ac:dyDescent="0.3">
      <c r="A450" s="20">
        <v>44581</v>
      </c>
      <c r="B450" s="21" t="s">
        <v>1119</v>
      </c>
      <c r="C450" s="20">
        <v>44581</v>
      </c>
      <c r="D450" s="21">
        <v>17757</v>
      </c>
      <c r="F450" s="274">
        <f t="shared" si="12"/>
        <v>6.6693342918330487E-4</v>
      </c>
      <c r="G450" s="274">
        <f t="shared" si="13"/>
        <v>-1.0112406160797024E-2</v>
      </c>
    </row>
    <row r="451" spans="1:7" ht="14.25" customHeight="1" x14ac:dyDescent="0.3">
      <c r="A451" s="20">
        <v>44582</v>
      </c>
      <c r="B451" s="21" t="s">
        <v>1120</v>
      </c>
      <c r="C451" s="20">
        <v>44582</v>
      </c>
      <c r="D451" s="21" t="s">
        <v>1121</v>
      </c>
      <c r="F451" s="274">
        <f t="shared" ref="F451:F514" si="14">(B451-B450)/B450</f>
        <v>-1.7195446819723688E-2</v>
      </c>
      <c r="G451" s="274">
        <f t="shared" ref="G451:G514" si="15">(D451-D450)/D450</f>
        <v>-7.875745304668582E-3</v>
      </c>
    </row>
    <row r="452" spans="1:7" ht="14.25" customHeight="1" x14ac:dyDescent="0.3">
      <c r="A452" s="20">
        <v>44585</v>
      </c>
      <c r="B452" s="21" t="s">
        <v>1122</v>
      </c>
      <c r="C452" s="20">
        <v>44585</v>
      </c>
      <c r="D452" s="21" t="s">
        <v>1123</v>
      </c>
      <c r="F452" s="274">
        <f t="shared" si="14"/>
        <v>-4.2859048025389569E-2</v>
      </c>
      <c r="G452" s="274">
        <f t="shared" si="15"/>
        <v>-2.6567905187383431E-2</v>
      </c>
    </row>
    <row r="453" spans="1:7" ht="14.25" customHeight="1" x14ac:dyDescent="0.3">
      <c r="A453" s="20">
        <v>44586</v>
      </c>
      <c r="B453" s="21">
        <v>351.5</v>
      </c>
      <c r="C453" s="20">
        <v>44586</v>
      </c>
      <c r="D453" s="21">
        <v>17277.94921875</v>
      </c>
      <c r="F453" s="274">
        <f t="shared" si="14"/>
        <v>-3.8260056119113423E-3</v>
      </c>
      <c r="G453" s="274">
        <f t="shared" si="15"/>
        <v>7.5134912216942877E-3</v>
      </c>
    </row>
    <row r="454" spans="1:7" ht="14.25" customHeight="1" x14ac:dyDescent="0.3">
      <c r="A454" s="20">
        <v>44588</v>
      </c>
      <c r="B454" s="21" t="s">
        <v>1124</v>
      </c>
      <c r="C454" s="20">
        <v>44588</v>
      </c>
      <c r="D454" s="21" t="s">
        <v>1125</v>
      </c>
      <c r="F454" s="274">
        <f t="shared" si="14"/>
        <v>4.2672516780647822E-4</v>
      </c>
      <c r="G454" s="274">
        <f t="shared" si="15"/>
        <v>-9.7117329146276816E-3</v>
      </c>
    </row>
    <row r="455" spans="1:7" ht="14.25" customHeight="1" x14ac:dyDescent="0.3">
      <c r="A455" s="20">
        <v>44589</v>
      </c>
      <c r="B455" s="21" t="s">
        <v>1126</v>
      </c>
      <c r="C455" s="20">
        <v>44589</v>
      </c>
      <c r="D455" s="21">
        <v>17101.94921875</v>
      </c>
      <c r="F455" s="274">
        <f t="shared" si="14"/>
        <v>2.5735869380424672E-2</v>
      </c>
      <c r="G455" s="274">
        <f t="shared" si="15"/>
        <v>-4.7931617710932507E-4</v>
      </c>
    </row>
    <row r="456" spans="1:7" ht="14.25" customHeight="1" x14ac:dyDescent="0.3">
      <c r="A456" s="20">
        <v>44592</v>
      </c>
      <c r="B456" s="21" t="s">
        <v>1127</v>
      </c>
      <c r="C456" s="20">
        <v>44592</v>
      </c>
      <c r="D456" s="21" t="s">
        <v>1128</v>
      </c>
      <c r="F456" s="274">
        <f t="shared" si="14"/>
        <v>1.2337071080826019E-2</v>
      </c>
      <c r="G456" s="274">
        <f t="shared" si="15"/>
        <v>1.3910717870929826E-2</v>
      </c>
    </row>
    <row r="457" spans="1:7" ht="14.25" customHeight="1" x14ac:dyDescent="0.3">
      <c r="A457" s="20">
        <v>44593</v>
      </c>
      <c r="B457" s="21" t="s">
        <v>1129</v>
      </c>
      <c r="C457" s="20">
        <v>44593</v>
      </c>
      <c r="D457" s="21" t="s">
        <v>1130</v>
      </c>
      <c r="F457" s="274">
        <f t="shared" si="14"/>
        <v>4.1763659468451772E-2</v>
      </c>
      <c r="G457" s="274">
        <f t="shared" si="15"/>
        <v>1.366793861187026E-2</v>
      </c>
    </row>
    <row r="458" spans="1:7" ht="14.25" customHeight="1" x14ac:dyDescent="0.3">
      <c r="A458" s="20">
        <v>44594</v>
      </c>
      <c r="B458" s="21">
        <v>380</v>
      </c>
      <c r="C458" s="20">
        <v>44594</v>
      </c>
      <c r="D458" s="21">
        <v>17780</v>
      </c>
      <c r="F458" s="274">
        <f t="shared" si="14"/>
        <v>-1.0515086827073534E-3</v>
      </c>
      <c r="G458" s="274">
        <f t="shared" si="15"/>
        <v>1.1557838585399586E-2</v>
      </c>
    </row>
    <row r="459" spans="1:7" ht="14.25" customHeight="1" x14ac:dyDescent="0.3">
      <c r="A459" s="20">
        <v>44595</v>
      </c>
      <c r="B459" s="21" t="s">
        <v>1131</v>
      </c>
      <c r="C459" s="20">
        <v>44595</v>
      </c>
      <c r="D459" s="21">
        <v>17560.19921875</v>
      </c>
      <c r="F459" s="274">
        <f t="shared" si="14"/>
        <v>4.9999839381157296E-3</v>
      </c>
      <c r="G459" s="274">
        <f t="shared" si="15"/>
        <v>-1.2362248664229471E-2</v>
      </c>
    </row>
    <row r="460" spans="1:7" ht="14.25" customHeight="1" x14ac:dyDescent="0.3">
      <c r="A460" s="20">
        <v>44596</v>
      </c>
      <c r="B460" s="21" t="s">
        <v>1129</v>
      </c>
      <c r="C460" s="20">
        <v>44596</v>
      </c>
      <c r="D460" s="21">
        <v>17516.30078125</v>
      </c>
      <c r="F460" s="274">
        <f t="shared" si="14"/>
        <v>-3.9277298349645511E-3</v>
      </c>
      <c r="G460" s="274">
        <f t="shared" si="15"/>
        <v>-2.4998826581151311E-3</v>
      </c>
    </row>
    <row r="461" spans="1:7" ht="14.25" customHeight="1" x14ac:dyDescent="0.3">
      <c r="A461" s="20">
        <v>44599</v>
      </c>
      <c r="B461" s="21" t="s">
        <v>1132</v>
      </c>
      <c r="C461" s="20">
        <v>44599</v>
      </c>
      <c r="D461" s="21" t="s">
        <v>1102</v>
      </c>
      <c r="F461" s="274">
        <f t="shared" si="14"/>
        <v>5.9148265933260747E-3</v>
      </c>
      <c r="G461" s="274">
        <f t="shared" si="15"/>
        <v>-1.7281112927623445E-2</v>
      </c>
    </row>
    <row r="462" spans="1:7" ht="14.25" customHeight="1" x14ac:dyDescent="0.3">
      <c r="A462" s="20">
        <v>44600</v>
      </c>
      <c r="B462" s="21" t="s">
        <v>1133</v>
      </c>
      <c r="C462" s="20">
        <v>44600</v>
      </c>
      <c r="D462" s="21">
        <v>17266.75</v>
      </c>
      <c r="F462" s="274">
        <f t="shared" si="14"/>
        <v>-1.6594815640409485E-2</v>
      </c>
      <c r="G462" s="274">
        <f t="shared" si="15"/>
        <v>3.0876976246184346E-3</v>
      </c>
    </row>
    <row r="463" spans="1:7" ht="14.25" customHeight="1" x14ac:dyDescent="0.3">
      <c r="A463" s="20">
        <v>44601</v>
      </c>
      <c r="B463" s="21" t="s">
        <v>1134</v>
      </c>
      <c r="C463" s="20">
        <v>44601</v>
      </c>
      <c r="D463" s="21">
        <v>17463.80078125</v>
      </c>
      <c r="F463" s="274">
        <f t="shared" si="14"/>
        <v>1.7273452593296806E-2</v>
      </c>
      <c r="G463" s="274">
        <f t="shared" si="15"/>
        <v>1.1412152330345897E-2</v>
      </c>
    </row>
    <row r="464" spans="1:7" ht="14.25" customHeight="1" x14ac:dyDescent="0.3">
      <c r="A464" s="20">
        <v>44602</v>
      </c>
      <c r="B464" s="21" t="s">
        <v>1117</v>
      </c>
      <c r="C464" s="20">
        <v>44602</v>
      </c>
      <c r="D464" s="21" t="s">
        <v>1135</v>
      </c>
      <c r="F464" s="274">
        <f t="shared" si="14"/>
        <v>-2.0767977907440914E-2</v>
      </c>
      <c r="G464" s="274">
        <f t="shared" si="15"/>
        <v>8.1339010851240717E-3</v>
      </c>
    </row>
    <row r="465" spans="1:7" ht="14.25" customHeight="1" x14ac:dyDescent="0.3">
      <c r="A465" s="20">
        <v>44603</v>
      </c>
      <c r="B465" s="21" t="s">
        <v>1098</v>
      </c>
      <c r="C465" s="20">
        <v>44603</v>
      </c>
      <c r="D465" s="21">
        <v>17374.75</v>
      </c>
      <c r="F465" s="274">
        <f t="shared" si="14"/>
        <v>-1.8540781896404113E-2</v>
      </c>
      <c r="G465" s="274">
        <f t="shared" si="15"/>
        <v>-1.3126296912813624E-2</v>
      </c>
    </row>
    <row r="466" spans="1:7" ht="14.25" customHeight="1" x14ac:dyDescent="0.3">
      <c r="A466" s="20">
        <v>44606</v>
      </c>
      <c r="B466" s="21" t="s">
        <v>1136</v>
      </c>
      <c r="C466" s="20">
        <v>44606</v>
      </c>
      <c r="D466" s="21">
        <v>16842.80078125</v>
      </c>
      <c r="F466" s="274">
        <f t="shared" si="14"/>
        <v>-3.4792030457522952E-2</v>
      </c>
      <c r="G466" s="274">
        <f t="shared" si="15"/>
        <v>-3.0616222895293456E-2</v>
      </c>
    </row>
    <row r="467" spans="1:7" ht="14.25" customHeight="1" x14ac:dyDescent="0.3">
      <c r="A467" s="20">
        <v>44607</v>
      </c>
      <c r="B467" s="21" t="s">
        <v>1137</v>
      </c>
      <c r="C467" s="20">
        <v>44607</v>
      </c>
      <c r="D467" s="21">
        <v>17352.44921875</v>
      </c>
      <c r="F467" s="274">
        <f t="shared" si="14"/>
        <v>2.3796061797277925E-2</v>
      </c>
      <c r="G467" s="274">
        <f t="shared" si="15"/>
        <v>3.0259126383977576E-2</v>
      </c>
    </row>
    <row r="468" spans="1:7" ht="14.25" customHeight="1" x14ac:dyDescent="0.3">
      <c r="A468" s="20">
        <v>44608</v>
      </c>
      <c r="B468" s="21" t="s">
        <v>1126</v>
      </c>
      <c r="C468" s="20">
        <v>44608</v>
      </c>
      <c r="D468" s="21">
        <v>17322.19921875</v>
      </c>
      <c r="F468" s="274">
        <f t="shared" si="14"/>
        <v>-7.8392949570389569E-3</v>
      </c>
      <c r="G468" s="274">
        <f t="shared" si="15"/>
        <v>-1.7432697608654399E-3</v>
      </c>
    </row>
    <row r="469" spans="1:7" ht="14.25" customHeight="1" x14ac:dyDescent="0.3">
      <c r="A469" s="20">
        <v>44609</v>
      </c>
      <c r="B469" s="21" t="s">
        <v>1138</v>
      </c>
      <c r="C469" s="20">
        <v>44609</v>
      </c>
      <c r="D469" s="21" t="s">
        <v>1139</v>
      </c>
      <c r="F469" s="274">
        <f t="shared" si="14"/>
        <v>-2.4952159234927457E-3</v>
      </c>
      <c r="G469" s="274">
        <f t="shared" si="15"/>
        <v>-1.0160147191904897E-3</v>
      </c>
    </row>
    <row r="470" spans="1:7" ht="14.25" customHeight="1" x14ac:dyDescent="0.3">
      <c r="A470" s="20">
        <v>44610</v>
      </c>
      <c r="B470" s="21" t="s">
        <v>1140</v>
      </c>
      <c r="C470" s="20">
        <v>44610</v>
      </c>
      <c r="D470" s="21">
        <v>17276.30078125</v>
      </c>
      <c r="F470" s="274">
        <f t="shared" si="14"/>
        <v>-5.9616404717043832E-2</v>
      </c>
      <c r="G470" s="274">
        <f t="shared" si="15"/>
        <v>-1.6353356196504385E-3</v>
      </c>
    </row>
    <row r="471" spans="1:7" ht="14.25" customHeight="1" x14ac:dyDescent="0.3">
      <c r="A471" s="20">
        <v>44613</v>
      </c>
      <c r="B471" s="21" t="s">
        <v>1141</v>
      </c>
      <c r="C471" s="20">
        <v>44613</v>
      </c>
      <c r="D471" s="21" t="s">
        <v>1142</v>
      </c>
      <c r="F471" s="274">
        <f t="shared" si="14"/>
        <v>5.9104975866862788E-4</v>
      </c>
      <c r="G471" s="274">
        <f t="shared" si="15"/>
        <v>-4.0315569581071253E-3</v>
      </c>
    </row>
    <row r="472" spans="1:7" ht="14.25" customHeight="1" x14ac:dyDescent="0.3">
      <c r="A472" s="20">
        <v>44614</v>
      </c>
      <c r="B472" s="21" t="s">
        <v>1143</v>
      </c>
      <c r="C472" s="20">
        <v>44614</v>
      </c>
      <c r="D472" s="21">
        <v>17092.19921875</v>
      </c>
      <c r="F472" s="274">
        <f t="shared" si="14"/>
        <v>-3.5444741772870212E-3</v>
      </c>
      <c r="G472" s="274">
        <f t="shared" si="15"/>
        <v>-6.6515660675803834E-3</v>
      </c>
    </row>
    <row r="473" spans="1:7" ht="14.25" customHeight="1" x14ac:dyDescent="0.3">
      <c r="A473" s="20">
        <v>44615</v>
      </c>
      <c r="B473" s="21" t="s">
        <v>1144</v>
      </c>
      <c r="C473" s="20">
        <v>44615</v>
      </c>
      <c r="D473" s="21">
        <v>17063.25</v>
      </c>
      <c r="F473" s="274">
        <f t="shared" si="14"/>
        <v>-1.8971376258164807E-2</v>
      </c>
      <c r="G473" s="274">
        <f t="shared" si="15"/>
        <v>-1.6937094155936908E-3</v>
      </c>
    </row>
    <row r="474" spans="1:7" ht="14.25" customHeight="1" x14ac:dyDescent="0.3">
      <c r="A474" s="20">
        <v>44616</v>
      </c>
      <c r="B474" s="21" t="s">
        <v>886</v>
      </c>
      <c r="C474" s="20">
        <v>44616</v>
      </c>
      <c r="D474" s="21" t="s">
        <v>1145</v>
      </c>
      <c r="F474" s="274">
        <f t="shared" si="14"/>
        <v>-7.2518504652558893E-2</v>
      </c>
      <c r="G474" s="274">
        <f t="shared" si="15"/>
        <v>-4.7781038470836444E-2</v>
      </c>
    </row>
    <row r="475" spans="1:7" ht="14.25" customHeight="1" x14ac:dyDescent="0.3">
      <c r="A475" s="20">
        <v>44617</v>
      </c>
      <c r="B475" s="21" t="s">
        <v>1146</v>
      </c>
      <c r="C475" s="20">
        <v>44617</v>
      </c>
      <c r="D475" s="21" t="s">
        <v>1147</v>
      </c>
      <c r="F475" s="274">
        <f t="shared" si="14"/>
        <v>5.7012540492087146E-3</v>
      </c>
      <c r="G475" s="274">
        <f t="shared" si="15"/>
        <v>2.5261660109649649E-2</v>
      </c>
    </row>
    <row r="476" spans="1:7" ht="14.25" customHeight="1" x14ac:dyDescent="0.3">
      <c r="A476" s="20">
        <v>44620</v>
      </c>
      <c r="B476" s="21">
        <v>314.25</v>
      </c>
      <c r="C476" s="20">
        <v>44620</v>
      </c>
      <c r="D476" s="21" t="s">
        <v>1148</v>
      </c>
      <c r="F476" s="274">
        <f t="shared" si="14"/>
        <v>1.7978579765156776E-2</v>
      </c>
      <c r="G476" s="274">
        <f t="shared" si="15"/>
        <v>8.1340342903665937E-3</v>
      </c>
    </row>
    <row r="477" spans="1:7" ht="14.25" customHeight="1" x14ac:dyDescent="0.3">
      <c r="A477" s="20">
        <v>44622</v>
      </c>
      <c r="B477" s="21" t="s">
        <v>1149</v>
      </c>
      <c r="C477" s="20">
        <v>44622</v>
      </c>
      <c r="D477" s="21">
        <v>16605.94921875</v>
      </c>
      <c r="F477" s="274">
        <f t="shared" si="14"/>
        <v>-3.2140035333384324E-2</v>
      </c>
      <c r="G477" s="274">
        <f t="shared" si="15"/>
        <v>-1.1191633122935609E-2</v>
      </c>
    </row>
    <row r="478" spans="1:7" ht="14.25" customHeight="1" x14ac:dyDescent="0.3">
      <c r="A478" s="20">
        <v>44623</v>
      </c>
      <c r="B478" s="21" t="s">
        <v>1150</v>
      </c>
      <c r="C478" s="20">
        <v>44623</v>
      </c>
      <c r="D478" s="21">
        <v>16498.05078125</v>
      </c>
      <c r="F478" s="274">
        <f t="shared" si="14"/>
        <v>-4.5865467596230711E-2</v>
      </c>
      <c r="G478" s="274">
        <f t="shared" si="15"/>
        <v>-6.4975772284170561E-3</v>
      </c>
    </row>
    <row r="479" spans="1:7" ht="14.25" customHeight="1" x14ac:dyDescent="0.3">
      <c r="A479" s="20">
        <v>44624</v>
      </c>
      <c r="B479" s="21" t="s">
        <v>1151</v>
      </c>
      <c r="C479" s="20">
        <v>44624</v>
      </c>
      <c r="D479" s="21" t="s">
        <v>1152</v>
      </c>
      <c r="F479" s="274">
        <f t="shared" si="14"/>
        <v>8.2701371313926835E-3</v>
      </c>
      <c r="G479" s="274">
        <f t="shared" si="15"/>
        <v>-1.5317032007332306E-2</v>
      </c>
    </row>
    <row r="480" spans="1:7" ht="14.25" customHeight="1" x14ac:dyDescent="0.3">
      <c r="A480" s="20">
        <v>44627</v>
      </c>
      <c r="B480" s="21" t="s">
        <v>1153</v>
      </c>
      <c r="C480" s="20">
        <v>44627</v>
      </c>
      <c r="D480" s="21" t="s">
        <v>1154</v>
      </c>
      <c r="F480" s="274">
        <f t="shared" si="14"/>
        <v>-3.8961017288738291E-2</v>
      </c>
      <c r="G480" s="274">
        <f t="shared" si="15"/>
        <v>-2.3526684739947814E-2</v>
      </c>
    </row>
    <row r="481" spans="1:7" ht="14.25" customHeight="1" x14ac:dyDescent="0.3">
      <c r="A481" s="20">
        <v>44628</v>
      </c>
      <c r="B481" s="21" t="s">
        <v>1155</v>
      </c>
      <c r="C481" s="20">
        <v>44628</v>
      </c>
      <c r="D481" s="21" t="s">
        <v>1156</v>
      </c>
      <c r="F481" s="274">
        <f t="shared" si="14"/>
        <v>6.0454538252343957E-3</v>
      </c>
      <c r="G481" s="274">
        <f t="shared" si="15"/>
        <v>9.4747765094836418E-3</v>
      </c>
    </row>
    <row r="482" spans="1:7" ht="14.25" customHeight="1" x14ac:dyDescent="0.3">
      <c r="A482" s="20">
        <v>44629</v>
      </c>
      <c r="B482" s="21" t="s">
        <v>1157</v>
      </c>
      <c r="C482" s="20">
        <v>44629</v>
      </c>
      <c r="D482" s="21" t="s">
        <v>1158</v>
      </c>
      <c r="F482" s="274">
        <f t="shared" si="14"/>
        <v>3.0929657789959923E-2</v>
      </c>
      <c r="G482" s="274">
        <f t="shared" si="15"/>
        <v>2.0726290088294307E-2</v>
      </c>
    </row>
    <row r="483" spans="1:7" ht="14.25" customHeight="1" x14ac:dyDescent="0.3">
      <c r="A483" s="20">
        <v>44630</v>
      </c>
      <c r="B483" s="21" t="s">
        <v>1159</v>
      </c>
      <c r="C483" s="20">
        <v>44630</v>
      </c>
      <c r="D483" s="21" t="s">
        <v>1160</v>
      </c>
      <c r="F483" s="274">
        <f t="shared" si="14"/>
        <v>5.3146522989374629E-3</v>
      </c>
      <c r="G483" s="274">
        <f t="shared" si="15"/>
        <v>1.5267387190474546E-2</v>
      </c>
    </row>
    <row r="484" spans="1:7" ht="14.25" customHeight="1" x14ac:dyDescent="0.3">
      <c r="A484" s="20">
        <v>44631</v>
      </c>
      <c r="B484" s="21" t="s">
        <v>1161</v>
      </c>
      <c r="C484" s="20">
        <v>44631</v>
      </c>
      <c r="D484" s="21">
        <v>16630.44921875</v>
      </c>
      <c r="F484" s="274">
        <f t="shared" si="14"/>
        <v>8.5266026463693626E-4</v>
      </c>
      <c r="G484" s="274">
        <f t="shared" si="15"/>
        <v>2.14215375134657E-3</v>
      </c>
    </row>
    <row r="485" spans="1:7" ht="14.25" customHeight="1" x14ac:dyDescent="0.3">
      <c r="A485" s="20">
        <v>44634</v>
      </c>
      <c r="B485" s="21" t="s">
        <v>1162</v>
      </c>
      <c r="C485" s="20">
        <v>44634</v>
      </c>
      <c r="D485" s="21">
        <v>16871.30078125</v>
      </c>
      <c r="F485" s="274">
        <f t="shared" si="14"/>
        <v>-7.6674046904200138E-3</v>
      </c>
      <c r="G485" s="274">
        <f t="shared" si="15"/>
        <v>1.4482565042708041E-2</v>
      </c>
    </row>
    <row r="486" spans="1:7" ht="14.25" customHeight="1" x14ac:dyDescent="0.3">
      <c r="A486" s="20">
        <v>44635</v>
      </c>
      <c r="B486" s="21" t="s">
        <v>1163</v>
      </c>
      <c r="C486" s="20">
        <v>44635</v>
      </c>
      <c r="D486" s="21">
        <v>16663</v>
      </c>
      <c r="F486" s="274">
        <f t="shared" si="14"/>
        <v>1.3392835621556378E-2</v>
      </c>
      <c r="G486" s="274">
        <f t="shared" si="15"/>
        <v>-1.2346456503312184E-2</v>
      </c>
    </row>
    <row r="487" spans="1:7" ht="14.25" customHeight="1" x14ac:dyDescent="0.3">
      <c r="A487" s="20">
        <v>44636</v>
      </c>
      <c r="B487" s="21" t="s">
        <v>1164</v>
      </c>
      <c r="C487" s="20">
        <v>44636</v>
      </c>
      <c r="D487" s="21" t="s">
        <v>1165</v>
      </c>
      <c r="F487" s="274">
        <f t="shared" si="14"/>
        <v>4.8288714690847528E-2</v>
      </c>
      <c r="G487" s="274">
        <f t="shared" si="15"/>
        <v>1.8745100484606612E-2</v>
      </c>
    </row>
    <row r="488" spans="1:7" ht="14.25" customHeight="1" x14ac:dyDescent="0.3">
      <c r="A488" s="20">
        <v>44637</v>
      </c>
      <c r="B488" s="21" t="s">
        <v>1166</v>
      </c>
      <c r="C488" s="20">
        <v>44637</v>
      </c>
      <c r="D488" s="21">
        <v>17287.05078125</v>
      </c>
      <c r="F488" s="274">
        <f t="shared" si="14"/>
        <v>-1.0182621090461278E-2</v>
      </c>
      <c r="G488" s="274">
        <f t="shared" si="15"/>
        <v>1.8361988356508215E-2</v>
      </c>
    </row>
    <row r="489" spans="1:7" ht="14.25" customHeight="1" x14ac:dyDescent="0.3">
      <c r="A489" s="20">
        <v>44641</v>
      </c>
      <c r="B489" s="21" t="s">
        <v>1167</v>
      </c>
      <c r="C489" s="20">
        <v>44641</v>
      </c>
      <c r="D489" s="21" t="s">
        <v>1168</v>
      </c>
      <c r="F489" s="274">
        <f t="shared" si="14"/>
        <v>-1.9105179197578405E-2</v>
      </c>
      <c r="G489" s="274">
        <f t="shared" si="15"/>
        <v>-9.80220247046369E-3</v>
      </c>
    </row>
    <row r="490" spans="1:7" ht="14.25" customHeight="1" x14ac:dyDescent="0.3">
      <c r="A490" s="20">
        <v>44642</v>
      </c>
      <c r="B490" s="21" t="s">
        <v>1169</v>
      </c>
      <c r="C490" s="20">
        <v>44642</v>
      </c>
      <c r="D490" s="21">
        <v>17315.5</v>
      </c>
      <c r="F490" s="274">
        <f t="shared" si="14"/>
        <v>1.831156257008449E-3</v>
      </c>
      <c r="G490" s="274">
        <f t="shared" si="15"/>
        <v>1.1561223252155842E-2</v>
      </c>
    </row>
    <row r="491" spans="1:7" ht="14.25" customHeight="1" x14ac:dyDescent="0.3">
      <c r="A491" s="20">
        <v>44643</v>
      </c>
      <c r="B491" s="21" t="s">
        <v>1170</v>
      </c>
      <c r="C491" s="20">
        <v>44643</v>
      </c>
      <c r="D491" s="21" t="s">
        <v>1171</v>
      </c>
      <c r="F491" s="274">
        <f t="shared" si="14"/>
        <v>-1.0136217530194561E-2</v>
      </c>
      <c r="G491" s="274">
        <f t="shared" si="15"/>
        <v>-4.0339354552279749E-3</v>
      </c>
    </row>
    <row r="492" spans="1:7" ht="14.25" customHeight="1" x14ac:dyDescent="0.3">
      <c r="A492" s="20">
        <v>44644</v>
      </c>
      <c r="B492" s="21" t="s">
        <v>1172</v>
      </c>
      <c r="C492" s="20">
        <v>44644</v>
      </c>
      <c r="D492" s="21">
        <v>17222.75</v>
      </c>
      <c r="F492" s="274">
        <f t="shared" si="14"/>
        <v>-2.6859771500859051E-3</v>
      </c>
      <c r="G492" s="274">
        <f t="shared" si="15"/>
        <v>-1.3278937068937106E-3</v>
      </c>
    </row>
    <row r="493" spans="1:7" ht="14.25" customHeight="1" x14ac:dyDescent="0.3">
      <c r="A493" s="20">
        <v>44645</v>
      </c>
      <c r="B493" s="21" t="s">
        <v>1173</v>
      </c>
      <c r="C493" s="20">
        <v>44645</v>
      </c>
      <c r="D493" s="21">
        <v>17153</v>
      </c>
      <c r="F493" s="274">
        <f t="shared" si="14"/>
        <v>2.5248275738786433E-3</v>
      </c>
      <c r="G493" s="274">
        <f t="shared" si="15"/>
        <v>-4.0498758909001172E-3</v>
      </c>
    </row>
    <row r="494" spans="1:7" ht="14.25" customHeight="1" x14ac:dyDescent="0.3">
      <c r="A494" s="20">
        <v>44648</v>
      </c>
      <c r="B494" s="21" t="s">
        <v>1174</v>
      </c>
      <c r="C494" s="20">
        <v>44648</v>
      </c>
      <c r="D494" s="21">
        <v>17222</v>
      </c>
      <c r="F494" s="274">
        <f t="shared" si="14"/>
        <v>-2.0147750993768438E-2</v>
      </c>
      <c r="G494" s="274">
        <f t="shared" si="15"/>
        <v>4.022619949862998E-3</v>
      </c>
    </row>
    <row r="495" spans="1:7" ht="14.25" customHeight="1" x14ac:dyDescent="0.3">
      <c r="A495" s="20">
        <v>44649</v>
      </c>
      <c r="B495" s="21" t="s">
        <v>1175</v>
      </c>
      <c r="C495" s="20">
        <v>44649</v>
      </c>
      <c r="D495" s="21">
        <v>17325.30078125</v>
      </c>
      <c r="F495" s="274">
        <f t="shared" si="14"/>
        <v>3.6497686290580658E-2</v>
      </c>
      <c r="G495" s="274">
        <f t="shared" si="15"/>
        <v>5.9981872749970966E-3</v>
      </c>
    </row>
    <row r="496" spans="1:7" ht="14.25" customHeight="1" x14ac:dyDescent="0.3">
      <c r="A496" s="20">
        <v>44650</v>
      </c>
      <c r="B496" s="21" t="s">
        <v>1176</v>
      </c>
      <c r="C496" s="20">
        <v>44650</v>
      </c>
      <c r="D496" s="21">
        <v>17498.25</v>
      </c>
      <c r="F496" s="274">
        <f t="shared" si="14"/>
        <v>1.9837181739847218E-3</v>
      </c>
      <c r="G496" s="274">
        <f t="shared" si="15"/>
        <v>9.9824655821947536E-3</v>
      </c>
    </row>
    <row r="497" spans="1:7" ht="14.25" customHeight="1" x14ac:dyDescent="0.3">
      <c r="A497" s="20">
        <v>44651</v>
      </c>
      <c r="B497" s="21">
        <v>299.25</v>
      </c>
      <c r="C497" s="20">
        <v>44651</v>
      </c>
      <c r="D497" s="21">
        <v>17464.75</v>
      </c>
      <c r="F497" s="274">
        <f t="shared" si="14"/>
        <v>-1.2539145177474863E-2</v>
      </c>
      <c r="G497" s="274">
        <f t="shared" si="15"/>
        <v>-1.9144771620019144E-3</v>
      </c>
    </row>
    <row r="498" spans="1:7" ht="14.25" customHeight="1" x14ac:dyDescent="0.3">
      <c r="A498" s="20">
        <v>44652</v>
      </c>
      <c r="B498" s="21" t="s">
        <v>1177</v>
      </c>
      <c r="C498" s="20">
        <v>44652</v>
      </c>
      <c r="D498" s="21">
        <v>17670.44921875</v>
      </c>
      <c r="F498" s="274">
        <f t="shared" si="14"/>
        <v>1.9047659839702667E-2</v>
      </c>
      <c r="G498" s="274">
        <f t="shared" si="15"/>
        <v>1.1777965258592307E-2</v>
      </c>
    </row>
    <row r="499" spans="1:7" ht="14.25" customHeight="1" x14ac:dyDescent="0.3">
      <c r="A499" s="20">
        <v>44655</v>
      </c>
      <c r="B499" s="21" t="s">
        <v>884</v>
      </c>
      <c r="C499" s="20">
        <v>44655</v>
      </c>
      <c r="D499" s="21" t="s">
        <v>1178</v>
      </c>
      <c r="F499" s="274">
        <f t="shared" si="14"/>
        <v>2.1970753963781862E-2</v>
      </c>
      <c r="G499" s="274">
        <f t="shared" si="15"/>
        <v>2.1671841339984326E-2</v>
      </c>
    </row>
    <row r="500" spans="1:7" ht="14.25" customHeight="1" x14ac:dyDescent="0.3">
      <c r="A500" s="20">
        <v>44656</v>
      </c>
      <c r="B500" s="21" t="s">
        <v>1179</v>
      </c>
      <c r="C500" s="20">
        <v>44656</v>
      </c>
      <c r="D500" s="21" t="s">
        <v>1180</v>
      </c>
      <c r="F500" s="274">
        <f t="shared" si="14"/>
        <v>1.6524928597286059E-2</v>
      </c>
      <c r="G500" s="274">
        <f t="shared" si="15"/>
        <v>-5.3175577964720763E-3</v>
      </c>
    </row>
    <row r="501" spans="1:7" ht="14.25" customHeight="1" x14ac:dyDescent="0.3">
      <c r="A501" s="20">
        <v>44657</v>
      </c>
      <c r="B501" s="21" t="s">
        <v>1181</v>
      </c>
      <c r="C501" s="20">
        <v>44657</v>
      </c>
      <c r="D501" s="21" t="s">
        <v>1182</v>
      </c>
      <c r="F501" s="274">
        <f t="shared" si="14"/>
        <v>1.2310683599557828E-2</v>
      </c>
      <c r="G501" s="274">
        <f t="shared" si="15"/>
        <v>-8.3391803235717699E-3</v>
      </c>
    </row>
    <row r="502" spans="1:7" ht="14.25" customHeight="1" x14ac:dyDescent="0.3">
      <c r="A502" s="20">
        <v>44658</v>
      </c>
      <c r="B502" s="21" t="s">
        <v>1183</v>
      </c>
      <c r="C502" s="20">
        <v>44658</v>
      </c>
      <c r="D502" s="21">
        <v>17639.55078125</v>
      </c>
      <c r="F502" s="274">
        <f t="shared" si="14"/>
        <v>1.527905740558793E-2</v>
      </c>
      <c r="G502" s="274">
        <f t="shared" si="15"/>
        <v>-9.4397411049521492E-3</v>
      </c>
    </row>
    <row r="503" spans="1:7" ht="14.25" customHeight="1" x14ac:dyDescent="0.3">
      <c r="A503" s="20">
        <v>44659</v>
      </c>
      <c r="B503" s="21" t="s">
        <v>1143</v>
      </c>
      <c r="C503" s="20">
        <v>44659</v>
      </c>
      <c r="D503" s="21" t="s">
        <v>1184</v>
      </c>
      <c r="F503" s="274">
        <f t="shared" si="14"/>
        <v>3.6087222910752746E-2</v>
      </c>
      <c r="G503" s="274">
        <f t="shared" si="15"/>
        <v>8.2087593907954979E-3</v>
      </c>
    </row>
    <row r="504" spans="1:7" ht="14.25" customHeight="1" x14ac:dyDescent="0.3">
      <c r="A504" s="20">
        <v>44662</v>
      </c>
      <c r="B504" s="21" t="s">
        <v>1185</v>
      </c>
      <c r="C504" s="20">
        <v>44662</v>
      </c>
      <c r="D504" s="21">
        <v>17674.94921875</v>
      </c>
      <c r="F504" s="274">
        <f t="shared" si="14"/>
        <v>6.7733824485257471E-2</v>
      </c>
      <c r="G504" s="274">
        <f t="shared" si="15"/>
        <v>-6.1514979759130298E-3</v>
      </c>
    </row>
    <row r="505" spans="1:7" ht="14.25" customHeight="1" x14ac:dyDescent="0.3">
      <c r="A505" s="20">
        <v>44663</v>
      </c>
      <c r="B505" s="21" t="s">
        <v>1186</v>
      </c>
      <c r="C505" s="20">
        <v>44663</v>
      </c>
      <c r="D505" s="21">
        <v>17530.30078125</v>
      </c>
      <c r="F505" s="274">
        <f t="shared" si="14"/>
        <v>-1.5269802662608275E-3</v>
      </c>
      <c r="G505" s="274">
        <f t="shared" si="15"/>
        <v>-8.1838106412522836E-3</v>
      </c>
    </row>
    <row r="506" spans="1:7" ht="14.25" customHeight="1" x14ac:dyDescent="0.3">
      <c r="A506" s="20">
        <v>44664</v>
      </c>
      <c r="B506" s="21" t="s">
        <v>1187</v>
      </c>
      <c r="C506" s="20">
        <v>44664</v>
      </c>
      <c r="D506" s="21" t="s">
        <v>1188</v>
      </c>
      <c r="F506" s="274">
        <f t="shared" si="14"/>
        <v>2.6553645134485316E-2</v>
      </c>
      <c r="G506" s="274">
        <f t="shared" si="15"/>
        <v>-3.1174816283501979E-3</v>
      </c>
    </row>
    <row r="507" spans="1:7" ht="14.25" customHeight="1" x14ac:dyDescent="0.3">
      <c r="A507" s="20">
        <v>44669</v>
      </c>
      <c r="B507" s="21" t="s">
        <v>1189</v>
      </c>
      <c r="C507" s="20">
        <v>44669</v>
      </c>
      <c r="D507" s="21" t="s">
        <v>1190</v>
      </c>
      <c r="F507" s="274">
        <f t="shared" si="14"/>
        <v>-1.5709691545986872E-2</v>
      </c>
      <c r="G507" s="274">
        <f t="shared" si="15"/>
        <v>-1.7281188010147601E-2</v>
      </c>
    </row>
    <row r="508" spans="1:7" ht="14.25" customHeight="1" x14ac:dyDescent="0.3">
      <c r="A508" s="20">
        <v>44670</v>
      </c>
      <c r="B508" s="21">
        <v>354.25</v>
      </c>
      <c r="C508" s="20">
        <v>44670</v>
      </c>
      <c r="D508" s="21" t="s">
        <v>1191</v>
      </c>
      <c r="F508" s="274">
        <f t="shared" si="14"/>
        <v>-2.5178849890378347E-2</v>
      </c>
      <c r="G508" s="274">
        <f t="shared" si="15"/>
        <v>-1.2519178806467803E-2</v>
      </c>
    </row>
    <row r="509" spans="1:7" ht="14.25" customHeight="1" x14ac:dyDescent="0.3">
      <c r="A509" s="20">
        <v>44671</v>
      </c>
      <c r="B509" s="21" t="s">
        <v>1192</v>
      </c>
      <c r="C509" s="20">
        <v>44671</v>
      </c>
      <c r="D509" s="21">
        <v>17136.55078125</v>
      </c>
      <c r="F509" s="274">
        <f t="shared" si="14"/>
        <v>4.8129817340770674E-2</v>
      </c>
      <c r="G509" s="274">
        <f t="shared" si="15"/>
        <v>1.0490244596547968E-2</v>
      </c>
    </row>
    <row r="510" spans="1:7" ht="14.25" customHeight="1" x14ac:dyDescent="0.3">
      <c r="A510" s="20">
        <v>44672</v>
      </c>
      <c r="B510" s="21" t="s">
        <v>1077</v>
      </c>
      <c r="C510" s="20">
        <v>44672</v>
      </c>
      <c r="D510" s="21" t="s">
        <v>1193</v>
      </c>
      <c r="F510" s="274">
        <f t="shared" si="14"/>
        <v>1.6294151654861887E-2</v>
      </c>
      <c r="G510" s="274">
        <f t="shared" si="15"/>
        <v>1.4941678252146078E-2</v>
      </c>
    </row>
    <row r="511" spans="1:7" ht="14.25" customHeight="1" x14ac:dyDescent="0.3">
      <c r="A511" s="20">
        <v>44673</v>
      </c>
      <c r="B511" s="21" t="s">
        <v>1194</v>
      </c>
      <c r="C511" s="20">
        <v>44673</v>
      </c>
      <c r="D511" s="21">
        <v>17171.94921875</v>
      </c>
      <c r="F511" s="274">
        <f t="shared" si="14"/>
        <v>-8.3476715132737214E-3</v>
      </c>
      <c r="G511" s="274">
        <f t="shared" si="15"/>
        <v>-1.2686452605168035E-2</v>
      </c>
    </row>
    <row r="512" spans="1:7" ht="14.25" customHeight="1" x14ac:dyDescent="0.3">
      <c r="A512" s="20">
        <v>44676</v>
      </c>
      <c r="B512" s="21" t="s">
        <v>1195</v>
      </c>
      <c r="C512" s="20">
        <v>44676</v>
      </c>
      <c r="D512" s="21">
        <v>16953.94921875</v>
      </c>
      <c r="F512" s="274">
        <f t="shared" si="14"/>
        <v>5.7455740949961939E-3</v>
      </c>
      <c r="G512" s="274">
        <f t="shared" si="15"/>
        <v>-1.2695122564301929E-2</v>
      </c>
    </row>
    <row r="513" spans="1:7" ht="14.25" customHeight="1" x14ac:dyDescent="0.3">
      <c r="A513" s="20">
        <v>44677</v>
      </c>
      <c r="B513" s="21" t="s">
        <v>1196</v>
      </c>
      <c r="C513" s="20">
        <v>44677</v>
      </c>
      <c r="D513" s="21">
        <v>17200.80078125</v>
      </c>
      <c r="F513" s="274">
        <f t="shared" si="14"/>
        <v>2.3382456889208984E-2</v>
      </c>
      <c r="G513" s="274">
        <f t="shared" si="15"/>
        <v>1.4560121616207138E-2</v>
      </c>
    </row>
    <row r="514" spans="1:7" ht="14.25" customHeight="1" x14ac:dyDescent="0.3">
      <c r="A514" s="20">
        <v>44678</v>
      </c>
      <c r="B514" s="21" t="s">
        <v>1197</v>
      </c>
      <c r="C514" s="20">
        <v>44678</v>
      </c>
      <c r="D514" s="21" t="s">
        <v>1198</v>
      </c>
      <c r="F514" s="274">
        <f t="shared" si="14"/>
        <v>-1.5578504816937074E-3</v>
      </c>
      <c r="G514" s="274">
        <f t="shared" si="15"/>
        <v>-9.4414436101153531E-3</v>
      </c>
    </row>
    <row r="515" spans="1:7" ht="14.25" customHeight="1" x14ac:dyDescent="0.3">
      <c r="A515" s="20">
        <v>44679</v>
      </c>
      <c r="B515" s="21" t="s">
        <v>1199</v>
      </c>
      <c r="C515" s="20">
        <v>44679</v>
      </c>
      <c r="D515" s="21">
        <v>17245.05078125</v>
      </c>
      <c r="F515" s="274">
        <f t="shared" ref="F515:F578" si="16">(B515-B514)/B514</f>
        <v>-3.1204829737221346E-3</v>
      </c>
      <c r="G515" s="274">
        <f t="shared" ref="G515:G578" si="17">(D515-D514)/D514</f>
        <v>1.2128508890934666E-2</v>
      </c>
    </row>
    <row r="516" spans="1:7" ht="14.25" customHeight="1" x14ac:dyDescent="0.3">
      <c r="A516" s="20">
        <v>44680</v>
      </c>
      <c r="B516" s="21" t="s">
        <v>1200</v>
      </c>
      <c r="C516" s="20">
        <v>44680</v>
      </c>
      <c r="D516" s="21">
        <v>17102.55078125</v>
      </c>
      <c r="F516" s="274">
        <f t="shared" si="16"/>
        <v>-2.9085675541826322E-2</v>
      </c>
      <c r="G516" s="274">
        <f t="shared" si="17"/>
        <v>-8.2632403816946566E-3</v>
      </c>
    </row>
    <row r="517" spans="1:7" ht="14.25" customHeight="1" x14ac:dyDescent="0.3">
      <c r="A517" s="20">
        <v>44683</v>
      </c>
      <c r="B517" s="21" t="s">
        <v>1201</v>
      </c>
      <c r="C517" s="20">
        <v>44683</v>
      </c>
      <c r="D517" s="21" t="s">
        <v>1202</v>
      </c>
      <c r="F517" s="274">
        <f t="shared" si="16"/>
        <v>1.5985979296914588E-2</v>
      </c>
      <c r="G517" s="274">
        <f t="shared" si="17"/>
        <v>-1.9559171203674158E-3</v>
      </c>
    </row>
    <row r="518" spans="1:7" ht="14.25" customHeight="1" x14ac:dyDescent="0.3">
      <c r="A518" s="20">
        <v>44685</v>
      </c>
      <c r="B518" s="21" t="s">
        <v>1203</v>
      </c>
      <c r="C518" s="20">
        <v>44685</v>
      </c>
      <c r="D518" s="21" t="s">
        <v>1204</v>
      </c>
      <c r="F518" s="274">
        <f t="shared" si="16"/>
        <v>-2.6576723403888496E-2</v>
      </c>
      <c r="G518" s="274">
        <f t="shared" si="17"/>
        <v>-2.2936183451936345E-2</v>
      </c>
    </row>
    <row r="519" spans="1:7" ht="14.25" customHeight="1" x14ac:dyDescent="0.3">
      <c r="A519" s="20">
        <v>44686</v>
      </c>
      <c r="B519" s="21" t="s">
        <v>1205</v>
      </c>
      <c r="C519" s="20">
        <v>44686</v>
      </c>
      <c r="D519" s="21" t="s">
        <v>1206</v>
      </c>
      <c r="F519" s="274">
        <f t="shared" si="16"/>
        <v>-4.7541428171231134E-3</v>
      </c>
      <c r="G519" s="274">
        <f t="shared" si="17"/>
        <v>3.0284821366983761E-4</v>
      </c>
    </row>
    <row r="520" spans="1:7" ht="14.25" customHeight="1" x14ac:dyDescent="0.3">
      <c r="A520" s="20">
        <v>44687</v>
      </c>
      <c r="B520" s="21" t="s">
        <v>1207</v>
      </c>
      <c r="C520" s="20">
        <v>44687</v>
      </c>
      <c r="D520" s="21">
        <v>16411.25</v>
      </c>
      <c r="F520" s="274">
        <f t="shared" si="16"/>
        <v>-2.5931819058373083E-3</v>
      </c>
      <c r="G520" s="274">
        <f t="shared" si="17"/>
        <v>-1.6268421639856246E-2</v>
      </c>
    </row>
    <row r="521" spans="1:7" ht="14.25" customHeight="1" x14ac:dyDescent="0.3">
      <c r="A521" s="20">
        <v>44690</v>
      </c>
      <c r="B521" s="21">
        <v>366.75</v>
      </c>
      <c r="C521" s="20">
        <v>44690</v>
      </c>
      <c r="D521" s="21" t="s">
        <v>1208</v>
      </c>
      <c r="F521" s="274">
        <f t="shared" si="16"/>
        <v>3.6945980461578032E-3</v>
      </c>
      <c r="G521" s="274">
        <f t="shared" si="17"/>
        <v>-6.6661826871810496E-3</v>
      </c>
    </row>
    <row r="522" spans="1:7" ht="14.25" customHeight="1" x14ac:dyDescent="0.3">
      <c r="A522" s="20">
        <v>44691</v>
      </c>
      <c r="B522" s="21" t="s">
        <v>1209</v>
      </c>
      <c r="C522" s="20">
        <v>44691</v>
      </c>
      <c r="D522" s="21" t="s">
        <v>1210</v>
      </c>
      <c r="F522" s="274">
        <f t="shared" si="16"/>
        <v>-2.3312850151244655E-2</v>
      </c>
      <c r="G522" s="274">
        <f t="shared" si="17"/>
        <v>-3.7909688880922855E-3</v>
      </c>
    </row>
    <row r="523" spans="1:7" ht="14.25" customHeight="1" x14ac:dyDescent="0.3">
      <c r="A523" s="20">
        <v>44692</v>
      </c>
      <c r="B523" s="21" t="s">
        <v>1211</v>
      </c>
      <c r="C523" s="20">
        <v>44692</v>
      </c>
      <c r="D523" s="21" t="s">
        <v>1212</v>
      </c>
      <c r="F523" s="274">
        <f t="shared" si="16"/>
        <v>2.3729077525707141E-3</v>
      </c>
      <c r="G523" s="274">
        <f t="shared" si="17"/>
        <v>-4.4919933245182401E-3</v>
      </c>
    </row>
    <row r="524" spans="1:7" ht="14.25" customHeight="1" x14ac:dyDescent="0.3">
      <c r="A524" s="20">
        <v>44693</v>
      </c>
      <c r="B524" s="21" t="s">
        <v>1213</v>
      </c>
      <c r="C524" s="20">
        <v>44693</v>
      </c>
      <c r="D524" s="21">
        <v>15808</v>
      </c>
      <c r="F524" s="274">
        <f t="shared" si="16"/>
        <v>4.0384348956894696E-2</v>
      </c>
      <c r="G524" s="274">
        <f t="shared" si="17"/>
        <v>-2.2211752141785831E-2</v>
      </c>
    </row>
    <row r="525" spans="1:7" ht="14.25" customHeight="1" x14ac:dyDescent="0.3">
      <c r="A525" s="20">
        <v>44694</v>
      </c>
      <c r="B525" s="21" t="s">
        <v>1214</v>
      </c>
      <c r="C525" s="20">
        <v>44694</v>
      </c>
      <c r="D525" s="21" t="s">
        <v>1215</v>
      </c>
      <c r="F525" s="274">
        <f t="shared" si="16"/>
        <v>-3.8682859487768478E-2</v>
      </c>
      <c r="G525" s="274">
        <f t="shared" si="17"/>
        <v>-1.6352232651189271E-3</v>
      </c>
    </row>
    <row r="526" spans="1:7" ht="14.25" customHeight="1" x14ac:dyDescent="0.3">
      <c r="A526" s="20">
        <v>44697</v>
      </c>
      <c r="B526" s="21">
        <v>368</v>
      </c>
      <c r="C526" s="20">
        <v>44697</v>
      </c>
      <c r="D526" s="21" t="s">
        <v>1216</v>
      </c>
      <c r="F526" s="274">
        <f t="shared" si="16"/>
        <v>2.4784165260970416E-2</v>
      </c>
      <c r="G526" s="274">
        <f t="shared" si="17"/>
        <v>3.8112305721171107E-3</v>
      </c>
    </row>
    <row r="527" spans="1:7" ht="14.25" customHeight="1" x14ac:dyDescent="0.3">
      <c r="A527" s="20">
        <v>44698</v>
      </c>
      <c r="B527" s="21" t="s">
        <v>1217</v>
      </c>
      <c r="C527" s="20">
        <v>44698</v>
      </c>
      <c r="D527" s="21" t="s">
        <v>1218</v>
      </c>
      <c r="F527" s="274">
        <f t="shared" si="16"/>
        <v>2.1738798721956821E-3</v>
      </c>
      <c r="G527" s="274">
        <f t="shared" si="17"/>
        <v>2.6321935902047247E-2</v>
      </c>
    </row>
    <row r="528" spans="1:7" ht="14.25" customHeight="1" x14ac:dyDescent="0.3">
      <c r="A528" s="20">
        <v>44699</v>
      </c>
      <c r="B528" s="21" t="s">
        <v>1219</v>
      </c>
      <c r="C528" s="20">
        <v>44699</v>
      </c>
      <c r="D528" s="21" t="s">
        <v>1220</v>
      </c>
      <c r="F528" s="274">
        <f t="shared" si="16"/>
        <v>-2.0878475987844997E-2</v>
      </c>
      <c r="G528" s="274">
        <f t="shared" si="17"/>
        <v>-1.1685620062508698E-3</v>
      </c>
    </row>
    <row r="529" spans="1:7" ht="14.25" customHeight="1" x14ac:dyDescent="0.3">
      <c r="A529" s="20">
        <v>44700</v>
      </c>
      <c r="B529" s="21">
        <v>364</v>
      </c>
      <c r="C529" s="20">
        <v>44700</v>
      </c>
      <c r="D529" s="21" t="s">
        <v>1221</v>
      </c>
      <c r="F529" s="274">
        <f t="shared" si="16"/>
        <v>8.0309993006581985E-3</v>
      </c>
      <c r="G529" s="274">
        <f t="shared" si="17"/>
        <v>-2.6532725334179351E-2</v>
      </c>
    </row>
    <row r="530" spans="1:7" ht="14.25" customHeight="1" x14ac:dyDescent="0.3">
      <c r="A530" s="20">
        <v>44701</v>
      </c>
      <c r="B530" s="21">
        <v>363</v>
      </c>
      <c r="C530" s="20">
        <v>44701</v>
      </c>
      <c r="D530" s="21" t="s">
        <v>1222</v>
      </c>
      <c r="F530" s="274">
        <f t="shared" si="16"/>
        <v>-2.7472527472527475E-3</v>
      </c>
      <c r="G530" s="274">
        <f t="shared" si="17"/>
        <v>2.8891038794289343E-2</v>
      </c>
    </row>
    <row r="531" spans="1:7" ht="14.25" customHeight="1" x14ac:dyDescent="0.3">
      <c r="A531" s="20">
        <v>44704</v>
      </c>
      <c r="B531" s="21" t="s">
        <v>1223</v>
      </c>
      <c r="C531" s="20">
        <v>44704</v>
      </c>
      <c r="D531" s="21" t="s">
        <v>1224</v>
      </c>
      <c r="F531" s="274">
        <f t="shared" si="16"/>
        <v>1.2397030496722387E-3</v>
      </c>
      <c r="G531" s="274">
        <f t="shared" si="17"/>
        <v>-3.1630222318707523E-3</v>
      </c>
    </row>
    <row r="532" spans="1:7" ht="14.25" customHeight="1" x14ac:dyDescent="0.3">
      <c r="A532" s="20">
        <v>44705</v>
      </c>
      <c r="B532" s="21" t="s">
        <v>1094</v>
      </c>
      <c r="C532" s="20">
        <v>44705</v>
      </c>
      <c r="D532" s="21" t="s">
        <v>1225</v>
      </c>
      <c r="F532" s="274">
        <f t="shared" si="16"/>
        <v>-5.5028200105293858E-3</v>
      </c>
      <c r="G532" s="274">
        <f t="shared" si="17"/>
        <v>-5.5227542667355585E-3</v>
      </c>
    </row>
    <row r="533" spans="1:7" ht="14.25" customHeight="1" x14ac:dyDescent="0.3">
      <c r="A533" s="20">
        <v>44706</v>
      </c>
      <c r="B533" s="21" t="s">
        <v>1226</v>
      </c>
      <c r="C533" s="20">
        <v>44706</v>
      </c>
      <c r="D533" s="21" t="s">
        <v>1227</v>
      </c>
      <c r="F533" s="274">
        <f t="shared" si="16"/>
        <v>6.9165857395740032E-4</v>
      </c>
      <c r="G533" s="274">
        <f t="shared" si="17"/>
        <v>-6.1612191843656494E-3</v>
      </c>
    </row>
    <row r="534" spans="1:7" ht="14.25" customHeight="1" x14ac:dyDescent="0.3">
      <c r="A534" s="20">
        <v>44707</v>
      </c>
      <c r="B534" s="21" t="s">
        <v>1207</v>
      </c>
      <c r="C534" s="20">
        <v>44707</v>
      </c>
      <c r="D534" s="21" t="s">
        <v>1228</v>
      </c>
      <c r="F534" s="274">
        <f t="shared" si="16"/>
        <v>1.0229420969262083E-2</v>
      </c>
      <c r="G534" s="274">
        <f t="shared" si="17"/>
        <v>9.0073873189953288E-3</v>
      </c>
    </row>
    <row r="535" spans="1:7" ht="14.25" customHeight="1" x14ac:dyDescent="0.3">
      <c r="A535" s="20">
        <v>44708</v>
      </c>
      <c r="B535" s="21" t="s">
        <v>1229</v>
      </c>
      <c r="C535" s="20">
        <v>44708</v>
      </c>
      <c r="D535" s="21" t="s">
        <v>1230</v>
      </c>
      <c r="F535" s="274">
        <f t="shared" si="16"/>
        <v>2.4630375246776763E-3</v>
      </c>
      <c r="G535" s="274">
        <f t="shared" si="17"/>
        <v>1.1273847198922301E-2</v>
      </c>
    </row>
    <row r="536" spans="1:7" ht="14.25" customHeight="1" x14ac:dyDescent="0.3">
      <c r="A536" s="20">
        <v>44711</v>
      </c>
      <c r="B536" s="21" t="s">
        <v>1231</v>
      </c>
      <c r="C536" s="20">
        <v>44711</v>
      </c>
      <c r="D536" s="21" t="s">
        <v>1232</v>
      </c>
      <c r="F536" s="274">
        <f t="shared" si="16"/>
        <v>1.4332514810148694E-2</v>
      </c>
      <c r="G536" s="274">
        <f t="shared" si="17"/>
        <v>1.8893205092962884E-2</v>
      </c>
    </row>
    <row r="537" spans="1:7" ht="14.25" customHeight="1" x14ac:dyDescent="0.3">
      <c r="A537" s="20">
        <v>44712</v>
      </c>
      <c r="B537" s="21" t="s">
        <v>1096</v>
      </c>
      <c r="C537" s="20">
        <v>44712</v>
      </c>
      <c r="D537" s="21">
        <v>16584.55078125</v>
      </c>
      <c r="F537" s="274">
        <f t="shared" si="16"/>
        <v>-5.7865535382066423E-3</v>
      </c>
      <c r="G537" s="274">
        <f t="shared" si="17"/>
        <v>-4.6124339835348759E-3</v>
      </c>
    </row>
    <row r="538" spans="1:7" ht="14.25" customHeight="1" x14ac:dyDescent="0.3">
      <c r="A538" s="20">
        <v>44713</v>
      </c>
      <c r="B538" s="21" t="s">
        <v>1233</v>
      </c>
      <c r="C538" s="20">
        <v>44713</v>
      </c>
      <c r="D538" s="21">
        <v>16522.75</v>
      </c>
      <c r="F538" s="274">
        <f t="shared" si="16"/>
        <v>6.0909584114138124E-3</v>
      </c>
      <c r="G538" s="274">
        <f t="shared" si="17"/>
        <v>-3.7264067061659654E-3</v>
      </c>
    </row>
    <row r="539" spans="1:7" ht="14.25" customHeight="1" x14ac:dyDescent="0.3">
      <c r="A539" s="20">
        <v>44714</v>
      </c>
      <c r="B539" s="21">
        <v>373.5</v>
      </c>
      <c r="C539" s="20">
        <v>44714</v>
      </c>
      <c r="D539" s="21">
        <v>16628</v>
      </c>
      <c r="F539" s="274">
        <f t="shared" si="16"/>
        <v>4.977818199645408E-3</v>
      </c>
      <c r="G539" s="274">
        <f t="shared" si="17"/>
        <v>6.3700049931155528E-3</v>
      </c>
    </row>
    <row r="540" spans="1:7" ht="14.25" customHeight="1" x14ac:dyDescent="0.3">
      <c r="A540" s="20">
        <v>44715</v>
      </c>
      <c r="B540" s="21" t="s">
        <v>1234</v>
      </c>
      <c r="C540" s="20">
        <v>44715</v>
      </c>
      <c r="D540" s="21">
        <v>16584.30078125</v>
      </c>
      <c r="F540" s="274">
        <f t="shared" si="16"/>
        <v>-1.7670699072332055E-2</v>
      </c>
      <c r="G540" s="274">
        <f t="shared" si="17"/>
        <v>-2.6280502014674042E-3</v>
      </c>
    </row>
    <row r="541" spans="1:7" ht="14.25" customHeight="1" x14ac:dyDescent="0.3">
      <c r="A541" s="20">
        <v>44718</v>
      </c>
      <c r="B541" s="21" t="s">
        <v>1235</v>
      </c>
      <c r="C541" s="20">
        <v>44718</v>
      </c>
      <c r="D541" s="21">
        <v>16569.55078125</v>
      </c>
      <c r="F541" s="274">
        <f t="shared" si="16"/>
        <v>-5.4510766783067155E-3</v>
      </c>
      <c r="G541" s="274">
        <f t="shared" si="17"/>
        <v>-8.893953501299351E-4</v>
      </c>
    </row>
    <row r="542" spans="1:7" ht="14.25" customHeight="1" x14ac:dyDescent="0.3">
      <c r="A542" s="20">
        <v>44719</v>
      </c>
      <c r="B542" s="21" t="s">
        <v>1236</v>
      </c>
      <c r="C542" s="20">
        <v>44719</v>
      </c>
      <c r="D542" s="21" t="s">
        <v>1237</v>
      </c>
      <c r="F542" s="274">
        <f t="shared" si="16"/>
        <v>-4.2477057245681486E-3</v>
      </c>
      <c r="G542" s="274">
        <f t="shared" si="17"/>
        <v>-9.2459460064760173E-3</v>
      </c>
    </row>
    <row r="543" spans="1:7" ht="14.25" customHeight="1" x14ac:dyDescent="0.3">
      <c r="A543" s="20">
        <v>44720</v>
      </c>
      <c r="B543" s="21" t="s">
        <v>1238</v>
      </c>
      <c r="C543" s="20">
        <v>44720</v>
      </c>
      <c r="D543" s="21">
        <v>16356.25</v>
      </c>
      <c r="F543" s="274">
        <f t="shared" si="16"/>
        <v>-8.257005793513494E-4</v>
      </c>
      <c r="G543" s="274">
        <f t="shared" si="17"/>
        <v>-3.6609606157923498E-3</v>
      </c>
    </row>
    <row r="544" spans="1:7" ht="14.25" customHeight="1" x14ac:dyDescent="0.3">
      <c r="A544" s="20">
        <v>44721</v>
      </c>
      <c r="B544" s="21" t="s">
        <v>1239</v>
      </c>
      <c r="C544" s="20">
        <v>44721</v>
      </c>
      <c r="D544" s="21" t="s">
        <v>1240</v>
      </c>
      <c r="F544" s="274">
        <f t="shared" si="16"/>
        <v>6.1974936665831247E-3</v>
      </c>
      <c r="G544" s="274">
        <f t="shared" si="17"/>
        <v>7.4497277416889565E-3</v>
      </c>
    </row>
    <row r="545" spans="1:7" ht="14.25" customHeight="1" x14ac:dyDescent="0.3">
      <c r="A545" s="20">
        <v>44722</v>
      </c>
      <c r="B545" s="21" t="s">
        <v>1127</v>
      </c>
      <c r="C545" s="20">
        <v>44722</v>
      </c>
      <c r="D545" s="21" t="s">
        <v>1241</v>
      </c>
      <c r="F545" s="274">
        <f t="shared" si="16"/>
        <v>-4.1060471255488311E-4</v>
      </c>
      <c r="G545" s="274">
        <f t="shared" si="17"/>
        <v>-1.6767698414100061E-2</v>
      </c>
    </row>
    <row r="546" spans="1:7" ht="14.25" customHeight="1" x14ac:dyDescent="0.3">
      <c r="A546" s="20">
        <v>44725</v>
      </c>
      <c r="B546" s="21" t="s">
        <v>1242</v>
      </c>
      <c r="C546" s="20">
        <v>44725</v>
      </c>
      <c r="D546" s="21" t="s">
        <v>1243</v>
      </c>
      <c r="F546" s="274">
        <f t="shared" si="16"/>
        <v>-6.7095213758855965E-3</v>
      </c>
      <c r="G546" s="274">
        <f t="shared" si="17"/>
        <v>-2.6379749115209097E-2</v>
      </c>
    </row>
    <row r="547" spans="1:7" ht="14.25" customHeight="1" x14ac:dyDescent="0.3">
      <c r="A547" s="20">
        <v>44726</v>
      </c>
      <c r="B547" s="21" t="s">
        <v>1244</v>
      </c>
      <c r="C547" s="20">
        <v>44726</v>
      </c>
      <c r="D547" s="21" t="s">
        <v>1245</v>
      </c>
      <c r="F547" s="274">
        <f t="shared" si="16"/>
        <v>-8.6849305432748682E-3</v>
      </c>
      <c r="G547" s="274">
        <f t="shared" si="17"/>
        <v>-2.6816094559854137E-3</v>
      </c>
    </row>
    <row r="548" spans="1:7" ht="14.25" customHeight="1" x14ac:dyDescent="0.3">
      <c r="A548" s="20">
        <v>44727</v>
      </c>
      <c r="B548" s="21" t="s">
        <v>1246</v>
      </c>
      <c r="C548" s="20">
        <v>44727</v>
      </c>
      <c r="D548" s="21" t="s">
        <v>1247</v>
      </c>
      <c r="F548" s="274">
        <f t="shared" si="16"/>
        <v>6.6750785580473064E-3</v>
      </c>
      <c r="G548" s="274">
        <f t="shared" si="17"/>
        <v>-2.5393443813560425E-3</v>
      </c>
    </row>
    <row r="549" spans="1:7" ht="14.25" customHeight="1" x14ac:dyDescent="0.3">
      <c r="A549" s="20">
        <v>44728</v>
      </c>
      <c r="B549" s="21" t="s">
        <v>1248</v>
      </c>
      <c r="C549" s="20">
        <v>44728</v>
      </c>
      <c r="D549" s="21" t="s">
        <v>1249</v>
      </c>
      <c r="F549" s="274">
        <f t="shared" si="16"/>
        <v>-7.0452223360845364E-3</v>
      </c>
      <c r="G549" s="274">
        <f t="shared" si="17"/>
        <v>-2.1128447854290206E-2</v>
      </c>
    </row>
    <row r="550" spans="1:7" ht="14.25" customHeight="1" x14ac:dyDescent="0.3">
      <c r="A550" s="20">
        <v>44729</v>
      </c>
      <c r="B550" s="21" t="s">
        <v>1250</v>
      </c>
      <c r="C550" s="20">
        <v>44729</v>
      </c>
      <c r="D550" s="21">
        <v>15293.5</v>
      </c>
      <c r="F550" s="274">
        <f t="shared" si="16"/>
        <v>-5.7039171613325742E-3</v>
      </c>
      <c r="G550" s="274">
        <f t="shared" si="17"/>
        <v>-4.3682936266398898E-3</v>
      </c>
    </row>
    <row r="551" spans="1:7" ht="14.25" customHeight="1" x14ac:dyDescent="0.3">
      <c r="A551" s="20">
        <v>44732</v>
      </c>
      <c r="B551" s="21" t="s">
        <v>1251</v>
      </c>
      <c r="C551" s="20">
        <v>44732</v>
      </c>
      <c r="D551" s="21" t="s">
        <v>1252</v>
      </c>
      <c r="F551" s="274">
        <f t="shared" si="16"/>
        <v>-1.399700844904972E-4</v>
      </c>
      <c r="G551" s="274">
        <f t="shared" si="17"/>
        <v>3.7042135956452085E-3</v>
      </c>
    </row>
    <row r="552" spans="1:7" ht="14.25" customHeight="1" x14ac:dyDescent="0.3">
      <c r="A552" s="20">
        <v>44733</v>
      </c>
      <c r="B552" s="21" t="s">
        <v>1253</v>
      </c>
      <c r="C552" s="20">
        <v>44733</v>
      </c>
      <c r="D552" s="21" t="s">
        <v>1254</v>
      </c>
      <c r="F552" s="274">
        <f t="shared" si="16"/>
        <v>4.478046902265961E-3</v>
      </c>
      <c r="G552" s="274">
        <f t="shared" si="17"/>
        <v>1.8804337854487124E-2</v>
      </c>
    </row>
    <row r="553" spans="1:7" ht="14.25" customHeight="1" x14ac:dyDescent="0.3">
      <c r="A553" s="20">
        <v>44734</v>
      </c>
      <c r="B553" s="21" t="s">
        <v>1255</v>
      </c>
      <c r="C553" s="20">
        <v>44734</v>
      </c>
      <c r="D553" s="21" t="s">
        <v>1256</v>
      </c>
      <c r="F553" s="274">
        <f t="shared" si="16"/>
        <v>-2.6469259002744753E-3</v>
      </c>
      <c r="G553" s="274">
        <f t="shared" si="17"/>
        <v>-1.4419265085317462E-2</v>
      </c>
    </row>
    <row r="554" spans="1:7" ht="14.25" customHeight="1" x14ac:dyDescent="0.3">
      <c r="A554" s="20">
        <v>44735</v>
      </c>
      <c r="B554" s="21" t="s">
        <v>1257</v>
      </c>
      <c r="C554" s="20">
        <v>44735</v>
      </c>
      <c r="D554" s="21" t="s">
        <v>1258</v>
      </c>
      <c r="F554" s="274">
        <f t="shared" si="16"/>
        <v>2.7936861737599839E-3</v>
      </c>
      <c r="G554" s="274">
        <f t="shared" si="17"/>
        <v>9.3004475196092756E-3</v>
      </c>
    </row>
    <row r="555" spans="1:7" ht="14.25" customHeight="1" x14ac:dyDescent="0.3">
      <c r="A555" s="20">
        <v>44736</v>
      </c>
      <c r="B555" s="21" t="s">
        <v>1259</v>
      </c>
      <c r="C555" s="20">
        <v>44736</v>
      </c>
      <c r="D555" s="21">
        <v>15699.25</v>
      </c>
      <c r="F555" s="274">
        <f t="shared" si="16"/>
        <v>4.5967233329757143E-3</v>
      </c>
      <c r="G555" s="274">
        <f t="shared" si="17"/>
        <v>9.1664725885294493E-3</v>
      </c>
    </row>
    <row r="556" spans="1:7" ht="14.25" customHeight="1" x14ac:dyDescent="0.3">
      <c r="A556" s="20">
        <v>44739</v>
      </c>
      <c r="B556" s="21" t="s">
        <v>1127</v>
      </c>
      <c r="C556" s="20">
        <v>44739</v>
      </c>
      <c r="D556" s="21" t="s">
        <v>1260</v>
      </c>
      <c r="F556" s="274">
        <f t="shared" si="16"/>
        <v>1.2617825058113957E-2</v>
      </c>
      <c r="G556" s="274">
        <f t="shared" si="17"/>
        <v>8.4589903777250505E-3</v>
      </c>
    </row>
    <row r="557" spans="1:7" ht="14.25" customHeight="1" x14ac:dyDescent="0.3">
      <c r="A557" s="20">
        <v>44740</v>
      </c>
      <c r="B557" s="21" t="s">
        <v>1261</v>
      </c>
      <c r="C557" s="20">
        <v>44740</v>
      </c>
      <c r="D557" s="21" t="s">
        <v>1262</v>
      </c>
      <c r="F557" s="274">
        <f t="shared" si="16"/>
        <v>3.5602309524222159E-3</v>
      </c>
      <c r="G557" s="274">
        <f t="shared" si="17"/>
        <v>1.14643339611186E-3</v>
      </c>
    </row>
    <row r="558" spans="1:7" ht="14.25" customHeight="1" x14ac:dyDescent="0.3">
      <c r="A558" s="20">
        <v>44741</v>
      </c>
      <c r="B558" s="21">
        <v>365.5</v>
      </c>
      <c r="C558" s="20">
        <v>44741</v>
      </c>
      <c r="D558" s="21" t="s">
        <v>1263</v>
      </c>
      <c r="F558" s="274">
        <f t="shared" si="16"/>
        <v>-2.5924742130839389E-3</v>
      </c>
      <c r="G558" s="274">
        <f t="shared" si="17"/>
        <v>-3.2239710103227821E-3</v>
      </c>
    </row>
    <row r="559" spans="1:7" ht="14.25" customHeight="1" x14ac:dyDescent="0.3">
      <c r="A559" s="20">
        <v>44742</v>
      </c>
      <c r="B559" s="21">
        <v>363</v>
      </c>
      <c r="C559" s="20">
        <v>44742</v>
      </c>
      <c r="D559" s="21">
        <v>15780.25</v>
      </c>
      <c r="F559" s="274">
        <f t="shared" si="16"/>
        <v>-6.8399452804377564E-3</v>
      </c>
      <c r="G559" s="274">
        <f t="shared" si="17"/>
        <v>-1.1930812414028243E-3</v>
      </c>
    </row>
    <row r="560" spans="1:7" ht="14.25" customHeight="1" x14ac:dyDescent="0.3">
      <c r="A560" s="20">
        <v>44743</v>
      </c>
      <c r="B560" s="21" t="s">
        <v>1264</v>
      </c>
      <c r="C560" s="20">
        <v>44743</v>
      </c>
      <c r="D560" s="21" t="s">
        <v>1265</v>
      </c>
      <c r="F560" s="274">
        <f t="shared" si="16"/>
        <v>1.2534401633520691E-2</v>
      </c>
      <c r="G560" s="274">
        <f t="shared" si="17"/>
        <v>-1.7870563085185596E-3</v>
      </c>
    </row>
    <row r="561" spans="1:7" ht="14.25" customHeight="1" x14ac:dyDescent="0.3">
      <c r="A561" s="20">
        <v>44746</v>
      </c>
      <c r="B561" s="21" t="s">
        <v>1266</v>
      </c>
      <c r="C561" s="20">
        <v>44746</v>
      </c>
      <c r="D561" s="21" t="s">
        <v>1267</v>
      </c>
      <c r="F561" s="274">
        <f t="shared" si="16"/>
        <v>2.7207183599833929E-3</v>
      </c>
      <c r="G561" s="274">
        <f t="shared" si="17"/>
        <v>5.288188249805534E-3</v>
      </c>
    </row>
    <row r="562" spans="1:7" ht="14.25" customHeight="1" x14ac:dyDescent="0.3">
      <c r="A562" s="20">
        <v>44747</v>
      </c>
      <c r="B562" s="21" t="s">
        <v>1268</v>
      </c>
      <c r="C562" s="20">
        <v>44747</v>
      </c>
      <c r="D562" s="21" t="s">
        <v>1269</v>
      </c>
      <c r="F562" s="274">
        <f t="shared" si="16"/>
        <v>-5.1553220985353842E-3</v>
      </c>
      <c r="G562" s="274">
        <f t="shared" si="17"/>
        <v>-1.5471713984448608E-3</v>
      </c>
    </row>
    <row r="563" spans="1:7" ht="14.25" customHeight="1" x14ac:dyDescent="0.3">
      <c r="A563" s="20">
        <v>44748</v>
      </c>
      <c r="B563" s="21">
        <v>368.25</v>
      </c>
      <c r="C563" s="20">
        <v>44748</v>
      </c>
      <c r="D563" s="21" t="s">
        <v>1270</v>
      </c>
      <c r="F563" s="274">
        <f t="shared" si="16"/>
        <v>4.3638514391132147E-3</v>
      </c>
      <c r="G563" s="274">
        <f t="shared" si="17"/>
        <v>1.1318189707300232E-2</v>
      </c>
    </row>
    <row r="564" spans="1:7" ht="14.25" customHeight="1" x14ac:dyDescent="0.3">
      <c r="A564" s="20">
        <v>44749</v>
      </c>
      <c r="B564" s="21" t="s">
        <v>1271</v>
      </c>
      <c r="C564" s="20">
        <v>44749</v>
      </c>
      <c r="D564" s="21" t="s">
        <v>1272</v>
      </c>
      <c r="F564" s="274">
        <f t="shared" si="16"/>
        <v>-3.5301773060936251E-3</v>
      </c>
      <c r="G564" s="274">
        <f t="shared" si="17"/>
        <v>8.9494920315105666E-3</v>
      </c>
    </row>
    <row r="565" spans="1:7" ht="14.25" customHeight="1" x14ac:dyDescent="0.3">
      <c r="A565" s="20">
        <v>44750</v>
      </c>
      <c r="B565" s="21" t="s">
        <v>1273</v>
      </c>
      <c r="C565" s="20">
        <v>44750</v>
      </c>
      <c r="D565" s="21" t="s">
        <v>1274</v>
      </c>
      <c r="F565" s="274">
        <f t="shared" si="16"/>
        <v>4.0877502387265457E-3</v>
      </c>
      <c r="G565" s="274">
        <f t="shared" si="17"/>
        <v>5.436047866567313E-3</v>
      </c>
    </row>
    <row r="566" spans="1:7" ht="14.25" customHeight="1" x14ac:dyDescent="0.3">
      <c r="A566" s="20">
        <v>44753</v>
      </c>
      <c r="B566" s="21" t="s">
        <v>1187</v>
      </c>
      <c r="C566" s="20">
        <v>44753</v>
      </c>
      <c r="D566" s="21">
        <v>16216</v>
      </c>
      <c r="F566" s="274">
        <f t="shared" si="16"/>
        <v>2.0355542818616523E-3</v>
      </c>
      <c r="G566" s="274">
        <f t="shared" si="17"/>
        <v>-2.8356592763325282E-4</v>
      </c>
    </row>
    <row r="567" spans="1:7" ht="14.25" customHeight="1" x14ac:dyDescent="0.3">
      <c r="A567" s="20">
        <v>44754</v>
      </c>
      <c r="B567" s="21" t="s">
        <v>1275</v>
      </c>
      <c r="C567" s="20">
        <v>44754</v>
      </c>
      <c r="D567" s="21" t="s">
        <v>1276</v>
      </c>
      <c r="F567" s="274">
        <f t="shared" si="16"/>
        <v>4.6045006317596759E-3</v>
      </c>
      <c r="G567" s="274">
        <f t="shared" si="17"/>
        <v>-9.7249750439380861E-3</v>
      </c>
    </row>
    <row r="568" spans="1:7" ht="14.25" customHeight="1" x14ac:dyDescent="0.3">
      <c r="A568" s="20">
        <v>44755</v>
      </c>
      <c r="B568" s="21" t="s">
        <v>1277</v>
      </c>
      <c r="C568" s="20">
        <v>44755</v>
      </c>
      <c r="D568" s="21" t="s">
        <v>1278</v>
      </c>
      <c r="F568" s="274">
        <f t="shared" si="16"/>
        <v>8.0889273519583527E-4</v>
      </c>
      <c r="G568" s="274">
        <f t="shared" si="17"/>
        <v>-5.707292501522924E-3</v>
      </c>
    </row>
    <row r="569" spans="1:7" ht="14.25" customHeight="1" x14ac:dyDescent="0.3">
      <c r="A569" s="20">
        <v>44756</v>
      </c>
      <c r="B569" s="21" t="s">
        <v>1279</v>
      </c>
      <c r="C569" s="20">
        <v>44756</v>
      </c>
      <c r="D569" s="21" t="s">
        <v>1280</v>
      </c>
      <c r="F569" s="274">
        <f t="shared" si="16"/>
        <v>-3.5022043852250212E-3</v>
      </c>
      <c r="G569" s="274">
        <f t="shared" si="17"/>
        <v>-1.7536552323109999E-3</v>
      </c>
    </row>
    <row r="570" spans="1:7" ht="14.25" customHeight="1" x14ac:dyDescent="0.3">
      <c r="A570" s="20">
        <v>44757</v>
      </c>
      <c r="B570" s="21" t="s">
        <v>1073</v>
      </c>
      <c r="C570" s="20">
        <v>44757</v>
      </c>
      <c r="D570" s="21" t="s">
        <v>1281</v>
      </c>
      <c r="F570" s="274">
        <f t="shared" si="16"/>
        <v>-2.0275750537316487E-3</v>
      </c>
      <c r="G570" s="274">
        <f t="shared" si="17"/>
        <v>6.9359576863875878E-3</v>
      </c>
    </row>
    <row r="571" spans="1:7" ht="14.25" customHeight="1" x14ac:dyDescent="0.3">
      <c r="A571" s="20">
        <v>44760</v>
      </c>
      <c r="B571" s="21" t="s">
        <v>1282</v>
      </c>
      <c r="C571" s="20">
        <v>44760</v>
      </c>
      <c r="D571" s="21">
        <v>16278.5</v>
      </c>
      <c r="F571" s="274">
        <f t="shared" si="16"/>
        <v>4.1988848331979047E-3</v>
      </c>
      <c r="G571" s="274">
        <f t="shared" si="17"/>
        <v>1.4287304158276481E-2</v>
      </c>
    </row>
    <row r="572" spans="1:7" ht="14.25" customHeight="1" x14ac:dyDescent="0.3">
      <c r="A572" s="20">
        <v>44761</v>
      </c>
      <c r="B572" s="21" t="s">
        <v>1103</v>
      </c>
      <c r="C572" s="20">
        <v>44761</v>
      </c>
      <c r="D572" s="21" t="s">
        <v>1283</v>
      </c>
      <c r="F572" s="274">
        <f t="shared" si="16"/>
        <v>6.7439976198430313E-4</v>
      </c>
      <c r="G572" s="274">
        <f t="shared" si="17"/>
        <v>3.8117642711244892E-3</v>
      </c>
    </row>
    <row r="573" spans="1:7" ht="14.25" customHeight="1" x14ac:dyDescent="0.3">
      <c r="A573" s="20">
        <v>44762</v>
      </c>
      <c r="B573" s="21" t="s">
        <v>1284</v>
      </c>
      <c r="C573" s="20">
        <v>44762</v>
      </c>
      <c r="D573" s="21" t="s">
        <v>1285</v>
      </c>
      <c r="F573" s="274">
        <f t="shared" si="16"/>
        <v>-8.356937596718227E-3</v>
      </c>
      <c r="G573" s="274">
        <f t="shared" si="17"/>
        <v>1.1033888506969248E-2</v>
      </c>
    </row>
    <row r="574" spans="1:7" ht="14.25" customHeight="1" x14ac:dyDescent="0.3">
      <c r="A574" s="20">
        <v>44763</v>
      </c>
      <c r="B574" s="21">
        <v>370.75</v>
      </c>
      <c r="C574" s="20">
        <v>44763</v>
      </c>
      <c r="D574" s="21">
        <v>16605.25</v>
      </c>
      <c r="F574" s="274">
        <f t="shared" si="16"/>
        <v>7.8836315029689741E-3</v>
      </c>
      <c r="G574" s="274">
        <f t="shared" si="17"/>
        <v>5.1087197462959628E-3</v>
      </c>
    </row>
    <row r="575" spans="1:7" ht="14.25" customHeight="1" x14ac:dyDescent="0.3">
      <c r="A575" s="20">
        <v>44764</v>
      </c>
      <c r="B575" s="21" t="s">
        <v>1286</v>
      </c>
      <c r="C575" s="20">
        <v>44764</v>
      </c>
      <c r="D575" s="21">
        <v>16719.44921875</v>
      </c>
      <c r="F575" s="274">
        <f t="shared" si="16"/>
        <v>4.8549906755711693E-3</v>
      </c>
      <c r="G575" s="274">
        <f t="shared" si="17"/>
        <v>6.8772959606148657E-3</v>
      </c>
    </row>
    <row r="576" spans="1:7" ht="14.25" customHeight="1" x14ac:dyDescent="0.3">
      <c r="A576" s="20">
        <v>44767</v>
      </c>
      <c r="B576" s="21" t="s">
        <v>1287</v>
      </c>
      <c r="C576" s="20">
        <v>44767</v>
      </c>
      <c r="D576" s="21">
        <v>16631</v>
      </c>
      <c r="F576" s="274">
        <f t="shared" si="16"/>
        <v>-3.7578685877236772E-3</v>
      </c>
      <c r="G576" s="274">
        <f t="shared" si="17"/>
        <v>-5.2901993117577557E-3</v>
      </c>
    </row>
    <row r="577" spans="1:7" ht="14.25" customHeight="1" x14ac:dyDescent="0.3">
      <c r="A577" s="20">
        <v>44768</v>
      </c>
      <c r="B577" s="21" t="s">
        <v>1099</v>
      </c>
      <c r="C577" s="20">
        <v>44768</v>
      </c>
      <c r="D577" s="21" t="s">
        <v>1288</v>
      </c>
      <c r="F577" s="274">
        <f t="shared" si="16"/>
        <v>-3.2331448449050408E-3</v>
      </c>
      <c r="G577" s="274">
        <f t="shared" si="17"/>
        <v>-8.8479580677650171E-3</v>
      </c>
    </row>
    <row r="578" spans="1:7" ht="14.25" customHeight="1" x14ac:dyDescent="0.3">
      <c r="A578" s="20">
        <v>44769</v>
      </c>
      <c r="B578" s="21" t="s">
        <v>1289</v>
      </c>
      <c r="C578" s="20">
        <v>44769</v>
      </c>
      <c r="D578" s="21">
        <v>16641.80078125</v>
      </c>
      <c r="F578" s="274">
        <f t="shared" si="16"/>
        <v>2.4327446054531374E-3</v>
      </c>
      <c r="G578" s="274">
        <f t="shared" si="17"/>
        <v>9.5821774414374099E-3</v>
      </c>
    </row>
    <row r="579" spans="1:7" ht="14.25" customHeight="1" x14ac:dyDescent="0.3">
      <c r="A579" s="20">
        <v>44770</v>
      </c>
      <c r="B579" s="21" t="s">
        <v>1289</v>
      </c>
      <c r="C579" s="20">
        <v>44770</v>
      </c>
      <c r="D579" s="21" t="s">
        <v>1290</v>
      </c>
      <c r="F579" s="274">
        <f t="shared" ref="F579:F642" si="18">(B579-B578)/B578</f>
        <v>0</v>
      </c>
      <c r="G579" s="274">
        <f t="shared" ref="G579:G642" si="19">(D579-D578)/D578</f>
        <v>1.7293731123692903E-2</v>
      </c>
    </row>
    <row r="580" spans="1:7" ht="14.25" customHeight="1" x14ac:dyDescent="0.3">
      <c r="A580" s="20">
        <v>44771</v>
      </c>
      <c r="B580" s="21" t="s">
        <v>1291</v>
      </c>
      <c r="C580" s="20">
        <v>44771</v>
      </c>
      <c r="D580" s="21">
        <v>17158.25</v>
      </c>
      <c r="F580" s="274">
        <f t="shared" si="18"/>
        <v>1.0651157137504419E-2</v>
      </c>
      <c r="G580" s="274">
        <f t="shared" si="19"/>
        <v>1.3505953826479256E-2</v>
      </c>
    </row>
    <row r="581" spans="1:7" ht="14.25" customHeight="1" x14ac:dyDescent="0.3">
      <c r="A581" s="20">
        <v>44774</v>
      </c>
      <c r="B581" s="21" t="s">
        <v>1292</v>
      </c>
      <c r="C581" s="20">
        <v>44774</v>
      </c>
      <c r="D581" s="21">
        <v>17340.05078125</v>
      </c>
      <c r="F581" s="274">
        <f t="shared" si="18"/>
        <v>1.6008701255545328E-3</v>
      </c>
      <c r="G581" s="274">
        <f t="shared" si="19"/>
        <v>1.059553166843938E-2</v>
      </c>
    </row>
    <row r="582" spans="1:7" ht="14.25" customHeight="1" x14ac:dyDescent="0.3">
      <c r="A582" s="20">
        <v>44775</v>
      </c>
      <c r="B582" s="21" t="s">
        <v>1293</v>
      </c>
      <c r="C582" s="20">
        <v>44775</v>
      </c>
      <c r="D582" s="21">
        <v>17345.44921875</v>
      </c>
      <c r="F582" s="274">
        <f t="shared" si="18"/>
        <v>8.6574322132146418E-3</v>
      </c>
      <c r="G582" s="274">
        <f t="shared" si="19"/>
        <v>3.1132766380577117E-4</v>
      </c>
    </row>
    <row r="583" spans="1:7" ht="14.25" customHeight="1" x14ac:dyDescent="0.3">
      <c r="A583" s="20">
        <v>44776</v>
      </c>
      <c r="B583" s="21">
        <v>381.75</v>
      </c>
      <c r="C583" s="20">
        <v>44776</v>
      </c>
      <c r="D583" s="21" t="s">
        <v>1294</v>
      </c>
      <c r="F583" s="274">
        <f t="shared" si="18"/>
        <v>8.1869963118592001E-3</v>
      </c>
      <c r="G583" s="274">
        <f t="shared" si="19"/>
        <v>2.4618083588657416E-3</v>
      </c>
    </row>
    <row r="584" spans="1:7" ht="14.25" customHeight="1" x14ac:dyDescent="0.3">
      <c r="A584" s="20">
        <v>44777</v>
      </c>
      <c r="B584" s="21">
        <v>381.25</v>
      </c>
      <c r="C584" s="20">
        <v>44777</v>
      </c>
      <c r="D584" s="21">
        <v>17382</v>
      </c>
      <c r="F584" s="274">
        <f t="shared" si="18"/>
        <v>-1.3097576948264572E-3</v>
      </c>
      <c r="G584" s="274">
        <f t="shared" si="19"/>
        <v>-3.537116074356043E-4</v>
      </c>
    </row>
    <row r="585" spans="1:7" ht="14.25" customHeight="1" x14ac:dyDescent="0.3">
      <c r="A585" s="20">
        <v>44778</v>
      </c>
      <c r="B585" s="21" t="s">
        <v>1132</v>
      </c>
      <c r="C585" s="20">
        <v>44778</v>
      </c>
      <c r="D585" s="21">
        <v>17397.5</v>
      </c>
      <c r="F585" s="274">
        <f t="shared" si="18"/>
        <v>3.6721151383186284E-3</v>
      </c>
      <c r="G585" s="274">
        <f t="shared" si="19"/>
        <v>8.9172707398458174E-4</v>
      </c>
    </row>
    <row r="586" spans="1:7" ht="14.25" customHeight="1" x14ac:dyDescent="0.3">
      <c r="A586" s="20">
        <v>44781</v>
      </c>
      <c r="B586" s="21" t="s">
        <v>1100</v>
      </c>
      <c r="C586" s="20">
        <v>44781</v>
      </c>
      <c r="D586" s="21" t="s">
        <v>1295</v>
      </c>
      <c r="F586" s="274">
        <f t="shared" si="18"/>
        <v>-6.4026701385907596E-3</v>
      </c>
      <c r="G586" s="274">
        <f t="shared" si="19"/>
        <v>7.3343646716482252E-3</v>
      </c>
    </row>
    <row r="587" spans="1:7" ht="14.25" customHeight="1" x14ac:dyDescent="0.3">
      <c r="A587" s="20">
        <v>44783</v>
      </c>
      <c r="B587" s="21" t="s">
        <v>1296</v>
      </c>
      <c r="C587" s="20">
        <v>44783</v>
      </c>
      <c r="D587" s="21">
        <v>17534.75</v>
      </c>
      <c r="F587" s="274">
        <f t="shared" si="18"/>
        <v>-3.9459339622882107E-4</v>
      </c>
      <c r="G587" s="274">
        <f t="shared" si="19"/>
        <v>5.5066109979982946E-4</v>
      </c>
    </row>
    <row r="588" spans="1:7" ht="14.25" customHeight="1" x14ac:dyDescent="0.3">
      <c r="A588" s="20">
        <v>44784</v>
      </c>
      <c r="B588" s="21" t="s">
        <v>1100</v>
      </c>
      <c r="C588" s="20">
        <v>44784</v>
      </c>
      <c r="D588" s="21">
        <v>17659</v>
      </c>
      <c r="F588" s="274">
        <f t="shared" si="18"/>
        <v>3.9474916164117154E-4</v>
      </c>
      <c r="G588" s="274">
        <f t="shared" si="19"/>
        <v>7.0859293688247619E-3</v>
      </c>
    </row>
    <row r="589" spans="1:7" ht="14.25" customHeight="1" x14ac:dyDescent="0.3">
      <c r="A589" s="20">
        <v>44785</v>
      </c>
      <c r="B589" s="21" t="s">
        <v>1297</v>
      </c>
      <c r="C589" s="20">
        <v>44785</v>
      </c>
      <c r="D589" s="21" t="s">
        <v>1298</v>
      </c>
      <c r="F589" s="274">
        <f t="shared" si="18"/>
        <v>1.2098830716060459E-2</v>
      </c>
      <c r="G589" s="274">
        <f t="shared" si="19"/>
        <v>2.2170219505634522E-3</v>
      </c>
    </row>
    <row r="590" spans="1:7" ht="14.25" customHeight="1" x14ac:dyDescent="0.3">
      <c r="A590" s="20">
        <v>44789</v>
      </c>
      <c r="B590" s="21" t="s">
        <v>1299</v>
      </c>
      <c r="C590" s="20">
        <v>44789</v>
      </c>
      <c r="D590" s="21">
        <v>17825.25</v>
      </c>
      <c r="F590" s="274">
        <f t="shared" si="18"/>
        <v>2.9365952882063708E-2</v>
      </c>
      <c r="G590" s="274">
        <f t="shared" si="19"/>
        <v>7.18151934353133E-3</v>
      </c>
    </row>
    <row r="591" spans="1:7" ht="14.25" customHeight="1" x14ac:dyDescent="0.3">
      <c r="A591" s="20">
        <v>44790</v>
      </c>
      <c r="B591" s="21" t="s">
        <v>1300</v>
      </c>
      <c r="C591" s="20">
        <v>44790</v>
      </c>
      <c r="D591" s="21">
        <v>17944.25</v>
      </c>
      <c r="F591" s="274">
        <f t="shared" si="18"/>
        <v>5.5541066790038823E-3</v>
      </c>
      <c r="G591" s="274">
        <f t="shared" si="19"/>
        <v>6.675923198833116E-3</v>
      </c>
    </row>
    <row r="592" spans="1:7" ht="14.25" customHeight="1" x14ac:dyDescent="0.3">
      <c r="A592" s="20">
        <v>44791</v>
      </c>
      <c r="B592" s="21" t="s">
        <v>1301</v>
      </c>
      <c r="C592" s="20">
        <v>44791</v>
      </c>
      <c r="D592" s="21">
        <v>17956.5</v>
      </c>
      <c r="F592" s="274">
        <f t="shared" si="18"/>
        <v>2.8370621784755402E-2</v>
      </c>
      <c r="G592" s="274">
        <f t="shared" si="19"/>
        <v>6.8266993605193866E-4</v>
      </c>
    </row>
    <row r="593" spans="1:7" ht="14.25" customHeight="1" x14ac:dyDescent="0.3">
      <c r="A593" s="20">
        <v>44792</v>
      </c>
      <c r="B593" s="21" t="s">
        <v>1302</v>
      </c>
      <c r="C593" s="20">
        <v>44792</v>
      </c>
      <c r="D593" s="21">
        <v>17758.44921875</v>
      </c>
      <c r="F593" s="274">
        <f t="shared" si="18"/>
        <v>2.6489272318941288E-2</v>
      </c>
      <c r="G593" s="274">
        <f t="shared" si="19"/>
        <v>-1.1029475746944004E-2</v>
      </c>
    </row>
    <row r="594" spans="1:7" ht="14.25" customHeight="1" x14ac:dyDescent="0.3">
      <c r="A594" s="20">
        <v>44795</v>
      </c>
      <c r="B594" s="21">
        <v>408</v>
      </c>
      <c r="C594" s="20">
        <v>44795</v>
      </c>
      <c r="D594" s="21">
        <v>17490.69921875</v>
      </c>
      <c r="F594" s="274">
        <f t="shared" si="18"/>
        <v>-2.9611159104689463E-2</v>
      </c>
      <c r="G594" s="274">
        <f t="shared" si="19"/>
        <v>-1.5077330047338822E-2</v>
      </c>
    </row>
    <row r="595" spans="1:7" ht="14.25" customHeight="1" x14ac:dyDescent="0.3">
      <c r="A595" s="20">
        <v>44796</v>
      </c>
      <c r="B595" s="21" t="s">
        <v>993</v>
      </c>
      <c r="C595" s="20">
        <v>44796</v>
      </c>
      <c r="D595" s="21">
        <v>17577.5</v>
      </c>
      <c r="F595" s="274">
        <f t="shared" si="18"/>
        <v>-6.249970080806317E-3</v>
      </c>
      <c r="G595" s="274">
        <f t="shared" si="19"/>
        <v>4.9626821755044369E-3</v>
      </c>
    </row>
    <row r="596" spans="1:7" ht="14.25" customHeight="1" x14ac:dyDescent="0.3">
      <c r="A596" s="20">
        <v>44797</v>
      </c>
      <c r="B596" s="21" t="s">
        <v>1303</v>
      </c>
      <c r="C596" s="20">
        <v>44797</v>
      </c>
      <c r="D596" s="21">
        <v>17604.94921875</v>
      </c>
      <c r="F596" s="274">
        <f t="shared" si="18"/>
        <v>-3.2063590366430417E-3</v>
      </c>
      <c r="G596" s="274">
        <f t="shared" si="19"/>
        <v>1.5616110795050491E-3</v>
      </c>
    </row>
    <row r="597" spans="1:7" ht="14.25" customHeight="1" x14ac:dyDescent="0.3">
      <c r="A597" s="20">
        <v>44798</v>
      </c>
      <c r="B597" s="21" t="s">
        <v>1304</v>
      </c>
      <c r="C597" s="20">
        <v>44798</v>
      </c>
      <c r="D597" s="21">
        <v>17522.44921875</v>
      </c>
      <c r="F597" s="274">
        <f t="shared" si="18"/>
        <v>-1.7320302129691306E-2</v>
      </c>
      <c r="G597" s="274">
        <f t="shared" si="19"/>
        <v>-4.686182219266732E-3</v>
      </c>
    </row>
    <row r="598" spans="1:7" ht="14.25" customHeight="1" x14ac:dyDescent="0.3">
      <c r="A598" s="20">
        <v>44799</v>
      </c>
      <c r="B598" s="21" t="s">
        <v>1305</v>
      </c>
      <c r="C598" s="20">
        <v>44799</v>
      </c>
      <c r="D598" s="21" t="s">
        <v>1306</v>
      </c>
      <c r="F598" s="274">
        <f t="shared" si="18"/>
        <v>1.4352290808587334E-2</v>
      </c>
      <c r="G598" s="274">
        <f t="shared" si="19"/>
        <v>2.0802555293466174E-3</v>
      </c>
    </row>
    <row r="599" spans="1:7" ht="14.25" customHeight="1" x14ac:dyDescent="0.3">
      <c r="A599" s="20">
        <v>44802</v>
      </c>
      <c r="B599" s="21" t="s">
        <v>1307</v>
      </c>
      <c r="C599" s="20">
        <v>44802</v>
      </c>
      <c r="D599" s="21" t="s">
        <v>1308</v>
      </c>
      <c r="F599" s="274">
        <f t="shared" si="18"/>
        <v>1.4894032379928705E-3</v>
      </c>
      <c r="G599" s="274">
        <f t="shared" si="19"/>
        <v>-1.400998892455382E-2</v>
      </c>
    </row>
    <row r="600" spans="1:7" ht="14.25" customHeight="1" x14ac:dyDescent="0.3">
      <c r="A600" s="20">
        <v>44803</v>
      </c>
      <c r="B600" s="21">
        <v>411.25</v>
      </c>
      <c r="C600" s="20">
        <v>44803</v>
      </c>
      <c r="D600" s="21">
        <v>17759.30078125</v>
      </c>
      <c r="F600" s="274">
        <f t="shared" si="18"/>
        <v>1.9333219871031759E-2</v>
      </c>
      <c r="G600" s="274">
        <f t="shared" si="19"/>
        <v>2.5784263789025638E-2</v>
      </c>
    </row>
    <row r="601" spans="1:7" ht="14.25" customHeight="1" x14ac:dyDescent="0.3">
      <c r="A601" s="20">
        <v>44805</v>
      </c>
      <c r="B601" s="21" t="s">
        <v>1026</v>
      </c>
      <c r="C601" s="20">
        <v>44805</v>
      </c>
      <c r="D601" s="21">
        <v>17542.80078125</v>
      </c>
      <c r="F601" s="274">
        <f t="shared" si="18"/>
        <v>-3.5258655490139549E-3</v>
      </c>
      <c r="G601" s="274">
        <f t="shared" si="19"/>
        <v>-1.2190795272107639E-2</v>
      </c>
    </row>
    <row r="602" spans="1:7" ht="14.25" customHeight="1" x14ac:dyDescent="0.3">
      <c r="A602" s="20">
        <v>44806</v>
      </c>
      <c r="B602" s="21" t="s">
        <v>1309</v>
      </c>
      <c r="C602" s="20">
        <v>44806</v>
      </c>
      <c r="D602" s="21">
        <v>17539.44921875</v>
      </c>
      <c r="F602" s="274">
        <f t="shared" si="18"/>
        <v>1.415329058886447E-2</v>
      </c>
      <c r="G602" s="274">
        <f t="shared" si="19"/>
        <v>-1.9105059344812252E-4</v>
      </c>
    </row>
    <row r="603" spans="1:7" ht="14.25" customHeight="1" x14ac:dyDescent="0.3">
      <c r="A603" s="20">
        <v>44809</v>
      </c>
      <c r="B603" s="21" t="s">
        <v>1310</v>
      </c>
      <c r="C603" s="20">
        <v>44809</v>
      </c>
      <c r="D603" s="21">
        <v>17665.80078125</v>
      </c>
      <c r="F603" s="274">
        <f t="shared" si="18"/>
        <v>5.6544900601630367E-3</v>
      </c>
      <c r="G603" s="274">
        <f t="shared" si="19"/>
        <v>7.2038500710117975E-3</v>
      </c>
    </row>
    <row r="604" spans="1:7" ht="14.25" customHeight="1" x14ac:dyDescent="0.3">
      <c r="A604" s="20">
        <v>44810</v>
      </c>
      <c r="B604" s="21">
        <v>436.5</v>
      </c>
      <c r="C604" s="20">
        <v>44810</v>
      </c>
      <c r="D604" s="21" t="s">
        <v>1311</v>
      </c>
      <c r="F604" s="274">
        <f t="shared" si="18"/>
        <v>4.4383268934516176E-2</v>
      </c>
      <c r="G604" s="274">
        <f t="shared" si="19"/>
        <v>-5.7745312546642362E-4</v>
      </c>
    </row>
    <row r="605" spans="1:7" ht="14.25" customHeight="1" x14ac:dyDescent="0.3">
      <c r="A605" s="20">
        <v>44811</v>
      </c>
      <c r="B605" s="21" t="s">
        <v>1312</v>
      </c>
      <c r="C605" s="20">
        <v>44811</v>
      </c>
      <c r="D605" s="21" t="s">
        <v>1313</v>
      </c>
      <c r="F605" s="274">
        <f t="shared" si="18"/>
        <v>2.8407775249676925E-2</v>
      </c>
      <c r="G605" s="274">
        <f t="shared" si="19"/>
        <v>-1.7671004916442166E-3</v>
      </c>
    </row>
    <row r="606" spans="1:7" ht="14.25" customHeight="1" x14ac:dyDescent="0.3">
      <c r="A606" s="20">
        <v>44812</v>
      </c>
      <c r="B606" s="21" t="s">
        <v>1314</v>
      </c>
      <c r="C606" s="20">
        <v>44812</v>
      </c>
      <c r="D606" s="21">
        <v>17798.75</v>
      </c>
      <c r="F606" s="274">
        <f t="shared" si="18"/>
        <v>2.8959679609614319E-2</v>
      </c>
      <c r="G606" s="274">
        <f t="shared" si="19"/>
        <v>9.8925129655895866E-3</v>
      </c>
    </row>
    <row r="607" spans="1:7" ht="14.25" customHeight="1" x14ac:dyDescent="0.3">
      <c r="A607" s="20">
        <v>44813</v>
      </c>
      <c r="B607" s="21" t="s">
        <v>1315</v>
      </c>
      <c r="C607" s="20">
        <v>44813</v>
      </c>
      <c r="D607" s="21" t="s">
        <v>1316</v>
      </c>
      <c r="F607" s="274">
        <f t="shared" si="18"/>
        <v>-1.5587750129017183E-2</v>
      </c>
      <c r="G607" s="274">
        <f t="shared" si="19"/>
        <v>1.943934791769085E-3</v>
      </c>
    </row>
    <row r="608" spans="1:7" ht="14.25" customHeight="1" x14ac:dyDescent="0.3">
      <c r="A608" s="20">
        <v>44816</v>
      </c>
      <c r="B608" s="21" t="s">
        <v>1317</v>
      </c>
      <c r="C608" s="20">
        <v>44816</v>
      </c>
      <c r="D608" s="21" t="s">
        <v>1318</v>
      </c>
      <c r="F608" s="274">
        <f t="shared" si="18"/>
        <v>4.6074293219755064E-2</v>
      </c>
      <c r="G608" s="274">
        <f t="shared" si="19"/>
        <v>5.77569566324505E-3</v>
      </c>
    </row>
    <row r="609" spans="1:7" ht="14.25" customHeight="1" x14ac:dyDescent="0.3">
      <c r="A609" s="20">
        <v>44817</v>
      </c>
      <c r="B609" s="21">
        <v>486.5</v>
      </c>
      <c r="C609" s="20">
        <v>44817</v>
      </c>
      <c r="D609" s="21">
        <v>18070.05078125</v>
      </c>
      <c r="F609" s="274">
        <f t="shared" si="18"/>
        <v>2.2810903485215469E-2</v>
      </c>
      <c r="G609" s="274">
        <f t="shared" si="19"/>
        <v>7.4542019299800475E-3</v>
      </c>
    </row>
    <row r="610" spans="1:7" ht="14.25" customHeight="1" x14ac:dyDescent="0.3">
      <c r="A610" s="20">
        <v>44818</v>
      </c>
      <c r="B610" s="21" t="s">
        <v>1319</v>
      </c>
      <c r="C610" s="20">
        <v>44818</v>
      </c>
      <c r="D610" s="21">
        <v>18003.75</v>
      </c>
      <c r="F610" s="274">
        <f t="shared" si="18"/>
        <v>7.831444108106278E-2</v>
      </c>
      <c r="G610" s="274">
        <f t="shared" si="19"/>
        <v>-3.6690976717561625E-3</v>
      </c>
    </row>
    <row r="611" spans="1:7" ht="14.25" customHeight="1" x14ac:dyDescent="0.3">
      <c r="A611" s="20">
        <v>44819</v>
      </c>
      <c r="B611" s="21">
        <v>538.75</v>
      </c>
      <c r="C611" s="20">
        <v>44819</v>
      </c>
      <c r="D611" s="21" t="s">
        <v>1320</v>
      </c>
      <c r="F611" s="274">
        <f t="shared" si="18"/>
        <v>2.6972979551244711E-2</v>
      </c>
      <c r="G611" s="274">
        <f t="shared" si="19"/>
        <v>-7.0179606679164064E-3</v>
      </c>
    </row>
    <row r="612" spans="1:7" ht="14.25" customHeight="1" x14ac:dyDescent="0.3">
      <c r="A612" s="20">
        <v>44820</v>
      </c>
      <c r="B612" s="21" t="s">
        <v>1321</v>
      </c>
      <c r="C612" s="20">
        <v>44820</v>
      </c>
      <c r="D612" s="21" t="s">
        <v>1322</v>
      </c>
      <c r="F612" s="274">
        <f t="shared" si="18"/>
        <v>-4.0928051587877455E-2</v>
      </c>
      <c r="G612" s="274">
        <f t="shared" si="19"/>
        <v>-1.9384853148544628E-2</v>
      </c>
    </row>
    <row r="613" spans="1:7" ht="14.25" customHeight="1" x14ac:dyDescent="0.3">
      <c r="A613" s="20">
        <v>44823</v>
      </c>
      <c r="B613" s="21" t="s">
        <v>1323</v>
      </c>
      <c r="C613" s="20">
        <v>44823</v>
      </c>
      <c r="D613" s="21">
        <v>17622.25</v>
      </c>
      <c r="F613" s="274">
        <f t="shared" si="18"/>
        <v>9.3284325659582668E-2</v>
      </c>
      <c r="G613" s="274">
        <f t="shared" si="19"/>
        <v>5.2136885924867933E-3</v>
      </c>
    </row>
    <row r="614" spans="1:7" ht="14.25" customHeight="1" x14ac:dyDescent="0.3">
      <c r="A614" s="20">
        <v>44824</v>
      </c>
      <c r="B614" s="21" t="s">
        <v>1324</v>
      </c>
      <c r="C614" s="20">
        <v>44824</v>
      </c>
      <c r="D614" s="21">
        <v>17816.25</v>
      </c>
      <c r="F614" s="274">
        <f t="shared" si="18"/>
        <v>1.6728537375577005E-2</v>
      </c>
      <c r="G614" s="274">
        <f t="shared" si="19"/>
        <v>1.1008809885230319E-2</v>
      </c>
    </row>
    <row r="615" spans="1:7" ht="14.25" customHeight="1" x14ac:dyDescent="0.3">
      <c r="A615" s="20">
        <v>44825</v>
      </c>
      <c r="B615" s="21" t="s">
        <v>1325</v>
      </c>
      <c r="C615" s="20">
        <v>44825</v>
      </c>
      <c r="D615" s="21" t="s">
        <v>1326</v>
      </c>
      <c r="F615" s="274">
        <f t="shared" si="18"/>
        <v>-5.7456257339149795E-2</v>
      </c>
      <c r="G615" s="274">
        <f t="shared" si="19"/>
        <v>-5.4950054374517648E-3</v>
      </c>
    </row>
    <row r="616" spans="1:7" ht="14.25" customHeight="1" x14ac:dyDescent="0.3">
      <c r="A616" s="20">
        <v>44826</v>
      </c>
      <c r="B616" s="21" t="s">
        <v>1327</v>
      </c>
      <c r="C616" s="20">
        <v>44826</v>
      </c>
      <c r="D616" s="21">
        <v>17629.80078125</v>
      </c>
      <c r="F616" s="274">
        <f t="shared" si="18"/>
        <v>-1.3484784561166474E-2</v>
      </c>
      <c r="G616" s="274">
        <f t="shared" si="19"/>
        <v>-4.9975776569025207E-3</v>
      </c>
    </row>
    <row r="617" spans="1:7" ht="14.25" customHeight="1" x14ac:dyDescent="0.3">
      <c r="A617" s="20">
        <v>44827</v>
      </c>
      <c r="B617" s="21" t="s">
        <v>1328</v>
      </c>
      <c r="C617" s="20">
        <v>44827</v>
      </c>
      <c r="D617" s="21" t="s">
        <v>1329</v>
      </c>
      <c r="F617" s="274">
        <f t="shared" si="18"/>
        <v>9.92414177345456E-3</v>
      </c>
      <c r="G617" s="274">
        <f t="shared" si="19"/>
        <v>-1.7155677232420515E-2</v>
      </c>
    </row>
    <row r="618" spans="1:7" ht="14.25" customHeight="1" x14ac:dyDescent="0.3">
      <c r="A618" s="20">
        <v>44830</v>
      </c>
      <c r="B618" s="21" t="s">
        <v>1330</v>
      </c>
      <c r="C618" s="20">
        <v>44830</v>
      </c>
      <c r="D618" s="21">
        <v>17016.30078125</v>
      </c>
      <c r="F618" s="274">
        <f t="shared" si="18"/>
        <v>-5.2192388343625246E-2</v>
      </c>
      <c r="G618" s="274">
        <f t="shared" si="19"/>
        <v>-1.7951321762256493E-2</v>
      </c>
    </row>
    <row r="619" spans="1:7" ht="14.25" customHeight="1" x14ac:dyDescent="0.3">
      <c r="A619" s="20">
        <v>44831</v>
      </c>
      <c r="B619" s="21" t="s">
        <v>1331</v>
      </c>
      <c r="C619" s="20">
        <v>44831</v>
      </c>
      <c r="D619" s="21" t="s">
        <v>1332</v>
      </c>
      <c r="F619" s="274">
        <f t="shared" si="18"/>
        <v>-1.3399855125085241E-2</v>
      </c>
      <c r="G619" s="274">
        <f t="shared" si="19"/>
        <v>-5.2305085220444639E-4</v>
      </c>
    </row>
    <row r="620" spans="1:7" ht="14.25" customHeight="1" x14ac:dyDescent="0.3">
      <c r="A620" s="20">
        <v>44832</v>
      </c>
      <c r="B620" s="21" t="s">
        <v>1333</v>
      </c>
      <c r="C620" s="20">
        <v>44832</v>
      </c>
      <c r="D620" s="21" t="s">
        <v>1334</v>
      </c>
      <c r="F620" s="274">
        <f t="shared" si="18"/>
        <v>-8.5258615217790514E-3</v>
      </c>
      <c r="G620" s="274">
        <f t="shared" si="19"/>
        <v>-8.7491784653946029E-3</v>
      </c>
    </row>
    <row r="621" spans="1:7" ht="14.25" customHeight="1" x14ac:dyDescent="0.3">
      <c r="A621" s="20">
        <v>44833</v>
      </c>
      <c r="B621" s="21" t="s">
        <v>1335</v>
      </c>
      <c r="C621" s="20">
        <v>44833</v>
      </c>
      <c r="D621" s="21" t="s">
        <v>1336</v>
      </c>
      <c r="F621" s="274">
        <f t="shared" si="18"/>
        <v>1.2598777050976229E-2</v>
      </c>
      <c r="G621" s="274">
        <f t="shared" si="19"/>
        <v>-2.4023347691037229E-3</v>
      </c>
    </row>
    <row r="622" spans="1:7" ht="14.25" customHeight="1" x14ac:dyDescent="0.3">
      <c r="A622" s="20">
        <v>44834</v>
      </c>
      <c r="B622" s="21" t="s">
        <v>1337</v>
      </c>
      <c r="C622" s="20">
        <v>44834</v>
      </c>
      <c r="D622" s="21" t="s">
        <v>1338</v>
      </c>
      <c r="F622" s="274">
        <f t="shared" si="18"/>
        <v>1.8267935955215611E-2</v>
      </c>
      <c r="G622" s="274">
        <f t="shared" si="19"/>
        <v>1.6425755966269134E-2</v>
      </c>
    </row>
    <row r="623" spans="1:7" ht="14.25" customHeight="1" x14ac:dyDescent="0.3">
      <c r="A623" s="20">
        <v>44837</v>
      </c>
      <c r="B623" s="21" t="s">
        <v>1339</v>
      </c>
      <c r="C623" s="20">
        <v>44837</v>
      </c>
      <c r="D623" s="21" t="s">
        <v>1340</v>
      </c>
      <c r="F623" s="274">
        <f t="shared" si="18"/>
        <v>-5.2269167892854587E-2</v>
      </c>
      <c r="G623" s="274">
        <f t="shared" si="19"/>
        <v>-1.2109264448790473E-2</v>
      </c>
    </row>
    <row r="624" spans="1:7" ht="14.25" customHeight="1" x14ac:dyDescent="0.3">
      <c r="A624" s="20">
        <v>44838</v>
      </c>
      <c r="B624" s="21" t="s">
        <v>1341</v>
      </c>
      <c r="C624" s="20">
        <v>44838</v>
      </c>
      <c r="D624" s="21">
        <v>17274.30078125</v>
      </c>
      <c r="F624" s="274">
        <f t="shared" si="18"/>
        <v>7.2649510997417188E-3</v>
      </c>
      <c r="G624" s="274">
        <f t="shared" si="19"/>
        <v>2.2913670932719031E-2</v>
      </c>
    </row>
    <row r="625" spans="1:7" ht="14.25" customHeight="1" x14ac:dyDescent="0.3">
      <c r="A625" s="20">
        <v>44840</v>
      </c>
      <c r="B625" s="21" t="s">
        <v>1342</v>
      </c>
      <c r="C625" s="20">
        <v>44840</v>
      </c>
      <c r="D625" s="21">
        <v>17331.80078125</v>
      </c>
      <c r="F625" s="274">
        <f t="shared" si="18"/>
        <v>2.9865870225272959E-2</v>
      </c>
      <c r="G625" s="274">
        <f t="shared" si="19"/>
        <v>3.3286441360574244E-3</v>
      </c>
    </row>
    <row r="626" spans="1:7" ht="14.25" customHeight="1" x14ac:dyDescent="0.3">
      <c r="A626" s="20">
        <v>44841</v>
      </c>
      <c r="B626" s="21" t="s">
        <v>1343</v>
      </c>
      <c r="C626" s="20">
        <v>44841</v>
      </c>
      <c r="D626" s="21" t="s">
        <v>1344</v>
      </c>
      <c r="F626" s="274">
        <f t="shared" si="18"/>
        <v>2.9394346174576525E-2</v>
      </c>
      <c r="G626" s="274">
        <f t="shared" si="19"/>
        <v>-9.8953310400115763E-4</v>
      </c>
    </row>
    <row r="627" spans="1:7" ht="14.25" customHeight="1" x14ac:dyDescent="0.3">
      <c r="A627" s="20">
        <v>44844</v>
      </c>
      <c r="B627" s="21" t="s">
        <v>1345</v>
      </c>
      <c r="C627" s="20">
        <v>44844</v>
      </c>
      <c r="D627" s="21">
        <v>17241</v>
      </c>
      <c r="F627" s="274">
        <f t="shared" si="18"/>
        <v>1.6290468397468724E-3</v>
      </c>
      <c r="G627" s="274">
        <f t="shared" si="19"/>
        <v>-4.253645841147213E-3</v>
      </c>
    </row>
    <row r="628" spans="1:7" ht="14.25" customHeight="1" x14ac:dyDescent="0.3">
      <c r="A628" s="20">
        <v>44845</v>
      </c>
      <c r="B628" s="21" t="s">
        <v>1346</v>
      </c>
      <c r="C628" s="20">
        <v>44845</v>
      </c>
      <c r="D628" s="21">
        <v>16983.55078125</v>
      </c>
      <c r="F628" s="274">
        <f t="shared" si="18"/>
        <v>-4.2954197184242968E-2</v>
      </c>
      <c r="G628" s="274">
        <f t="shared" si="19"/>
        <v>-1.4932383199930399E-2</v>
      </c>
    </row>
    <row r="629" spans="1:7" ht="14.25" customHeight="1" x14ac:dyDescent="0.3">
      <c r="A629" s="20">
        <v>44846</v>
      </c>
      <c r="B629" s="21" t="s">
        <v>1347</v>
      </c>
      <c r="C629" s="20">
        <v>44846</v>
      </c>
      <c r="D629" s="21" t="s">
        <v>1348</v>
      </c>
      <c r="F629" s="274">
        <f t="shared" si="18"/>
        <v>1.0495801423185579E-2</v>
      </c>
      <c r="G629" s="274">
        <f t="shared" si="19"/>
        <v>8.2461453396197471E-3</v>
      </c>
    </row>
    <row r="630" spans="1:7" ht="14.25" customHeight="1" x14ac:dyDescent="0.3">
      <c r="A630" s="20">
        <v>44847</v>
      </c>
      <c r="B630" s="21" t="s">
        <v>1349</v>
      </c>
      <c r="C630" s="20">
        <v>44847</v>
      </c>
      <c r="D630" s="21" t="s">
        <v>1350</v>
      </c>
      <c r="F630" s="274">
        <f t="shared" si="18"/>
        <v>-1.7014553162170036E-2</v>
      </c>
      <c r="G630" s="274">
        <f t="shared" si="19"/>
        <v>-6.3800837728176449E-3</v>
      </c>
    </row>
    <row r="631" spans="1:7" ht="14.25" customHeight="1" x14ac:dyDescent="0.3">
      <c r="A631" s="20">
        <v>44848</v>
      </c>
      <c r="B631" s="21" t="s">
        <v>1351</v>
      </c>
      <c r="C631" s="20">
        <v>44848</v>
      </c>
      <c r="D631" s="21">
        <v>17185.69921875</v>
      </c>
      <c r="F631" s="274">
        <f t="shared" si="18"/>
        <v>1.0063399292699792E-2</v>
      </c>
      <c r="G631" s="274">
        <f t="shared" si="19"/>
        <v>1.0070888003887344E-2</v>
      </c>
    </row>
    <row r="632" spans="1:7" ht="14.25" customHeight="1" x14ac:dyDescent="0.3">
      <c r="A632" s="20">
        <v>44851</v>
      </c>
      <c r="B632" s="21" t="s">
        <v>1352</v>
      </c>
      <c r="C632" s="20">
        <v>44851</v>
      </c>
      <c r="D632" s="21">
        <v>17311.80078125</v>
      </c>
      <c r="F632" s="274">
        <f t="shared" si="18"/>
        <v>3.7262093179283071E-2</v>
      </c>
      <c r="G632" s="274">
        <f t="shared" si="19"/>
        <v>7.3375869608156676E-3</v>
      </c>
    </row>
    <row r="633" spans="1:7" ht="14.25" customHeight="1" x14ac:dyDescent="0.3">
      <c r="A633" s="20">
        <v>44852</v>
      </c>
      <c r="B633" s="21" t="s">
        <v>1353</v>
      </c>
      <c r="C633" s="20">
        <v>44852</v>
      </c>
      <c r="D633" s="21">
        <v>17486.94921875</v>
      </c>
      <c r="F633" s="274">
        <f t="shared" si="18"/>
        <v>-2.4397237512766911E-2</v>
      </c>
      <c r="G633" s="274">
        <f t="shared" si="19"/>
        <v>1.0117285874136163E-2</v>
      </c>
    </row>
    <row r="634" spans="1:7" ht="14.25" customHeight="1" x14ac:dyDescent="0.3">
      <c r="A634" s="20">
        <v>44853</v>
      </c>
      <c r="B634" s="21" t="s">
        <v>1354</v>
      </c>
      <c r="C634" s="20">
        <v>44853</v>
      </c>
      <c r="D634" s="21">
        <v>17512.25</v>
      </c>
      <c r="F634" s="274">
        <f t="shared" si="18"/>
        <v>5.6119052264717436E-3</v>
      </c>
      <c r="G634" s="274">
        <f t="shared" si="19"/>
        <v>1.4468379208691124E-3</v>
      </c>
    </row>
    <row r="635" spans="1:7" ht="14.25" customHeight="1" x14ac:dyDescent="0.3">
      <c r="A635" s="20">
        <v>44854</v>
      </c>
      <c r="B635" s="21" t="s">
        <v>1355</v>
      </c>
      <c r="C635" s="20">
        <v>44854</v>
      </c>
      <c r="D635" s="21">
        <v>17563.94921875</v>
      </c>
      <c r="F635" s="274">
        <f t="shared" si="18"/>
        <v>1.3706676782224734E-2</v>
      </c>
      <c r="G635" s="274">
        <f t="shared" si="19"/>
        <v>2.9521745492441004E-3</v>
      </c>
    </row>
    <row r="636" spans="1:7" ht="14.25" customHeight="1" x14ac:dyDescent="0.3">
      <c r="A636" s="20">
        <v>44855</v>
      </c>
      <c r="B636" s="21" t="s">
        <v>1356</v>
      </c>
      <c r="C636" s="20">
        <v>44855</v>
      </c>
      <c r="D636" s="21">
        <v>17576.30078125</v>
      </c>
      <c r="F636" s="274">
        <f t="shared" si="18"/>
        <v>-9.851335717284946E-3</v>
      </c>
      <c r="G636" s="274">
        <f t="shared" si="19"/>
        <v>7.0323378564624668E-4</v>
      </c>
    </row>
    <row r="637" spans="1:7" ht="14.25" customHeight="1" x14ac:dyDescent="0.3">
      <c r="A637" s="20">
        <v>44858</v>
      </c>
      <c r="B637" s="21" t="s">
        <v>1357</v>
      </c>
      <c r="C637" s="20">
        <v>44858</v>
      </c>
      <c r="D637" s="21">
        <v>17730.75</v>
      </c>
      <c r="F637" s="274">
        <f t="shared" si="18"/>
        <v>8.3887027563935186E-3</v>
      </c>
      <c r="G637" s="274">
        <f t="shared" si="19"/>
        <v>8.7873563767617655E-3</v>
      </c>
    </row>
    <row r="638" spans="1:7" ht="14.25" customHeight="1" x14ac:dyDescent="0.3">
      <c r="A638" s="20">
        <v>44859</v>
      </c>
      <c r="B638" s="21" t="s">
        <v>1358</v>
      </c>
      <c r="C638" s="20">
        <v>44859</v>
      </c>
      <c r="D638" s="21" t="s">
        <v>1359</v>
      </c>
      <c r="F638" s="274">
        <f t="shared" si="18"/>
        <v>-7.3516127851465845E-3</v>
      </c>
      <c r="G638" s="274">
        <f t="shared" si="19"/>
        <v>-4.1961220267050185E-3</v>
      </c>
    </row>
    <row r="639" spans="1:7" ht="14.25" customHeight="1" x14ac:dyDescent="0.3">
      <c r="A639" s="20">
        <v>44861</v>
      </c>
      <c r="B639" s="21" t="s">
        <v>1360</v>
      </c>
      <c r="C639" s="20">
        <v>44861</v>
      </c>
      <c r="D639" s="21">
        <v>17736.94921875</v>
      </c>
      <c r="F639" s="274">
        <f t="shared" si="18"/>
        <v>2.8259599863441141E-2</v>
      </c>
      <c r="G639" s="274">
        <f t="shared" si="19"/>
        <v>4.5649078749666347E-3</v>
      </c>
    </row>
    <row r="640" spans="1:7" ht="14.25" customHeight="1" x14ac:dyDescent="0.3">
      <c r="A640" s="20">
        <v>44862</v>
      </c>
      <c r="B640" s="21" t="s">
        <v>1361</v>
      </c>
      <c r="C640" s="20">
        <v>44862</v>
      </c>
      <c r="D640" s="21">
        <v>17786.80078125</v>
      </c>
      <c r="F640" s="274">
        <f t="shared" si="18"/>
        <v>-1.4215315290094016E-2</v>
      </c>
      <c r="G640" s="274">
        <f t="shared" si="19"/>
        <v>2.8106052447453111E-3</v>
      </c>
    </row>
    <row r="641" spans="1:7" ht="14.25" customHeight="1" x14ac:dyDescent="0.3">
      <c r="A641" s="20">
        <v>44865</v>
      </c>
      <c r="B641" s="21" t="s">
        <v>1362</v>
      </c>
      <c r="C641" s="20">
        <v>44865</v>
      </c>
      <c r="D641" s="21">
        <v>18012.19921875</v>
      </c>
      <c r="F641" s="274">
        <f t="shared" si="18"/>
        <v>2.4706858727723095E-2</v>
      </c>
      <c r="G641" s="274">
        <f t="shared" si="19"/>
        <v>1.2672230395564126E-2</v>
      </c>
    </row>
    <row r="642" spans="1:7" ht="14.25" customHeight="1" x14ac:dyDescent="0.3">
      <c r="A642" s="20">
        <v>44866</v>
      </c>
      <c r="B642" s="21" t="s">
        <v>1363</v>
      </c>
      <c r="C642" s="20">
        <v>44866</v>
      </c>
      <c r="D642" s="21" t="s">
        <v>1364</v>
      </c>
      <c r="F642" s="274">
        <f t="shared" si="18"/>
        <v>2.0827423457539969E-2</v>
      </c>
      <c r="G642" s="274">
        <f t="shared" si="19"/>
        <v>7.3950532223928962E-3</v>
      </c>
    </row>
    <row r="643" spans="1:7" ht="14.25" customHeight="1" x14ac:dyDescent="0.3">
      <c r="A643" s="20">
        <v>44867</v>
      </c>
      <c r="B643" s="21">
        <v>545</v>
      </c>
      <c r="C643" s="20">
        <v>44867</v>
      </c>
      <c r="D643" s="21" t="s">
        <v>1365</v>
      </c>
      <c r="F643" s="274">
        <f t="shared" ref="F643:F706" si="20">(B643-B642)/B642</f>
        <v>1.7461855130002542E-3</v>
      </c>
      <c r="G643" s="274">
        <f t="shared" ref="G643:G706" si="21">(D643-D642)/D642</f>
        <v>-3.4471976315450983E-3</v>
      </c>
    </row>
    <row r="644" spans="1:7" ht="14.25" customHeight="1" x14ac:dyDescent="0.3">
      <c r="A644" s="20">
        <v>44868</v>
      </c>
      <c r="B644" s="21">
        <v>539.5</v>
      </c>
      <c r="C644" s="20">
        <v>44868</v>
      </c>
      <c r="D644" s="21">
        <v>18052.69921875</v>
      </c>
      <c r="F644" s="274">
        <f t="shared" si="20"/>
        <v>-1.0091743119266056E-2</v>
      </c>
      <c r="G644" s="274">
        <f t="shared" si="21"/>
        <v>-1.6673473084335456E-3</v>
      </c>
    </row>
    <row r="645" spans="1:7" ht="14.25" customHeight="1" x14ac:dyDescent="0.3">
      <c r="A645" s="20">
        <v>44869</v>
      </c>
      <c r="B645" s="21" t="s">
        <v>1366</v>
      </c>
      <c r="C645" s="20">
        <v>44869</v>
      </c>
      <c r="D645" s="21" t="s">
        <v>1367</v>
      </c>
      <c r="F645" s="274">
        <f t="shared" si="20"/>
        <v>3.5403105812672926E-2</v>
      </c>
      <c r="G645" s="274">
        <f t="shared" si="21"/>
        <v>3.5701681556882833E-3</v>
      </c>
    </row>
    <row r="646" spans="1:7" ht="14.25" customHeight="1" x14ac:dyDescent="0.3">
      <c r="A646" s="20">
        <v>44872</v>
      </c>
      <c r="B646" s="21" t="s">
        <v>1368</v>
      </c>
      <c r="C646" s="20">
        <v>44872</v>
      </c>
      <c r="D646" s="21">
        <v>18202.80078125</v>
      </c>
      <c r="F646" s="274">
        <f t="shared" si="20"/>
        <v>1.700680346438448E-2</v>
      </c>
      <c r="G646" s="274">
        <f t="shared" si="21"/>
        <v>4.7275862251119315E-3</v>
      </c>
    </row>
    <row r="647" spans="1:7" ht="14.25" customHeight="1" x14ac:dyDescent="0.3">
      <c r="A647" s="20">
        <v>44874</v>
      </c>
      <c r="B647" s="21">
        <v>564.5</v>
      </c>
      <c r="C647" s="20">
        <v>44874</v>
      </c>
      <c r="D647" s="21">
        <v>18157</v>
      </c>
      <c r="F647" s="274">
        <f t="shared" si="20"/>
        <v>-6.3368698127896214E-3</v>
      </c>
      <c r="G647" s="274">
        <f t="shared" si="21"/>
        <v>-2.5161392359563488E-3</v>
      </c>
    </row>
    <row r="648" spans="1:7" ht="14.25" customHeight="1" x14ac:dyDescent="0.3">
      <c r="A648" s="20">
        <v>44875</v>
      </c>
      <c r="B648" s="21" t="s">
        <v>1369</v>
      </c>
      <c r="C648" s="20">
        <v>44875</v>
      </c>
      <c r="D648" s="21">
        <v>18028.19921875</v>
      </c>
      <c r="F648" s="274">
        <f t="shared" si="20"/>
        <v>-1.1248849576506563E-2</v>
      </c>
      <c r="G648" s="274">
        <f t="shared" si="21"/>
        <v>-7.093725904609792E-3</v>
      </c>
    </row>
    <row r="649" spans="1:7" ht="14.25" customHeight="1" x14ac:dyDescent="0.3">
      <c r="A649" s="20">
        <v>44876</v>
      </c>
      <c r="B649" s="21" t="s">
        <v>1370</v>
      </c>
      <c r="C649" s="20">
        <v>44876</v>
      </c>
      <c r="D649" s="21">
        <v>18349.69921875</v>
      </c>
      <c r="F649" s="274">
        <f t="shared" si="20"/>
        <v>-1.0750454086676804E-3</v>
      </c>
      <c r="G649" s="274">
        <f t="shared" si="21"/>
        <v>1.7833173247033349E-2</v>
      </c>
    </row>
    <row r="650" spans="1:7" ht="14.25" customHeight="1" x14ac:dyDescent="0.3">
      <c r="A650" s="20">
        <v>44879</v>
      </c>
      <c r="B650" s="21" t="s">
        <v>1371</v>
      </c>
      <c r="C650" s="20">
        <v>44879</v>
      </c>
      <c r="D650" s="21" t="s">
        <v>1372</v>
      </c>
      <c r="F650" s="274">
        <f t="shared" si="20"/>
        <v>4.0803516273141119E-2</v>
      </c>
      <c r="G650" s="274">
        <f t="shared" si="21"/>
        <v>-1.1198455015547556E-3</v>
      </c>
    </row>
    <row r="651" spans="1:7" ht="14.25" customHeight="1" x14ac:dyDescent="0.3">
      <c r="A651" s="20">
        <v>44880</v>
      </c>
      <c r="B651" s="21" t="s">
        <v>1373</v>
      </c>
      <c r="C651" s="20">
        <v>44880</v>
      </c>
      <c r="D651" s="21" t="s">
        <v>1374</v>
      </c>
      <c r="F651" s="274">
        <f t="shared" si="20"/>
        <v>1.0598008863403932E-2</v>
      </c>
      <c r="G651" s="274">
        <f t="shared" si="21"/>
        <v>4.0509242609508738E-3</v>
      </c>
    </row>
    <row r="652" spans="1:7" ht="14.25" customHeight="1" x14ac:dyDescent="0.3">
      <c r="A652" s="20">
        <v>44881</v>
      </c>
      <c r="B652" s="21" t="s">
        <v>1375</v>
      </c>
      <c r="C652" s="20">
        <v>44881</v>
      </c>
      <c r="D652" s="21" t="s">
        <v>1376</v>
      </c>
      <c r="F652" s="274">
        <f t="shared" si="20"/>
        <v>-1.5772870334146274E-2</v>
      </c>
      <c r="G652" s="274">
        <f t="shared" si="21"/>
        <v>3.3961115159912808E-4</v>
      </c>
    </row>
    <row r="653" spans="1:7" ht="14.25" customHeight="1" x14ac:dyDescent="0.3">
      <c r="A653" s="20">
        <v>44882</v>
      </c>
      <c r="B653" s="21" t="s">
        <v>1377</v>
      </c>
      <c r="C653" s="20">
        <v>44882</v>
      </c>
      <c r="D653" s="21" t="s">
        <v>1378</v>
      </c>
      <c r="F653" s="274">
        <f t="shared" si="20"/>
        <v>-5.1975050875847093E-3</v>
      </c>
      <c r="G653" s="274">
        <f t="shared" si="21"/>
        <v>-3.5714963948192506E-3</v>
      </c>
    </row>
    <row r="654" spans="1:7" ht="14.25" customHeight="1" x14ac:dyDescent="0.3">
      <c r="A654" s="20">
        <v>44883</v>
      </c>
      <c r="B654" s="21" t="s">
        <v>1379</v>
      </c>
      <c r="C654" s="20">
        <v>44883</v>
      </c>
      <c r="D654" s="21" t="s">
        <v>1380</v>
      </c>
      <c r="F654" s="274">
        <f t="shared" si="20"/>
        <v>-1.7421912045851475E-4</v>
      </c>
      <c r="G654" s="274">
        <f t="shared" si="21"/>
        <v>-1.9761337135545203E-3</v>
      </c>
    </row>
    <row r="655" spans="1:7" ht="14.25" customHeight="1" x14ac:dyDescent="0.3">
      <c r="A655" s="20">
        <v>44886</v>
      </c>
      <c r="B655" s="21" t="s">
        <v>1381</v>
      </c>
      <c r="C655" s="20">
        <v>44886</v>
      </c>
      <c r="D655" s="21">
        <v>18159.94921875</v>
      </c>
      <c r="F655" s="274">
        <f t="shared" si="20"/>
        <v>-1.7505640516204322E-2</v>
      </c>
      <c r="G655" s="274">
        <f t="shared" si="21"/>
        <v>-8.0677295405769262E-3</v>
      </c>
    </row>
    <row r="656" spans="1:7" ht="14.25" customHeight="1" x14ac:dyDescent="0.3">
      <c r="A656" s="20">
        <v>44887</v>
      </c>
      <c r="B656" s="21" t="s">
        <v>1382</v>
      </c>
      <c r="C656" s="20">
        <v>44887</v>
      </c>
      <c r="D656" s="21">
        <v>18244.19921875</v>
      </c>
      <c r="F656" s="274">
        <f t="shared" si="20"/>
        <v>3.1911848806382187E-3</v>
      </c>
      <c r="G656" s="274">
        <f t="shared" si="21"/>
        <v>4.6393301536885668E-3</v>
      </c>
    </row>
    <row r="657" spans="1:7" ht="14.25" customHeight="1" x14ac:dyDescent="0.3">
      <c r="A657" s="20">
        <v>44888</v>
      </c>
      <c r="B657" s="21" t="s">
        <v>1383</v>
      </c>
      <c r="C657" s="20">
        <v>44888</v>
      </c>
      <c r="D657" s="21">
        <v>18267.25</v>
      </c>
      <c r="F657" s="274">
        <f t="shared" si="20"/>
        <v>-5.2133097095574295E-3</v>
      </c>
      <c r="G657" s="274">
        <f t="shared" si="21"/>
        <v>1.2634580983039343E-3</v>
      </c>
    </row>
    <row r="658" spans="1:7" ht="14.25" customHeight="1" x14ac:dyDescent="0.3">
      <c r="A658" s="20">
        <v>44889</v>
      </c>
      <c r="B658" s="21" t="s">
        <v>1384</v>
      </c>
      <c r="C658" s="20">
        <v>44889</v>
      </c>
      <c r="D658" s="21" t="s">
        <v>1385</v>
      </c>
      <c r="F658" s="274">
        <f t="shared" si="20"/>
        <v>-8.9714844716550397E-3</v>
      </c>
      <c r="G658" s="274">
        <f t="shared" si="21"/>
        <v>1.1870949889830161E-2</v>
      </c>
    </row>
    <row r="659" spans="1:7" ht="14.25" customHeight="1" x14ac:dyDescent="0.3">
      <c r="A659" s="20">
        <v>44890</v>
      </c>
      <c r="B659" s="21" t="s">
        <v>1386</v>
      </c>
      <c r="C659" s="20">
        <v>44890</v>
      </c>
      <c r="D659" s="21">
        <v>18512.75</v>
      </c>
      <c r="F659" s="274">
        <f t="shared" si="20"/>
        <v>1.218974478036425E-2</v>
      </c>
      <c r="G659" s="274">
        <f t="shared" si="21"/>
        <v>1.5500019600883741E-3</v>
      </c>
    </row>
    <row r="660" spans="1:7" ht="14.25" customHeight="1" x14ac:dyDescent="0.3">
      <c r="A660" s="20">
        <v>44893</v>
      </c>
      <c r="B660" s="21" t="s">
        <v>1387</v>
      </c>
      <c r="C660" s="20">
        <v>44893</v>
      </c>
      <c r="D660" s="21">
        <v>18562.75</v>
      </c>
      <c r="F660" s="274">
        <f t="shared" si="20"/>
        <v>6.7298107299512272E-3</v>
      </c>
      <c r="G660" s="274">
        <f t="shared" si="21"/>
        <v>2.7008413120687092E-3</v>
      </c>
    </row>
    <row r="661" spans="1:7" ht="14.25" customHeight="1" x14ac:dyDescent="0.3">
      <c r="A661" s="20">
        <v>44894</v>
      </c>
      <c r="B661" s="21" t="s">
        <v>1388</v>
      </c>
      <c r="C661" s="20">
        <v>44894</v>
      </c>
      <c r="D661" s="21">
        <v>18618.05078125</v>
      </c>
      <c r="F661" s="274">
        <f t="shared" si="20"/>
        <v>-6.1570937194830961E-3</v>
      </c>
      <c r="G661" s="274">
        <f t="shared" si="21"/>
        <v>2.9791265437502526E-3</v>
      </c>
    </row>
    <row r="662" spans="1:7" ht="14.25" customHeight="1" x14ac:dyDescent="0.3">
      <c r="A662" s="20">
        <v>44895</v>
      </c>
      <c r="B662" s="21">
        <v>570.75</v>
      </c>
      <c r="C662" s="20">
        <v>44895</v>
      </c>
      <c r="D662" s="21" t="s">
        <v>1389</v>
      </c>
      <c r="F662" s="274">
        <f t="shared" si="20"/>
        <v>1.0266373427112202E-2</v>
      </c>
      <c r="G662" s="274">
        <f t="shared" si="21"/>
        <v>7.5356346254191742E-3</v>
      </c>
    </row>
    <row r="663" spans="1:7" ht="14.25" customHeight="1" x14ac:dyDescent="0.3">
      <c r="A663" s="20">
        <v>44896</v>
      </c>
      <c r="B663" s="21" t="s">
        <v>1390</v>
      </c>
      <c r="C663" s="20">
        <v>44896</v>
      </c>
      <c r="D663" s="21">
        <v>18812.5</v>
      </c>
      <c r="F663" s="274">
        <f t="shared" si="20"/>
        <v>1.7871243463917691E-2</v>
      </c>
      <c r="G663" s="274">
        <f t="shared" si="21"/>
        <v>2.8867353340049093E-3</v>
      </c>
    </row>
    <row r="664" spans="1:7" ht="14.25" customHeight="1" x14ac:dyDescent="0.3">
      <c r="A664" s="20">
        <v>44897</v>
      </c>
      <c r="B664" s="21" t="s">
        <v>1391</v>
      </c>
      <c r="C664" s="20">
        <v>44897</v>
      </c>
      <c r="D664" s="21" t="s">
        <v>1392</v>
      </c>
      <c r="F664" s="274">
        <f t="shared" si="20"/>
        <v>-5.1639554814759195E-3</v>
      </c>
      <c r="G664" s="274">
        <f t="shared" si="21"/>
        <v>-6.1873961794019936E-3</v>
      </c>
    </row>
    <row r="665" spans="1:7" ht="14.25" customHeight="1" x14ac:dyDescent="0.3">
      <c r="A665" s="20">
        <v>44900</v>
      </c>
      <c r="B665" s="21" t="s">
        <v>1393</v>
      </c>
      <c r="C665" s="20">
        <v>44900</v>
      </c>
      <c r="D665" s="21">
        <v>18701.05078125</v>
      </c>
      <c r="F665" s="274">
        <f t="shared" si="20"/>
        <v>-7.9592292134880518E-3</v>
      </c>
      <c r="G665" s="274">
        <f t="shared" si="21"/>
        <v>2.6482378562624241E-4</v>
      </c>
    </row>
    <row r="666" spans="1:7" ht="14.25" customHeight="1" x14ac:dyDescent="0.3">
      <c r="A666" s="20">
        <v>44901</v>
      </c>
      <c r="B666" s="21">
        <v>581</v>
      </c>
      <c r="C666" s="20">
        <v>44901</v>
      </c>
      <c r="D666" s="21">
        <v>18642.75</v>
      </c>
      <c r="F666" s="274">
        <f t="shared" si="20"/>
        <v>1.3342678538086595E-2</v>
      </c>
      <c r="G666" s="274">
        <f t="shared" si="21"/>
        <v>-3.1175136590962781E-3</v>
      </c>
    </row>
    <row r="667" spans="1:7" ht="14.25" customHeight="1" x14ac:dyDescent="0.3">
      <c r="A667" s="20">
        <v>44902</v>
      </c>
      <c r="B667" s="21">
        <v>582</v>
      </c>
      <c r="C667" s="20">
        <v>44902</v>
      </c>
      <c r="D667" s="21">
        <v>18560.5</v>
      </c>
      <c r="F667" s="274">
        <f t="shared" si="20"/>
        <v>1.7211703958691911E-3</v>
      </c>
      <c r="G667" s="274">
        <f t="shared" si="21"/>
        <v>-4.4119027503989484E-3</v>
      </c>
    </row>
    <row r="668" spans="1:7" ht="14.25" customHeight="1" x14ac:dyDescent="0.3">
      <c r="A668" s="20">
        <v>44903</v>
      </c>
      <c r="B668" s="21">
        <v>587.75</v>
      </c>
      <c r="C668" s="20">
        <v>44903</v>
      </c>
      <c r="D668" s="21" t="s">
        <v>1394</v>
      </c>
      <c r="F668" s="274">
        <f t="shared" si="20"/>
        <v>9.8797250859106525E-3</v>
      </c>
      <c r="G668" s="274">
        <f t="shared" si="21"/>
        <v>2.6319123609277765E-3</v>
      </c>
    </row>
    <row r="669" spans="1:7" ht="14.25" customHeight="1" x14ac:dyDescent="0.3">
      <c r="A669" s="20">
        <v>44904</v>
      </c>
      <c r="B669" s="21">
        <v>581</v>
      </c>
      <c r="C669" s="20">
        <v>44904</v>
      </c>
      <c r="D669" s="21" t="s">
        <v>1395</v>
      </c>
      <c r="F669" s="274">
        <f t="shared" si="20"/>
        <v>-1.1484474691620587E-2</v>
      </c>
      <c r="G669" s="274">
        <f t="shared" si="21"/>
        <v>-6.058782405979353E-3</v>
      </c>
    </row>
    <row r="670" spans="1:7" ht="14.25" customHeight="1" x14ac:dyDescent="0.3">
      <c r="A670" s="20">
        <v>44907</v>
      </c>
      <c r="B670" s="21" t="s">
        <v>1396</v>
      </c>
      <c r="C670" s="20">
        <v>44907</v>
      </c>
      <c r="D670" s="21" t="s">
        <v>1397</v>
      </c>
      <c r="F670" s="274">
        <f t="shared" si="20"/>
        <v>6.9707190928880447E-3</v>
      </c>
      <c r="G670" s="274">
        <f t="shared" si="21"/>
        <v>2.9777432697458433E-5</v>
      </c>
    </row>
    <row r="671" spans="1:7" ht="14.25" customHeight="1" x14ac:dyDescent="0.3">
      <c r="A671" s="20">
        <v>44908</v>
      </c>
      <c r="B671" s="21" t="s">
        <v>1398</v>
      </c>
      <c r="C671" s="20">
        <v>44908</v>
      </c>
      <c r="D671" s="21">
        <v>18608</v>
      </c>
      <c r="F671" s="274">
        <f t="shared" si="20"/>
        <v>-8.5462782742068075E-4</v>
      </c>
      <c r="G671" s="274">
        <f t="shared" si="21"/>
        <v>5.9927938646799584E-3</v>
      </c>
    </row>
    <row r="672" spans="1:7" ht="14.25" customHeight="1" x14ac:dyDescent="0.3">
      <c r="A672" s="20">
        <v>44909</v>
      </c>
      <c r="B672" s="21" t="s">
        <v>1399</v>
      </c>
      <c r="C672" s="20">
        <v>44909</v>
      </c>
      <c r="D672" s="21">
        <v>18660.30078125</v>
      </c>
      <c r="F672" s="274">
        <f t="shared" si="20"/>
        <v>-4.0201447866067361E-3</v>
      </c>
      <c r="G672" s="274">
        <f t="shared" si="21"/>
        <v>2.8106610731943251E-3</v>
      </c>
    </row>
    <row r="673" spans="1:7" ht="14.25" customHeight="1" x14ac:dyDescent="0.3">
      <c r="A673" s="20">
        <v>44910</v>
      </c>
      <c r="B673" s="21" t="s">
        <v>1400</v>
      </c>
      <c r="C673" s="20">
        <v>44910</v>
      </c>
      <c r="D673" s="21" t="s">
        <v>1401</v>
      </c>
      <c r="F673" s="274">
        <f t="shared" si="20"/>
        <v>-3.6070078254365229E-2</v>
      </c>
      <c r="G673" s="274">
        <f t="shared" si="21"/>
        <v>-1.3150934355333651E-2</v>
      </c>
    </row>
    <row r="674" spans="1:7" ht="14.25" customHeight="1" x14ac:dyDescent="0.3">
      <c r="A674" s="20">
        <v>44911</v>
      </c>
      <c r="B674" s="21" t="s">
        <v>1402</v>
      </c>
      <c r="C674" s="20">
        <v>44911</v>
      </c>
      <c r="D674" s="21">
        <v>18269</v>
      </c>
      <c r="F674" s="274">
        <f t="shared" si="20"/>
        <v>-9.1768073806869147E-3</v>
      </c>
      <c r="G674" s="274">
        <f t="shared" si="21"/>
        <v>-7.9229530179418008E-3</v>
      </c>
    </row>
    <row r="675" spans="1:7" ht="14.25" customHeight="1" x14ac:dyDescent="0.3">
      <c r="A675" s="20">
        <v>44914</v>
      </c>
      <c r="B675" s="21" t="s">
        <v>1403</v>
      </c>
      <c r="C675" s="20">
        <v>44914</v>
      </c>
      <c r="D675" s="21">
        <v>18420.44921875</v>
      </c>
      <c r="F675" s="274">
        <f t="shared" si="20"/>
        <v>1.4027493866024922E-2</v>
      </c>
      <c r="G675" s="274">
        <f t="shared" si="21"/>
        <v>8.2899566889265974E-3</v>
      </c>
    </row>
    <row r="676" spans="1:7" ht="14.25" customHeight="1" x14ac:dyDescent="0.3">
      <c r="A676" s="20">
        <v>44915</v>
      </c>
      <c r="B676" s="21" t="s">
        <v>1404</v>
      </c>
      <c r="C676" s="20">
        <v>44915</v>
      </c>
      <c r="D676" s="21">
        <v>18385.30078125</v>
      </c>
      <c r="F676" s="274">
        <f t="shared" si="20"/>
        <v>-6.6507052626952863E-3</v>
      </c>
      <c r="G676" s="274">
        <f t="shared" si="21"/>
        <v>-1.9081205394395452E-3</v>
      </c>
    </row>
    <row r="677" spans="1:7" ht="14.25" customHeight="1" x14ac:dyDescent="0.3">
      <c r="A677" s="20">
        <v>44916</v>
      </c>
      <c r="B677" s="21" t="s">
        <v>1405</v>
      </c>
      <c r="C677" s="20">
        <v>44916</v>
      </c>
      <c r="D677" s="21" t="s">
        <v>1406</v>
      </c>
      <c r="F677" s="274">
        <f t="shared" si="20"/>
        <v>-3.731470146386269E-2</v>
      </c>
      <c r="G677" s="274">
        <f t="shared" si="21"/>
        <v>-1.012771964355866E-2</v>
      </c>
    </row>
    <row r="678" spans="1:7" ht="14.25" customHeight="1" x14ac:dyDescent="0.3">
      <c r="A678" s="20">
        <v>44917</v>
      </c>
      <c r="B678" s="21" t="s">
        <v>1407</v>
      </c>
      <c r="C678" s="20">
        <v>44917</v>
      </c>
      <c r="D678" s="21" t="s">
        <v>1408</v>
      </c>
      <c r="F678" s="274">
        <f t="shared" si="20"/>
        <v>-1.1776773882296983E-2</v>
      </c>
      <c r="G678" s="274">
        <f t="shared" si="21"/>
        <v>-3.9425027358517802E-3</v>
      </c>
    </row>
    <row r="679" spans="1:7" ht="14.25" customHeight="1" x14ac:dyDescent="0.3">
      <c r="A679" s="20">
        <v>44918</v>
      </c>
      <c r="B679" s="21">
        <v>491.25</v>
      </c>
      <c r="C679" s="20">
        <v>44918</v>
      </c>
      <c r="D679" s="21">
        <v>17806.80078125</v>
      </c>
      <c r="F679" s="274">
        <f t="shared" si="20"/>
        <v>-7.8070709377799113E-2</v>
      </c>
      <c r="G679" s="274">
        <f t="shared" si="21"/>
        <v>-1.7683160254117921E-2</v>
      </c>
    </row>
    <row r="680" spans="1:7" ht="14.25" customHeight="1" x14ac:dyDescent="0.3">
      <c r="A680" s="20">
        <v>44921</v>
      </c>
      <c r="B680" s="21" t="s">
        <v>1409</v>
      </c>
      <c r="C680" s="20">
        <v>44921</v>
      </c>
      <c r="D680" s="21" t="s">
        <v>1410</v>
      </c>
      <c r="F680" s="274">
        <f t="shared" si="20"/>
        <v>4.6615825779261162E-2</v>
      </c>
      <c r="G680" s="274">
        <f t="shared" si="21"/>
        <v>1.1669632893506936E-2</v>
      </c>
    </row>
    <row r="681" spans="1:7" ht="14.25" customHeight="1" x14ac:dyDescent="0.3">
      <c r="A681" s="20">
        <v>44922</v>
      </c>
      <c r="B681" s="21" t="s">
        <v>1411</v>
      </c>
      <c r="C681" s="20">
        <v>44922</v>
      </c>
      <c r="D681" s="21">
        <v>18132.30078125</v>
      </c>
      <c r="F681" s="274">
        <f t="shared" si="20"/>
        <v>1.779629085758273E-2</v>
      </c>
      <c r="G681" s="274">
        <f t="shared" si="21"/>
        <v>6.533654614990554E-3</v>
      </c>
    </row>
    <row r="682" spans="1:7" ht="14.25" customHeight="1" x14ac:dyDescent="0.3">
      <c r="A682" s="20">
        <v>44923</v>
      </c>
      <c r="B682" s="21" t="s">
        <v>1412</v>
      </c>
      <c r="C682" s="20">
        <v>44923</v>
      </c>
      <c r="D682" s="21">
        <v>18122.5</v>
      </c>
      <c r="F682" s="274">
        <f t="shared" si="20"/>
        <v>-9.3635839732609943E-3</v>
      </c>
      <c r="G682" s="274">
        <f t="shared" si="21"/>
        <v>-5.405150382313676E-4</v>
      </c>
    </row>
    <row r="683" spans="1:7" ht="14.25" customHeight="1" x14ac:dyDescent="0.3">
      <c r="A683" s="20">
        <v>44924</v>
      </c>
      <c r="B683" s="21">
        <v>522.75</v>
      </c>
      <c r="C683" s="20">
        <v>44924</v>
      </c>
      <c r="D683" s="21">
        <v>18191</v>
      </c>
      <c r="F683" s="274">
        <f t="shared" si="20"/>
        <v>8.3911562134948818E-3</v>
      </c>
      <c r="G683" s="274">
        <f t="shared" si="21"/>
        <v>3.7798317009242652E-3</v>
      </c>
    </row>
    <row r="684" spans="1:7" ht="14.25" customHeight="1" x14ac:dyDescent="0.3">
      <c r="A684" s="20">
        <v>44925</v>
      </c>
      <c r="B684" s="21" t="s">
        <v>1413</v>
      </c>
      <c r="C684" s="20">
        <v>44925</v>
      </c>
      <c r="D684" s="21">
        <v>18105.30078125</v>
      </c>
      <c r="F684" s="274">
        <f t="shared" si="20"/>
        <v>2.5824497100660837E-3</v>
      </c>
      <c r="G684" s="274">
        <f t="shared" si="21"/>
        <v>-4.7110779368918698E-3</v>
      </c>
    </row>
    <row r="685" spans="1:7" ht="14.25" customHeight="1" x14ac:dyDescent="0.3">
      <c r="A685" s="20">
        <v>44928</v>
      </c>
      <c r="B685" s="21">
        <v>526.5</v>
      </c>
      <c r="C685" s="20">
        <v>44928</v>
      </c>
      <c r="D685" s="21">
        <v>18197.44921875</v>
      </c>
      <c r="F685" s="274">
        <f t="shared" si="20"/>
        <v>4.5793255597460355E-3</v>
      </c>
      <c r="G685" s="274">
        <f t="shared" si="21"/>
        <v>5.0895833553579895E-3</v>
      </c>
    </row>
    <row r="686" spans="1:7" ht="14.25" customHeight="1" x14ac:dyDescent="0.3">
      <c r="A686" s="20">
        <v>44929</v>
      </c>
      <c r="B686" s="21" t="s">
        <v>1414</v>
      </c>
      <c r="C686" s="20">
        <v>44929</v>
      </c>
      <c r="D686" s="21">
        <v>18232.55078125</v>
      </c>
      <c r="F686" s="274">
        <f t="shared" si="20"/>
        <v>8.4520649706192261E-3</v>
      </c>
      <c r="G686" s="274">
        <f t="shared" si="21"/>
        <v>1.928927624858137E-3</v>
      </c>
    </row>
    <row r="687" spans="1:7" ht="14.25" customHeight="1" x14ac:dyDescent="0.3">
      <c r="A687" s="20">
        <v>44930</v>
      </c>
      <c r="B687" s="21" t="s">
        <v>1415</v>
      </c>
      <c r="C687" s="20">
        <v>44930</v>
      </c>
      <c r="D687" s="21">
        <v>18042.94921875</v>
      </c>
      <c r="F687" s="274">
        <f t="shared" si="20"/>
        <v>-2.278940831133433E-2</v>
      </c>
      <c r="G687" s="274">
        <f t="shared" si="21"/>
        <v>-1.0399069487028801E-2</v>
      </c>
    </row>
    <row r="688" spans="1:7" ht="14.25" customHeight="1" x14ac:dyDescent="0.3">
      <c r="A688" s="20">
        <v>44931</v>
      </c>
      <c r="B688" s="21">
        <v>524.75</v>
      </c>
      <c r="C688" s="20">
        <v>44931</v>
      </c>
      <c r="D688" s="21" t="s">
        <v>1416</v>
      </c>
      <c r="F688" s="274">
        <f t="shared" si="20"/>
        <v>1.1371349506955378E-2</v>
      </c>
      <c r="G688" s="274">
        <f t="shared" si="21"/>
        <v>-2.8154392892826255E-3</v>
      </c>
    </row>
    <row r="689" spans="1:7" ht="14.25" customHeight="1" x14ac:dyDescent="0.3">
      <c r="A689" s="20">
        <v>44932</v>
      </c>
      <c r="B689" s="21" t="s">
        <v>1417</v>
      </c>
      <c r="C689" s="20">
        <v>44932</v>
      </c>
      <c r="D689" s="21">
        <v>17859.44921875</v>
      </c>
      <c r="F689" s="274">
        <f t="shared" si="20"/>
        <v>-9.4330866260734555E-3</v>
      </c>
      <c r="G689" s="274">
        <f t="shared" si="21"/>
        <v>-7.3755037054462009E-3</v>
      </c>
    </row>
    <row r="690" spans="1:7" ht="14.25" customHeight="1" x14ac:dyDescent="0.3">
      <c r="A690" s="20">
        <v>44935</v>
      </c>
      <c r="B690" s="21">
        <v>524.75</v>
      </c>
      <c r="C690" s="20">
        <v>44935</v>
      </c>
      <c r="D690" s="21">
        <v>18101.19921875</v>
      </c>
      <c r="F690" s="274">
        <f t="shared" si="20"/>
        <v>9.5229171282774153E-3</v>
      </c>
      <c r="G690" s="274">
        <f t="shared" si="21"/>
        <v>1.3536251708490276E-2</v>
      </c>
    </row>
    <row r="691" spans="1:7" ht="14.25" customHeight="1" x14ac:dyDescent="0.3">
      <c r="A691" s="20">
        <v>44936</v>
      </c>
      <c r="B691" s="21" t="s">
        <v>1418</v>
      </c>
      <c r="C691" s="20">
        <v>44936</v>
      </c>
      <c r="D691" s="21" t="s">
        <v>1419</v>
      </c>
      <c r="F691" s="274">
        <f t="shared" si="20"/>
        <v>-1.9628371210993763E-2</v>
      </c>
      <c r="G691" s="274">
        <f t="shared" si="21"/>
        <v>-1.0333504750958532E-2</v>
      </c>
    </row>
    <row r="692" spans="1:7" ht="14.25" customHeight="1" x14ac:dyDescent="0.3">
      <c r="A692" s="20">
        <v>44937</v>
      </c>
      <c r="B692" s="21" t="s">
        <v>1420</v>
      </c>
      <c r="C692" s="20">
        <v>44937</v>
      </c>
      <c r="D692" s="21">
        <v>17895.69921875</v>
      </c>
      <c r="F692" s="274">
        <f t="shared" si="20"/>
        <v>-1.2343290801518299E-2</v>
      </c>
      <c r="G692" s="274">
        <f t="shared" si="21"/>
        <v>-1.0299775022909285E-3</v>
      </c>
    </row>
    <row r="693" spans="1:7" ht="14.25" customHeight="1" x14ac:dyDescent="0.3">
      <c r="A693" s="20">
        <v>44938</v>
      </c>
      <c r="B693" s="21" t="s">
        <v>1421</v>
      </c>
      <c r="C693" s="20">
        <v>44938</v>
      </c>
      <c r="D693" s="21">
        <v>17858.19921875</v>
      </c>
      <c r="F693" s="274">
        <f t="shared" si="20"/>
        <v>4.526643899509031E-3</v>
      </c>
      <c r="G693" s="274">
        <f t="shared" si="21"/>
        <v>-2.0954755408891671E-3</v>
      </c>
    </row>
    <row r="694" spans="1:7" ht="14.25" customHeight="1" x14ac:dyDescent="0.3">
      <c r="A694" s="20">
        <v>44939</v>
      </c>
      <c r="B694" s="21" t="s">
        <v>1422</v>
      </c>
      <c r="C694" s="20">
        <v>44939</v>
      </c>
      <c r="D694" s="21" t="s">
        <v>1423</v>
      </c>
      <c r="F694" s="274">
        <f t="shared" si="20"/>
        <v>1.6163853088233551E-2</v>
      </c>
      <c r="G694" s="274">
        <f t="shared" si="21"/>
        <v>5.5100959183883276E-3</v>
      </c>
    </row>
    <row r="695" spans="1:7" ht="14.25" customHeight="1" x14ac:dyDescent="0.3">
      <c r="A695" s="20">
        <v>44942</v>
      </c>
      <c r="B695" s="21">
        <v>517</v>
      </c>
      <c r="C695" s="20">
        <v>44942</v>
      </c>
      <c r="D695" s="21" t="s">
        <v>1424</v>
      </c>
      <c r="F695" s="274">
        <f t="shared" si="20"/>
        <v>-3.181383083758915E-3</v>
      </c>
      <c r="G695" s="274">
        <f t="shared" si="21"/>
        <v>-3.4388470725693972E-3</v>
      </c>
    </row>
    <row r="696" spans="1:7" ht="14.25" customHeight="1" x14ac:dyDescent="0.3">
      <c r="A696" s="20">
        <v>44943</v>
      </c>
      <c r="B696" s="21">
        <v>517.5</v>
      </c>
      <c r="C696" s="20">
        <v>44943</v>
      </c>
      <c r="D696" s="21">
        <v>18053.30078125</v>
      </c>
      <c r="F696" s="274">
        <f t="shared" si="20"/>
        <v>9.6711798839458415E-4</v>
      </c>
      <c r="G696" s="274">
        <f t="shared" si="21"/>
        <v>8.854568511824118E-3</v>
      </c>
    </row>
    <row r="697" spans="1:7" ht="14.25" customHeight="1" x14ac:dyDescent="0.3">
      <c r="A697" s="20">
        <v>44944</v>
      </c>
      <c r="B697" s="21" t="s">
        <v>1425</v>
      </c>
      <c r="C697" s="20">
        <v>44944</v>
      </c>
      <c r="D697" s="21" t="s">
        <v>1426</v>
      </c>
      <c r="F697" s="274">
        <f t="shared" si="20"/>
        <v>5.7005066802531838E-3</v>
      </c>
      <c r="G697" s="274">
        <f t="shared" si="21"/>
        <v>6.2065563235601173E-3</v>
      </c>
    </row>
    <row r="698" spans="1:7" ht="14.25" customHeight="1" x14ac:dyDescent="0.3">
      <c r="A698" s="20">
        <v>44945</v>
      </c>
      <c r="B698" s="21">
        <v>519.25</v>
      </c>
      <c r="C698" s="20">
        <v>44945</v>
      </c>
      <c r="D698" s="21" t="s">
        <v>1427</v>
      </c>
      <c r="F698" s="274">
        <f t="shared" si="20"/>
        <v>-2.3057203936689831E-3</v>
      </c>
      <c r="G698" s="274">
        <f t="shared" si="21"/>
        <v>-3.1653670992560848E-3</v>
      </c>
    </row>
    <row r="699" spans="1:7" ht="14.25" customHeight="1" x14ac:dyDescent="0.3">
      <c r="A699" s="20">
        <v>44946</v>
      </c>
      <c r="B699" s="21">
        <v>517.75</v>
      </c>
      <c r="C699" s="20">
        <v>44946</v>
      </c>
      <c r="D699" s="21" t="s">
        <v>1428</v>
      </c>
      <c r="F699" s="274">
        <f t="shared" si="20"/>
        <v>-2.8887818969667791E-3</v>
      </c>
      <c r="G699" s="274">
        <f t="shared" si="21"/>
        <v>-4.4289753051891022E-3</v>
      </c>
    </row>
    <row r="700" spans="1:7" ht="14.25" customHeight="1" x14ac:dyDescent="0.3">
      <c r="A700" s="20">
        <v>44949</v>
      </c>
      <c r="B700" s="21" t="s">
        <v>1429</v>
      </c>
      <c r="C700" s="20">
        <v>44949</v>
      </c>
      <c r="D700" s="21">
        <v>18118.55078125</v>
      </c>
      <c r="F700" s="274">
        <f t="shared" si="20"/>
        <v>-3.215836580682762E-2</v>
      </c>
      <c r="G700" s="274">
        <f t="shared" si="21"/>
        <v>5.042276095628709E-3</v>
      </c>
    </row>
    <row r="701" spans="1:7" ht="14.25" customHeight="1" x14ac:dyDescent="0.3">
      <c r="A701" s="20">
        <v>44950</v>
      </c>
      <c r="B701" s="21" t="s">
        <v>1430</v>
      </c>
      <c r="C701" s="20">
        <v>44950</v>
      </c>
      <c r="D701" s="21">
        <v>18118.30078125</v>
      </c>
      <c r="F701" s="274">
        <f t="shared" si="20"/>
        <v>-4.2905485338186984E-3</v>
      </c>
      <c r="G701" s="274">
        <f t="shared" si="21"/>
        <v>-1.3798013043003017E-5</v>
      </c>
    </row>
    <row r="702" spans="1:7" ht="14.25" customHeight="1" x14ac:dyDescent="0.3">
      <c r="A702" s="20">
        <v>44951</v>
      </c>
      <c r="B702" s="21" t="s">
        <v>1431</v>
      </c>
      <c r="C702" s="20">
        <v>44951</v>
      </c>
      <c r="D702" s="21">
        <v>17891.94921875</v>
      </c>
      <c r="F702" s="274">
        <f t="shared" si="20"/>
        <v>-7.7663090594176254E-2</v>
      </c>
      <c r="G702" s="274">
        <f t="shared" si="21"/>
        <v>-1.2492979625012262E-2</v>
      </c>
    </row>
    <row r="703" spans="1:7" ht="14.25" customHeight="1" x14ac:dyDescent="0.3">
      <c r="A703" s="20">
        <v>44953</v>
      </c>
      <c r="B703" s="21" t="s">
        <v>1432</v>
      </c>
      <c r="C703" s="20">
        <v>44953</v>
      </c>
      <c r="D703" s="21" t="s">
        <v>1433</v>
      </c>
      <c r="F703" s="274">
        <f t="shared" si="20"/>
        <v>-0.17329421530767522</v>
      </c>
      <c r="G703" s="274">
        <f t="shared" si="21"/>
        <v>-1.6074246906178778E-2</v>
      </c>
    </row>
    <row r="704" spans="1:7" ht="14.25" customHeight="1" x14ac:dyDescent="0.3">
      <c r="A704" s="20">
        <v>44956</v>
      </c>
      <c r="B704" s="21">
        <v>387.5</v>
      </c>
      <c r="C704" s="20">
        <v>44956</v>
      </c>
      <c r="D704" s="21">
        <v>17648.94921875</v>
      </c>
      <c r="F704" s="274">
        <f t="shared" si="20"/>
        <v>1.8530654663594957E-2</v>
      </c>
      <c r="G704" s="274">
        <f t="shared" si="21"/>
        <v>2.5334426073456854E-3</v>
      </c>
    </row>
    <row r="705" spans="1:7" ht="14.25" customHeight="1" x14ac:dyDescent="0.3">
      <c r="A705" s="20">
        <v>44957</v>
      </c>
      <c r="B705" s="21" t="s">
        <v>1434</v>
      </c>
      <c r="C705" s="20">
        <v>44957</v>
      </c>
      <c r="D705" s="21" t="s">
        <v>1435</v>
      </c>
      <c r="F705" s="274">
        <f t="shared" si="20"/>
        <v>3.5354870211692958E-2</v>
      </c>
      <c r="G705" s="274">
        <f t="shared" si="21"/>
        <v>7.4798628016761802E-4</v>
      </c>
    </row>
    <row r="706" spans="1:7" ht="14.25" customHeight="1" x14ac:dyDescent="0.3">
      <c r="A706" s="20">
        <v>44958</v>
      </c>
      <c r="B706" s="21" t="s">
        <v>1436</v>
      </c>
      <c r="C706" s="20">
        <v>44958</v>
      </c>
      <c r="D706" s="21">
        <v>17616.30078125</v>
      </c>
      <c r="F706" s="274">
        <f t="shared" si="20"/>
        <v>-0.16724826535870205</v>
      </c>
      <c r="G706" s="274">
        <f t="shared" si="21"/>
        <v>-2.5959245256645981E-3</v>
      </c>
    </row>
    <row r="707" spans="1:7" ht="14.25" customHeight="1" x14ac:dyDescent="0.3">
      <c r="A707" s="20">
        <v>44959</v>
      </c>
      <c r="B707" s="21" t="s">
        <v>1437</v>
      </c>
      <c r="C707" s="20">
        <v>44959</v>
      </c>
      <c r="D707" s="21" t="s">
        <v>1438</v>
      </c>
      <c r="F707" s="274">
        <f t="shared" ref="F707:F770" si="22">(B707-B706)/B706</f>
        <v>5.5222931315172169E-2</v>
      </c>
      <c r="G707" s="274">
        <f t="shared" ref="G707:G770" si="23">(D707-D706)/D706</f>
        <v>-3.3493925304000889E-4</v>
      </c>
    </row>
    <row r="708" spans="1:7" ht="14.25" customHeight="1" x14ac:dyDescent="0.3">
      <c r="A708" s="20">
        <v>44960</v>
      </c>
      <c r="B708" s="21" t="s">
        <v>1439</v>
      </c>
      <c r="C708" s="20">
        <v>44960</v>
      </c>
      <c r="D708" s="21">
        <v>17854.05078125</v>
      </c>
      <c r="F708" s="274">
        <f t="shared" si="22"/>
        <v>5.9707896863999986E-2</v>
      </c>
      <c r="G708" s="274">
        <f t="shared" si="23"/>
        <v>1.3835596307890234E-2</v>
      </c>
    </row>
    <row r="709" spans="1:7" ht="14.25" customHeight="1" x14ac:dyDescent="0.3">
      <c r="A709" s="20">
        <v>44963</v>
      </c>
      <c r="B709" s="21">
        <v>379.75</v>
      </c>
      <c r="C709" s="20">
        <v>44963</v>
      </c>
      <c r="D709" s="21" t="s">
        <v>1440</v>
      </c>
      <c r="F709" s="274">
        <f t="shared" si="22"/>
        <v>1.6461439496821086E-2</v>
      </c>
      <c r="G709" s="274">
        <f t="shared" si="23"/>
        <v>-5.0101331608701366E-3</v>
      </c>
    </row>
    <row r="710" spans="1:7" ht="14.25" customHeight="1" x14ac:dyDescent="0.3">
      <c r="A710" s="20">
        <v>44964</v>
      </c>
      <c r="B710" s="21" t="s">
        <v>1441</v>
      </c>
      <c r="C710" s="20">
        <v>44964</v>
      </c>
      <c r="D710" s="21">
        <v>17721.5</v>
      </c>
      <c r="F710" s="274">
        <f t="shared" si="22"/>
        <v>1.1323206828092194E-2</v>
      </c>
      <c r="G710" s="274">
        <f t="shared" si="23"/>
        <v>-2.4261514654264895E-3</v>
      </c>
    </row>
    <row r="711" spans="1:7" ht="14.25" customHeight="1" x14ac:dyDescent="0.3">
      <c r="A711" s="20">
        <v>44965</v>
      </c>
      <c r="B711" s="21" t="s">
        <v>1442</v>
      </c>
      <c r="C711" s="20">
        <v>44965</v>
      </c>
      <c r="D711" s="21">
        <v>17871.69921875</v>
      </c>
      <c r="F711" s="274">
        <f t="shared" si="22"/>
        <v>1.5623125181282774E-3</v>
      </c>
      <c r="G711" s="274">
        <f t="shared" si="23"/>
        <v>8.4755364246818839E-3</v>
      </c>
    </row>
    <row r="712" spans="1:7" ht="14.25" customHeight="1" x14ac:dyDescent="0.3">
      <c r="A712" s="20">
        <v>44966</v>
      </c>
      <c r="B712" s="21" t="s">
        <v>1443</v>
      </c>
      <c r="C712" s="20">
        <v>44966</v>
      </c>
      <c r="D712" s="21">
        <v>17893.44921875</v>
      </c>
      <c r="F712" s="274">
        <f t="shared" si="22"/>
        <v>-6.9803734640749196E-2</v>
      </c>
      <c r="G712" s="274">
        <f t="shared" si="23"/>
        <v>1.2170079483645908E-3</v>
      </c>
    </row>
    <row r="713" spans="1:7" ht="14.25" customHeight="1" x14ac:dyDescent="0.3">
      <c r="A713" s="20">
        <v>44967</v>
      </c>
      <c r="B713" s="21" t="s">
        <v>1444</v>
      </c>
      <c r="C713" s="20">
        <v>44967</v>
      </c>
      <c r="D713" s="21">
        <v>17856.5</v>
      </c>
      <c r="F713" s="274">
        <f t="shared" si="22"/>
        <v>8.3845726728640213E-3</v>
      </c>
      <c r="G713" s="274">
        <f t="shared" si="23"/>
        <v>-2.0649578680046795E-3</v>
      </c>
    </row>
    <row r="714" spans="1:7" ht="14.25" customHeight="1" x14ac:dyDescent="0.3">
      <c r="A714" s="20">
        <v>44970</v>
      </c>
      <c r="B714" s="21" t="s">
        <v>1445</v>
      </c>
      <c r="C714" s="20">
        <v>44970</v>
      </c>
      <c r="D714" s="21" t="s">
        <v>1446</v>
      </c>
      <c r="F714" s="274">
        <f t="shared" si="22"/>
        <v>-5.0859135828093364E-2</v>
      </c>
      <c r="G714" s="274">
        <f t="shared" si="23"/>
        <v>-4.7937507000252013E-3</v>
      </c>
    </row>
    <row r="715" spans="1:7" ht="14.25" customHeight="1" x14ac:dyDescent="0.3">
      <c r="A715" s="20">
        <v>44971</v>
      </c>
      <c r="B715" s="21">
        <v>336.5</v>
      </c>
      <c r="C715" s="20">
        <v>44971</v>
      </c>
      <c r="D715" s="21" t="s">
        <v>1447</v>
      </c>
      <c r="F715" s="274">
        <f t="shared" si="22"/>
        <v>-1.7374834267589085E-2</v>
      </c>
      <c r="G715" s="274">
        <f t="shared" si="23"/>
        <v>8.944353704995911E-3</v>
      </c>
    </row>
    <row r="716" spans="1:7" ht="14.25" customHeight="1" x14ac:dyDescent="0.3">
      <c r="A716" s="20">
        <v>44972</v>
      </c>
      <c r="B716" s="21" t="s">
        <v>1448</v>
      </c>
      <c r="C716" s="20">
        <v>44972</v>
      </c>
      <c r="D716" s="21" t="s">
        <v>1449</v>
      </c>
      <c r="F716" s="274">
        <f t="shared" si="22"/>
        <v>2.4814282625601782E-2</v>
      </c>
      <c r="G716" s="274">
        <f t="shared" si="23"/>
        <v>4.796470794436172E-3</v>
      </c>
    </row>
    <row r="717" spans="1:7" ht="14.25" customHeight="1" x14ac:dyDescent="0.3">
      <c r="A717" s="20">
        <v>44973</v>
      </c>
      <c r="B717" s="21" t="s">
        <v>1450</v>
      </c>
      <c r="C717" s="20">
        <v>44973</v>
      </c>
      <c r="D717" s="21" t="s">
        <v>1451</v>
      </c>
      <c r="F717" s="274">
        <f t="shared" si="22"/>
        <v>8.5543907126030428E-3</v>
      </c>
      <c r="G717" s="274">
        <f t="shared" si="23"/>
        <v>1.110133600892877E-3</v>
      </c>
    </row>
    <row r="718" spans="1:7" ht="14.25" customHeight="1" x14ac:dyDescent="0.3">
      <c r="A718" s="20">
        <v>44974</v>
      </c>
      <c r="B718" s="21" t="s">
        <v>1452</v>
      </c>
      <c r="C718" s="20">
        <v>44974</v>
      </c>
      <c r="D718" s="21">
        <v>17944.19921875</v>
      </c>
      <c r="F718" s="274">
        <f t="shared" si="22"/>
        <v>1.5813686581478373E-2</v>
      </c>
      <c r="G718" s="274">
        <f t="shared" si="23"/>
        <v>-5.0815676893513411E-3</v>
      </c>
    </row>
    <row r="719" spans="1:7" ht="14.25" customHeight="1" x14ac:dyDescent="0.3">
      <c r="A719" s="20">
        <v>44977</v>
      </c>
      <c r="B719" s="21" t="s">
        <v>1453</v>
      </c>
      <c r="C719" s="20">
        <v>44977</v>
      </c>
      <c r="D719" s="21" t="s">
        <v>1454</v>
      </c>
      <c r="F719" s="274">
        <f t="shared" si="22"/>
        <v>-2.4058183280636562E-3</v>
      </c>
      <c r="G719" s="274">
        <f t="shared" si="23"/>
        <v>-5.5505184801408012E-3</v>
      </c>
    </row>
    <row r="720" spans="1:7" ht="14.25" customHeight="1" x14ac:dyDescent="0.3">
      <c r="A720" s="20">
        <v>44978</v>
      </c>
      <c r="B720" s="21" t="s">
        <v>1122</v>
      </c>
      <c r="C720" s="20">
        <v>44978</v>
      </c>
      <c r="D720" s="21">
        <v>17826.69921875</v>
      </c>
      <c r="F720" s="274">
        <f t="shared" si="22"/>
        <v>1.1348953968797668E-3</v>
      </c>
      <c r="G720" s="274">
        <f t="shared" si="23"/>
        <v>-1.0031264929920697E-3</v>
      </c>
    </row>
    <row r="721" spans="1:7" ht="14.25" customHeight="1" x14ac:dyDescent="0.3">
      <c r="A721" s="20">
        <v>44979</v>
      </c>
      <c r="B721" s="21" t="s">
        <v>1455</v>
      </c>
      <c r="C721" s="20">
        <v>44979</v>
      </c>
      <c r="D721" s="21">
        <v>17554.30078125</v>
      </c>
      <c r="F721" s="274">
        <f t="shared" si="22"/>
        <v>-4.945447613769275E-2</v>
      </c>
      <c r="G721" s="274">
        <f t="shared" si="23"/>
        <v>-1.5280363131582609E-2</v>
      </c>
    </row>
    <row r="722" spans="1:7" ht="14.25" customHeight="1" x14ac:dyDescent="0.3">
      <c r="A722" s="20">
        <v>44980</v>
      </c>
      <c r="B722" s="21" t="s">
        <v>1456</v>
      </c>
      <c r="C722" s="20">
        <v>44980</v>
      </c>
      <c r="D722" s="21">
        <v>17511.25</v>
      </c>
      <c r="F722" s="274">
        <f t="shared" si="22"/>
        <v>4.4722719955175424E-3</v>
      </c>
      <c r="G722" s="274">
        <f t="shared" si="23"/>
        <v>-2.4524349779846064E-3</v>
      </c>
    </row>
    <row r="723" spans="1:7" ht="14.25" customHeight="1" x14ac:dyDescent="0.3">
      <c r="A723" s="20">
        <v>44981</v>
      </c>
      <c r="B723" s="21">
        <v>345.25</v>
      </c>
      <c r="C723" s="20">
        <v>44981</v>
      </c>
      <c r="D723" s="21">
        <v>17465.80078125</v>
      </c>
      <c r="F723" s="274">
        <f t="shared" si="22"/>
        <v>2.4784821177769593E-2</v>
      </c>
      <c r="G723" s="274">
        <f t="shared" si="23"/>
        <v>-2.5954297237490184E-3</v>
      </c>
    </row>
    <row r="724" spans="1:7" ht="14.25" customHeight="1" x14ac:dyDescent="0.3">
      <c r="A724" s="20">
        <v>44984</v>
      </c>
      <c r="B724" s="21" t="s">
        <v>1457</v>
      </c>
      <c r="C724" s="20">
        <v>44984</v>
      </c>
      <c r="D724" s="21">
        <v>17392.69921875</v>
      </c>
      <c r="F724" s="274">
        <f t="shared" si="22"/>
        <v>-4.4460553522131852E-2</v>
      </c>
      <c r="G724" s="274">
        <f t="shared" si="23"/>
        <v>-4.1854114458053631E-3</v>
      </c>
    </row>
    <row r="725" spans="1:7" ht="14.25" customHeight="1" x14ac:dyDescent="0.3">
      <c r="A725" s="20">
        <v>44985</v>
      </c>
      <c r="B725" s="21" t="s">
        <v>1458</v>
      </c>
      <c r="C725" s="20">
        <v>44985</v>
      </c>
      <c r="D725" s="21">
        <v>17303.94921875</v>
      </c>
      <c r="F725" s="274">
        <f t="shared" si="22"/>
        <v>3.6980940990435855E-2</v>
      </c>
      <c r="G725" s="274">
        <f t="shared" si="23"/>
        <v>-5.1027157362857215E-3</v>
      </c>
    </row>
    <row r="726" spans="1:7" ht="14.25" customHeight="1" x14ac:dyDescent="0.3">
      <c r="A726" s="20">
        <v>44986</v>
      </c>
      <c r="B726" s="21" t="s">
        <v>1459</v>
      </c>
      <c r="C726" s="20">
        <v>44986</v>
      </c>
      <c r="D726" s="21" t="s">
        <v>1460</v>
      </c>
      <c r="F726" s="274">
        <f t="shared" si="22"/>
        <v>3.3615901183352365E-2</v>
      </c>
      <c r="G726" s="274">
        <f t="shared" si="23"/>
        <v>8.4923487706360379E-3</v>
      </c>
    </row>
    <row r="727" spans="1:7" ht="14.25" customHeight="1" x14ac:dyDescent="0.3">
      <c r="A727" s="20">
        <v>44987</v>
      </c>
      <c r="B727" s="21" t="s">
        <v>1282</v>
      </c>
      <c r="C727" s="20">
        <v>44987</v>
      </c>
      <c r="D727" s="21" t="s">
        <v>1461</v>
      </c>
      <c r="F727" s="274">
        <f t="shared" si="22"/>
        <v>4.8359744933121028E-2</v>
      </c>
      <c r="G727" s="274">
        <f t="shared" si="23"/>
        <v>-7.3921687198043708E-3</v>
      </c>
    </row>
    <row r="728" spans="1:7" ht="14.25" customHeight="1" x14ac:dyDescent="0.3">
      <c r="A728" s="20">
        <v>44988</v>
      </c>
      <c r="B728" s="21" t="s">
        <v>1462</v>
      </c>
      <c r="C728" s="20">
        <v>44988</v>
      </c>
      <c r="D728" s="21" t="s">
        <v>1463</v>
      </c>
      <c r="F728" s="274">
        <f t="shared" si="22"/>
        <v>5.7054203399033034E-2</v>
      </c>
      <c r="G728" s="274">
        <f t="shared" si="23"/>
        <v>1.5728598629827915E-2</v>
      </c>
    </row>
    <row r="729" spans="1:7" ht="14.25" customHeight="1" x14ac:dyDescent="0.3">
      <c r="A729" s="20">
        <v>44991</v>
      </c>
      <c r="B729" s="21">
        <v>385.5</v>
      </c>
      <c r="C729" s="20">
        <v>44991</v>
      </c>
      <c r="D729" s="21">
        <v>17711.44921875</v>
      </c>
      <c r="F729" s="274">
        <f t="shared" si="22"/>
        <v>-1.6205195877520336E-2</v>
      </c>
      <c r="G729" s="274">
        <f t="shared" si="23"/>
        <v>6.6555236183669141E-3</v>
      </c>
    </row>
    <row r="730" spans="1:7" ht="14.25" customHeight="1" x14ac:dyDescent="0.3">
      <c r="A730" s="20">
        <v>44993</v>
      </c>
      <c r="B730" s="21" t="s">
        <v>1464</v>
      </c>
      <c r="C730" s="20">
        <v>44993</v>
      </c>
      <c r="D730" s="21" t="s">
        <v>1465</v>
      </c>
      <c r="F730" s="274">
        <f t="shared" si="22"/>
        <v>1.712063840081712E-2</v>
      </c>
      <c r="G730" s="274">
        <f t="shared" si="23"/>
        <v>2.4250512391459354E-3</v>
      </c>
    </row>
    <row r="731" spans="1:7" ht="14.25" customHeight="1" x14ac:dyDescent="0.3">
      <c r="A731" s="20">
        <v>44994</v>
      </c>
      <c r="B731" s="21" t="s">
        <v>1466</v>
      </c>
      <c r="C731" s="20">
        <v>44994</v>
      </c>
      <c r="D731" s="21" t="s">
        <v>1467</v>
      </c>
      <c r="F731" s="274">
        <f t="shared" si="22"/>
        <v>-1.8872720686799398E-2</v>
      </c>
      <c r="G731" s="274">
        <f t="shared" si="23"/>
        <v>-9.2822498999752812E-3</v>
      </c>
    </row>
    <row r="732" spans="1:7" ht="14.25" customHeight="1" x14ac:dyDescent="0.3">
      <c r="A732" s="20">
        <v>44995</v>
      </c>
      <c r="B732" s="21" t="s">
        <v>1468</v>
      </c>
      <c r="C732" s="20">
        <v>44995</v>
      </c>
      <c r="D732" s="21" t="s">
        <v>1469</v>
      </c>
      <c r="F732" s="274">
        <f t="shared" si="22"/>
        <v>-1.6506383940790438E-2</v>
      </c>
      <c r="G732" s="274">
        <f t="shared" si="23"/>
        <v>-1.0045664635585105E-2</v>
      </c>
    </row>
    <row r="733" spans="1:7" ht="14.25" customHeight="1" x14ac:dyDescent="0.3">
      <c r="A733" s="20">
        <v>44998</v>
      </c>
      <c r="B733" s="21">
        <v>368</v>
      </c>
      <c r="C733" s="20">
        <v>44998</v>
      </c>
      <c r="D733" s="21">
        <v>17154.30078125</v>
      </c>
      <c r="F733" s="274">
        <f t="shared" si="22"/>
        <v>-2.7355638790932862E-2</v>
      </c>
      <c r="G733" s="274">
        <f t="shared" si="23"/>
        <v>-1.4851035931626214E-2</v>
      </c>
    </row>
    <row r="734" spans="1:7" ht="14.25" customHeight="1" x14ac:dyDescent="0.3">
      <c r="A734" s="20">
        <v>44999</v>
      </c>
      <c r="B734" s="21" t="s">
        <v>1470</v>
      </c>
      <c r="C734" s="20">
        <v>44999</v>
      </c>
      <c r="D734" s="21">
        <v>17043.30078125</v>
      </c>
      <c r="F734" s="274">
        <f t="shared" si="22"/>
        <v>-3.9673929629119628E-2</v>
      </c>
      <c r="G734" s="274">
        <f t="shared" si="23"/>
        <v>-6.470680525861203E-3</v>
      </c>
    </row>
    <row r="735" spans="1:7" ht="14.25" customHeight="1" x14ac:dyDescent="0.3">
      <c r="A735" s="20">
        <v>45000</v>
      </c>
      <c r="B735" s="21" t="s">
        <v>1127</v>
      </c>
      <c r="C735" s="20">
        <v>45000</v>
      </c>
      <c r="D735" s="21" t="s">
        <v>1471</v>
      </c>
      <c r="F735" s="274">
        <f t="shared" si="22"/>
        <v>3.3248444264098509E-2</v>
      </c>
      <c r="G735" s="274">
        <f t="shared" si="23"/>
        <v>-4.1746837386848982E-3</v>
      </c>
    </row>
    <row r="736" spans="1:7" ht="14.25" customHeight="1" x14ac:dyDescent="0.3">
      <c r="A736" s="20">
        <v>45001</v>
      </c>
      <c r="B736" s="21" t="s">
        <v>1472</v>
      </c>
      <c r="C736" s="20">
        <v>45001</v>
      </c>
      <c r="D736" s="21" t="s">
        <v>1473</v>
      </c>
      <c r="F736" s="274">
        <f t="shared" si="22"/>
        <v>3.7381881759947826E-2</v>
      </c>
      <c r="G736" s="274">
        <f t="shared" si="23"/>
        <v>7.9242868113100259E-4</v>
      </c>
    </row>
    <row r="737" spans="1:7" ht="14.25" customHeight="1" x14ac:dyDescent="0.3">
      <c r="A737" s="20">
        <v>45002</v>
      </c>
      <c r="B737" s="21" t="s">
        <v>1474</v>
      </c>
      <c r="C737" s="20">
        <v>45002</v>
      </c>
      <c r="D737" s="21">
        <v>17100.05078125</v>
      </c>
      <c r="F737" s="274">
        <f t="shared" si="22"/>
        <v>-9.239060116555931E-4</v>
      </c>
      <c r="G737" s="274">
        <f t="shared" si="23"/>
        <v>6.7381296219787279E-3</v>
      </c>
    </row>
    <row r="738" spans="1:7" ht="14.25" customHeight="1" x14ac:dyDescent="0.3">
      <c r="A738" s="20">
        <v>45005</v>
      </c>
      <c r="B738" s="21" t="s">
        <v>1207</v>
      </c>
      <c r="C738" s="20">
        <v>45005</v>
      </c>
      <c r="D738" s="21" t="s">
        <v>1475</v>
      </c>
      <c r="F738" s="274">
        <f t="shared" si="22"/>
        <v>-3.4482805891437082E-2</v>
      </c>
      <c r="G738" s="274">
        <f t="shared" si="23"/>
        <v>-6.5292432199922654E-3</v>
      </c>
    </row>
    <row r="739" spans="1:7" ht="14.25" customHeight="1" x14ac:dyDescent="0.3">
      <c r="A739" s="20">
        <v>45006</v>
      </c>
      <c r="B739" s="21" t="s">
        <v>1275</v>
      </c>
      <c r="C739" s="20">
        <v>45006</v>
      </c>
      <c r="D739" s="21">
        <v>17107.5</v>
      </c>
      <c r="F739" s="274">
        <f t="shared" si="22"/>
        <v>1.5051998062041903E-2</v>
      </c>
      <c r="G739" s="274">
        <f t="shared" si="23"/>
        <v>7.0106429467441077E-3</v>
      </c>
    </row>
    <row r="740" spans="1:7" ht="14.25" customHeight="1" x14ac:dyDescent="0.3">
      <c r="A740" s="20">
        <v>45007</v>
      </c>
      <c r="B740" s="21" t="s">
        <v>1476</v>
      </c>
      <c r="C740" s="20">
        <v>45007</v>
      </c>
      <c r="D740" s="21" t="s">
        <v>1477</v>
      </c>
      <c r="F740" s="274">
        <f t="shared" si="22"/>
        <v>1.2537055737406726E-2</v>
      </c>
      <c r="G740" s="274">
        <f t="shared" si="23"/>
        <v>2.5953757489405233E-3</v>
      </c>
    </row>
    <row r="741" spans="1:7" ht="14.25" customHeight="1" x14ac:dyDescent="0.3">
      <c r="A741" s="20">
        <v>45008</v>
      </c>
      <c r="B741" s="21" t="s">
        <v>1478</v>
      </c>
      <c r="C741" s="20">
        <v>45008</v>
      </c>
      <c r="D741" s="21" t="s">
        <v>1479</v>
      </c>
      <c r="F741" s="274">
        <f t="shared" si="22"/>
        <v>-9.053372405801733E-3</v>
      </c>
      <c r="G741" s="274">
        <f t="shared" si="23"/>
        <v>-4.3726933046436068E-3</v>
      </c>
    </row>
    <row r="742" spans="1:7" ht="14.25" customHeight="1" x14ac:dyDescent="0.3">
      <c r="A742" s="20">
        <v>45009</v>
      </c>
      <c r="B742" s="21" t="s">
        <v>1480</v>
      </c>
      <c r="C742" s="20">
        <v>45009</v>
      </c>
      <c r="D742" s="21">
        <v>16945.05078125</v>
      </c>
      <c r="F742" s="274">
        <f t="shared" si="22"/>
        <v>-9.4049740496119044E-4</v>
      </c>
      <c r="G742" s="274">
        <f t="shared" si="23"/>
        <v>-7.7209333285906939E-3</v>
      </c>
    </row>
    <row r="743" spans="1:7" ht="14.25" customHeight="1" x14ac:dyDescent="0.3">
      <c r="A743" s="20">
        <v>45012</v>
      </c>
      <c r="B743" s="21">
        <v>370</v>
      </c>
      <c r="C743" s="20">
        <v>45012</v>
      </c>
      <c r="D743" s="21">
        <v>16985.69921875</v>
      </c>
      <c r="F743" s="274">
        <f t="shared" si="22"/>
        <v>-4.8412798603164851E-3</v>
      </c>
      <c r="G743" s="274">
        <f t="shared" si="23"/>
        <v>2.3988383407489234E-3</v>
      </c>
    </row>
    <row r="744" spans="1:7" ht="14.25" customHeight="1" x14ac:dyDescent="0.3">
      <c r="A744" s="20">
        <v>45013</v>
      </c>
      <c r="B744" s="21" t="s">
        <v>1257</v>
      </c>
      <c r="C744" s="20">
        <v>45013</v>
      </c>
      <c r="D744" s="21">
        <v>16951.69921875</v>
      </c>
      <c r="F744" s="274">
        <f t="shared" si="22"/>
        <v>-2.9864831872889127E-2</v>
      </c>
      <c r="G744" s="274">
        <f t="shared" si="23"/>
        <v>-2.0016838613548761E-3</v>
      </c>
    </row>
    <row r="745" spans="1:7" ht="14.25" customHeight="1" x14ac:dyDescent="0.3">
      <c r="A745" s="20">
        <v>45014</v>
      </c>
      <c r="B745" s="21" t="s">
        <v>1481</v>
      </c>
      <c r="C745" s="20">
        <v>45014</v>
      </c>
      <c r="D745" s="21">
        <v>17080.69921875</v>
      </c>
      <c r="F745" s="274">
        <f t="shared" si="22"/>
        <v>1.3790169998929994E-2</v>
      </c>
      <c r="G745" s="274">
        <f t="shared" si="23"/>
        <v>7.6098565893214518E-3</v>
      </c>
    </row>
    <row r="746" spans="1:7" ht="14.25" customHeight="1" x14ac:dyDescent="0.3">
      <c r="A746" s="20">
        <v>45016</v>
      </c>
      <c r="B746" s="21" t="s">
        <v>1482</v>
      </c>
      <c r="C746" s="20">
        <v>45016</v>
      </c>
      <c r="D746" s="21">
        <v>17359.75</v>
      </c>
      <c r="F746" s="274">
        <f t="shared" si="22"/>
        <v>4.534195999336554E-3</v>
      </c>
      <c r="G746" s="274">
        <f t="shared" si="23"/>
        <v>1.6337198944623856E-2</v>
      </c>
    </row>
    <row r="747" spans="1:7" ht="14.25" customHeight="1" x14ac:dyDescent="0.3">
      <c r="A747" s="20">
        <v>45019</v>
      </c>
      <c r="B747" s="21" t="s">
        <v>1291</v>
      </c>
      <c r="C747" s="20">
        <v>45019</v>
      </c>
      <c r="D747" s="21">
        <v>17398.05078125</v>
      </c>
      <c r="F747" s="274">
        <f t="shared" si="22"/>
        <v>2.5304336777160027E-2</v>
      </c>
      <c r="G747" s="274">
        <f t="shared" si="23"/>
        <v>2.2062979737611428E-3</v>
      </c>
    </row>
    <row r="748" spans="1:7" ht="14.25" customHeight="1" x14ac:dyDescent="0.3">
      <c r="A748" s="20">
        <v>45021</v>
      </c>
      <c r="B748" s="21" t="s">
        <v>1483</v>
      </c>
      <c r="C748" s="20">
        <v>45021</v>
      </c>
      <c r="D748" s="21">
        <v>17557.05078125</v>
      </c>
      <c r="F748" s="274">
        <f t="shared" si="22"/>
        <v>1.3740727272669447E-2</v>
      </c>
      <c r="G748" s="274">
        <f t="shared" si="23"/>
        <v>9.1389548173612303E-3</v>
      </c>
    </row>
    <row r="749" spans="1:7" ht="14.25" customHeight="1" x14ac:dyDescent="0.3">
      <c r="A749" s="20">
        <v>45022</v>
      </c>
      <c r="B749" s="21" t="s">
        <v>1484</v>
      </c>
      <c r="C749" s="20">
        <v>45022</v>
      </c>
      <c r="D749" s="21" t="s">
        <v>1485</v>
      </c>
      <c r="F749" s="274">
        <f t="shared" si="22"/>
        <v>9.6065108019923722E-3</v>
      </c>
      <c r="G749" s="274">
        <f t="shared" si="23"/>
        <v>2.3978747854372074E-3</v>
      </c>
    </row>
    <row r="750" spans="1:7" ht="14.25" customHeight="1" x14ac:dyDescent="0.3">
      <c r="A750" s="20">
        <v>45026</v>
      </c>
      <c r="B750" s="21" t="s">
        <v>1486</v>
      </c>
      <c r="C750" s="20">
        <v>45026</v>
      </c>
      <c r="D750" s="21">
        <v>17624.05078125</v>
      </c>
      <c r="F750" s="274">
        <f t="shared" si="22"/>
        <v>1.9551615955856151E-3</v>
      </c>
      <c r="G750" s="274">
        <f t="shared" si="23"/>
        <v>1.4148632219350965E-3</v>
      </c>
    </row>
    <row r="751" spans="1:7" ht="14.25" customHeight="1" x14ac:dyDescent="0.3">
      <c r="A751" s="20">
        <v>45027</v>
      </c>
      <c r="B751" s="21" t="s">
        <v>1487</v>
      </c>
      <c r="C751" s="20">
        <v>45027</v>
      </c>
      <c r="D751" s="21">
        <v>17722.30078125</v>
      </c>
      <c r="F751" s="274">
        <f t="shared" si="22"/>
        <v>1.300579996752086E-4</v>
      </c>
      <c r="G751" s="274">
        <f t="shared" si="23"/>
        <v>5.574768321964148E-3</v>
      </c>
    </row>
    <row r="752" spans="1:7" ht="14.25" customHeight="1" x14ac:dyDescent="0.3">
      <c r="A752" s="20">
        <v>45028</v>
      </c>
      <c r="B752" s="21" t="s">
        <v>1488</v>
      </c>
      <c r="C752" s="20">
        <v>45028</v>
      </c>
      <c r="D752" s="21" t="s">
        <v>1489</v>
      </c>
      <c r="F752" s="274">
        <f t="shared" si="22"/>
        <v>3.0306956507448045E-2</v>
      </c>
      <c r="G752" s="274">
        <f t="shared" si="23"/>
        <v>5.0839679614468796E-3</v>
      </c>
    </row>
    <row r="753" spans="1:7" ht="14.25" customHeight="1" x14ac:dyDescent="0.3">
      <c r="A753" s="20">
        <v>45029</v>
      </c>
      <c r="B753" s="21" t="s">
        <v>1490</v>
      </c>
      <c r="C753" s="20">
        <v>45029</v>
      </c>
      <c r="D753" s="21">
        <v>17828</v>
      </c>
      <c r="F753" s="274">
        <f t="shared" si="22"/>
        <v>-8.58475950329117E-3</v>
      </c>
      <c r="G753" s="274">
        <f t="shared" si="23"/>
        <v>8.7577244127132723E-4</v>
      </c>
    </row>
    <row r="754" spans="1:7" ht="14.25" customHeight="1" x14ac:dyDescent="0.3">
      <c r="A754" s="20">
        <v>45033</v>
      </c>
      <c r="B754" s="21" t="s">
        <v>1491</v>
      </c>
      <c r="C754" s="20">
        <v>45033</v>
      </c>
      <c r="D754" s="21" t="s">
        <v>1492</v>
      </c>
      <c r="F754" s="274">
        <f t="shared" si="22"/>
        <v>-2.8014927304594981E-3</v>
      </c>
      <c r="G754" s="274">
        <f t="shared" si="23"/>
        <v>-6.7955121508301549E-3</v>
      </c>
    </row>
    <row r="755" spans="1:7" ht="14.25" customHeight="1" x14ac:dyDescent="0.3">
      <c r="A755" s="20">
        <v>45034</v>
      </c>
      <c r="B755" s="21" t="s">
        <v>965</v>
      </c>
      <c r="C755" s="20">
        <v>45034</v>
      </c>
      <c r="D755" s="21" t="s">
        <v>1493</v>
      </c>
      <c r="F755" s="274">
        <f t="shared" si="22"/>
        <v>-2.1708594726082265E-2</v>
      </c>
      <c r="G755" s="274">
        <f t="shared" si="23"/>
        <v>-2.6373533282439362E-3</v>
      </c>
    </row>
    <row r="756" spans="1:7" ht="14.25" customHeight="1" x14ac:dyDescent="0.3">
      <c r="A756" s="20">
        <v>45035</v>
      </c>
      <c r="B756" s="21" t="s">
        <v>1296</v>
      </c>
      <c r="C756" s="20">
        <v>45035</v>
      </c>
      <c r="D756" s="21">
        <v>17618.75</v>
      </c>
      <c r="F756" s="274">
        <f t="shared" si="22"/>
        <v>-7.8318759838244632E-3</v>
      </c>
      <c r="G756" s="274">
        <f t="shared" si="23"/>
        <v>-2.3442830162407708E-3</v>
      </c>
    </row>
    <row r="757" spans="1:7" ht="14.25" customHeight="1" x14ac:dyDescent="0.3">
      <c r="A757" s="20">
        <v>45036</v>
      </c>
      <c r="B757" s="21" t="s">
        <v>1494</v>
      </c>
      <c r="C757" s="20">
        <v>45036</v>
      </c>
      <c r="D757" s="21">
        <v>17624.44921875</v>
      </c>
      <c r="F757" s="274">
        <f t="shared" si="22"/>
        <v>1.7103655701657646E-3</v>
      </c>
      <c r="G757" s="274">
        <f t="shared" si="23"/>
        <v>3.2347463639588507E-4</v>
      </c>
    </row>
    <row r="758" spans="1:7" ht="14.25" customHeight="1" x14ac:dyDescent="0.3">
      <c r="A758" s="20">
        <v>45037</v>
      </c>
      <c r="B758" s="21" t="s">
        <v>1119</v>
      </c>
      <c r="C758" s="20">
        <v>45037</v>
      </c>
      <c r="D758" s="21">
        <v>17624.05078125</v>
      </c>
      <c r="F758" s="274">
        <f t="shared" si="22"/>
        <v>-1.4709760766886043E-2</v>
      </c>
      <c r="G758" s="274">
        <f t="shared" si="23"/>
        <v>-2.2607089450268724E-5</v>
      </c>
    </row>
    <row r="759" spans="1:7" ht="14.25" customHeight="1" x14ac:dyDescent="0.3">
      <c r="A759" s="20">
        <v>45040</v>
      </c>
      <c r="B759" s="21" t="s">
        <v>1495</v>
      </c>
      <c r="C759" s="20">
        <v>45040</v>
      </c>
      <c r="D759" s="21" t="s">
        <v>1496</v>
      </c>
      <c r="F759" s="274">
        <f t="shared" si="22"/>
        <v>1.3862920834018837E-2</v>
      </c>
      <c r="G759" s="274">
        <f t="shared" si="23"/>
        <v>6.7719737565653465E-3</v>
      </c>
    </row>
    <row r="760" spans="1:7" ht="14.25" customHeight="1" x14ac:dyDescent="0.3">
      <c r="A760" s="20">
        <v>45041</v>
      </c>
      <c r="B760" s="21">
        <v>382.5</v>
      </c>
      <c r="C760" s="20">
        <v>45041</v>
      </c>
      <c r="D760" s="21">
        <v>17769.25</v>
      </c>
      <c r="F760" s="274">
        <f t="shared" si="22"/>
        <v>5.7849389367576219E-3</v>
      </c>
      <c r="G760" s="274">
        <f t="shared" si="23"/>
        <v>1.4568576938982925E-3</v>
      </c>
    </row>
    <row r="761" spans="1:7" ht="14.25" customHeight="1" x14ac:dyDescent="0.3">
      <c r="A761" s="20">
        <v>45042</v>
      </c>
      <c r="B761" s="21" t="s">
        <v>1497</v>
      </c>
      <c r="C761" s="20">
        <v>45042</v>
      </c>
      <c r="D761" s="21" t="s">
        <v>1498</v>
      </c>
      <c r="F761" s="274">
        <f t="shared" si="22"/>
        <v>1.032682929942751E-2</v>
      </c>
      <c r="G761" s="274">
        <f t="shared" si="23"/>
        <v>2.495862761512163E-3</v>
      </c>
    </row>
    <row r="762" spans="1:7" ht="14.25" customHeight="1" x14ac:dyDescent="0.3">
      <c r="A762" s="20">
        <v>45043</v>
      </c>
      <c r="B762" s="21" t="s">
        <v>1499</v>
      </c>
      <c r="C762" s="20">
        <v>45043</v>
      </c>
      <c r="D762" s="21">
        <v>17915.05078125</v>
      </c>
      <c r="F762" s="274">
        <f t="shared" si="22"/>
        <v>6.0809302929405711E-3</v>
      </c>
      <c r="G762" s="274">
        <f t="shared" si="23"/>
        <v>5.6951528101938445E-3</v>
      </c>
    </row>
    <row r="763" spans="1:7" ht="14.25" customHeight="1" x14ac:dyDescent="0.3">
      <c r="A763" s="20">
        <v>45044</v>
      </c>
      <c r="B763" s="21">
        <v>396.5</v>
      </c>
      <c r="C763" s="20">
        <v>45044</v>
      </c>
      <c r="D763" s="21">
        <v>18065</v>
      </c>
      <c r="F763" s="274">
        <f t="shared" si="22"/>
        <v>1.9804558767455946E-2</v>
      </c>
      <c r="G763" s="274">
        <f t="shared" si="23"/>
        <v>8.3700136036978338E-3</v>
      </c>
    </row>
    <row r="764" spans="1:7" ht="14.25" customHeight="1" x14ac:dyDescent="0.3">
      <c r="A764" s="20">
        <v>45048</v>
      </c>
      <c r="B764" s="21" t="s">
        <v>1500</v>
      </c>
      <c r="C764" s="20">
        <v>45048</v>
      </c>
      <c r="D764" s="21" t="s">
        <v>1501</v>
      </c>
      <c r="F764" s="274">
        <f t="shared" si="22"/>
        <v>-5.2963583947440674E-3</v>
      </c>
      <c r="G764" s="274">
        <f t="shared" si="23"/>
        <v>4.5751669319125379E-3</v>
      </c>
    </row>
    <row r="765" spans="1:7" ht="14.25" customHeight="1" x14ac:dyDescent="0.3">
      <c r="A765" s="20">
        <v>45049</v>
      </c>
      <c r="B765" s="21" t="s">
        <v>1502</v>
      </c>
      <c r="C765" s="20">
        <v>45049</v>
      </c>
      <c r="D765" s="21" t="s">
        <v>1503</v>
      </c>
      <c r="F765" s="274">
        <f t="shared" si="22"/>
        <v>-2.7256592713897188E-2</v>
      </c>
      <c r="G765" s="274">
        <f t="shared" si="23"/>
        <v>-3.18502836487635E-3</v>
      </c>
    </row>
    <row r="766" spans="1:7" ht="14.25" customHeight="1" x14ac:dyDescent="0.3">
      <c r="A766" s="20">
        <v>45050</v>
      </c>
      <c r="B766" s="21" t="s">
        <v>1504</v>
      </c>
      <c r="C766" s="20">
        <v>45050</v>
      </c>
      <c r="D766" s="21">
        <v>18255.80078125</v>
      </c>
      <c r="F766" s="274">
        <f t="shared" si="22"/>
        <v>1.2120406543623431E-2</v>
      </c>
      <c r="G766" s="274">
        <f t="shared" si="23"/>
        <v>9.173717607303733E-3</v>
      </c>
    </row>
    <row r="767" spans="1:7" ht="14.25" customHeight="1" x14ac:dyDescent="0.3">
      <c r="A767" s="20">
        <v>45051</v>
      </c>
      <c r="B767" s="21" t="s">
        <v>1505</v>
      </c>
      <c r="C767" s="20">
        <v>45051</v>
      </c>
      <c r="D767" s="21">
        <v>18069</v>
      </c>
      <c r="F767" s="274">
        <f t="shared" si="22"/>
        <v>3.1547773332744472E-2</v>
      </c>
      <c r="G767" s="274">
        <f t="shared" si="23"/>
        <v>-1.0232406865540384E-2</v>
      </c>
    </row>
    <row r="768" spans="1:7" ht="14.25" customHeight="1" x14ac:dyDescent="0.3">
      <c r="A768" s="20">
        <v>45054</v>
      </c>
      <c r="B768" s="21">
        <v>405.5</v>
      </c>
      <c r="C768" s="20">
        <v>45054</v>
      </c>
      <c r="D768" s="21" t="s">
        <v>1506</v>
      </c>
      <c r="F768" s="274">
        <f t="shared" si="22"/>
        <v>1.2358038591653879E-2</v>
      </c>
      <c r="G768" s="274">
        <f t="shared" si="23"/>
        <v>1.0814123118324201E-2</v>
      </c>
    </row>
    <row r="769" spans="1:7" ht="14.25" customHeight="1" x14ac:dyDescent="0.3">
      <c r="A769" s="20">
        <v>45055</v>
      </c>
      <c r="B769" s="21" t="s">
        <v>1507</v>
      </c>
      <c r="C769" s="20">
        <v>45055</v>
      </c>
      <c r="D769" s="21">
        <v>18265.94921875</v>
      </c>
      <c r="F769" s="274">
        <f t="shared" si="22"/>
        <v>3.6989863497898174E-4</v>
      </c>
      <c r="G769" s="274">
        <f t="shared" si="23"/>
        <v>8.4800381719347525E-5</v>
      </c>
    </row>
    <row r="770" spans="1:7" ht="14.25" customHeight="1" x14ac:dyDescent="0.3">
      <c r="A770" s="20">
        <v>45056</v>
      </c>
      <c r="B770" s="21" t="s">
        <v>1508</v>
      </c>
      <c r="C770" s="20">
        <v>45056</v>
      </c>
      <c r="D770" s="21" t="s">
        <v>1509</v>
      </c>
      <c r="F770" s="274">
        <f t="shared" si="22"/>
        <v>6.5327103077937529E-3</v>
      </c>
      <c r="G770" s="274">
        <f t="shared" si="23"/>
        <v>2.6908205008337105E-3</v>
      </c>
    </row>
    <row r="771" spans="1:7" ht="14.25" customHeight="1" x14ac:dyDescent="0.3">
      <c r="A771" s="20">
        <v>45057</v>
      </c>
      <c r="B771" s="21" t="s">
        <v>1510</v>
      </c>
      <c r="C771" s="20">
        <v>45057</v>
      </c>
      <c r="D771" s="21">
        <v>18297</v>
      </c>
      <c r="F771" s="274">
        <f t="shared" ref="F771:F834" si="24">(B771-B770)/B770</f>
        <v>9.5518602269480165E-3</v>
      </c>
      <c r="G771" s="274">
        <f t="shared" ref="G771:G834" si="25">(D771-D770)/D770</f>
        <v>-9.8823428542727139E-4</v>
      </c>
    </row>
    <row r="772" spans="1:7" ht="14.25" customHeight="1" x14ac:dyDescent="0.3">
      <c r="A772" s="20">
        <v>45058</v>
      </c>
      <c r="B772" s="21">
        <v>410</v>
      </c>
      <c r="C772" s="20">
        <v>45058</v>
      </c>
      <c r="D772" s="21">
        <v>18314.80078125</v>
      </c>
      <c r="F772" s="274">
        <f t="shared" si="24"/>
        <v>-5.3372444004830535E-3</v>
      </c>
      <c r="G772" s="274">
        <f t="shared" si="25"/>
        <v>9.7287977537301195E-4</v>
      </c>
    </row>
    <row r="773" spans="1:7" ht="14.25" customHeight="1" x14ac:dyDescent="0.3">
      <c r="A773" s="20">
        <v>45061</v>
      </c>
      <c r="B773" s="21" t="s">
        <v>1511</v>
      </c>
      <c r="C773" s="20">
        <v>45061</v>
      </c>
      <c r="D773" s="21" t="s">
        <v>1512</v>
      </c>
      <c r="F773" s="274">
        <f t="shared" si="24"/>
        <v>-8.2926680402073179E-3</v>
      </c>
      <c r="G773" s="274">
        <f t="shared" si="25"/>
        <v>4.589120522186952E-3</v>
      </c>
    </row>
    <row r="774" spans="1:7" ht="14.25" customHeight="1" x14ac:dyDescent="0.3">
      <c r="A774" s="20">
        <v>45062</v>
      </c>
      <c r="B774" s="21" t="s">
        <v>1513</v>
      </c>
      <c r="C774" s="20">
        <v>45062</v>
      </c>
      <c r="D774" s="21">
        <v>18286.5</v>
      </c>
      <c r="F774" s="274">
        <f t="shared" si="24"/>
        <v>-1.4018721400559632E-2</v>
      </c>
      <c r="G774" s="274">
        <f t="shared" si="25"/>
        <v>-6.1063388070606911E-3</v>
      </c>
    </row>
    <row r="775" spans="1:7" ht="14.25" customHeight="1" x14ac:dyDescent="0.3">
      <c r="A775" s="20">
        <v>45063</v>
      </c>
      <c r="B775" s="21" t="s">
        <v>1514</v>
      </c>
      <c r="C775" s="20">
        <v>45063</v>
      </c>
      <c r="D775" s="21">
        <v>18181.75</v>
      </c>
      <c r="F775" s="274">
        <f t="shared" si="24"/>
        <v>1.3469678170856649E-2</v>
      </c>
      <c r="G775" s="274">
        <f t="shared" si="25"/>
        <v>-5.7282694884204198E-3</v>
      </c>
    </row>
    <row r="776" spans="1:7" ht="14.25" customHeight="1" x14ac:dyDescent="0.3">
      <c r="A776" s="20">
        <v>45064</v>
      </c>
      <c r="B776" s="21" t="s">
        <v>1515</v>
      </c>
      <c r="C776" s="20">
        <v>45064</v>
      </c>
      <c r="D776" s="21">
        <v>18129.94921875</v>
      </c>
      <c r="F776" s="274">
        <f t="shared" si="24"/>
        <v>-1.7843958202859386E-2</v>
      </c>
      <c r="G776" s="274">
        <f t="shared" si="25"/>
        <v>-2.8490536527011976E-3</v>
      </c>
    </row>
    <row r="777" spans="1:7" ht="14.25" customHeight="1" x14ac:dyDescent="0.3">
      <c r="A777" s="20">
        <v>45065</v>
      </c>
      <c r="B777" s="21" t="s">
        <v>1516</v>
      </c>
      <c r="C777" s="20">
        <v>45065</v>
      </c>
      <c r="D777" s="21" t="s">
        <v>1517</v>
      </c>
      <c r="F777" s="274">
        <f t="shared" si="24"/>
        <v>1.0274417313459735E-2</v>
      </c>
      <c r="G777" s="274">
        <f t="shared" si="25"/>
        <v>4.051372179191587E-3</v>
      </c>
    </row>
    <row r="778" spans="1:7" ht="14.25" customHeight="1" x14ac:dyDescent="0.3">
      <c r="A778" s="20">
        <v>45068</v>
      </c>
      <c r="B778" s="21" t="s">
        <v>1518</v>
      </c>
      <c r="C778" s="20">
        <v>45068</v>
      </c>
      <c r="D778" s="21" t="s">
        <v>1519</v>
      </c>
      <c r="F778" s="274">
        <f t="shared" si="24"/>
        <v>5.1469677078372814E-2</v>
      </c>
      <c r="G778" s="274">
        <f t="shared" si="25"/>
        <v>6.0977618257062847E-3</v>
      </c>
    </row>
    <row r="779" spans="1:7" ht="14.25" customHeight="1" x14ac:dyDescent="0.3">
      <c r="A779" s="20">
        <v>45069</v>
      </c>
      <c r="B779" s="21" t="s">
        <v>1520</v>
      </c>
      <c r="C779" s="20">
        <v>45069</v>
      </c>
      <c r="D779" s="21">
        <v>18348</v>
      </c>
      <c r="F779" s="274">
        <f t="shared" si="24"/>
        <v>8.0207453301221546E-3</v>
      </c>
      <c r="G779" s="274">
        <f t="shared" si="25"/>
        <v>1.8346005688616145E-3</v>
      </c>
    </row>
    <row r="780" spans="1:7" ht="14.25" customHeight="1" x14ac:dyDescent="0.3">
      <c r="A780" s="20">
        <v>45070</v>
      </c>
      <c r="B780" s="21" t="s">
        <v>1521</v>
      </c>
      <c r="C780" s="20">
        <v>45070</v>
      </c>
      <c r="D780" s="21" t="s">
        <v>1522</v>
      </c>
      <c r="F780" s="274">
        <f t="shared" si="24"/>
        <v>-1.1701381097213043E-2</v>
      </c>
      <c r="G780" s="274">
        <f t="shared" si="25"/>
        <v>-3.4117947119577064E-3</v>
      </c>
    </row>
    <row r="781" spans="1:7" ht="14.25" customHeight="1" x14ac:dyDescent="0.3">
      <c r="A781" s="20">
        <v>45071</v>
      </c>
      <c r="B781" s="21" t="s">
        <v>1523</v>
      </c>
      <c r="C781" s="20">
        <v>45071</v>
      </c>
      <c r="D781" s="21" t="s">
        <v>1524</v>
      </c>
      <c r="F781" s="274">
        <f t="shared" si="24"/>
        <v>-7.3406954192400953E-3</v>
      </c>
      <c r="G781" s="274">
        <f t="shared" si="25"/>
        <v>1.955111686716424E-3</v>
      </c>
    </row>
    <row r="782" spans="1:7" ht="14.25" customHeight="1" x14ac:dyDescent="0.3">
      <c r="A782" s="20">
        <v>45072</v>
      </c>
      <c r="B782" s="21" t="s">
        <v>1525</v>
      </c>
      <c r="C782" s="20">
        <v>45072</v>
      </c>
      <c r="D782" s="21" t="s">
        <v>1526</v>
      </c>
      <c r="F782" s="274">
        <f t="shared" si="24"/>
        <v>1.2762345968861248E-2</v>
      </c>
      <c r="G782" s="274">
        <f t="shared" si="25"/>
        <v>9.7264208278747162E-3</v>
      </c>
    </row>
    <row r="783" spans="1:7" ht="14.25" customHeight="1" x14ac:dyDescent="0.3">
      <c r="A783" s="20">
        <v>45075</v>
      </c>
      <c r="B783" s="21">
        <v>427</v>
      </c>
      <c r="C783" s="20">
        <v>45075</v>
      </c>
      <c r="D783" s="21" t="s">
        <v>1527</v>
      </c>
      <c r="F783" s="274">
        <f t="shared" si="24"/>
        <v>5.7708450770860426E-3</v>
      </c>
      <c r="G783" s="274">
        <f t="shared" si="25"/>
        <v>5.3677985089636282E-3</v>
      </c>
    </row>
    <row r="784" spans="1:7" ht="14.25" customHeight="1" x14ac:dyDescent="0.3">
      <c r="A784" s="20">
        <v>45076</v>
      </c>
      <c r="B784" s="21" t="s">
        <v>1528</v>
      </c>
      <c r="C784" s="20">
        <v>45076</v>
      </c>
      <c r="D784" s="21" t="s">
        <v>1529</v>
      </c>
      <c r="F784" s="274">
        <f t="shared" si="24"/>
        <v>9.1334751674097825E-3</v>
      </c>
      <c r="G784" s="274">
        <f t="shared" si="25"/>
        <v>1.892568439683281E-3</v>
      </c>
    </row>
    <row r="785" spans="1:7" ht="14.25" customHeight="1" x14ac:dyDescent="0.3">
      <c r="A785" s="20">
        <v>45077</v>
      </c>
      <c r="B785" s="21" t="s">
        <v>1530</v>
      </c>
      <c r="C785" s="20">
        <v>45077</v>
      </c>
      <c r="D785" s="21" t="s">
        <v>1531</v>
      </c>
      <c r="F785" s="274">
        <f t="shared" si="24"/>
        <v>-1.6941257591947586E-2</v>
      </c>
      <c r="G785" s="274">
        <f t="shared" si="25"/>
        <v>-5.33701950132545E-3</v>
      </c>
    </row>
    <row r="786" spans="1:7" ht="14.25" customHeight="1" x14ac:dyDescent="0.3">
      <c r="A786" s="20">
        <v>45078</v>
      </c>
      <c r="B786" s="21">
        <v>429.25</v>
      </c>
      <c r="C786" s="20">
        <v>45078</v>
      </c>
      <c r="D786" s="21">
        <v>18487.75</v>
      </c>
      <c r="F786" s="274">
        <f t="shared" si="24"/>
        <v>1.3338040167790539E-2</v>
      </c>
      <c r="G786" s="274">
        <f t="shared" si="25"/>
        <v>-2.5169624936232909E-3</v>
      </c>
    </row>
    <row r="787" spans="1:7" ht="14.25" customHeight="1" x14ac:dyDescent="0.3">
      <c r="A787" s="20">
        <v>45079</v>
      </c>
      <c r="B787" s="21" t="s">
        <v>1532</v>
      </c>
      <c r="C787" s="20">
        <v>45079</v>
      </c>
      <c r="D787" s="21" t="s">
        <v>1533</v>
      </c>
      <c r="F787" s="274">
        <f t="shared" si="24"/>
        <v>2.0500845178725711E-2</v>
      </c>
      <c r="G787" s="274">
        <f t="shared" si="25"/>
        <v>2.5070443604548959E-3</v>
      </c>
    </row>
    <row r="788" spans="1:7" ht="14.25" customHeight="1" x14ac:dyDescent="0.3">
      <c r="A788" s="20">
        <v>45082</v>
      </c>
      <c r="B788" s="21" t="s">
        <v>1534</v>
      </c>
      <c r="C788" s="20">
        <v>45082</v>
      </c>
      <c r="D788" s="21" t="s">
        <v>1535</v>
      </c>
      <c r="F788" s="274">
        <f t="shared" si="24"/>
        <v>2.2828444877679619E-3</v>
      </c>
      <c r="G788" s="274">
        <f t="shared" si="25"/>
        <v>3.2237875731377309E-3</v>
      </c>
    </row>
    <row r="789" spans="1:7" ht="14.25" customHeight="1" x14ac:dyDescent="0.3">
      <c r="A789" s="20">
        <v>45083</v>
      </c>
      <c r="B789" s="21" t="s">
        <v>1536</v>
      </c>
      <c r="C789" s="20">
        <v>45083</v>
      </c>
      <c r="D789" s="21">
        <v>18599</v>
      </c>
      <c r="F789" s="274">
        <f t="shared" si="24"/>
        <v>4.5780677969165622E-2</v>
      </c>
      <c r="G789" s="274">
        <f t="shared" si="25"/>
        <v>2.7699431442121478E-4</v>
      </c>
    </row>
    <row r="790" spans="1:7" ht="14.25" customHeight="1" x14ac:dyDescent="0.3">
      <c r="A790" s="20">
        <v>45084</v>
      </c>
      <c r="B790" s="21">
        <v>455.75</v>
      </c>
      <c r="C790" s="20">
        <v>45084</v>
      </c>
      <c r="D790" s="21" t="s">
        <v>1537</v>
      </c>
      <c r="F790" s="274">
        <f t="shared" si="24"/>
        <v>-7.4049742822179165E-3</v>
      </c>
      <c r="G790" s="274">
        <f t="shared" si="25"/>
        <v>6.8498516385289534E-3</v>
      </c>
    </row>
    <row r="791" spans="1:7" ht="14.25" customHeight="1" x14ac:dyDescent="0.3">
      <c r="A791" s="20">
        <v>45085</v>
      </c>
      <c r="B791" s="21" t="s">
        <v>1538</v>
      </c>
      <c r="C791" s="20">
        <v>45085</v>
      </c>
      <c r="D791" s="21">
        <v>18634.55078125</v>
      </c>
      <c r="F791" s="274">
        <f t="shared" si="24"/>
        <v>-8.8864241206121283E-3</v>
      </c>
      <c r="G791" s="274">
        <f t="shared" si="25"/>
        <v>-4.904819263662796E-3</v>
      </c>
    </row>
    <row r="792" spans="1:7" ht="14.25" customHeight="1" x14ac:dyDescent="0.3">
      <c r="A792" s="20">
        <v>45086</v>
      </c>
      <c r="B792" s="21" t="s">
        <v>1539</v>
      </c>
      <c r="C792" s="20">
        <v>45086</v>
      </c>
      <c r="D792" s="21" t="s">
        <v>1540</v>
      </c>
      <c r="F792" s="274">
        <f t="shared" si="24"/>
        <v>8.8554347839305582E-3</v>
      </c>
      <c r="G792" s="274">
        <f t="shared" si="25"/>
        <v>-3.8181972541345725E-3</v>
      </c>
    </row>
    <row r="793" spans="1:7" ht="14.25" customHeight="1" x14ac:dyDescent="0.3">
      <c r="A793" s="20">
        <v>45089</v>
      </c>
      <c r="B793" s="21" t="s">
        <v>1541</v>
      </c>
      <c r="C793" s="20">
        <v>45089</v>
      </c>
      <c r="D793" s="21">
        <v>18601.5</v>
      </c>
      <c r="F793" s="274">
        <f t="shared" si="24"/>
        <v>1.3166020844090102E-3</v>
      </c>
      <c r="G793" s="274">
        <f t="shared" si="25"/>
        <v>2.0524046550351462E-3</v>
      </c>
    </row>
    <row r="794" spans="1:7" ht="14.25" customHeight="1" x14ac:dyDescent="0.3">
      <c r="A794" s="20">
        <v>45090</v>
      </c>
      <c r="B794" s="21" t="s">
        <v>1542</v>
      </c>
      <c r="C794" s="20">
        <v>45090</v>
      </c>
      <c r="D794" s="21" t="s">
        <v>1543</v>
      </c>
      <c r="F794" s="274">
        <f t="shared" si="24"/>
        <v>5.8076363904383402E-3</v>
      </c>
      <c r="G794" s="274">
        <f t="shared" si="25"/>
        <v>6.1635024393194094E-3</v>
      </c>
    </row>
    <row r="795" spans="1:7" ht="14.25" customHeight="1" x14ac:dyDescent="0.3">
      <c r="A795" s="20">
        <v>45091</v>
      </c>
      <c r="B795" s="21" t="s">
        <v>1544</v>
      </c>
      <c r="C795" s="20">
        <v>45091</v>
      </c>
      <c r="D795" s="21" t="s">
        <v>1545</v>
      </c>
      <c r="F795" s="274">
        <f t="shared" si="24"/>
        <v>1.2310695601278862E-2</v>
      </c>
      <c r="G795" s="274">
        <f t="shared" si="25"/>
        <v>2.1238341844010264E-3</v>
      </c>
    </row>
    <row r="796" spans="1:7" ht="14.25" customHeight="1" x14ac:dyDescent="0.3">
      <c r="A796" s="20">
        <v>45092</v>
      </c>
      <c r="B796" s="21" t="s">
        <v>1546</v>
      </c>
      <c r="C796" s="20">
        <v>45092</v>
      </c>
      <c r="D796" s="21" t="s">
        <v>1547</v>
      </c>
      <c r="F796" s="274">
        <f t="shared" si="24"/>
        <v>-1.3452432023015238E-2</v>
      </c>
      <c r="G796" s="274">
        <f t="shared" si="25"/>
        <v>-3.6149041015322157E-3</v>
      </c>
    </row>
    <row r="797" spans="1:7" ht="14.25" customHeight="1" x14ac:dyDescent="0.3">
      <c r="A797" s="20">
        <v>45093</v>
      </c>
      <c r="B797" s="21" t="s">
        <v>1548</v>
      </c>
      <c r="C797" s="20">
        <v>45093</v>
      </c>
      <c r="D797" s="21">
        <v>18826</v>
      </c>
      <c r="F797" s="274">
        <f t="shared" si="24"/>
        <v>5.563407350305743E-3</v>
      </c>
      <c r="G797" s="274">
        <f t="shared" si="25"/>
        <v>7.3790483520229863E-3</v>
      </c>
    </row>
    <row r="798" spans="1:7" ht="14.25" customHeight="1" x14ac:dyDescent="0.3">
      <c r="A798" s="20">
        <v>45096</v>
      </c>
      <c r="B798" s="21" t="s">
        <v>1549</v>
      </c>
      <c r="C798" s="20">
        <v>45096</v>
      </c>
      <c r="D798" s="21">
        <v>18755.44921875</v>
      </c>
      <c r="F798" s="274">
        <f t="shared" si="24"/>
        <v>-1.7465801474445163E-2</v>
      </c>
      <c r="G798" s="274">
        <f t="shared" si="25"/>
        <v>-3.7475183921172844E-3</v>
      </c>
    </row>
    <row r="799" spans="1:7" ht="14.25" customHeight="1" x14ac:dyDescent="0.3">
      <c r="A799" s="20">
        <v>45097</v>
      </c>
      <c r="B799" s="21" t="s">
        <v>1550</v>
      </c>
      <c r="C799" s="20">
        <v>45097</v>
      </c>
      <c r="D799" s="21">
        <v>18816.69921875</v>
      </c>
      <c r="F799" s="274">
        <f t="shared" si="24"/>
        <v>-8.6121096255268557E-3</v>
      </c>
      <c r="G799" s="274">
        <f t="shared" si="25"/>
        <v>3.2657175674986124E-3</v>
      </c>
    </row>
    <row r="800" spans="1:7" ht="14.25" customHeight="1" x14ac:dyDescent="0.3">
      <c r="A800" s="20">
        <v>45098</v>
      </c>
      <c r="B800" s="21" t="s">
        <v>1551</v>
      </c>
      <c r="C800" s="20">
        <v>45098</v>
      </c>
      <c r="D800" s="21" t="s">
        <v>1552</v>
      </c>
      <c r="F800" s="274">
        <f t="shared" si="24"/>
        <v>-1.8933201479100236E-3</v>
      </c>
      <c r="G800" s="274">
        <f t="shared" si="25"/>
        <v>2.133763746671995E-3</v>
      </c>
    </row>
    <row r="801" spans="1:7" ht="14.25" customHeight="1" x14ac:dyDescent="0.3">
      <c r="A801" s="20">
        <v>45099</v>
      </c>
      <c r="B801" s="21" t="s">
        <v>1553</v>
      </c>
      <c r="C801" s="20">
        <v>45099</v>
      </c>
      <c r="D801" s="21">
        <v>18771.25</v>
      </c>
      <c r="F801" s="274">
        <f t="shared" si="24"/>
        <v>-7.2528452482306409E-3</v>
      </c>
      <c r="G801" s="274">
        <f t="shared" si="25"/>
        <v>-4.5394438174042985E-3</v>
      </c>
    </row>
    <row r="802" spans="1:7" ht="14.25" customHeight="1" x14ac:dyDescent="0.3">
      <c r="A802" s="20">
        <v>45100</v>
      </c>
      <c r="B802" s="21" t="s">
        <v>1554</v>
      </c>
      <c r="C802" s="20">
        <v>45100</v>
      </c>
      <c r="D802" s="21">
        <v>18665.5</v>
      </c>
      <c r="F802" s="274">
        <f t="shared" si="24"/>
        <v>-4.2823464199557904E-2</v>
      </c>
      <c r="G802" s="274">
        <f t="shared" si="25"/>
        <v>-5.6336152360657917E-3</v>
      </c>
    </row>
    <row r="803" spans="1:7" ht="14.25" customHeight="1" x14ac:dyDescent="0.3">
      <c r="A803" s="20">
        <v>45103</v>
      </c>
      <c r="B803" s="21" t="s">
        <v>1555</v>
      </c>
      <c r="C803" s="20">
        <v>45103</v>
      </c>
      <c r="D803" s="21">
        <v>18691.19921875</v>
      </c>
      <c r="F803" s="274">
        <f t="shared" si="24"/>
        <v>1.4678253121601469E-2</v>
      </c>
      <c r="G803" s="274">
        <f t="shared" si="25"/>
        <v>1.3768299134767352E-3</v>
      </c>
    </row>
    <row r="804" spans="1:7" ht="14.25" customHeight="1" x14ac:dyDescent="0.3">
      <c r="A804" s="20">
        <v>45104</v>
      </c>
      <c r="B804" s="21" t="s">
        <v>1556</v>
      </c>
      <c r="C804" s="20">
        <v>45104</v>
      </c>
      <c r="D804" s="21" t="s">
        <v>1557</v>
      </c>
      <c r="F804" s="274">
        <f t="shared" si="24"/>
        <v>4.1662269677219177E-3</v>
      </c>
      <c r="G804" s="274">
        <f t="shared" si="25"/>
        <v>6.7519034171120394E-3</v>
      </c>
    </row>
    <row r="805" spans="1:7" ht="14.25" customHeight="1" x14ac:dyDescent="0.3">
      <c r="A805" s="20">
        <v>45105</v>
      </c>
      <c r="B805" s="21">
        <v>434.25</v>
      </c>
      <c r="C805" s="20">
        <v>45105</v>
      </c>
      <c r="D805" s="21" t="s">
        <v>1558</v>
      </c>
      <c r="F805" s="274">
        <f t="shared" si="24"/>
        <v>9.2196356081083747E-4</v>
      </c>
      <c r="G805" s="274">
        <f t="shared" si="25"/>
        <v>8.2210728123249463E-3</v>
      </c>
    </row>
    <row r="806" spans="1:7" ht="14.25" customHeight="1" x14ac:dyDescent="0.3">
      <c r="A806" s="20">
        <v>45107</v>
      </c>
      <c r="B806" s="21" t="s">
        <v>1559</v>
      </c>
      <c r="C806" s="20">
        <v>45107</v>
      </c>
      <c r="D806" s="21">
        <v>19189.05078125</v>
      </c>
      <c r="F806" s="274">
        <f t="shared" si="24"/>
        <v>-1.9228569035154918E-2</v>
      </c>
      <c r="G806" s="274">
        <f t="shared" si="25"/>
        <v>1.143527476356883E-2</v>
      </c>
    </row>
    <row r="807" spans="1:7" ht="14.25" customHeight="1" x14ac:dyDescent="0.3">
      <c r="A807" s="20">
        <v>45110</v>
      </c>
      <c r="B807" s="21" t="s">
        <v>1560</v>
      </c>
      <c r="C807" s="20">
        <v>45110</v>
      </c>
      <c r="D807" s="21">
        <v>19322.55078125</v>
      </c>
      <c r="F807" s="274">
        <f t="shared" si="24"/>
        <v>2.3362320614283449E-2</v>
      </c>
      <c r="G807" s="274">
        <f t="shared" si="25"/>
        <v>6.9570924336937751E-3</v>
      </c>
    </row>
    <row r="808" spans="1:7" ht="14.25" customHeight="1" x14ac:dyDescent="0.3">
      <c r="A808" s="20">
        <v>45111</v>
      </c>
      <c r="B808" s="21" t="s">
        <v>1561</v>
      </c>
      <c r="C808" s="20">
        <v>45111</v>
      </c>
      <c r="D808" s="21">
        <v>19389</v>
      </c>
      <c r="F808" s="274">
        <f t="shared" si="24"/>
        <v>-7.2272429789431939E-3</v>
      </c>
      <c r="G808" s="274">
        <f t="shared" si="25"/>
        <v>3.4389465191355714E-3</v>
      </c>
    </row>
    <row r="809" spans="1:7" ht="14.25" customHeight="1" x14ac:dyDescent="0.3">
      <c r="A809" s="20">
        <v>45112</v>
      </c>
      <c r="B809" s="21" t="s">
        <v>1562</v>
      </c>
      <c r="C809" s="20">
        <v>45112</v>
      </c>
      <c r="D809" s="21">
        <v>19398.5</v>
      </c>
      <c r="F809" s="274">
        <f t="shared" si="24"/>
        <v>-6.9336330502227448E-4</v>
      </c>
      <c r="G809" s="274">
        <f t="shared" si="25"/>
        <v>4.8996853886224153E-4</v>
      </c>
    </row>
    <row r="810" spans="1:7" ht="14.25" customHeight="1" x14ac:dyDescent="0.3">
      <c r="A810" s="20">
        <v>45113</v>
      </c>
      <c r="B810" s="21">
        <v>431.5</v>
      </c>
      <c r="C810" s="20">
        <v>45113</v>
      </c>
      <c r="D810" s="21">
        <v>19497.30078125</v>
      </c>
      <c r="F810" s="274">
        <f t="shared" si="24"/>
        <v>-2.0813920193982114E-3</v>
      </c>
      <c r="G810" s="274">
        <f t="shared" si="25"/>
        <v>5.0932175812562824E-3</v>
      </c>
    </row>
    <row r="811" spans="1:7" ht="14.25" customHeight="1" x14ac:dyDescent="0.3">
      <c r="A811" s="20">
        <v>45114</v>
      </c>
      <c r="B811" s="21" t="s">
        <v>1563</v>
      </c>
      <c r="C811" s="20">
        <v>45114</v>
      </c>
      <c r="D811" s="21">
        <v>19331.80078125</v>
      </c>
      <c r="F811" s="274">
        <f t="shared" si="24"/>
        <v>-3.1517974747429948E-2</v>
      </c>
      <c r="G811" s="274">
        <f t="shared" si="25"/>
        <v>-8.4883544577184066E-3</v>
      </c>
    </row>
    <row r="812" spans="1:7" ht="14.25" customHeight="1" x14ac:dyDescent="0.3">
      <c r="A812" s="20">
        <v>45117</v>
      </c>
      <c r="B812" s="21">
        <v>419.5</v>
      </c>
      <c r="C812" s="20">
        <v>45117</v>
      </c>
      <c r="D812" s="21" t="s">
        <v>1564</v>
      </c>
      <c r="F812" s="274">
        <f t="shared" si="24"/>
        <v>3.8286818063757925E-3</v>
      </c>
      <c r="G812" s="274">
        <f t="shared" si="25"/>
        <v>1.2466303397029789E-3</v>
      </c>
    </row>
    <row r="813" spans="1:7" ht="14.25" customHeight="1" x14ac:dyDescent="0.3">
      <c r="A813" s="20">
        <v>45118</v>
      </c>
      <c r="B813" s="21">
        <v>419.75</v>
      </c>
      <c r="C813" s="20">
        <v>45118</v>
      </c>
      <c r="D813" s="21" t="s">
        <v>1565</v>
      </c>
      <c r="F813" s="274">
        <f t="shared" si="24"/>
        <v>5.9594755661501785E-4</v>
      </c>
      <c r="G813" s="274">
        <f t="shared" si="25"/>
        <v>4.3139300324382271E-3</v>
      </c>
    </row>
    <row r="814" spans="1:7" ht="14.25" customHeight="1" x14ac:dyDescent="0.3">
      <c r="A814" s="20">
        <v>45119</v>
      </c>
      <c r="B814" s="21" t="s">
        <v>1566</v>
      </c>
      <c r="C814" s="20">
        <v>45119</v>
      </c>
      <c r="D814" s="21">
        <v>19384.30078125</v>
      </c>
      <c r="F814" s="274">
        <f t="shared" si="24"/>
        <v>4.2882377438189659E-3</v>
      </c>
      <c r="G814" s="274">
        <f t="shared" si="25"/>
        <v>-2.8344294714755078E-3</v>
      </c>
    </row>
    <row r="815" spans="1:7" ht="14.25" customHeight="1" x14ac:dyDescent="0.3">
      <c r="A815" s="20">
        <v>45120</v>
      </c>
      <c r="B815" s="21" t="s">
        <v>1567</v>
      </c>
      <c r="C815" s="20">
        <v>45120</v>
      </c>
      <c r="D815" s="21">
        <v>19413.75</v>
      </c>
      <c r="F815" s="274">
        <f t="shared" si="24"/>
        <v>-1.1030705802719042E-2</v>
      </c>
      <c r="G815" s="274">
        <f t="shared" si="25"/>
        <v>1.5192303855749891E-3</v>
      </c>
    </row>
    <row r="816" spans="1:7" ht="14.25" customHeight="1" x14ac:dyDescent="0.3">
      <c r="A816" s="20">
        <v>45121</v>
      </c>
      <c r="B816" s="21" t="s">
        <v>1568</v>
      </c>
      <c r="C816" s="20">
        <v>45121</v>
      </c>
      <c r="D816" s="21">
        <v>19564.5</v>
      </c>
      <c r="F816" s="274">
        <f t="shared" si="24"/>
        <v>-7.1956775572288483E-4</v>
      </c>
      <c r="G816" s="274">
        <f t="shared" si="25"/>
        <v>7.7651149314274673E-3</v>
      </c>
    </row>
    <row r="817" spans="1:7" ht="14.25" customHeight="1" x14ac:dyDescent="0.3">
      <c r="A817" s="20">
        <v>45124</v>
      </c>
      <c r="B817" s="21" t="s">
        <v>1568</v>
      </c>
      <c r="C817" s="20">
        <v>45124</v>
      </c>
      <c r="D817" s="21">
        <v>19711.44921875</v>
      </c>
      <c r="F817" s="274">
        <f t="shared" si="24"/>
        <v>0</v>
      </c>
      <c r="G817" s="274">
        <f t="shared" si="25"/>
        <v>7.5110132510414268E-3</v>
      </c>
    </row>
    <row r="818" spans="1:7" ht="14.25" customHeight="1" x14ac:dyDescent="0.3">
      <c r="A818" s="20">
        <v>45125</v>
      </c>
      <c r="B818" s="21" t="s">
        <v>1569</v>
      </c>
      <c r="C818" s="20">
        <v>45125</v>
      </c>
      <c r="D818" s="21">
        <v>19749.25</v>
      </c>
      <c r="F818" s="274">
        <f t="shared" si="24"/>
        <v>-9.6013895973056783E-4</v>
      </c>
      <c r="G818" s="274">
        <f t="shared" si="25"/>
        <v>1.917706853032551E-3</v>
      </c>
    </row>
    <row r="819" spans="1:7" ht="14.25" customHeight="1" x14ac:dyDescent="0.3">
      <c r="A819" s="20">
        <v>45126</v>
      </c>
      <c r="B819" s="21" t="s">
        <v>1570</v>
      </c>
      <c r="C819" s="20">
        <v>45126</v>
      </c>
      <c r="D819" s="21" t="s">
        <v>1571</v>
      </c>
      <c r="F819" s="274">
        <f t="shared" si="24"/>
        <v>7.4482832652944825E-3</v>
      </c>
      <c r="G819" s="274">
        <f t="shared" si="25"/>
        <v>4.248282371482461E-3</v>
      </c>
    </row>
    <row r="820" spans="1:7" ht="14.25" customHeight="1" x14ac:dyDescent="0.3">
      <c r="A820" s="20">
        <v>45127</v>
      </c>
      <c r="B820" s="21" t="s">
        <v>1572</v>
      </c>
      <c r="C820" s="20">
        <v>45127</v>
      </c>
      <c r="D820" s="21" t="s">
        <v>1573</v>
      </c>
      <c r="F820" s="274">
        <f t="shared" si="24"/>
        <v>3.8158982830831349E-3</v>
      </c>
      <c r="G820" s="274">
        <f t="shared" si="25"/>
        <v>7.3614124394989332E-3</v>
      </c>
    </row>
    <row r="821" spans="1:7" ht="14.25" customHeight="1" x14ac:dyDescent="0.3">
      <c r="A821" s="20">
        <v>45128</v>
      </c>
      <c r="B821" s="21" t="s">
        <v>1574</v>
      </c>
      <c r="C821" s="20">
        <v>45128</v>
      </c>
      <c r="D821" s="21">
        <v>19745</v>
      </c>
      <c r="F821" s="274">
        <f t="shared" si="24"/>
        <v>-1.1404105161734655E-2</v>
      </c>
      <c r="G821" s="274">
        <f t="shared" si="25"/>
        <v>-1.1719737128305142E-2</v>
      </c>
    </row>
    <row r="822" spans="1:7" ht="14.25" customHeight="1" x14ac:dyDescent="0.3">
      <c r="A822" s="20">
        <v>45131</v>
      </c>
      <c r="B822" s="21">
        <v>422.75</v>
      </c>
      <c r="C822" s="20">
        <v>45131</v>
      </c>
      <c r="D822" s="21" t="s">
        <v>1575</v>
      </c>
      <c r="F822" s="274">
        <f t="shared" si="24"/>
        <v>1.5981720257006324E-2</v>
      </c>
      <c r="G822" s="274">
        <f t="shared" si="25"/>
        <v>-3.6794322929855658E-3</v>
      </c>
    </row>
    <row r="823" spans="1:7" ht="14.25" customHeight="1" x14ac:dyDescent="0.3">
      <c r="A823" s="20">
        <v>45132</v>
      </c>
      <c r="B823" s="21" t="s">
        <v>1576</v>
      </c>
      <c r="C823" s="20">
        <v>45132</v>
      </c>
      <c r="D823" s="21" t="s">
        <v>1577</v>
      </c>
      <c r="F823" s="274">
        <f t="shared" si="24"/>
        <v>4.1040818695481963E-2</v>
      </c>
      <c r="G823" s="274">
        <f t="shared" si="25"/>
        <v>4.193703428322768E-4</v>
      </c>
    </row>
    <row r="824" spans="1:7" ht="14.25" customHeight="1" x14ac:dyDescent="0.3">
      <c r="A824" s="20">
        <v>45133</v>
      </c>
      <c r="B824" s="21">
        <v>443.5</v>
      </c>
      <c r="C824" s="20">
        <v>45133</v>
      </c>
      <c r="D824" s="21">
        <v>19778.30078125</v>
      </c>
      <c r="F824" s="274">
        <f t="shared" si="24"/>
        <v>7.7255029523569125E-3</v>
      </c>
      <c r="G824" s="274">
        <f t="shared" si="25"/>
        <v>4.9643391875346787E-3</v>
      </c>
    </row>
    <row r="825" spans="1:7" ht="14.25" customHeight="1" x14ac:dyDescent="0.3">
      <c r="A825" s="20">
        <v>45134</v>
      </c>
      <c r="B825" s="21">
        <v>449.75</v>
      </c>
      <c r="C825" s="20">
        <v>45134</v>
      </c>
      <c r="D825" s="21" t="s">
        <v>1578</v>
      </c>
      <c r="F825" s="274">
        <f t="shared" si="24"/>
        <v>1.4092446448703494E-2</v>
      </c>
      <c r="G825" s="274">
        <f t="shared" si="25"/>
        <v>-5.9863783008722669E-3</v>
      </c>
    </row>
    <row r="826" spans="1:7" ht="14.25" customHeight="1" x14ac:dyDescent="0.3">
      <c r="A826" s="20">
        <v>45135</v>
      </c>
      <c r="B826" s="21" t="s">
        <v>1579</v>
      </c>
      <c r="C826" s="20">
        <v>45135</v>
      </c>
      <c r="D826" s="21">
        <v>19646.05078125</v>
      </c>
      <c r="F826" s="274">
        <f t="shared" si="24"/>
        <v>1.1228433113881069E-2</v>
      </c>
      <c r="G826" s="274">
        <f t="shared" si="25"/>
        <v>-7.0445979378432207E-4</v>
      </c>
    </row>
    <row r="827" spans="1:7" ht="14.25" customHeight="1" x14ac:dyDescent="0.3">
      <c r="A827" s="20">
        <v>45138</v>
      </c>
      <c r="B827" s="21">
        <v>463</v>
      </c>
      <c r="C827" s="20">
        <v>45138</v>
      </c>
      <c r="D827" s="21">
        <v>19753.80078125</v>
      </c>
      <c r="F827" s="274">
        <f t="shared" si="24"/>
        <v>1.8029930578548656E-2</v>
      </c>
      <c r="G827" s="274">
        <f t="shared" si="25"/>
        <v>5.4845628365592716E-3</v>
      </c>
    </row>
    <row r="828" spans="1:7" ht="14.25" customHeight="1" x14ac:dyDescent="0.3">
      <c r="A828" s="20">
        <v>45139</v>
      </c>
      <c r="B828" s="21" t="s">
        <v>1580</v>
      </c>
      <c r="C828" s="20">
        <v>45139</v>
      </c>
      <c r="D828" s="21">
        <v>19733.55078125</v>
      </c>
      <c r="F828" s="274">
        <f t="shared" si="24"/>
        <v>-3.1317758251230864E-3</v>
      </c>
      <c r="G828" s="274">
        <f t="shared" si="25"/>
        <v>-1.0251191770254656E-3</v>
      </c>
    </row>
    <row r="829" spans="1:7" ht="14.25" customHeight="1" x14ac:dyDescent="0.3">
      <c r="A829" s="20">
        <v>45140</v>
      </c>
      <c r="B829" s="21" t="s">
        <v>1548</v>
      </c>
      <c r="C829" s="20">
        <v>45140</v>
      </c>
      <c r="D829" s="21">
        <v>19526.55078125</v>
      </c>
      <c r="F829" s="274">
        <f t="shared" si="24"/>
        <v>-1.4082849391723828E-3</v>
      </c>
      <c r="G829" s="274">
        <f t="shared" si="25"/>
        <v>-1.0489749274959822E-2</v>
      </c>
    </row>
    <row r="830" spans="1:7" ht="14.25" customHeight="1" x14ac:dyDescent="0.3">
      <c r="A830" s="20">
        <v>45141</v>
      </c>
      <c r="B830" s="21" t="s">
        <v>1581</v>
      </c>
      <c r="C830" s="20">
        <v>45141</v>
      </c>
      <c r="D830" s="21" t="s">
        <v>1582</v>
      </c>
      <c r="F830" s="274">
        <f t="shared" si="24"/>
        <v>2.9182062020273826E-2</v>
      </c>
      <c r="G830" s="274">
        <f t="shared" si="25"/>
        <v>-7.4206854169113091E-3</v>
      </c>
    </row>
    <row r="831" spans="1:7" ht="14.25" customHeight="1" x14ac:dyDescent="0.3">
      <c r="A831" s="20">
        <v>45142</v>
      </c>
      <c r="B831" s="21">
        <v>471.75</v>
      </c>
      <c r="C831" s="20">
        <v>45142</v>
      </c>
      <c r="D831" s="21">
        <v>19517</v>
      </c>
      <c r="F831" s="274">
        <f t="shared" si="24"/>
        <v>-5.4811975757572007E-3</v>
      </c>
      <c r="G831" s="274">
        <f t="shared" si="25"/>
        <v>6.9833892701144417E-3</v>
      </c>
    </row>
    <row r="832" spans="1:7" ht="14.25" customHeight="1" x14ac:dyDescent="0.3">
      <c r="A832" s="20">
        <v>45145</v>
      </c>
      <c r="B832" s="21" t="s">
        <v>1583</v>
      </c>
      <c r="C832" s="20">
        <v>45145</v>
      </c>
      <c r="D832" s="21">
        <v>19597.30078125</v>
      </c>
      <c r="F832" s="274">
        <f t="shared" si="24"/>
        <v>4.9814649783041856E-3</v>
      </c>
      <c r="G832" s="274">
        <f t="shared" si="25"/>
        <v>4.1144018676026028E-3</v>
      </c>
    </row>
    <row r="833" spans="1:7" ht="14.25" customHeight="1" x14ac:dyDescent="0.3">
      <c r="A833" s="20">
        <v>45146</v>
      </c>
      <c r="B833" s="21" t="s">
        <v>1584</v>
      </c>
      <c r="C833" s="20">
        <v>45146</v>
      </c>
      <c r="D833" s="21" t="s">
        <v>1585</v>
      </c>
      <c r="F833" s="274">
        <f t="shared" si="24"/>
        <v>-1.6663138145497285E-2</v>
      </c>
      <c r="G833" s="274">
        <f t="shared" si="25"/>
        <v>-1.349735464605796E-3</v>
      </c>
    </row>
    <row r="834" spans="1:7" ht="14.25" customHeight="1" x14ac:dyDescent="0.3">
      <c r="A834" s="20">
        <v>45147</v>
      </c>
      <c r="B834" s="21" t="s">
        <v>1586</v>
      </c>
      <c r="C834" s="20">
        <v>45147</v>
      </c>
      <c r="D834" s="21">
        <v>19632.55078125</v>
      </c>
      <c r="F834" s="274">
        <f t="shared" si="24"/>
        <v>-7.6147966915336464E-3</v>
      </c>
      <c r="G834" s="274">
        <f t="shared" si="25"/>
        <v>3.1527078847636415E-3</v>
      </c>
    </row>
    <row r="835" spans="1:7" ht="14.25" customHeight="1" x14ac:dyDescent="0.3">
      <c r="A835" s="20">
        <v>45148</v>
      </c>
      <c r="B835" s="21" t="s">
        <v>1587</v>
      </c>
      <c r="C835" s="20">
        <v>45148</v>
      </c>
      <c r="D835" s="21" t="s">
        <v>1588</v>
      </c>
      <c r="F835" s="274">
        <f t="shared" ref="F835:F898" si="26">(B835-B834)/B834</f>
        <v>-1.1779923833031251E-2</v>
      </c>
      <c r="G835" s="274">
        <f t="shared" ref="G835:G898" si="27">(D835-D834)/D834</f>
        <v>-4.5562684580156563E-3</v>
      </c>
    </row>
    <row r="836" spans="1:7" ht="14.25" customHeight="1" x14ac:dyDescent="0.3">
      <c r="A836" s="20">
        <v>45149</v>
      </c>
      <c r="B836" s="21" t="s">
        <v>1589</v>
      </c>
      <c r="C836" s="20">
        <v>45149</v>
      </c>
      <c r="D836" s="21">
        <v>19428.30078125</v>
      </c>
      <c r="F836" s="274">
        <f t="shared" si="26"/>
        <v>-1.7498212799364017E-3</v>
      </c>
      <c r="G836" s="274">
        <f t="shared" si="27"/>
        <v>-5.8741361615907628E-3</v>
      </c>
    </row>
    <row r="837" spans="1:7" ht="14.25" customHeight="1" x14ac:dyDescent="0.3">
      <c r="A837" s="20">
        <v>45152</v>
      </c>
      <c r="B837" s="21" t="s">
        <v>1590</v>
      </c>
      <c r="C837" s="20">
        <v>45152</v>
      </c>
      <c r="D837" s="21">
        <v>19434.55078125</v>
      </c>
      <c r="F837" s="274">
        <f t="shared" si="26"/>
        <v>-3.38518446451977E-2</v>
      </c>
      <c r="G837" s="274">
        <f t="shared" si="27"/>
        <v>3.2169565781232879E-4</v>
      </c>
    </row>
    <row r="838" spans="1:7" ht="14.25" customHeight="1" x14ac:dyDescent="0.3">
      <c r="A838" s="20">
        <v>45154</v>
      </c>
      <c r="B838" s="21" t="s">
        <v>1591</v>
      </c>
      <c r="C838" s="20">
        <v>45154</v>
      </c>
      <c r="D838" s="21">
        <v>19465</v>
      </c>
      <c r="F838" s="274">
        <f t="shared" si="26"/>
        <v>-8.504365338897717E-3</v>
      </c>
      <c r="G838" s="274">
        <f t="shared" si="27"/>
        <v>1.5667570139761961E-3</v>
      </c>
    </row>
    <row r="839" spans="1:7" ht="14.25" customHeight="1" x14ac:dyDescent="0.3">
      <c r="A839" s="20">
        <v>45155</v>
      </c>
      <c r="B839" s="21">
        <v>446</v>
      </c>
      <c r="C839" s="20">
        <v>45155</v>
      </c>
      <c r="D839" s="21">
        <v>19365.25</v>
      </c>
      <c r="F839" s="274">
        <f t="shared" si="26"/>
        <v>2.012805934873086E-2</v>
      </c>
      <c r="G839" s="274">
        <f t="shared" si="27"/>
        <v>-5.124582584125353E-3</v>
      </c>
    </row>
    <row r="840" spans="1:7" ht="14.25" customHeight="1" x14ac:dyDescent="0.3">
      <c r="A840" s="20">
        <v>45156</v>
      </c>
      <c r="B840" s="21" t="s">
        <v>1592</v>
      </c>
      <c r="C840" s="20">
        <v>45156</v>
      </c>
      <c r="D840" s="21" t="s">
        <v>1593</v>
      </c>
      <c r="F840" s="274">
        <f t="shared" si="26"/>
        <v>1.5807147517865494E-2</v>
      </c>
      <c r="G840" s="274">
        <f t="shared" si="27"/>
        <v>-2.8452826260957128E-3</v>
      </c>
    </row>
    <row r="841" spans="1:7" ht="14.25" customHeight="1" x14ac:dyDescent="0.3">
      <c r="A841" s="20">
        <v>45159</v>
      </c>
      <c r="B841" s="21">
        <v>465.25</v>
      </c>
      <c r="C841" s="20">
        <v>45159</v>
      </c>
      <c r="D841" s="21" t="s">
        <v>1594</v>
      </c>
      <c r="F841" s="274">
        <f t="shared" si="26"/>
        <v>2.6928622747490451E-2</v>
      </c>
      <c r="G841" s="274">
        <f t="shared" si="27"/>
        <v>4.3215209131936255E-3</v>
      </c>
    </row>
    <row r="842" spans="1:7" ht="14.25" customHeight="1" x14ac:dyDescent="0.3">
      <c r="A842" s="20">
        <v>45160</v>
      </c>
      <c r="B842" s="21" t="s">
        <v>1595</v>
      </c>
      <c r="C842" s="20">
        <v>45160</v>
      </c>
      <c r="D842" s="21">
        <v>19396.44921875</v>
      </c>
      <c r="F842" s="274">
        <f t="shared" si="26"/>
        <v>-3.1166302139322708E-3</v>
      </c>
      <c r="G842" s="274">
        <f t="shared" si="27"/>
        <v>1.4693555773021523E-4</v>
      </c>
    </row>
    <row r="843" spans="1:7" ht="14.25" customHeight="1" x14ac:dyDescent="0.3">
      <c r="A843" s="20">
        <v>45161</v>
      </c>
      <c r="B843" s="21" t="s">
        <v>1596</v>
      </c>
      <c r="C843" s="20">
        <v>45161</v>
      </c>
      <c r="D843" s="21">
        <v>19444</v>
      </c>
      <c r="F843" s="274">
        <f t="shared" si="26"/>
        <v>-2.2639069159887542E-2</v>
      </c>
      <c r="G843" s="274">
        <f t="shared" si="27"/>
        <v>2.4515199000461384E-3</v>
      </c>
    </row>
    <row r="844" spans="1:7" ht="14.25" customHeight="1" x14ac:dyDescent="0.3">
      <c r="A844" s="20">
        <v>45162</v>
      </c>
      <c r="B844" s="21" t="s">
        <v>1550</v>
      </c>
      <c r="C844" s="20">
        <v>45162</v>
      </c>
      <c r="D844" s="21">
        <v>19386.69921875</v>
      </c>
      <c r="F844" s="274">
        <f t="shared" si="26"/>
        <v>-9.5962402450443414E-3</v>
      </c>
      <c r="G844" s="274">
        <f t="shared" si="27"/>
        <v>-2.9469646806212714E-3</v>
      </c>
    </row>
    <row r="845" spans="1:7" ht="14.25" customHeight="1" x14ac:dyDescent="0.3">
      <c r="A845" s="20">
        <v>45163</v>
      </c>
      <c r="B845" s="21" t="s">
        <v>1597</v>
      </c>
      <c r="C845" s="20">
        <v>45163</v>
      </c>
      <c r="D845" s="21">
        <v>19265.80078125</v>
      </c>
      <c r="F845" s="274">
        <f t="shared" si="26"/>
        <v>-3.1963483045632686E-2</v>
      </c>
      <c r="G845" s="274">
        <f t="shared" si="27"/>
        <v>-6.2361537740819812E-3</v>
      </c>
    </row>
    <row r="846" spans="1:7" ht="14.25" customHeight="1" x14ac:dyDescent="0.3">
      <c r="A846" s="20">
        <v>45166</v>
      </c>
      <c r="B846" s="21" t="s">
        <v>1598</v>
      </c>
      <c r="C846" s="20">
        <v>45166</v>
      </c>
      <c r="D846" s="21">
        <v>19306.05078125</v>
      </c>
      <c r="F846" s="274">
        <f t="shared" si="26"/>
        <v>9.7791070876969005E-3</v>
      </c>
      <c r="G846" s="274">
        <f t="shared" si="27"/>
        <v>2.089194238900902E-3</v>
      </c>
    </row>
    <row r="847" spans="1:7" ht="14.25" customHeight="1" x14ac:dyDescent="0.3">
      <c r="A847" s="20">
        <v>45167</v>
      </c>
      <c r="B847" s="21" t="s">
        <v>1599</v>
      </c>
      <c r="C847" s="20">
        <v>45167</v>
      </c>
      <c r="D847" s="21" t="s">
        <v>1600</v>
      </c>
      <c r="F847" s="274">
        <f t="shared" si="26"/>
        <v>5.3549186984896803E-3</v>
      </c>
      <c r="G847" s="274">
        <f t="shared" si="27"/>
        <v>1.8957584743610782E-3</v>
      </c>
    </row>
    <row r="848" spans="1:7" ht="14.25" customHeight="1" x14ac:dyDescent="0.3">
      <c r="A848" s="20">
        <v>45168</v>
      </c>
      <c r="B848" s="21" t="s">
        <v>1601</v>
      </c>
      <c r="C848" s="20">
        <v>45168</v>
      </c>
      <c r="D848" s="21">
        <v>19347.44921875</v>
      </c>
      <c r="F848" s="274">
        <f t="shared" si="26"/>
        <v>6.4595999707263169E-3</v>
      </c>
      <c r="G848" s="274">
        <f t="shared" si="27"/>
        <v>2.4809568637635602E-4</v>
      </c>
    </row>
    <row r="849" spans="1:7" ht="14.25" customHeight="1" x14ac:dyDescent="0.3">
      <c r="A849" s="20">
        <v>45169</v>
      </c>
      <c r="B849" s="21" t="s">
        <v>1602</v>
      </c>
      <c r="C849" s="20">
        <v>45169</v>
      </c>
      <c r="D849" s="21">
        <v>19253.80078125</v>
      </c>
      <c r="F849" s="274">
        <f t="shared" si="26"/>
        <v>-3.5243766077481843E-2</v>
      </c>
      <c r="G849" s="274">
        <f t="shared" si="27"/>
        <v>-4.8403506033882458E-3</v>
      </c>
    </row>
    <row r="850" spans="1:7" ht="14.25" customHeight="1" x14ac:dyDescent="0.3">
      <c r="A850" s="20">
        <v>45170</v>
      </c>
      <c r="B850" s="21" t="s">
        <v>1603</v>
      </c>
      <c r="C850" s="20">
        <v>45170</v>
      </c>
      <c r="D850" s="21">
        <v>19435.30078125</v>
      </c>
      <c r="F850" s="274">
        <f t="shared" si="26"/>
        <v>1.2838468903734362E-2</v>
      </c>
      <c r="G850" s="274">
        <f t="shared" si="27"/>
        <v>9.4267101889176502E-3</v>
      </c>
    </row>
    <row r="851" spans="1:7" ht="14.25" customHeight="1" x14ac:dyDescent="0.3">
      <c r="A851" s="20">
        <v>45173</v>
      </c>
      <c r="B851" s="21" t="s">
        <v>1604</v>
      </c>
      <c r="C851" s="20">
        <v>45173</v>
      </c>
      <c r="D851" s="21">
        <v>19528.80078125</v>
      </c>
      <c r="F851" s="274">
        <f t="shared" si="26"/>
        <v>1.6708919340823133E-2</v>
      </c>
      <c r="G851" s="274">
        <f t="shared" si="27"/>
        <v>4.8108337016426897E-3</v>
      </c>
    </row>
    <row r="852" spans="1:7" ht="14.25" customHeight="1" x14ac:dyDescent="0.3">
      <c r="A852" s="20">
        <v>45174</v>
      </c>
      <c r="B852" s="21" t="s">
        <v>1605</v>
      </c>
      <c r="C852" s="20">
        <v>45174</v>
      </c>
      <c r="D852" s="21" t="s">
        <v>1606</v>
      </c>
      <c r="F852" s="274">
        <f t="shared" si="26"/>
        <v>-2.153421064482363E-3</v>
      </c>
      <c r="G852" s="274">
        <f t="shared" si="27"/>
        <v>2.3605960187407502E-3</v>
      </c>
    </row>
    <row r="853" spans="1:7" ht="14.25" customHeight="1" x14ac:dyDescent="0.3">
      <c r="A853" s="20">
        <v>45175</v>
      </c>
      <c r="B853" s="21">
        <v>437.75</v>
      </c>
      <c r="C853" s="20">
        <v>45175</v>
      </c>
      <c r="D853" s="21">
        <v>19611.05078125</v>
      </c>
      <c r="F853" s="274">
        <f t="shared" si="26"/>
        <v>-5.5656795526819623E-3</v>
      </c>
      <c r="G853" s="274">
        <f t="shared" si="27"/>
        <v>1.8467726478094107E-3</v>
      </c>
    </row>
    <row r="854" spans="1:7" ht="14.25" customHeight="1" x14ac:dyDescent="0.3">
      <c r="A854" s="20">
        <v>45176</v>
      </c>
      <c r="B854" s="21" t="s">
        <v>1607</v>
      </c>
      <c r="C854" s="20">
        <v>45176</v>
      </c>
      <c r="D854" s="21">
        <v>19727.05078125</v>
      </c>
      <c r="F854" s="274">
        <f t="shared" si="26"/>
        <v>3.8835230314814909E-3</v>
      </c>
      <c r="G854" s="274">
        <f t="shared" si="27"/>
        <v>5.9150323607803238E-3</v>
      </c>
    </row>
    <row r="855" spans="1:7" ht="14.25" customHeight="1" x14ac:dyDescent="0.3">
      <c r="A855" s="20">
        <v>45177</v>
      </c>
      <c r="B855" s="21" t="s">
        <v>1608</v>
      </c>
      <c r="C855" s="20">
        <v>45177</v>
      </c>
      <c r="D855" s="21">
        <v>19819.94921875</v>
      </c>
      <c r="F855" s="274">
        <f t="shared" si="26"/>
        <v>-5.6889291854706218E-4</v>
      </c>
      <c r="G855" s="274">
        <f t="shared" si="27"/>
        <v>4.7091903665750848E-3</v>
      </c>
    </row>
    <row r="856" spans="1:7" ht="14.25" customHeight="1" x14ac:dyDescent="0.3">
      <c r="A856" s="20">
        <v>45180</v>
      </c>
      <c r="B856" s="21" t="s">
        <v>1609</v>
      </c>
      <c r="C856" s="20">
        <v>45180</v>
      </c>
      <c r="D856" s="21" t="s">
        <v>1610</v>
      </c>
      <c r="F856" s="274">
        <f t="shared" si="26"/>
        <v>2.6639301831207128E-2</v>
      </c>
      <c r="G856" s="274">
        <f t="shared" si="27"/>
        <v>8.9001434200508597E-3</v>
      </c>
    </row>
    <row r="857" spans="1:7" ht="14.25" customHeight="1" x14ac:dyDescent="0.3">
      <c r="A857" s="20">
        <v>45181</v>
      </c>
      <c r="B857" s="21">
        <v>445</v>
      </c>
      <c r="C857" s="20">
        <v>45181</v>
      </c>
      <c r="D857" s="21">
        <v>19993.19921875</v>
      </c>
      <c r="F857" s="274">
        <f t="shared" si="26"/>
        <v>-1.3084927869478917E-2</v>
      </c>
      <c r="G857" s="274">
        <f t="shared" si="27"/>
        <v>-1.5754828688947231E-4</v>
      </c>
    </row>
    <row r="858" spans="1:7" ht="14.25" customHeight="1" x14ac:dyDescent="0.3">
      <c r="A858" s="20">
        <v>45182</v>
      </c>
      <c r="B858" s="21" t="s">
        <v>1611</v>
      </c>
      <c r="C858" s="20">
        <v>45182</v>
      </c>
      <c r="D858" s="21">
        <v>20070</v>
      </c>
      <c r="F858" s="274">
        <f t="shared" si="26"/>
        <v>-2.4719238281258942E-3</v>
      </c>
      <c r="G858" s="274">
        <f t="shared" si="27"/>
        <v>3.8413452699443307E-3</v>
      </c>
    </row>
    <row r="859" spans="1:7" ht="14.25" customHeight="1" x14ac:dyDescent="0.3">
      <c r="A859" s="20">
        <v>45183</v>
      </c>
      <c r="B859" s="21" t="s">
        <v>1612</v>
      </c>
      <c r="C859" s="20">
        <v>45183</v>
      </c>
      <c r="D859" s="21" t="s">
        <v>1613</v>
      </c>
      <c r="F859" s="274">
        <f t="shared" si="26"/>
        <v>2.9286288092407711E-3</v>
      </c>
      <c r="G859" s="274">
        <f t="shared" si="27"/>
        <v>1.6492082399103139E-3</v>
      </c>
    </row>
    <row r="860" spans="1:7" ht="14.25" customHeight="1" x14ac:dyDescent="0.3">
      <c r="A860" s="20">
        <v>45184</v>
      </c>
      <c r="B860" s="21" t="s">
        <v>1614</v>
      </c>
      <c r="C860" s="20">
        <v>45184</v>
      </c>
      <c r="D860" s="21" t="s">
        <v>1615</v>
      </c>
      <c r="F860" s="274">
        <f t="shared" si="26"/>
        <v>-3.3698205289636393E-4</v>
      </c>
      <c r="G860" s="274">
        <f t="shared" si="27"/>
        <v>4.439613877174375E-3</v>
      </c>
    </row>
    <row r="861" spans="1:7" ht="14.25" customHeight="1" x14ac:dyDescent="0.3">
      <c r="A861" s="20">
        <v>45187</v>
      </c>
      <c r="B861" s="21" t="s">
        <v>1616</v>
      </c>
      <c r="C861" s="20">
        <v>45187</v>
      </c>
      <c r="D861" s="21">
        <v>20133.30078125</v>
      </c>
      <c r="F861" s="274">
        <f t="shared" si="26"/>
        <v>-1.8874270591805097E-2</v>
      </c>
      <c r="G861" s="274">
        <f t="shared" si="27"/>
        <v>-2.9243168460982138E-3</v>
      </c>
    </row>
    <row r="862" spans="1:7" ht="14.25" customHeight="1" x14ac:dyDescent="0.3">
      <c r="A862" s="20">
        <v>45189</v>
      </c>
      <c r="B862" s="21" t="s">
        <v>1617</v>
      </c>
      <c r="C862" s="20">
        <v>45189</v>
      </c>
      <c r="D862" s="21" t="s">
        <v>1618</v>
      </c>
      <c r="F862" s="274">
        <f t="shared" si="26"/>
        <v>-1.9466392119119286E-2</v>
      </c>
      <c r="G862" s="274">
        <f t="shared" si="27"/>
        <v>-1.1518249945432057E-2</v>
      </c>
    </row>
    <row r="863" spans="1:7" ht="14.25" customHeight="1" x14ac:dyDescent="0.3">
      <c r="A863" s="20">
        <v>45190</v>
      </c>
      <c r="B863" s="21" t="s">
        <v>1619</v>
      </c>
      <c r="C863" s="20">
        <v>45190</v>
      </c>
      <c r="D863" s="21" t="s">
        <v>1620</v>
      </c>
      <c r="F863" s="274">
        <f t="shared" si="26"/>
        <v>-4.7880131313621215E-3</v>
      </c>
      <c r="G863" s="274">
        <f t="shared" si="27"/>
        <v>-7.9919391664982752E-3</v>
      </c>
    </row>
    <row r="864" spans="1:7" ht="14.25" customHeight="1" x14ac:dyDescent="0.3">
      <c r="A864" s="20">
        <v>45191</v>
      </c>
      <c r="B864" s="21" t="s">
        <v>1621</v>
      </c>
      <c r="C864" s="20">
        <v>45191</v>
      </c>
      <c r="D864" s="21">
        <v>19674.25</v>
      </c>
      <c r="F864" s="274">
        <f t="shared" si="26"/>
        <v>-1.2086350205854864E-2</v>
      </c>
      <c r="G864" s="274">
        <f t="shared" si="27"/>
        <v>-3.4494176591149876E-3</v>
      </c>
    </row>
    <row r="865" spans="1:7" ht="14.25" customHeight="1" x14ac:dyDescent="0.3">
      <c r="A865" s="20">
        <v>45194</v>
      </c>
      <c r="B865" s="21" t="s">
        <v>1622</v>
      </c>
      <c r="C865" s="20">
        <v>45194</v>
      </c>
      <c r="D865" s="21">
        <v>19674.55078125</v>
      </c>
      <c r="F865" s="274">
        <f t="shared" si="26"/>
        <v>4.6323355099320371E-3</v>
      </c>
      <c r="G865" s="274">
        <f t="shared" si="27"/>
        <v>1.5288066889462116E-5</v>
      </c>
    </row>
    <row r="866" spans="1:7" ht="14.25" customHeight="1" x14ac:dyDescent="0.3">
      <c r="A866" s="20">
        <v>45195</v>
      </c>
      <c r="B866" s="21">
        <v>429.75</v>
      </c>
      <c r="C866" s="20">
        <v>45195</v>
      </c>
      <c r="D866" s="21">
        <v>19664.69921875</v>
      </c>
      <c r="F866" s="274">
        <f t="shared" si="26"/>
        <v>1.6197697333598788E-2</v>
      </c>
      <c r="G866" s="274">
        <f t="shared" si="27"/>
        <v>-5.0072617207548218E-4</v>
      </c>
    </row>
    <row r="867" spans="1:7" ht="14.25" customHeight="1" x14ac:dyDescent="0.3">
      <c r="A867" s="20">
        <v>45196</v>
      </c>
      <c r="B867" s="21" t="s">
        <v>1623</v>
      </c>
      <c r="C867" s="20">
        <v>45196</v>
      </c>
      <c r="D867" s="21">
        <v>19716.44921875</v>
      </c>
      <c r="F867" s="274">
        <f t="shared" si="26"/>
        <v>1.628882389833677E-3</v>
      </c>
      <c r="G867" s="274">
        <f t="shared" si="27"/>
        <v>2.6316191986632139E-3</v>
      </c>
    </row>
    <row r="868" spans="1:7" ht="14.25" customHeight="1" x14ac:dyDescent="0.3">
      <c r="A868" s="20">
        <v>45197</v>
      </c>
      <c r="B868" s="21" t="s">
        <v>1624</v>
      </c>
      <c r="C868" s="20">
        <v>45197</v>
      </c>
      <c r="D868" s="21">
        <v>19523.55078125</v>
      </c>
      <c r="F868" s="274">
        <f t="shared" si="26"/>
        <v>-2.4509276365109883E-2</v>
      </c>
      <c r="G868" s="274">
        <f t="shared" si="27"/>
        <v>-9.7836296667737181E-3</v>
      </c>
    </row>
    <row r="869" spans="1:7" ht="14.25" customHeight="1" x14ac:dyDescent="0.3">
      <c r="A869" s="20">
        <v>45198</v>
      </c>
      <c r="B869" s="21" t="s">
        <v>1625</v>
      </c>
      <c r="C869" s="20">
        <v>45198</v>
      </c>
      <c r="D869" s="21">
        <v>19638.30078125</v>
      </c>
      <c r="F869" s="274">
        <f t="shared" si="26"/>
        <v>1.166943073995854E-2</v>
      </c>
      <c r="G869" s="274">
        <f t="shared" si="27"/>
        <v>5.8775169171687482E-3</v>
      </c>
    </row>
    <row r="870" spans="1:7" ht="14.25" customHeight="1" x14ac:dyDescent="0.3">
      <c r="A870" s="20">
        <v>45202</v>
      </c>
      <c r="B870" s="21" t="s">
        <v>1626</v>
      </c>
      <c r="C870" s="20">
        <v>45202</v>
      </c>
      <c r="D870" s="21">
        <v>19528.75</v>
      </c>
      <c r="F870" s="274">
        <f t="shared" si="26"/>
        <v>1.7420020307697168E-2</v>
      </c>
      <c r="G870" s="274">
        <f t="shared" si="27"/>
        <v>-5.5784246544688561E-3</v>
      </c>
    </row>
    <row r="871" spans="1:7" ht="14.25" customHeight="1" x14ac:dyDescent="0.3">
      <c r="A871" s="20">
        <v>45203</v>
      </c>
      <c r="B871" s="21" t="s">
        <v>1627</v>
      </c>
      <c r="C871" s="20">
        <v>45203</v>
      </c>
      <c r="D871" s="21" t="s">
        <v>1628</v>
      </c>
      <c r="F871" s="274">
        <f t="shared" si="26"/>
        <v>-5.9000884741427177E-3</v>
      </c>
      <c r="G871" s="274">
        <f t="shared" si="27"/>
        <v>-4.7443072713307301E-3</v>
      </c>
    </row>
    <row r="872" spans="1:7" ht="14.25" customHeight="1" x14ac:dyDescent="0.3">
      <c r="A872" s="20">
        <v>45204</v>
      </c>
      <c r="B872" s="21" t="s">
        <v>1629</v>
      </c>
      <c r="C872" s="20">
        <v>45204</v>
      </c>
      <c r="D872" s="21">
        <v>19545.75</v>
      </c>
      <c r="F872" s="274">
        <f t="shared" si="26"/>
        <v>7.4479512451756371E-3</v>
      </c>
      <c r="G872" s="274">
        <f t="shared" si="27"/>
        <v>5.6415841052857201E-3</v>
      </c>
    </row>
    <row r="873" spans="1:7" ht="14.25" customHeight="1" x14ac:dyDescent="0.3">
      <c r="A873" s="20">
        <v>45205</v>
      </c>
      <c r="B873" s="21" t="s">
        <v>1630</v>
      </c>
      <c r="C873" s="20">
        <v>45205</v>
      </c>
      <c r="D873" s="21">
        <v>19653.5</v>
      </c>
      <c r="F873" s="274">
        <f t="shared" si="26"/>
        <v>6.5842810750346877E-3</v>
      </c>
      <c r="G873" s="274">
        <f t="shared" si="27"/>
        <v>5.512707366051443E-3</v>
      </c>
    </row>
    <row r="874" spans="1:7" ht="14.25" customHeight="1" x14ac:dyDescent="0.3">
      <c r="A874" s="20">
        <v>45208</v>
      </c>
      <c r="B874" s="21" t="s">
        <v>1023</v>
      </c>
      <c r="C874" s="20">
        <v>45208</v>
      </c>
      <c r="D874" s="21" t="s">
        <v>1631</v>
      </c>
      <c r="F874" s="274">
        <f t="shared" si="26"/>
        <v>-1.2623364346812485E-2</v>
      </c>
      <c r="G874" s="274">
        <f t="shared" si="27"/>
        <v>-7.181946758847025E-3</v>
      </c>
    </row>
    <row r="875" spans="1:7" ht="14.25" customHeight="1" x14ac:dyDescent="0.3">
      <c r="A875" s="20">
        <v>45209</v>
      </c>
      <c r="B875" s="21" t="s">
        <v>1591</v>
      </c>
      <c r="C875" s="20">
        <v>45209</v>
      </c>
      <c r="D875" s="21" t="s">
        <v>1632</v>
      </c>
      <c r="F875" s="274">
        <f t="shared" si="26"/>
        <v>1.6271501165442306E-2</v>
      </c>
      <c r="G875" s="274">
        <f t="shared" si="27"/>
        <v>9.0968029762401072E-3</v>
      </c>
    </row>
    <row r="876" spans="1:7" ht="14.25" customHeight="1" x14ac:dyDescent="0.3">
      <c r="A876" s="20">
        <v>45210</v>
      </c>
      <c r="B876" s="21" t="s">
        <v>1633</v>
      </c>
      <c r="C876" s="20">
        <v>45210</v>
      </c>
      <c r="D876" s="21" t="s">
        <v>1634</v>
      </c>
      <c r="F876" s="274">
        <f t="shared" si="26"/>
        <v>1.8069518929343092E-2</v>
      </c>
      <c r="G876" s="274">
        <f t="shared" si="27"/>
        <v>6.1706921287072586E-3</v>
      </c>
    </row>
    <row r="877" spans="1:7" ht="14.25" customHeight="1" x14ac:dyDescent="0.3">
      <c r="A877" s="20">
        <v>45211</v>
      </c>
      <c r="B877" s="21" t="s">
        <v>1635</v>
      </c>
      <c r="C877" s="20">
        <v>45211</v>
      </c>
      <c r="D877" s="21">
        <v>19794</v>
      </c>
      <c r="F877" s="274">
        <f t="shared" si="26"/>
        <v>1.1233430535692178E-3</v>
      </c>
      <c r="G877" s="274">
        <f t="shared" si="27"/>
        <v>-8.7574091200681898E-4</v>
      </c>
    </row>
    <row r="878" spans="1:7" ht="14.25" customHeight="1" x14ac:dyDescent="0.3">
      <c r="A878" s="20">
        <v>45212</v>
      </c>
      <c r="B878" s="21" t="s">
        <v>1636</v>
      </c>
      <c r="C878" s="20">
        <v>45212</v>
      </c>
      <c r="D878" s="21">
        <v>19751.05078125</v>
      </c>
      <c r="F878" s="274">
        <f t="shared" si="26"/>
        <v>-1.279176869155357E-2</v>
      </c>
      <c r="G878" s="274">
        <f t="shared" si="27"/>
        <v>-2.1698099802970596E-3</v>
      </c>
    </row>
    <row r="879" spans="1:7" ht="14.25" customHeight="1" x14ac:dyDescent="0.3">
      <c r="A879" s="20">
        <v>45215</v>
      </c>
      <c r="B879" s="21">
        <v>443.25</v>
      </c>
      <c r="C879" s="20">
        <v>45215</v>
      </c>
      <c r="D879" s="21">
        <v>19731.75</v>
      </c>
      <c r="F879" s="274">
        <f t="shared" si="26"/>
        <v>7.6153811093353568E-3</v>
      </c>
      <c r="G879" s="274">
        <f t="shared" si="27"/>
        <v>-9.7720275562870559E-4</v>
      </c>
    </row>
    <row r="880" spans="1:7" ht="14.25" customHeight="1" x14ac:dyDescent="0.3">
      <c r="A880" s="20">
        <v>45216</v>
      </c>
      <c r="B880" s="21" t="s">
        <v>1637</v>
      </c>
      <c r="C880" s="20">
        <v>45216</v>
      </c>
      <c r="D880" s="21">
        <v>19811.5</v>
      </c>
      <c r="F880" s="274">
        <f t="shared" si="26"/>
        <v>-1.3536516717789575E-3</v>
      </c>
      <c r="G880" s="274">
        <f t="shared" si="27"/>
        <v>4.0417094276990126E-3</v>
      </c>
    </row>
    <row r="881" spans="1:7" ht="14.25" customHeight="1" x14ac:dyDescent="0.3">
      <c r="A881" s="20">
        <v>45217</v>
      </c>
      <c r="B881" s="21">
        <v>433</v>
      </c>
      <c r="C881" s="20">
        <v>45217</v>
      </c>
      <c r="D881" s="21" t="s">
        <v>1638</v>
      </c>
      <c r="F881" s="274">
        <f t="shared" si="26"/>
        <v>-2.1800506109892048E-2</v>
      </c>
      <c r="G881" s="274">
        <f t="shared" si="27"/>
        <v>-7.0868127413371024E-3</v>
      </c>
    </row>
    <row r="882" spans="1:7" ht="14.25" customHeight="1" x14ac:dyDescent="0.3">
      <c r="A882" s="20">
        <v>45218</v>
      </c>
      <c r="B882" s="21" t="s">
        <v>1639</v>
      </c>
      <c r="C882" s="20">
        <v>45218</v>
      </c>
      <c r="D882" s="21">
        <v>19624.69921875</v>
      </c>
      <c r="F882" s="274">
        <f t="shared" si="26"/>
        <v>1.0277164450418066E-2</v>
      </c>
      <c r="G882" s="274">
        <f t="shared" si="27"/>
        <v>-2.3588102112444267E-3</v>
      </c>
    </row>
    <row r="883" spans="1:7" ht="14.25" customHeight="1" x14ac:dyDescent="0.3">
      <c r="A883" s="20">
        <v>45219</v>
      </c>
      <c r="B883" s="21" t="s">
        <v>1640</v>
      </c>
      <c r="C883" s="20">
        <v>45219</v>
      </c>
      <c r="D883" s="21" t="s">
        <v>1641</v>
      </c>
      <c r="F883" s="274">
        <f t="shared" si="26"/>
        <v>-1.5087452095880733E-2</v>
      </c>
      <c r="G883" s="274">
        <f t="shared" si="27"/>
        <v>-4.1808960845936532E-3</v>
      </c>
    </row>
    <row r="884" spans="1:7" ht="14.25" customHeight="1" x14ac:dyDescent="0.3">
      <c r="A884" s="20">
        <v>45222</v>
      </c>
      <c r="B884" s="21" t="s">
        <v>1642</v>
      </c>
      <c r="C884" s="20">
        <v>45222</v>
      </c>
      <c r="D884" s="21">
        <v>19281.75</v>
      </c>
      <c r="F884" s="274">
        <f t="shared" si="26"/>
        <v>-3.4582786782888286E-2</v>
      </c>
      <c r="G884" s="274">
        <f t="shared" si="27"/>
        <v>-1.3350307425555702E-2</v>
      </c>
    </row>
    <row r="885" spans="1:7" ht="14.25" customHeight="1" x14ac:dyDescent="0.3">
      <c r="A885" s="20">
        <v>45224</v>
      </c>
      <c r="B885" s="21" t="s">
        <v>1310</v>
      </c>
      <c r="C885" s="20">
        <v>45224</v>
      </c>
      <c r="D885" s="21" t="s">
        <v>1643</v>
      </c>
      <c r="F885" s="274">
        <f t="shared" si="26"/>
        <v>4.8082700836766384E-3</v>
      </c>
      <c r="G885" s="274">
        <f t="shared" si="27"/>
        <v>-8.2772367329210263E-3</v>
      </c>
    </row>
    <row r="886" spans="1:7" ht="14.25" customHeight="1" x14ac:dyDescent="0.3">
      <c r="A886" s="20">
        <v>45225</v>
      </c>
      <c r="B886" s="21" t="s">
        <v>1644</v>
      </c>
      <c r="C886" s="20">
        <v>45225</v>
      </c>
      <c r="D886" s="21">
        <v>18857.25</v>
      </c>
      <c r="F886" s="274">
        <f t="shared" si="26"/>
        <v>-3.9478989493262036E-3</v>
      </c>
      <c r="G886" s="274">
        <f t="shared" si="27"/>
        <v>-1.385306491234754E-2</v>
      </c>
    </row>
    <row r="887" spans="1:7" ht="14.25" customHeight="1" x14ac:dyDescent="0.3">
      <c r="A887" s="20">
        <v>45226</v>
      </c>
      <c r="B887" s="21">
        <v>417.25</v>
      </c>
      <c r="C887" s="20">
        <v>45226</v>
      </c>
      <c r="D887" s="21">
        <v>19047.25</v>
      </c>
      <c r="F887" s="274">
        <f t="shared" si="26"/>
        <v>2.2820375567833158E-3</v>
      </c>
      <c r="G887" s="274">
        <f t="shared" si="27"/>
        <v>1.007570032746026E-2</v>
      </c>
    </row>
    <row r="888" spans="1:7" ht="14.25" customHeight="1" x14ac:dyDescent="0.3">
      <c r="A888" s="20">
        <v>45229</v>
      </c>
      <c r="B888" s="21" t="s">
        <v>1645</v>
      </c>
      <c r="C888" s="20">
        <v>45229</v>
      </c>
      <c r="D888" s="21" t="s">
        <v>1646</v>
      </c>
      <c r="F888" s="274">
        <f t="shared" si="26"/>
        <v>1.1264259333807125E-2</v>
      </c>
      <c r="G888" s="274">
        <f t="shared" si="27"/>
        <v>4.9167407696649118E-3</v>
      </c>
    </row>
    <row r="889" spans="1:7" ht="14.25" customHeight="1" x14ac:dyDescent="0.3">
      <c r="A889" s="20">
        <v>45230</v>
      </c>
      <c r="B889" s="21" t="s">
        <v>1647</v>
      </c>
      <c r="C889" s="20">
        <v>45230</v>
      </c>
      <c r="D889" s="21" t="s">
        <v>1648</v>
      </c>
      <c r="F889" s="274">
        <f t="shared" si="26"/>
        <v>5.9248724438319663E-3</v>
      </c>
      <c r="G889" s="274">
        <f t="shared" si="27"/>
        <v>-3.2026069828995319E-3</v>
      </c>
    </row>
    <row r="890" spans="1:7" ht="14.25" customHeight="1" x14ac:dyDescent="0.3">
      <c r="A890" s="20">
        <v>45231</v>
      </c>
      <c r="B890" s="21" t="s">
        <v>1649</v>
      </c>
      <c r="C890" s="20">
        <v>45231</v>
      </c>
      <c r="D890" s="21" t="s">
        <v>1650</v>
      </c>
      <c r="F890" s="274">
        <f t="shared" si="26"/>
        <v>-4.1936665799563823E-2</v>
      </c>
      <c r="G890" s="274">
        <f t="shared" si="27"/>
        <v>-4.7406245729368791E-3</v>
      </c>
    </row>
    <row r="891" spans="1:7" ht="14.25" customHeight="1" x14ac:dyDescent="0.3">
      <c r="A891" s="20">
        <v>45232</v>
      </c>
      <c r="B891" s="21" t="s">
        <v>1651</v>
      </c>
      <c r="C891" s="20">
        <v>45232</v>
      </c>
      <c r="D891" s="21">
        <v>19133.25</v>
      </c>
      <c r="F891" s="274">
        <f t="shared" si="26"/>
        <v>3.2091524668432757E-2</v>
      </c>
      <c r="G891" s="274">
        <f t="shared" si="27"/>
        <v>7.5885232572670764E-3</v>
      </c>
    </row>
    <row r="892" spans="1:7" ht="14.25" customHeight="1" x14ac:dyDescent="0.3">
      <c r="A892" s="20">
        <v>45233</v>
      </c>
      <c r="B892" s="21" t="s">
        <v>1572</v>
      </c>
      <c r="C892" s="20">
        <v>45233</v>
      </c>
      <c r="D892" s="21" t="s">
        <v>1652</v>
      </c>
      <c r="F892" s="274">
        <f t="shared" si="26"/>
        <v>2.8591414213755694E-3</v>
      </c>
      <c r="G892" s="274">
        <f t="shared" si="27"/>
        <v>5.0879808383311777E-3</v>
      </c>
    </row>
    <row r="893" spans="1:7" ht="14.25" customHeight="1" x14ac:dyDescent="0.3">
      <c r="A893" s="20">
        <v>45236</v>
      </c>
      <c r="B893" s="21">
        <v>421.25</v>
      </c>
      <c r="C893" s="20">
        <v>45236</v>
      </c>
      <c r="D893" s="21">
        <v>19411.75</v>
      </c>
      <c r="F893" s="274">
        <f t="shared" si="26"/>
        <v>8.3156595056188879E-4</v>
      </c>
      <c r="G893" s="274">
        <f t="shared" si="27"/>
        <v>9.4199033989916994E-3</v>
      </c>
    </row>
    <row r="894" spans="1:7" ht="14.25" customHeight="1" x14ac:dyDescent="0.3">
      <c r="A894" s="20">
        <v>45237</v>
      </c>
      <c r="B894" s="21" t="s">
        <v>1030</v>
      </c>
      <c r="C894" s="20">
        <v>45237</v>
      </c>
      <c r="D894" s="21">
        <v>19406.69921875</v>
      </c>
      <c r="F894" s="274">
        <f t="shared" si="26"/>
        <v>-4.0356372867228225E-3</v>
      </c>
      <c r="G894" s="274">
        <f t="shared" si="27"/>
        <v>-2.6019195847875644E-4</v>
      </c>
    </row>
    <row r="895" spans="1:7" ht="14.25" customHeight="1" x14ac:dyDescent="0.3">
      <c r="A895" s="20">
        <v>45238</v>
      </c>
      <c r="B895" s="21">
        <v>421</v>
      </c>
      <c r="C895" s="20">
        <v>45238</v>
      </c>
      <c r="D895" s="21">
        <v>19443.5</v>
      </c>
      <c r="F895" s="274">
        <f t="shared" si="26"/>
        <v>3.4561130955091694E-3</v>
      </c>
      <c r="G895" s="274">
        <f t="shared" si="27"/>
        <v>1.8962926582818634E-3</v>
      </c>
    </row>
    <row r="896" spans="1:7" ht="14.25" customHeight="1" x14ac:dyDescent="0.3">
      <c r="A896" s="20">
        <v>45239</v>
      </c>
      <c r="B896" s="21" t="s">
        <v>1653</v>
      </c>
      <c r="C896" s="20">
        <v>45239</v>
      </c>
      <c r="D896" s="21">
        <v>19395.30078125</v>
      </c>
      <c r="F896" s="274">
        <f t="shared" si="26"/>
        <v>-6.4133306580332278E-3</v>
      </c>
      <c r="G896" s="274">
        <f t="shared" si="27"/>
        <v>-2.4789373698151053E-3</v>
      </c>
    </row>
    <row r="897" spans="1:7" ht="14.25" customHeight="1" x14ac:dyDescent="0.3">
      <c r="A897" s="20">
        <v>45240</v>
      </c>
      <c r="B897" s="21" t="s">
        <v>984</v>
      </c>
      <c r="C897" s="20">
        <v>45240</v>
      </c>
      <c r="D897" s="21" t="s">
        <v>1654</v>
      </c>
      <c r="F897" s="274">
        <f t="shared" si="26"/>
        <v>-4.7808198730330724E-4</v>
      </c>
      <c r="G897" s="274">
        <f t="shared" si="27"/>
        <v>1.5492839458333678E-3</v>
      </c>
    </row>
    <row r="898" spans="1:7" ht="14.25" customHeight="1" x14ac:dyDescent="0.3">
      <c r="A898" s="20">
        <v>45243</v>
      </c>
      <c r="B898" s="21" t="s">
        <v>1655</v>
      </c>
      <c r="C898" s="20">
        <v>45243</v>
      </c>
      <c r="D898" s="21">
        <v>19443.55078125</v>
      </c>
      <c r="F898" s="274">
        <f t="shared" si="26"/>
        <v>3.1092747524311703E-3</v>
      </c>
      <c r="G898" s="274">
        <f t="shared" si="27"/>
        <v>9.3698040143461864E-4</v>
      </c>
    </row>
    <row r="899" spans="1:7" ht="14.25" customHeight="1" x14ac:dyDescent="0.3">
      <c r="A899" s="20">
        <v>45245</v>
      </c>
      <c r="B899" s="21" t="s">
        <v>1656</v>
      </c>
      <c r="C899" s="20">
        <v>45245</v>
      </c>
      <c r="D899" s="21">
        <v>19675.44921875</v>
      </c>
      <c r="F899" s="274">
        <f t="shared" ref="F899:F962" si="28">(B899-B898)/B898</f>
        <v>-2.9804483027925941E-3</v>
      </c>
      <c r="G899" s="274">
        <f t="shared" ref="G899:G962" si="29">(D899-D898)/D898</f>
        <v>1.1926753508604336E-2</v>
      </c>
    </row>
    <row r="900" spans="1:7" ht="14.25" customHeight="1" x14ac:dyDescent="0.3">
      <c r="A900" s="20">
        <v>45246</v>
      </c>
      <c r="B900" s="21" t="s">
        <v>1624</v>
      </c>
      <c r="C900" s="20">
        <v>45246</v>
      </c>
      <c r="D900" s="21">
        <v>19765.19921875</v>
      </c>
      <c r="F900" s="274">
        <f t="shared" si="28"/>
        <v>4.1851011013842683E-3</v>
      </c>
      <c r="G900" s="274">
        <f t="shared" si="29"/>
        <v>4.5615222809993819E-3</v>
      </c>
    </row>
    <row r="901" spans="1:7" ht="14.25" customHeight="1" x14ac:dyDescent="0.3">
      <c r="A901" s="20">
        <v>45247</v>
      </c>
      <c r="B901" s="21" t="s">
        <v>1657</v>
      </c>
      <c r="C901" s="20">
        <v>45247</v>
      </c>
      <c r="D901" s="21">
        <v>19731.80078125</v>
      </c>
      <c r="F901" s="274">
        <f t="shared" si="28"/>
        <v>2.8578524040818541E-3</v>
      </c>
      <c r="G901" s="274">
        <f t="shared" si="29"/>
        <v>-1.6897597201204532E-3</v>
      </c>
    </row>
    <row r="902" spans="1:7" ht="14.25" customHeight="1" x14ac:dyDescent="0.3">
      <c r="A902" s="20">
        <v>45250</v>
      </c>
      <c r="B902" s="21">
        <v>421.5</v>
      </c>
      <c r="C902" s="20">
        <v>45250</v>
      </c>
      <c r="D902" s="21">
        <v>19694</v>
      </c>
      <c r="F902" s="274">
        <f t="shared" si="28"/>
        <v>9.4987862903681268E-4</v>
      </c>
      <c r="G902" s="274">
        <f t="shared" si="29"/>
        <v>-1.9157289123818803E-3</v>
      </c>
    </row>
    <row r="903" spans="1:7" ht="14.25" customHeight="1" x14ac:dyDescent="0.3">
      <c r="A903" s="20">
        <v>45251</v>
      </c>
      <c r="B903" s="21" t="s">
        <v>1658</v>
      </c>
      <c r="C903" s="20">
        <v>45251</v>
      </c>
      <c r="D903" s="21" t="s">
        <v>1659</v>
      </c>
      <c r="F903" s="274">
        <f t="shared" si="28"/>
        <v>-3.2028614555540281E-3</v>
      </c>
      <c r="G903" s="274">
        <f t="shared" si="29"/>
        <v>4.5394734754239871E-3</v>
      </c>
    </row>
    <row r="904" spans="1:7" ht="14.25" customHeight="1" x14ac:dyDescent="0.3">
      <c r="A904" s="20">
        <v>45252</v>
      </c>
      <c r="B904" s="21">
        <v>414.25</v>
      </c>
      <c r="C904" s="20">
        <v>45252</v>
      </c>
      <c r="D904" s="21" t="s">
        <v>1660</v>
      </c>
      <c r="F904" s="274">
        <f t="shared" si="28"/>
        <v>-1.4042589508968577E-2</v>
      </c>
      <c r="G904" s="274">
        <f t="shared" si="29"/>
        <v>1.438034826585301E-3</v>
      </c>
    </row>
    <row r="905" spans="1:7" ht="14.25" customHeight="1" x14ac:dyDescent="0.3">
      <c r="A905" s="20">
        <v>45253</v>
      </c>
      <c r="B905" s="21" t="s">
        <v>1309</v>
      </c>
      <c r="C905" s="20">
        <v>45253</v>
      </c>
      <c r="D905" s="21">
        <v>19802</v>
      </c>
      <c r="F905" s="274">
        <f t="shared" si="28"/>
        <v>3.2589163633433911E-3</v>
      </c>
      <c r="G905" s="274">
        <f t="shared" si="29"/>
        <v>-4.9715748752398909E-4</v>
      </c>
    </row>
    <row r="906" spans="1:7" ht="14.25" customHeight="1" x14ac:dyDescent="0.3">
      <c r="A906" s="20">
        <v>45254</v>
      </c>
      <c r="B906" s="21" t="s">
        <v>1661</v>
      </c>
      <c r="C906" s="20">
        <v>45254</v>
      </c>
      <c r="D906" s="21">
        <v>19794.69921875</v>
      </c>
      <c r="F906" s="274">
        <f t="shared" si="28"/>
        <v>-3.1280517118741054E-3</v>
      </c>
      <c r="G906" s="274">
        <f t="shared" si="29"/>
        <v>-3.6868908443591557E-4</v>
      </c>
    </row>
    <row r="907" spans="1:7" ht="14.25" customHeight="1" x14ac:dyDescent="0.3">
      <c r="A907" s="20">
        <v>45258</v>
      </c>
      <c r="B907" s="21" t="s">
        <v>1662</v>
      </c>
      <c r="C907" s="20">
        <v>45258</v>
      </c>
      <c r="D907" s="21">
        <v>19889.69921875</v>
      </c>
      <c r="F907" s="274">
        <f t="shared" si="28"/>
        <v>4.0791756968402836E-2</v>
      </c>
      <c r="G907" s="274">
        <f t="shared" si="29"/>
        <v>4.7992646389905125E-3</v>
      </c>
    </row>
    <row r="908" spans="1:7" ht="14.25" customHeight="1" x14ac:dyDescent="0.3">
      <c r="A908" s="20">
        <v>45259</v>
      </c>
      <c r="B908" s="21" t="s">
        <v>1663</v>
      </c>
      <c r="C908" s="20">
        <v>45259</v>
      </c>
      <c r="D908" s="21" t="s">
        <v>1664</v>
      </c>
      <c r="F908" s="274">
        <f t="shared" si="28"/>
        <v>1.0319994349435212E-2</v>
      </c>
      <c r="G908" s="274">
        <f t="shared" si="29"/>
        <v>1.0402389113554579E-2</v>
      </c>
    </row>
    <row r="909" spans="1:7" ht="14.25" customHeight="1" x14ac:dyDescent="0.3">
      <c r="A909" s="20">
        <v>45260</v>
      </c>
      <c r="B909" s="21">
        <v>439.25</v>
      </c>
      <c r="C909" s="20">
        <v>45260</v>
      </c>
      <c r="D909" s="21" t="s">
        <v>1665</v>
      </c>
      <c r="F909" s="274">
        <f t="shared" si="28"/>
        <v>8.2635284149032498E-3</v>
      </c>
      <c r="G909" s="274">
        <f t="shared" si="29"/>
        <v>1.8187545137212753E-3</v>
      </c>
    </row>
    <row r="910" spans="1:7" ht="14.25" customHeight="1" x14ac:dyDescent="0.3">
      <c r="A910" s="20">
        <v>45261</v>
      </c>
      <c r="B910" s="21">
        <v>442</v>
      </c>
      <c r="C910" s="20">
        <v>45261</v>
      </c>
      <c r="D910" s="21" t="s">
        <v>1666</v>
      </c>
      <c r="F910" s="274">
        <f t="shared" si="28"/>
        <v>6.2606715993170177E-3</v>
      </c>
      <c r="G910" s="274">
        <f t="shared" si="29"/>
        <v>6.6929416105065368E-3</v>
      </c>
    </row>
    <row r="911" spans="1:7" ht="14.25" customHeight="1" x14ac:dyDescent="0.3">
      <c r="A911" s="20">
        <v>45264</v>
      </c>
      <c r="B911" s="21" t="s">
        <v>1667</v>
      </c>
      <c r="C911" s="20">
        <v>45264</v>
      </c>
      <c r="D911" s="21">
        <v>20686.80078125</v>
      </c>
      <c r="F911" s="274">
        <f t="shared" si="28"/>
        <v>7.3642506318932155E-2</v>
      </c>
      <c r="G911" s="274">
        <f t="shared" si="29"/>
        <v>2.0668169003769332E-2</v>
      </c>
    </row>
    <row r="912" spans="1:7" ht="14.25" customHeight="1" x14ac:dyDescent="0.3">
      <c r="A912" s="20">
        <v>45265</v>
      </c>
      <c r="B912" s="21" t="s">
        <v>1668</v>
      </c>
      <c r="C912" s="20">
        <v>45265</v>
      </c>
      <c r="D912" s="21" t="s">
        <v>1669</v>
      </c>
      <c r="F912" s="274">
        <f t="shared" si="28"/>
        <v>7.2700454930896177E-2</v>
      </c>
      <c r="G912" s="274">
        <f t="shared" si="29"/>
        <v>8.1355657602475619E-3</v>
      </c>
    </row>
    <row r="913" spans="1:7" ht="14.25" customHeight="1" x14ac:dyDescent="0.3">
      <c r="A913" s="20">
        <v>45266</v>
      </c>
      <c r="B913" s="21" t="s">
        <v>1429</v>
      </c>
      <c r="C913" s="20">
        <v>45266</v>
      </c>
      <c r="D913" s="21">
        <v>20937.69921875</v>
      </c>
      <c r="F913" s="274">
        <f t="shared" si="28"/>
        <v>-1.5617290796766093E-2</v>
      </c>
      <c r="G913" s="274">
        <f t="shared" si="29"/>
        <v>3.9606432442005199E-3</v>
      </c>
    </row>
    <row r="914" spans="1:7" ht="14.25" customHeight="1" x14ac:dyDescent="0.3">
      <c r="A914" s="20">
        <v>45267</v>
      </c>
      <c r="B914" s="21" t="s">
        <v>1670</v>
      </c>
      <c r="C914" s="20">
        <v>45267</v>
      </c>
      <c r="D914" s="21" t="s">
        <v>1671</v>
      </c>
      <c r="F914" s="274">
        <f t="shared" si="28"/>
        <v>7.9824385377750291E-3</v>
      </c>
      <c r="G914" s="274">
        <f t="shared" si="29"/>
        <v>-1.7455990623969808E-3</v>
      </c>
    </row>
    <row r="915" spans="1:7" ht="14.25" customHeight="1" x14ac:dyDescent="0.3">
      <c r="A915" s="20">
        <v>45268</v>
      </c>
      <c r="B915" s="21" t="s">
        <v>1672</v>
      </c>
      <c r="C915" s="20">
        <v>45268</v>
      </c>
      <c r="D915" s="21" t="s">
        <v>1673</v>
      </c>
      <c r="F915" s="274">
        <f t="shared" si="28"/>
        <v>-2.1282914017223153E-2</v>
      </c>
      <c r="G915" s="274">
        <f t="shared" si="29"/>
        <v>3.2653705047073797E-3</v>
      </c>
    </row>
    <row r="916" spans="1:7" ht="14.25" customHeight="1" x14ac:dyDescent="0.3">
      <c r="A916" s="20">
        <v>45271</v>
      </c>
      <c r="B916" s="21">
        <v>504</v>
      </c>
      <c r="C916" s="20">
        <v>45271</v>
      </c>
      <c r="D916" s="21" t="s">
        <v>1674</v>
      </c>
      <c r="F916" s="274">
        <f t="shared" si="28"/>
        <v>1.9520569995632463E-2</v>
      </c>
      <c r="G916" s="274">
        <f t="shared" si="29"/>
        <v>1.3209351833628857E-3</v>
      </c>
    </row>
    <row r="917" spans="1:7" ht="14.25" customHeight="1" x14ac:dyDescent="0.3">
      <c r="A917" s="20">
        <v>45272</v>
      </c>
      <c r="B917" s="21" t="s">
        <v>1675</v>
      </c>
      <c r="C917" s="20">
        <v>45272</v>
      </c>
      <c r="D917" s="21" t="s">
        <v>1676</v>
      </c>
      <c r="F917" s="274">
        <f t="shared" si="28"/>
        <v>-5.2579243977876992E-3</v>
      </c>
      <c r="G917" s="274">
        <f t="shared" si="29"/>
        <v>-4.3196070141755995E-3</v>
      </c>
    </row>
    <row r="918" spans="1:7" ht="14.25" customHeight="1" x14ac:dyDescent="0.3">
      <c r="A918" s="20">
        <v>45273</v>
      </c>
      <c r="B918" s="21" t="s">
        <v>1668</v>
      </c>
      <c r="C918" s="20">
        <v>45273</v>
      </c>
      <c r="D918" s="21" t="s">
        <v>1677</v>
      </c>
      <c r="F918" s="274">
        <f t="shared" si="28"/>
        <v>1.5358495254237967E-2</v>
      </c>
      <c r="G918" s="274">
        <f t="shared" si="29"/>
        <v>9.5421585625738684E-4</v>
      </c>
    </row>
    <row r="919" spans="1:7" ht="14.25" customHeight="1" x14ac:dyDescent="0.3">
      <c r="A919" s="20">
        <v>45274</v>
      </c>
      <c r="B919" s="21">
        <v>520.25</v>
      </c>
      <c r="C919" s="20">
        <v>45274</v>
      </c>
      <c r="D919" s="21">
        <v>21182.69921875</v>
      </c>
      <c r="F919" s="274">
        <f t="shared" si="28"/>
        <v>2.2001792506843285E-2</v>
      </c>
      <c r="G919" s="274">
        <f t="shared" si="29"/>
        <v>1.2250087289956937E-2</v>
      </c>
    </row>
    <row r="920" spans="1:7" ht="14.25" customHeight="1" x14ac:dyDescent="0.3">
      <c r="A920" s="20">
        <v>45275</v>
      </c>
      <c r="B920" s="21" t="s">
        <v>1678</v>
      </c>
      <c r="C920" s="20">
        <v>45275</v>
      </c>
      <c r="D920" s="21" t="s">
        <v>1679</v>
      </c>
      <c r="F920" s="274">
        <f t="shared" si="28"/>
        <v>4.1326754715272371E-3</v>
      </c>
      <c r="G920" s="274">
        <f t="shared" si="29"/>
        <v>1.2932779200891942E-2</v>
      </c>
    </row>
    <row r="921" spans="1:7" ht="14.25" customHeight="1" x14ac:dyDescent="0.3">
      <c r="A921" s="20">
        <v>45278</v>
      </c>
      <c r="B921" s="21" t="s">
        <v>1680</v>
      </c>
      <c r="C921" s="20">
        <v>45278</v>
      </c>
      <c r="D921" s="21" t="s">
        <v>1681</v>
      </c>
      <c r="F921" s="274">
        <f t="shared" si="28"/>
        <v>6.2212860798490349E-3</v>
      </c>
      <c r="G921" s="274">
        <f t="shared" si="29"/>
        <v>-1.7710126840955215E-3</v>
      </c>
    </row>
    <row r="922" spans="1:7" ht="14.25" customHeight="1" x14ac:dyDescent="0.3">
      <c r="A922" s="20">
        <v>45279</v>
      </c>
      <c r="B922" s="21" t="s">
        <v>1682</v>
      </c>
      <c r="C922" s="20">
        <v>45279</v>
      </c>
      <c r="D922" s="21" t="s">
        <v>1683</v>
      </c>
      <c r="F922" s="274">
        <f t="shared" si="28"/>
        <v>-6.2780341954773774E-3</v>
      </c>
      <c r="G922" s="274">
        <f t="shared" si="29"/>
        <v>1.6083748565725931E-3</v>
      </c>
    </row>
    <row r="923" spans="1:7" ht="14.25" customHeight="1" x14ac:dyDescent="0.3">
      <c r="A923" s="20">
        <v>45280</v>
      </c>
      <c r="B923" s="21" t="s">
        <v>1684</v>
      </c>
      <c r="C923" s="20">
        <v>45280</v>
      </c>
      <c r="D923" s="21" t="s">
        <v>1685</v>
      </c>
      <c r="F923" s="274">
        <f t="shared" si="28"/>
        <v>-6.1070096429358095E-2</v>
      </c>
      <c r="G923" s="274">
        <f t="shared" si="29"/>
        <v>-1.412146609423336E-2</v>
      </c>
    </row>
    <row r="924" spans="1:7" ht="14.25" customHeight="1" x14ac:dyDescent="0.3">
      <c r="A924" s="20">
        <v>45281</v>
      </c>
      <c r="B924" s="21" t="s">
        <v>1686</v>
      </c>
      <c r="C924" s="20">
        <v>45281</v>
      </c>
      <c r="D924" s="21">
        <v>21255.05078125</v>
      </c>
      <c r="F924" s="274">
        <f t="shared" si="28"/>
        <v>2.7423756457723131E-2</v>
      </c>
      <c r="G924" s="274">
        <f t="shared" si="29"/>
        <v>4.9597940765233554E-3</v>
      </c>
    </row>
    <row r="925" spans="1:7" ht="14.25" customHeight="1" x14ac:dyDescent="0.3">
      <c r="A925" s="20">
        <v>45282</v>
      </c>
      <c r="B925" s="21" t="s">
        <v>1687</v>
      </c>
      <c r="C925" s="20">
        <v>45282</v>
      </c>
      <c r="D925" s="21" t="s">
        <v>1688</v>
      </c>
      <c r="F925" s="274">
        <f t="shared" si="28"/>
        <v>-1.9846418878209052E-4</v>
      </c>
      <c r="G925" s="274">
        <f t="shared" si="29"/>
        <v>4.4389265566107177E-3</v>
      </c>
    </row>
    <row r="926" spans="1:7" ht="14.25" customHeight="1" x14ac:dyDescent="0.3">
      <c r="A926" s="20">
        <v>45286</v>
      </c>
      <c r="B926" s="21" t="s">
        <v>1689</v>
      </c>
      <c r="C926" s="20">
        <v>45286</v>
      </c>
      <c r="D926" s="21" t="s">
        <v>1690</v>
      </c>
      <c r="F926" s="274">
        <f t="shared" si="28"/>
        <v>3.0766541248586818E-3</v>
      </c>
      <c r="G926" s="274">
        <f t="shared" si="29"/>
        <v>4.3068759341071223E-3</v>
      </c>
    </row>
    <row r="927" spans="1:7" ht="14.25" customHeight="1" x14ac:dyDescent="0.3">
      <c r="A927" s="20">
        <v>45287</v>
      </c>
      <c r="B927" s="21">
        <v>517</v>
      </c>
      <c r="C927" s="20">
        <v>45287</v>
      </c>
      <c r="D927" s="21">
        <v>21654.75</v>
      </c>
      <c r="F927" s="274">
        <f t="shared" si="28"/>
        <v>2.3053317019449359E-2</v>
      </c>
      <c r="G927" s="274">
        <f t="shared" si="29"/>
        <v>9.9527499207276091E-3</v>
      </c>
    </row>
    <row r="928" spans="1:7" ht="14.25" customHeight="1" x14ac:dyDescent="0.3">
      <c r="A928" s="20">
        <v>45288</v>
      </c>
      <c r="B928" s="21">
        <v>514.25</v>
      </c>
      <c r="C928" s="20">
        <v>45288</v>
      </c>
      <c r="D928" s="21">
        <v>21778.69921875</v>
      </c>
      <c r="F928" s="274">
        <f t="shared" si="28"/>
        <v>-5.3191489361702126E-3</v>
      </c>
      <c r="G928" s="274">
        <f t="shared" si="29"/>
        <v>5.7238813077962114E-3</v>
      </c>
    </row>
    <row r="929" spans="1:7" ht="14.25" customHeight="1" x14ac:dyDescent="0.3">
      <c r="A929" s="20">
        <v>45289</v>
      </c>
      <c r="B929" s="21" t="s">
        <v>1691</v>
      </c>
      <c r="C929" s="20">
        <v>45289</v>
      </c>
      <c r="D929" s="21" t="s">
        <v>1692</v>
      </c>
      <c r="F929" s="274">
        <f t="shared" si="28"/>
        <v>1.2931501048248995E-2</v>
      </c>
      <c r="G929" s="274">
        <f t="shared" si="29"/>
        <v>-2.171793074045436E-3</v>
      </c>
    </row>
    <row r="930" spans="1:7" ht="14.25" customHeight="1" x14ac:dyDescent="0.3">
      <c r="A930" s="20">
        <v>45292</v>
      </c>
      <c r="B930" s="21" t="s">
        <v>1693</v>
      </c>
      <c r="C930" s="20">
        <v>45292</v>
      </c>
      <c r="D930" s="21" t="s">
        <v>1694</v>
      </c>
      <c r="F930" s="274">
        <f t="shared" si="28"/>
        <v>2.5724635728283849E-2</v>
      </c>
      <c r="G930" s="274">
        <f t="shared" si="29"/>
        <v>4.8317180721265139E-4</v>
      </c>
    </row>
    <row r="931" spans="1:7" ht="14.25" customHeight="1" x14ac:dyDescent="0.3">
      <c r="A931" s="20">
        <v>45293</v>
      </c>
      <c r="B931" s="21" t="s">
        <v>1695</v>
      </c>
      <c r="C931" s="20">
        <v>45293</v>
      </c>
      <c r="D931" s="21">
        <v>21665.80078125</v>
      </c>
      <c r="F931" s="274">
        <f t="shared" si="28"/>
        <v>-6.3633978225418495E-3</v>
      </c>
      <c r="G931" s="274">
        <f t="shared" si="29"/>
        <v>-3.5001360510240297E-3</v>
      </c>
    </row>
    <row r="932" spans="1:7" ht="14.25" customHeight="1" x14ac:dyDescent="0.3">
      <c r="A932" s="20">
        <v>45294</v>
      </c>
      <c r="B932" s="21" t="s">
        <v>1696</v>
      </c>
      <c r="C932" s="20">
        <v>45294</v>
      </c>
      <c r="D932" s="21" t="s">
        <v>1697</v>
      </c>
      <c r="F932" s="274">
        <f t="shared" si="28"/>
        <v>9.7945958424357302E-3</v>
      </c>
      <c r="G932" s="274">
        <f t="shared" si="29"/>
        <v>-6.8518663756694607E-3</v>
      </c>
    </row>
    <row r="933" spans="1:7" ht="14.25" customHeight="1" x14ac:dyDescent="0.3">
      <c r="A933" s="20">
        <v>45295</v>
      </c>
      <c r="B933" s="21" t="s">
        <v>1698</v>
      </c>
      <c r="C933" s="20">
        <v>45295</v>
      </c>
      <c r="D933" s="21" t="s">
        <v>1699</v>
      </c>
      <c r="F933" s="274">
        <f t="shared" si="28"/>
        <v>2.4902139953472093E-2</v>
      </c>
      <c r="G933" s="274">
        <f t="shared" si="29"/>
        <v>6.5644701863494422E-3</v>
      </c>
    </row>
    <row r="934" spans="1:7" ht="14.25" customHeight="1" x14ac:dyDescent="0.3">
      <c r="A934" s="20">
        <v>45296</v>
      </c>
      <c r="B934" s="21" t="s">
        <v>1700</v>
      </c>
      <c r="C934" s="20">
        <v>45296</v>
      </c>
      <c r="D934" s="21">
        <v>21710.80078125</v>
      </c>
      <c r="F934" s="274">
        <f t="shared" si="28"/>
        <v>-1.2922079285383119E-2</v>
      </c>
      <c r="G934" s="274">
        <f t="shared" si="29"/>
        <v>2.4101822286056087E-3</v>
      </c>
    </row>
    <row r="935" spans="1:7" ht="14.25" customHeight="1" x14ac:dyDescent="0.3">
      <c r="A935" s="20">
        <v>45299</v>
      </c>
      <c r="B935" s="21" t="s">
        <v>1701</v>
      </c>
      <c r="C935" s="20">
        <v>45299</v>
      </c>
      <c r="D935" s="21">
        <v>21513</v>
      </c>
      <c r="F935" s="274">
        <f t="shared" si="28"/>
        <v>-2.2402441091252199E-2</v>
      </c>
      <c r="G935" s="274">
        <f t="shared" si="29"/>
        <v>-9.1107086856430358E-3</v>
      </c>
    </row>
    <row r="936" spans="1:7" ht="14.25" customHeight="1" x14ac:dyDescent="0.3">
      <c r="A936" s="20">
        <v>45300</v>
      </c>
      <c r="B936" s="21" t="s">
        <v>1702</v>
      </c>
      <c r="C936" s="20">
        <v>45300</v>
      </c>
      <c r="D936" s="21" t="s">
        <v>1703</v>
      </c>
      <c r="F936" s="274">
        <f t="shared" si="28"/>
        <v>-9.4304034041546077E-3</v>
      </c>
      <c r="G936" s="274">
        <f t="shared" si="29"/>
        <v>1.4804820050667038E-3</v>
      </c>
    </row>
    <row r="937" spans="1:7" ht="14.25" customHeight="1" x14ac:dyDescent="0.3">
      <c r="A937" s="20">
        <v>45301</v>
      </c>
      <c r="B937" s="21" t="s">
        <v>1704</v>
      </c>
      <c r="C937" s="20">
        <v>45301</v>
      </c>
      <c r="D937" s="21">
        <v>21618.69921875</v>
      </c>
      <c r="F937" s="274">
        <f t="shared" si="28"/>
        <v>1.8088579302175129E-3</v>
      </c>
      <c r="G937" s="274">
        <f t="shared" si="29"/>
        <v>3.4277152411806657E-3</v>
      </c>
    </row>
    <row r="938" spans="1:7" ht="14.25" customHeight="1" x14ac:dyDescent="0.3">
      <c r="A938" s="20">
        <v>45302</v>
      </c>
      <c r="B938" s="21">
        <v>538.25</v>
      </c>
      <c r="C938" s="20">
        <v>45302</v>
      </c>
      <c r="D938" s="21">
        <v>21647.19921875</v>
      </c>
      <c r="F938" s="274">
        <f t="shared" si="28"/>
        <v>2.2997196663466633E-2</v>
      </c>
      <c r="G938" s="274">
        <f t="shared" si="29"/>
        <v>1.3183031833516521E-3</v>
      </c>
    </row>
    <row r="939" spans="1:7" ht="14.25" customHeight="1" x14ac:dyDescent="0.3">
      <c r="A939" s="20">
        <v>45303</v>
      </c>
      <c r="B939" s="21" t="s">
        <v>1705</v>
      </c>
      <c r="C939" s="20">
        <v>45303</v>
      </c>
      <c r="D939" s="21">
        <v>21894.55078125</v>
      </c>
      <c r="F939" s="274">
        <f t="shared" si="28"/>
        <v>-1.0868510145727737E-2</v>
      </c>
      <c r="G939" s="274">
        <f t="shared" si="29"/>
        <v>1.1426492637705911E-2</v>
      </c>
    </row>
    <row r="940" spans="1:7" ht="14.25" customHeight="1" x14ac:dyDescent="0.3">
      <c r="A940" s="20">
        <v>45306</v>
      </c>
      <c r="B940" s="21" t="s">
        <v>1706</v>
      </c>
      <c r="C940" s="20">
        <v>45306</v>
      </c>
      <c r="D940" s="21">
        <v>22097.44921875</v>
      </c>
      <c r="F940" s="274">
        <f t="shared" si="28"/>
        <v>-1.784395498622615E-3</v>
      </c>
      <c r="G940" s="274">
        <f t="shared" si="29"/>
        <v>9.2670746948486215E-3</v>
      </c>
    </row>
    <row r="941" spans="1:7" ht="14.25" customHeight="1" x14ac:dyDescent="0.3">
      <c r="A941" s="20">
        <v>45307</v>
      </c>
      <c r="B941" s="21" t="s">
        <v>1707</v>
      </c>
      <c r="C941" s="20">
        <v>45307</v>
      </c>
      <c r="D941" s="21">
        <v>22032.30078125</v>
      </c>
      <c r="F941" s="274">
        <f t="shared" si="28"/>
        <v>-5.1745224138384505E-3</v>
      </c>
      <c r="G941" s="274">
        <f t="shared" si="29"/>
        <v>-2.9482333845447023E-3</v>
      </c>
    </row>
    <row r="942" spans="1:7" ht="14.25" customHeight="1" x14ac:dyDescent="0.3">
      <c r="A942" s="20">
        <v>45308</v>
      </c>
      <c r="B942" s="21" t="s">
        <v>1352</v>
      </c>
      <c r="C942" s="20">
        <v>45308</v>
      </c>
      <c r="D942" s="21">
        <v>21571.94921875</v>
      </c>
      <c r="F942" s="274">
        <f t="shared" si="28"/>
        <v>-1.5415215104764629E-2</v>
      </c>
      <c r="G942" s="274">
        <f t="shared" si="29"/>
        <v>-2.0894393512082492E-2</v>
      </c>
    </row>
    <row r="943" spans="1:7" ht="14.25" customHeight="1" x14ac:dyDescent="0.3">
      <c r="A943" s="20">
        <v>45309</v>
      </c>
      <c r="B943" s="21" t="s">
        <v>1708</v>
      </c>
      <c r="C943" s="20">
        <v>45309</v>
      </c>
      <c r="D943" s="21">
        <v>21462.25</v>
      </c>
      <c r="F943" s="274">
        <f t="shared" si="28"/>
        <v>6.9158326875725339E-3</v>
      </c>
      <c r="G943" s="274">
        <f t="shared" si="29"/>
        <v>-5.0852715087355742E-3</v>
      </c>
    </row>
    <row r="944" spans="1:7" ht="14.25" customHeight="1" x14ac:dyDescent="0.3">
      <c r="A944" s="20">
        <v>45310</v>
      </c>
      <c r="B944" s="21" t="s">
        <v>1709</v>
      </c>
      <c r="C944" s="20">
        <v>45310</v>
      </c>
      <c r="D944" s="21" t="s">
        <v>1710</v>
      </c>
      <c r="F944" s="274">
        <f t="shared" si="28"/>
        <v>2.4706573630997191E-2</v>
      </c>
      <c r="G944" s="274">
        <f t="shared" si="29"/>
        <v>7.4619571864552878E-3</v>
      </c>
    </row>
    <row r="945" spans="1:7" ht="14.25" customHeight="1" x14ac:dyDescent="0.3">
      <c r="A945" s="20">
        <v>45314</v>
      </c>
      <c r="B945" s="21" t="s">
        <v>1711</v>
      </c>
      <c r="C945" s="20">
        <v>45314</v>
      </c>
      <c r="D945" s="21">
        <v>21238.80078125</v>
      </c>
      <c r="F945" s="274">
        <f t="shared" si="28"/>
        <v>-2.2435278981019185E-2</v>
      </c>
      <c r="G945" s="274">
        <f t="shared" si="29"/>
        <v>-1.7740842942734536E-2</v>
      </c>
    </row>
    <row r="946" spans="1:7" ht="14.25" customHeight="1" x14ac:dyDescent="0.3">
      <c r="A946" s="20">
        <v>45315</v>
      </c>
      <c r="B946" s="21" t="s">
        <v>1712</v>
      </c>
      <c r="C946" s="20">
        <v>45315</v>
      </c>
      <c r="D946" s="21">
        <v>21453.94921875</v>
      </c>
      <c r="F946" s="274">
        <f t="shared" si="28"/>
        <v>4.5710398435613716E-3</v>
      </c>
      <c r="G946" s="274">
        <f t="shared" si="29"/>
        <v>1.0129971071150917E-2</v>
      </c>
    </row>
    <row r="947" spans="1:7" ht="14.25" customHeight="1" x14ac:dyDescent="0.3">
      <c r="A947" s="20">
        <v>45316</v>
      </c>
      <c r="B947" s="21" t="s">
        <v>1713</v>
      </c>
      <c r="C947" s="20">
        <v>45316</v>
      </c>
      <c r="D947" s="21" t="s">
        <v>1714</v>
      </c>
      <c r="F947" s="274">
        <f t="shared" si="28"/>
        <v>6.1996419471492668E-2</v>
      </c>
      <c r="G947" s="274">
        <f t="shared" si="29"/>
        <v>-4.7240537554001476E-3</v>
      </c>
    </row>
    <row r="948" spans="1:7" ht="14.25" customHeight="1" x14ac:dyDescent="0.3">
      <c r="A948" s="20">
        <v>45320</v>
      </c>
      <c r="B948" s="21" t="s">
        <v>1379</v>
      </c>
      <c r="C948" s="20">
        <v>45320</v>
      </c>
      <c r="D948" s="21" t="s">
        <v>1715</v>
      </c>
      <c r="F948" s="274">
        <f t="shared" si="28"/>
        <v>2.4903955304593932E-2</v>
      </c>
      <c r="G948" s="274">
        <f t="shared" si="29"/>
        <v>1.8030591452244681E-2</v>
      </c>
    </row>
    <row r="949" spans="1:7" ht="14.25" customHeight="1" x14ac:dyDescent="0.3">
      <c r="A949" s="20">
        <v>45321</v>
      </c>
      <c r="B949" s="21" t="s">
        <v>1716</v>
      </c>
      <c r="C949" s="20">
        <v>45321</v>
      </c>
      <c r="D949" s="21" t="s">
        <v>1717</v>
      </c>
      <c r="F949" s="274">
        <f t="shared" si="28"/>
        <v>-5.6610349036907547E-3</v>
      </c>
      <c r="G949" s="274">
        <f t="shared" si="29"/>
        <v>-9.9136981024831768E-3</v>
      </c>
    </row>
    <row r="950" spans="1:7" ht="14.25" customHeight="1" x14ac:dyDescent="0.3">
      <c r="A950" s="20">
        <v>45322</v>
      </c>
      <c r="B950" s="21" t="s">
        <v>1718</v>
      </c>
      <c r="C950" s="20">
        <v>45322</v>
      </c>
      <c r="D950" s="21">
        <v>21725.69921875</v>
      </c>
      <c r="F950" s="274">
        <f t="shared" si="28"/>
        <v>-1.8481191633826867E-2</v>
      </c>
      <c r="G950" s="274">
        <f t="shared" si="29"/>
        <v>9.4600254190029057E-3</v>
      </c>
    </row>
    <row r="951" spans="1:7" ht="14.25" customHeight="1" x14ac:dyDescent="0.3">
      <c r="A951" s="20">
        <v>45323</v>
      </c>
      <c r="B951" s="21" t="s">
        <v>1719</v>
      </c>
      <c r="C951" s="20">
        <v>45323</v>
      </c>
      <c r="D951" s="21">
        <v>21697.44921875</v>
      </c>
      <c r="F951" s="274">
        <f t="shared" si="28"/>
        <v>8.4776014697239919E-3</v>
      </c>
      <c r="G951" s="274">
        <f t="shared" si="29"/>
        <v>-1.3003033741542051E-3</v>
      </c>
    </row>
    <row r="952" spans="1:7" ht="14.25" customHeight="1" x14ac:dyDescent="0.3">
      <c r="A952" s="20">
        <v>45324</v>
      </c>
      <c r="B952" s="21" t="s">
        <v>1720</v>
      </c>
      <c r="C952" s="20">
        <v>45324</v>
      </c>
      <c r="D952" s="21">
        <v>21853.80078125</v>
      </c>
      <c r="F952" s="274">
        <f t="shared" si="28"/>
        <v>-1.3538560382570656E-2</v>
      </c>
      <c r="G952" s="274">
        <f t="shared" si="29"/>
        <v>7.2059881750933062E-3</v>
      </c>
    </row>
    <row r="953" spans="1:7" ht="14.25" customHeight="1" x14ac:dyDescent="0.3">
      <c r="A953" s="20">
        <v>45327</v>
      </c>
      <c r="B953" s="21">
        <v>555</v>
      </c>
      <c r="C953" s="20">
        <v>45327</v>
      </c>
      <c r="D953" s="21">
        <v>21771.69921875</v>
      </c>
      <c r="F953" s="274">
        <f t="shared" si="28"/>
        <v>-4.3057486705081272E-3</v>
      </c>
      <c r="G953" s="274">
        <f t="shared" si="29"/>
        <v>-3.7568550808077758E-3</v>
      </c>
    </row>
    <row r="954" spans="1:7" ht="14.25" customHeight="1" x14ac:dyDescent="0.3">
      <c r="A954" s="20">
        <v>45328</v>
      </c>
      <c r="B954" s="21" t="s">
        <v>1721</v>
      </c>
      <c r="C954" s="20">
        <v>45328</v>
      </c>
      <c r="D954" s="21" t="s">
        <v>1722</v>
      </c>
      <c r="F954" s="274">
        <f t="shared" si="28"/>
        <v>2.0900856911598278E-2</v>
      </c>
      <c r="G954" s="274">
        <f t="shared" si="29"/>
        <v>7.243402101531249E-3</v>
      </c>
    </row>
    <row r="955" spans="1:7" ht="14.25" customHeight="1" x14ac:dyDescent="0.3">
      <c r="A955" s="20">
        <v>45329</v>
      </c>
      <c r="B955" s="21" t="s">
        <v>1723</v>
      </c>
      <c r="C955" s="20">
        <v>45329</v>
      </c>
      <c r="D955" s="21">
        <v>21930.5</v>
      </c>
      <c r="F955" s="274">
        <f t="shared" si="28"/>
        <v>2.8239263855232861E-3</v>
      </c>
      <c r="G955" s="274">
        <f t="shared" si="29"/>
        <v>5.0143157378351857E-5</v>
      </c>
    </row>
    <row r="956" spans="1:7" ht="14.25" customHeight="1" x14ac:dyDescent="0.3">
      <c r="A956" s="20">
        <v>45330</v>
      </c>
      <c r="B956" s="21" t="s">
        <v>1724</v>
      </c>
      <c r="C956" s="20">
        <v>45330</v>
      </c>
      <c r="D956" s="21">
        <v>21717.94921875</v>
      </c>
      <c r="F956" s="274">
        <f t="shared" si="28"/>
        <v>-8.5357911244232851E-3</v>
      </c>
      <c r="G956" s="274">
        <f t="shared" si="29"/>
        <v>-9.6920171108729851E-3</v>
      </c>
    </row>
    <row r="957" spans="1:7" ht="14.25" customHeight="1" x14ac:dyDescent="0.3">
      <c r="A957" s="20">
        <v>45331</v>
      </c>
      <c r="B957" s="21" t="s">
        <v>1725</v>
      </c>
      <c r="C957" s="20">
        <v>45331</v>
      </c>
      <c r="D957" s="21">
        <v>21782.5</v>
      </c>
      <c r="F957" s="274">
        <f t="shared" si="28"/>
        <v>2.2810042030673258E-2</v>
      </c>
      <c r="G957" s="274">
        <f t="shared" si="29"/>
        <v>2.9722318898448593E-3</v>
      </c>
    </row>
    <row r="958" spans="1:7" ht="14.25" customHeight="1" x14ac:dyDescent="0.3">
      <c r="A958" s="20">
        <v>45334</v>
      </c>
      <c r="B958" s="21">
        <v>563.5</v>
      </c>
      <c r="C958" s="20">
        <v>45334</v>
      </c>
      <c r="D958" s="21">
        <v>21616.05078125</v>
      </c>
      <c r="F958" s="274">
        <f t="shared" si="28"/>
        <v>-2.2040978719153264E-2</v>
      </c>
      <c r="G958" s="274">
        <f t="shared" si="29"/>
        <v>-7.6414194307356824E-3</v>
      </c>
    </row>
    <row r="959" spans="1:7" ht="14.25" customHeight="1" x14ac:dyDescent="0.3">
      <c r="A959" s="20">
        <v>45335</v>
      </c>
      <c r="B959" s="21">
        <v>568.25</v>
      </c>
      <c r="C959" s="20">
        <v>45335</v>
      </c>
      <c r="D959" s="21">
        <v>21743.25</v>
      </c>
      <c r="F959" s="274">
        <f t="shared" si="28"/>
        <v>8.4294587400177458E-3</v>
      </c>
      <c r="G959" s="274">
        <f t="shared" si="29"/>
        <v>5.8844800115076526E-3</v>
      </c>
    </row>
    <row r="960" spans="1:7" ht="14.25" customHeight="1" x14ac:dyDescent="0.3">
      <c r="A960" s="20">
        <v>45336</v>
      </c>
      <c r="B960" s="21" t="s">
        <v>1726</v>
      </c>
      <c r="C960" s="20">
        <v>45336</v>
      </c>
      <c r="D960" s="21">
        <v>21840.05078125</v>
      </c>
      <c r="F960" s="274">
        <f t="shared" si="28"/>
        <v>4.6634833507471097E-3</v>
      </c>
      <c r="G960" s="274">
        <f t="shared" si="29"/>
        <v>4.4519922849619994E-3</v>
      </c>
    </row>
    <row r="961" spans="1:7" ht="14.25" customHeight="1" x14ac:dyDescent="0.3">
      <c r="A961" s="20">
        <v>45337</v>
      </c>
      <c r="B961" s="21">
        <v>572.25</v>
      </c>
      <c r="C961" s="20">
        <v>45337</v>
      </c>
      <c r="D961" s="21">
        <v>21910.75</v>
      </c>
      <c r="F961" s="274">
        <f t="shared" si="28"/>
        <v>2.3646444704981222E-3</v>
      </c>
      <c r="G961" s="274">
        <f t="shared" si="29"/>
        <v>3.2371361888359849E-3</v>
      </c>
    </row>
    <row r="962" spans="1:7" ht="14.25" customHeight="1" x14ac:dyDescent="0.3">
      <c r="A962" s="20">
        <v>45338</v>
      </c>
      <c r="B962" s="21" t="s">
        <v>1727</v>
      </c>
      <c r="C962" s="20">
        <v>45338</v>
      </c>
      <c r="D962" s="21">
        <v>22040.69921875</v>
      </c>
      <c r="F962" s="274">
        <f t="shared" si="28"/>
        <v>2.2455177957076532E-2</v>
      </c>
      <c r="G962" s="274">
        <f t="shared" si="29"/>
        <v>5.9308430222607626E-3</v>
      </c>
    </row>
    <row r="963" spans="1:7" ht="14.25" customHeight="1" x14ac:dyDescent="0.3">
      <c r="A963" s="20">
        <v>45341</v>
      </c>
      <c r="B963" s="21" t="s">
        <v>1728</v>
      </c>
      <c r="C963" s="20">
        <v>45341</v>
      </c>
      <c r="D963" s="21">
        <v>22122.25</v>
      </c>
      <c r="F963" s="274">
        <f t="shared" ref="F963:F1026" si="30">(B963-B962)/B962</f>
        <v>-4.2727740630931036E-4</v>
      </c>
      <c r="G963" s="274">
        <f t="shared" ref="G963:G1026" si="31">(D963-D962)/D962</f>
        <v>3.7000088082788604E-3</v>
      </c>
    </row>
    <row r="964" spans="1:7" ht="14.25" customHeight="1" x14ac:dyDescent="0.3">
      <c r="A964" s="20">
        <v>45342</v>
      </c>
      <c r="B964" s="21" t="s">
        <v>1729</v>
      </c>
      <c r="C964" s="20">
        <v>45342</v>
      </c>
      <c r="D964" s="21">
        <v>22196.94921875</v>
      </c>
      <c r="F964" s="274">
        <f t="shared" si="30"/>
        <v>6.7538896673006695E-3</v>
      </c>
      <c r="G964" s="274">
        <f t="shared" si="31"/>
        <v>3.3766555730090748E-3</v>
      </c>
    </row>
    <row r="965" spans="1:7" ht="14.25" customHeight="1" x14ac:dyDescent="0.3">
      <c r="A965" s="20">
        <v>45343</v>
      </c>
      <c r="B965" s="21" t="s">
        <v>1730</v>
      </c>
      <c r="C965" s="20">
        <v>45343</v>
      </c>
      <c r="D965" s="21">
        <v>22055.05078125</v>
      </c>
      <c r="F965" s="274">
        <f t="shared" si="30"/>
        <v>-1.6983696004280776E-3</v>
      </c>
      <c r="G965" s="274">
        <f t="shared" si="31"/>
        <v>-6.3927000103301077E-3</v>
      </c>
    </row>
    <row r="966" spans="1:7" ht="14.25" customHeight="1" x14ac:dyDescent="0.3">
      <c r="A966" s="20">
        <v>45344</v>
      </c>
      <c r="B966" s="21">
        <v>592.75</v>
      </c>
      <c r="C966" s="20">
        <v>45344</v>
      </c>
      <c r="D966" s="21">
        <v>22217.44921875</v>
      </c>
      <c r="F966" s="274">
        <f t="shared" si="30"/>
        <v>8.4212526536756489E-3</v>
      </c>
      <c r="G966" s="274">
        <f t="shared" si="31"/>
        <v>7.3633218581415499E-3</v>
      </c>
    </row>
    <row r="967" spans="1:7" ht="14.25" customHeight="1" x14ac:dyDescent="0.3">
      <c r="A967" s="20">
        <v>45345</v>
      </c>
      <c r="B967" s="21" t="s">
        <v>1731</v>
      </c>
      <c r="C967" s="20">
        <v>45345</v>
      </c>
      <c r="D967" s="21">
        <v>22212.69921875</v>
      </c>
      <c r="F967" s="274">
        <f t="shared" si="30"/>
        <v>1.7207949737715771E-2</v>
      </c>
      <c r="G967" s="274">
        <f t="shared" si="31"/>
        <v>-2.1379592019012364E-4</v>
      </c>
    </row>
    <row r="968" spans="1:7" ht="14.25" customHeight="1" x14ac:dyDescent="0.3">
      <c r="A968" s="20">
        <v>45348</v>
      </c>
      <c r="B968" s="21" t="s">
        <v>1732</v>
      </c>
      <c r="C968" s="20">
        <v>45348</v>
      </c>
      <c r="D968" s="21">
        <v>22122.05078125</v>
      </c>
      <c r="F968" s="274">
        <f t="shared" si="30"/>
        <v>9.3705336504181572E-3</v>
      </c>
      <c r="G968" s="274">
        <f t="shared" si="31"/>
        <v>-4.0809285088361791E-3</v>
      </c>
    </row>
    <row r="969" spans="1:7" ht="14.25" customHeight="1" x14ac:dyDescent="0.3">
      <c r="A969" s="20">
        <v>45349</v>
      </c>
      <c r="B969" s="21" t="s">
        <v>1733</v>
      </c>
      <c r="C969" s="20">
        <v>45349</v>
      </c>
      <c r="D969" s="21" t="s">
        <v>1734</v>
      </c>
      <c r="F969" s="274">
        <f t="shared" si="30"/>
        <v>-8.6263559162083406E-3</v>
      </c>
      <c r="G969" s="274">
        <f t="shared" si="31"/>
        <v>3.4489943486464033E-3</v>
      </c>
    </row>
    <row r="970" spans="1:7" ht="14.25" customHeight="1" x14ac:dyDescent="0.3">
      <c r="A970" s="20">
        <v>45350</v>
      </c>
      <c r="B970" s="21">
        <v>589.25</v>
      </c>
      <c r="C970" s="20">
        <v>45350</v>
      </c>
      <c r="D970" s="21" t="s">
        <v>1735</v>
      </c>
      <c r="F970" s="274">
        <f t="shared" si="30"/>
        <v>-2.3369480660447532E-2</v>
      </c>
      <c r="G970" s="274">
        <f t="shared" si="31"/>
        <v>-1.1135927809948569E-2</v>
      </c>
    </row>
    <row r="971" spans="1:7" ht="14.25" customHeight="1" x14ac:dyDescent="0.3">
      <c r="A971" s="20">
        <v>45351</v>
      </c>
      <c r="B971" s="21" t="s">
        <v>1736</v>
      </c>
      <c r="C971" s="20">
        <v>45351</v>
      </c>
      <c r="D971" s="21">
        <v>21982.80078125</v>
      </c>
      <c r="F971" s="274">
        <f t="shared" si="30"/>
        <v>2.8256299387462106E-2</v>
      </c>
      <c r="G971" s="274">
        <f t="shared" si="31"/>
        <v>1.4418556686904846E-3</v>
      </c>
    </row>
    <row r="972" spans="1:7" ht="14.25" customHeight="1" x14ac:dyDescent="0.3">
      <c r="A972" s="20">
        <v>45352</v>
      </c>
      <c r="B972" s="21" t="s">
        <v>1737</v>
      </c>
      <c r="C972" s="20">
        <v>45352</v>
      </c>
      <c r="D972" s="21">
        <v>22338.75</v>
      </c>
      <c r="F972" s="274">
        <f t="shared" si="30"/>
        <v>1.9310035815214701E-2</v>
      </c>
      <c r="G972" s="274">
        <f t="shared" si="31"/>
        <v>1.6192168700068607E-2</v>
      </c>
    </row>
    <row r="973" spans="1:7" ht="14.25" customHeight="1" x14ac:dyDescent="0.3">
      <c r="A973" s="20">
        <v>45355</v>
      </c>
      <c r="B973" s="21" t="s">
        <v>1738</v>
      </c>
      <c r="C973" s="20">
        <v>45355</v>
      </c>
      <c r="D973" s="21" t="s">
        <v>1739</v>
      </c>
      <c r="F973" s="274">
        <f t="shared" si="30"/>
        <v>-7.2854791072185E-4</v>
      </c>
      <c r="G973" s="274">
        <f t="shared" si="31"/>
        <v>2.9925402887359411E-3</v>
      </c>
    </row>
    <row r="974" spans="1:7" ht="14.25" customHeight="1" x14ac:dyDescent="0.3">
      <c r="A974" s="20">
        <v>45356</v>
      </c>
      <c r="B974" s="21" t="s">
        <v>1740</v>
      </c>
      <c r="C974" s="20">
        <v>45356</v>
      </c>
      <c r="D974" s="21">
        <v>22356.30078125</v>
      </c>
      <c r="F974" s="274">
        <f t="shared" si="30"/>
        <v>-6.5625029051408039E-3</v>
      </c>
      <c r="G974" s="274">
        <f t="shared" si="31"/>
        <v>-2.2002905070379049E-3</v>
      </c>
    </row>
    <row r="975" spans="1:7" ht="14.25" customHeight="1" x14ac:dyDescent="0.3">
      <c r="A975" s="20">
        <v>45357</v>
      </c>
      <c r="B975" s="21" t="s">
        <v>1741</v>
      </c>
      <c r="C975" s="20">
        <v>45357</v>
      </c>
      <c r="D975" s="21">
        <v>22474.05078125</v>
      </c>
      <c r="F975" s="274">
        <f t="shared" si="30"/>
        <v>-2.4139599383974541E-2</v>
      </c>
      <c r="G975" s="274">
        <f t="shared" si="31"/>
        <v>5.2669715420341689E-3</v>
      </c>
    </row>
    <row r="976" spans="1:7" ht="14.25" customHeight="1" x14ac:dyDescent="0.3">
      <c r="A976" s="20">
        <v>45358</v>
      </c>
      <c r="B976" s="21" t="s">
        <v>1742</v>
      </c>
      <c r="C976" s="20">
        <v>45358</v>
      </c>
      <c r="D976" s="21">
        <v>22493.55078125</v>
      </c>
      <c r="F976" s="274">
        <f t="shared" si="30"/>
        <v>8.1063625606697613E-3</v>
      </c>
      <c r="G976" s="274">
        <f t="shared" si="31"/>
        <v>8.6766734621195941E-4</v>
      </c>
    </row>
    <row r="977" spans="1:7" ht="14.25" customHeight="1" x14ac:dyDescent="0.3">
      <c r="A977" s="20">
        <v>45362</v>
      </c>
      <c r="B977" s="21" t="s">
        <v>1743</v>
      </c>
      <c r="C977" s="20">
        <v>45362</v>
      </c>
      <c r="D977" s="21" t="s">
        <v>1744</v>
      </c>
      <c r="F977" s="274">
        <f t="shared" si="30"/>
        <v>-1.8238192432516868E-3</v>
      </c>
      <c r="G977" s="274">
        <f t="shared" si="31"/>
        <v>-7.1531788017711326E-3</v>
      </c>
    </row>
    <row r="978" spans="1:7" ht="14.25" customHeight="1" x14ac:dyDescent="0.3">
      <c r="A978" s="20">
        <v>45363</v>
      </c>
      <c r="B978" s="21" t="s">
        <v>1745</v>
      </c>
      <c r="C978" s="20">
        <v>45363</v>
      </c>
      <c r="D978" s="21">
        <v>22335.69921875</v>
      </c>
      <c r="F978" s="274">
        <f t="shared" si="30"/>
        <v>-2.4084378862218727E-2</v>
      </c>
      <c r="G978" s="274">
        <f t="shared" si="31"/>
        <v>1.3651886684617893E-4</v>
      </c>
    </row>
    <row r="979" spans="1:7" ht="14.25" customHeight="1" x14ac:dyDescent="0.3">
      <c r="A979" s="20">
        <v>45364</v>
      </c>
      <c r="B979" s="21">
        <v>559.25</v>
      </c>
      <c r="C979" s="20">
        <v>45364</v>
      </c>
      <c r="D979" s="21">
        <v>21997.69921875</v>
      </c>
      <c r="F979" s="274">
        <f t="shared" si="30"/>
        <v>-4.8166093746801128E-2</v>
      </c>
      <c r="G979" s="274">
        <f t="shared" si="31"/>
        <v>-1.5132725270416491E-2</v>
      </c>
    </row>
    <row r="980" spans="1:7" ht="14.25" customHeight="1" x14ac:dyDescent="0.3">
      <c r="A980" s="20">
        <v>45365</v>
      </c>
      <c r="B980" s="21" t="s">
        <v>1746</v>
      </c>
      <c r="C980" s="20">
        <v>45365</v>
      </c>
      <c r="D980" s="21" t="s">
        <v>1747</v>
      </c>
      <c r="F980" s="274">
        <f t="shared" si="30"/>
        <v>4.1484152359465398E-2</v>
      </c>
      <c r="G980" s="274">
        <f t="shared" si="31"/>
        <v>6.7712159528047237E-3</v>
      </c>
    </row>
    <row r="981" spans="1:7" ht="14.25" customHeight="1" x14ac:dyDescent="0.3">
      <c r="A981" s="20">
        <v>45366</v>
      </c>
      <c r="B981" s="21">
        <v>600.75</v>
      </c>
      <c r="C981" s="20">
        <v>45366</v>
      </c>
      <c r="D981" s="21" t="s">
        <v>1748</v>
      </c>
      <c r="F981" s="274">
        <f t="shared" si="30"/>
        <v>3.1418984306698365E-2</v>
      </c>
      <c r="G981" s="274">
        <f t="shared" si="31"/>
        <v>-5.5674686273186943E-3</v>
      </c>
    </row>
    <row r="982" spans="1:7" ht="14.25" customHeight="1" x14ac:dyDescent="0.3">
      <c r="A982" s="20">
        <v>45369</v>
      </c>
      <c r="B982" s="21" t="s">
        <v>1749</v>
      </c>
      <c r="C982" s="20">
        <v>45369</v>
      </c>
      <c r="D982" s="21">
        <v>22055.69921875</v>
      </c>
      <c r="F982" s="274">
        <f t="shared" si="30"/>
        <v>-2.6799792902102295E-2</v>
      </c>
      <c r="G982" s="274">
        <f t="shared" si="31"/>
        <v>1.4688778023679591E-3</v>
      </c>
    </row>
    <row r="983" spans="1:7" ht="14.25" customHeight="1" x14ac:dyDescent="0.3">
      <c r="A983" s="20">
        <v>45370</v>
      </c>
      <c r="B983" s="21" t="s">
        <v>1371</v>
      </c>
      <c r="C983" s="20">
        <v>45370</v>
      </c>
      <c r="D983" s="21">
        <v>21817.44921875</v>
      </c>
      <c r="F983" s="274">
        <f t="shared" si="30"/>
        <v>-7.4404112536447945E-3</v>
      </c>
      <c r="G983" s="274">
        <f t="shared" si="31"/>
        <v>-1.080219664028873E-2</v>
      </c>
    </row>
    <row r="984" spans="1:7" ht="14.25" customHeight="1" x14ac:dyDescent="0.3">
      <c r="A984" s="20">
        <v>45371</v>
      </c>
      <c r="B984" s="21" t="s">
        <v>1750</v>
      </c>
      <c r="C984" s="20">
        <v>45371</v>
      </c>
      <c r="D984" s="21" t="s">
        <v>1751</v>
      </c>
      <c r="F984" s="274">
        <f t="shared" si="30"/>
        <v>-6.8068452354338909E-3</v>
      </c>
      <c r="G984" s="274">
        <f t="shared" si="31"/>
        <v>9.9234289068006964E-4</v>
      </c>
    </row>
    <row r="985" spans="1:7" ht="14.25" customHeight="1" x14ac:dyDescent="0.3">
      <c r="A985" s="20">
        <v>45372</v>
      </c>
      <c r="B985" s="21" t="s">
        <v>1752</v>
      </c>
      <c r="C985" s="20">
        <v>45372</v>
      </c>
      <c r="D985" s="21">
        <v>22011.94921875</v>
      </c>
      <c r="F985" s="274">
        <f t="shared" si="30"/>
        <v>1.8825430867874089E-2</v>
      </c>
      <c r="G985" s="274">
        <f t="shared" si="31"/>
        <v>7.9146856998078725E-3</v>
      </c>
    </row>
    <row r="986" spans="1:7" ht="14.25" customHeight="1" x14ac:dyDescent="0.3">
      <c r="A986" s="20">
        <v>45373</v>
      </c>
      <c r="B986" s="21" t="s">
        <v>1753</v>
      </c>
      <c r="C986" s="20">
        <v>45373</v>
      </c>
      <c r="D986" s="21">
        <v>22096.75</v>
      </c>
      <c r="F986" s="274">
        <f t="shared" si="30"/>
        <v>3.661381699951333E-3</v>
      </c>
      <c r="G986" s="274">
        <f t="shared" si="31"/>
        <v>3.8524885010077091E-3</v>
      </c>
    </row>
    <row r="987" spans="1:7" ht="14.25" customHeight="1" x14ac:dyDescent="0.3">
      <c r="A987" s="20">
        <v>45377</v>
      </c>
      <c r="B987" s="21" t="s">
        <v>1754</v>
      </c>
      <c r="C987" s="20">
        <v>45377</v>
      </c>
      <c r="D987" s="21">
        <v>22004.69921875</v>
      </c>
      <c r="F987" s="274">
        <f t="shared" si="30"/>
        <v>9.6716932945723894E-3</v>
      </c>
      <c r="G987" s="274">
        <f t="shared" si="31"/>
        <v>-4.1658063402989125E-3</v>
      </c>
    </row>
    <row r="988" spans="1:7" ht="14.25" customHeight="1" x14ac:dyDescent="0.3">
      <c r="A988" s="20">
        <v>45378</v>
      </c>
      <c r="B988" s="21">
        <v>601.5</v>
      </c>
      <c r="C988" s="20">
        <v>45378</v>
      </c>
      <c r="D988" s="21" t="s">
        <v>1755</v>
      </c>
      <c r="F988" s="274">
        <f t="shared" si="30"/>
        <v>1.0839445995041611E-2</v>
      </c>
      <c r="G988" s="274">
        <f t="shared" si="31"/>
        <v>5.40571678315161E-3</v>
      </c>
    </row>
    <row r="989" spans="1:7" ht="14.25" customHeight="1" x14ac:dyDescent="0.3">
      <c r="A989" s="20">
        <v>45379</v>
      </c>
      <c r="B989" s="21" t="s">
        <v>1756</v>
      </c>
      <c r="C989" s="20">
        <v>45379</v>
      </c>
      <c r="D989" s="21" t="s">
        <v>1757</v>
      </c>
      <c r="F989" s="274">
        <f t="shared" si="30"/>
        <v>1.8038197150352528E-2</v>
      </c>
      <c r="G989" s="274">
        <f t="shared" si="31"/>
        <v>9.1870010785438973E-3</v>
      </c>
    </row>
    <row r="990" spans="1:7" ht="14.25" customHeight="1" x14ac:dyDescent="0.3">
      <c r="A990" s="20">
        <v>45383</v>
      </c>
      <c r="B990" s="21">
        <v>621.5</v>
      </c>
      <c r="C990" s="20">
        <v>45383</v>
      </c>
      <c r="D990" s="21">
        <v>22462</v>
      </c>
      <c r="F990" s="274">
        <f t="shared" si="30"/>
        <v>1.4942475347218893E-2</v>
      </c>
      <c r="G990" s="274">
        <f t="shared" si="31"/>
        <v>6.0509791780917303E-3</v>
      </c>
    </row>
    <row r="991" spans="1:7" ht="14.25" customHeight="1" x14ac:dyDescent="0.3">
      <c r="A991" s="20">
        <v>45384</v>
      </c>
      <c r="B991" s="21" t="s">
        <v>1758</v>
      </c>
      <c r="C991" s="20">
        <v>45384</v>
      </c>
      <c r="D991" s="21">
        <v>22453.30078125</v>
      </c>
      <c r="F991" s="274">
        <f t="shared" si="30"/>
        <v>2.123895769433793E-2</v>
      </c>
      <c r="G991" s="274">
        <f t="shared" si="31"/>
        <v>-3.872860275131333E-4</v>
      </c>
    </row>
    <row r="992" spans="1:7" ht="14.25" customHeight="1" x14ac:dyDescent="0.3">
      <c r="A992" s="20">
        <v>45385</v>
      </c>
      <c r="B992" s="21" t="s">
        <v>1759</v>
      </c>
      <c r="C992" s="20">
        <v>45385</v>
      </c>
      <c r="D992" s="21" t="s">
        <v>1760</v>
      </c>
      <c r="F992" s="274">
        <f t="shared" si="30"/>
        <v>3.9388686811377149E-4</v>
      </c>
      <c r="G992" s="274">
        <f t="shared" si="31"/>
        <v>-8.3063024036868183E-4</v>
      </c>
    </row>
    <row r="993" spans="1:7" ht="14.25" customHeight="1" x14ac:dyDescent="0.3">
      <c r="A993" s="20">
        <v>45386</v>
      </c>
      <c r="B993" s="21" t="s">
        <v>1761</v>
      </c>
      <c r="C993" s="20">
        <v>45386</v>
      </c>
      <c r="D993" s="21" t="s">
        <v>1762</v>
      </c>
      <c r="F993" s="274">
        <f t="shared" si="30"/>
        <v>-1.6143003075741177E-2</v>
      </c>
      <c r="G993" s="274">
        <f t="shared" si="31"/>
        <v>3.5659124883635554E-3</v>
      </c>
    </row>
    <row r="994" spans="1:7" ht="14.25" customHeight="1" x14ac:dyDescent="0.3">
      <c r="A994" s="20">
        <v>45387</v>
      </c>
      <c r="B994" s="21" t="s">
        <v>1763</v>
      </c>
      <c r="C994" s="20">
        <v>45387</v>
      </c>
      <c r="D994" s="21">
        <v>22513.69921875</v>
      </c>
      <c r="F994" s="274">
        <f t="shared" si="30"/>
        <v>4.0019208438425297E-3</v>
      </c>
      <c r="G994" s="274">
        <f t="shared" si="31"/>
        <v>-4.2246797462867275E-5</v>
      </c>
    </row>
    <row r="995" spans="1:7" ht="14.25" customHeight="1" x14ac:dyDescent="0.3">
      <c r="A995" s="20">
        <v>45390</v>
      </c>
      <c r="B995" s="21" t="s">
        <v>1764</v>
      </c>
      <c r="C995" s="20">
        <v>45390</v>
      </c>
      <c r="D995" s="21">
        <v>22666.30078125</v>
      </c>
      <c r="F995" s="274">
        <f t="shared" si="30"/>
        <v>5.3411599501550161E-3</v>
      </c>
      <c r="G995" s="274">
        <f t="shared" si="31"/>
        <v>6.7781647528145621E-3</v>
      </c>
    </row>
    <row r="996" spans="1:7" ht="14.25" customHeight="1" x14ac:dyDescent="0.3">
      <c r="A996" s="20">
        <v>45391</v>
      </c>
      <c r="B996" s="21" t="s">
        <v>1765</v>
      </c>
      <c r="C996" s="20">
        <v>45391</v>
      </c>
      <c r="D996" s="21">
        <v>22642.75</v>
      </c>
      <c r="F996" s="274">
        <f t="shared" si="30"/>
        <v>-1.1815101659278779E-2</v>
      </c>
      <c r="G996" s="274">
        <f t="shared" si="31"/>
        <v>-1.0390218270412109E-3</v>
      </c>
    </row>
    <row r="997" spans="1:7" ht="14.25" customHeight="1" x14ac:dyDescent="0.3">
      <c r="A997" s="20">
        <v>45392</v>
      </c>
      <c r="B997" s="21" t="s">
        <v>1766</v>
      </c>
      <c r="C997" s="20">
        <v>45392</v>
      </c>
      <c r="D997" s="21">
        <v>22753.80078125</v>
      </c>
      <c r="F997" s="274">
        <f t="shared" si="30"/>
        <v>4.0925195442786545E-3</v>
      </c>
      <c r="G997" s="274">
        <f t="shared" si="31"/>
        <v>4.9044741142308243E-3</v>
      </c>
    </row>
    <row r="998" spans="1:7" ht="14.25" customHeight="1" x14ac:dyDescent="0.3">
      <c r="A998" s="20">
        <v>45394</v>
      </c>
      <c r="B998" s="21" t="s">
        <v>1767</v>
      </c>
      <c r="C998" s="20">
        <v>45394</v>
      </c>
      <c r="D998" s="21" t="s">
        <v>1768</v>
      </c>
      <c r="F998" s="274">
        <f t="shared" si="30"/>
        <v>-2.6852150839215095E-2</v>
      </c>
      <c r="G998" s="274">
        <f t="shared" si="31"/>
        <v>-1.0301592814249954E-2</v>
      </c>
    </row>
    <row r="999" spans="1:7" ht="14.25" customHeight="1" x14ac:dyDescent="0.3">
      <c r="A999" s="20">
        <v>45397</v>
      </c>
      <c r="B999" s="21" t="s">
        <v>1769</v>
      </c>
      <c r="C999" s="20">
        <v>45397</v>
      </c>
      <c r="D999" s="21">
        <v>22272.5</v>
      </c>
      <c r="F999" s="274">
        <f t="shared" si="30"/>
        <v>-3.2848814653811333E-3</v>
      </c>
      <c r="G999" s="274">
        <f t="shared" si="31"/>
        <v>-1.0963897188301094E-2</v>
      </c>
    </row>
    <row r="1000" spans="1:7" ht="14.25" customHeight="1" x14ac:dyDescent="0.3">
      <c r="A1000" s="20">
        <v>45398</v>
      </c>
      <c r="B1000" s="21" t="s">
        <v>1770</v>
      </c>
      <c r="C1000" s="20">
        <v>45398</v>
      </c>
      <c r="D1000" s="21" t="s">
        <v>1771</v>
      </c>
      <c r="F1000" s="274">
        <f t="shared" si="30"/>
        <v>1.763205510010878E-2</v>
      </c>
      <c r="G1000" s="274">
        <f t="shared" si="31"/>
        <v>-5.5943252609720511E-3</v>
      </c>
    </row>
    <row r="1001" spans="1:7" ht="14.25" customHeight="1" x14ac:dyDescent="0.3">
      <c r="A1001" s="20">
        <v>45400</v>
      </c>
      <c r="B1001" s="21">
        <v>615.25</v>
      </c>
      <c r="C1001" s="20">
        <v>45400</v>
      </c>
      <c r="D1001" s="21" t="s">
        <v>1772</v>
      </c>
      <c r="F1001" s="274">
        <f t="shared" si="30"/>
        <v>-3.7243750925941548E-3</v>
      </c>
      <c r="G1001" s="274">
        <f t="shared" si="31"/>
        <v>-6.8652458503182393E-3</v>
      </c>
    </row>
    <row r="1002" spans="1:7" ht="14.25" customHeight="1" x14ac:dyDescent="0.3">
      <c r="A1002" s="20">
        <v>45401</v>
      </c>
      <c r="B1002" s="21" t="s">
        <v>1773</v>
      </c>
      <c r="C1002" s="20">
        <v>45401</v>
      </c>
      <c r="D1002" s="21">
        <v>22147</v>
      </c>
      <c r="F1002" s="274">
        <f t="shared" si="30"/>
        <v>-9.1019513790133351E-3</v>
      </c>
      <c r="G1002" s="274">
        <f t="shared" si="31"/>
        <v>6.8717686886064708E-3</v>
      </c>
    </row>
    <row r="1003" spans="1:7" ht="14.25" customHeight="1" x14ac:dyDescent="0.3">
      <c r="A1003" s="20">
        <v>45404</v>
      </c>
      <c r="B1003" s="21" t="s">
        <v>1774</v>
      </c>
      <c r="C1003" s="20">
        <v>45404</v>
      </c>
      <c r="D1003" s="21" t="s">
        <v>1775</v>
      </c>
      <c r="F1003" s="274">
        <f t="shared" si="30"/>
        <v>1.0907837468385612E-2</v>
      </c>
      <c r="G1003" s="274">
        <f t="shared" si="31"/>
        <v>8.5519659829773782E-3</v>
      </c>
    </row>
    <row r="1004" spans="1:7" ht="14.25" customHeight="1" x14ac:dyDescent="0.3">
      <c r="A1004" s="20">
        <v>45405</v>
      </c>
      <c r="B1004" s="21" t="s">
        <v>1776</v>
      </c>
      <c r="C1004" s="20">
        <v>45405</v>
      </c>
      <c r="D1004" s="21">
        <v>22368</v>
      </c>
      <c r="F1004" s="274">
        <f t="shared" si="30"/>
        <v>3.2857375306005243E-2</v>
      </c>
      <c r="G1004" s="274">
        <f t="shared" si="31"/>
        <v>1.4147135985377009E-3</v>
      </c>
    </row>
    <row r="1005" spans="1:7" ht="14.25" customHeight="1" x14ac:dyDescent="0.3">
      <c r="A1005" s="20">
        <v>45406</v>
      </c>
      <c r="B1005" s="21" t="s">
        <v>1777</v>
      </c>
      <c r="C1005" s="20">
        <v>45406</v>
      </c>
      <c r="D1005" s="21" t="s">
        <v>1778</v>
      </c>
      <c r="F1005" s="274">
        <f t="shared" si="30"/>
        <v>1.2410689758166296E-2</v>
      </c>
      <c r="G1005" s="274">
        <f t="shared" si="31"/>
        <v>1.5379287654238199E-3</v>
      </c>
    </row>
    <row r="1006" spans="1:7" ht="14.25" customHeight="1" x14ac:dyDescent="0.3">
      <c r="A1006" s="20">
        <v>45407</v>
      </c>
      <c r="B1006" s="21" t="s">
        <v>1779</v>
      </c>
      <c r="C1006" s="20">
        <v>45407</v>
      </c>
      <c r="D1006" s="21" t="s">
        <v>1780</v>
      </c>
      <c r="F1006" s="274">
        <f t="shared" si="30"/>
        <v>-9.4654922888485048E-3</v>
      </c>
      <c r="G1006" s="274">
        <f t="shared" si="31"/>
        <v>7.4969296067167743E-3</v>
      </c>
    </row>
    <row r="1007" spans="1:7" ht="14.25" customHeight="1" x14ac:dyDescent="0.3">
      <c r="A1007" s="20">
        <v>45408</v>
      </c>
      <c r="B1007" s="21" t="s">
        <v>1781</v>
      </c>
      <c r="C1007" s="20">
        <v>45408</v>
      </c>
      <c r="D1007" s="21">
        <v>22419.94921875</v>
      </c>
      <c r="F1007" s="274">
        <f t="shared" si="30"/>
        <v>-9.3992327555000553E-3</v>
      </c>
      <c r="G1007" s="274">
        <f t="shared" si="31"/>
        <v>-6.6636269808832953E-3</v>
      </c>
    </row>
    <row r="1008" spans="1:7" ht="14.25" customHeight="1" x14ac:dyDescent="0.3">
      <c r="A1008" s="20">
        <v>45411</v>
      </c>
      <c r="B1008" s="21" t="s">
        <v>1782</v>
      </c>
      <c r="C1008" s="20">
        <v>45411</v>
      </c>
      <c r="D1008" s="21" t="s">
        <v>1783</v>
      </c>
      <c r="F1008" s="274">
        <f t="shared" si="30"/>
        <v>-4.2697102492543285E-3</v>
      </c>
      <c r="G1008" s="274">
        <f t="shared" si="31"/>
        <v>9.9666225688025117E-3</v>
      </c>
    </row>
    <row r="1009" spans="1:7" ht="14.25" customHeight="1" x14ac:dyDescent="0.3">
      <c r="A1009" s="20">
        <v>45412</v>
      </c>
      <c r="B1009" s="21" t="s">
        <v>1784</v>
      </c>
      <c r="C1009" s="20">
        <v>45412</v>
      </c>
      <c r="D1009" s="21" t="s">
        <v>1785</v>
      </c>
      <c r="F1009" s="274">
        <f t="shared" si="30"/>
        <v>-1.5484792538637836E-2</v>
      </c>
      <c r="G1009" s="274">
        <f t="shared" si="31"/>
        <v>-1.7025173156396201E-3</v>
      </c>
    </row>
    <row r="1010" spans="1:7" ht="14.25" customHeight="1" x14ac:dyDescent="0.3">
      <c r="A1010" s="20">
        <v>45414</v>
      </c>
      <c r="B1010" s="21" t="s">
        <v>1786</v>
      </c>
      <c r="C1010" s="20">
        <v>45414</v>
      </c>
      <c r="D1010" s="21">
        <v>22648.19921875</v>
      </c>
      <c r="F1010" s="274">
        <f t="shared" si="30"/>
        <v>9.3563277376076965E-3</v>
      </c>
      <c r="G1010" s="274">
        <f t="shared" si="31"/>
        <v>1.9177127972141625E-3</v>
      </c>
    </row>
    <row r="1011" spans="1:7" ht="14.25" customHeight="1" x14ac:dyDescent="0.3">
      <c r="A1011" s="20">
        <v>45415</v>
      </c>
      <c r="B1011" s="21" t="s">
        <v>1787</v>
      </c>
      <c r="C1011" s="20">
        <v>45415</v>
      </c>
      <c r="D1011" s="21" t="s">
        <v>1788</v>
      </c>
      <c r="F1011" s="274">
        <f t="shared" si="30"/>
        <v>-5.1941824142471699E-3</v>
      </c>
      <c r="G1011" s="274">
        <f t="shared" si="31"/>
        <v>-7.6098592965534824E-3</v>
      </c>
    </row>
    <row r="1012" spans="1:7" ht="14.25" customHeight="1" x14ac:dyDescent="0.3">
      <c r="A1012" s="20">
        <v>45418</v>
      </c>
      <c r="B1012" s="21" t="s">
        <v>1789</v>
      </c>
      <c r="C1012" s="20">
        <v>45418</v>
      </c>
      <c r="D1012" s="21">
        <v>22442.69921875</v>
      </c>
      <c r="F1012" s="274">
        <f t="shared" si="30"/>
        <v>-2.4098320677694678E-2</v>
      </c>
      <c r="G1012" s="274">
        <f t="shared" si="31"/>
        <v>-1.4749338156797639E-3</v>
      </c>
    </row>
    <row r="1013" spans="1:7" ht="14.25" customHeight="1" x14ac:dyDescent="0.3">
      <c r="A1013" s="20">
        <v>45419</v>
      </c>
      <c r="B1013" s="21" t="s">
        <v>1790</v>
      </c>
      <c r="C1013" s="20">
        <v>45419</v>
      </c>
      <c r="D1013" s="21">
        <v>22302.5</v>
      </c>
      <c r="F1013" s="274">
        <f t="shared" si="30"/>
        <v>-2.2224050915647907E-2</v>
      </c>
      <c r="G1013" s="274">
        <f t="shared" si="31"/>
        <v>-6.2469855957820357E-3</v>
      </c>
    </row>
    <row r="1014" spans="1:7" ht="14.25" customHeight="1" x14ac:dyDescent="0.3">
      <c r="A1014" s="20">
        <v>45420</v>
      </c>
      <c r="B1014" s="21" t="s">
        <v>1791</v>
      </c>
      <c r="C1014" s="20">
        <v>45420</v>
      </c>
      <c r="D1014" s="21">
        <v>22302.5</v>
      </c>
      <c r="F1014" s="274">
        <f t="shared" si="30"/>
        <v>1.0101449172591316E-3</v>
      </c>
      <c r="G1014" s="274">
        <f t="shared" si="31"/>
        <v>0</v>
      </c>
    </row>
    <row r="1015" spans="1:7" ht="14.25" customHeight="1" x14ac:dyDescent="0.3">
      <c r="A1015" s="20">
        <v>45421</v>
      </c>
      <c r="B1015" s="21" t="s">
        <v>1792</v>
      </c>
      <c r="C1015" s="20">
        <v>45421</v>
      </c>
      <c r="D1015" s="21">
        <v>21957.5</v>
      </c>
      <c r="F1015" s="274">
        <f t="shared" si="30"/>
        <v>-3.4059373334057459E-2</v>
      </c>
      <c r="G1015" s="274">
        <f t="shared" si="31"/>
        <v>-1.5469117811904494E-2</v>
      </c>
    </row>
    <row r="1016" spans="1:7" ht="14.25" customHeight="1" x14ac:dyDescent="0.3">
      <c r="A1016" s="20">
        <v>45422</v>
      </c>
      <c r="B1016" s="21" t="s">
        <v>1793</v>
      </c>
      <c r="C1016" s="20">
        <v>45422</v>
      </c>
      <c r="D1016" s="21">
        <v>22055.19921875</v>
      </c>
      <c r="F1016" s="274">
        <f t="shared" si="30"/>
        <v>1.3059376910005629E-2</v>
      </c>
      <c r="G1016" s="274">
        <f t="shared" si="31"/>
        <v>4.4494691449390869E-3</v>
      </c>
    </row>
    <row r="1017" spans="1:7" ht="14.25" customHeight="1" x14ac:dyDescent="0.3">
      <c r="A1017" s="20">
        <v>45425</v>
      </c>
      <c r="B1017" s="21" t="s">
        <v>1794</v>
      </c>
      <c r="C1017" s="20">
        <v>45425</v>
      </c>
      <c r="D1017" s="21">
        <v>22104.05078125</v>
      </c>
      <c r="F1017" s="274">
        <f t="shared" si="30"/>
        <v>1.1000385954529275E-2</v>
      </c>
      <c r="G1017" s="274">
        <f t="shared" si="31"/>
        <v>2.214968090538459E-3</v>
      </c>
    </row>
    <row r="1018" spans="1:7" ht="14.25" customHeight="1" x14ac:dyDescent="0.3">
      <c r="A1018" s="20">
        <v>45426</v>
      </c>
      <c r="B1018" s="21" t="s">
        <v>1795</v>
      </c>
      <c r="C1018" s="20">
        <v>45426</v>
      </c>
      <c r="D1018" s="21" t="s">
        <v>1796</v>
      </c>
      <c r="F1018" s="274">
        <f t="shared" si="30"/>
        <v>3.7402243358431918E-2</v>
      </c>
      <c r="G1018" s="274">
        <f t="shared" si="31"/>
        <v>5.1483245877054842E-3</v>
      </c>
    </row>
    <row r="1019" spans="1:7" ht="14.25" customHeight="1" x14ac:dyDescent="0.3">
      <c r="A1019" s="20">
        <v>45427</v>
      </c>
      <c r="B1019" s="21">
        <v>613.25</v>
      </c>
      <c r="C1019" s="20">
        <v>45427</v>
      </c>
      <c r="D1019" s="21">
        <v>22200.55078125</v>
      </c>
      <c r="F1019" s="274">
        <f t="shared" si="30"/>
        <v>4.9983410880925479E-3</v>
      </c>
      <c r="G1019" s="274">
        <f t="shared" si="31"/>
        <v>-7.7860046895360301E-4</v>
      </c>
    </row>
    <row r="1020" spans="1:7" ht="14.25" customHeight="1" x14ac:dyDescent="0.3">
      <c r="A1020" s="20">
        <v>45428</v>
      </c>
      <c r="B1020" s="21" t="s">
        <v>1797</v>
      </c>
      <c r="C1020" s="20">
        <v>45428</v>
      </c>
      <c r="D1020" s="21" t="s">
        <v>1798</v>
      </c>
      <c r="F1020" s="274">
        <f t="shared" si="30"/>
        <v>3.505950940174554E-3</v>
      </c>
      <c r="G1020" s="274">
        <f t="shared" si="31"/>
        <v>9.1573776762647191E-3</v>
      </c>
    </row>
    <row r="1021" spans="1:7" ht="14.25" customHeight="1" x14ac:dyDescent="0.3">
      <c r="A1021" s="20">
        <v>45429</v>
      </c>
      <c r="B1021" s="21" t="s">
        <v>1799</v>
      </c>
      <c r="C1021" s="20">
        <v>45429</v>
      </c>
      <c r="D1021" s="21" t="s">
        <v>1800</v>
      </c>
      <c r="F1021" s="274">
        <f t="shared" si="30"/>
        <v>8.6122645152886205E-3</v>
      </c>
      <c r="G1021" s="274">
        <f t="shared" si="31"/>
        <v>2.7785403439751347E-3</v>
      </c>
    </row>
    <row r="1022" spans="1:7" ht="14.25" customHeight="1" x14ac:dyDescent="0.3">
      <c r="A1022" s="20">
        <v>45433</v>
      </c>
      <c r="B1022" s="21" t="s">
        <v>1801</v>
      </c>
      <c r="C1022" s="20">
        <v>45433</v>
      </c>
      <c r="D1022" s="21">
        <v>22529.05078125</v>
      </c>
      <c r="F1022" s="274">
        <f t="shared" si="30"/>
        <v>1.7721926508245358E-2</v>
      </c>
      <c r="G1022" s="274">
        <f t="shared" si="31"/>
        <v>2.8020516676036979E-3</v>
      </c>
    </row>
    <row r="1023" spans="1:7" ht="14.25" customHeight="1" x14ac:dyDescent="0.3">
      <c r="A1023" s="20">
        <v>45434</v>
      </c>
      <c r="B1023" s="21" t="s">
        <v>1802</v>
      </c>
      <c r="C1023" s="20">
        <v>45434</v>
      </c>
      <c r="D1023" s="21">
        <v>22597.80078125</v>
      </c>
      <c r="F1023" s="274">
        <f t="shared" si="30"/>
        <v>2.1370517015195109E-3</v>
      </c>
      <c r="G1023" s="274">
        <f t="shared" si="31"/>
        <v>3.051615474950138E-3</v>
      </c>
    </row>
    <row r="1024" spans="1:7" ht="14.25" customHeight="1" x14ac:dyDescent="0.3">
      <c r="A1024" s="20">
        <v>45435</v>
      </c>
      <c r="B1024" s="21">
        <v>646.5</v>
      </c>
      <c r="C1024" s="20">
        <v>45435</v>
      </c>
      <c r="D1024" s="21" t="s">
        <v>1803</v>
      </c>
      <c r="F1024" s="274">
        <f t="shared" si="30"/>
        <v>2.1246366742575035E-2</v>
      </c>
      <c r="G1024" s="274">
        <f t="shared" si="31"/>
        <v>1.6366619608483058E-2</v>
      </c>
    </row>
    <row r="1025" spans="1:7" ht="14.25" customHeight="1" x14ac:dyDescent="0.3">
      <c r="A1025" s="20">
        <v>45436</v>
      </c>
      <c r="B1025" s="21" t="s">
        <v>1804</v>
      </c>
      <c r="C1025" s="20">
        <v>45436</v>
      </c>
      <c r="D1025" s="21" t="s">
        <v>1805</v>
      </c>
      <c r="F1025" s="274">
        <f t="shared" si="30"/>
        <v>-1.7324071472594037E-2</v>
      </c>
      <c r="G1025" s="274">
        <f t="shared" si="31"/>
        <v>-4.5937573371922485E-4</v>
      </c>
    </row>
    <row r="1026" spans="1:7" ht="14.25" customHeight="1" x14ac:dyDescent="0.3">
      <c r="A1026" s="20">
        <v>45439</v>
      </c>
      <c r="B1026" s="21">
        <v>632.5</v>
      </c>
      <c r="C1026" s="20">
        <v>45439</v>
      </c>
      <c r="D1026" s="21">
        <v>22932.44921875</v>
      </c>
      <c r="F1026" s="274">
        <f t="shared" si="30"/>
        <v>-4.4073474685480656E-3</v>
      </c>
      <c r="G1026" s="274">
        <f t="shared" si="31"/>
        <v>-1.0737589261900274E-3</v>
      </c>
    </row>
    <row r="1027" spans="1:7" ht="14.25" customHeight="1" x14ac:dyDescent="0.3">
      <c r="A1027" s="20">
        <v>45440</v>
      </c>
      <c r="B1027" s="21" t="s">
        <v>1782</v>
      </c>
      <c r="C1027" s="20">
        <v>45440</v>
      </c>
      <c r="D1027" s="21" t="s">
        <v>1806</v>
      </c>
      <c r="F1027" s="274">
        <f t="shared" ref="F1027:F1090" si="32">(B1027-B1026)/B1026</f>
        <v>-4.5058902544473593E-3</v>
      </c>
      <c r="G1027" s="274">
        <f t="shared" ref="G1027:G1090" si="33">(D1027-D1026)/D1026</f>
        <v>-1.9317094176221025E-3</v>
      </c>
    </row>
    <row r="1028" spans="1:7" ht="14.25" customHeight="1" x14ac:dyDescent="0.3">
      <c r="A1028" s="20">
        <v>45441</v>
      </c>
      <c r="B1028" s="21" t="s">
        <v>1807</v>
      </c>
      <c r="C1028" s="20">
        <v>45441</v>
      </c>
      <c r="D1028" s="21">
        <v>22704.69921875</v>
      </c>
      <c r="F1028" s="274">
        <f t="shared" si="32"/>
        <v>7.1460518451295905E-4</v>
      </c>
      <c r="G1028" s="274">
        <f t="shared" si="33"/>
        <v>-8.0151156272610692E-3</v>
      </c>
    </row>
    <row r="1029" spans="1:7" ht="14.25" customHeight="1" x14ac:dyDescent="0.3">
      <c r="A1029" s="20">
        <v>45442</v>
      </c>
      <c r="B1029" s="21" t="s">
        <v>1808</v>
      </c>
      <c r="C1029" s="20">
        <v>45442</v>
      </c>
      <c r="D1029" s="21" t="s">
        <v>1809</v>
      </c>
      <c r="F1029" s="274">
        <f t="shared" si="32"/>
        <v>-1.7378117118148621E-2</v>
      </c>
      <c r="G1029" s="274">
        <f t="shared" si="33"/>
        <v>-9.5155996581792416E-3</v>
      </c>
    </row>
    <row r="1030" spans="1:7" ht="14.25" customHeight="1" x14ac:dyDescent="0.3">
      <c r="A1030" s="20">
        <v>45443</v>
      </c>
      <c r="B1030" s="21" t="s">
        <v>1810</v>
      </c>
      <c r="C1030" s="20">
        <v>45443</v>
      </c>
      <c r="D1030" s="21">
        <v>22530.69921875</v>
      </c>
      <c r="F1030" s="274">
        <f t="shared" si="32"/>
        <v>2.4065190650693454E-2</v>
      </c>
      <c r="G1030" s="274">
        <f t="shared" si="33"/>
        <v>1.869779973213919E-3</v>
      </c>
    </row>
    <row r="1031" spans="1:7" ht="14.25" customHeight="1" x14ac:dyDescent="0.3">
      <c r="A1031" s="20">
        <v>45446</v>
      </c>
      <c r="B1031" s="21" t="s">
        <v>1811</v>
      </c>
      <c r="C1031" s="20">
        <v>45446</v>
      </c>
      <c r="D1031" s="21" t="s">
        <v>1812</v>
      </c>
      <c r="F1031" s="274">
        <f t="shared" si="32"/>
        <v>5.7960729765047687E-2</v>
      </c>
      <c r="G1031" s="274">
        <f t="shared" si="33"/>
        <v>3.2542317695352818E-2</v>
      </c>
    </row>
    <row r="1032" spans="1:7" ht="14.25" customHeight="1" x14ac:dyDescent="0.3">
      <c r="A1032" s="20">
        <v>45447</v>
      </c>
      <c r="B1032" s="21" t="s">
        <v>1813</v>
      </c>
      <c r="C1032" s="20">
        <v>45447</v>
      </c>
      <c r="D1032" s="21">
        <v>21884.5</v>
      </c>
      <c r="F1032" s="274">
        <f t="shared" si="32"/>
        <v>-0.17024450549375528</v>
      </c>
      <c r="G1032" s="274">
        <f t="shared" si="33"/>
        <v>-5.9293599416410735E-2</v>
      </c>
    </row>
    <row r="1033" spans="1:7" ht="14.25" customHeight="1" x14ac:dyDescent="0.3">
      <c r="A1033" s="20">
        <v>45448</v>
      </c>
      <c r="B1033" s="21" t="s">
        <v>1814</v>
      </c>
      <c r="C1033" s="20">
        <v>45448</v>
      </c>
      <c r="D1033" s="21" t="s">
        <v>1815</v>
      </c>
      <c r="F1033" s="274">
        <f t="shared" si="32"/>
        <v>7.5997216463395301E-2</v>
      </c>
      <c r="G1033" s="274">
        <f t="shared" si="33"/>
        <v>3.362423676003564E-2</v>
      </c>
    </row>
    <row r="1034" spans="1:7" ht="14.25" customHeight="1" x14ac:dyDescent="0.3">
      <c r="A1034" s="20">
        <v>45449</v>
      </c>
      <c r="B1034" s="21" t="s">
        <v>1816</v>
      </c>
      <c r="C1034" s="20">
        <v>45449</v>
      </c>
      <c r="D1034" s="21" t="s">
        <v>1817</v>
      </c>
      <c r="F1034" s="274">
        <f t="shared" si="32"/>
        <v>1.8617403446951855E-2</v>
      </c>
      <c r="G1034" s="274">
        <f t="shared" si="33"/>
        <v>8.8880492442377883E-3</v>
      </c>
    </row>
    <row r="1035" spans="1:7" ht="14.25" customHeight="1" x14ac:dyDescent="0.3">
      <c r="A1035" s="20">
        <v>45450</v>
      </c>
      <c r="B1035" s="21" t="s">
        <v>1818</v>
      </c>
      <c r="C1035" s="20">
        <v>45450</v>
      </c>
      <c r="D1035" s="21" t="s">
        <v>1819</v>
      </c>
      <c r="F1035" s="274">
        <f t="shared" si="32"/>
        <v>1.8441111753317339E-2</v>
      </c>
      <c r="G1035" s="274">
        <f t="shared" si="33"/>
        <v>2.0539931466807E-2</v>
      </c>
    </row>
    <row r="1036" spans="1:7" ht="14.25" customHeight="1" x14ac:dyDescent="0.3">
      <c r="A1036" s="20">
        <v>45453</v>
      </c>
      <c r="B1036" s="21" t="s">
        <v>1820</v>
      </c>
      <c r="C1036" s="20">
        <v>45453</v>
      </c>
      <c r="D1036" s="21">
        <v>23259.19921875</v>
      </c>
      <c r="F1036" s="274">
        <f t="shared" si="32"/>
        <v>3.0661497130621228E-2</v>
      </c>
      <c r="G1036" s="274">
        <f t="shared" si="33"/>
        <v>-1.328938257412833E-3</v>
      </c>
    </row>
    <row r="1037" spans="1:7" ht="14.25" customHeight="1" x14ac:dyDescent="0.3">
      <c r="A1037" s="20">
        <v>45454</v>
      </c>
      <c r="B1037" s="21">
        <v>639.75</v>
      </c>
      <c r="C1037" s="20">
        <v>45454</v>
      </c>
      <c r="D1037" s="21" t="s">
        <v>1821</v>
      </c>
      <c r="F1037" s="274">
        <f t="shared" si="32"/>
        <v>-9.3694949451360852E-4</v>
      </c>
      <c r="G1037" s="274">
        <f t="shared" si="33"/>
        <v>2.4293143421915555E-4</v>
      </c>
    </row>
    <row r="1038" spans="1:7" ht="14.25" customHeight="1" x14ac:dyDescent="0.3">
      <c r="A1038" s="20">
        <v>45455</v>
      </c>
      <c r="B1038" s="21" t="s">
        <v>1822</v>
      </c>
      <c r="C1038" s="20">
        <v>45455</v>
      </c>
      <c r="D1038" s="21">
        <v>23322.94921875</v>
      </c>
      <c r="F1038" s="274">
        <f t="shared" si="32"/>
        <v>4.5252070663588939E-2</v>
      </c>
      <c r="G1038" s="274">
        <f t="shared" si="33"/>
        <v>2.4973129141392641E-3</v>
      </c>
    </row>
    <row r="1039" spans="1:7" ht="14.25" customHeight="1" x14ac:dyDescent="0.3">
      <c r="A1039" s="20">
        <v>45456</v>
      </c>
      <c r="B1039" s="21">
        <v>664.5</v>
      </c>
      <c r="C1039" s="20">
        <v>45456</v>
      </c>
      <c r="D1039" s="21" t="s">
        <v>1823</v>
      </c>
      <c r="F1039" s="274">
        <f t="shared" si="32"/>
        <v>-6.2808615677588612E-3</v>
      </c>
      <c r="G1039" s="274">
        <f t="shared" si="33"/>
        <v>3.2564994745150257E-3</v>
      </c>
    </row>
    <row r="1040" spans="1:7" ht="14.25" customHeight="1" x14ac:dyDescent="0.3">
      <c r="A1040" s="20">
        <v>45457</v>
      </c>
      <c r="B1040" s="21" t="s">
        <v>1824</v>
      </c>
      <c r="C1040" s="20">
        <v>45457</v>
      </c>
      <c r="D1040" s="21" t="s">
        <v>1825</v>
      </c>
      <c r="F1040" s="274">
        <f t="shared" si="32"/>
        <v>1.9112132741957898E-2</v>
      </c>
      <c r="G1040" s="274">
        <f t="shared" si="33"/>
        <v>2.8505279152657831E-3</v>
      </c>
    </row>
    <row r="1041" spans="1:7" ht="14.25" customHeight="1" x14ac:dyDescent="0.3">
      <c r="A1041" s="20">
        <v>45461</v>
      </c>
      <c r="B1041" s="21" t="s">
        <v>1826</v>
      </c>
      <c r="C1041" s="20">
        <v>45461</v>
      </c>
      <c r="D1041" s="21" t="s">
        <v>1827</v>
      </c>
      <c r="F1041" s="274">
        <f t="shared" si="32"/>
        <v>-4.5777267649343249E-3</v>
      </c>
      <c r="G1041" s="274">
        <f t="shared" si="33"/>
        <v>3.9334507869606666E-3</v>
      </c>
    </row>
    <row r="1042" spans="1:7" ht="14.25" customHeight="1" x14ac:dyDescent="0.3">
      <c r="A1042" s="20">
        <v>45462</v>
      </c>
      <c r="B1042" s="21" t="s">
        <v>1828</v>
      </c>
      <c r="C1042" s="20">
        <v>45462</v>
      </c>
      <c r="D1042" s="21">
        <v>23516</v>
      </c>
      <c r="F1042" s="274">
        <f t="shared" si="32"/>
        <v>-1.0829236103478331E-2</v>
      </c>
      <c r="G1042" s="274">
        <f t="shared" si="33"/>
        <v>-1.7786131162042989E-3</v>
      </c>
    </row>
    <row r="1043" spans="1:7" ht="14.25" customHeight="1" x14ac:dyDescent="0.3">
      <c r="A1043" s="20">
        <v>45463</v>
      </c>
      <c r="B1043" s="21" t="s">
        <v>1829</v>
      </c>
      <c r="C1043" s="20">
        <v>45463</v>
      </c>
      <c r="D1043" s="21">
        <v>23567</v>
      </c>
      <c r="F1043" s="274">
        <f t="shared" si="32"/>
        <v>-1.1472650748279731E-2</v>
      </c>
      <c r="G1043" s="274">
        <f t="shared" si="33"/>
        <v>2.1687361796223848E-3</v>
      </c>
    </row>
    <row r="1044" spans="1:7" ht="14.25" customHeight="1" x14ac:dyDescent="0.3">
      <c r="A1044" s="20">
        <v>45464</v>
      </c>
      <c r="B1044" s="21" t="s">
        <v>1830</v>
      </c>
      <c r="C1044" s="20">
        <v>45464</v>
      </c>
      <c r="D1044" s="21" t="s">
        <v>1831</v>
      </c>
      <c r="F1044" s="274">
        <f t="shared" si="32"/>
        <v>-2.5790975408704776E-3</v>
      </c>
      <c r="G1044" s="274">
        <f t="shared" si="33"/>
        <v>-2.7962995130903384E-3</v>
      </c>
    </row>
    <row r="1045" spans="1:7" ht="14.25" customHeight="1" x14ac:dyDescent="0.3">
      <c r="A1045" s="20">
        <v>45467</v>
      </c>
      <c r="B1045" s="21">
        <v>657.75</v>
      </c>
      <c r="C1045" s="20">
        <v>45467</v>
      </c>
      <c r="D1045" s="21" t="s">
        <v>1832</v>
      </c>
      <c r="F1045" s="274">
        <f t="shared" si="32"/>
        <v>4.5628988881136595E-4</v>
      </c>
      <c r="G1045" s="274">
        <f t="shared" si="33"/>
        <v>1.5637566161091365E-3</v>
      </c>
    </row>
    <row r="1046" spans="1:7" ht="14.25" customHeight="1" x14ac:dyDescent="0.3">
      <c r="A1046" s="20">
        <v>45468</v>
      </c>
      <c r="B1046" s="21" t="s">
        <v>1833</v>
      </c>
      <c r="C1046" s="20">
        <v>45468</v>
      </c>
      <c r="D1046" s="21">
        <v>23721.30078125</v>
      </c>
      <c r="F1046" s="274">
        <f t="shared" si="32"/>
        <v>-1.3607012097350126E-2</v>
      </c>
      <c r="G1046" s="274">
        <f t="shared" si="33"/>
        <v>7.7938798539154731E-3</v>
      </c>
    </row>
    <row r="1047" spans="1:7" ht="14.25" customHeight="1" x14ac:dyDescent="0.3">
      <c r="A1047" s="20">
        <v>45469</v>
      </c>
      <c r="B1047" s="21" t="s">
        <v>1834</v>
      </c>
      <c r="C1047" s="20">
        <v>45469</v>
      </c>
      <c r="D1047" s="21">
        <v>23868.80078125</v>
      </c>
      <c r="F1047" s="274">
        <f t="shared" si="32"/>
        <v>1.2715783223215125E-2</v>
      </c>
      <c r="G1047" s="274">
        <f t="shared" si="33"/>
        <v>6.2180401218380173E-3</v>
      </c>
    </row>
    <row r="1048" spans="1:7" ht="14.25" customHeight="1" x14ac:dyDescent="0.3">
      <c r="A1048" s="20">
        <v>45470</v>
      </c>
      <c r="B1048" s="21" t="s">
        <v>1835</v>
      </c>
      <c r="C1048" s="20">
        <v>45470</v>
      </c>
      <c r="D1048" s="21">
        <v>24044.5</v>
      </c>
      <c r="F1048" s="274">
        <f t="shared" si="32"/>
        <v>5.4790909184651545E-3</v>
      </c>
      <c r="G1048" s="274">
        <f t="shared" si="33"/>
        <v>7.3610408985448281E-3</v>
      </c>
    </row>
    <row r="1049" spans="1:7" ht="14.25" customHeight="1" x14ac:dyDescent="0.3">
      <c r="A1049" s="20">
        <v>45471</v>
      </c>
      <c r="B1049" s="21">
        <v>670.25</v>
      </c>
      <c r="C1049" s="20">
        <v>45471</v>
      </c>
      <c r="D1049" s="21" t="s">
        <v>1836</v>
      </c>
      <c r="F1049" s="274">
        <f t="shared" si="32"/>
        <v>1.4531106079126057E-2</v>
      </c>
      <c r="G1049" s="274">
        <f t="shared" si="33"/>
        <v>-1.4099020825968517E-3</v>
      </c>
    </row>
    <row r="1050" spans="1:7" ht="14.25" customHeight="1" x14ac:dyDescent="0.3">
      <c r="A1050" s="20">
        <v>45474</v>
      </c>
      <c r="B1050" s="21">
        <v>695</v>
      </c>
      <c r="C1050" s="20">
        <v>45474</v>
      </c>
      <c r="D1050" s="21">
        <v>24141.94921875</v>
      </c>
      <c r="F1050" s="274">
        <f t="shared" si="32"/>
        <v>3.6926519955240579E-2</v>
      </c>
      <c r="G1050" s="274">
        <f t="shared" si="33"/>
        <v>5.4704843490753228E-3</v>
      </c>
    </row>
    <row r="1051" spans="1:7" ht="14.25" customHeight="1" x14ac:dyDescent="0.3">
      <c r="A1051" s="20">
        <v>45475</v>
      </c>
      <c r="B1051" s="21" t="s">
        <v>1837</v>
      </c>
      <c r="C1051" s="20">
        <v>45475</v>
      </c>
      <c r="D1051" s="21" t="s">
        <v>1838</v>
      </c>
      <c r="F1051" s="274">
        <f t="shared" si="32"/>
        <v>-3.8129847684359062E-3</v>
      </c>
      <c r="G1051" s="274">
        <f t="shared" si="33"/>
        <v>-7.4971615634676354E-4</v>
      </c>
    </row>
    <row r="1052" spans="1:7" ht="14.25" customHeight="1" x14ac:dyDescent="0.3">
      <c r="A1052" s="20">
        <v>45476</v>
      </c>
      <c r="B1052" s="21" t="s">
        <v>1839</v>
      </c>
      <c r="C1052" s="20">
        <v>45476</v>
      </c>
      <c r="D1052" s="21">
        <v>24286.5</v>
      </c>
      <c r="F1052" s="274">
        <f t="shared" si="32"/>
        <v>5.0557757411306438E-4</v>
      </c>
      <c r="G1052" s="274">
        <f t="shared" si="33"/>
        <v>6.742306607722794E-3</v>
      </c>
    </row>
    <row r="1053" spans="1:7" ht="14.25" customHeight="1" x14ac:dyDescent="0.3">
      <c r="A1053" s="20">
        <v>45477</v>
      </c>
      <c r="B1053" s="21" t="s">
        <v>1840</v>
      </c>
      <c r="C1053" s="20">
        <v>45477</v>
      </c>
      <c r="D1053" s="21" t="s">
        <v>1841</v>
      </c>
      <c r="F1053" s="274">
        <f t="shared" si="32"/>
        <v>-1.5302492326109396E-2</v>
      </c>
      <c r="G1053" s="274">
        <f t="shared" si="33"/>
        <v>6.4440700080291519E-4</v>
      </c>
    </row>
    <row r="1054" spans="1:7" ht="14.25" customHeight="1" x14ac:dyDescent="0.3">
      <c r="A1054" s="20">
        <v>45478</v>
      </c>
      <c r="B1054" s="21">
        <v>686</v>
      </c>
      <c r="C1054" s="20">
        <v>45478</v>
      </c>
      <c r="D1054" s="21" t="s">
        <v>1842</v>
      </c>
      <c r="F1054" s="274">
        <f t="shared" si="32"/>
        <v>5.7176727073076916E-3</v>
      </c>
      <c r="G1054" s="274">
        <f t="shared" si="33"/>
        <v>8.928929498506795E-4</v>
      </c>
    </row>
    <row r="1055" spans="1:7" ht="14.25" customHeight="1" x14ac:dyDescent="0.3">
      <c r="A1055" s="20">
        <v>45481</v>
      </c>
      <c r="B1055" s="21" t="s">
        <v>1843</v>
      </c>
      <c r="C1055" s="20">
        <v>45481</v>
      </c>
      <c r="D1055" s="21">
        <v>24320.55078125</v>
      </c>
      <c r="F1055" s="274">
        <f t="shared" si="32"/>
        <v>-3.5714463659359268E-3</v>
      </c>
      <c r="G1055" s="274">
        <f t="shared" si="33"/>
        <v>-1.3562113637343622E-4</v>
      </c>
    </row>
    <row r="1056" spans="1:7" ht="14.25" customHeight="1" x14ac:dyDescent="0.3">
      <c r="A1056" s="20">
        <v>45482</v>
      </c>
      <c r="B1056" s="21" t="s">
        <v>1844</v>
      </c>
      <c r="C1056" s="20">
        <v>45482</v>
      </c>
      <c r="D1056" s="21">
        <v>24433.19921875</v>
      </c>
      <c r="F1056" s="274">
        <f t="shared" si="32"/>
        <v>-8.6313561323519122E-3</v>
      </c>
      <c r="G1056" s="274">
        <f t="shared" si="33"/>
        <v>4.631820986013468E-3</v>
      </c>
    </row>
    <row r="1057" spans="1:7" ht="14.25" customHeight="1" x14ac:dyDescent="0.3">
      <c r="A1057" s="20">
        <v>45483</v>
      </c>
      <c r="B1057" s="21">
        <v>665</v>
      </c>
      <c r="C1057" s="20">
        <v>45483</v>
      </c>
      <c r="D1057" s="21">
        <v>24324.44921875</v>
      </c>
      <c r="F1057" s="274">
        <f t="shared" si="32"/>
        <v>-1.8667489055283419E-2</v>
      </c>
      <c r="G1057" s="274">
        <f t="shared" si="33"/>
        <v>-4.4509111977667423E-3</v>
      </c>
    </row>
    <row r="1058" spans="1:7" ht="14.25" customHeight="1" x14ac:dyDescent="0.3">
      <c r="A1058" s="20">
        <v>45484</v>
      </c>
      <c r="B1058" s="21" t="s">
        <v>1845</v>
      </c>
      <c r="C1058" s="20">
        <v>45484</v>
      </c>
      <c r="D1058" s="21">
        <v>24315.94921875</v>
      </c>
      <c r="F1058" s="274">
        <f t="shared" si="32"/>
        <v>2.127823220159706E-2</v>
      </c>
      <c r="G1058" s="274">
        <f t="shared" si="33"/>
        <v>-3.4944265021417015E-4</v>
      </c>
    </row>
    <row r="1059" spans="1:7" ht="14.25" customHeight="1" x14ac:dyDescent="0.3">
      <c r="A1059" s="20">
        <v>45485</v>
      </c>
      <c r="B1059" s="21">
        <v>676.5</v>
      </c>
      <c r="C1059" s="20">
        <v>45485</v>
      </c>
      <c r="D1059" s="21" t="s">
        <v>1846</v>
      </c>
      <c r="F1059" s="274">
        <f t="shared" si="32"/>
        <v>-3.901972051533619E-3</v>
      </c>
      <c r="G1059" s="274">
        <f t="shared" si="33"/>
        <v>7.6575736443560468E-3</v>
      </c>
    </row>
    <row r="1060" spans="1:7" ht="14.25" customHeight="1" x14ac:dyDescent="0.3">
      <c r="A1060" s="20">
        <v>45488</v>
      </c>
      <c r="B1060" s="21" t="s">
        <v>1847</v>
      </c>
      <c r="C1060" s="20">
        <v>45488</v>
      </c>
      <c r="D1060" s="21">
        <v>24586.69921875</v>
      </c>
      <c r="F1060" s="274">
        <f t="shared" si="32"/>
        <v>1.1382131865529967E-2</v>
      </c>
      <c r="G1060" s="274">
        <f t="shared" si="33"/>
        <v>3.4506697076412537E-3</v>
      </c>
    </row>
    <row r="1061" spans="1:7" ht="14.25" customHeight="1" x14ac:dyDescent="0.3">
      <c r="A1061" s="20">
        <v>45489</v>
      </c>
      <c r="B1061" s="21" t="s">
        <v>1848</v>
      </c>
      <c r="C1061" s="20">
        <v>45489</v>
      </c>
      <c r="D1061" s="21">
        <v>24613</v>
      </c>
      <c r="F1061" s="274">
        <f t="shared" si="32"/>
        <v>1.6807415352077734E-3</v>
      </c>
      <c r="G1061" s="274">
        <f t="shared" si="33"/>
        <v>1.0697158254550424E-3</v>
      </c>
    </row>
    <row r="1062" spans="1:7" ht="14.25" customHeight="1" x14ac:dyDescent="0.3">
      <c r="A1062" s="20">
        <v>45491</v>
      </c>
      <c r="B1062" s="21">
        <v>690.25</v>
      </c>
      <c r="C1062" s="20">
        <v>45491</v>
      </c>
      <c r="D1062" s="21" t="s">
        <v>1849</v>
      </c>
      <c r="F1062" s="274">
        <f t="shared" si="32"/>
        <v>7.1496674525649466E-3</v>
      </c>
      <c r="G1062" s="274">
        <f t="shared" si="33"/>
        <v>7.63212974342827E-3</v>
      </c>
    </row>
    <row r="1063" spans="1:7" ht="14.25" customHeight="1" x14ac:dyDescent="0.3">
      <c r="A1063" s="20">
        <v>45492</v>
      </c>
      <c r="B1063" s="21" t="s">
        <v>1850</v>
      </c>
      <c r="C1063" s="20">
        <v>45492</v>
      </c>
      <c r="D1063" s="21" t="s">
        <v>1851</v>
      </c>
      <c r="F1063" s="274">
        <f t="shared" si="32"/>
        <v>-1.7892032721387837E-2</v>
      </c>
      <c r="G1063" s="274">
        <f t="shared" si="33"/>
        <v>-1.0884676251089243E-2</v>
      </c>
    </row>
    <row r="1064" spans="1:7" ht="14.25" customHeight="1" x14ac:dyDescent="0.3">
      <c r="A1064" s="20">
        <v>45495</v>
      </c>
      <c r="B1064" s="21" t="s">
        <v>1852</v>
      </c>
      <c r="C1064" s="20">
        <v>45495</v>
      </c>
      <c r="D1064" s="21">
        <v>24509.25</v>
      </c>
      <c r="F1064" s="274">
        <f t="shared" si="32"/>
        <v>1.3571250686746783E-2</v>
      </c>
      <c r="G1064" s="274">
        <f t="shared" si="33"/>
        <v>-8.8257627238477363E-4</v>
      </c>
    </row>
    <row r="1065" spans="1:7" ht="14.25" customHeight="1" x14ac:dyDescent="0.3">
      <c r="A1065" s="20">
        <v>45496</v>
      </c>
      <c r="B1065" s="21" t="s">
        <v>1853</v>
      </c>
      <c r="C1065" s="20">
        <v>45496</v>
      </c>
      <c r="D1065" s="21">
        <v>24479.05078125</v>
      </c>
      <c r="F1065" s="274">
        <f t="shared" si="32"/>
        <v>6.1854171896538563E-3</v>
      </c>
      <c r="G1065" s="274">
        <f t="shared" si="33"/>
        <v>-1.2321559717249609E-3</v>
      </c>
    </row>
    <row r="1066" spans="1:7" ht="14.25" customHeight="1" x14ac:dyDescent="0.3">
      <c r="A1066" s="20">
        <v>45497</v>
      </c>
      <c r="B1066" s="21" t="s">
        <v>1854</v>
      </c>
      <c r="C1066" s="20">
        <v>45497</v>
      </c>
      <c r="D1066" s="21">
        <v>24413.5</v>
      </c>
      <c r="F1066" s="274">
        <f t="shared" si="32"/>
        <v>-1.2945615806653763E-2</v>
      </c>
      <c r="G1066" s="274">
        <f t="shared" si="33"/>
        <v>-2.6778318259059845E-3</v>
      </c>
    </row>
    <row r="1067" spans="1:7" ht="14.25" customHeight="1" x14ac:dyDescent="0.3">
      <c r="A1067" s="20">
        <v>45498</v>
      </c>
      <c r="B1067" s="21" t="s">
        <v>1855</v>
      </c>
      <c r="C1067" s="20">
        <v>45498</v>
      </c>
      <c r="D1067" s="21" t="s">
        <v>1856</v>
      </c>
      <c r="F1067" s="274">
        <f t="shared" si="32"/>
        <v>-9.5252048174839666E-3</v>
      </c>
      <c r="G1067" s="274">
        <f t="shared" si="33"/>
        <v>-3.031269840457124E-4</v>
      </c>
    </row>
    <row r="1068" spans="1:7" ht="14.25" customHeight="1" x14ac:dyDescent="0.3">
      <c r="A1068" s="20">
        <v>45499</v>
      </c>
      <c r="B1068" s="21" t="s">
        <v>1857</v>
      </c>
      <c r="C1068" s="20">
        <v>45499</v>
      </c>
      <c r="D1068" s="21" t="s">
        <v>1858</v>
      </c>
      <c r="F1068" s="274">
        <f t="shared" si="32"/>
        <v>1.5534841871181249E-2</v>
      </c>
      <c r="G1068" s="274">
        <f t="shared" si="33"/>
        <v>1.756732976027461E-2</v>
      </c>
    </row>
    <row r="1069" spans="1:7" ht="14.25" customHeight="1" x14ac:dyDescent="0.3">
      <c r="A1069" s="20">
        <v>45502</v>
      </c>
      <c r="B1069" s="21" t="s">
        <v>1859</v>
      </c>
      <c r="C1069" s="20">
        <v>45502</v>
      </c>
      <c r="D1069" s="21" t="s">
        <v>1860</v>
      </c>
      <c r="F1069" s="274">
        <f t="shared" si="32"/>
        <v>-9.5426115896723313E-3</v>
      </c>
      <c r="G1069" s="274">
        <f t="shared" si="33"/>
        <v>5.0332497263367071E-5</v>
      </c>
    </row>
    <row r="1070" spans="1:7" ht="14.25" customHeight="1" x14ac:dyDescent="0.3">
      <c r="A1070" s="20">
        <v>45503</v>
      </c>
      <c r="B1070" s="21" t="s">
        <v>1861</v>
      </c>
      <c r="C1070" s="20">
        <v>45503</v>
      </c>
      <c r="D1070" s="21">
        <v>24857.30078125</v>
      </c>
      <c r="F1070" s="274">
        <f t="shared" si="32"/>
        <v>-7.9428750059923111E-3</v>
      </c>
      <c r="G1070" s="274">
        <f t="shared" si="33"/>
        <v>8.5364337430008915E-4</v>
      </c>
    </row>
    <row r="1071" spans="1:7" ht="14.25" customHeight="1" x14ac:dyDescent="0.3">
      <c r="A1071" s="20">
        <v>45504</v>
      </c>
      <c r="B1071" s="21" t="s">
        <v>1862</v>
      </c>
      <c r="C1071" s="20">
        <v>45504</v>
      </c>
      <c r="D1071" s="21" t="s">
        <v>1863</v>
      </c>
      <c r="F1071" s="274">
        <f t="shared" si="32"/>
        <v>8.1547926465330173E-3</v>
      </c>
      <c r="G1071" s="274">
        <f t="shared" si="33"/>
        <v>3.7755350108564997E-3</v>
      </c>
    </row>
    <row r="1072" spans="1:7" ht="14.25" customHeight="1" x14ac:dyDescent="0.3">
      <c r="A1072" s="20">
        <v>45505</v>
      </c>
      <c r="B1072" s="21">
        <v>664</v>
      </c>
      <c r="C1072" s="20">
        <v>45505</v>
      </c>
      <c r="D1072" s="21" t="s">
        <v>1864</v>
      </c>
      <c r="F1072" s="274">
        <f t="shared" si="32"/>
        <v>-2.3457624708703686E-2</v>
      </c>
      <c r="G1072" s="274">
        <f t="shared" si="33"/>
        <v>2.3946791656728628E-3</v>
      </c>
    </row>
    <row r="1073" spans="1:7" ht="14.25" customHeight="1" x14ac:dyDescent="0.3">
      <c r="A1073" s="20">
        <v>45506</v>
      </c>
      <c r="B1073" s="21" t="s">
        <v>1865</v>
      </c>
      <c r="C1073" s="20">
        <v>45506</v>
      </c>
      <c r="D1073" s="21">
        <v>24717.69921875</v>
      </c>
      <c r="F1073" s="274">
        <f t="shared" si="32"/>
        <v>-1.686748826360248E-2</v>
      </c>
      <c r="G1073" s="274">
        <f t="shared" si="33"/>
        <v>-1.1722935491954641E-2</v>
      </c>
    </row>
    <row r="1074" spans="1:7" ht="14.25" customHeight="1" x14ac:dyDescent="0.3">
      <c r="A1074" s="20">
        <v>45509</v>
      </c>
      <c r="B1074" s="21" t="s">
        <v>1866</v>
      </c>
      <c r="C1074" s="20">
        <v>45509</v>
      </c>
      <c r="D1074" s="21" t="s">
        <v>1867</v>
      </c>
      <c r="F1074" s="274">
        <f t="shared" si="32"/>
        <v>-2.55054590843319E-2</v>
      </c>
      <c r="G1074" s="274">
        <f t="shared" si="33"/>
        <v>-2.6786457894622889E-2</v>
      </c>
    </row>
    <row r="1075" spans="1:7" ht="14.25" customHeight="1" x14ac:dyDescent="0.3">
      <c r="A1075" s="20">
        <v>45510</v>
      </c>
      <c r="B1075" s="21" t="s">
        <v>1868</v>
      </c>
      <c r="C1075" s="20">
        <v>45510</v>
      </c>
      <c r="D1075" s="21">
        <v>23992.55078125</v>
      </c>
      <c r="F1075" s="274">
        <f t="shared" si="32"/>
        <v>-1.6662793703195178E-2</v>
      </c>
      <c r="G1075" s="274">
        <f t="shared" si="33"/>
        <v>-2.6209626510589443E-3</v>
      </c>
    </row>
    <row r="1076" spans="1:7" ht="14.25" customHeight="1" x14ac:dyDescent="0.3">
      <c r="A1076" s="20">
        <v>45511</v>
      </c>
      <c r="B1076" s="21" t="s">
        <v>1869</v>
      </c>
      <c r="C1076" s="20">
        <v>45511</v>
      </c>
      <c r="D1076" s="21">
        <v>24297.5</v>
      </c>
      <c r="F1076" s="274">
        <f t="shared" si="32"/>
        <v>2.8375030527335796E-2</v>
      </c>
      <c r="G1076" s="274">
        <f t="shared" si="33"/>
        <v>1.2710162480444369E-2</v>
      </c>
    </row>
    <row r="1077" spans="1:7" ht="14.25" customHeight="1" x14ac:dyDescent="0.3">
      <c r="A1077" s="20">
        <v>45512</v>
      </c>
      <c r="B1077" s="21">
        <v>638.5</v>
      </c>
      <c r="C1077" s="20">
        <v>45512</v>
      </c>
      <c r="D1077" s="21">
        <v>24117</v>
      </c>
      <c r="F1077" s="274">
        <f t="shared" si="32"/>
        <v>-7.4615076699064472E-3</v>
      </c>
      <c r="G1077" s="274">
        <f t="shared" si="33"/>
        <v>-7.428747813561066E-3</v>
      </c>
    </row>
    <row r="1078" spans="1:7" ht="14.25" customHeight="1" x14ac:dyDescent="0.3">
      <c r="A1078" s="20">
        <v>45513</v>
      </c>
      <c r="B1078" s="21">
        <v>632</v>
      </c>
      <c r="C1078" s="20">
        <v>45513</v>
      </c>
      <c r="D1078" s="21">
        <v>24367.5</v>
      </c>
      <c r="F1078" s="274">
        <f t="shared" si="32"/>
        <v>-1.0180109631949883E-2</v>
      </c>
      <c r="G1078" s="274">
        <f t="shared" si="33"/>
        <v>1.0386864037815649E-2</v>
      </c>
    </row>
    <row r="1079" spans="1:7" ht="14.25" customHeight="1" x14ac:dyDescent="0.3">
      <c r="A1079" s="20">
        <v>45516</v>
      </c>
      <c r="B1079" s="21" t="s">
        <v>1870</v>
      </c>
      <c r="C1079" s="20">
        <v>45516</v>
      </c>
      <c r="D1079" s="21">
        <v>24347</v>
      </c>
      <c r="F1079" s="274">
        <f t="shared" si="32"/>
        <v>5.4588800744161748E-3</v>
      </c>
      <c r="G1079" s="274">
        <f t="shared" si="33"/>
        <v>-8.412844977941931E-4</v>
      </c>
    </row>
    <row r="1080" spans="1:7" ht="14.25" customHeight="1" x14ac:dyDescent="0.3">
      <c r="A1080" s="20">
        <v>45517</v>
      </c>
      <c r="B1080" s="21" t="s">
        <v>1871</v>
      </c>
      <c r="C1080" s="20">
        <v>45517</v>
      </c>
      <c r="D1080" s="21">
        <v>24139</v>
      </c>
      <c r="F1080" s="274">
        <f t="shared" si="32"/>
        <v>-1.7389232167280007E-2</v>
      </c>
      <c r="G1080" s="274">
        <f t="shared" si="33"/>
        <v>-8.5431469996303452E-3</v>
      </c>
    </row>
    <row r="1081" spans="1:7" ht="14.25" customHeight="1" x14ac:dyDescent="0.3">
      <c r="A1081" s="20">
        <v>45518</v>
      </c>
      <c r="B1081" s="21" t="s">
        <v>1872</v>
      </c>
      <c r="C1081" s="20">
        <v>45518</v>
      </c>
      <c r="D1081" s="21">
        <v>24143.75</v>
      </c>
      <c r="F1081" s="274">
        <f t="shared" si="32"/>
        <v>-1.9218644460450109E-3</v>
      </c>
      <c r="G1081" s="274">
        <f t="shared" si="33"/>
        <v>1.9677699987571978E-4</v>
      </c>
    </row>
    <row r="1082" spans="1:7" ht="14.25" customHeight="1" x14ac:dyDescent="0.3">
      <c r="A1082" s="20">
        <v>45520</v>
      </c>
      <c r="B1082" s="21">
        <v>640.5</v>
      </c>
      <c r="C1082" s="20">
        <v>45520</v>
      </c>
      <c r="D1082" s="21" t="s">
        <v>1873</v>
      </c>
      <c r="F1082" s="274">
        <f t="shared" si="32"/>
        <v>2.7759928520703896E-2</v>
      </c>
      <c r="G1082" s="274">
        <f t="shared" si="33"/>
        <v>1.6459762490292518E-2</v>
      </c>
    </row>
    <row r="1083" spans="1:7" ht="14.25" customHeight="1" x14ac:dyDescent="0.3">
      <c r="A1083" s="20">
        <v>45523</v>
      </c>
      <c r="B1083" s="21" t="s">
        <v>1874</v>
      </c>
      <c r="C1083" s="20">
        <v>45523</v>
      </c>
      <c r="D1083" s="21" t="s">
        <v>1875</v>
      </c>
      <c r="F1083" s="274">
        <f t="shared" si="32"/>
        <v>-1.0616686640076468E-2</v>
      </c>
      <c r="G1083" s="274">
        <f t="shared" si="33"/>
        <v>1.2835584110202657E-3</v>
      </c>
    </row>
    <row r="1084" spans="1:7" ht="14.25" customHeight="1" x14ac:dyDescent="0.3">
      <c r="A1084" s="20">
        <v>45524</v>
      </c>
      <c r="B1084" s="21" t="s">
        <v>1876</v>
      </c>
      <c r="C1084" s="20">
        <v>45524</v>
      </c>
      <c r="D1084" s="21" t="s">
        <v>1877</v>
      </c>
      <c r="F1084" s="274">
        <f t="shared" si="32"/>
        <v>-1.1440744611555113E-2</v>
      </c>
      <c r="G1084" s="274">
        <f t="shared" si="33"/>
        <v>5.1357593399101852E-3</v>
      </c>
    </row>
    <row r="1085" spans="1:7" ht="14.25" customHeight="1" x14ac:dyDescent="0.3">
      <c r="A1085" s="20">
        <v>45525</v>
      </c>
      <c r="B1085" s="21">
        <v>629.25</v>
      </c>
      <c r="C1085" s="20">
        <v>45525</v>
      </c>
      <c r="D1085" s="21">
        <v>24770.19921875</v>
      </c>
      <c r="F1085" s="274">
        <f t="shared" si="32"/>
        <v>4.4696108842019293E-3</v>
      </c>
      <c r="G1085" s="274">
        <f t="shared" si="33"/>
        <v>2.8887826964992596E-3</v>
      </c>
    </row>
    <row r="1086" spans="1:7" ht="14.25" customHeight="1" x14ac:dyDescent="0.3">
      <c r="A1086" s="20">
        <v>45526</v>
      </c>
      <c r="B1086" s="21" t="s">
        <v>1878</v>
      </c>
      <c r="C1086" s="20">
        <v>45526</v>
      </c>
      <c r="D1086" s="21">
        <v>24811.5</v>
      </c>
      <c r="F1086" s="274">
        <f t="shared" si="32"/>
        <v>4.0524239856463314E-3</v>
      </c>
      <c r="G1086" s="274">
        <f t="shared" si="33"/>
        <v>1.667357653657345E-3</v>
      </c>
    </row>
    <row r="1087" spans="1:7" ht="14.25" customHeight="1" x14ac:dyDescent="0.3">
      <c r="A1087" s="20">
        <v>45527</v>
      </c>
      <c r="B1087" s="21" t="s">
        <v>1879</v>
      </c>
      <c r="C1087" s="20">
        <v>45527</v>
      </c>
      <c r="D1087" s="21" t="s">
        <v>1880</v>
      </c>
      <c r="F1087" s="274">
        <f t="shared" si="32"/>
        <v>2.8489835830115937E-3</v>
      </c>
      <c r="G1087" s="274">
        <f t="shared" si="33"/>
        <v>4.6955607782681415E-4</v>
      </c>
    </row>
    <row r="1088" spans="1:7" ht="14.25" customHeight="1" x14ac:dyDescent="0.3">
      <c r="A1088" s="20">
        <v>45530</v>
      </c>
      <c r="B1088" s="21" t="s">
        <v>1881</v>
      </c>
      <c r="C1088" s="20">
        <v>45530</v>
      </c>
      <c r="D1088" s="21" t="s">
        <v>1882</v>
      </c>
      <c r="F1088" s="274">
        <f t="shared" si="32"/>
        <v>-9.3907061255370742E-3</v>
      </c>
      <c r="G1088" s="274">
        <f t="shared" si="33"/>
        <v>7.551387144670978E-3</v>
      </c>
    </row>
    <row r="1089" spans="1:7" ht="14.25" customHeight="1" x14ac:dyDescent="0.3">
      <c r="A1089" s="20">
        <v>45531</v>
      </c>
      <c r="B1089" s="21" t="s">
        <v>1883</v>
      </c>
      <c r="C1089" s="20">
        <v>45531</v>
      </c>
      <c r="D1089" s="21">
        <v>25017.75</v>
      </c>
      <c r="F1089" s="274">
        <f t="shared" si="32"/>
        <v>-5.0984021071589537E-3</v>
      </c>
      <c r="G1089" s="274">
        <f t="shared" si="33"/>
        <v>2.8589441023715959E-4</v>
      </c>
    </row>
    <row r="1090" spans="1:7" ht="14.25" customHeight="1" x14ac:dyDescent="0.3">
      <c r="A1090" s="20">
        <v>45532</v>
      </c>
      <c r="B1090" s="21" t="s">
        <v>1884</v>
      </c>
      <c r="C1090" s="20">
        <v>45532</v>
      </c>
      <c r="D1090" s="21" t="s">
        <v>1885</v>
      </c>
      <c r="F1090" s="274">
        <f t="shared" si="32"/>
        <v>-1.2891324582599372E-2</v>
      </c>
      <c r="G1090" s="274">
        <f t="shared" si="33"/>
        <v>1.3830024432652816E-3</v>
      </c>
    </row>
    <row r="1091" spans="1:7" ht="14.25" customHeight="1" x14ac:dyDescent="0.3">
      <c r="A1091" s="20">
        <v>45533</v>
      </c>
      <c r="B1091" s="21">
        <v>612.5</v>
      </c>
      <c r="C1091" s="20">
        <v>45533</v>
      </c>
      <c r="D1091" s="21">
        <v>25151.94921875</v>
      </c>
      <c r="F1091" s="274">
        <f t="shared" ref="F1091:F1154" si="34">(B1091-B1090)/B1090</f>
        <v>-6.327099707319663E-3</v>
      </c>
      <c r="G1091" s="274">
        <f t="shared" ref="G1091:G1154" si="35">(D1091-D1090)/D1090</f>
        <v>3.9756594063228385E-3</v>
      </c>
    </row>
    <row r="1092" spans="1:7" ht="14.25" customHeight="1" x14ac:dyDescent="0.3">
      <c r="A1092" s="20">
        <v>45534</v>
      </c>
      <c r="B1092" s="21" t="s">
        <v>1886</v>
      </c>
      <c r="C1092" s="20">
        <v>45534</v>
      </c>
      <c r="D1092" s="21" t="s">
        <v>1887</v>
      </c>
      <c r="F1092" s="274">
        <f t="shared" si="34"/>
        <v>7.4285514987231906E-3</v>
      </c>
      <c r="G1092" s="274">
        <f t="shared" si="35"/>
        <v>3.3377600735777966E-3</v>
      </c>
    </row>
    <row r="1093" spans="1:7" ht="14.25" customHeight="1" x14ac:dyDescent="0.3">
      <c r="A1093" s="20">
        <v>45537</v>
      </c>
      <c r="B1093" s="21" t="s">
        <v>1888</v>
      </c>
      <c r="C1093" s="20">
        <v>45537</v>
      </c>
      <c r="D1093" s="21">
        <v>25278.69921875</v>
      </c>
      <c r="F1093" s="274">
        <f t="shared" si="34"/>
        <v>5.4291170689044601E-3</v>
      </c>
      <c r="G1093" s="274">
        <f t="shared" si="35"/>
        <v>1.6959501132323192E-3</v>
      </c>
    </row>
    <row r="1094" spans="1:7" ht="14.25" customHeight="1" x14ac:dyDescent="0.3">
      <c r="A1094" s="20">
        <v>45538</v>
      </c>
      <c r="B1094" s="21" t="s">
        <v>1889</v>
      </c>
      <c r="C1094" s="20">
        <v>45538</v>
      </c>
      <c r="D1094" s="21" t="s">
        <v>1890</v>
      </c>
      <c r="F1094" s="274">
        <f t="shared" si="34"/>
        <v>-4.1909034796536321E-3</v>
      </c>
      <c r="G1094" s="274">
        <f t="shared" si="35"/>
        <v>4.5508299894905958E-5</v>
      </c>
    </row>
    <row r="1095" spans="1:7" ht="14.25" customHeight="1" x14ac:dyDescent="0.3">
      <c r="A1095" s="20">
        <v>45539</v>
      </c>
      <c r="B1095" s="21" t="s">
        <v>1891</v>
      </c>
      <c r="C1095" s="20">
        <v>45539</v>
      </c>
      <c r="D1095" s="21">
        <v>25198.69921875</v>
      </c>
      <c r="F1095" s="274">
        <f t="shared" si="34"/>
        <v>1.5053395883338259E-2</v>
      </c>
      <c r="G1095" s="274">
        <f t="shared" si="35"/>
        <v>-3.2100820170585776E-3</v>
      </c>
    </row>
    <row r="1096" spans="1:7" ht="14.25" customHeight="1" x14ac:dyDescent="0.3">
      <c r="A1096" s="20">
        <v>45540</v>
      </c>
      <c r="B1096" s="21" t="s">
        <v>1892</v>
      </c>
      <c r="C1096" s="20">
        <v>45540</v>
      </c>
      <c r="D1096" s="21" t="s">
        <v>1893</v>
      </c>
      <c r="F1096" s="274">
        <f t="shared" si="34"/>
        <v>7.5745498085242162E-3</v>
      </c>
      <c r="G1096" s="274">
        <f t="shared" si="35"/>
        <v>-2.1270784221717794E-3</v>
      </c>
    </row>
    <row r="1097" spans="1:7" ht="14.25" customHeight="1" x14ac:dyDescent="0.3">
      <c r="A1097" s="20">
        <v>45541</v>
      </c>
      <c r="B1097" s="21">
        <v>623.25</v>
      </c>
      <c r="C1097" s="20">
        <v>45541</v>
      </c>
      <c r="D1097" s="21" t="s">
        <v>1894</v>
      </c>
      <c r="F1097" s="274">
        <f t="shared" si="34"/>
        <v>-1.3610787241009198E-2</v>
      </c>
      <c r="G1097" s="274">
        <f t="shared" si="35"/>
        <v>-1.1650350298901897E-2</v>
      </c>
    </row>
    <row r="1098" spans="1:7" ht="14.25" customHeight="1" x14ac:dyDescent="0.3">
      <c r="A1098" s="20">
        <v>45544</v>
      </c>
      <c r="B1098" s="21" t="s">
        <v>1895</v>
      </c>
      <c r="C1098" s="20">
        <v>45544</v>
      </c>
      <c r="D1098" s="21" t="s">
        <v>1896</v>
      </c>
      <c r="F1098" s="274">
        <f t="shared" si="34"/>
        <v>1.1071037968811946E-2</v>
      </c>
      <c r="G1098" s="274">
        <f t="shared" si="35"/>
        <v>3.3900486950127948E-3</v>
      </c>
    </row>
    <row r="1099" spans="1:7" ht="14.25" customHeight="1" x14ac:dyDescent="0.3">
      <c r="A1099" s="20">
        <v>45545</v>
      </c>
      <c r="B1099" s="21" t="s">
        <v>1897</v>
      </c>
      <c r="C1099" s="20">
        <v>45545</v>
      </c>
      <c r="D1099" s="21" t="s">
        <v>1898</v>
      </c>
      <c r="F1099" s="274">
        <f t="shared" si="34"/>
        <v>-4.9195215440586953E-3</v>
      </c>
      <c r="G1099" s="274">
        <f t="shared" si="35"/>
        <v>4.1986500501236075E-3</v>
      </c>
    </row>
    <row r="1100" spans="1:7" ht="14.25" customHeight="1" x14ac:dyDescent="0.3">
      <c r="A1100" s="20">
        <v>45546</v>
      </c>
      <c r="B1100" s="21">
        <v>623</v>
      </c>
      <c r="C1100" s="20">
        <v>45546</v>
      </c>
      <c r="D1100" s="21">
        <v>24918.44921875</v>
      </c>
      <c r="F1100" s="274">
        <f t="shared" si="34"/>
        <v>-6.4587957448539682E-3</v>
      </c>
      <c r="G1100" s="274">
        <f t="shared" si="35"/>
        <v>-4.8979634496195048E-3</v>
      </c>
    </row>
    <row r="1101" spans="1:7" ht="14.25" customHeight="1" x14ac:dyDescent="0.3">
      <c r="A1101" s="20">
        <v>45547</v>
      </c>
      <c r="B1101" s="21" t="s">
        <v>1899</v>
      </c>
      <c r="C1101" s="20">
        <v>45547</v>
      </c>
      <c r="D1101" s="21" t="s">
        <v>1900</v>
      </c>
      <c r="F1101" s="274">
        <f t="shared" si="34"/>
        <v>8.2664918363756744E-3</v>
      </c>
      <c r="G1101" s="274">
        <f t="shared" si="35"/>
        <v>1.8879632827271085E-2</v>
      </c>
    </row>
    <row r="1102" spans="1:7" ht="14.25" customHeight="1" x14ac:dyDescent="0.3">
      <c r="A1102" s="20">
        <v>45548</v>
      </c>
      <c r="B1102" s="21" t="s">
        <v>1901</v>
      </c>
      <c r="C1102" s="20">
        <v>45548</v>
      </c>
      <c r="D1102" s="21">
        <v>25356.5</v>
      </c>
      <c r="F1102" s="274">
        <f t="shared" si="34"/>
        <v>2.3082880132457425E-3</v>
      </c>
      <c r="G1102" s="274">
        <f t="shared" si="35"/>
        <v>-1.2761636040355664E-3</v>
      </c>
    </row>
    <row r="1103" spans="1:7" ht="14.25" customHeight="1" x14ac:dyDescent="0.3">
      <c r="A1103" s="20">
        <v>45551</v>
      </c>
      <c r="B1103" s="21" t="s">
        <v>1902</v>
      </c>
      <c r="C1103" s="20">
        <v>45551</v>
      </c>
      <c r="D1103" s="21">
        <v>25383.75</v>
      </c>
      <c r="F1103" s="274">
        <f t="shared" si="34"/>
        <v>-3.6530938407813756E-3</v>
      </c>
      <c r="G1103" s="274">
        <f t="shared" si="35"/>
        <v>1.0746751326089958E-3</v>
      </c>
    </row>
    <row r="1104" spans="1:7" ht="14.25" customHeight="1" x14ac:dyDescent="0.3">
      <c r="A1104" s="20">
        <v>45552</v>
      </c>
      <c r="B1104" s="21">
        <v>623</v>
      </c>
      <c r="C1104" s="20">
        <v>45552</v>
      </c>
      <c r="D1104" s="21">
        <v>25418.55078125</v>
      </c>
      <c r="F1104" s="274">
        <f t="shared" si="34"/>
        <v>-6.8547551038485085E-3</v>
      </c>
      <c r="G1104" s="274">
        <f t="shared" si="35"/>
        <v>1.3709866056039789E-3</v>
      </c>
    </row>
    <row r="1105" spans="1:7" ht="14.25" customHeight="1" x14ac:dyDescent="0.3">
      <c r="A1105" s="20">
        <v>45553</v>
      </c>
      <c r="B1105" s="21" t="s">
        <v>1903</v>
      </c>
      <c r="C1105" s="20">
        <v>45553</v>
      </c>
      <c r="D1105" s="21">
        <v>25377.55078125</v>
      </c>
      <c r="F1105" s="274">
        <f t="shared" si="34"/>
        <v>-4.6549348540336349E-3</v>
      </c>
      <c r="G1105" s="274">
        <f t="shared" si="35"/>
        <v>-1.6129951842196943E-3</v>
      </c>
    </row>
    <row r="1106" spans="1:7" ht="14.25" customHeight="1" x14ac:dyDescent="0.3">
      <c r="A1106" s="20">
        <v>45554</v>
      </c>
      <c r="B1106" s="21" t="s">
        <v>1904</v>
      </c>
      <c r="C1106" s="20">
        <v>45554</v>
      </c>
      <c r="D1106" s="21">
        <v>25415.80078125</v>
      </c>
      <c r="F1106" s="274">
        <f t="shared" si="34"/>
        <v>-1.8867846528811148E-2</v>
      </c>
      <c r="G1106" s="274">
        <f t="shared" si="35"/>
        <v>1.5072376499098844E-3</v>
      </c>
    </row>
    <row r="1107" spans="1:7" ht="14.25" customHeight="1" x14ac:dyDescent="0.3">
      <c r="A1107" s="20">
        <v>45555</v>
      </c>
      <c r="B1107" s="21" t="s">
        <v>1905</v>
      </c>
      <c r="C1107" s="20">
        <v>45555</v>
      </c>
      <c r="D1107" s="21">
        <v>25790.94921875</v>
      </c>
      <c r="F1107" s="274">
        <f t="shared" si="34"/>
        <v>1.3395731511935715E-2</v>
      </c>
      <c r="G1107" s="274">
        <f t="shared" si="35"/>
        <v>1.4760441377741608E-2</v>
      </c>
    </row>
    <row r="1108" spans="1:7" ht="14.25" customHeight="1" x14ac:dyDescent="0.3">
      <c r="A1108" s="20">
        <v>45558</v>
      </c>
      <c r="B1108" s="21" t="s">
        <v>1906</v>
      </c>
      <c r="C1108" s="20">
        <v>45558</v>
      </c>
      <c r="D1108" s="21">
        <v>25939.05078125</v>
      </c>
      <c r="F1108" s="274">
        <f t="shared" si="34"/>
        <v>8.9206067778673792E-3</v>
      </c>
      <c r="G1108" s="274">
        <f t="shared" si="35"/>
        <v>5.7423850996662926E-3</v>
      </c>
    </row>
    <row r="1109" spans="1:7" ht="14.25" customHeight="1" x14ac:dyDescent="0.3">
      <c r="A1109" s="20">
        <v>45559</v>
      </c>
      <c r="B1109" s="21" t="s">
        <v>1907</v>
      </c>
      <c r="C1109" s="20">
        <v>45559</v>
      </c>
      <c r="D1109" s="21" t="s">
        <v>1908</v>
      </c>
      <c r="F1109" s="274">
        <f t="shared" si="34"/>
        <v>-6.0284544226180152E-3</v>
      </c>
      <c r="G1109" s="274">
        <f t="shared" si="35"/>
        <v>5.2030021699003842E-5</v>
      </c>
    </row>
    <row r="1110" spans="1:7" ht="14.25" customHeight="1" x14ac:dyDescent="0.3">
      <c r="A1110" s="20">
        <v>45560</v>
      </c>
      <c r="B1110" s="21" t="s">
        <v>1909</v>
      </c>
      <c r="C1110" s="20">
        <v>45560</v>
      </c>
      <c r="D1110" s="21" t="s">
        <v>1910</v>
      </c>
      <c r="F1110" s="274">
        <f t="shared" si="34"/>
        <v>-3.6390102610731278E-3</v>
      </c>
      <c r="G1110" s="274">
        <f t="shared" si="35"/>
        <v>2.4575565157058869E-3</v>
      </c>
    </row>
    <row r="1111" spans="1:7" ht="14.25" customHeight="1" x14ac:dyDescent="0.3">
      <c r="A1111" s="20">
        <v>45561</v>
      </c>
      <c r="B1111" s="21" t="s">
        <v>1911</v>
      </c>
      <c r="C1111" s="20">
        <v>45561</v>
      </c>
      <c r="D1111" s="21">
        <v>26216.05078125</v>
      </c>
      <c r="F1111" s="274">
        <f t="shared" si="34"/>
        <v>1.4771588022743835E-2</v>
      </c>
      <c r="G1111" s="274">
        <f t="shared" si="35"/>
        <v>8.1487142414540942E-3</v>
      </c>
    </row>
    <row r="1112" spans="1:7" ht="14.25" customHeight="1" x14ac:dyDescent="0.3">
      <c r="A1112" s="20">
        <v>45562</v>
      </c>
      <c r="B1112" s="21">
        <v>634</v>
      </c>
      <c r="C1112" s="20">
        <v>45562</v>
      </c>
      <c r="D1112" s="21">
        <v>26178.94921875</v>
      </c>
      <c r="F1112" s="274">
        <f t="shared" si="34"/>
        <v>1.4156562809435738E-2</v>
      </c>
      <c r="G1112" s="274">
        <f t="shared" si="35"/>
        <v>-1.4152231703234049E-3</v>
      </c>
    </row>
    <row r="1113" spans="1:7" ht="14.25" customHeight="1" x14ac:dyDescent="0.3">
      <c r="A1113" s="20">
        <v>45565</v>
      </c>
      <c r="B1113" s="21" t="s">
        <v>1912</v>
      </c>
      <c r="C1113" s="20">
        <v>45565</v>
      </c>
      <c r="D1113" s="21" t="s">
        <v>1913</v>
      </c>
      <c r="F1113" s="274">
        <f t="shared" si="34"/>
        <v>-2.2870855000505456E-3</v>
      </c>
      <c r="G1113" s="274">
        <f t="shared" si="35"/>
        <v>-1.406090085202343E-2</v>
      </c>
    </row>
    <row r="1114" spans="1:7" ht="14.25" customHeight="1" x14ac:dyDescent="0.3">
      <c r="A1114" s="20">
        <v>45566</v>
      </c>
      <c r="B1114" s="21" t="s">
        <v>1914</v>
      </c>
      <c r="C1114" s="20">
        <v>45566</v>
      </c>
      <c r="D1114" s="21" t="s">
        <v>1915</v>
      </c>
      <c r="F1114" s="274">
        <f t="shared" si="34"/>
        <v>-1.5805167633589984E-4</v>
      </c>
      <c r="G1114" s="274">
        <f t="shared" si="35"/>
        <v>-5.4044012347944466E-4</v>
      </c>
    </row>
    <row r="1115" spans="1:7" ht="14.25" customHeight="1" x14ac:dyDescent="0.3">
      <c r="A1115" s="20">
        <v>45568</v>
      </c>
      <c r="B1115" s="21" t="s">
        <v>1916</v>
      </c>
      <c r="C1115" s="20">
        <v>45568</v>
      </c>
      <c r="D1115" s="21" t="s">
        <v>1917</v>
      </c>
      <c r="F1115" s="274">
        <f t="shared" si="34"/>
        <v>-2.3717289446568601E-2</v>
      </c>
      <c r="G1115" s="274">
        <f t="shared" si="35"/>
        <v>-2.1196375260987402E-2</v>
      </c>
    </row>
    <row r="1116" spans="1:7" ht="14.25" customHeight="1" x14ac:dyDescent="0.3">
      <c r="A1116" s="20">
        <v>45569</v>
      </c>
      <c r="B1116" s="21" t="s">
        <v>1918</v>
      </c>
      <c r="C1116" s="20">
        <v>45569</v>
      </c>
      <c r="D1116" s="21" t="s">
        <v>1919</v>
      </c>
      <c r="F1116" s="274">
        <f t="shared" si="34"/>
        <v>-1.0932059059927146E-2</v>
      </c>
      <c r="G1116" s="274">
        <f t="shared" si="35"/>
        <v>-9.3266958801446562E-3</v>
      </c>
    </row>
    <row r="1117" spans="1:7" ht="14.25" customHeight="1" x14ac:dyDescent="0.3">
      <c r="A1117" s="20">
        <v>45572</v>
      </c>
      <c r="B1117" s="21" t="s">
        <v>1920</v>
      </c>
      <c r="C1117" s="20">
        <v>45572</v>
      </c>
      <c r="D1117" s="21">
        <v>24795.75</v>
      </c>
      <c r="F1117" s="274">
        <f t="shared" si="34"/>
        <v>-3.3322476198338752E-2</v>
      </c>
      <c r="G1117" s="274">
        <f t="shared" si="35"/>
        <v>-8.7488751686027114E-3</v>
      </c>
    </row>
    <row r="1118" spans="1:7" ht="14.25" customHeight="1" x14ac:dyDescent="0.3">
      <c r="A1118" s="20">
        <v>45573</v>
      </c>
      <c r="B1118" s="21" t="s">
        <v>1921</v>
      </c>
      <c r="C1118" s="20">
        <v>45573</v>
      </c>
      <c r="D1118" s="21" t="s">
        <v>1922</v>
      </c>
      <c r="F1118" s="274">
        <f t="shared" si="34"/>
        <v>2.7187345628658537E-2</v>
      </c>
      <c r="G1118" s="274">
        <f t="shared" si="35"/>
        <v>8.7676473034693451E-3</v>
      </c>
    </row>
    <row r="1119" spans="1:7" ht="14.25" customHeight="1" x14ac:dyDescent="0.3">
      <c r="A1119" s="20">
        <v>45574</v>
      </c>
      <c r="B1119" s="21" t="s">
        <v>1923</v>
      </c>
      <c r="C1119" s="20">
        <v>45574</v>
      </c>
      <c r="D1119" s="21">
        <v>24981.94921875</v>
      </c>
      <c r="F1119" s="274">
        <f t="shared" si="34"/>
        <v>2.5560483683467247E-3</v>
      </c>
      <c r="G1119" s="274">
        <f t="shared" si="35"/>
        <v>-1.2473907279865989E-3</v>
      </c>
    </row>
    <row r="1120" spans="1:7" ht="14.25" customHeight="1" x14ac:dyDescent="0.3">
      <c r="A1120" s="20">
        <v>45575</v>
      </c>
      <c r="B1120" s="21">
        <v>585.25</v>
      </c>
      <c r="C1120" s="20">
        <v>45575</v>
      </c>
      <c r="D1120" s="21">
        <v>24998.44921875</v>
      </c>
      <c r="F1120" s="274">
        <f t="shared" si="34"/>
        <v>-3.733861625337178E-2</v>
      </c>
      <c r="G1120" s="274">
        <f t="shared" si="35"/>
        <v>6.6047688495083712E-4</v>
      </c>
    </row>
    <row r="1121" spans="1:7" ht="14.25" customHeight="1" x14ac:dyDescent="0.3">
      <c r="A1121" s="20">
        <v>45576</v>
      </c>
      <c r="B1121" s="21" t="s">
        <v>1924</v>
      </c>
      <c r="C1121" s="20">
        <v>45576</v>
      </c>
      <c r="D1121" s="21">
        <v>24964.25</v>
      </c>
      <c r="F1121" s="274">
        <f t="shared" si="34"/>
        <v>-8.541271758902584E-5</v>
      </c>
      <c r="G1121" s="274">
        <f t="shared" si="35"/>
        <v>-1.3680536120756241E-3</v>
      </c>
    </row>
    <row r="1122" spans="1:7" ht="14.25" customHeight="1" x14ac:dyDescent="0.3">
      <c r="A1122" s="20">
        <v>45579</v>
      </c>
      <c r="B1122" s="21" t="s">
        <v>1925</v>
      </c>
      <c r="C1122" s="20">
        <v>45579</v>
      </c>
      <c r="D1122" s="21">
        <v>25127.94921875</v>
      </c>
      <c r="F1122" s="274">
        <f t="shared" si="34"/>
        <v>6.3226454713778083E-3</v>
      </c>
      <c r="G1122" s="274">
        <f t="shared" si="35"/>
        <v>6.5573457544288337E-3</v>
      </c>
    </row>
    <row r="1123" spans="1:7" ht="14.25" customHeight="1" x14ac:dyDescent="0.3">
      <c r="A1123" s="20">
        <v>45580</v>
      </c>
      <c r="B1123" s="21" t="s">
        <v>1920</v>
      </c>
      <c r="C1123" s="20">
        <v>45580</v>
      </c>
      <c r="D1123" s="21" t="s">
        <v>1926</v>
      </c>
      <c r="F1123" s="274">
        <f t="shared" si="34"/>
        <v>2.4621346778133661E-3</v>
      </c>
      <c r="G1123" s="274">
        <f t="shared" si="35"/>
        <v>-2.8096049048968912E-3</v>
      </c>
    </row>
    <row r="1124" spans="1:7" ht="14.25" customHeight="1" x14ac:dyDescent="0.3">
      <c r="A1124" s="20">
        <v>45581</v>
      </c>
      <c r="B1124" s="21" t="s">
        <v>1927</v>
      </c>
      <c r="C1124" s="20">
        <v>45581</v>
      </c>
      <c r="D1124" s="21">
        <v>24971.30078125</v>
      </c>
      <c r="F1124" s="274">
        <f t="shared" si="34"/>
        <v>-2.2020629232326482E-3</v>
      </c>
      <c r="G1124" s="274">
        <f t="shared" si="35"/>
        <v>-3.4340754096676505E-3</v>
      </c>
    </row>
    <row r="1125" spans="1:7" ht="14.25" customHeight="1" x14ac:dyDescent="0.3">
      <c r="A1125" s="20">
        <v>45582</v>
      </c>
      <c r="B1125" s="21">
        <v>571.25</v>
      </c>
      <c r="C1125" s="20">
        <v>45582</v>
      </c>
      <c r="D1125" s="21" t="s">
        <v>1928</v>
      </c>
      <c r="F1125" s="274">
        <f t="shared" si="34"/>
        <v>-3.0218127768171815E-2</v>
      </c>
      <c r="G1125" s="274">
        <f t="shared" si="35"/>
        <v>-8.8682273228345102E-3</v>
      </c>
    </row>
    <row r="1126" spans="1:7" ht="14.25" customHeight="1" x14ac:dyDescent="0.3">
      <c r="A1126" s="20">
        <v>45583</v>
      </c>
      <c r="B1126" s="21" t="s">
        <v>1929</v>
      </c>
      <c r="C1126" s="20">
        <v>45583</v>
      </c>
      <c r="D1126" s="21">
        <v>24854.05078125</v>
      </c>
      <c r="F1126" s="274">
        <f t="shared" si="34"/>
        <v>4.7264983930521186E-3</v>
      </c>
      <c r="G1126" s="274">
        <f t="shared" si="35"/>
        <v>4.2101739412400158E-3</v>
      </c>
    </row>
    <row r="1127" spans="1:7" ht="14.25" customHeight="1" x14ac:dyDescent="0.3">
      <c r="A1127" s="20">
        <v>45586</v>
      </c>
      <c r="B1127" s="21" t="s">
        <v>1930</v>
      </c>
      <c r="C1127" s="20">
        <v>45586</v>
      </c>
      <c r="D1127" s="21" t="s">
        <v>1931</v>
      </c>
      <c r="F1127" s="274">
        <f t="shared" si="34"/>
        <v>-3.5717183541578547E-3</v>
      </c>
      <c r="G1127" s="274">
        <f t="shared" si="35"/>
        <v>-2.9351823779983047E-3</v>
      </c>
    </row>
    <row r="1128" spans="1:7" ht="14.25" customHeight="1" x14ac:dyDescent="0.3">
      <c r="A1128" s="20">
        <v>45587</v>
      </c>
      <c r="B1128" s="21">
        <v>558.5</v>
      </c>
      <c r="C1128" s="20">
        <v>45587</v>
      </c>
      <c r="D1128" s="21" t="s">
        <v>1932</v>
      </c>
      <c r="F1128" s="274">
        <f t="shared" si="34"/>
        <v>-2.3430711386646624E-2</v>
      </c>
      <c r="G1128" s="274">
        <f t="shared" si="35"/>
        <v>-1.2469180337869326E-2</v>
      </c>
    </row>
    <row r="1129" spans="1:7" ht="14.25" customHeight="1" x14ac:dyDescent="0.3">
      <c r="A1129" s="20">
        <v>45588</v>
      </c>
      <c r="B1129" s="21" t="s">
        <v>1933</v>
      </c>
      <c r="C1129" s="20">
        <v>45588</v>
      </c>
      <c r="D1129" s="21">
        <v>24435.5</v>
      </c>
      <c r="F1129" s="274">
        <f t="shared" si="34"/>
        <v>-4.7448959965317008E-3</v>
      </c>
      <c r="G1129" s="274">
        <f t="shared" si="35"/>
        <v>-1.4955647434917714E-3</v>
      </c>
    </row>
    <row r="1130" spans="1:7" ht="14.25" customHeight="1" x14ac:dyDescent="0.3">
      <c r="A1130" s="20">
        <v>45589</v>
      </c>
      <c r="B1130" s="21" t="s">
        <v>1934</v>
      </c>
      <c r="C1130" s="20">
        <v>45589</v>
      </c>
      <c r="D1130" s="21" t="s">
        <v>1935</v>
      </c>
      <c r="F1130" s="274">
        <f t="shared" si="34"/>
        <v>5.4871799263998492E-3</v>
      </c>
      <c r="G1130" s="274">
        <f t="shared" si="35"/>
        <v>-1.4773427748562542E-3</v>
      </c>
    </row>
    <row r="1131" spans="1:7" ht="14.25" customHeight="1" x14ac:dyDescent="0.3">
      <c r="A1131" s="20">
        <v>45590</v>
      </c>
      <c r="B1131" s="21" t="s">
        <v>1936</v>
      </c>
      <c r="C1131" s="20">
        <v>45590</v>
      </c>
      <c r="D1131" s="21">
        <v>24180.80078125</v>
      </c>
      <c r="F1131" s="274">
        <f t="shared" si="34"/>
        <v>-1.1093240179280674E-2</v>
      </c>
      <c r="G1131" s="274">
        <f t="shared" si="35"/>
        <v>-8.9592205494932031E-3</v>
      </c>
    </row>
    <row r="1132" spans="1:7" ht="14.25" customHeight="1" x14ac:dyDescent="0.3">
      <c r="A1132" s="20">
        <v>45593</v>
      </c>
      <c r="B1132" s="21" t="s">
        <v>1937</v>
      </c>
      <c r="C1132" s="20">
        <v>45593</v>
      </c>
      <c r="D1132" s="21" t="s">
        <v>1938</v>
      </c>
      <c r="F1132" s="274">
        <f t="shared" si="34"/>
        <v>3.0215328095153926E-2</v>
      </c>
      <c r="G1132" s="274">
        <f t="shared" si="35"/>
        <v>6.5485676346080995E-3</v>
      </c>
    </row>
    <row r="1133" spans="1:7" ht="14.25" customHeight="1" x14ac:dyDescent="0.3">
      <c r="A1133" s="20">
        <v>45594</v>
      </c>
      <c r="B1133" s="21">
        <v>575</v>
      </c>
      <c r="C1133" s="20">
        <v>45594</v>
      </c>
      <c r="D1133" s="21" t="s">
        <v>1939</v>
      </c>
      <c r="F1133" s="274">
        <f t="shared" si="34"/>
        <v>9.8348706459937003E-3</v>
      </c>
      <c r="G1133" s="274">
        <f t="shared" si="35"/>
        <v>5.2466588480092318E-3</v>
      </c>
    </row>
    <row r="1134" spans="1:7" ht="14.25" customHeight="1" x14ac:dyDescent="0.3">
      <c r="A1134" s="20">
        <v>45595</v>
      </c>
      <c r="B1134" s="21" t="s">
        <v>1940</v>
      </c>
      <c r="C1134" s="20">
        <v>45595</v>
      </c>
      <c r="D1134" s="21" t="s">
        <v>1941</v>
      </c>
      <c r="F1134" s="274">
        <f t="shared" si="34"/>
        <v>8.1739342730974308E-3</v>
      </c>
      <c r="G1134" s="274">
        <f t="shared" si="35"/>
        <v>-5.149825253829181E-3</v>
      </c>
    </row>
    <row r="1135" spans="1:7" ht="14.25" customHeight="1" x14ac:dyDescent="0.3">
      <c r="A1135" s="20">
        <v>45596</v>
      </c>
      <c r="B1135" s="21" t="s">
        <v>1942</v>
      </c>
      <c r="C1135" s="20">
        <v>45596</v>
      </c>
      <c r="D1135" s="21" t="s">
        <v>1943</v>
      </c>
      <c r="F1135" s="274">
        <f t="shared" si="34"/>
        <v>1.4662335139530335E-3</v>
      </c>
      <c r="G1135" s="274">
        <f t="shared" si="35"/>
        <v>-5.566773640794013E-3</v>
      </c>
    </row>
    <row r="1136" spans="1:7" ht="14.25" customHeight="1" x14ac:dyDescent="0.3">
      <c r="A1136" s="20">
        <v>45597</v>
      </c>
      <c r="B1136" s="21" t="s">
        <v>1746</v>
      </c>
      <c r="C1136" s="20">
        <v>45597</v>
      </c>
      <c r="D1136" s="21" t="s">
        <v>1944</v>
      </c>
      <c r="F1136" s="274">
        <f t="shared" si="34"/>
        <v>3.2728007131414202E-3</v>
      </c>
      <c r="G1136" s="274">
        <f t="shared" si="35"/>
        <v>4.0900049616162618E-3</v>
      </c>
    </row>
    <row r="1137" spans="1:7" ht="14.25" customHeight="1" x14ac:dyDescent="0.3">
      <c r="A1137" s="20">
        <v>45600</v>
      </c>
      <c r="B1137" s="21" t="s">
        <v>1945</v>
      </c>
      <c r="C1137" s="20">
        <v>45600</v>
      </c>
      <c r="D1137" s="21" t="s">
        <v>1946</v>
      </c>
      <c r="F1137" s="274">
        <f t="shared" si="34"/>
        <v>-1.8971564188140621E-2</v>
      </c>
      <c r="G1137" s="274">
        <f t="shared" si="35"/>
        <v>-1.2713773664645128E-2</v>
      </c>
    </row>
    <row r="1138" spans="1:7" ht="14.25" customHeight="1" x14ac:dyDescent="0.3">
      <c r="A1138" s="20">
        <v>45601</v>
      </c>
      <c r="B1138" s="21">
        <v>572</v>
      </c>
      <c r="C1138" s="20">
        <v>45601</v>
      </c>
      <c r="D1138" s="21">
        <v>24213.30078125</v>
      </c>
      <c r="F1138" s="274">
        <f t="shared" si="34"/>
        <v>1.050009731016717E-3</v>
      </c>
      <c r="G1138" s="274">
        <f t="shared" si="35"/>
        <v>9.0830588186073483E-3</v>
      </c>
    </row>
    <row r="1139" spans="1:7" ht="14.25" customHeight="1" x14ac:dyDescent="0.3">
      <c r="A1139" s="20">
        <v>45602</v>
      </c>
      <c r="B1139" s="21" t="s">
        <v>1947</v>
      </c>
      <c r="C1139" s="20">
        <v>45602</v>
      </c>
      <c r="D1139" s="21">
        <v>24484.05078125</v>
      </c>
      <c r="F1139" s="274">
        <f t="shared" si="34"/>
        <v>1.861892380080777E-2</v>
      </c>
      <c r="G1139" s="274">
        <f t="shared" si="35"/>
        <v>1.1181870759630595E-2</v>
      </c>
    </row>
    <row r="1140" spans="1:7" ht="14.25" customHeight="1" x14ac:dyDescent="0.3">
      <c r="A1140" s="20">
        <v>45603</v>
      </c>
      <c r="B1140" s="21" t="s">
        <v>1948</v>
      </c>
      <c r="C1140" s="20">
        <v>45603</v>
      </c>
      <c r="D1140" s="21" t="s">
        <v>1949</v>
      </c>
      <c r="F1140" s="274">
        <f t="shared" si="34"/>
        <v>-2.0509760072606999E-2</v>
      </c>
      <c r="G1140" s="274">
        <f t="shared" si="35"/>
        <v>-1.1628025706147672E-2</v>
      </c>
    </row>
    <row r="1141" spans="1:7" ht="14.25" customHeight="1" x14ac:dyDescent="0.3">
      <c r="A1141" s="20">
        <v>45604</v>
      </c>
      <c r="B1141" s="21" t="s">
        <v>1323</v>
      </c>
      <c r="C1141" s="20">
        <v>45604</v>
      </c>
      <c r="D1141" s="21">
        <v>24148.19921875</v>
      </c>
      <c r="F1141" s="274">
        <f t="shared" si="34"/>
        <v>-1.0162936164201332E-2</v>
      </c>
      <c r="G1141" s="274">
        <f t="shared" si="35"/>
        <v>-2.1137093124678017E-3</v>
      </c>
    </row>
    <row r="1142" spans="1:7" ht="14.25" customHeight="1" x14ac:dyDescent="0.3">
      <c r="A1142" s="20">
        <v>45607</v>
      </c>
      <c r="B1142" s="21" t="s">
        <v>1950</v>
      </c>
      <c r="C1142" s="20">
        <v>45607</v>
      </c>
      <c r="D1142" s="21">
        <v>24141.30078125</v>
      </c>
      <c r="F1142" s="274">
        <f t="shared" si="34"/>
        <v>-7.9660113392057089E-3</v>
      </c>
      <c r="G1142" s="274">
        <f t="shared" si="35"/>
        <v>-2.8567088740280355E-4</v>
      </c>
    </row>
    <row r="1143" spans="1:7" ht="14.25" customHeight="1" x14ac:dyDescent="0.3">
      <c r="A1143" s="20">
        <v>45608</v>
      </c>
      <c r="B1143" s="21" t="s">
        <v>1813</v>
      </c>
      <c r="C1143" s="20">
        <v>45608</v>
      </c>
      <c r="D1143" s="21">
        <v>23883.44921875</v>
      </c>
      <c r="F1143" s="274">
        <f t="shared" si="34"/>
        <v>-6.7809576419955025E-3</v>
      </c>
      <c r="G1143" s="274">
        <f t="shared" si="35"/>
        <v>-1.0680930776533279E-2</v>
      </c>
    </row>
    <row r="1144" spans="1:7" ht="14.25" customHeight="1" x14ac:dyDescent="0.3">
      <c r="A1144" s="20">
        <v>45609</v>
      </c>
      <c r="B1144" s="21" t="s">
        <v>1951</v>
      </c>
      <c r="C1144" s="20">
        <v>45609</v>
      </c>
      <c r="D1144" s="21">
        <v>23559.05078125</v>
      </c>
      <c r="F1144" s="274">
        <f t="shared" si="34"/>
        <v>-2.021200232385393E-2</v>
      </c>
      <c r="G1144" s="274">
        <f t="shared" si="35"/>
        <v>-1.3582562322921387E-2</v>
      </c>
    </row>
    <row r="1145" spans="1:7" ht="14.25" customHeight="1" x14ac:dyDescent="0.3">
      <c r="A1145" s="20">
        <v>45610</v>
      </c>
      <c r="B1145" s="21">
        <v>544.5</v>
      </c>
      <c r="C1145" s="20">
        <v>45610</v>
      </c>
      <c r="D1145" s="21">
        <v>23532.69921875</v>
      </c>
      <c r="F1145" s="274">
        <f t="shared" si="34"/>
        <v>-1.5585873732254433E-3</v>
      </c>
      <c r="G1145" s="274">
        <f t="shared" si="35"/>
        <v>-1.1185324376894032E-3</v>
      </c>
    </row>
    <row r="1146" spans="1:7" ht="14.25" customHeight="1" x14ac:dyDescent="0.3">
      <c r="A1146" s="20">
        <v>45614</v>
      </c>
      <c r="B1146" s="21" t="s">
        <v>1952</v>
      </c>
      <c r="C1146" s="20">
        <v>45614</v>
      </c>
      <c r="D1146" s="21">
        <v>23453.80078125</v>
      </c>
      <c r="F1146" s="274">
        <f t="shared" si="34"/>
        <v>1.1111088692319476E-2</v>
      </c>
      <c r="G1146" s="274">
        <f t="shared" si="35"/>
        <v>-3.3527151631265739E-3</v>
      </c>
    </row>
    <row r="1147" spans="1:7" ht="14.25" customHeight="1" x14ac:dyDescent="0.3">
      <c r="A1147" s="20">
        <v>45615</v>
      </c>
      <c r="B1147" s="21" t="s">
        <v>1953</v>
      </c>
      <c r="C1147" s="20">
        <v>45615</v>
      </c>
      <c r="D1147" s="21">
        <v>23518.5</v>
      </c>
      <c r="F1147" s="274">
        <f t="shared" si="34"/>
        <v>-1.8163654930023281E-3</v>
      </c>
      <c r="G1147" s="274">
        <f t="shared" si="35"/>
        <v>2.7585814066316875E-3</v>
      </c>
    </row>
    <row r="1148" spans="1:7" ht="14.25" customHeight="1" x14ac:dyDescent="0.3">
      <c r="A1148" s="20">
        <v>45617</v>
      </c>
      <c r="B1148" s="21" t="s">
        <v>1954</v>
      </c>
      <c r="C1148" s="20">
        <v>45617</v>
      </c>
      <c r="D1148" s="21" t="s">
        <v>1955</v>
      </c>
      <c r="F1148" s="274">
        <f t="shared" si="34"/>
        <v>-0.11900645136784559</v>
      </c>
      <c r="G1148" s="274">
        <f t="shared" si="35"/>
        <v>-7.1688079331164827E-3</v>
      </c>
    </row>
    <row r="1149" spans="1:7" ht="14.25" customHeight="1" x14ac:dyDescent="0.3">
      <c r="A1149" s="20">
        <v>45618</v>
      </c>
      <c r="B1149" s="21" t="s">
        <v>1956</v>
      </c>
      <c r="C1149" s="20">
        <v>45618</v>
      </c>
      <c r="D1149" s="21">
        <v>23907.25</v>
      </c>
      <c r="F1149" s="274">
        <f t="shared" si="34"/>
        <v>3.242799216142888E-2</v>
      </c>
      <c r="G1149" s="274">
        <f t="shared" si="35"/>
        <v>2.3869464111237762E-2</v>
      </c>
    </row>
    <row r="1150" spans="1:7" ht="14.25" customHeight="1" x14ac:dyDescent="0.3">
      <c r="A1150" s="20">
        <v>45621</v>
      </c>
      <c r="B1150" s="21" t="s">
        <v>1957</v>
      </c>
      <c r="C1150" s="20">
        <v>45621</v>
      </c>
      <c r="D1150" s="21" t="s">
        <v>1958</v>
      </c>
      <c r="F1150" s="274">
        <f t="shared" si="34"/>
        <v>1.0203073004384142E-2</v>
      </c>
      <c r="G1150" s="274">
        <f t="shared" si="35"/>
        <v>1.3161295867362411E-2</v>
      </c>
    </row>
    <row r="1151" spans="1:7" ht="14.25" customHeight="1" x14ac:dyDescent="0.3">
      <c r="A1151" s="20">
        <v>45622</v>
      </c>
      <c r="B1151" s="21" t="s">
        <v>1959</v>
      </c>
      <c r="C1151" s="20">
        <v>45622</v>
      </c>
      <c r="D1151" s="21">
        <v>24194.5</v>
      </c>
      <c r="F1151" s="274">
        <f t="shared" si="34"/>
        <v>-2.2279433068688521E-2</v>
      </c>
      <c r="G1151" s="274">
        <f t="shared" si="35"/>
        <v>-1.1312238174179439E-3</v>
      </c>
    </row>
    <row r="1152" spans="1:7" ht="14.25" customHeight="1" x14ac:dyDescent="0.3">
      <c r="A1152" s="20">
        <v>45623</v>
      </c>
      <c r="B1152" s="21">
        <v>515</v>
      </c>
      <c r="C1152" s="20">
        <v>45623</v>
      </c>
      <c r="D1152" s="21" t="s">
        <v>1960</v>
      </c>
      <c r="F1152" s="274">
        <f t="shared" si="34"/>
        <v>4.3143583687085096E-2</v>
      </c>
      <c r="G1152" s="274">
        <f t="shared" si="35"/>
        <v>3.3230854378061129E-3</v>
      </c>
    </row>
    <row r="1153" spans="1:7" ht="14.25" customHeight="1" x14ac:dyDescent="0.3">
      <c r="A1153" s="20">
        <v>45624</v>
      </c>
      <c r="B1153" s="21">
        <v>513</v>
      </c>
      <c r="C1153" s="20">
        <v>45624</v>
      </c>
      <c r="D1153" s="21" t="s">
        <v>1961</v>
      </c>
      <c r="F1153" s="274">
        <f t="shared" si="34"/>
        <v>-3.8834951456310678E-3</v>
      </c>
      <c r="G1153" s="274">
        <f t="shared" si="35"/>
        <v>-1.4861029054492934E-2</v>
      </c>
    </row>
    <row r="1154" spans="1:7" ht="14.25" customHeight="1" x14ac:dyDescent="0.3">
      <c r="A1154" s="20">
        <v>45625</v>
      </c>
      <c r="B1154" s="21">
        <v>531.5</v>
      </c>
      <c r="C1154" s="20">
        <v>45625</v>
      </c>
      <c r="D1154" s="21" t="s">
        <v>1962</v>
      </c>
      <c r="F1154" s="274">
        <f t="shared" si="34"/>
        <v>3.6062378167641324E-2</v>
      </c>
      <c r="G1154" s="274">
        <f t="shared" si="35"/>
        <v>9.0720019405351737E-3</v>
      </c>
    </row>
    <row r="1155" spans="1:7" ht="14.25" customHeight="1" x14ac:dyDescent="0.3">
      <c r="A1155" s="20">
        <v>45628</v>
      </c>
      <c r="B1155" s="21" t="s">
        <v>1963</v>
      </c>
      <c r="C1155" s="20">
        <v>45628</v>
      </c>
      <c r="D1155" s="21">
        <v>24276.05078125</v>
      </c>
      <c r="F1155" s="274">
        <f t="shared" ref="F1155:F1218" si="36">(B1155-B1154)/B1154</f>
        <v>1.3734690109064824E-2</v>
      </c>
      <c r="G1155" s="274">
        <f t="shared" ref="G1155:G1218" si="37">(D1155-D1154)/D1154</f>
        <v>6.0068200049485541E-3</v>
      </c>
    </row>
    <row r="1156" spans="1:7" ht="14.25" customHeight="1" x14ac:dyDescent="0.3">
      <c r="A1156" s="20">
        <v>45629</v>
      </c>
      <c r="B1156" s="21" t="s">
        <v>1964</v>
      </c>
      <c r="C1156" s="20">
        <v>45629</v>
      </c>
      <c r="D1156" s="21" t="s">
        <v>1965</v>
      </c>
      <c r="F1156" s="274">
        <f t="shared" si="36"/>
        <v>5.1503341924096037E-2</v>
      </c>
      <c r="G1156" s="274">
        <f t="shared" si="37"/>
        <v>7.4600111445999777E-3</v>
      </c>
    </row>
    <row r="1157" spans="1:7" ht="14.25" customHeight="1" x14ac:dyDescent="0.3">
      <c r="A1157" s="20">
        <v>45630</v>
      </c>
      <c r="B1157" s="21" t="s">
        <v>1966</v>
      </c>
      <c r="C1157" s="20">
        <v>45630</v>
      </c>
      <c r="D1157" s="21">
        <v>24467.44921875</v>
      </c>
      <c r="F1157" s="274">
        <f t="shared" si="36"/>
        <v>-3.2653351439360734E-3</v>
      </c>
      <c r="G1157" s="274">
        <f t="shared" si="37"/>
        <v>4.2109681465375389E-4</v>
      </c>
    </row>
    <row r="1158" spans="1:7" ht="14.25" customHeight="1" x14ac:dyDescent="0.3">
      <c r="A1158" s="20">
        <v>45631</v>
      </c>
      <c r="B1158" s="21" t="s">
        <v>1967</v>
      </c>
      <c r="C1158" s="20">
        <v>45631</v>
      </c>
      <c r="D1158" s="21" t="s">
        <v>1968</v>
      </c>
      <c r="F1158" s="274">
        <f t="shared" si="36"/>
        <v>1.1333386294597174E-2</v>
      </c>
      <c r="G1158" s="274">
        <f t="shared" si="37"/>
        <v>9.8478255628851284E-3</v>
      </c>
    </row>
    <row r="1159" spans="1:7" ht="14.25" customHeight="1" x14ac:dyDescent="0.3">
      <c r="A1159" s="20">
        <v>45632</v>
      </c>
      <c r="B1159" s="21" t="s">
        <v>1969</v>
      </c>
      <c r="C1159" s="20">
        <v>45632</v>
      </c>
      <c r="D1159" s="21">
        <v>24677.80078125</v>
      </c>
      <c r="F1159" s="274">
        <f t="shared" si="36"/>
        <v>-1.0155818667333019E-2</v>
      </c>
      <c r="G1159" s="274">
        <f t="shared" si="37"/>
        <v>-1.2384293961259537E-3</v>
      </c>
    </row>
    <row r="1160" spans="1:7" ht="14.25" customHeight="1" x14ac:dyDescent="0.3">
      <c r="A1160" s="20">
        <v>45635</v>
      </c>
      <c r="B1160" s="21" t="s">
        <v>1970</v>
      </c>
      <c r="C1160" s="20">
        <v>45635</v>
      </c>
      <c r="D1160" s="21">
        <v>24619</v>
      </c>
      <c r="F1160" s="274">
        <f t="shared" si="36"/>
        <v>1.0613833592010272E-2</v>
      </c>
      <c r="G1160" s="274">
        <f t="shared" si="37"/>
        <v>-2.3827399277279349E-3</v>
      </c>
    </row>
    <row r="1161" spans="1:7" ht="14.25" customHeight="1" x14ac:dyDescent="0.3">
      <c r="A1161" s="20">
        <v>45636</v>
      </c>
      <c r="B1161" s="21">
        <v>573.5</v>
      </c>
      <c r="C1161" s="20">
        <v>45636</v>
      </c>
      <c r="D1161" s="21">
        <v>24610.05078125</v>
      </c>
      <c r="F1161" s="274">
        <f t="shared" si="36"/>
        <v>3.8508878943461539E-3</v>
      </c>
      <c r="G1161" s="274">
        <f t="shared" si="37"/>
        <v>-3.6350862138998332E-4</v>
      </c>
    </row>
    <row r="1162" spans="1:7" ht="14.25" customHeight="1" x14ac:dyDescent="0.3">
      <c r="A1162" s="20">
        <v>45637</v>
      </c>
      <c r="B1162" s="21" t="s">
        <v>1971</v>
      </c>
      <c r="C1162" s="20">
        <v>45637</v>
      </c>
      <c r="D1162" s="21">
        <v>24641.80078125</v>
      </c>
      <c r="F1162" s="274">
        <f t="shared" si="36"/>
        <v>8.6312331421639459E-3</v>
      </c>
      <c r="G1162" s="274">
        <f t="shared" si="37"/>
        <v>1.2901233029632678E-3</v>
      </c>
    </row>
    <row r="1163" spans="1:7" ht="14.25" customHeight="1" x14ac:dyDescent="0.3">
      <c r="A1163" s="20">
        <v>45638</v>
      </c>
      <c r="B1163" s="21">
        <v>571.75</v>
      </c>
      <c r="C1163" s="20">
        <v>45638</v>
      </c>
      <c r="D1163" s="21">
        <v>24548.69921875</v>
      </c>
      <c r="F1163" s="274">
        <f t="shared" si="36"/>
        <v>-1.1582698704539131E-2</v>
      </c>
      <c r="G1163" s="274">
        <f t="shared" si="37"/>
        <v>-3.778196379659119E-3</v>
      </c>
    </row>
    <row r="1164" spans="1:7" ht="14.25" customHeight="1" x14ac:dyDescent="0.3">
      <c r="A1164" s="20">
        <v>45639</v>
      </c>
      <c r="B1164" s="21">
        <v>572.75</v>
      </c>
      <c r="C1164" s="20">
        <v>45639</v>
      </c>
      <c r="D1164" s="21">
        <v>24768.30078125</v>
      </c>
      <c r="F1164" s="274">
        <f t="shared" si="36"/>
        <v>1.7490161783996502E-3</v>
      </c>
      <c r="G1164" s="274">
        <f t="shared" si="37"/>
        <v>8.9455478085890185E-3</v>
      </c>
    </row>
    <row r="1165" spans="1:7" ht="14.25" customHeight="1" x14ac:dyDescent="0.3">
      <c r="A1165" s="20">
        <v>45642</v>
      </c>
      <c r="B1165" s="21" t="s">
        <v>1972</v>
      </c>
      <c r="C1165" s="20">
        <v>45642</v>
      </c>
      <c r="D1165" s="21">
        <v>24668.25</v>
      </c>
      <c r="F1165" s="274">
        <f t="shared" si="36"/>
        <v>7.3330636526076345E-3</v>
      </c>
      <c r="G1165" s="274">
        <f t="shared" si="37"/>
        <v>-4.0394689217332193E-3</v>
      </c>
    </row>
    <row r="1166" spans="1:7" ht="14.25" customHeight="1" x14ac:dyDescent="0.3">
      <c r="A1166" s="20">
        <v>45643</v>
      </c>
      <c r="B1166" s="21" t="s">
        <v>1967</v>
      </c>
      <c r="C1166" s="20">
        <v>45643</v>
      </c>
      <c r="D1166" s="21">
        <v>24336</v>
      </c>
      <c r="F1166" s="274">
        <f t="shared" si="36"/>
        <v>-1.0139590081150337E-2</v>
      </c>
      <c r="G1166" s="274">
        <f t="shared" si="37"/>
        <v>-1.3468730047733423E-2</v>
      </c>
    </row>
    <row r="1167" spans="1:7" ht="14.25" customHeight="1" x14ac:dyDescent="0.3">
      <c r="A1167" s="20">
        <v>45644</v>
      </c>
      <c r="B1167" s="21" t="s">
        <v>1973</v>
      </c>
      <c r="C1167" s="20">
        <v>45644</v>
      </c>
      <c r="D1167" s="21" t="s">
        <v>1974</v>
      </c>
      <c r="F1167" s="274">
        <f t="shared" si="36"/>
        <v>-1.1469073845168591E-2</v>
      </c>
      <c r="G1167" s="274">
        <f t="shared" si="37"/>
        <v>-5.6356998120069036E-3</v>
      </c>
    </row>
    <row r="1168" spans="1:7" ht="14.25" customHeight="1" x14ac:dyDescent="0.3">
      <c r="A1168" s="20">
        <v>45645</v>
      </c>
      <c r="B1168" s="21" t="s">
        <v>1975</v>
      </c>
      <c r="C1168" s="20">
        <v>45645</v>
      </c>
      <c r="D1168" s="21">
        <v>23951.69921875</v>
      </c>
      <c r="F1168" s="274">
        <f t="shared" si="36"/>
        <v>-2.2141529129895234E-3</v>
      </c>
      <c r="G1168" s="274">
        <f t="shared" si="37"/>
        <v>-1.0213311567061031E-2</v>
      </c>
    </row>
    <row r="1169" spans="1:7" ht="14.25" customHeight="1" x14ac:dyDescent="0.3">
      <c r="A1169" s="20">
        <v>45646</v>
      </c>
      <c r="B1169" s="21" t="s">
        <v>1976</v>
      </c>
      <c r="C1169" s="20">
        <v>45646</v>
      </c>
      <c r="D1169" s="21">
        <v>23587.5</v>
      </c>
      <c r="F1169" s="274">
        <f t="shared" si="36"/>
        <v>-2.5741168674282392E-2</v>
      </c>
      <c r="G1169" s="274">
        <f t="shared" si="37"/>
        <v>-1.5205569150805617E-2</v>
      </c>
    </row>
    <row r="1170" spans="1:7" ht="14.25" customHeight="1" x14ac:dyDescent="0.3">
      <c r="A1170" s="20">
        <v>45649</v>
      </c>
      <c r="B1170" s="21" t="s">
        <v>1977</v>
      </c>
      <c r="C1170" s="20">
        <v>45649</v>
      </c>
      <c r="D1170" s="21">
        <v>23753.44921875</v>
      </c>
      <c r="F1170" s="274">
        <f t="shared" si="36"/>
        <v>3.3710580580260654E-3</v>
      </c>
      <c r="G1170" s="274">
        <f t="shared" si="37"/>
        <v>7.0354729729729731E-3</v>
      </c>
    </row>
    <row r="1171" spans="1:7" ht="14.25" customHeight="1" x14ac:dyDescent="0.3">
      <c r="A1171" s="20">
        <v>45650</v>
      </c>
      <c r="B1171" s="21" t="s">
        <v>1978</v>
      </c>
      <c r="C1171" s="20">
        <v>45650</v>
      </c>
      <c r="D1171" s="21" t="s">
        <v>1979</v>
      </c>
      <c r="F1171" s="274">
        <f t="shared" si="36"/>
        <v>-1.3711156802651352E-2</v>
      </c>
      <c r="G1171" s="274">
        <f t="shared" si="37"/>
        <v>-1.0861087115144297E-3</v>
      </c>
    </row>
    <row r="1172" spans="1:7" ht="14.25" customHeight="1" x14ac:dyDescent="0.3">
      <c r="A1172" s="20">
        <v>45652</v>
      </c>
      <c r="B1172" s="21" t="s">
        <v>1976</v>
      </c>
      <c r="C1172" s="20">
        <v>45652</v>
      </c>
      <c r="D1172" s="21">
        <v>23750.19921875</v>
      </c>
      <c r="F1172" s="274">
        <f t="shared" si="36"/>
        <v>1.0495327680472288E-2</v>
      </c>
      <c r="G1172" s="274">
        <f t="shared" si="37"/>
        <v>9.5031862631915877E-4</v>
      </c>
    </row>
    <row r="1173" spans="1:7" ht="14.25" customHeight="1" x14ac:dyDescent="0.3">
      <c r="A1173" s="20">
        <v>45653</v>
      </c>
      <c r="B1173" s="21" t="s">
        <v>1980</v>
      </c>
      <c r="C1173" s="20">
        <v>45653</v>
      </c>
      <c r="D1173" s="21" t="s">
        <v>1981</v>
      </c>
      <c r="F1173" s="274">
        <f t="shared" si="36"/>
        <v>-1.5487893674253881E-3</v>
      </c>
      <c r="G1173" s="274">
        <f t="shared" si="37"/>
        <v>2.6610796521279179E-3</v>
      </c>
    </row>
    <row r="1174" spans="1:7" ht="14.25" customHeight="1" x14ac:dyDescent="0.3">
      <c r="A1174" s="20">
        <v>45656</v>
      </c>
      <c r="B1174" s="21" t="s">
        <v>1982</v>
      </c>
      <c r="C1174" s="20">
        <v>45656</v>
      </c>
      <c r="D1174" s="21" t="s">
        <v>1983</v>
      </c>
      <c r="F1174" s="274">
        <f t="shared" si="36"/>
        <v>-6.113763201867105E-3</v>
      </c>
      <c r="G1174" s="274">
        <f t="shared" si="37"/>
        <v>-7.0758479358679106E-3</v>
      </c>
    </row>
    <row r="1175" spans="1:7" ht="14.25" customHeight="1" x14ac:dyDescent="0.3">
      <c r="A1175" s="20">
        <v>45657</v>
      </c>
      <c r="B1175" s="21" t="s">
        <v>1984</v>
      </c>
      <c r="C1175" s="20">
        <v>45657</v>
      </c>
      <c r="D1175" s="21">
        <v>23644.80078125</v>
      </c>
      <c r="F1175" s="274">
        <f t="shared" si="36"/>
        <v>-1.6158626859101771E-2</v>
      </c>
      <c r="G1175" s="274">
        <f t="shared" si="37"/>
        <v>-4.2127212783477941E-6</v>
      </c>
    </row>
    <row r="1176" spans="1:7" ht="14.25" customHeight="1" x14ac:dyDescent="0.3">
      <c r="A1176" s="20">
        <v>45658</v>
      </c>
      <c r="B1176" s="21" t="s">
        <v>1985</v>
      </c>
      <c r="C1176" s="20">
        <v>45658</v>
      </c>
      <c r="D1176" s="21" t="s">
        <v>1986</v>
      </c>
      <c r="F1176" s="274">
        <f t="shared" si="36"/>
        <v>5.2258078700274267E-3</v>
      </c>
      <c r="G1176" s="274">
        <f t="shared" si="37"/>
        <v>4.1488871182535671E-3</v>
      </c>
    </row>
    <row r="1177" spans="1:7" ht="14.25" customHeight="1" x14ac:dyDescent="0.3">
      <c r="A1177" s="20">
        <v>45659</v>
      </c>
      <c r="B1177" s="21" t="s">
        <v>1987</v>
      </c>
      <c r="C1177" s="20">
        <v>45659</v>
      </c>
      <c r="D1177" s="21" t="s">
        <v>1988</v>
      </c>
      <c r="F1177" s="274">
        <f t="shared" si="36"/>
        <v>2.0887487021812891E-2</v>
      </c>
      <c r="G1177" s="274">
        <f t="shared" si="37"/>
        <v>1.8774033191665436E-2</v>
      </c>
    </row>
    <row r="1178" spans="1:7" ht="14.25" customHeight="1" x14ac:dyDescent="0.3">
      <c r="A1178" s="20">
        <v>45660</v>
      </c>
      <c r="B1178" s="21" t="s">
        <v>1989</v>
      </c>
      <c r="C1178" s="20">
        <v>45660</v>
      </c>
      <c r="D1178" s="21">
        <v>24004.75</v>
      </c>
      <c r="F1178" s="274">
        <f t="shared" si="36"/>
        <v>-2.0914129852976464E-3</v>
      </c>
      <c r="G1178" s="274">
        <f t="shared" si="37"/>
        <v>-7.602755327609176E-3</v>
      </c>
    </row>
    <row r="1179" spans="1:7" ht="14.25" customHeight="1" x14ac:dyDescent="0.3">
      <c r="A1179" s="20">
        <v>45663</v>
      </c>
      <c r="B1179" s="21" t="s">
        <v>1990</v>
      </c>
      <c r="C1179" s="20">
        <v>45663</v>
      </c>
      <c r="D1179" s="21">
        <v>23616.05078125</v>
      </c>
      <c r="F1179" s="274">
        <f t="shared" si="36"/>
        <v>-3.4262779979446253E-2</v>
      </c>
      <c r="G1179" s="274">
        <f t="shared" si="37"/>
        <v>-1.6192595996625668E-2</v>
      </c>
    </row>
    <row r="1180" spans="1:7" ht="14.25" customHeight="1" x14ac:dyDescent="0.3">
      <c r="A1180" s="20">
        <v>45664</v>
      </c>
      <c r="B1180" s="21">
        <v>535.75</v>
      </c>
      <c r="C1180" s="20">
        <v>45664</v>
      </c>
      <c r="D1180" s="21" t="s">
        <v>1991</v>
      </c>
      <c r="F1180" s="274">
        <f t="shared" si="36"/>
        <v>1.1039772252146198E-2</v>
      </c>
      <c r="G1180" s="274">
        <f t="shared" si="37"/>
        <v>3.8892874268344705E-3</v>
      </c>
    </row>
    <row r="1181" spans="1:7" ht="14.25" customHeight="1" x14ac:dyDescent="0.3">
      <c r="A1181" s="20">
        <v>45665</v>
      </c>
      <c r="B1181" s="21" t="s">
        <v>1992</v>
      </c>
      <c r="C1181" s="20">
        <v>45665</v>
      </c>
      <c r="D1181" s="21">
        <v>23688.94921875</v>
      </c>
      <c r="F1181" s="274">
        <f t="shared" si="36"/>
        <v>4.2930243452504978E-3</v>
      </c>
      <c r="G1181" s="274">
        <f t="shared" si="37"/>
        <v>-7.9936103841966573E-4</v>
      </c>
    </row>
    <row r="1182" spans="1:7" ht="14.25" customHeight="1" x14ac:dyDescent="0.3">
      <c r="A1182" s="20">
        <v>45666</v>
      </c>
      <c r="B1182" s="21">
        <v>525.25</v>
      </c>
      <c r="C1182" s="20">
        <v>45666</v>
      </c>
      <c r="D1182" s="21">
        <v>23526.5</v>
      </c>
      <c r="F1182" s="274">
        <f t="shared" si="36"/>
        <v>-2.3789588483167406E-2</v>
      </c>
      <c r="G1182" s="274">
        <f t="shared" si="37"/>
        <v>-6.8575949591474531E-3</v>
      </c>
    </row>
    <row r="1183" spans="1:7" ht="14.25" customHeight="1" x14ac:dyDescent="0.3">
      <c r="A1183" s="20">
        <v>45667</v>
      </c>
      <c r="B1183" s="21">
        <v>511.25</v>
      </c>
      <c r="C1183" s="20">
        <v>45667</v>
      </c>
      <c r="D1183" s="21">
        <v>23431.5</v>
      </c>
      <c r="F1183" s="274">
        <f t="shared" si="36"/>
        <v>-2.6653974297953357E-2</v>
      </c>
      <c r="G1183" s="274">
        <f t="shared" si="37"/>
        <v>-4.0379997024631801E-3</v>
      </c>
    </row>
    <row r="1184" spans="1:7" ht="14.25" customHeight="1" x14ac:dyDescent="0.3">
      <c r="A1184" s="20">
        <v>45670</v>
      </c>
      <c r="B1184" s="21" t="s">
        <v>1993</v>
      </c>
      <c r="C1184" s="20">
        <v>45670</v>
      </c>
      <c r="D1184" s="21">
        <v>23085.94921875</v>
      </c>
      <c r="F1184" s="274">
        <f t="shared" si="36"/>
        <v>-3.5305599595049343E-2</v>
      </c>
      <c r="G1184" s="274">
        <f t="shared" si="37"/>
        <v>-1.4747275302477434E-2</v>
      </c>
    </row>
    <row r="1185" spans="1:7" ht="14.25" customHeight="1" x14ac:dyDescent="0.3">
      <c r="A1185" s="20">
        <v>45671</v>
      </c>
      <c r="B1185" s="21" t="s">
        <v>1994</v>
      </c>
      <c r="C1185" s="20">
        <v>45671</v>
      </c>
      <c r="D1185" s="21">
        <v>23176.05078125</v>
      </c>
      <c r="F1185" s="274">
        <f t="shared" si="36"/>
        <v>4.4910711335522255E-2</v>
      </c>
      <c r="G1185" s="274">
        <f t="shared" si="37"/>
        <v>3.9028744993868871E-3</v>
      </c>
    </row>
    <row r="1186" spans="1:7" ht="14.25" customHeight="1" x14ac:dyDescent="0.3">
      <c r="A1186" s="20">
        <v>45672</v>
      </c>
      <c r="B1186" s="21" t="s">
        <v>1995</v>
      </c>
      <c r="C1186" s="20">
        <v>45672</v>
      </c>
      <c r="D1186" s="21">
        <v>23213.19921875</v>
      </c>
      <c r="F1186" s="274">
        <f t="shared" si="36"/>
        <v>7.664717947332522E-3</v>
      </c>
      <c r="G1186" s="274">
        <f t="shared" si="37"/>
        <v>1.6028803979862699E-3</v>
      </c>
    </row>
    <row r="1187" spans="1:7" ht="14.25" customHeight="1" x14ac:dyDescent="0.3">
      <c r="A1187" s="20">
        <v>45673</v>
      </c>
      <c r="B1187" s="21" t="s">
        <v>1996</v>
      </c>
      <c r="C1187" s="20">
        <v>45673</v>
      </c>
      <c r="D1187" s="21">
        <v>23311.80078125</v>
      </c>
      <c r="F1187" s="274">
        <f t="shared" si="36"/>
        <v>4.0150273659175367E-2</v>
      </c>
      <c r="G1187" s="274">
        <f t="shared" si="37"/>
        <v>4.2476507253837101E-3</v>
      </c>
    </row>
    <row r="1188" spans="1:7" ht="14.25" customHeight="1" x14ac:dyDescent="0.3">
      <c r="A1188" s="20">
        <v>45674</v>
      </c>
      <c r="B1188" s="21">
        <v>536.25</v>
      </c>
      <c r="C1188" s="20">
        <v>45674</v>
      </c>
      <c r="D1188" s="21">
        <v>23203.19921875</v>
      </c>
      <c r="F1188" s="274">
        <f t="shared" si="36"/>
        <v>-7.2202614788227969E-3</v>
      </c>
      <c r="G1188" s="274">
        <f t="shared" si="37"/>
        <v>-4.6586517926727362E-3</v>
      </c>
    </row>
    <row r="1189" spans="1:7" ht="14.25" customHeight="1" x14ac:dyDescent="0.3">
      <c r="A1189" s="20">
        <v>45677</v>
      </c>
      <c r="B1189" s="21" t="s">
        <v>1997</v>
      </c>
      <c r="C1189" s="20">
        <v>45677</v>
      </c>
      <c r="D1189" s="21">
        <v>23344.75</v>
      </c>
      <c r="F1189" s="274">
        <f t="shared" si="36"/>
        <v>-1.6783672057118038E-3</v>
      </c>
      <c r="G1189" s="274">
        <f t="shared" si="37"/>
        <v>6.1004855371674738E-3</v>
      </c>
    </row>
    <row r="1190" spans="1:7" ht="14.25" customHeight="1" x14ac:dyDescent="0.3">
      <c r="A1190" s="20">
        <v>45678</v>
      </c>
      <c r="B1190" s="21">
        <v>531.75</v>
      </c>
      <c r="C1190" s="20">
        <v>45678</v>
      </c>
      <c r="D1190" s="21" t="s">
        <v>1998</v>
      </c>
      <c r="F1190" s="274">
        <f t="shared" si="36"/>
        <v>-6.7245274121790991E-3</v>
      </c>
      <c r="G1190" s="274">
        <f t="shared" si="37"/>
        <v>-1.371184567729361E-2</v>
      </c>
    </row>
    <row r="1191" spans="1:7" ht="14.25" customHeight="1" x14ac:dyDescent="0.3">
      <c r="A1191" s="20">
        <v>45679</v>
      </c>
      <c r="B1191" s="21" t="s">
        <v>1999</v>
      </c>
      <c r="C1191" s="20">
        <v>45679</v>
      </c>
      <c r="D1191" s="21" t="s">
        <v>2000</v>
      </c>
      <c r="F1191" s="274">
        <f t="shared" si="36"/>
        <v>9.2149025182172925E-3</v>
      </c>
      <c r="G1191" s="274">
        <f t="shared" si="37"/>
        <v>5.6764909144165375E-3</v>
      </c>
    </row>
    <row r="1192" spans="1:7" ht="14.25" customHeight="1" x14ac:dyDescent="0.3">
      <c r="A1192" s="20">
        <v>45680</v>
      </c>
      <c r="B1192" s="21" t="s">
        <v>1976</v>
      </c>
      <c r="C1192" s="20">
        <v>45680</v>
      </c>
      <c r="D1192" s="21" t="s">
        <v>2001</v>
      </c>
      <c r="F1192" s="274">
        <f t="shared" si="36"/>
        <v>2.2640385402333242E-2</v>
      </c>
      <c r="G1192" s="274">
        <f t="shared" si="37"/>
        <v>2.1593282262409156E-3</v>
      </c>
    </row>
    <row r="1193" spans="1:7" ht="14.25" customHeight="1" x14ac:dyDescent="0.3">
      <c r="A1193" s="20">
        <v>45681</v>
      </c>
      <c r="B1193" s="21" t="s">
        <v>2002</v>
      </c>
      <c r="C1193" s="20">
        <v>45681</v>
      </c>
      <c r="D1193" s="21">
        <v>23092.19921875</v>
      </c>
      <c r="F1193" s="274">
        <f t="shared" si="36"/>
        <v>5.4664724247984768E-3</v>
      </c>
      <c r="G1193" s="274">
        <f t="shared" si="37"/>
        <v>-4.8760476583936943E-3</v>
      </c>
    </row>
    <row r="1194" spans="1:7" ht="14.25" customHeight="1" x14ac:dyDescent="0.3">
      <c r="A1194" s="20">
        <v>45684</v>
      </c>
      <c r="B1194" s="21" t="s">
        <v>2003</v>
      </c>
      <c r="C1194" s="20">
        <v>45684</v>
      </c>
      <c r="D1194" s="21" t="s">
        <v>2004</v>
      </c>
      <c r="F1194" s="274">
        <f t="shared" si="36"/>
        <v>-3.062697309309596E-2</v>
      </c>
      <c r="G1194" s="274">
        <f t="shared" si="37"/>
        <v>-1.1391241935562993E-2</v>
      </c>
    </row>
    <row r="1195" spans="1:7" ht="14.25" customHeight="1" x14ac:dyDescent="0.3">
      <c r="A1195" s="20">
        <v>45685</v>
      </c>
      <c r="B1195" s="21" t="s">
        <v>2005</v>
      </c>
      <c r="C1195" s="20">
        <v>45685</v>
      </c>
      <c r="D1195" s="21">
        <v>22957.25</v>
      </c>
      <c r="F1195" s="274">
        <f t="shared" si="36"/>
        <v>1.5423442930362885E-2</v>
      </c>
      <c r="G1195" s="274">
        <f t="shared" si="37"/>
        <v>5.6112298172780566E-3</v>
      </c>
    </row>
    <row r="1196" spans="1:7" ht="14.25" customHeight="1" x14ac:dyDescent="0.3">
      <c r="A1196" s="20">
        <v>45686</v>
      </c>
      <c r="B1196" s="21" t="s">
        <v>2006</v>
      </c>
      <c r="C1196" s="20">
        <v>45686</v>
      </c>
      <c r="D1196" s="21" t="s">
        <v>2007</v>
      </c>
      <c r="F1196" s="274">
        <f t="shared" si="36"/>
        <v>-3.8755496422619731E-2</v>
      </c>
      <c r="G1196" s="274">
        <f t="shared" si="37"/>
        <v>8.9666492883511747E-3</v>
      </c>
    </row>
    <row r="1197" spans="1:7" ht="14.25" customHeight="1" x14ac:dyDescent="0.3">
      <c r="A1197" s="20">
        <v>45687</v>
      </c>
      <c r="B1197" s="21" t="s">
        <v>2008</v>
      </c>
      <c r="C1197" s="20">
        <v>45687</v>
      </c>
      <c r="D1197" s="21">
        <v>23249.5</v>
      </c>
      <c r="F1197" s="274">
        <f t="shared" si="36"/>
        <v>-2.4037518444402457E-2</v>
      </c>
      <c r="G1197" s="274">
        <f t="shared" si="37"/>
        <v>3.7300875997627893E-3</v>
      </c>
    </row>
    <row r="1198" spans="1:7" ht="14.25" customHeight="1" x14ac:dyDescent="0.3">
      <c r="A1198" s="20">
        <v>45688</v>
      </c>
      <c r="B1198" s="21" t="s">
        <v>2009</v>
      </c>
      <c r="C1198" s="20">
        <v>45688</v>
      </c>
      <c r="D1198" s="21" t="s">
        <v>2010</v>
      </c>
      <c r="F1198" s="274">
        <f t="shared" si="36"/>
        <v>6.3781769754853368E-3</v>
      </c>
      <c r="G1198" s="274">
        <f t="shared" si="37"/>
        <v>1.1135740150325814E-2</v>
      </c>
    </row>
    <row r="1199" spans="1:7" ht="14.25" customHeight="1" x14ac:dyDescent="0.3">
      <c r="A1199" s="20">
        <v>45689</v>
      </c>
      <c r="B1199" s="21">
        <v>501.5</v>
      </c>
      <c r="C1199" s="20">
        <v>45689</v>
      </c>
      <c r="D1199" s="21" t="s">
        <v>2011</v>
      </c>
      <c r="F1199" s="274">
        <f t="shared" si="36"/>
        <v>-2.2035858155148948E-2</v>
      </c>
      <c r="G1199" s="274">
        <f t="shared" si="37"/>
        <v>-1.1166221250199708E-3</v>
      </c>
    </row>
    <row r="1200" spans="1:7" ht="14.25" customHeight="1" x14ac:dyDescent="0.3">
      <c r="A1200" s="20">
        <v>45691</v>
      </c>
      <c r="B1200" s="21" t="s">
        <v>2012</v>
      </c>
      <c r="C1200" s="20">
        <v>45691</v>
      </c>
      <c r="D1200" s="21">
        <v>23361.05078125</v>
      </c>
      <c r="F1200" s="274">
        <f t="shared" si="36"/>
        <v>-1.2662026128646107E-2</v>
      </c>
      <c r="G1200" s="274">
        <f t="shared" si="37"/>
        <v>-5.1570919766934014E-3</v>
      </c>
    </row>
    <row r="1201" spans="1:7" ht="14.25" customHeight="1" x14ac:dyDescent="0.3">
      <c r="A1201" s="20">
        <v>45692</v>
      </c>
      <c r="B1201" s="21" t="s">
        <v>2013</v>
      </c>
      <c r="C1201" s="20">
        <v>45692</v>
      </c>
      <c r="D1201" s="21">
        <v>23739.25</v>
      </c>
      <c r="F1201" s="274">
        <f t="shared" si="36"/>
        <v>3.7463432372423923E-2</v>
      </c>
      <c r="G1201" s="274">
        <f t="shared" si="37"/>
        <v>1.6189306820631095E-2</v>
      </c>
    </row>
    <row r="1202" spans="1:7" ht="14.25" customHeight="1" x14ac:dyDescent="0.3">
      <c r="A1202" s="20">
        <v>45693</v>
      </c>
      <c r="B1202" s="21" t="s">
        <v>1343</v>
      </c>
      <c r="C1202" s="20">
        <v>45693</v>
      </c>
      <c r="D1202" s="21">
        <v>23696.30078125</v>
      </c>
      <c r="F1202" s="274">
        <f t="shared" si="36"/>
        <v>1.5767910051503922E-2</v>
      </c>
      <c r="G1202" s="274">
        <f t="shared" si="37"/>
        <v>-1.8092070621439178E-3</v>
      </c>
    </row>
    <row r="1203" spans="1:7" ht="14.25" customHeight="1" x14ac:dyDescent="0.3">
      <c r="A1203" s="20">
        <v>45694</v>
      </c>
      <c r="B1203" s="21" t="s">
        <v>1409</v>
      </c>
      <c r="C1203" s="20">
        <v>45694</v>
      </c>
      <c r="D1203" s="21" t="s">
        <v>2014</v>
      </c>
      <c r="F1203" s="274">
        <f t="shared" si="36"/>
        <v>-1.4660719735281304E-2</v>
      </c>
      <c r="G1203" s="274">
        <f t="shared" si="37"/>
        <v>-3.9226026346082174E-3</v>
      </c>
    </row>
    <row r="1204" spans="1:7" ht="14.25" customHeight="1" x14ac:dyDescent="0.3">
      <c r="A1204" s="20">
        <v>45695</v>
      </c>
      <c r="B1204" s="21">
        <v>512.75</v>
      </c>
      <c r="C1204" s="20">
        <v>45695</v>
      </c>
      <c r="D1204" s="21">
        <v>23559.94921875</v>
      </c>
      <c r="F1204" s="274">
        <f t="shared" si="36"/>
        <v>-2.7229881310567813E-3</v>
      </c>
      <c r="G1204" s="274">
        <f t="shared" si="37"/>
        <v>-1.8387386257991884E-3</v>
      </c>
    </row>
    <row r="1205" spans="1:7" ht="14.25" customHeight="1" x14ac:dyDescent="0.3">
      <c r="A1205" s="20">
        <v>45698</v>
      </c>
      <c r="B1205" s="21">
        <v>506.75</v>
      </c>
      <c r="C1205" s="20">
        <v>45698</v>
      </c>
      <c r="D1205" s="21" t="s">
        <v>2015</v>
      </c>
      <c r="F1205" s="274">
        <f t="shared" si="36"/>
        <v>-1.1701608971233545E-2</v>
      </c>
      <c r="G1205" s="274">
        <f t="shared" si="37"/>
        <v>-7.5700336923078711E-3</v>
      </c>
    </row>
    <row r="1206" spans="1:7" ht="14.25" customHeight="1" x14ac:dyDescent="0.3">
      <c r="A1206" s="20">
        <v>45699</v>
      </c>
      <c r="B1206" s="21" t="s">
        <v>2016</v>
      </c>
      <c r="C1206" s="20">
        <v>45699</v>
      </c>
      <c r="D1206" s="21">
        <v>23071.80078125</v>
      </c>
      <c r="F1206" s="274">
        <f t="shared" si="36"/>
        <v>-1.3517525611279769E-2</v>
      </c>
      <c r="G1206" s="274">
        <f t="shared" si="37"/>
        <v>-1.3249684936046216E-2</v>
      </c>
    </row>
    <row r="1207" spans="1:7" ht="14.25" customHeight="1" x14ac:dyDescent="0.3">
      <c r="A1207" s="20">
        <v>45700</v>
      </c>
      <c r="B1207" s="21" t="s">
        <v>1429</v>
      </c>
      <c r="C1207" s="20">
        <v>45700</v>
      </c>
      <c r="D1207" s="21">
        <v>23045.25</v>
      </c>
      <c r="F1207" s="274">
        <f t="shared" si="36"/>
        <v>2.4005045442739357E-3</v>
      </c>
      <c r="G1207" s="274">
        <f t="shared" si="37"/>
        <v>-1.1507892904301298E-3</v>
      </c>
    </row>
    <row r="1208" spans="1:7" ht="14.25" customHeight="1" x14ac:dyDescent="0.3">
      <c r="A1208" s="20">
        <v>45701</v>
      </c>
      <c r="B1208" s="21">
        <v>502.5</v>
      </c>
      <c r="C1208" s="20">
        <v>45701</v>
      </c>
      <c r="D1208" s="21" t="s">
        <v>2017</v>
      </c>
      <c r="F1208" s="274">
        <f t="shared" si="36"/>
        <v>2.7938413079879225E-3</v>
      </c>
      <c r="G1208" s="274">
        <f t="shared" si="37"/>
        <v>-6.0097457719052736E-4</v>
      </c>
    </row>
    <row r="1209" spans="1:7" ht="14.25" customHeight="1" x14ac:dyDescent="0.3">
      <c r="A1209" s="20">
        <v>45702</v>
      </c>
      <c r="B1209" s="21">
        <v>489.5</v>
      </c>
      <c r="C1209" s="20">
        <v>45702</v>
      </c>
      <c r="D1209" s="21">
        <v>22929.25</v>
      </c>
      <c r="F1209" s="274">
        <f t="shared" si="36"/>
        <v>-2.5870646766169153E-2</v>
      </c>
      <c r="G1209" s="274">
        <f t="shared" si="37"/>
        <v>-4.4352661537064254E-3</v>
      </c>
    </row>
    <row r="1210" spans="1:7" ht="14.25" customHeight="1" x14ac:dyDescent="0.3">
      <c r="A1210" s="20">
        <v>45705</v>
      </c>
      <c r="B1210" s="21" t="s">
        <v>2018</v>
      </c>
      <c r="C1210" s="20">
        <v>45705</v>
      </c>
      <c r="D1210" s="21">
        <v>22959.5</v>
      </c>
      <c r="F1210" s="274">
        <f t="shared" si="36"/>
        <v>-2.4515060409233689E-3</v>
      </c>
      <c r="G1210" s="274">
        <f t="shared" si="37"/>
        <v>1.3192755977626831E-3</v>
      </c>
    </row>
    <row r="1211" spans="1:7" ht="14.25" customHeight="1" x14ac:dyDescent="0.3">
      <c r="A1211" s="20">
        <v>45706</v>
      </c>
      <c r="B1211" s="21">
        <v>486.75</v>
      </c>
      <c r="C1211" s="20">
        <v>45706</v>
      </c>
      <c r="D1211" s="21">
        <v>22945.30078125</v>
      </c>
      <c r="F1211" s="274">
        <f t="shared" si="36"/>
        <v>-3.1742531880324006E-3</v>
      </c>
      <c r="G1211" s="274">
        <f t="shared" si="37"/>
        <v>-6.1844634029486708E-4</v>
      </c>
    </row>
    <row r="1212" spans="1:7" ht="14.25" customHeight="1" x14ac:dyDescent="0.3">
      <c r="A1212" s="20">
        <v>45707</v>
      </c>
      <c r="B1212" s="21" t="s">
        <v>2019</v>
      </c>
      <c r="C1212" s="20">
        <v>45707</v>
      </c>
      <c r="D1212" s="21" t="s">
        <v>2020</v>
      </c>
      <c r="F1212" s="274">
        <f t="shared" si="36"/>
        <v>-1.4072945256324649E-2</v>
      </c>
      <c r="G1212" s="274">
        <f t="shared" si="37"/>
        <v>-5.4043269004052947E-4</v>
      </c>
    </row>
    <row r="1213" spans="1:7" ht="14.25" customHeight="1" x14ac:dyDescent="0.3">
      <c r="A1213" s="20">
        <v>45708</v>
      </c>
      <c r="B1213" s="21" t="s">
        <v>2021</v>
      </c>
      <c r="C1213" s="20">
        <v>45708</v>
      </c>
      <c r="D1213" s="21" t="s">
        <v>2022</v>
      </c>
      <c r="F1213" s="274">
        <f t="shared" si="36"/>
        <v>6.1471394968747387E-3</v>
      </c>
      <c r="G1213" s="274">
        <f t="shared" si="37"/>
        <v>-8.6120811862392364E-4</v>
      </c>
    </row>
    <row r="1214" spans="1:7" ht="14.25" customHeight="1" x14ac:dyDescent="0.3">
      <c r="A1214" s="20">
        <v>45709</v>
      </c>
      <c r="B1214" s="21" t="s">
        <v>2023</v>
      </c>
      <c r="C1214" s="20">
        <v>45709</v>
      </c>
      <c r="D1214" s="21" t="s">
        <v>2024</v>
      </c>
      <c r="F1214" s="274">
        <f t="shared" si="36"/>
        <v>-1.8639202342497919E-3</v>
      </c>
      <c r="G1214" s="274">
        <f t="shared" si="37"/>
        <v>-5.1171487988824647E-3</v>
      </c>
    </row>
    <row r="1215" spans="1:7" ht="14.25" customHeight="1" x14ac:dyDescent="0.3">
      <c r="A1215" s="20">
        <v>45712</v>
      </c>
      <c r="B1215" s="21" t="s">
        <v>2025</v>
      </c>
      <c r="C1215" s="20">
        <v>45712</v>
      </c>
      <c r="D1215" s="21" t="s">
        <v>2026</v>
      </c>
      <c r="F1215" s="274">
        <f t="shared" si="36"/>
        <v>-2.3965178997828327E-2</v>
      </c>
      <c r="G1215" s="274">
        <f t="shared" si="37"/>
        <v>-1.0640105330068515E-2</v>
      </c>
    </row>
    <row r="1216" spans="1:7" ht="14.25" customHeight="1" x14ac:dyDescent="0.3">
      <c r="A1216" s="20">
        <v>45713</v>
      </c>
      <c r="B1216" s="21">
        <v>469.25</v>
      </c>
      <c r="C1216" s="20">
        <v>45713</v>
      </c>
      <c r="D1216" s="21">
        <v>22547.55078125</v>
      </c>
      <c r="F1216" s="274">
        <f t="shared" si="36"/>
        <v>-2.4447149477154206E-3</v>
      </c>
      <c r="G1216" s="274">
        <f t="shared" si="37"/>
        <v>-2.5711604818955748E-4</v>
      </c>
    </row>
    <row r="1217" spans="1:7" ht="14.25" customHeight="1" x14ac:dyDescent="0.3">
      <c r="A1217" s="20">
        <v>45715</v>
      </c>
      <c r="B1217" s="21" t="s">
        <v>2027</v>
      </c>
      <c r="C1217" s="20">
        <v>45715</v>
      </c>
      <c r="D1217" s="21">
        <v>22545.05078125</v>
      </c>
      <c r="F1217" s="274">
        <f t="shared" si="36"/>
        <v>1.1720570974278338E-3</v>
      </c>
      <c r="G1217" s="274">
        <f t="shared" si="37"/>
        <v>-1.1087678764998901E-4</v>
      </c>
    </row>
    <row r="1218" spans="1:7" ht="14.25" customHeight="1" x14ac:dyDescent="0.3">
      <c r="A1218" s="20">
        <v>45716</v>
      </c>
      <c r="B1218" s="21" t="s">
        <v>2028</v>
      </c>
      <c r="C1218" s="20">
        <v>45716</v>
      </c>
      <c r="D1218" s="21">
        <v>22124.69921875</v>
      </c>
      <c r="F1218" s="274">
        <f t="shared" si="36"/>
        <v>-1.032349023404888E-2</v>
      </c>
      <c r="G1218" s="274">
        <f t="shared" si="37"/>
        <v>-1.8644959666695139E-2</v>
      </c>
    </row>
    <row r="1219" spans="1:7" ht="14.25" customHeight="1" x14ac:dyDescent="0.3">
      <c r="A1219" s="20">
        <v>45719</v>
      </c>
      <c r="B1219" s="21" t="s">
        <v>2029</v>
      </c>
      <c r="C1219" s="20">
        <v>45719</v>
      </c>
      <c r="D1219" s="21">
        <v>22119.30078125</v>
      </c>
      <c r="F1219" s="274">
        <f t="shared" ref="F1219:F1282" si="38">(B1219-B1218)/B1218</f>
        <v>1.4732714068382172E-2</v>
      </c>
      <c r="G1219" s="274">
        <f t="shared" ref="G1219:G1282" si="39">(D1219-D1218)/D1218</f>
        <v>-2.4400049223833022E-4</v>
      </c>
    </row>
    <row r="1220" spans="1:7" ht="14.25" customHeight="1" x14ac:dyDescent="0.3">
      <c r="A1220" s="20">
        <v>45720</v>
      </c>
      <c r="B1220" s="21">
        <v>475</v>
      </c>
      <c r="C1220" s="20">
        <v>45720</v>
      </c>
      <c r="D1220" s="21" t="s">
        <v>2030</v>
      </c>
      <c r="F1220" s="274">
        <f t="shared" si="38"/>
        <v>6.7825610212524975E-3</v>
      </c>
      <c r="G1220" s="274">
        <f t="shared" si="39"/>
        <v>-1.6569416451024373E-3</v>
      </c>
    </row>
    <row r="1221" spans="1:7" ht="14.25" customHeight="1" x14ac:dyDescent="0.3">
      <c r="A1221" s="20">
        <v>45721</v>
      </c>
      <c r="B1221" s="21" t="s">
        <v>2031</v>
      </c>
      <c r="C1221" s="20">
        <v>45721</v>
      </c>
      <c r="D1221" s="21">
        <v>22337.30078125</v>
      </c>
      <c r="F1221" s="274">
        <f t="shared" si="38"/>
        <v>3.3894749691610528E-2</v>
      </c>
      <c r="G1221" s="274">
        <f t="shared" si="39"/>
        <v>1.153169506922546E-2</v>
      </c>
    </row>
    <row r="1222" spans="1:7" ht="14.25" customHeight="1" x14ac:dyDescent="0.3">
      <c r="A1222" s="20">
        <v>45722</v>
      </c>
      <c r="B1222" s="21">
        <v>498.5</v>
      </c>
      <c r="C1222" s="20">
        <v>45722</v>
      </c>
      <c r="D1222" s="21">
        <v>22544.69921875</v>
      </c>
      <c r="F1222" s="274">
        <f t="shared" si="38"/>
        <v>1.5068201597466923E-2</v>
      </c>
      <c r="G1222" s="274">
        <f t="shared" si="39"/>
        <v>9.2848477768670643E-3</v>
      </c>
    </row>
    <row r="1223" spans="1:7" ht="14.25" customHeight="1" x14ac:dyDescent="0.3">
      <c r="A1223" s="20">
        <v>45723</v>
      </c>
      <c r="B1223" s="21" t="s">
        <v>2032</v>
      </c>
      <c r="C1223" s="20">
        <v>45723</v>
      </c>
      <c r="D1223" s="21">
        <v>22552.5</v>
      </c>
      <c r="F1223" s="274">
        <f t="shared" si="38"/>
        <v>2.6077989828846761E-3</v>
      </c>
      <c r="G1223" s="274">
        <f t="shared" si="39"/>
        <v>3.4601398645018238E-4</v>
      </c>
    </row>
    <row r="1224" spans="1:7" ht="14.25" customHeight="1" x14ac:dyDescent="0.3">
      <c r="A1224" s="20">
        <v>45726</v>
      </c>
      <c r="B1224" s="21" t="s">
        <v>2033</v>
      </c>
      <c r="C1224" s="20">
        <v>45726</v>
      </c>
      <c r="D1224" s="21">
        <v>22460.30078125</v>
      </c>
      <c r="F1224" s="274">
        <f t="shared" si="38"/>
        <v>-2.0408127128002544E-2</v>
      </c>
      <c r="G1224" s="274">
        <f t="shared" si="39"/>
        <v>-4.0882039130916746E-3</v>
      </c>
    </row>
    <row r="1225" spans="1:7" ht="14.25" customHeight="1" x14ac:dyDescent="0.3">
      <c r="A1225" s="20">
        <v>45727</v>
      </c>
      <c r="B1225" s="21" t="s">
        <v>2034</v>
      </c>
      <c r="C1225" s="20">
        <v>45727</v>
      </c>
      <c r="D1225" s="21" t="s">
        <v>2035</v>
      </c>
      <c r="F1225" s="274">
        <f t="shared" si="38"/>
        <v>1.2152740227284679E-2</v>
      </c>
      <c r="G1225" s="274">
        <f t="shared" si="39"/>
        <v>1.6740474556061328E-3</v>
      </c>
    </row>
    <row r="1226" spans="1:7" ht="14.25" customHeight="1" x14ac:dyDescent="0.3">
      <c r="A1226" s="20">
        <v>45728</v>
      </c>
      <c r="B1226" s="21" t="s">
        <v>2036</v>
      </c>
      <c r="C1226" s="20">
        <v>45728</v>
      </c>
      <c r="D1226" s="21">
        <v>22470.5</v>
      </c>
      <c r="F1226" s="274">
        <f t="shared" si="38"/>
        <v>-1.281399604955675E-2</v>
      </c>
      <c r="G1226" s="274">
        <f t="shared" si="39"/>
        <v>-1.217908789231634E-3</v>
      </c>
    </row>
    <row r="1227" spans="1:7" ht="14.25" customHeight="1" x14ac:dyDescent="0.3">
      <c r="A1227" s="20">
        <v>45729</v>
      </c>
      <c r="B1227" s="21" t="s">
        <v>2037</v>
      </c>
      <c r="C1227" s="20">
        <v>45729</v>
      </c>
      <c r="D1227" s="21">
        <v>22397.19921875</v>
      </c>
      <c r="F1227" s="274">
        <f t="shared" si="38"/>
        <v>-6.9501723818929714E-3</v>
      </c>
      <c r="G1227" s="274">
        <f t="shared" si="39"/>
        <v>-3.2620894617387242E-3</v>
      </c>
    </row>
    <row r="1228" spans="1:7" ht="14.25" customHeight="1" x14ac:dyDescent="0.3">
      <c r="A1228" s="20">
        <v>45733</v>
      </c>
      <c r="B1228" s="21" t="s">
        <v>2038</v>
      </c>
      <c r="C1228" s="20">
        <v>45733</v>
      </c>
      <c r="D1228" s="21">
        <v>22508.75</v>
      </c>
      <c r="F1228" s="274">
        <f t="shared" si="38"/>
        <v>9.777686536345271E-3</v>
      </c>
      <c r="G1228" s="274">
        <f t="shared" si="39"/>
        <v>4.9805683362683286E-3</v>
      </c>
    </row>
    <row r="1229" spans="1:7" ht="14.25" customHeight="1" x14ac:dyDescent="0.3">
      <c r="A1229" s="20">
        <v>45734</v>
      </c>
      <c r="B1229" s="21" t="s">
        <v>2038</v>
      </c>
      <c r="C1229" s="20">
        <v>45734</v>
      </c>
      <c r="D1229" s="21">
        <v>22834.30078125</v>
      </c>
      <c r="F1229" s="274">
        <f t="shared" si="38"/>
        <v>0</v>
      </c>
      <c r="G1229" s="274">
        <f t="shared" si="39"/>
        <v>1.4463298994835342E-2</v>
      </c>
    </row>
    <row r="1230" spans="1:7" ht="14.25" customHeight="1" x14ac:dyDescent="0.3">
      <c r="A1230" s="20">
        <v>45735</v>
      </c>
      <c r="B1230" s="21" t="s">
        <v>2039</v>
      </c>
      <c r="C1230" s="20">
        <v>45735</v>
      </c>
      <c r="D1230" s="21" t="s">
        <v>2040</v>
      </c>
      <c r="F1230" s="274">
        <f t="shared" si="38"/>
        <v>3.3635715850763956E-2</v>
      </c>
      <c r="G1230" s="274">
        <f t="shared" si="39"/>
        <v>3.2100316461272198E-3</v>
      </c>
    </row>
    <row r="1231" spans="1:7" ht="14.25" customHeight="1" x14ac:dyDescent="0.3">
      <c r="A1231" s="20">
        <v>45736</v>
      </c>
      <c r="B1231" s="21" t="s">
        <v>2041</v>
      </c>
      <c r="C1231" s="20">
        <v>45736</v>
      </c>
      <c r="D1231" s="21" t="s">
        <v>2042</v>
      </c>
      <c r="F1231" s="274">
        <f t="shared" si="38"/>
        <v>-4.6346033774021106E-3</v>
      </c>
      <c r="G1231" s="274">
        <f t="shared" si="39"/>
        <v>1.2356195589090036E-2</v>
      </c>
    </row>
    <row r="1232" spans="1:7" ht="14.25" customHeight="1" x14ac:dyDescent="0.3">
      <c r="A1232" s="20">
        <v>45737</v>
      </c>
      <c r="B1232" s="21">
        <v>514.5</v>
      </c>
      <c r="C1232" s="20">
        <v>45737</v>
      </c>
      <c r="D1232" s="21" t="s">
        <v>2043</v>
      </c>
      <c r="F1232" s="274">
        <f t="shared" si="38"/>
        <v>1.9417451071804141E-2</v>
      </c>
      <c r="G1232" s="274">
        <f t="shared" si="39"/>
        <v>6.8885519512889631E-3</v>
      </c>
    </row>
    <row r="1233" spans="1:7" ht="14.25" customHeight="1" x14ac:dyDescent="0.3">
      <c r="A1233" s="20">
        <v>45740</v>
      </c>
      <c r="B1233" s="21" t="s">
        <v>1995</v>
      </c>
      <c r="C1233" s="20">
        <v>45740</v>
      </c>
      <c r="D1233" s="21" t="s">
        <v>2044</v>
      </c>
      <c r="F1233" s="274">
        <f t="shared" si="38"/>
        <v>9.3294223381301337E-3</v>
      </c>
      <c r="G1233" s="274">
        <f t="shared" si="39"/>
        <v>1.3188177230298765E-2</v>
      </c>
    </row>
    <row r="1234" spans="1:7" ht="14.25" customHeight="1" x14ac:dyDescent="0.3">
      <c r="A1234" s="20">
        <v>45741</v>
      </c>
      <c r="B1234" s="21" t="s">
        <v>1352</v>
      </c>
      <c r="C1234" s="20">
        <v>45741</v>
      </c>
      <c r="D1234" s="21" t="s">
        <v>2045</v>
      </c>
      <c r="F1234" s="274">
        <f t="shared" si="38"/>
        <v>2.4070865191284079E-3</v>
      </c>
      <c r="G1234" s="274">
        <f t="shared" si="39"/>
        <v>4.3539728764165997E-4</v>
      </c>
    </row>
    <row r="1235" spans="1:7" ht="14.25" customHeight="1" x14ac:dyDescent="0.3">
      <c r="A1235" s="20">
        <v>45742</v>
      </c>
      <c r="B1235" s="21" t="s">
        <v>2046</v>
      </c>
      <c r="C1235" s="20">
        <v>45742</v>
      </c>
      <c r="D1235" s="21" t="s">
        <v>2047</v>
      </c>
      <c r="F1235" s="274">
        <f t="shared" si="38"/>
        <v>2.286048351382523E-2</v>
      </c>
      <c r="G1235" s="274">
        <f t="shared" si="39"/>
        <v>-7.6810793285454976E-3</v>
      </c>
    </row>
    <row r="1236" spans="1:7" ht="14.25" customHeight="1" x14ac:dyDescent="0.3">
      <c r="A1236" s="20">
        <v>45743</v>
      </c>
      <c r="B1236" s="21" t="s">
        <v>2048</v>
      </c>
      <c r="C1236" s="20">
        <v>45743</v>
      </c>
      <c r="D1236" s="21">
        <v>23591.94921875</v>
      </c>
      <c r="F1236" s="274">
        <f t="shared" si="38"/>
        <v>1.9438398626447171E-2</v>
      </c>
      <c r="G1236" s="274">
        <f t="shared" si="39"/>
        <v>4.4748278770026483E-3</v>
      </c>
    </row>
    <row r="1237" spans="1:7" ht="14.25" customHeight="1" x14ac:dyDescent="0.3">
      <c r="A1237" s="20">
        <v>45744</v>
      </c>
      <c r="B1237" s="21" t="s">
        <v>2049</v>
      </c>
      <c r="C1237" s="20">
        <v>45744</v>
      </c>
      <c r="D1237" s="21" t="s">
        <v>2050</v>
      </c>
      <c r="F1237" s="274">
        <f t="shared" si="38"/>
        <v>-8.1982540661519141E-3</v>
      </c>
      <c r="G1237" s="274">
        <f t="shared" si="39"/>
        <v>-3.0773044101544836E-3</v>
      </c>
    </row>
    <row r="1238" spans="1:7" ht="14.25" customHeight="1" x14ac:dyDescent="0.3">
      <c r="A1238" s="20">
        <v>45748</v>
      </c>
      <c r="B1238" s="21" t="s">
        <v>1990</v>
      </c>
      <c r="C1238" s="20">
        <v>45748</v>
      </c>
      <c r="D1238" s="21">
        <v>23165.69921875</v>
      </c>
      <c r="F1238" s="274">
        <f t="shared" si="38"/>
        <v>-1.5696018491833535E-2</v>
      </c>
      <c r="G1238" s="274">
        <f t="shared" si="39"/>
        <v>-1.5036571865236959E-2</v>
      </c>
    </row>
    <row r="1239" spans="1:7" ht="14.25" customHeight="1" x14ac:dyDescent="0.3">
      <c r="A1239" s="20">
        <v>45749</v>
      </c>
      <c r="B1239" s="21" t="s">
        <v>1327</v>
      </c>
      <c r="C1239" s="20">
        <v>45749</v>
      </c>
      <c r="D1239" s="21" t="s">
        <v>2051</v>
      </c>
      <c r="F1239" s="274">
        <f t="shared" si="38"/>
        <v>7.8315968818735929E-3</v>
      </c>
      <c r="G1239" s="274">
        <f t="shared" si="39"/>
        <v>7.1938424586863083E-3</v>
      </c>
    </row>
    <row r="1240" spans="1:7" ht="14.25" customHeight="1" x14ac:dyDescent="0.3">
      <c r="A1240" s="20">
        <v>45750</v>
      </c>
      <c r="B1240" s="21" t="s">
        <v>2052</v>
      </c>
      <c r="C1240" s="20">
        <v>45750</v>
      </c>
      <c r="D1240" s="21" t="s">
        <v>2053</v>
      </c>
      <c r="F1240" s="274">
        <f t="shared" si="38"/>
        <v>1.2452063600909667E-2</v>
      </c>
      <c r="G1240" s="274">
        <f t="shared" si="39"/>
        <v>-3.5251486188494162E-3</v>
      </c>
    </row>
    <row r="1241" spans="1:7" ht="14.25" customHeight="1" x14ac:dyDescent="0.3">
      <c r="A1241" s="20">
        <v>45751</v>
      </c>
      <c r="B1241" s="21" t="s">
        <v>2054</v>
      </c>
      <c r="C1241" s="20">
        <v>45751</v>
      </c>
      <c r="D1241" s="21">
        <v>22904.44921875</v>
      </c>
      <c r="F1241" s="274">
        <f t="shared" si="38"/>
        <v>-2.3118179614935574E-2</v>
      </c>
      <c r="G1241" s="274">
        <f t="shared" si="39"/>
        <v>-1.4866619775066488E-2</v>
      </c>
    </row>
    <row r="1242" spans="1:7" ht="14.25" customHeight="1" x14ac:dyDescent="0.3">
      <c r="A1242" s="20">
        <v>45754</v>
      </c>
      <c r="B1242" s="21" t="s">
        <v>1702</v>
      </c>
      <c r="C1242" s="20">
        <v>45754</v>
      </c>
      <c r="D1242" s="21" t="s">
        <v>2055</v>
      </c>
      <c r="F1242" s="274">
        <f t="shared" si="38"/>
        <v>-5.67966666162085E-3</v>
      </c>
      <c r="G1242" s="274">
        <f t="shared" si="39"/>
        <v>-3.2432546283055336E-2</v>
      </c>
    </row>
    <row r="1243" spans="1:7" ht="14.25" customHeight="1" x14ac:dyDescent="0.3">
      <c r="A1243" s="20">
        <v>45755</v>
      </c>
      <c r="B1243" s="21" t="s">
        <v>2056</v>
      </c>
      <c r="C1243" s="20">
        <v>45755</v>
      </c>
      <c r="D1243" s="21" t="s">
        <v>2057</v>
      </c>
      <c r="F1243" s="274">
        <f t="shared" si="38"/>
        <v>2.2086777068398625E-2</v>
      </c>
      <c r="G1243" s="274">
        <f t="shared" si="39"/>
        <v>1.688731890281428E-2</v>
      </c>
    </row>
    <row r="1244" spans="1:7" ht="14.25" customHeight="1" x14ac:dyDescent="0.3">
      <c r="A1244" s="20">
        <v>45756</v>
      </c>
      <c r="B1244" s="21" t="s">
        <v>2058</v>
      </c>
      <c r="C1244" s="20">
        <v>45756</v>
      </c>
      <c r="D1244" s="21" t="s">
        <v>2059</v>
      </c>
      <c r="F1244" s="274">
        <f t="shared" si="38"/>
        <v>2.0491803744679779E-2</v>
      </c>
      <c r="G1244" s="274">
        <f t="shared" si="39"/>
        <v>-6.0658560080704745E-3</v>
      </c>
    </row>
    <row r="1245" spans="1:7" ht="14.25" customHeight="1" x14ac:dyDescent="0.3">
      <c r="A1245" s="20">
        <v>45758</v>
      </c>
      <c r="B1245" s="21" t="s">
        <v>2060</v>
      </c>
      <c r="C1245" s="20">
        <v>45758</v>
      </c>
      <c r="D1245" s="21">
        <v>22828.55078125</v>
      </c>
      <c r="F1245" s="274">
        <f t="shared" si="38"/>
        <v>1.5517280760059976E-3</v>
      </c>
      <c r="G1245" s="274">
        <f t="shared" si="39"/>
        <v>1.9170387409190411E-2</v>
      </c>
    </row>
    <row r="1246" spans="1:7" ht="14.25" customHeight="1" x14ac:dyDescent="0.3">
      <c r="A1246" s="20">
        <v>45762</v>
      </c>
      <c r="B1246" s="21" t="s">
        <v>2061</v>
      </c>
      <c r="C1246" s="20">
        <v>45762</v>
      </c>
      <c r="D1246" s="21">
        <v>23328.55078125</v>
      </c>
      <c r="F1246" s="274">
        <f t="shared" si="38"/>
        <v>1.7132895216663342E-2</v>
      </c>
      <c r="G1246" s="274">
        <f t="shared" si="39"/>
        <v>2.1902397782108445E-2</v>
      </c>
    </row>
    <row r="1247" spans="1:7" ht="14.25" customHeight="1" x14ac:dyDescent="0.3">
      <c r="A1247" s="20">
        <v>45763</v>
      </c>
      <c r="B1247" s="21">
        <v>565.75</v>
      </c>
      <c r="C1247" s="20">
        <v>45763</v>
      </c>
      <c r="D1247" s="21">
        <v>23437.19921875</v>
      </c>
      <c r="F1247" s="274">
        <f t="shared" si="38"/>
        <v>1.3798068946269179E-2</v>
      </c>
      <c r="G1247" s="274">
        <f t="shared" si="39"/>
        <v>4.657316201027141E-3</v>
      </c>
    </row>
    <row r="1248" spans="1:7" ht="14.25" customHeight="1" x14ac:dyDescent="0.3">
      <c r="A1248" s="20">
        <v>45764</v>
      </c>
      <c r="B1248" s="21" t="s">
        <v>2062</v>
      </c>
      <c r="C1248" s="20">
        <v>45764</v>
      </c>
      <c r="D1248" s="21" t="s">
        <v>2063</v>
      </c>
      <c r="F1248" s="274">
        <f t="shared" si="38"/>
        <v>7.1586173980874137E-3</v>
      </c>
      <c r="G1248" s="274">
        <f t="shared" si="39"/>
        <v>1.7683476937954037E-2</v>
      </c>
    </row>
    <row r="1249" spans="1:7" ht="14.25" customHeight="1" x14ac:dyDescent="0.3">
      <c r="A1249" s="20">
        <v>45768</v>
      </c>
      <c r="B1249" s="21" t="s">
        <v>2064</v>
      </c>
      <c r="C1249" s="20">
        <v>45768</v>
      </c>
      <c r="D1249" s="21">
        <v>24125.55078125</v>
      </c>
      <c r="F1249" s="274">
        <f t="shared" si="38"/>
        <v>1.597058058274391E-2</v>
      </c>
      <c r="G1249" s="274">
        <f t="shared" si="39"/>
        <v>1.1483498464016469E-2</v>
      </c>
    </row>
    <row r="1250" spans="1:7" ht="14.25" customHeight="1" x14ac:dyDescent="0.3">
      <c r="A1250" s="20">
        <v>45769</v>
      </c>
      <c r="B1250" s="21" t="s">
        <v>2065</v>
      </c>
      <c r="C1250" s="20">
        <v>45769</v>
      </c>
      <c r="D1250" s="21">
        <v>24167.25</v>
      </c>
      <c r="F1250" s="274">
        <f t="shared" si="38"/>
        <v>-1.7274139882998924E-3</v>
      </c>
      <c r="G1250" s="274">
        <f t="shared" si="39"/>
        <v>1.728425565413743E-3</v>
      </c>
    </row>
    <row r="1251" spans="1:7" ht="14.25" customHeight="1" x14ac:dyDescent="0.3">
      <c r="A1251" s="20">
        <v>45770</v>
      </c>
      <c r="B1251" s="21" t="s">
        <v>1324</v>
      </c>
      <c r="C1251" s="20">
        <v>45770</v>
      </c>
      <c r="D1251" s="21">
        <v>24328.94921875</v>
      </c>
      <c r="F1251" s="274">
        <f t="shared" si="38"/>
        <v>-6.1430155358176801E-3</v>
      </c>
      <c r="G1251" s="274">
        <f t="shared" si="39"/>
        <v>6.6908406521221904E-3</v>
      </c>
    </row>
    <row r="1252" spans="1:7" ht="14.25" customHeight="1" x14ac:dyDescent="0.3">
      <c r="A1252" s="20">
        <v>45771</v>
      </c>
      <c r="B1252" s="21">
        <v>572</v>
      </c>
      <c r="C1252" s="20">
        <v>45771</v>
      </c>
      <c r="D1252" s="21">
        <v>24246.69921875</v>
      </c>
      <c r="F1252" s="274">
        <f t="shared" si="38"/>
        <v>-4.0915394547369147E-3</v>
      </c>
      <c r="G1252" s="274">
        <f t="shared" si="39"/>
        <v>-3.3807460922566689E-3</v>
      </c>
    </row>
    <row r="1253" spans="1:7" ht="14.25" customHeight="1" x14ac:dyDescent="0.3">
      <c r="A1253" s="20">
        <v>45772</v>
      </c>
      <c r="B1253" s="21" t="s">
        <v>1989</v>
      </c>
      <c r="C1253" s="20">
        <v>45772</v>
      </c>
      <c r="D1253" s="21" t="s">
        <v>2066</v>
      </c>
      <c r="F1253" s="274">
        <f t="shared" si="38"/>
        <v>-4.0734244393302407E-2</v>
      </c>
      <c r="G1253" s="274">
        <f t="shared" si="39"/>
        <v>-8.5516633626838701E-3</v>
      </c>
    </row>
    <row r="1254" spans="1:7" ht="14.25" customHeight="1" x14ac:dyDescent="0.3">
      <c r="A1254" s="20">
        <v>45775</v>
      </c>
      <c r="B1254" s="21" t="s">
        <v>2067</v>
      </c>
      <c r="C1254" s="20">
        <v>45775</v>
      </c>
      <c r="D1254" s="21">
        <v>24328.5</v>
      </c>
      <c r="F1254" s="274">
        <f t="shared" si="38"/>
        <v>-6.834335550524975E-3</v>
      </c>
      <c r="G1254" s="274">
        <f t="shared" si="39"/>
        <v>1.2028211882747256E-2</v>
      </c>
    </row>
    <row r="1255" spans="1:7" ht="14.25" customHeight="1" x14ac:dyDescent="0.3">
      <c r="A1255" s="20">
        <v>45776</v>
      </c>
      <c r="B1255" s="21" t="s">
        <v>2068</v>
      </c>
      <c r="C1255" s="20">
        <v>45776</v>
      </c>
      <c r="D1255" s="21">
        <v>24335.94921875</v>
      </c>
      <c r="F1255" s="274">
        <f t="shared" si="38"/>
        <v>-2.0185337652256091E-2</v>
      </c>
      <c r="G1255" s="274">
        <f t="shared" si="39"/>
        <v>3.0619309657397702E-4</v>
      </c>
    </row>
    <row r="1256" spans="1:7" ht="14.25" customHeight="1" x14ac:dyDescent="0.3">
      <c r="A1256" s="20">
        <v>45777</v>
      </c>
      <c r="B1256" s="21" t="s">
        <v>2069</v>
      </c>
      <c r="C1256" s="20">
        <v>45777</v>
      </c>
      <c r="D1256" s="21">
        <v>24334.19921875</v>
      </c>
      <c r="F1256" s="274">
        <f t="shared" si="38"/>
        <v>1.0768798330452186E-2</v>
      </c>
      <c r="G1256" s="274">
        <f t="shared" si="39"/>
        <v>-7.1910077731904783E-5</v>
      </c>
    </row>
    <row r="1257" spans="1:7" ht="14.25" customHeight="1" x14ac:dyDescent="0.3">
      <c r="A1257" s="20">
        <v>45779</v>
      </c>
      <c r="B1257" s="21" t="s">
        <v>2070</v>
      </c>
      <c r="C1257" s="20">
        <v>45779</v>
      </c>
      <c r="D1257" s="21">
        <v>24346.69921875</v>
      </c>
      <c r="F1257" s="274">
        <f t="shared" si="38"/>
        <v>-2.0844913369548815E-2</v>
      </c>
      <c r="G1257" s="274">
        <f t="shared" si="39"/>
        <v>5.1368035116473008E-4</v>
      </c>
    </row>
    <row r="1258" spans="1:7" ht="14.25" customHeight="1" x14ac:dyDescent="0.3">
      <c r="A1258" s="20">
        <v>45782</v>
      </c>
      <c r="B1258" s="21" t="s">
        <v>2071</v>
      </c>
      <c r="C1258" s="20">
        <v>45782</v>
      </c>
      <c r="D1258" s="21" t="s">
        <v>2072</v>
      </c>
      <c r="F1258" s="274">
        <f t="shared" si="38"/>
        <v>2.4505652205298073E-2</v>
      </c>
      <c r="G1258" s="274">
        <f t="shared" si="39"/>
        <v>4.700890697612853E-3</v>
      </c>
    </row>
    <row r="1259" spans="1:7" ht="14.25" customHeight="1" x14ac:dyDescent="0.3">
      <c r="A1259" s="20">
        <v>45783</v>
      </c>
      <c r="B1259" s="21" t="s">
        <v>2073</v>
      </c>
      <c r="C1259" s="20">
        <v>45783</v>
      </c>
      <c r="D1259" s="21" t="s">
        <v>2074</v>
      </c>
      <c r="F1259" s="274">
        <f t="shared" si="38"/>
        <v>-1.1544144289177216E-2</v>
      </c>
      <c r="G1259" s="274">
        <f t="shared" si="39"/>
        <v>-3.3338898599493184E-3</v>
      </c>
    </row>
    <row r="1260" spans="1:7" ht="14.25" customHeight="1" x14ac:dyDescent="0.3">
      <c r="A1260" s="20">
        <v>45784</v>
      </c>
      <c r="B1260" s="21" t="s">
        <v>2075</v>
      </c>
      <c r="C1260" s="20">
        <v>45784</v>
      </c>
      <c r="D1260" s="21" t="s">
        <v>2076</v>
      </c>
      <c r="F1260" s="274">
        <f t="shared" si="38"/>
        <v>9.340893336164791E-5</v>
      </c>
      <c r="G1260" s="274">
        <f t="shared" si="39"/>
        <v>1.4274549954716078E-3</v>
      </c>
    </row>
    <row r="1261" spans="1:7" ht="14.25" customHeight="1" x14ac:dyDescent="0.3">
      <c r="A1261" s="20">
        <v>45785</v>
      </c>
      <c r="B1261" s="21" t="s">
        <v>2077</v>
      </c>
      <c r="C1261" s="20">
        <v>45785</v>
      </c>
      <c r="D1261" s="21">
        <v>24273.80078125</v>
      </c>
      <c r="F1261" s="274">
        <f t="shared" si="38"/>
        <v>-2.0179348928697757E-2</v>
      </c>
      <c r="G1261" s="274">
        <f t="shared" si="39"/>
        <v>-5.7588802970966885E-3</v>
      </c>
    </row>
    <row r="1262" spans="1:7" ht="14.25" customHeight="1" x14ac:dyDescent="0.3">
      <c r="A1262" s="20">
        <v>45786</v>
      </c>
      <c r="B1262" s="21" t="s">
        <v>1712</v>
      </c>
      <c r="C1262" s="20">
        <v>45786</v>
      </c>
      <c r="D1262" s="21">
        <v>24008</v>
      </c>
      <c r="F1262" s="274">
        <f t="shared" si="38"/>
        <v>5.816147313068642E-3</v>
      </c>
      <c r="G1262" s="274">
        <f t="shared" si="39"/>
        <v>-1.0950109694206379E-2</v>
      </c>
    </row>
    <row r="1263" spans="1:7" ht="14.25" customHeight="1" x14ac:dyDescent="0.3">
      <c r="A1263" s="20">
        <v>45789</v>
      </c>
      <c r="B1263" s="21" t="s">
        <v>2078</v>
      </c>
      <c r="C1263" s="20">
        <v>45789</v>
      </c>
      <c r="D1263" s="21">
        <v>24924.69921875</v>
      </c>
      <c r="F1263" s="274">
        <f t="shared" si="38"/>
        <v>2.6922005646778394E-2</v>
      </c>
      <c r="G1263" s="274">
        <f t="shared" si="39"/>
        <v>3.8183073090219927E-2</v>
      </c>
    </row>
    <row r="1264" spans="1:7" ht="14.25" customHeight="1" x14ac:dyDescent="0.3">
      <c r="A1264" s="20">
        <v>45790</v>
      </c>
      <c r="B1264" s="21" t="s">
        <v>2079</v>
      </c>
      <c r="C1264" s="20">
        <v>45790</v>
      </c>
      <c r="D1264" s="21" t="s">
        <v>2080</v>
      </c>
      <c r="F1264" s="274">
        <f t="shared" si="38"/>
        <v>-8.7695002047463826E-3</v>
      </c>
      <c r="G1264" s="274">
        <f t="shared" si="39"/>
        <v>-1.389583907654352E-2</v>
      </c>
    </row>
    <row r="1265" spans="1:7" ht="14.25" customHeight="1" x14ac:dyDescent="0.3">
      <c r="A1265" s="20">
        <v>45791</v>
      </c>
      <c r="B1265" s="21" t="s">
        <v>2081</v>
      </c>
      <c r="C1265" s="20">
        <v>45791</v>
      </c>
      <c r="D1265" s="21" t="s">
        <v>2082</v>
      </c>
      <c r="F1265" s="274">
        <f t="shared" si="38"/>
        <v>1.2478954865362305E-2</v>
      </c>
      <c r="G1265" s="274">
        <f t="shared" si="39"/>
        <v>3.6027960647212775E-3</v>
      </c>
    </row>
    <row r="1266" spans="1:7" ht="14.25" customHeight="1" x14ac:dyDescent="0.3">
      <c r="A1266" s="20">
        <v>45792</v>
      </c>
      <c r="B1266" s="21" t="s">
        <v>2083</v>
      </c>
      <c r="C1266" s="20">
        <v>45792</v>
      </c>
      <c r="D1266" s="21" t="s">
        <v>2084</v>
      </c>
      <c r="F1266" s="274">
        <f t="shared" si="38"/>
        <v>7.266395114851245E-3</v>
      </c>
      <c r="G1266" s="274">
        <f t="shared" si="39"/>
        <v>1.6021438141461865E-2</v>
      </c>
    </row>
    <row r="1267" spans="1:7" ht="14.25" customHeight="1" x14ac:dyDescent="0.3">
      <c r="A1267" s="20">
        <v>45793</v>
      </c>
      <c r="B1267" s="21">
        <v>563.5</v>
      </c>
      <c r="C1267" s="20">
        <v>45793</v>
      </c>
      <c r="D1267" s="21">
        <v>25019.80078125</v>
      </c>
      <c r="F1267" s="274">
        <f t="shared" si="38"/>
        <v>2.9129782782613894E-2</v>
      </c>
      <c r="G1267" s="274">
        <f t="shared" si="39"/>
        <v>-1.6877607536591724E-3</v>
      </c>
    </row>
    <row r="1268" spans="1:7" ht="14.25" customHeight="1" x14ac:dyDescent="0.3">
      <c r="A1268" s="20">
        <v>45796</v>
      </c>
      <c r="B1268" s="21" t="s">
        <v>2085</v>
      </c>
      <c r="C1268" s="20">
        <v>45796</v>
      </c>
      <c r="D1268" s="21">
        <v>24945.44921875</v>
      </c>
      <c r="F1268" s="274">
        <f t="shared" si="38"/>
        <v>3.6379552670238761E-3</v>
      </c>
      <c r="G1268" s="274">
        <f t="shared" si="39"/>
        <v>-2.9717088137536066E-3</v>
      </c>
    </row>
    <row r="1269" spans="1:7" ht="14.25" customHeight="1" x14ac:dyDescent="0.3">
      <c r="A1269" s="20">
        <v>45797</v>
      </c>
      <c r="B1269" s="21" t="s">
        <v>2086</v>
      </c>
      <c r="C1269" s="20">
        <v>45797</v>
      </c>
      <c r="D1269" s="21" t="s">
        <v>2087</v>
      </c>
      <c r="F1269" s="274">
        <f t="shared" si="38"/>
        <v>-6.188666034029254E-3</v>
      </c>
      <c r="G1269" s="274">
        <f t="shared" si="39"/>
        <v>-1.0484831354666864E-2</v>
      </c>
    </row>
    <row r="1270" spans="1:7" ht="14.25" customHeight="1" x14ac:dyDescent="0.3">
      <c r="A1270" s="20">
        <v>45798</v>
      </c>
      <c r="B1270" s="21" t="s">
        <v>2088</v>
      </c>
      <c r="C1270" s="20">
        <v>45798</v>
      </c>
      <c r="D1270" s="21">
        <v>24813.44921875</v>
      </c>
      <c r="F1270" s="274">
        <f t="shared" si="38"/>
        <v>1.0230406769651994E-2</v>
      </c>
      <c r="G1270" s="274">
        <f t="shared" si="39"/>
        <v>5.2483127088862724E-3</v>
      </c>
    </row>
    <row r="1271" spans="1:7" ht="14.25" customHeight="1" x14ac:dyDescent="0.3">
      <c r="A1271" s="20">
        <v>45799</v>
      </c>
      <c r="B1271" s="21">
        <v>567.75</v>
      </c>
      <c r="C1271" s="20">
        <v>45799</v>
      </c>
      <c r="D1271" s="21">
        <v>24609.69921875</v>
      </c>
      <c r="F1271" s="274">
        <f t="shared" si="38"/>
        <v>-8.8037678835211266E-5</v>
      </c>
      <c r="G1271" s="274">
        <f t="shared" si="39"/>
        <v>-8.2112727740421762E-3</v>
      </c>
    </row>
    <row r="1272" spans="1:7" ht="14.25" customHeight="1" x14ac:dyDescent="0.3">
      <c r="A1272" s="20">
        <v>45800</v>
      </c>
      <c r="B1272" s="21" t="s">
        <v>1726</v>
      </c>
      <c r="C1272" s="20">
        <v>45800</v>
      </c>
      <c r="D1272" s="21" t="s">
        <v>2089</v>
      </c>
      <c r="F1272" s="274">
        <f t="shared" si="38"/>
        <v>5.5482596460802204E-3</v>
      </c>
      <c r="G1272" s="274">
        <f t="shared" si="39"/>
        <v>9.8924887180057795E-3</v>
      </c>
    </row>
    <row r="1273" spans="1:7" ht="14.25" customHeight="1" x14ac:dyDescent="0.3">
      <c r="A1273" s="20">
        <v>45803</v>
      </c>
      <c r="B1273" s="21" t="s">
        <v>2090</v>
      </c>
      <c r="C1273" s="20">
        <v>45803</v>
      </c>
      <c r="D1273" s="21" t="s">
        <v>2091</v>
      </c>
      <c r="F1273" s="274">
        <f t="shared" si="38"/>
        <v>-6.568575651838127E-3</v>
      </c>
      <c r="G1273" s="274">
        <f t="shared" si="39"/>
        <v>5.9549794562796321E-3</v>
      </c>
    </row>
    <row r="1274" spans="1:7" ht="14.25" customHeight="1" x14ac:dyDescent="0.3">
      <c r="A1274" s="20">
        <v>45804</v>
      </c>
      <c r="B1274" s="21" t="s">
        <v>2092</v>
      </c>
      <c r="C1274" s="20">
        <v>45804</v>
      </c>
      <c r="D1274" s="21">
        <v>24826.19921875</v>
      </c>
      <c r="F1274" s="274">
        <f t="shared" si="38"/>
        <v>-7.8462699735020736E-3</v>
      </c>
      <c r="G1274" s="274">
        <f t="shared" si="39"/>
        <v>-6.9977248703165145E-3</v>
      </c>
    </row>
    <row r="1275" spans="1:7" ht="14.25" customHeight="1" x14ac:dyDescent="0.3">
      <c r="A1275" s="20">
        <v>45805</v>
      </c>
      <c r="B1275" s="21" t="s">
        <v>2093</v>
      </c>
      <c r="C1275" s="20">
        <v>45805</v>
      </c>
      <c r="D1275" s="21">
        <v>24752.44921875</v>
      </c>
      <c r="F1275" s="274">
        <f t="shared" si="38"/>
        <v>-1.8659814647074529E-3</v>
      </c>
      <c r="G1275" s="274">
        <f t="shared" si="39"/>
        <v>-2.9706520659956788E-3</v>
      </c>
    </row>
    <row r="1276" spans="1:7" ht="14.25" customHeight="1" x14ac:dyDescent="0.3">
      <c r="A1276" s="20">
        <v>45806</v>
      </c>
      <c r="B1276" s="21" t="s">
        <v>2094</v>
      </c>
      <c r="C1276" s="20">
        <v>45806</v>
      </c>
      <c r="D1276" s="21" t="s">
        <v>2095</v>
      </c>
      <c r="F1276" s="274">
        <f t="shared" si="38"/>
        <v>-3.5611537138217724E-4</v>
      </c>
      <c r="G1276" s="274">
        <f t="shared" si="39"/>
        <v>3.2784792287758142E-3</v>
      </c>
    </row>
    <row r="1277" spans="1:7" ht="14.25" customHeight="1" x14ac:dyDescent="0.3">
      <c r="A1277" s="20">
        <v>45807</v>
      </c>
      <c r="B1277" s="21">
        <v>553.5</v>
      </c>
      <c r="C1277" s="20">
        <v>45807</v>
      </c>
      <c r="D1277" s="21">
        <v>24750.69921875</v>
      </c>
      <c r="F1277" s="274">
        <f t="shared" si="38"/>
        <v>-1.4159786328581479E-2</v>
      </c>
      <c r="G1277" s="274">
        <f t="shared" si="39"/>
        <v>-3.3382349691143463E-3</v>
      </c>
    </row>
    <row r="1278" spans="1:7" ht="14.25" customHeight="1" x14ac:dyDescent="0.3">
      <c r="A1278" s="20">
        <v>45810</v>
      </c>
      <c r="B1278" s="21" t="s">
        <v>2096</v>
      </c>
      <c r="C1278" s="20">
        <v>45810</v>
      </c>
      <c r="D1278" s="21" t="s">
        <v>2097</v>
      </c>
      <c r="F1278" s="274">
        <f t="shared" si="38"/>
        <v>3.7036816494452648E-3</v>
      </c>
      <c r="G1278" s="274">
        <f t="shared" si="39"/>
        <v>-1.3777230725331466E-3</v>
      </c>
    </row>
    <row r="1279" spans="1:7" ht="14.25" customHeight="1" x14ac:dyDescent="0.3">
      <c r="A1279" s="20">
        <v>45811</v>
      </c>
      <c r="B1279" s="21" t="s">
        <v>2098</v>
      </c>
      <c r="C1279" s="20">
        <v>45811</v>
      </c>
      <c r="D1279" s="21">
        <v>24542.5</v>
      </c>
      <c r="F1279" s="274">
        <f t="shared" si="38"/>
        <v>-5.6699909065244707E-3</v>
      </c>
      <c r="G1279" s="274">
        <f t="shared" si="39"/>
        <v>-7.0438333802585072E-3</v>
      </c>
    </row>
    <row r="1280" spans="1:7" ht="14.25" customHeight="1" x14ac:dyDescent="0.3">
      <c r="A1280" s="20">
        <v>45812</v>
      </c>
      <c r="B1280" s="21" t="s">
        <v>2099</v>
      </c>
      <c r="C1280" s="20">
        <v>45812</v>
      </c>
      <c r="D1280" s="21">
        <v>24620.19921875</v>
      </c>
      <c r="F1280" s="274">
        <f t="shared" si="38"/>
        <v>9.0492018029868993E-5</v>
      </c>
      <c r="G1280" s="274">
        <f t="shared" si="39"/>
        <v>3.1659048079861465E-3</v>
      </c>
    </row>
    <row r="1281" spans="1:7" ht="14.25" customHeight="1" x14ac:dyDescent="0.3">
      <c r="A1281" s="20">
        <v>45813</v>
      </c>
      <c r="B1281" s="21" t="s">
        <v>2100</v>
      </c>
      <c r="C1281" s="20">
        <v>45813</v>
      </c>
      <c r="D1281" s="21" t="s">
        <v>2101</v>
      </c>
      <c r="F1281" s="274">
        <f t="shared" si="38"/>
        <v>-4.1632505061961252E-3</v>
      </c>
      <c r="G1281" s="274">
        <f t="shared" si="39"/>
        <v>5.3086967621066988E-3</v>
      </c>
    </row>
    <row r="1282" spans="1:7" ht="14.25" customHeight="1" x14ac:dyDescent="0.3">
      <c r="A1282" s="20">
        <v>45814</v>
      </c>
      <c r="B1282" s="21" t="s">
        <v>2102</v>
      </c>
      <c r="C1282" s="20">
        <v>45814</v>
      </c>
      <c r="D1282" s="21">
        <v>25003.05078125</v>
      </c>
      <c r="F1282" s="274">
        <f t="shared" si="38"/>
        <v>9.088430024746897E-3</v>
      </c>
      <c r="G1282" s="274">
        <f t="shared" si="39"/>
        <v>1.0187523954502602E-2</v>
      </c>
    </row>
    <row r="1283" spans="1:7" ht="14.25" customHeight="1" x14ac:dyDescent="0.3">
      <c r="A1283" s="20">
        <v>45817</v>
      </c>
      <c r="B1283" s="21">
        <v>560</v>
      </c>
      <c r="C1283" s="20">
        <v>45817</v>
      </c>
      <c r="D1283" s="21">
        <v>25103.19921875</v>
      </c>
      <c r="F1283" s="274">
        <f t="shared" ref="F1283:F1346" si="40">(B1283-B1282)/B1282</f>
        <v>8.7363331939990518E-3</v>
      </c>
      <c r="G1283" s="274">
        <f t="shared" ref="G1283:G1346" si="41">(D1283-D1282)/D1282</f>
        <v>4.0054487100870968E-3</v>
      </c>
    </row>
    <row r="1284" spans="1:7" ht="14.25" customHeight="1" x14ac:dyDescent="0.3">
      <c r="A1284" s="20">
        <v>45818</v>
      </c>
      <c r="B1284" s="21" t="s">
        <v>2103</v>
      </c>
      <c r="C1284" s="20">
        <v>45818</v>
      </c>
      <c r="D1284" s="21">
        <v>25104.25</v>
      </c>
      <c r="F1284" s="274">
        <f t="shared" si="40"/>
        <v>1.9642421177447239E-3</v>
      </c>
      <c r="G1284" s="274">
        <f t="shared" si="41"/>
        <v>4.185845958690213E-5</v>
      </c>
    </row>
    <row r="1285" spans="1:7" ht="14.25" customHeight="1" x14ac:dyDescent="0.3">
      <c r="A1285" s="20">
        <v>45819</v>
      </c>
      <c r="B1285" s="21">
        <v>561.25</v>
      </c>
      <c r="C1285" s="20">
        <v>45819</v>
      </c>
      <c r="D1285" s="21" t="s">
        <v>2104</v>
      </c>
      <c r="F1285" s="274">
        <f t="shared" si="40"/>
        <v>2.6737554908336881E-4</v>
      </c>
      <c r="G1285" s="274">
        <f t="shared" si="41"/>
        <v>1.4798446727147794E-3</v>
      </c>
    </row>
    <row r="1286" spans="1:7" ht="14.25" customHeight="1" x14ac:dyDescent="0.3">
      <c r="A1286" s="20">
        <v>45820</v>
      </c>
      <c r="B1286" s="21" t="s">
        <v>2105</v>
      </c>
      <c r="C1286" s="20">
        <v>45820</v>
      </c>
      <c r="D1286" s="21">
        <v>24888.19921875</v>
      </c>
      <c r="F1286" s="274">
        <f t="shared" si="40"/>
        <v>-2.2984453298998585E-2</v>
      </c>
      <c r="G1286" s="274">
        <f t="shared" si="41"/>
        <v>-1.0071084662786582E-2</v>
      </c>
    </row>
    <row r="1287" spans="1:7" ht="14.25" customHeight="1" x14ac:dyDescent="0.3">
      <c r="A1287" s="20">
        <v>45821</v>
      </c>
      <c r="B1287" s="21">
        <v>542.5</v>
      </c>
      <c r="C1287" s="20">
        <v>45821</v>
      </c>
      <c r="D1287" s="21" t="s">
        <v>2106</v>
      </c>
      <c r="F1287" s="274">
        <f t="shared" si="40"/>
        <v>-1.0668324694801123E-2</v>
      </c>
      <c r="G1287" s="274">
        <f t="shared" si="41"/>
        <v>-6.814458847919736E-3</v>
      </c>
    </row>
    <row r="1288" spans="1:7" ht="14.25" customHeight="1" x14ac:dyDescent="0.3">
      <c r="A1288" s="20">
        <v>45824</v>
      </c>
      <c r="B1288" s="21" t="s">
        <v>2100</v>
      </c>
      <c r="C1288" s="20">
        <v>45824</v>
      </c>
      <c r="D1288" s="21">
        <v>24946.5</v>
      </c>
      <c r="F1288" s="274">
        <f t="shared" si="40"/>
        <v>1.4101427491358608E-2</v>
      </c>
      <c r="G1288" s="274">
        <f t="shared" si="41"/>
        <v>9.2197937677086055E-3</v>
      </c>
    </row>
    <row r="1289" spans="1:7" ht="14.25" customHeight="1" x14ac:dyDescent="0.3">
      <c r="A1289" s="20">
        <v>45825</v>
      </c>
      <c r="B1289" s="21" t="s">
        <v>2107</v>
      </c>
      <c r="C1289" s="20">
        <v>45825</v>
      </c>
      <c r="D1289" s="21" t="s">
        <v>2108</v>
      </c>
      <c r="F1289" s="274">
        <f t="shared" si="40"/>
        <v>1.3632645037120346E-3</v>
      </c>
      <c r="G1289" s="274">
        <f t="shared" si="41"/>
        <v>-3.7319707924959415E-3</v>
      </c>
    </row>
    <row r="1290" spans="1:7" ht="14.25" customHeight="1" x14ac:dyDescent="0.3">
      <c r="A1290" s="20">
        <v>45826</v>
      </c>
      <c r="B1290" s="21" t="s">
        <v>2109</v>
      </c>
      <c r="C1290" s="20">
        <v>45826</v>
      </c>
      <c r="D1290" s="21">
        <v>24812.05078125</v>
      </c>
      <c r="F1290" s="274">
        <f t="shared" si="40"/>
        <v>-1.0619053116427427E-2</v>
      </c>
      <c r="G1290" s="274">
        <f t="shared" si="41"/>
        <v>-1.6637405234334682E-3</v>
      </c>
    </row>
    <row r="1291" spans="1:7" ht="14.25" customHeight="1" x14ac:dyDescent="0.3">
      <c r="A1291" s="20">
        <v>45827</v>
      </c>
      <c r="B1291" s="21" t="s">
        <v>2110</v>
      </c>
      <c r="C1291" s="20">
        <v>45827</v>
      </c>
      <c r="D1291" s="21">
        <v>24793.25</v>
      </c>
      <c r="F1291" s="274">
        <f t="shared" si="40"/>
        <v>-2.2475002796721547E-2</v>
      </c>
      <c r="G1291" s="274">
        <f t="shared" si="41"/>
        <v>-7.5772782410260889E-4</v>
      </c>
    </row>
    <row r="1292" spans="1:7" ht="14.25" customHeight="1" x14ac:dyDescent="0.3">
      <c r="A1292" s="20">
        <v>45828</v>
      </c>
      <c r="B1292" s="21" t="s">
        <v>2111</v>
      </c>
      <c r="C1292" s="20">
        <v>45828</v>
      </c>
      <c r="D1292" s="21" t="s">
        <v>2112</v>
      </c>
      <c r="F1292" s="274">
        <f t="shared" si="40"/>
        <v>1.2200158201123134E-3</v>
      </c>
      <c r="G1292" s="274">
        <f t="shared" si="41"/>
        <v>1.2872470959837859E-2</v>
      </c>
    </row>
    <row r="1293" spans="1:7" ht="14.25" customHeight="1" x14ac:dyDescent="0.3">
      <c r="A1293" s="20">
        <v>45831</v>
      </c>
      <c r="B1293" s="21" t="s">
        <v>2113</v>
      </c>
      <c r="C1293" s="20">
        <v>45831</v>
      </c>
      <c r="D1293" s="21" t="s">
        <v>2114</v>
      </c>
      <c r="F1293" s="274">
        <f t="shared" si="40"/>
        <v>3.9365930038107013E-3</v>
      </c>
      <c r="G1293" s="274">
        <f t="shared" si="41"/>
        <v>-5.5948454872697742E-3</v>
      </c>
    </row>
    <row r="1294" spans="1:7" ht="14.25" customHeight="1" x14ac:dyDescent="0.3">
      <c r="A1294" s="20">
        <v>45832</v>
      </c>
      <c r="B1294" s="21" t="s">
        <v>2115</v>
      </c>
      <c r="C1294" s="20">
        <v>45832</v>
      </c>
      <c r="D1294" s="21" t="s">
        <v>2116</v>
      </c>
      <c r="F1294" s="274">
        <f t="shared" si="40"/>
        <v>3.48240590778853E-2</v>
      </c>
      <c r="G1294" s="274">
        <f t="shared" si="41"/>
        <v>2.9012296868362901E-3</v>
      </c>
    </row>
    <row r="1295" spans="1:7" ht="14.25" customHeight="1" x14ac:dyDescent="0.3">
      <c r="A1295" s="20">
        <v>45833</v>
      </c>
      <c r="B1295" s="21" t="s">
        <v>2117</v>
      </c>
      <c r="C1295" s="20">
        <v>45833</v>
      </c>
      <c r="D1295" s="21">
        <v>25244.75</v>
      </c>
      <c r="F1295" s="274">
        <f t="shared" si="40"/>
        <v>9.3829160817276696E-3</v>
      </c>
      <c r="G1295" s="274">
        <f t="shared" si="41"/>
        <v>8.0018205204252114E-3</v>
      </c>
    </row>
    <row r="1296" spans="1:7" ht="14.25" customHeight="1" x14ac:dyDescent="0.3">
      <c r="A1296" s="20">
        <v>45834</v>
      </c>
      <c r="B1296" s="21">
        <v>566.75</v>
      </c>
      <c r="C1296" s="20">
        <v>45834</v>
      </c>
      <c r="D1296" s="21">
        <v>25549</v>
      </c>
      <c r="F1296" s="274">
        <f t="shared" si="40"/>
        <v>1.3139033366393956E-2</v>
      </c>
      <c r="G1296" s="274">
        <f t="shared" si="41"/>
        <v>1.205201081412967E-2</v>
      </c>
    </row>
    <row r="1297" spans="1:7" ht="14.25" customHeight="1" x14ac:dyDescent="0.3">
      <c r="A1297" s="20">
        <v>45835</v>
      </c>
      <c r="B1297" s="21" t="s">
        <v>2118</v>
      </c>
      <c r="C1297" s="20">
        <v>45835</v>
      </c>
      <c r="D1297" s="21">
        <v>25637.80078125</v>
      </c>
      <c r="F1297" s="274">
        <f t="shared" si="40"/>
        <v>1.4468482059163693E-2</v>
      </c>
      <c r="G1297" s="274">
        <f t="shared" si="41"/>
        <v>3.4757047731809464E-3</v>
      </c>
    </row>
    <row r="1298" spans="1:7" ht="14.25" customHeight="1" x14ac:dyDescent="0.3">
      <c r="A1298" s="20">
        <v>45838</v>
      </c>
      <c r="B1298" s="21" t="s">
        <v>2119</v>
      </c>
      <c r="C1298" s="20">
        <v>45838</v>
      </c>
      <c r="D1298" s="21">
        <v>25517.05078125</v>
      </c>
      <c r="F1298" s="274">
        <f t="shared" si="40"/>
        <v>4.3482040993500963E-3</v>
      </c>
      <c r="G1298" s="274">
        <f t="shared" si="41"/>
        <v>-4.7098423546652075E-3</v>
      </c>
    </row>
    <row r="1299" spans="1:7" ht="14.25" customHeight="1" x14ac:dyDescent="0.3">
      <c r="A1299" s="20">
        <v>45839</v>
      </c>
      <c r="B1299" s="21">
        <v>580.25</v>
      </c>
      <c r="C1299" s="20">
        <v>45839</v>
      </c>
      <c r="D1299" s="21">
        <v>25541.80078125</v>
      </c>
      <c r="F1299" s="274">
        <f t="shared" si="40"/>
        <v>4.8488834250212257E-3</v>
      </c>
      <c r="G1299" s="274">
        <f t="shared" si="41"/>
        <v>9.6993967728380148E-4</v>
      </c>
    </row>
    <row r="1300" spans="1:7" ht="14.25" customHeight="1" x14ac:dyDescent="0.3">
      <c r="A1300" s="20">
        <v>45840</v>
      </c>
      <c r="B1300" s="21" t="s">
        <v>2120</v>
      </c>
      <c r="C1300" s="20">
        <v>45840</v>
      </c>
      <c r="D1300" s="21" t="s">
        <v>2121</v>
      </c>
      <c r="F1300" s="274">
        <f t="shared" si="40"/>
        <v>2.4041382519657085E-2</v>
      </c>
      <c r="G1300" s="274">
        <f t="shared" si="41"/>
        <v>-3.4610085397695964E-3</v>
      </c>
    </row>
    <row r="1301" spans="1:7" ht="14.25" customHeight="1" x14ac:dyDescent="0.3">
      <c r="A1301" s="20">
        <v>45841</v>
      </c>
      <c r="B1301" s="21">
        <v>588.75</v>
      </c>
      <c r="C1301" s="20">
        <v>45841</v>
      </c>
      <c r="D1301" s="21">
        <v>25405.30078125</v>
      </c>
      <c r="F1301" s="274">
        <f t="shared" si="40"/>
        <v>-9.1720163161695296E-3</v>
      </c>
      <c r="G1301" s="274">
        <f t="shared" si="41"/>
        <v>-1.8897125192245848E-3</v>
      </c>
    </row>
    <row r="1302" spans="1:7" ht="14.25" customHeight="1" x14ac:dyDescent="0.3">
      <c r="A1302" s="20">
        <v>45842</v>
      </c>
      <c r="B1302" s="21">
        <v>595.75</v>
      </c>
      <c r="C1302" s="20">
        <v>45842</v>
      </c>
      <c r="D1302" s="21">
        <v>25461</v>
      </c>
      <c r="F1302" s="274">
        <f t="shared" si="40"/>
        <v>1.18895966029724E-2</v>
      </c>
      <c r="G1302" s="274">
        <f t="shared" si="41"/>
        <v>2.1924250859926041E-3</v>
      </c>
    </row>
    <row r="1303" spans="1:7" ht="14.25" customHeight="1" x14ac:dyDescent="0.3">
      <c r="A1303" s="20">
        <v>45845</v>
      </c>
      <c r="B1303" s="21">
        <v>592</v>
      </c>
      <c r="C1303" s="20">
        <v>45845</v>
      </c>
      <c r="D1303" s="21">
        <v>25461.30078125</v>
      </c>
      <c r="F1303" s="274">
        <f t="shared" si="40"/>
        <v>-6.29458665547629E-3</v>
      </c>
      <c r="G1303" s="274">
        <f t="shared" si="41"/>
        <v>1.1813410706570834E-5</v>
      </c>
    </row>
    <row r="1304" spans="1:7" ht="14.25" customHeight="1" x14ac:dyDescent="0.3">
      <c r="A1304" s="20">
        <v>45846</v>
      </c>
      <c r="B1304" s="21" t="s">
        <v>2122</v>
      </c>
      <c r="C1304" s="20">
        <v>45846</v>
      </c>
      <c r="D1304" s="21">
        <v>25522.5</v>
      </c>
      <c r="F1304" s="274">
        <f t="shared" si="40"/>
        <v>-7.6015575512169899E-4</v>
      </c>
      <c r="G1304" s="274">
        <f t="shared" si="41"/>
        <v>2.4036171315751404E-3</v>
      </c>
    </row>
    <row r="1305" spans="1:7" ht="14.25" customHeight="1" x14ac:dyDescent="0.3">
      <c r="A1305" s="20">
        <v>45847</v>
      </c>
      <c r="B1305" s="21" t="s">
        <v>1920</v>
      </c>
      <c r="C1305" s="20">
        <v>45847</v>
      </c>
      <c r="D1305" s="21" t="s">
        <v>2123</v>
      </c>
      <c r="F1305" s="274">
        <f t="shared" si="40"/>
        <v>-2.028589691140171E-3</v>
      </c>
      <c r="G1305" s="274">
        <f t="shared" si="41"/>
        <v>-1.8180190273288275E-3</v>
      </c>
    </row>
    <row r="1306" spans="1:7" ht="14.25" customHeight="1" x14ac:dyDescent="0.3">
      <c r="A1306" s="20">
        <v>45848</v>
      </c>
      <c r="B1306" s="21" t="s">
        <v>2124</v>
      </c>
      <c r="C1306" s="20">
        <v>45848</v>
      </c>
      <c r="D1306" s="21">
        <v>25355.25</v>
      </c>
      <c r="F1306" s="274">
        <f t="shared" si="40"/>
        <v>-8.3847740773802023E-3</v>
      </c>
      <c r="G1306" s="274">
        <f t="shared" si="41"/>
        <v>-4.7436464461980792E-3</v>
      </c>
    </row>
    <row r="1307" spans="1:7" ht="14.25" customHeight="1" x14ac:dyDescent="0.3">
      <c r="A1307" s="20">
        <v>45849</v>
      </c>
      <c r="B1307" s="21" t="s">
        <v>2125</v>
      </c>
      <c r="C1307" s="20">
        <v>45849</v>
      </c>
      <c r="D1307" s="21" t="s">
        <v>2126</v>
      </c>
      <c r="F1307" s="274">
        <f t="shared" si="40"/>
        <v>2.989408826471451E-3</v>
      </c>
      <c r="G1307" s="274">
        <f t="shared" si="41"/>
        <v>-8.1009018102759789E-3</v>
      </c>
    </row>
    <row r="1308" spans="1:7" ht="14.25" customHeight="1" x14ac:dyDescent="0.3">
      <c r="A1308" s="20">
        <v>45852</v>
      </c>
      <c r="B1308" s="21" t="s">
        <v>2127</v>
      </c>
      <c r="C1308" s="20">
        <v>45852</v>
      </c>
      <c r="D1308" s="21">
        <v>25082.30078125</v>
      </c>
      <c r="F1308" s="274">
        <f t="shared" si="40"/>
        <v>5.1094266801637398E-3</v>
      </c>
      <c r="G1308" s="274">
        <f t="shared" si="41"/>
        <v>-2.685854157148523E-3</v>
      </c>
    </row>
    <row r="1309" spans="1:7" ht="14.25" customHeight="1" x14ac:dyDescent="0.3">
      <c r="A1309" s="20">
        <v>45853</v>
      </c>
      <c r="B1309" s="21" t="s">
        <v>2128</v>
      </c>
      <c r="C1309" s="20">
        <v>45853</v>
      </c>
      <c r="D1309" s="21">
        <v>25195.80078125</v>
      </c>
      <c r="F1309" s="274">
        <f t="shared" si="40"/>
        <v>4.9986461913712477E-3</v>
      </c>
      <c r="G1309" s="274">
        <f t="shared" si="41"/>
        <v>4.5251032187942535E-3</v>
      </c>
    </row>
    <row r="1310" spans="1:7" ht="14.25" customHeight="1" x14ac:dyDescent="0.3">
      <c r="A1310" s="20">
        <v>45854</v>
      </c>
      <c r="B1310" s="21">
        <v>595.5</v>
      </c>
      <c r="C1310" s="20">
        <v>45854</v>
      </c>
      <c r="D1310" s="21">
        <v>25212.05078125</v>
      </c>
      <c r="F1310" s="274">
        <f t="shared" si="40"/>
        <v>4.0465764843303454E-3</v>
      </c>
      <c r="G1310" s="274">
        <f t="shared" si="41"/>
        <v>6.4494874130346306E-4</v>
      </c>
    </row>
    <row r="1311" spans="1:7" ht="14.25" customHeight="1" x14ac:dyDescent="0.3">
      <c r="A1311" s="20">
        <v>45855</v>
      </c>
      <c r="B1311" s="21" t="s">
        <v>2129</v>
      </c>
      <c r="C1311" s="20">
        <v>45855</v>
      </c>
      <c r="D1311" s="21">
        <v>25111.44921875</v>
      </c>
      <c r="F1311" s="274">
        <f t="shared" si="40"/>
        <v>-1.5113760101812842E-3</v>
      </c>
      <c r="G1311" s="274">
        <f t="shared" si="41"/>
        <v>-3.9902173517283477E-3</v>
      </c>
    </row>
    <row r="1312" spans="1:7" ht="14.25" customHeight="1" x14ac:dyDescent="0.3">
      <c r="A1312" s="20">
        <v>45856</v>
      </c>
      <c r="B1312" s="21" t="s">
        <v>2130</v>
      </c>
      <c r="C1312" s="20">
        <v>45856</v>
      </c>
      <c r="D1312" s="21" t="s">
        <v>2131</v>
      </c>
      <c r="F1312" s="274">
        <f t="shared" si="40"/>
        <v>3.5318478091502389E-3</v>
      </c>
      <c r="G1312" s="274">
        <f t="shared" si="41"/>
        <v>-5.6965580472428303E-3</v>
      </c>
    </row>
    <row r="1313" spans="1:7" ht="14.25" customHeight="1" x14ac:dyDescent="0.3">
      <c r="A1313" s="20">
        <v>45859</v>
      </c>
      <c r="B1313" s="21">
        <v>613.25</v>
      </c>
      <c r="C1313" s="20">
        <v>45859</v>
      </c>
      <c r="D1313" s="21">
        <v>25090.69921875</v>
      </c>
      <c r="F1313" s="274">
        <f t="shared" si="40"/>
        <v>2.7735859652080572E-2</v>
      </c>
      <c r="G1313" s="274">
        <f t="shared" si="41"/>
        <v>4.8981443028653171E-3</v>
      </c>
    </row>
    <row r="1314" spans="1:7" ht="14.25" customHeight="1" x14ac:dyDescent="0.3">
      <c r="A1314" s="20">
        <v>45860</v>
      </c>
      <c r="B1314" s="21" t="s">
        <v>2132</v>
      </c>
      <c r="C1314" s="20">
        <v>45860</v>
      </c>
      <c r="D1314" s="21" t="s">
        <v>2133</v>
      </c>
      <c r="F1314" s="274">
        <f t="shared" si="40"/>
        <v>1.1903771370514397E-2</v>
      </c>
      <c r="G1314" s="274">
        <f t="shared" si="41"/>
        <v>-1.1876443882732318E-3</v>
      </c>
    </row>
    <row r="1315" spans="1:7" ht="14.25" customHeight="1" x14ac:dyDescent="0.3">
      <c r="A1315" s="20">
        <v>45861</v>
      </c>
      <c r="B1315" s="21" t="s">
        <v>1888</v>
      </c>
      <c r="C1315" s="20">
        <v>45861</v>
      </c>
      <c r="D1315" s="21" t="s">
        <v>2134</v>
      </c>
      <c r="F1315" s="274">
        <f t="shared" si="40"/>
        <v>-2.4166204472787892E-4</v>
      </c>
      <c r="G1315" s="274">
        <f t="shared" si="41"/>
        <v>6.3445445902446549E-3</v>
      </c>
    </row>
    <row r="1316" spans="1:7" ht="14.25" customHeight="1" x14ac:dyDescent="0.3">
      <c r="A1316" s="20">
        <v>45862</v>
      </c>
      <c r="B1316" s="21" t="s">
        <v>1888</v>
      </c>
      <c r="C1316" s="20">
        <v>45862</v>
      </c>
      <c r="D1316" s="21" t="s">
        <v>2084</v>
      </c>
      <c r="F1316" s="274">
        <f t="shared" si="40"/>
        <v>0</v>
      </c>
      <c r="G1316" s="274">
        <f t="shared" si="41"/>
        <v>-6.2569946274910479E-3</v>
      </c>
    </row>
    <row r="1317" spans="1:7" ht="14.25" customHeight="1" x14ac:dyDescent="0.3">
      <c r="A1317" s="20">
        <v>45863</v>
      </c>
      <c r="B1317" s="21" t="s">
        <v>1740</v>
      </c>
      <c r="C1317" s="20">
        <v>45863</v>
      </c>
      <c r="D1317" s="21">
        <v>24837</v>
      </c>
      <c r="F1317" s="274">
        <f t="shared" si="40"/>
        <v>-1.1766680433353537E-2</v>
      </c>
      <c r="G1317" s="274">
        <f t="shared" si="41"/>
        <v>-8.9816740370306722E-3</v>
      </c>
    </row>
    <row r="1318" spans="1:7" ht="14.25" customHeight="1" x14ac:dyDescent="0.3">
      <c r="A1318" s="20">
        <v>45866</v>
      </c>
      <c r="B1318" s="21" t="s">
        <v>2135</v>
      </c>
      <c r="C1318" s="20">
        <v>45866</v>
      </c>
      <c r="D1318" s="21" t="s">
        <v>2136</v>
      </c>
      <c r="F1318" s="274">
        <f t="shared" si="40"/>
        <v>-3.3436435729913812E-3</v>
      </c>
      <c r="G1318" s="274">
        <f t="shared" si="41"/>
        <v>-6.2849623293876073E-3</v>
      </c>
    </row>
    <row r="1319" spans="1:7" ht="14.25" customHeight="1" x14ac:dyDescent="0.3">
      <c r="A1319" s="20">
        <v>45867</v>
      </c>
      <c r="B1319" s="21" t="s">
        <v>1816</v>
      </c>
      <c r="C1319" s="20">
        <v>45867</v>
      </c>
      <c r="D1319" s="21" t="s">
        <v>2137</v>
      </c>
      <c r="F1319" s="274">
        <f t="shared" si="40"/>
        <v>-1.6365273217856828E-3</v>
      </c>
      <c r="G1319" s="274">
        <f t="shared" si="41"/>
        <v>5.6804742343700898E-3</v>
      </c>
    </row>
    <row r="1320" spans="1:7" ht="14.25" customHeight="1" x14ac:dyDescent="0.3">
      <c r="A1320" s="20">
        <v>45868</v>
      </c>
      <c r="B1320" s="21" t="s">
        <v>2138</v>
      </c>
      <c r="C1320" s="20">
        <v>45868</v>
      </c>
      <c r="D1320" s="21">
        <v>24855.05078125</v>
      </c>
      <c r="F1320" s="274">
        <f t="shared" si="40"/>
        <v>1.2785817472413695E-2</v>
      </c>
      <c r="G1320" s="274">
        <f t="shared" si="41"/>
        <v>1.3678351245235141E-3</v>
      </c>
    </row>
    <row r="1321" spans="1:7" ht="14.25" customHeight="1" x14ac:dyDescent="0.3">
      <c r="A1321" s="20">
        <v>45869</v>
      </c>
      <c r="B1321" s="21" t="s">
        <v>2139</v>
      </c>
      <c r="C1321" s="20">
        <v>45869</v>
      </c>
      <c r="D1321" s="21" t="s">
        <v>2140</v>
      </c>
      <c r="F1321" s="274">
        <f t="shared" si="40"/>
        <v>-4.0705615234596544E-2</v>
      </c>
      <c r="G1321" s="274">
        <f t="shared" si="41"/>
        <v>-3.4882717656889721E-3</v>
      </c>
    </row>
    <row r="1322" spans="1:7" ht="14.25" customHeight="1" x14ac:dyDescent="0.3">
      <c r="A1322" s="20">
        <v>45870</v>
      </c>
      <c r="B1322" s="21" t="s">
        <v>1923</v>
      </c>
      <c r="C1322" s="20">
        <v>45870</v>
      </c>
      <c r="D1322" s="21" t="s">
        <v>2141</v>
      </c>
      <c r="F1322" s="274">
        <f t="shared" si="40"/>
        <v>2.572971095987282E-2</v>
      </c>
      <c r="G1322" s="274">
        <f t="shared" si="41"/>
        <v>-8.1959437427822409E-3</v>
      </c>
    </row>
    <row r="1323" spans="1:7" ht="14.25" customHeight="1" x14ac:dyDescent="0.3">
      <c r="A1323" s="20">
        <v>45873</v>
      </c>
      <c r="B1323" s="21">
        <v>605.25</v>
      </c>
      <c r="C1323" s="20">
        <v>45873</v>
      </c>
      <c r="D1323" s="21">
        <v>24722.75</v>
      </c>
      <c r="F1323" s="274">
        <f t="shared" si="40"/>
        <v>-4.4411746900525793E-3</v>
      </c>
      <c r="G1323" s="274">
        <f t="shared" si="41"/>
        <v>6.4074150430544043E-3</v>
      </c>
    </row>
    <row r="1324" spans="1:7" ht="14.25" customHeight="1" x14ac:dyDescent="0.3">
      <c r="A1324" s="20">
        <v>45874</v>
      </c>
      <c r="B1324" s="21" t="s">
        <v>2142</v>
      </c>
      <c r="C1324" s="20">
        <v>45874</v>
      </c>
      <c r="D1324" s="21">
        <v>24649.55078125</v>
      </c>
      <c r="F1324" s="274">
        <f t="shared" si="40"/>
        <v>-4.2131148995769967E-3</v>
      </c>
      <c r="G1324" s="274">
        <f t="shared" si="41"/>
        <v>-2.9608040671041855E-3</v>
      </c>
    </row>
    <row r="1325" spans="1:7" ht="14.25" customHeight="1" x14ac:dyDescent="0.3">
      <c r="A1325" s="20">
        <v>45875</v>
      </c>
      <c r="B1325" s="21" t="s">
        <v>2143</v>
      </c>
      <c r="C1325" s="20">
        <v>45875</v>
      </c>
      <c r="D1325" s="21">
        <v>24574.19921875</v>
      </c>
      <c r="F1325" s="274">
        <f t="shared" si="40"/>
        <v>-2.1237742713985718E-2</v>
      </c>
      <c r="G1325" s="274">
        <f t="shared" si="41"/>
        <v>-3.0569142281212337E-3</v>
      </c>
    </row>
    <row r="1326" spans="1:7" ht="14.25" customHeight="1" x14ac:dyDescent="0.3">
      <c r="A1326" s="20">
        <v>45876</v>
      </c>
      <c r="B1326" s="21" t="s">
        <v>2144</v>
      </c>
      <c r="C1326" s="20">
        <v>45876</v>
      </c>
      <c r="D1326" s="21" t="s">
        <v>2145</v>
      </c>
      <c r="F1326" s="274">
        <f t="shared" si="40"/>
        <v>4.1531633674850178E-3</v>
      </c>
      <c r="G1326" s="274">
        <f t="shared" si="41"/>
        <v>8.9326092295415906E-4</v>
      </c>
    </row>
    <row r="1327" spans="1:7" ht="14.25" customHeight="1" x14ac:dyDescent="0.3">
      <c r="A1327" s="20">
        <v>45877</v>
      </c>
      <c r="B1327" s="21">
        <v>580</v>
      </c>
      <c r="C1327" s="20">
        <v>45877</v>
      </c>
      <c r="D1327" s="21">
        <v>24363.30078125</v>
      </c>
      <c r="F1327" s="274">
        <f t="shared" si="40"/>
        <v>-2.0849119768631328E-2</v>
      </c>
      <c r="G1327" s="274">
        <f t="shared" si="41"/>
        <v>-9.4669127354072569E-3</v>
      </c>
    </row>
    <row r="1328" spans="1:7" ht="14.25" customHeight="1" x14ac:dyDescent="0.3">
      <c r="A1328" s="20">
        <v>45880</v>
      </c>
      <c r="B1328" s="21" t="s">
        <v>2146</v>
      </c>
      <c r="C1328" s="20">
        <v>45880</v>
      </c>
      <c r="D1328" s="21">
        <v>24585.05078125</v>
      </c>
      <c r="F1328" s="274">
        <f t="shared" si="40"/>
        <v>1.5258578596443181E-2</v>
      </c>
      <c r="G1328" s="274">
        <f t="shared" si="41"/>
        <v>9.1018044718578876E-3</v>
      </c>
    </row>
    <row r="1329" spans="1:7" ht="14.25" customHeight="1" x14ac:dyDescent="0.3">
      <c r="A1329" s="20">
        <v>45881</v>
      </c>
      <c r="B1329" s="21" t="s">
        <v>2125</v>
      </c>
      <c r="C1329" s="20">
        <v>45881</v>
      </c>
      <c r="D1329" s="21" t="s">
        <v>2147</v>
      </c>
      <c r="F1329" s="274">
        <f t="shared" si="40"/>
        <v>-2.8869003011903977E-3</v>
      </c>
      <c r="G1329" s="274">
        <f t="shared" si="41"/>
        <v>-3.9719417907191756E-3</v>
      </c>
    </row>
    <row r="1330" spans="1:7" ht="14.25" customHeight="1" x14ac:dyDescent="0.3">
      <c r="A1330" s="20">
        <v>45882</v>
      </c>
      <c r="B1330" s="21" t="s">
        <v>2148</v>
      </c>
      <c r="C1330" s="20">
        <v>45882</v>
      </c>
      <c r="D1330" s="21" t="s">
        <v>2149</v>
      </c>
      <c r="F1330" s="274">
        <f t="shared" si="40"/>
        <v>-1.0729879189585394E-2</v>
      </c>
      <c r="G1330" s="274">
        <f t="shared" si="41"/>
        <v>5.3884535167120782E-3</v>
      </c>
    </row>
    <row r="1331" spans="1:7" ht="14.25" customHeight="1" x14ac:dyDescent="0.3">
      <c r="A1331" s="20">
        <v>45883</v>
      </c>
      <c r="B1331" s="21" t="s">
        <v>2150</v>
      </c>
      <c r="C1331" s="20">
        <v>45883</v>
      </c>
      <c r="D1331" s="21">
        <v>24631.30078125</v>
      </c>
      <c r="F1331" s="274">
        <f t="shared" si="40"/>
        <v>-4.8205008361144911E-3</v>
      </c>
      <c r="G1331" s="274">
        <f t="shared" si="41"/>
        <v>4.8543816407111817E-4</v>
      </c>
    </row>
    <row r="1332" spans="1:7" ht="14.25" customHeight="1" x14ac:dyDescent="0.3">
      <c r="A1332" s="20">
        <v>45887</v>
      </c>
      <c r="B1332" s="21" t="s">
        <v>2151</v>
      </c>
      <c r="C1332" s="20">
        <v>45887</v>
      </c>
      <c r="D1332" s="21">
        <v>24876.94921875</v>
      </c>
      <c r="F1332" s="274">
        <f t="shared" si="40"/>
        <v>2.0759450312968213E-2</v>
      </c>
      <c r="G1332" s="274">
        <f t="shared" si="41"/>
        <v>9.9730192766349594E-3</v>
      </c>
    </row>
    <row r="1333" spans="1:7" ht="14.25" customHeight="1" x14ac:dyDescent="0.3">
      <c r="A1333" s="20">
        <v>45888</v>
      </c>
      <c r="B1333" s="21" t="s">
        <v>2152</v>
      </c>
      <c r="C1333" s="20">
        <v>45888</v>
      </c>
      <c r="D1333" s="21" t="s">
        <v>2153</v>
      </c>
      <c r="F1333" s="274">
        <f t="shared" si="40"/>
        <v>3.9827754761663572E-3</v>
      </c>
      <c r="G1333" s="274">
        <f t="shared" si="41"/>
        <v>4.1685646806256856E-3</v>
      </c>
    </row>
    <row r="1334" spans="1:7" ht="14.25" customHeight="1" x14ac:dyDescent="0.3">
      <c r="A1334" s="20">
        <v>45889</v>
      </c>
      <c r="B1334" s="21" t="s">
        <v>2154</v>
      </c>
      <c r="C1334" s="20">
        <v>45889</v>
      </c>
      <c r="D1334" s="21">
        <v>25050.55078125</v>
      </c>
      <c r="F1334" s="274">
        <f t="shared" si="40"/>
        <v>-8.4402427311603486E-4</v>
      </c>
      <c r="G1334" s="274">
        <f t="shared" si="41"/>
        <v>2.7981813736616301E-3</v>
      </c>
    </row>
    <row r="1335" spans="1:7" ht="14.25" customHeight="1" x14ac:dyDescent="0.3">
      <c r="A1335" s="20">
        <v>45890</v>
      </c>
      <c r="B1335" s="21">
        <v>588.75</v>
      </c>
      <c r="C1335" s="20">
        <v>45890</v>
      </c>
      <c r="D1335" s="21">
        <v>25083.75</v>
      </c>
      <c r="F1335" s="274">
        <f t="shared" si="40"/>
        <v>-5.3218859336597261E-3</v>
      </c>
      <c r="G1335" s="274">
        <f t="shared" si="41"/>
        <v>1.325288974278728E-3</v>
      </c>
    </row>
    <row r="1336" spans="1:7" ht="14.25" customHeight="1" x14ac:dyDescent="0.3">
      <c r="A1336" s="20">
        <v>45891</v>
      </c>
      <c r="B1336" s="21" t="s">
        <v>2155</v>
      </c>
      <c r="C1336" s="20">
        <v>45891</v>
      </c>
      <c r="D1336" s="21" t="s">
        <v>2156</v>
      </c>
      <c r="F1336" s="274">
        <f t="shared" si="40"/>
        <v>-1.9702718617304382E-2</v>
      </c>
      <c r="G1336" s="274">
        <f t="shared" si="41"/>
        <v>-8.5174820600986689E-3</v>
      </c>
    </row>
    <row r="1337" spans="1:7" ht="14.25" customHeight="1" x14ac:dyDescent="0.3">
      <c r="A1337" s="20">
        <v>45894</v>
      </c>
      <c r="B1337" s="21">
        <v>581</v>
      </c>
      <c r="C1337" s="20">
        <v>45894</v>
      </c>
      <c r="D1337" s="21">
        <v>24967.75</v>
      </c>
      <c r="F1337" s="274">
        <f t="shared" si="40"/>
        <v>6.6706669376763034E-3</v>
      </c>
      <c r="G1337" s="274">
        <f t="shared" si="41"/>
        <v>3.9264173509055761E-3</v>
      </c>
    </row>
    <row r="1338" spans="1:7" ht="14.25" customHeight="1" x14ac:dyDescent="0.3">
      <c r="A1338" s="20">
        <v>45895</v>
      </c>
      <c r="B1338" s="21" t="s">
        <v>2157</v>
      </c>
      <c r="C1338" s="20">
        <v>45895</v>
      </c>
      <c r="D1338" s="21">
        <v>24712.05078125</v>
      </c>
      <c r="F1338" s="274">
        <f t="shared" si="40"/>
        <v>-1.4113618256509546E-2</v>
      </c>
      <c r="G1338" s="274">
        <f t="shared" si="41"/>
        <v>-1.0241179872034925E-2</v>
      </c>
    </row>
    <row r="1339" spans="1:7" ht="14.25" customHeight="1" x14ac:dyDescent="0.3">
      <c r="A1339" s="20">
        <v>45897</v>
      </c>
      <c r="B1339" s="21" t="s">
        <v>2158</v>
      </c>
      <c r="C1339" s="20">
        <v>45897</v>
      </c>
      <c r="D1339" s="21" t="s">
        <v>2159</v>
      </c>
      <c r="F1339" s="274">
        <f t="shared" si="40"/>
        <v>-1.9203911023782747E-2</v>
      </c>
      <c r="G1339" s="274">
        <f t="shared" si="41"/>
        <v>-8.5444301039235507E-3</v>
      </c>
    </row>
    <row r="1340" spans="1:7" ht="14.25" customHeight="1" x14ac:dyDescent="0.3">
      <c r="A1340" s="20">
        <v>45898</v>
      </c>
      <c r="B1340" s="21" t="s">
        <v>2160</v>
      </c>
      <c r="C1340" s="20">
        <v>45898</v>
      </c>
      <c r="D1340" s="21" t="s">
        <v>2161</v>
      </c>
      <c r="F1340" s="274">
        <f t="shared" si="40"/>
        <v>2.4920335430462831E-3</v>
      </c>
      <c r="G1340" s="274">
        <f t="shared" si="41"/>
        <v>-3.0223697933295024E-3</v>
      </c>
    </row>
    <row r="1341" spans="1:7" ht="14.25" customHeight="1" x14ac:dyDescent="0.3">
      <c r="A1341" s="20">
        <v>45901</v>
      </c>
      <c r="B1341" s="21" t="s">
        <v>2162</v>
      </c>
      <c r="C1341" s="20">
        <v>45901</v>
      </c>
      <c r="D1341" s="21">
        <v>24625.05078125</v>
      </c>
      <c r="F1341" s="274">
        <f t="shared" si="40"/>
        <v>6.9246507357538997E-3</v>
      </c>
      <c r="G1341" s="274">
        <f t="shared" si="41"/>
        <v>8.1140701746053485E-3</v>
      </c>
    </row>
    <row r="1342" spans="1:7" ht="14.25" customHeight="1" x14ac:dyDescent="0.3">
      <c r="A1342" s="20">
        <v>45902</v>
      </c>
      <c r="B1342" s="21">
        <v>567.25</v>
      </c>
      <c r="C1342" s="20">
        <v>45902</v>
      </c>
      <c r="D1342" s="21" t="s">
        <v>2163</v>
      </c>
      <c r="F1342" s="274">
        <f t="shared" si="40"/>
        <v>2.6454667699103154E-4</v>
      </c>
      <c r="G1342" s="274">
        <f t="shared" si="41"/>
        <v>-1.8457290617896885E-3</v>
      </c>
    </row>
    <row r="1343" spans="1:7" ht="14.25" customHeight="1" x14ac:dyDescent="0.3">
      <c r="A1343" s="20">
        <v>45903</v>
      </c>
      <c r="B1343" s="21">
        <v>573.75</v>
      </c>
      <c r="C1343" s="20">
        <v>45903</v>
      </c>
      <c r="D1343" s="21">
        <v>24715.05078125</v>
      </c>
      <c r="F1343" s="274">
        <f t="shared" si="40"/>
        <v>1.1458792419568091E-2</v>
      </c>
      <c r="G1343" s="274">
        <f t="shared" si="41"/>
        <v>5.5107151470171652E-3</v>
      </c>
    </row>
    <row r="1344" spans="1:7" ht="14.25" customHeight="1" x14ac:dyDescent="0.3">
      <c r="A1344" s="20">
        <v>45904</v>
      </c>
      <c r="B1344" s="21" t="s">
        <v>2164</v>
      </c>
      <c r="C1344" s="20">
        <v>45904</v>
      </c>
      <c r="D1344" s="21">
        <v>24734.30078125</v>
      </c>
      <c r="F1344" s="274">
        <f t="shared" si="40"/>
        <v>-1.0544641033497129E-2</v>
      </c>
      <c r="G1344" s="274">
        <f t="shared" si="41"/>
        <v>7.7887762280480347E-4</v>
      </c>
    </row>
    <row r="1345" spans="1:7" ht="14.25" customHeight="1" x14ac:dyDescent="0.3">
      <c r="A1345" s="20">
        <v>45905</v>
      </c>
      <c r="B1345" s="21" t="s">
        <v>2165</v>
      </c>
      <c r="C1345" s="20">
        <v>45905</v>
      </c>
      <c r="D1345" s="21">
        <v>24741</v>
      </c>
      <c r="F1345" s="274">
        <f t="shared" si="40"/>
        <v>-1.7614937088204891E-3</v>
      </c>
      <c r="G1345" s="274">
        <f t="shared" si="41"/>
        <v>2.708473067117542E-4</v>
      </c>
    </row>
    <row r="1346" spans="1:7" ht="14.25" customHeight="1" x14ac:dyDescent="0.3">
      <c r="A1346" s="20">
        <v>45908</v>
      </c>
      <c r="B1346" s="21" t="s">
        <v>2166</v>
      </c>
      <c r="C1346" s="20">
        <v>45908</v>
      </c>
      <c r="D1346" s="21" t="s">
        <v>2167</v>
      </c>
      <c r="F1346" s="274">
        <f t="shared" si="40"/>
        <v>6.3525242780862372E-3</v>
      </c>
      <c r="G1346" s="274">
        <f t="shared" si="41"/>
        <v>1.2994782193524919E-3</v>
      </c>
    </row>
    <row r="1347" spans="1:7" ht="14.25" customHeight="1" x14ac:dyDescent="0.3">
      <c r="A1347" s="20">
        <v>45909</v>
      </c>
      <c r="B1347" s="21" t="s">
        <v>2168</v>
      </c>
      <c r="C1347" s="20">
        <v>45909</v>
      </c>
      <c r="D1347" s="21" t="s">
        <v>2169</v>
      </c>
      <c r="F1347" s="274">
        <f t="shared" ref="F1347:F1410" si="42">(B1347-B1346)/B1346</f>
        <v>-4.7343718478406764E-3</v>
      </c>
      <c r="G1347" s="274">
        <f t="shared" ref="G1347:G1410" si="43">(D1347-D1346)/D1346</f>
        <v>3.852930178235273E-3</v>
      </c>
    </row>
    <row r="1348" spans="1:7" ht="14.25" customHeight="1" x14ac:dyDescent="0.3">
      <c r="A1348" s="20">
        <v>45910</v>
      </c>
      <c r="B1348" s="21" t="s">
        <v>2170</v>
      </c>
      <c r="C1348" s="20">
        <v>45910</v>
      </c>
      <c r="D1348" s="21" t="s">
        <v>2171</v>
      </c>
      <c r="F1348" s="274">
        <f t="shared" si="42"/>
        <v>-1.3213531223742042E-3</v>
      </c>
      <c r="G1348" s="274">
        <f t="shared" si="43"/>
        <v>4.20208623088714E-3</v>
      </c>
    </row>
    <row r="1349" spans="1:7" ht="14.25" customHeight="1" x14ac:dyDescent="0.3">
      <c r="A1349" s="20">
        <v>45911</v>
      </c>
      <c r="B1349" s="21" t="s">
        <v>1950</v>
      </c>
      <c r="C1349" s="20">
        <v>45911</v>
      </c>
      <c r="D1349" s="21">
        <v>25005.5</v>
      </c>
      <c r="F1349" s="274">
        <f t="shared" si="42"/>
        <v>-1.1378585956906613E-2</v>
      </c>
      <c r="G1349" s="274">
        <f t="shared" si="43"/>
        <v>1.2974116602184522E-3</v>
      </c>
    </row>
    <row r="1350" spans="1:7" ht="14.25" customHeight="1" x14ac:dyDescent="0.3">
      <c r="A1350" s="20">
        <v>45912</v>
      </c>
      <c r="B1350" s="21" t="s">
        <v>2172</v>
      </c>
      <c r="C1350" s="20">
        <v>45912</v>
      </c>
      <c r="D1350" s="21">
        <v>25114</v>
      </c>
      <c r="F1350" s="274">
        <f t="shared" si="42"/>
        <v>2.6760059309902118E-4</v>
      </c>
      <c r="G1350" s="274">
        <f t="shared" si="43"/>
        <v>4.3390454100097975E-3</v>
      </c>
    </row>
    <row r="1351" spans="1:7" ht="14.25" customHeight="1" x14ac:dyDescent="0.3">
      <c r="A1351" s="20">
        <v>45915</v>
      </c>
      <c r="B1351" s="21">
        <v>568.75</v>
      </c>
      <c r="C1351" s="20">
        <v>45915</v>
      </c>
      <c r="D1351" s="21">
        <v>25069.19921875</v>
      </c>
      <c r="F1351" s="274">
        <f t="shared" si="42"/>
        <v>1.462851197146153E-2</v>
      </c>
      <c r="G1351" s="274">
        <f t="shared" si="43"/>
        <v>-1.7838966811340288E-3</v>
      </c>
    </row>
    <row r="1352" spans="1:7" ht="14.25" customHeight="1" x14ac:dyDescent="0.3">
      <c r="A1352" s="20">
        <v>45916</v>
      </c>
      <c r="B1352" s="21" t="s">
        <v>2173</v>
      </c>
      <c r="C1352" s="20">
        <v>45916</v>
      </c>
      <c r="D1352" s="21" t="s">
        <v>2174</v>
      </c>
      <c r="F1352" s="274">
        <f t="shared" si="42"/>
        <v>8.6154275412079918E-3</v>
      </c>
      <c r="G1352" s="274">
        <f t="shared" si="43"/>
        <v>6.7772563910987009E-3</v>
      </c>
    </row>
    <row r="1353" spans="1:7" ht="14.25" customHeight="1" x14ac:dyDescent="0.3">
      <c r="A1353" s="20">
        <v>45917</v>
      </c>
      <c r="B1353" s="21" t="s">
        <v>2175</v>
      </c>
      <c r="C1353" s="20">
        <v>45917</v>
      </c>
      <c r="D1353" s="21">
        <v>25330.25</v>
      </c>
      <c r="F1353" s="274">
        <f t="shared" si="42"/>
        <v>1.4643010583823829E-2</v>
      </c>
      <c r="G1353" s="274">
        <f t="shared" si="43"/>
        <v>3.6114755294654973E-3</v>
      </c>
    </row>
    <row r="1354" spans="1:7" ht="14.25" customHeight="1" x14ac:dyDescent="0.3">
      <c r="A1354" s="20">
        <v>45918</v>
      </c>
      <c r="B1354" s="21">
        <v>581</v>
      </c>
      <c r="C1354" s="20">
        <v>45918</v>
      </c>
      <c r="D1354" s="21" t="s">
        <v>2176</v>
      </c>
      <c r="F1354" s="274">
        <f t="shared" si="42"/>
        <v>-1.8039477965618121E-3</v>
      </c>
      <c r="G1354" s="274">
        <f t="shared" si="43"/>
        <v>3.6853015416350018E-3</v>
      </c>
    </row>
    <row r="1355" spans="1:7" ht="14.25" customHeight="1" x14ac:dyDescent="0.3">
      <c r="A1355" s="20">
        <v>45919</v>
      </c>
      <c r="B1355" s="21" t="s">
        <v>1746</v>
      </c>
      <c r="C1355" s="20">
        <v>45919</v>
      </c>
      <c r="D1355" s="21">
        <v>25327.05078125</v>
      </c>
      <c r="F1355" s="274">
        <f t="shared" si="42"/>
        <v>2.4957180843907445E-3</v>
      </c>
      <c r="G1355" s="274">
        <f t="shared" si="43"/>
        <v>-3.7976065391384403E-3</v>
      </c>
    </row>
    <row r="1356" spans="1:7" ht="14.25" customHeight="1" x14ac:dyDescent="0.3">
      <c r="A1356" s="20">
        <v>45922</v>
      </c>
      <c r="B1356" s="21" t="s">
        <v>2177</v>
      </c>
      <c r="C1356" s="20">
        <v>45922</v>
      </c>
      <c r="D1356" s="21" t="s">
        <v>2178</v>
      </c>
      <c r="F1356" s="274">
        <f t="shared" si="42"/>
        <v>1.3477509522562546E-2</v>
      </c>
      <c r="G1356" s="274">
        <f t="shared" si="43"/>
        <v>-4.9236357186648108E-3</v>
      </c>
    </row>
    <row r="1357" spans="1:7" ht="14.25" customHeight="1" x14ac:dyDescent="0.3">
      <c r="A1357" s="20">
        <v>45923</v>
      </c>
      <c r="B1357" s="21" t="s">
        <v>2179</v>
      </c>
      <c r="C1357" s="20">
        <v>45923</v>
      </c>
      <c r="D1357" s="21">
        <v>25169.5</v>
      </c>
      <c r="F1357" s="274">
        <f t="shared" si="42"/>
        <v>2.2022493983601898E-3</v>
      </c>
      <c r="G1357" s="274">
        <f t="shared" si="43"/>
        <v>-1.3034343973539794E-3</v>
      </c>
    </row>
    <row r="1358" spans="1:7" ht="14.25" customHeight="1" x14ac:dyDescent="0.3">
      <c r="A1358" s="20">
        <v>45924</v>
      </c>
      <c r="B1358" s="21" t="s">
        <v>1947</v>
      </c>
      <c r="C1358" s="20">
        <v>45924</v>
      </c>
      <c r="D1358" s="21" t="s">
        <v>2180</v>
      </c>
      <c r="F1358" s="274">
        <f t="shared" si="42"/>
        <v>-1.5128383267782795E-2</v>
      </c>
      <c r="G1358" s="274">
        <f t="shared" si="43"/>
        <v>-4.4736530076084149E-3</v>
      </c>
    </row>
    <row r="1359" spans="1:7" ht="14.25" customHeight="1" x14ac:dyDescent="0.3">
      <c r="A1359" s="20">
        <v>45925</v>
      </c>
      <c r="B1359" s="21" t="s">
        <v>2181</v>
      </c>
      <c r="C1359" s="20">
        <v>45925</v>
      </c>
      <c r="D1359" s="21" t="s">
        <v>2182</v>
      </c>
      <c r="F1359" s="274">
        <f t="shared" si="42"/>
        <v>-5.5779625226452878E-3</v>
      </c>
      <c r="G1359" s="274">
        <f t="shared" si="43"/>
        <v>-6.6269482123226878E-3</v>
      </c>
    </row>
    <row r="1360" spans="1:7" ht="14.25" customHeight="1" x14ac:dyDescent="0.3">
      <c r="A1360" s="20">
        <v>45926</v>
      </c>
      <c r="B1360" s="21" t="s">
        <v>2183</v>
      </c>
      <c r="C1360" s="20">
        <v>45926</v>
      </c>
      <c r="D1360" s="21">
        <v>24654.69921875</v>
      </c>
      <c r="F1360" s="274">
        <f t="shared" si="42"/>
        <v>-2.4508131875540164E-2</v>
      </c>
      <c r="G1360" s="274">
        <f t="shared" si="43"/>
        <v>-9.4874379272315099E-3</v>
      </c>
    </row>
    <row r="1361" spans="1:7" ht="14.25" customHeight="1" x14ac:dyDescent="0.3">
      <c r="A1361" s="20">
        <v>45929</v>
      </c>
      <c r="B1361" s="21" t="s">
        <v>2184</v>
      </c>
      <c r="C1361" s="20">
        <v>45929</v>
      </c>
      <c r="D1361" s="21" t="s">
        <v>2185</v>
      </c>
      <c r="F1361" s="274">
        <f t="shared" si="42"/>
        <v>-5.3962981724985813E-3</v>
      </c>
      <c r="G1361" s="274">
        <f t="shared" si="43"/>
        <v>-8.030448049409952E-4</v>
      </c>
    </row>
    <row r="1362" spans="1:7" ht="14.25" customHeight="1" x14ac:dyDescent="0.3">
      <c r="A1362" s="20">
        <v>45930</v>
      </c>
      <c r="B1362" s="21" t="s">
        <v>2186</v>
      </c>
      <c r="C1362" s="20">
        <v>45930</v>
      </c>
      <c r="D1362" s="21" t="s">
        <v>2187</v>
      </c>
      <c r="F1362" s="274">
        <f t="shared" si="42"/>
        <v>1.3875277869282367E-2</v>
      </c>
      <c r="G1362" s="274">
        <f t="shared" si="43"/>
        <v>-9.6614075448251335E-4</v>
      </c>
    </row>
    <row r="1363" spans="1:7" ht="14.25" customHeight="1" x14ac:dyDescent="0.3">
      <c r="A1363" s="20">
        <v>45931</v>
      </c>
      <c r="B1363" s="21" t="s">
        <v>1967</v>
      </c>
      <c r="C1363" s="20">
        <v>45931</v>
      </c>
      <c r="D1363" s="21">
        <v>24836.30078125</v>
      </c>
      <c r="F1363" s="274">
        <f t="shared" si="42"/>
        <v>2.0176565563232328E-3</v>
      </c>
      <c r="G1363" s="274">
        <f t="shared" si="43"/>
        <v>9.1503904924758045E-3</v>
      </c>
    </row>
    <row r="1364" spans="1:7" ht="14.25" customHeight="1" x14ac:dyDescent="0.3">
      <c r="A1364" s="20">
        <v>45933</v>
      </c>
      <c r="B1364" s="21" t="s">
        <v>2188</v>
      </c>
      <c r="C1364" s="20">
        <v>45933</v>
      </c>
      <c r="D1364" s="21">
        <v>24894.25</v>
      </c>
      <c r="F1364" s="274">
        <f t="shared" si="42"/>
        <v>8.842670362476818E-3</v>
      </c>
      <c r="G1364" s="274">
        <f t="shared" si="43"/>
        <v>2.3332467769817144E-3</v>
      </c>
    </row>
    <row r="1365" spans="1:7" ht="14.25" customHeight="1" x14ac:dyDescent="0.3">
      <c r="A1365" s="20">
        <v>45936</v>
      </c>
      <c r="B1365" s="21" t="s">
        <v>2189</v>
      </c>
      <c r="C1365" s="20">
        <v>45936</v>
      </c>
      <c r="D1365" s="21" t="s">
        <v>2190</v>
      </c>
      <c r="F1365" s="274">
        <f t="shared" si="42"/>
        <v>-4.0788623127874573E-3</v>
      </c>
      <c r="G1365" s="274">
        <f t="shared" si="43"/>
        <v>7.3671787912871446E-3</v>
      </c>
    </row>
    <row r="1366" spans="1:7" ht="14.25" customHeight="1" x14ac:dyDescent="0.3">
      <c r="A1366" s="20">
        <v>45937</v>
      </c>
      <c r="B1366" s="21" t="s">
        <v>2186</v>
      </c>
      <c r="C1366" s="20">
        <v>45937</v>
      </c>
      <c r="D1366" s="21">
        <v>25108.30078125</v>
      </c>
      <c r="F1366" s="274">
        <f t="shared" si="42"/>
        <v>-6.7096125267364706E-3</v>
      </c>
      <c r="G1366" s="274">
        <f t="shared" si="43"/>
        <v>1.2222193924698109E-3</v>
      </c>
    </row>
    <row r="1367" spans="1:7" ht="14.25" customHeight="1" x14ac:dyDescent="0.3">
      <c r="A1367" s="20">
        <v>45938</v>
      </c>
      <c r="B1367" s="21" t="s">
        <v>2191</v>
      </c>
      <c r="C1367" s="20">
        <v>45938</v>
      </c>
      <c r="D1367" s="21" t="s">
        <v>2192</v>
      </c>
      <c r="F1367" s="274">
        <f t="shared" si="42"/>
        <v>-6.4041132307884191E-3</v>
      </c>
      <c r="G1367" s="274">
        <f t="shared" si="43"/>
        <v>-2.4752925801897249E-3</v>
      </c>
    </row>
    <row r="1368" spans="1:7" ht="14.25" customHeight="1" x14ac:dyDescent="0.3">
      <c r="A1368" s="20">
        <v>45939</v>
      </c>
      <c r="B1368" s="21" t="s">
        <v>2193</v>
      </c>
      <c r="C1368" s="20">
        <v>45939</v>
      </c>
      <c r="D1368" s="21">
        <v>25181.80078125</v>
      </c>
      <c r="F1368" s="274">
        <f t="shared" si="42"/>
        <v>-7.0627474400040155E-4</v>
      </c>
      <c r="G1368" s="274">
        <f t="shared" si="43"/>
        <v>5.4160175719369296E-3</v>
      </c>
    </row>
    <row r="1369" spans="1:7" ht="14.25" customHeight="1" x14ac:dyDescent="0.3">
      <c r="A1369" s="20">
        <v>45940</v>
      </c>
      <c r="B1369" s="21">
        <v>569.25</v>
      </c>
      <c r="C1369" s="20">
        <v>45940</v>
      </c>
      <c r="D1369" s="21" t="s">
        <v>2194</v>
      </c>
      <c r="F1369" s="274">
        <f t="shared" si="42"/>
        <v>5.9197304142309401E-3</v>
      </c>
      <c r="G1369" s="274">
        <f t="shared" si="43"/>
        <v>4.1120501676790702E-3</v>
      </c>
    </row>
    <row r="1370" spans="1:7" ht="14.25" customHeight="1" x14ac:dyDescent="0.3">
      <c r="A1370" s="20">
        <v>45943</v>
      </c>
      <c r="B1370" s="21">
        <v>566.75</v>
      </c>
      <c r="C1370" s="20">
        <v>45943</v>
      </c>
      <c r="D1370" s="21" t="s">
        <v>2195</v>
      </c>
      <c r="F1370" s="274">
        <f t="shared" si="42"/>
        <v>-4.391743522178305E-3</v>
      </c>
      <c r="G1370" s="274">
        <f t="shared" si="43"/>
        <v>-2.2938183927065595E-3</v>
      </c>
    </row>
    <row r="1371" spans="1:7" ht="14.25" customHeight="1" x14ac:dyDescent="0.3">
      <c r="A1371" s="20">
        <v>45944</v>
      </c>
      <c r="B1371" s="21" t="s">
        <v>2196</v>
      </c>
      <c r="C1371" s="20">
        <v>45944</v>
      </c>
      <c r="D1371" s="21">
        <v>25145.5</v>
      </c>
      <c r="F1371" s="274">
        <f t="shared" si="42"/>
        <v>-5.5580492528680275E-3</v>
      </c>
      <c r="G1371" s="274">
        <f t="shared" si="43"/>
        <v>-3.2444791324643557E-3</v>
      </c>
    </row>
    <row r="1372" spans="1:7" ht="14.25" customHeight="1" x14ac:dyDescent="0.3">
      <c r="A1372" s="20">
        <v>45945</v>
      </c>
      <c r="B1372" s="21">
        <v>567</v>
      </c>
      <c r="C1372" s="20">
        <v>45945</v>
      </c>
      <c r="D1372" s="21">
        <v>25323.55078125</v>
      </c>
      <c r="F1372" s="274">
        <f t="shared" si="42"/>
        <v>6.0326908469578583E-3</v>
      </c>
      <c r="G1372" s="274">
        <f t="shared" si="43"/>
        <v>7.0808208725219226E-3</v>
      </c>
    </row>
    <row r="1373" spans="1:7" ht="14.25" customHeight="1" x14ac:dyDescent="0.3">
      <c r="A1373" s="20">
        <v>45946</v>
      </c>
      <c r="B1373" s="21" t="s">
        <v>2197</v>
      </c>
      <c r="C1373" s="20">
        <v>45946</v>
      </c>
      <c r="D1373" s="21">
        <v>25585.30078125</v>
      </c>
      <c r="F1373" s="274">
        <f t="shared" si="42"/>
        <v>4.7619262910600047E-3</v>
      </c>
      <c r="G1373" s="274">
        <f t="shared" si="43"/>
        <v>1.0336228211479895E-2</v>
      </c>
    </row>
    <row r="1374" spans="1:7" ht="14.25" customHeight="1" x14ac:dyDescent="0.3">
      <c r="A1374" s="20">
        <v>45947</v>
      </c>
      <c r="B1374" s="21" t="s">
        <v>2196</v>
      </c>
      <c r="C1374" s="20">
        <v>45947</v>
      </c>
      <c r="D1374" s="21" t="s">
        <v>2198</v>
      </c>
      <c r="F1374" s="274">
        <f t="shared" si="42"/>
        <v>-1.0707453906244963E-2</v>
      </c>
      <c r="G1374" s="274">
        <f t="shared" si="43"/>
        <v>4.8679837376105692E-3</v>
      </c>
    </row>
    <row r="1375" spans="1:7" ht="14.25" customHeight="1" x14ac:dyDescent="0.3">
      <c r="A1375" s="20">
        <v>45950</v>
      </c>
      <c r="B1375" s="21">
        <v>565.5</v>
      </c>
      <c r="C1375" s="20">
        <v>45950</v>
      </c>
      <c r="D1375" s="21" t="s">
        <v>2199</v>
      </c>
      <c r="F1375" s="274">
        <f t="shared" si="42"/>
        <v>3.3712287018600861E-3</v>
      </c>
      <c r="G1375" s="274">
        <f t="shared" si="43"/>
        <v>5.1848137299641134E-3</v>
      </c>
    </row>
    <row r="1376" spans="1:7" ht="14.25" customHeight="1" x14ac:dyDescent="0.3">
      <c r="A1376" s="20">
        <v>45951</v>
      </c>
      <c r="B1376" s="21">
        <v>567.5</v>
      </c>
      <c r="C1376" s="20">
        <v>45951</v>
      </c>
      <c r="D1376" s="21" t="s">
        <v>2200</v>
      </c>
      <c r="F1376" s="274">
        <f t="shared" si="42"/>
        <v>3.5366931918656055E-3</v>
      </c>
      <c r="G1376" s="274">
        <f t="shared" si="43"/>
        <v>9.8475682590277742E-4</v>
      </c>
    </row>
    <row r="1377" spans="1:7" ht="14.25" customHeight="1" x14ac:dyDescent="0.3">
      <c r="A1377" s="20">
        <v>45953</v>
      </c>
      <c r="B1377" s="21" t="s">
        <v>2201</v>
      </c>
      <c r="C1377" s="20">
        <v>45953</v>
      </c>
      <c r="D1377" s="21" t="s">
        <v>2202</v>
      </c>
      <c r="F1377" s="274">
        <f t="shared" si="42"/>
        <v>-5.5507038133267928E-3</v>
      </c>
      <c r="G1377" s="274">
        <f t="shared" si="43"/>
        <v>8.8140763683770514E-4</v>
      </c>
    </row>
    <row r="1378" spans="1:7" ht="14.25" customHeight="1" x14ac:dyDescent="0.3">
      <c r="A1378" s="20">
        <v>45954</v>
      </c>
      <c r="B1378" s="21">
        <v>555</v>
      </c>
      <c r="C1378" s="20">
        <v>45954</v>
      </c>
      <c r="D1378" s="21" t="s">
        <v>2203</v>
      </c>
      <c r="F1378" s="274">
        <f t="shared" si="42"/>
        <v>-1.6567690246162271E-2</v>
      </c>
      <c r="G1378" s="274">
        <f t="shared" si="43"/>
        <v>-3.7174505259611641E-3</v>
      </c>
    </row>
    <row r="1379" spans="1:7" ht="14.25" customHeight="1" x14ac:dyDescent="0.3">
      <c r="A1379" s="20">
        <v>45957</v>
      </c>
      <c r="B1379" s="21">
        <v>560.25</v>
      </c>
      <c r="C1379" s="20">
        <v>45957</v>
      </c>
      <c r="D1379" s="21">
        <v>25966.05078125</v>
      </c>
      <c r="F1379" s="274">
        <f t="shared" si="42"/>
        <v>9.45945945945946E-3</v>
      </c>
      <c r="G1379" s="274">
        <f t="shared" si="43"/>
        <v>6.6252915000298701E-3</v>
      </c>
    </row>
    <row r="1380" spans="1:7" ht="14.25" customHeight="1" x14ac:dyDescent="0.3">
      <c r="A1380" s="20">
        <v>45958</v>
      </c>
      <c r="B1380" s="21" t="s">
        <v>2204</v>
      </c>
      <c r="C1380" s="20">
        <v>45958</v>
      </c>
      <c r="D1380" s="21">
        <v>25936.19921875</v>
      </c>
      <c r="F1380" s="274">
        <f t="shared" si="42"/>
        <v>-9.5492647674037569E-3</v>
      </c>
      <c r="G1380" s="274">
        <f t="shared" si="43"/>
        <v>-1.1496381468049702E-3</v>
      </c>
    </row>
    <row r="1381" spans="1:7" ht="14.25" customHeight="1" x14ac:dyDescent="0.3">
      <c r="A1381" s="20">
        <v>45959</v>
      </c>
      <c r="B1381" s="21">
        <v>571.75</v>
      </c>
      <c r="C1381" s="20">
        <v>45959</v>
      </c>
      <c r="D1381" s="21" t="s">
        <v>2205</v>
      </c>
      <c r="F1381" s="274">
        <f t="shared" si="42"/>
        <v>3.0365786348145185E-2</v>
      </c>
      <c r="G1381" s="274">
        <f t="shared" si="43"/>
        <v>4.5381040946782421E-3</v>
      </c>
    </row>
    <row r="1382" spans="1:7" ht="14.25" customHeight="1" x14ac:dyDescent="0.3">
      <c r="A1382" s="20">
        <v>45960</v>
      </c>
      <c r="B1382" s="21" t="s">
        <v>2206</v>
      </c>
      <c r="C1382" s="20">
        <v>45960</v>
      </c>
      <c r="D1382" s="21" t="s">
        <v>2207</v>
      </c>
      <c r="F1382" s="274">
        <f t="shared" si="42"/>
        <v>-6.7336695862491554E-3</v>
      </c>
      <c r="G1382" s="274">
        <f t="shared" si="43"/>
        <v>-6.7571756478100502E-3</v>
      </c>
    </row>
    <row r="1383" spans="1:7" ht="14.25" customHeight="1" x14ac:dyDescent="0.3">
      <c r="A1383" s="20">
        <v>45961</v>
      </c>
      <c r="B1383" s="21" t="s">
        <v>2208</v>
      </c>
      <c r="C1383" s="20">
        <v>45961</v>
      </c>
      <c r="D1383" s="21" t="s">
        <v>2209</v>
      </c>
      <c r="F1383" s="274">
        <f t="shared" si="42"/>
        <v>-4.4021832937573939E-3</v>
      </c>
      <c r="G1383" s="274">
        <f t="shared" si="43"/>
        <v>-6.0186608373972101E-3</v>
      </c>
    </row>
    <row r="1384" spans="1:7" ht="14.25" customHeight="1" x14ac:dyDescent="0.3">
      <c r="A1384" s="20">
        <v>45964</v>
      </c>
      <c r="B1384" s="21" t="s">
        <v>1375</v>
      </c>
      <c r="C1384" s="20">
        <v>45964</v>
      </c>
      <c r="D1384" s="21" t="s">
        <v>2210</v>
      </c>
      <c r="F1384" s="274">
        <f t="shared" si="42"/>
        <v>2.087015791199796E-2</v>
      </c>
      <c r="G1384" s="274">
        <f t="shared" si="43"/>
        <v>1.6036793506920993E-3</v>
      </c>
    </row>
    <row r="1385" spans="1:7" ht="14.25" customHeight="1" x14ac:dyDescent="0.3">
      <c r="A1385" s="20">
        <v>45965</v>
      </c>
      <c r="B1385" s="21" t="s">
        <v>2211</v>
      </c>
      <c r="C1385" s="20">
        <v>45965</v>
      </c>
      <c r="D1385" s="21" t="s">
        <v>2212</v>
      </c>
      <c r="F1385" s="274">
        <f t="shared" si="42"/>
        <v>-1.6978495470741435E-2</v>
      </c>
      <c r="G1385" s="274">
        <f t="shared" si="43"/>
        <v>-6.4315867797603409E-3</v>
      </c>
    </row>
    <row r="1386" spans="1:7" ht="14.25" customHeight="1" x14ac:dyDescent="0.3">
      <c r="A1386" s="20">
        <v>45967</v>
      </c>
      <c r="B1386" s="21" t="s">
        <v>2213</v>
      </c>
      <c r="C1386" s="20">
        <v>45967</v>
      </c>
      <c r="D1386" s="21">
        <v>25509.69921875</v>
      </c>
      <c r="F1386" s="274">
        <f t="shared" si="42"/>
        <v>-1.5861825189898513E-2</v>
      </c>
      <c r="G1386" s="274">
        <f t="shared" si="43"/>
        <v>-3.4359080045569977E-3</v>
      </c>
    </row>
    <row r="1387" spans="1:7" ht="14.25" customHeight="1" x14ac:dyDescent="0.3">
      <c r="A1387" s="20">
        <v>45968</v>
      </c>
      <c r="B1387" s="21" t="s">
        <v>2214</v>
      </c>
      <c r="C1387" s="20">
        <v>45968</v>
      </c>
      <c r="D1387" s="21">
        <v>25492.30078125</v>
      </c>
      <c r="F1387" s="274">
        <f t="shared" si="42"/>
        <v>7.1626676471871003E-4</v>
      </c>
      <c r="G1387" s="274">
        <f t="shared" si="43"/>
        <v>-6.8203224784445498E-4</v>
      </c>
    </row>
    <row r="1388" spans="1:7" ht="14.25" customHeight="1" x14ac:dyDescent="0.3">
      <c r="A1388" s="20">
        <v>45971</v>
      </c>
      <c r="B1388" s="21" t="s">
        <v>2215</v>
      </c>
      <c r="C1388" s="20">
        <v>45971</v>
      </c>
      <c r="D1388" s="21" t="s">
        <v>2216</v>
      </c>
      <c r="F1388" s="274">
        <f t="shared" si="42"/>
        <v>-4.83180434146904E-3</v>
      </c>
      <c r="G1388" s="274">
        <f t="shared" si="43"/>
        <v>3.2185728871263058E-3</v>
      </c>
    </row>
    <row r="1389" spans="1:7" ht="14.25" customHeight="1" x14ac:dyDescent="0.3">
      <c r="A1389" s="20">
        <v>45972</v>
      </c>
      <c r="B1389" s="21" t="s">
        <v>1370</v>
      </c>
      <c r="C1389" s="20">
        <v>45972</v>
      </c>
      <c r="D1389" s="21">
        <v>25694.94921875</v>
      </c>
      <c r="F1389" s="274">
        <f t="shared" si="42"/>
        <v>2.6074667698071691E-3</v>
      </c>
      <c r="G1389" s="274">
        <f t="shared" si="43"/>
        <v>4.7156471705849679E-3</v>
      </c>
    </row>
    <row r="1390" spans="1:7" ht="14.25" customHeight="1" x14ac:dyDescent="0.3">
      <c r="A1390" s="20">
        <v>45973</v>
      </c>
      <c r="B1390" s="21" t="s">
        <v>2217</v>
      </c>
      <c r="C1390" s="20">
        <v>45973</v>
      </c>
      <c r="D1390" s="21">
        <v>25875.80078125</v>
      </c>
      <c r="F1390" s="274">
        <f t="shared" si="42"/>
        <v>8.9678057743167294E-3</v>
      </c>
      <c r="G1390" s="274">
        <f t="shared" si="43"/>
        <v>7.0384090258497119E-3</v>
      </c>
    </row>
    <row r="1391" spans="1:7" ht="14.25" customHeight="1" x14ac:dyDescent="0.3">
      <c r="A1391" s="20">
        <v>45974</v>
      </c>
      <c r="B1391" s="21" t="s">
        <v>2218</v>
      </c>
      <c r="C1391" s="20">
        <v>45974</v>
      </c>
      <c r="D1391" s="21" t="s">
        <v>2219</v>
      </c>
      <c r="F1391" s="274">
        <f t="shared" si="42"/>
        <v>-5.688405077716562E-3</v>
      </c>
      <c r="G1391" s="274">
        <f t="shared" si="43"/>
        <v>1.2944949620369539E-4</v>
      </c>
    </row>
    <row r="1392" spans="1:7" ht="14.25" customHeight="1" x14ac:dyDescent="0.3">
      <c r="A1392" s="20">
        <v>45975</v>
      </c>
      <c r="B1392" s="21" t="s">
        <v>2160</v>
      </c>
      <c r="C1392" s="20">
        <v>45975</v>
      </c>
      <c r="D1392" s="21">
        <v>25910.05078125</v>
      </c>
      <c r="F1392" s="274">
        <f t="shared" si="42"/>
        <v>6.8830549551038072E-3</v>
      </c>
      <c r="G1392" s="274">
        <f t="shared" si="43"/>
        <v>1.1940264714483827E-3</v>
      </c>
    </row>
    <row r="1393" spans="1:7" ht="14.25" customHeight="1" x14ac:dyDescent="0.3">
      <c r="A1393" s="20">
        <v>45978</v>
      </c>
      <c r="B1393" s="21" t="s">
        <v>1718</v>
      </c>
      <c r="C1393" s="20">
        <v>45978</v>
      </c>
      <c r="D1393" s="21">
        <v>26013.44921875</v>
      </c>
      <c r="F1393" s="274">
        <f t="shared" si="42"/>
        <v>-5.1491909645005945E-3</v>
      </c>
      <c r="G1393" s="274">
        <f t="shared" si="43"/>
        <v>3.9906690408659891E-3</v>
      </c>
    </row>
    <row r="1394" spans="1:7" ht="14.25" customHeight="1" x14ac:dyDescent="0.3">
      <c r="A1394" s="20">
        <v>45979</v>
      </c>
      <c r="B1394" s="21" t="s">
        <v>2220</v>
      </c>
      <c r="C1394" s="20">
        <v>45979</v>
      </c>
      <c r="D1394" s="21">
        <v>25910.05078125</v>
      </c>
      <c r="F1394" s="274">
        <f t="shared" si="42"/>
        <v>-4.4618955103810486E-3</v>
      </c>
      <c r="G1394" s="274">
        <f t="shared" si="43"/>
        <v>-3.974806902018682E-3</v>
      </c>
    </row>
    <row r="1395" spans="1:7" ht="14.25" customHeight="1" x14ac:dyDescent="0.3">
      <c r="A1395" s="20">
        <v>45980</v>
      </c>
      <c r="B1395" s="21" t="s">
        <v>2221</v>
      </c>
      <c r="C1395" s="20">
        <v>45980</v>
      </c>
      <c r="D1395" s="21" t="s">
        <v>2222</v>
      </c>
      <c r="F1395" s="274">
        <f t="shared" si="42"/>
        <v>-4.4818932497501154E-3</v>
      </c>
      <c r="G1395" s="274">
        <f t="shared" si="43"/>
        <v>5.503640675154263E-3</v>
      </c>
    </row>
    <row r="1396" spans="1:7" ht="14.25" customHeight="1" x14ac:dyDescent="0.3">
      <c r="A1396" s="20">
        <v>45981</v>
      </c>
      <c r="B1396" s="21">
        <v>555.75</v>
      </c>
      <c r="C1396" s="20">
        <v>45981</v>
      </c>
      <c r="D1396" s="21" t="s">
        <v>2223</v>
      </c>
      <c r="F1396" s="274">
        <f t="shared" si="42"/>
        <v>8.1039477205935664E-4</v>
      </c>
      <c r="G1396" s="274">
        <f t="shared" si="43"/>
        <v>5.3545415882216276E-3</v>
      </c>
    </row>
    <row r="1397" spans="1:7" ht="14.25" customHeight="1" x14ac:dyDescent="0.3">
      <c r="A1397" s="20">
        <v>45982</v>
      </c>
      <c r="B1397" s="21" t="s">
        <v>2083</v>
      </c>
      <c r="C1397" s="20">
        <v>45982</v>
      </c>
      <c r="D1397" s="21" t="s">
        <v>2224</v>
      </c>
      <c r="F1397" s="274">
        <f t="shared" si="42"/>
        <v>-1.4754857772437329E-2</v>
      </c>
      <c r="G1397" s="274">
        <f t="shared" si="43"/>
        <v>-4.7342428227803521E-3</v>
      </c>
    </row>
    <row r="1398" spans="1:7" ht="14.25" customHeight="1" x14ac:dyDescent="0.3">
      <c r="A1398" s="20">
        <v>45985</v>
      </c>
      <c r="B1398" s="21" t="s">
        <v>1982</v>
      </c>
      <c r="C1398" s="20">
        <v>45985</v>
      </c>
      <c r="D1398" s="21">
        <v>25959.5</v>
      </c>
      <c r="F1398" s="274">
        <f t="shared" si="42"/>
        <v>-5.3876582463669546E-3</v>
      </c>
      <c r="G1398" s="274">
        <f t="shared" si="43"/>
        <v>-4.167936312968119E-3</v>
      </c>
    </row>
    <row r="1399" spans="1:7" ht="14.25" customHeight="1" x14ac:dyDescent="0.3">
      <c r="A1399" s="20">
        <v>45986</v>
      </c>
      <c r="B1399" s="21" t="s">
        <v>2225</v>
      </c>
      <c r="C1399" s="20">
        <v>45986</v>
      </c>
      <c r="D1399" s="21">
        <v>25884.80078125</v>
      </c>
      <c r="F1399" s="274">
        <f t="shared" si="42"/>
        <v>2.2952626809340571E-3</v>
      </c>
      <c r="G1399" s="274">
        <f t="shared" si="43"/>
        <v>-2.8775291800689534E-3</v>
      </c>
    </row>
    <row r="1400" spans="1:7" ht="14.25" customHeight="1" x14ac:dyDescent="0.3">
      <c r="A1400" s="20">
        <v>45987</v>
      </c>
      <c r="B1400" s="21">
        <v>550</v>
      </c>
      <c r="C1400" s="20">
        <v>45987</v>
      </c>
      <c r="D1400" s="21">
        <v>26205.30078125</v>
      </c>
      <c r="F1400" s="274">
        <f t="shared" si="42"/>
        <v>7.6028663546392093E-3</v>
      </c>
      <c r="G1400" s="274">
        <f t="shared" si="43"/>
        <v>1.2381783530362669E-2</v>
      </c>
    </row>
    <row r="1401" spans="1:7" ht="14.25" customHeight="1" x14ac:dyDescent="0.3">
      <c r="A1401" s="20">
        <v>45988</v>
      </c>
      <c r="B1401" s="21" t="s">
        <v>1989</v>
      </c>
      <c r="C1401" s="20">
        <v>45988</v>
      </c>
      <c r="D1401" s="21">
        <v>26215.55078125</v>
      </c>
      <c r="F1401" s="274">
        <f t="shared" si="42"/>
        <v>-2.3636141690345043E-3</v>
      </c>
      <c r="G1401" s="274">
        <f t="shared" si="43"/>
        <v>3.9114223818922608E-4</v>
      </c>
    </row>
    <row r="1402" spans="1:7" ht="14.25" customHeight="1" x14ac:dyDescent="0.3">
      <c r="A1402" s="20">
        <v>45989</v>
      </c>
      <c r="B1402" s="21" t="s">
        <v>2226</v>
      </c>
      <c r="C1402" s="20">
        <v>45989</v>
      </c>
      <c r="D1402" s="21">
        <v>26202.94921875</v>
      </c>
      <c r="F1402" s="274">
        <f t="shared" si="42"/>
        <v>2.7337342202099903E-3</v>
      </c>
      <c r="G1402" s="274">
        <f t="shared" si="43"/>
        <v>-4.8069035837358583E-4</v>
      </c>
    </row>
    <row r="1403" spans="1:7" ht="14.25" customHeight="1" x14ac:dyDescent="0.3">
      <c r="A1403" s="20">
        <v>45992</v>
      </c>
      <c r="B1403" s="21" t="s">
        <v>2227</v>
      </c>
      <c r="C1403" s="20">
        <v>45992</v>
      </c>
      <c r="D1403" s="21">
        <v>26175.75</v>
      </c>
      <c r="F1403" s="274">
        <f t="shared" si="42"/>
        <v>-1.2450084458588532E-2</v>
      </c>
      <c r="G1403" s="274">
        <f t="shared" si="43"/>
        <v>-1.0380212747402153E-3</v>
      </c>
    </row>
    <row r="1404" spans="1:7" ht="14.25" customHeight="1" x14ac:dyDescent="0.3">
      <c r="A1404" s="20">
        <v>45993</v>
      </c>
      <c r="B1404" s="21">
        <v>543</v>
      </c>
      <c r="C1404" s="20">
        <v>45993</v>
      </c>
      <c r="D1404" s="21">
        <v>26032.19921875</v>
      </c>
      <c r="F1404" s="274">
        <f t="shared" si="42"/>
        <v>-6.4410711633811893E-4</v>
      </c>
      <c r="G1404" s="274">
        <f t="shared" si="43"/>
        <v>-5.4841133969418263E-3</v>
      </c>
    </row>
    <row r="1405" spans="1:7" ht="14.25" customHeight="1" x14ac:dyDescent="0.3">
      <c r="A1405" s="20">
        <v>45994</v>
      </c>
      <c r="B1405" s="21" t="s">
        <v>1997</v>
      </c>
      <c r="C1405" s="20">
        <v>45994</v>
      </c>
      <c r="D1405" s="21">
        <v>25986</v>
      </c>
      <c r="F1405" s="274">
        <f t="shared" si="42"/>
        <v>-1.4088442751497154E-2</v>
      </c>
      <c r="G1405" s="274">
        <f t="shared" si="43"/>
        <v>-1.7746951904364832E-3</v>
      </c>
    </row>
    <row r="1406" spans="1:7" ht="14.25" customHeight="1" x14ac:dyDescent="0.3">
      <c r="A1406" s="20">
        <v>45995</v>
      </c>
      <c r="B1406" s="21" t="s">
        <v>2079</v>
      </c>
      <c r="C1406" s="20">
        <v>45995</v>
      </c>
      <c r="D1406" s="21">
        <v>26033.75</v>
      </c>
      <c r="F1406" s="274">
        <f t="shared" si="42"/>
        <v>2.8953934786836999E-3</v>
      </c>
      <c r="G1406" s="274">
        <f t="shared" si="43"/>
        <v>1.8375278996382667E-3</v>
      </c>
    </row>
    <row r="1407" spans="1:7" ht="14.25" customHeight="1" x14ac:dyDescent="0.3">
      <c r="A1407" s="20">
        <v>45996</v>
      </c>
      <c r="B1407" s="21" t="s">
        <v>2228</v>
      </c>
      <c r="C1407" s="20">
        <v>45996</v>
      </c>
      <c r="D1407" s="21">
        <v>26186.44921875</v>
      </c>
      <c r="F1407" s="274">
        <f t="shared" si="42"/>
        <v>-5.7739550756721802E-3</v>
      </c>
      <c r="G1407" s="274">
        <f t="shared" si="43"/>
        <v>5.8654330916598644E-3</v>
      </c>
    </row>
    <row r="1408" spans="1:7" ht="14.25" customHeight="1" x14ac:dyDescent="0.3">
      <c r="A1408" s="20">
        <v>45999</v>
      </c>
      <c r="B1408" s="21" t="s">
        <v>2229</v>
      </c>
      <c r="C1408" s="20">
        <v>45999</v>
      </c>
      <c r="D1408" s="21">
        <v>25960.55078125</v>
      </c>
      <c r="F1408" s="274">
        <f t="shared" si="42"/>
        <v>-9.0857543964912458E-3</v>
      </c>
      <c r="G1408" s="274">
        <f t="shared" si="43"/>
        <v>-8.6265394598918129E-3</v>
      </c>
    </row>
    <row r="1409" spans="1:7" ht="14.25" customHeight="1" x14ac:dyDescent="0.3">
      <c r="A1409" s="20">
        <v>46000</v>
      </c>
      <c r="B1409" s="21" t="s">
        <v>2230</v>
      </c>
      <c r="C1409" s="20">
        <v>46000</v>
      </c>
      <c r="D1409" s="21" t="s">
        <v>2231</v>
      </c>
      <c r="F1409" s="274">
        <f t="shared" si="42"/>
        <v>7.751158883293874E-3</v>
      </c>
      <c r="G1409" s="274">
        <f t="shared" si="43"/>
        <v>-4.6570811090926572E-3</v>
      </c>
    </row>
    <row r="1410" spans="1:7" ht="14.25" customHeight="1" x14ac:dyDescent="0.3">
      <c r="A1410" s="20">
        <v>46001</v>
      </c>
      <c r="B1410" s="21" t="s">
        <v>2232</v>
      </c>
      <c r="C1410" s="20">
        <v>46001</v>
      </c>
      <c r="D1410" s="21">
        <v>25758</v>
      </c>
      <c r="F1410" s="274">
        <f t="shared" si="42"/>
        <v>-6.2845430309587278E-3</v>
      </c>
      <c r="G1410" s="274">
        <f t="shared" si="43"/>
        <v>-3.159887590995579E-3</v>
      </c>
    </row>
    <row r="1411" spans="1:7" ht="14.25" customHeight="1" x14ac:dyDescent="0.3">
      <c r="A1411" s="20">
        <v>46002</v>
      </c>
      <c r="B1411" s="21" t="s">
        <v>1696</v>
      </c>
      <c r="C1411" s="20">
        <v>46002</v>
      </c>
      <c r="D1411" s="21">
        <v>25898.55078125</v>
      </c>
      <c r="F1411" s="274">
        <f t="shared" ref="F1411:F1474" si="44">(B1411-B1410)/B1410</f>
        <v>1.2082241327954933E-2</v>
      </c>
      <c r="G1411" s="274">
        <f t="shared" ref="G1411:G1474" si="45">(D1411-D1410)/D1410</f>
        <v>5.4565875164997281E-3</v>
      </c>
    </row>
    <row r="1412" spans="1:7" ht="14.25" customHeight="1" x14ac:dyDescent="0.3">
      <c r="A1412" s="20">
        <v>46003</v>
      </c>
      <c r="B1412" s="21" t="s">
        <v>2233</v>
      </c>
      <c r="C1412" s="20">
        <v>46003</v>
      </c>
      <c r="D1412" s="21">
        <v>26046.94921875</v>
      </c>
      <c r="F1412" s="274">
        <f t="shared" si="44"/>
        <v>2.2477241889359817E-2</v>
      </c>
      <c r="G1412" s="274">
        <f t="shared" si="45"/>
        <v>5.7299900196514974E-3</v>
      </c>
    </row>
    <row r="1413" spans="1:7" ht="14.25" customHeight="1" x14ac:dyDescent="0.3">
      <c r="A1413" s="20">
        <v>46006</v>
      </c>
      <c r="B1413" s="21" t="s">
        <v>2234</v>
      </c>
      <c r="C1413" s="20">
        <v>46006</v>
      </c>
      <c r="D1413" s="21">
        <v>26027.30078125</v>
      </c>
      <c r="F1413" s="274">
        <f t="shared" si="44"/>
        <v>9.668863553612593E-3</v>
      </c>
      <c r="G1413" s="274">
        <f t="shared" si="45"/>
        <v>-7.5434698071496196E-4</v>
      </c>
    </row>
    <row r="1414" spans="1:7" ht="14.25" customHeight="1" x14ac:dyDescent="0.3">
      <c r="A1414" s="20">
        <v>46007</v>
      </c>
      <c r="B1414" s="21" t="s">
        <v>1989</v>
      </c>
      <c r="C1414" s="20">
        <v>46007</v>
      </c>
      <c r="D1414" s="21" t="s">
        <v>2235</v>
      </c>
      <c r="F1414" s="274">
        <f t="shared" si="44"/>
        <v>-8.5825275909889222E-3</v>
      </c>
      <c r="G1414" s="274">
        <f t="shared" si="45"/>
        <v>-6.4240688375742476E-3</v>
      </c>
    </row>
    <row r="1415" spans="1:7" ht="14.25" customHeight="1" x14ac:dyDescent="0.3">
      <c r="A1415" s="20">
        <v>46008</v>
      </c>
      <c r="B1415" s="21" t="s">
        <v>2236</v>
      </c>
      <c r="C1415" s="20">
        <v>46008</v>
      </c>
      <c r="D1415" s="21">
        <v>25818.55078125</v>
      </c>
      <c r="F1415" s="274">
        <f t="shared" si="44"/>
        <v>-1.3486466647409061E-2</v>
      </c>
      <c r="G1415" s="274">
        <f t="shared" si="45"/>
        <v>-1.6066770334456639E-3</v>
      </c>
    </row>
    <row r="1416" spans="1:7" ht="14.25" customHeight="1" x14ac:dyDescent="0.3">
      <c r="A1416" s="20">
        <v>46009</v>
      </c>
      <c r="B1416" s="21" t="s">
        <v>1984</v>
      </c>
      <c r="C1416" s="20">
        <v>46009</v>
      </c>
      <c r="D1416" s="21">
        <v>25815.55078125</v>
      </c>
      <c r="F1416" s="274">
        <f t="shared" si="44"/>
        <v>-1.016072441166135E-2</v>
      </c>
      <c r="G1416" s="274">
        <f t="shared" si="45"/>
        <v>-1.1619552256893776E-4</v>
      </c>
    </row>
    <row r="1417" spans="1:7" ht="14.25" customHeight="1" x14ac:dyDescent="0.3">
      <c r="A1417" s="20">
        <v>46010</v>
      </c>
      <c r="B1417" s="21" t="s">
        <v>2237</v>
      </c>
      <c r="C1417" s="20">
        <v>46010</v>
      </c>
      <c r="D1417" s="21" t="s">
        <v>2238</v>
      </c>
      <c r="F1417" s="274">
        <f t="shared" si="44"/>
        <v>7.1855854960969833E-3</v>
      </c>
      <c r="G1417" s="274">
        <f t="shared" si="45"/>
        <v>5.8433620360547577E-3</v>
      </c>
    </row>
    <row r="1418" spans="1:7" ht="14.25" customHeight="1" x14ac:dyDescent="0.3">
      <c r="A1418" s="20">
        <v>46013</v>
      </c>
      <c r="B1418" s="21" t="s">
        <v>2239</v>
      </c>
      <c r="C1418" s="20">
        <v>46013</v>
      </c>
      <c r="D1418" s="21" t="s">
        <v>2240</v>
      </c>
      <c r="F1418" s="274">
        <f t="shared" si="44"/>
        <v>5.5589322597492021E-4</v>
      </c>
      <c r="G1418" s="274">
        <f t="shared" si="45"/>
        <v>7.9333291061157232E-3</v>
      </c>
    </row>
    <row r="1419" spans="1:7" ht="14.25" customHeight="1" x14ac:dyDescent="0.3">
      <c r="A1419" s="20">
        <v>46014</v>
      </c>
      <c r="B1419" s="21" t="s">
        <v>2241</v>
      </c>
      <c r="C1419" s="20">
        <v>46014</v>
      </c>
      <c r="D1419" s="21" t="s">
        <v>2242</v>
      </c>
      <c r="F1419" s="274">
        <f t="shared" si="44"/>
        <v>1.2871584498392798E-2</v>
      </c>
      <c r="G1419" s="274">
        <f t="shared" si="45"/>
        <v>1.814888939916057E-4</v>
      </c>
    </row>
    <row r="1420" spans="1:7" ht="14.25" customHeight="1" x14ac:dyDescent="0.3">
      <c r="A1420" s="20">
        <v>46015</v>
      </c>
      <c r="B1420" s="21" t="s">
        <v>2243</v>
      </c>
      <c r="C1420" s="20">
        <v>46015</v>
      </c>
      <c r="D1420" s="21" t="s">
        <v>2244</v>
      </c>
      <c r="F1420" s="274">
        <f t="shared" si="44"/>
        <v>2.1940960290879564E-3</v>
      </c>
      <c r="G1420" s="274">
        <f t="shared" si="45"/>
        <v>-1.3389838361685454E-3</v>
      </c>
    </row>
    <row r="1421" spans="1:7" ht="14.25" customHeight="1" x14ac:dyDescent="0.3">
      <c r="A1421" s="20">
        <v>46017</v>
      </c>
      <c r="B1421" s="21" t="s">
        <v>2245</v>
      </c>
      <c r="C1421" s="20">
        <v>46017</v>
      </c>
      <c r="D1421" s="21">
        <v>26042.30078125</v>
      </c>
      <c r="F1421" s="274">
        <f t="shared" si="44"/>
        <v>1.1950463637811297E-2</v>
      </c>
      <c r="G1421" s="274">
        <f t="shared" si="45"/>
        <v>-3.8175521330050493E-3</v>
      </c>
    </row>
    <row r="1422" spans="1:7" ht="14.25" customHeight="1" x14ac:dyDescent="0.3">
      <c r="A1422" s="20">
        <v>46020</v>
      </c>
      <c r="B1422" s="21" t="s">
        <v>2246</v>
      </c>
      <c r="C1422" s="20">
        <v>46020</v>
      </c>
      <c r="D1422" s="21" t="s">
        <v>2247</v>
      </c>
      <c r="F1422" s="274">
        <f t="shared" si="44"/>
        <v>-4.5975817468301705E-3</v>
      </c>
      <c r="G1422" s="274">
        <f t="shared" si="45"/>
        <v>-3.8476313101775974E-3</v>
      </c>
    </row>
    <row r="1423" spans="1:7" ht="14.25" customHeight="1" x14ac:dyDescent="0.3">
      <c r="A1423" s="20">
        <v>46021</v>
      </c>
      <c r="B1423" s="21">
        <v>550</v>
      </c>
      <c r="C1423" s="20">
        <v>46021</v>
      </c>
      <c r="D1423" s="21" t="s">
        <v>2248</v>
      </c>
      <c r="F1423" s="274">
        <f t="shared" si="44"/>
        <v>-3.8036147053047168E-3</v>
      </c>
      <c r="G1423" s="274">
        <f t="shared" si="45"/>
        <v>-1.2527898855285829E-4</v>
      </c>
    </row>
    <row r="1424" spans="1:7" ht="14.25" customHeight="1" x14ac:dyDescent="0.3">
      <c r="A1424" s="20">
        <v>46022</v>
      </c>
      <c r="B1424" s="21" t="s">
        <v>2249</v>
      </c>
      <c r="C1424" s="20">
        <v>46022</v>
      </c>
      <c r="D1424" s="21" t="s">
        <v>2250</v>
      </c>
      <c r="F1424" s="274">
        <f t="shared" si="44"/>
        <v>1.1545410156249172E-2</v>
      </c>
      <c r="G1424" s="274">
        <f t="shared" si="45"/>
        <v>7.353834224439075E-3</v>
      </c>
    </row>
    <row r="1425" spans="1:7" ht="14.25" customHeight="1" x14ac:dyDescent="0.3">
      <c r="A1425" s="20">
        <v>46023</v>
      </c>
      <c r="B1425" s="21" t="s">
        <v>2251</v>
      </c>
      <c r="C1425" s="20">
        <v>46023</v>
      </c>
      <c r="D1425" s="21">
        <v>26146.55078125</v>
      </c>
      <c r="F1425" s="274">
        <f t="shared" si="44"/>
        <v>5.9316059547759523E-3</v>
      </c>
      <c r="G1425" s="274">
        <f t="shared" si="45"/>
        <v>6.4873446698043217E-4</v>
      </c>
    </row>
    <row r="1426" spans="1:7" ht="14.25" customHeight="1" x14ac:dyDescent="0.3">
      <c r="A1426" s="20">
        <v>46024</v>
      </c>
      <c r="B1426" s="21" t="s">
        <v>2208</v>
      </c>
      <c r="C1426" s="20">
        <v>46024</v>
      </c>
      <c r="D1426" s="21">
        <v>26328.55078125</v>
      </c>
      <c r="F1426" s="274">
        <f t="shared" si="44"/>
        <v>1.0274278118758397E-2</v>
      </c>
      <c r="G1426" s="274">
        <f t="shared" si="45"/>
        <v>6.9607651702386052E-3</v>
      </c>
    </row>
    <row r="1427" spans="1:7" ht="14.25" customHeight="1" x14ac:dyDescent="0.3">
      <c r="A1427" s="20">
        <v>46027</v>
      </c>
      <c r="B1427" s="21">
        <v>571.25</v>
      </c>
      <c r="C1427" s="20">
        <v>46027</v>
      </c>
      <c r="D1427" s="21">
        <v>26250.30078125</v>
      </c>
      <c r="F1427" s="274">
        <f t="shared" si="44"/>
        <v>1.0346613606889083E-2</v>
      </c>
      <c r="G1427" s="274">
        <f t="shared" si="45"/>
        <v>-2.9720587604740519E-3</v>
      </c>
    </row>
    <row r="1428" spans="1:7" ht="14.25" customHeight="1" x14ac:dyDescent="0.3">
      <c r="A1428" s="20">
        <v>46028</v>
      </c>
      <c r="B1428" s="21" t="s">
        <v>2252</v>
      </c>
      <c r="C1428" s="20">
        <v>46028</v>
      </c>
      <c r="D1428" s="21">
        <v>26178.69921875</v>
      </c>
      <c r="F1428" s="274">
        <f t="shared" si="44"/>
        <v>-1.3479233622813209E-2</v>
      </c>
      <c r="G1428" s="274">
        <f t="shared" si="45"/>
        <v>-2.7276473171363958E-3</v>
      </c>
    </row>
    <row r="1429" spans="1:7" ht="14.25" customHeight="1" x14ac:dyDescent="0.3">
      <c r="A1429" s="20">
        <v>46029</v>
      </c>
      <c r="B1429" s="21">
        <v>562</v>
      </c>
      <c r="C1429" s="20">
        <v>46029</v>
      </c>
      <c r="D1429" s="21">
        <v>26140.75</v>
      </c>
      <c r="F1429" s="274">
        <f t="shared" si="44"/>
        <v>-2.7503998341623158E-3</v>
      </c>
      <c r="G1429" s="274">
        <f t="shared" si="45"/>
        <v>-1.4496220164682432E-3</v>
      </c>
    </row>
    <row r="1430" spans="1:7" ht="14.25" customHeight="1" x14ac:dyDescent="0.3">
      <c r="A1430" s="20">
        <v>46030</v>
      </c>
      <c r="B1430" s="21" t="s">
        <v>2253</v>
      </c>
      <c r="C1430" s="20">
        <v>46030</v>
      </c>
      <c r="D1430" s="21" t="s">
        <v>2254</v>
      </c>
      <c r="F1430" s="274">
        <f t="shared" si="44"/>
        <v>-2.7224177567560459E-2</v>
      </c>
      <c r="G1430" s="274">
        <f t="shared" si="45"/>
        <v>-1.0095364158449929E-2</v>
      </c>
    </row>
    <row r="1431" spans="1:7" ht="14.25" customHeight="1" x14ac:dyDescent="0.3">
      <c r="A1431" s="20">
        <v>46031</v>
      </c>
      <c r="B1431" s="21" t="s">
        <v>2255</v>
      </c>
      <c r="C1431" s="20">
        <v>46031</v>
      </c>
      <c r="D1431" s="21">
        <v>25683.30078125</v>
      </c>
      <c r="F1431" s="274">
        <f t="shared" si="44"/>
        <v>-1.7834277999444696E-2</v>
      </c>
      <c r="G1431" s="274">
        <f t="shared" si="45"/>
        <v>-7.4796132854935563E-3</v>
      </c>
    </row>
    <row r="1432" spans="1:7" ht="14.25" customHeight="1" x14ac:dyDescent="0.3">
      <c r="A1432" s="20">
        <v>46034</v>
      </c>
      <c r="B1432" s="21" t="s">
        <v>2256</v>
      </c>
      <c r="C1432" s="20">
        <v>46034</v>
      </c>
      <c r="D1432" s="21">
        <v>25790.25</v>
      </c>
      <c r="F1432" s="274">
        <f t="shared" si="44"/>
        <v>3.2591488224517537E-3</v>
      </c>
      <c r="G1432" s="274">
        <f t="shared" si="45"/>
        <v>4.1641539637334267E-3</v>
      </c>
    </row>
    <row r="1433" spans="1:7" ht="14.25" customHeight="1" x14ac:dyDescent="0.3">
      <c r="A1433" s="20">
        <v>46035</v>
      </c>
      <c r="B1433" s="21" t="s">
        <v>2257</v>
      </c>
      <c r="C1433" s="20">
        <v>46035</v>
      </c>
      <c r="D1433" s="21">
        <v>25732.30078125</v>
      </c>
      <c r="F1433" s="274">
        <f t="shared" si="44"/>
        <v>-1.9491141065084111E-3</v>
      </c>
      <c r="G1433" s="274">
        <f t="shared" si="45"/>
        <v>-2.2469428853927357E-3</v>
      </c>
    </row>
    <row r="1434" spans="1:7" ht="14.25" customHeight="1" x14ac:dyDescent="0.3">
      <c r="A1434" s="20">
        <v>46036</v>
      </c>
      <c r="B1434" s="21" t="s">
        <v>1953</v>
      </c>
      <c r="C1434" s="20">
        <v>46036</v>
      </c>
      <c r="D1434" s="21" t="s">
        <v>2258</v>
      </c>
      <c r="F1434" s="274">
        <f t="shared" si="44"/>
        <v>2.2133289014307483E-2</v>
      </c>
      <c r="G1434" s="274">
        <f t="shared" si="45"/>
        <v>-2.5921184600641006E-3</v>
      </c>
    </row>
    <row r="1435" spans="1:7" ht="14.25" customHeight="1" x14ac:dyDescent="0.3">
      <c r="A1435" s="20">
        <v>46038</v>
      </c>
      <c r="B1435" s="21">
        <v>553.75</v>
      </c>
      <c r="C1435" s="20">
        <v>46038</v>
      </c>
      <c r="D1435" s="21" t="s">
        <v>2259</v>
      </c>
      <c r="F1435" s="274">
        <f t="shared" si="44"/>
        <v>7.6426390689218193E-3</v>
      </c>
      <c r="G1435" s="274">
        <f t="shared" si="45"/>
        <v>1.1201764399651254E-3</v>
      </c>
    </row>
    <row r="1436" spans="1:7" ht="14.25" customHeight="1" x14ac:dyDescent="0.3">
      <c r="A1436" s="20">
        <v>46041</v>
      </c>
      <c r="B1436" s="21" t="s">
        <v>2260</v>
      </c>
      <c r="C1436" s="20">
        <v>46041</v>
      </c>
      <c r="D1436" s="21">
        <v>25585.5</v>
      </c>
      <c r="F1436" s="274">
        <f t="shared" si="44"/>
        <v>-2.8893464305877288E-3</v>
      </c>
      <c r="G1436" s="274">
        <f t="shared" si="45"/>
        <v>-4.2363247573810724E-3</v>
      </c>
    </row>
    <row r="1437" spans="1:7" ht="14.25" customHeight="1" x14ac:dyDescent="0.3">
      <c r="A1437" s="20">
        <v>46042</v>
      </c>
      <c r="B1437" s="21" t="s">
        <v>2261</v>
      </c>
      <c r="C1437" s="20">
        <v>46042</v>
      </c>
      <c r="D1437" s="21">
        <v>25232.5</v>
      </c>
      <c r="F1437" s="274">
        <f t="shared" si="44"/>
        <v>-2.8706032636535778E-2</v>
      </c>
      <c r="G1437" s="274">
        <f t="shared" si="45"/>
        <v>-1.3796877137441129E-2</v>
      </c>
    </row>
    <row r="1438" spans="1:7" ht="14.25" customHeight="1" x14ac:dyDescent="0.3">
      <c r="A1438" s="20">
        <v>46043</v>
      </c>
      <c r="B1438" s="21" t="s">
        <v>2262</v>
      </c>
      <c r="C1438" s="20">
        <v>46043</v>
      </c>
      <c r="D1438" s="21">
        <v>25157.5</v>
      </c>
      <c r="F1438" s="274">
        <f t="shared" si="44"/>
        <v>4.381944200232378E-3</v>
      </c>
      <c r="G1438" s="274">
        <f t="shared" si="45"/>
        <v>-2.9723570791637768E-3</v>
      </c>
    </row>
    <row r="1439" spans="1:7" ht="14.25" customHeight="1" x14ac:dyDescent="0.3">
      <c r="A1439" s="20">
        <v>46044</v>
      </c>
      <c r="B1439" s="21" t="s">
        <v>2263</v>
      </c>
      <c r="C1439" s="20">
        <v>46044</v>
      </c>
      <c r="D1439" s="21" t="s">
        <v>2264</v>
      </c>
      <c r="F1439" s="274">
        <f t="shared" si="44"/>
        <v>1.4759028704255375E-2</v>
      </c>
      <c r="G1439" s="274">
        <f t="shared" si="45"/>
        <v>5.2628596094603996E-3</v>
      </c>
    </row>
    <row r="1440" spans="1:7" ht="14.25" customHeight="1" x14ac:dyDescent="0.3">
      <c r="A1440" s="20">
        <v>46045</v>
      </c>
      <c r="B1440" s="21" t="s">
        <v>2265</v>
      </c>
      <c r="C1440" s="20">
        <v>46045</v>
      </c>
      <c r="D1440" s="21" t="s">
        <v>2266</v>
      </c>
      <c r="F1440" s="274">
        <f t="shared" si="44"/>
        <v>-5.1225761526946516E-2</v>
      </c>
      <c r="G1440" s="274">
        <f t="shared" si="45"/>
        <v>-9.5393811867061241E-3</v>
      </c>
    </row>
    <row r="1441" spans="1:7" ht="14.25" customHeight="1" x14ac:dyDescent="0.3">
      <c r="A1441" s="20">
        <v>46049</v>
      </c>
      <c r="B1441" s="21">
        <v>532.25</v>
      </c>
      <c r="C1441" s="20">
        <v>46049</v>
      </c>
      <c r="D1441" s="21" t="s">
        <v>2267</v>
      </c>
      <c r="F1441" s="274">
        <f t="shared" si="44"/>
        <v>2.632091218022245E-2</v>
      </c>
      <c r="G1441" s="274">
        <f t="shared" si="45"/>
        <v>5.0601528634628126E-3</v>
      </c>
    </row>
    <row r="1442" spans="1:7" ht="14.25" customHeight="1" x14ac:dyDescent="0.3">
      <c r="A1442" s="20">
        <v>46050</v>
      </c>
      <c r="B1442" s="21" t="s">
        <v>2068</v>
      </c>
      <c r="C1442" s="20">
        <v>46050</v>
      </c>
      <c r="D1442" s="21">
        <v>25342.75</v>
      </c>
      <c r="F1442" s="274">
        <f t="shared" si="44"/>
        <v>3.1940107224631706E-3</v>
      </c>
      <c r="G1442" s="274">
        <f t="shared" si="45"/>
        <v>6.6473464881741809E-3</v>
      </c>
    </row>
    <row r="1443" spans="1:7" ht="14.25" customHeight="1" x14ac:dyDescent="0.3">
      <c r="A1443" s="20">
        <v>46051</v>
      </c>
      <c r="B1443" s="21" t="s">
        <v>2268</v>
      </c>
      <c r="C1443" s="20">
        <v>46051</v>
      </c>
      <c r="D1443" s="21" t="s">
        <v>2269</v>
      </c>
      <c r="F1443" s="274">
        <f t="shared" si="44"/>
        <v>3.9329067102309529E-3</v>
      </c>
      <c r="G1443" s="274">
        <f t="shared" si="45"/>
        <v>3.004819548983437E-3</v>
      </c>
    </row>
    <row r="1444" spans="1:7" ht="14.25" customHeight="1" x14ac:dyDescent="0.3">
      <c r="A1444" s="20">
        <v>46052</v>
      </c>
      <c r="B1444" s="21" t="s">
        <v>2270</v>
      </c>
      <c r="C1444" s="20">
        <v>46052</v>
      </c>
      <c r="D1444" s="21" t="s">
        <v>2271</v>
      </c>
      <c r="F1444" s="274">
        <f t="shared" si="44"/>
        <v>-4.8316378110779878E-2</v>
      </c>
      <c r="G1444" s="274">
        <f t="shared" si="45"/>
        <v>-3.8652340774047241E-3</v>
      </c>
    </row>
    <row r="1445" spans="1:7" ht="14.25" customHeight="1" x14ac:dyDescent="0.3">
      <c r="A1445" s="20">
        <v>46055</v>
      </c>
      <c r="B1445" s="21">
        <v>510.5</v>
      </c>
      <c r="C1445" s="20">
        <v>46055</v>
      </c>
      <c r="D1445" s="21" t="s">
        <v>2272</v>
      </c>
      <c r="F1445" s="274">
        <f t="shared" si="44"/>
        <v>6.8608469607674572E-4</v>
      </c>
      <c r="G1445" s="274">
        <f t="shared" si="45"/>
        <v>-9.1723552285209401E-3</v>
      </c>
    </row>
    <row r="1446" spans="1:7" ht="14.25" customHeight="1" x14ac:dyDescent="0.3">
      <c r="A1446" s="20">
        <v>46056</v>
      </c>
      <c r="B1446" s="21">
        <v>528.25</v>
      </c>
      <c r="C1446" s="20">
        <v>46056</v>
      </c>
      <c r="D1446" s="21">
        <v>25727.55078125</v>
      </c>
      <c r="F1446" s="274">
        <f t="shared" si="44"/>
        <v>3.4769833496571985E-2</v>
      </c>
      <c r="G1446" s="274">
        <f t="shared" si="45"/>
        <v>2.5475932330218904E-2</v>
      </c>
    </row>
    <row r="1447" spans="1:7" ht="14.25" customHeight="1" x14ac:dyDescent="0.3">
      <c r="A1447" s="20">
        <v>46057</v>
      </c>
      <c r="B1447" s="21" t="s">
        <v>2255</v>
      </c>
      <c r="C1447" s="20">
        <v>46057</v>
      </c>
      <c r="D1447" s="21">
        <v>25776</v>
      </c>
      <c r="F1447" s="274">
        <f t="shared" si="44"/>
        <v>1.6469497788984426E-2</v>
      </c>
      <c r="G1447" s="274">
        <f t="shared" si="45"/>
        <v>1.8831648283174059E-3</v>
      </c>
    </row>
    <row r="1448" spans="1:7" ht="14.25" customHeight="1" x14ac:dyDescent="0.3">
      <c r="A1448" s="20">
        <v>46058</v>
      </c>
      <c r="B1448" s="21" t="s">
        <v>2230</v>
      </c>
      <c r="C1448" s="20">
        <v>46058</v>
      </c>
      <c r="D1448" s="21">
        <v>25642.80078125</v>
      </c>
      <c r="F1448" s="274">
        <f t="shared" si="44"/>
        <v>-7.2632914152152804E-3</v>
      </c>
      <c r="G1448" s="274">
        <f t="shared" si="45"/>
        <v>-5.1675674561607694E-3</v>
      </c>
    </row>
    <row r="1449" spans="1:7" ht="14.25" customHeight="1" x14ac:dyDescent="0.3">
      <c r="A1449" s="20">
        <v>46059</v>
      </c>
      <c r="B1449" s="21" t="s">
        <v>2273</v>
      </c>
      <c r="C1449" s="20">
        <v>46059</v>
      </c>
      <c r="D1449" s="21">
        <v>25693.69921875</v>
      </c>
      <c r="F1449" s="274">
        <f t="shared" si="44"/>
        <v>-6.7535421975004929E-3</v>
      </c>
      <c r="G1449" s="274">
        <f t="shared" si="45"/>
        <v>1.9849016468285676E-3</v>
      </c>
    </row>
    <row r="1450" spans="1:7" ht="14.25" customHeight="1" x14ac:dyDescent="0.3">
      <c r="A1450" s="20">
        <v>46062</v>
      </c>
      <c r="B1450" s="21" t="s">
        <v>2274</v>
      </c>
      <c r="C1450" s="20">
        <v>46062</v>
      </c>
      <c r="D1450" s="21">
        <v>25867.30078125</v>
      </c>
      <c r="F1450" s="274">
        <f t="shared" si="44"/>
        <v>2.4553781660725707E-2</v>
      </c>
      <c r="G1450" s="274">
        <f t="shared" si="45"/>
        <v>6.7565810988132885E-3</v>
      </c>
    </row>
    <row r="1451" spans="1:7" ht="14.25" customHeight="1" x14ac:dyDescent="0.3">
      <c r="A1451" s="20">
        <v>46063</v>
      </c>
      <c r="B1451" s="21">
        <v>538.5</v>
      </c>
      <c r="C1451" s="20">
        <v>46063</v>
      </c>
      <c r="D1451" s="21" t="s">
        <v>2275</v>
      </c>
      <c r="F1451" s="274">
        <f t="shared" si="44"/>
        <v>-7.2817994619630766E-3</v>
      </c>
      <c r="G1451" s="274">
        <f t="shared" si="45"/>
        <v>2.6229876069706129E-3</v>
      </c>
    </row>
    <row r="1452" spans="1:7" ht="14.25" customHeight="1" x14ac:dyDescent="0.3">
      <c r="A1452" s="20">
        <v>46064</v>
      </c>
      <c r="B1452" s="21">
        <v>541.25</v>
      </c>
      <c r="C1452" s="20">
        <v>46064</v>
      </c>
      <c r="D1452" s="21" t="s">
        <v>2276</v>
      </c>
      <c r="F1452" s="274">
        <f t="shared" si="44"/>
        <v>5.1067780872794798E-3</v>
      </c>
      <c r="G1452" s="274">
        <f t="shared" si="45"/>
        <v>7.2099904833246569E-4</v>
      </c>
    </row>
    <row r="1453" spans="1:7" ht="14.25" customHeight="1" x14ac:dyDescent="0.3">
      <c r="A1453" s="20">
        <v>46065</v>
      </c>
      <c r="B1453" s="21" t="s">
        <v>1407</v>
      </c>
      <c r="C1453" s="20">
        <v>46065</v>
      </c>
      <c r="D1453" s="21">
        <v>25807.19921875</v>
      </c>
      <c r="F1453" s="274">
        <f t="shared" si="44"/>
        <v>-1.5519675591802225E-2</v>
      </c>
      <c r="G1453" s="274">
        <f t="shared" si="45"/>
        <v>-5.6504292362096155E-3</v>
      </c>
    </row>
    <row r="1454" spans="1:7" ht="14.25" customHeight="1" x14ac:dyDescent="0.3">
      <c r="A1454" s="20">
        <v>46066</v>
      </c>
      <c r="B1454" s="21" t="s">
        <v>2277</v>
      </c>
      <c r="C1454" s="20">
        <v>46066</v>
      </c>
      <c r="D1454" s="21" t="s">
        <v>2278</v>
      </c>
      <c r="F1454" s="274">
        <f t="shared" si="44"/>
        <v>-2.5147722610235724E-2</v>
      </c>
      <c r="G1454" s="274">
        <f t="shared" si="45"/>
        <v>-1.3023482576552116E-2</v>
      </c>
    </row>
    <row r="1455" spans="1:7" ht="14.25" customHeight="1" x14ac:dyDescent="0.3">
      <c r="A1455" s="20">
        <v>46069</v>
      </c>
      <c r="B1455" s="21" t="s">
        <v>2279</v>
      </c>
      <c r="C1455" s="20">
        <v>46069</v>
      </c>
      <c r="D1455" s="21">
        <v>25682.75</v>
      </c>
      <c r="F1455" s="274">
        <f t="shared" si="44"/>
        <v>1.0106843539561936E-2</v>
      </c>
      <c r="G1455" s="274">
        <f t="shared" si="45"/>
        <v>8.3094328030933959E-3</v>
      </c>
    </row>
    <row r="1456" spans="1:7" ht="14.25" customHeight="1" x14ac:dyDescent="0.3">
      <c r="A1456" s="20">
        <v>46070</v>
      </c>
      <c r="B1456" s="21">
        <v>522</v>
      </c>
      <c r="C1456" s="20">
        <v>46070</v>
      </c>
      <c r="D1456" s="21" t="s">
        <v>2280</v>
      </c>
      <c r="F1456" s="274">
        <f t="shared" si="44"/>
        <v>-5.1458207436932135E-3</v>
      </c>
      <c r="G1456" s="274">
        <f t="shared" si="45"/>
        <v>1.6606629206373927E-3</v>
      </c>
    </row>
    <row r="1457" spans="1:7" ht="14.25" customHeight="1" x14ac:dyDescent="0.3">
      <c r="A1457" s="20">
        <v>46071</v>
      </c>
      <c r="B1457" s="21">
        <v>523</v>
      </c>
      <c r="C1457" s="20">
        <v>46071</v>
      </c>
      <c r="D1457" s="21" t="s">
        <v>2281</v>
      </c>
      <c r="F1457" s="274">
        <f t="shared" si="44"/>
        <v>1.9157088122605363E-3</v>
      </c>
      <c r="G1457" s="274">
        <f t="shared" si="45"/>
        <v>3.6520021971839754E-3</v>
      </c>
    </row>
    <row r="1458" spans="1:7" ht="14.25" customHeight="1" x14ac:dyDescent="0.3">
      <c r="A1458" s="20">
        <v>46072</v>
      </c>
      <c r="B1458" s="21" t="s">
        <v>2282</v>
      </c>
      <c r="C1458" s="20">
        <v>46072</v>
      </c>
      <c r="D1458" s="21" t="s">
        <v>2283</v>
      </c>
      <c r="F1458" s="274">
        <f t="shared" si="44"/>
        <v>-2.0745651215942552E-2</v>
      </c>
      <c r="G1458" s="274">
        <f t="shared" si="45"/>
        <v>-1.4136684522350191E-2</v>
      </c>
    </row>
    <row r="1459" spans="1:7" ht="14.25" customHeight="1" x14ac:dyDescent="0.3">
      <c r="A1459" s="20">
        <v>46073</v>
      </c>
      <c r="B1459" s="21">
        <v>512</v>
      </c>
      <c r="C1459" s="20">
        <v>46073</v>
      </c>
      <c r="D1459" s="21">
        <v>25571.25</v>
      </c>
      <c r="F1459" s="274">
        <f t="shared" si="44"/>
        <v>-2.9293060023512528E-4</v>
      </c>
      <c r="G1459" s="274">
        <f t="shared" si="45"/>
        <v>4.5925506806877847E-3</v>
      </c>
    </row>
    <row r="1460" spans="1:7" ht="14.25" customHeight="1" x14ac:dyDescent="0.3">
      <c r="A1460" s="20">
        <v>46076</v>
      </c>
      <c r="B1460" s="21" t="s">
        <v>2284</v>
      </c>
      <c r="C1460" s="20">
        <v>46076</v>
      </c>
      <c r="D1460" s="21">
        <v>25713</v>
      </c>
      <c r="F1460" s="274">
        <f t="shared" si="44"/>
        <v>6.4452886581405355E-3</v>
      </c>
      <c r="G1460" s="274">
        <f t="shared" si="45"/>
        <v>5.5433347998240208E-3</v>
      </c>
    </row>
    <row r="1461" spans="1:7" ht="14.25" customHeight="1" x14ac:dyDescent="0.3">
      <c r="A1461" s="20">
        <v>46077</v>
      </c>
      <c r="B1461" s="21">
        <v>514.5</v>
      </c>
      <c r="C1461" s="20">
        <v>46077</v>
      </c>
      <c r="D1461" s="21" t="s">
        <v>2285</v>
      </c>
      <c r="F1461" s="274">
        <f t="shared" si="44"/>
        <v>-1.5524700405957807E-3</v>
      </c>
      <c r="G1461" s="274">
        <f t="shared" si="45"/>
        <v>-1.1214156627970288E-2</v>
      </c>
    </row>
    <row r="1462" spans="1:7" ht="14.25" customHeight="1" x14ac:dyDescent="0.3">
      <c r="A1462" s="20">
        <v>46078</v>
      </c>
      <c r="B1462" s="21" t="s">
        <v>2286</v>
      </c>
      <c r="C1462" s="20">
        <v>46078</v>
      </c>
      <c r="D1462" s="21">
        <v>25482.5</v>
      </c>
      <c r="F1462" s="274">
        <f t="shared" si="44"/>
        <v>-6.6083457657628774E-3</v>
      </c>
      <c r="G1462" s="274">
        <f t="shared" si="45"/>
        <v>2.2753354908011348E-3</v>
      </c>
    </row>
    <row r="1463" spans="1:7" ht="14.25" customHeight="1" x14ac:dyDescent="0.3">
      <c r="A1463" s="20">
        <v>46079</v>
      </c>
      <c r="B1463" s="21" t="s">
        <v>2282</v>
      </c>
      <c r="C1463" s="20">
        <v>46079</v>
      </c>
      <c r="D1463" s="21">
        <v>25496.55078125</v>
      </c>
      <c r="F1463" s="274">
        <f t="shared" si="44"/>
        <v>2.0544282880215451E-3</v>
      </c>
      <c r="G1463" s="274">
        <f t="shared" si="45"/>
        <v>5.5138943392524285E-4</v>
      </c>
    </row>
    <row r="1464" spans="1:7" ht="14.25" customHeight="1" x14ac:dyDescent="0.3">
      <c r="A1464" s="20">
        <v>46080</v>
      </c>
      <c r="B1464" s="21" t="s">
        <v>2287</v>
      </c>
      <c r="C1464" s="20">
        <v>46080</v>
      </c>
      <c r="D1464" s="21" t="s">
        <v>2288</v>
      </c>
      <c r="F1464" s="274">
        <f t="shared" si="44"/>
        <v>-2.2942555808761277E-2</v>
      </c>
      <c r="G1464" s="274">
        <f t="shared" si="45"/>
        <v>-1.2468368500212268E-2</v>
      </c>
    </row>
    <row r="1465" spans="1:7" ht="14.25" customHeight="1" x14ac:dyDescent="0.3">
      <c r="A1465" s="20">
        <v>46083</v>
      </c>
      <c r="B1465" s="21">
        <v>490.75</v>
      </c>
      <c r="C1465" s="20">
        <v>46083</v>
      </c>
      <c r="D1465" s="21">
        <v>24865.69921875</v>
      </c>
      <c r="F1465" s="274">
        <f t="shared" si="44"/>
        <v>-1.9284560380071144E-2</v>
      </c>
      <c r="G1465" s="274">
        <f t="shared" si="45"/>
        <v>-1.2429227421638295E-2</v>
      </c>
    </row>
    <row r="1466" spans="1:7" ht="14.25" customHeight="1" x14ac:dyDescent="0.3">
      <c r="A1466" s="20">
        <v>46085</v>
      </c>
      <c r="B1466" s="21" t="s">
        <v>2289</v>
      </c>
      <c r="C1466" s="20">
        <v>46085</v>
      </c>
      <c r="D1466" s="21">
        <v>24480.5</v>
      </c>
      <c r="F1466" s="274">
        <f t="shared" si="44"/>
        <v>-2.9750394505381604E-2</v>
      </c>
      <c r="G1466" s="274">
        <f t="shared" si="45"/>
        <v>-1.5491187895474108E-2</v>
      </c>
    </row>
    <row r="1467" spans="1:7" ht="14.25" customHeight="1" x14ac:dyDescent="0.3">
      <c r="A1467" s="20">
        <v>46086</v>
      </c>
      <c r="B1467" s="21">
        <v>480</v>
      </c>
      <c r="C1467" s="20">
        <v>46086</v>
      </c>
      <c r="D1467" s="21" t="s">
        <v>2290</v>
      </c>
      <c r="F1467" s="274">
        <f t="shared" si="44"/>
        <v>8.0857002055386411E-3</v>
      </c>
      <c r="G1467" s="274">
        <f t="shared" si="45"/>
        <v>1.165827457057658E-2</v>
      </c>
    </row>
    <row r="1468" spans="1:7" ht="14.25" customHeight="1" x14ac:dyDescent="0.3">
      <c r="A1468" s="20">
        <v>46087</v>
      </c>
      <c r="B1468" s="21">
        <v>466.75</v>
      </c>
      <c r="C1468" s="20">
        <v>46087</v>
      </c>
      <c r="D1468" s="21">
        <v>24450.44921875</v>
      </c>
      <c r="F1468" s="274">
        <f t="shared" si="44"/>
        <v>-2.7604166666666666E-2</v>
      </c>
      <c r="G1468" s="274">
        <f t="shared" si="45"/>
        <v>-1.273731893044407E-2</v>
      </c>
    </row>
    <row r="1469" spans="1:7" ht="14.25" customHeight="1" x14ac:dyDescent="0.3">
      <c r="A1469" s="20">
        <v>46090</v>
      </c>
      <c r="B1469" s="21" t="s">
        <v>2291</v>
      </c>
      <c r="C1469" s="20">
        <v>46090</v>
      </c>
      <c r="D1469" s="21">
        <v>24028.05078125</v>
      </c>
      <c r="F1469" s="274">
        <f t="shared" si="44"/>
        <v>-3.1708597306843014E-2</v>
      </c>
      <c r="G1469" s="274">
        <f t="shared" si="45"/>
        <v>-1.7275692308183883E-2</v>
      </c>
    </row>
    <row r="1470" spans="1:7" ht="14.25" customHeight="1" x14ac:dyDescent="0.3">
      <c r="A1470" s="20">
        <v>46091</v>
      </c>
      <c r="B1470" s="21" t="s">
        <v>2292</v>
      </c>
      <c r="C1470" s="20">
        <v>46091</v>
      </c>
      <c r="D1470" s="21" t="s">
        <v>2293</v>
      </c>
      <c r="F1470" s="274">
        <f t="shared" si="44"/>
        <v>2.2458222419152029E-2</v>
      </c>
      <c r="G1470" s="274">
        <f t="shared" si="45"/>
        <v>9.7198407915488096E-3</v>
      </c>
    </row>
    <row r="1471" spans="1:7" ht="14.25" customHeight="1" x14ac:dyDescent="0.3">
      <c r="A1471" s="20">
        <v>46092</v>
      </c>
      <c r="B1471" s="21" t="s">
        <v>2294</v>
      </c>
      <c r="C1471" s="20">
        <v>46092</v>
      </c>
      <c r="D1471" s="21" t="s">
        <v>2295</v>
      </c>
      <c r="F1471" s="274">
        <f t="shared" si="44"/>
        <v>-9.3053846651188783E-3</v>
      </c>
      <c r="G1471" s="274">
        <f t="shared" si="45"/>
        <v>-1.6270567743087452E-2</v>
      </c>
    </row>
    <row r="1472" spans="1:7" ht="14.25" customHeight="1" x14ac:dyDescent="0.3">
      <c r="A1472" s="20">
        <v>46093</v>
      </c>
      <c r="B1472" s="21" t="s">
        <v>2296</v>
      </c>
      <c r="C1472" s="20">
        <v>46093</v>
      </c>
      <c r="D1472" s="21" t="s">
        <v>2297</v>
      </c>
      <c r="F1472" s="274">
        <f t="shared" si="44"/>
        <v>-2.4792433133636986E-2</v>
      </c>
      <c r="G1472" s="274">
        <f t="shared" si="45"/>
        <v>-9.5403969303329752E-3</v>
      </c>
    </row>
    <row r="1473" spans="1:7" ht="14.25" customHeight="1" x14ac:dyDescent="0.3">
      <c r="A1473" s="20">
        <v>46094</v>
      </c>
      <c r="B1473" s="21" t="s">
        <v>2298</v>
      </c>
      <c r="C1473" s="20">
        <v>46094</v>
      </c>
      <c r="D1473" s="21" t="s">
        <v>2299</v>
      </c>
      <c r="F1473" s="274">
        <f t="shared" si="44"/>
        <v>-4.7261743815859444E-2</v>
      </c>
      <c r="G1473" s="274">
        <f t="shared" si="45"/>
        <v>-2.0645868112229408E-2</v>
      </c>
    </row>
    <row r="1474" spans="1:7" ht="14.25" customHeight="1" x14ac:dyDescent="0.3">
      <c r="A1474" s="20">
        <v>46097</v>
      </c>
      <c r="B1474" s="21">
        <v>429</v>
      </c>
      <c r="C1474" s="20">
        <v>46097</v>
      </c>
      <c r="D1474" s="21">
        <v>23408.80078125</v>
      </c>
      <c r="F1474" s="274">
        <f t="shared" si="44"/>
        <v>8.5811539769831864E-3</v>
      </c>
      <c r="G1474" s="274">
        <f t="shared" si="45"/>
        <v>1.1131271353117254E-2</v>
      </c>
    </row>
    <row r="1475" spans="1:7" ht="14.25" customHeight="1" x14ac:dyDescent="0.3">
      <c r="A1475" s="20">
        <v>46098</v>
      </c>
      <c r="B1475" s="21" t="s">
        <v>2300</v>
      </c>
      <c r="C1475" s="20">
        <v>46098</v>
      </c>
      <c r="D1475" s="21" t="s">
        <v>2301</v>
      </c>
      <c r="F1475" s="274">
        <f t="shared" ref="F1475:F1515" si="46">(B1475-B1474)/B1474</f>
        <v>1.2121240575829889E-2</v>
      </c>
      <c r="G1475" s="274">
        <f t="shared" ref="G1475:G1515" si="47">(D1475-D1474)/D1474</f>
        <v>7.3625988356075351E-3</v>
      </c>
    </row>
    <row r="1476" spans="1:7" ht="14.25" customHeight="1" x14ac:dyDescent="0.3">
      <c r="A1476" s="20">
        <v>46099</v>
      </c>
      <c r="B1476" s="21">
        <v>441.25</v>
      </c>
      <c r="C1476" s="20">
        <v>46099</v>
      </c>
      <c r="D1476" s="21">
        <v>23777.80078125</v>
      </c>
      <c r="F1476" s="274">
        <f t="shared" si="46"/>
        <v>1.6236728684400566E-2</v>
      </c>
      <c r="G1476" s="274">
        <f t="shared" si="47"/>
        <v>8.339304375208979E-3</v>
      </c>
    </row>
    <row r="1477" spans="1:7" ht="14.25" customHeight="1" x14ac:dyDescent="0.3">
      <c r="A1477" s="20">
        <v>46100</v>
      </c>
      <c r="B1477" s="21" t="s">
        <v>2302</v>
      </c>
      <c r="C1477" s="20">
        <v>46100</v>
      </c>
      <c r="D1477" s="21" t="s">
        <v>2303</v>
      </c>
      <c r="F1477" s="274">
        <f t="shared" si="46"/>
        <v>-4.827192700956142E-2</v>
      </c>
      <c r="G1477" s="274">
        <f t="shared" si="47"/>
        <v>-3.2620779262169594E-2</v>
      </c>
    </row>
    <row r="1478" spans="1:7" ht="14.25" customHeight="1" x14ac:dyDescent="0.3">
      <c r="A1478" s="20">
        <v>46101</v>
      </c>
      <c r="B1478" s="21" t="s">
        <v>2304</v>
      </c>
      <c r="C1478" s="20">
        <v>46101</v>
      </c>
      <c r="D1478" s="21">
        <v>23114.5</v>
      </c>
      <c r="F1478" s="274">
        <f t="shared" si="46"/>
        <v>1.4286833396761674E-3</v>
      </c>
      <c r="G1478" s="274">
        <f t="shared" si="47"/>
        <v>4.8843089653387538E-3</v>
      </c>
    </row>
    <row r="1479" spans="1:7" ht="14.25" customHeight="1" x14ac:dyDescent="0.3">
      <c r="A1479" s="20">
        <v>46104</v>
      </c>
      <c r="B1479" s="21" t="s">
        <v>1004</v>
      </c>
      <c r="C1479" s="20">
        <v>46104</v>
      </c>
      <c r="D1479" s="21" t="s">
        <v>2305</v>
      </c>
      <c r="F1479" s="274">
        <f t="shared" si="46"/>
        <v>-5.9921489527800617E-2</v>
      </c>
      <c r="G1479" s="274">
        <f t="shared" si="47"/>
        <v>-2.6037751600726817E-2</v>
      </c>
    </row>
    <row r="1480" spans="1:7" ht="14.25" customHeight="1" x14ac:dyDescent="0.3">
      <c r="A1480" s="20">
        <v>46105</v>
      </c>
      <c r="B1480" s="21" t="s">
        <v>2306</v>
      </c>
      <c r="C1480" s="20">
        <v>46105</v>
      </c>
      <c r="D1480" s="21" t="s">
        <v>2307</v>
      </c>
      <c r="F1480" s="274">
        <f t="shared" si="46"/>
        <v>3.085868597725195E-2</v>
      </c>
      <c r="G1480" s="274">
        <f t="shared" si="47"/>
        <v>1.7756683156527359E-2</v>
      </c>
    </row>
    <row r="1481" spans="1:7" ht="14.25" customHeight="1" x14ac:dyDescent="0.3">
      <c r="A1481" s="20">
        <v>46106</v>
      </c>
      <c r="B1481" s="21" t="s">
        <v>2308</v>
      </c>
      <c r="C1481" s="20">
        <v>46106</v>
      </c>
      <c r="D1481" s="21">
        <v>23306.44921875</v>
      </c>
      <c r="F1481" s="274">
        <f t="shared" si="46"/>
        <v>3.496503601231582E-2</v>
      </c>
      <c r="G1481" s="274">
        <f t="shared" si="47"/>
        <v>1.719805962740734E-2</v>
      </c>
    </row>
    <row r="1482" spans="1:7" ht="14.25" customHeight="1" x14ac:dyDescent="0.3">
      <c r="A1482" s="20">
        <v>46108</v>
      </c>
      <c r="B1482" s="21" t="s">
        <v>2309</v>
      </c>
      <c r="C1482" s="20">
        <v>46108</v>
      </c>
      <c r="D1482" s="21" t="s">
        <v>2310</v>
      </c>
      <c r="F1482" s="274">
        <f t="shared" si="46"/>
        <v>-3.0701711863987173E-2</v>
      </c>
      <c r="G1482" s="274">
        <f t="shared" si="47"/>
        <v>-2.0889051129389984E-2</v>
      </c>
    </row>
    <row r="1483" spans="1:7" ht="14.25" customHeight="1" x14ac:dyDescent="0.3">
      <c r="A1483" s="20">
        <v>46111</v>
      </c>
      <c r="B1483" s="21">
        <v>401.25</v>
      </c>
      <c r="C1483" s="20">
        <v>46111</v>
      </c>
      <c r="D1483" s="21" t="s">
        <v>2311</v>
      </c>
      <c r="F1483" s="274">
        <f t="shared" si="46"/>
        <v>-1.858873912207008E-2</v>
      </c>
      <c r="G1483" s="274">
        <f t="shared" si="47"/>
        <v>-2.1393855593742871E-2</v>
      </c>
    </row>
    <row r="1484" spans="1:7" ht="14.25" customHeight="1" x14ac:dyDescent="0.3">
      <c r="A1484" s="20">
        <v>46113</v>
      </c>
      <c r="B1484" s="21" t="s">
        <v>2312</v>
      </c>
      <c r="C1484" s="20">
        <v>46113</v>
      </c>
      <c r="D1484" s="21" t="s">
        <v>2313</v>
      </c>
      <c r="F1484" s="274">
        <f t="shared" si="46"/>
        <v>4.7601261317171337E-2</v>
      </c>
      <c r="G1484" s="274">
        <f t="shared" si="47"/>
        <v>1.5583438293735253E-2</v>
      </c>
    </row>
    <row r="1485" spans="1:7" ht="14.25" customHeight="1" x14ac:dyDescent="0.3">
      <c r="A1485" s="20">
        <v>46114</v>
      </c>
      <c r="B1485" s="21" t="s">
        <v>2314</v>
      </c>
      <c r="C1485" s="20">
        <v>46114</v>
      </c>
      <c r="D1485" s="21" t="s">
        <v>2315</v>
      </c>
      <c r="F1485" s="274">
        <f t="shared" si="46"/>
        <v>-4.5200282357462044E-3</v>
      </c>
      <c r="G1485" s="274">
        <f t="shared" si="47"/>
        <v>1.4858954897207189E-3</v>
      </c>
    </row>
    <row r="1486" spans="1:7" ht="14.25" customHeight="1" x14ac:dyDescent="0.3">
      <c r="A1486" s="20">
        <v>46118</v>
      </c>
      <c r="B1486" s="21" t="s">
        <v>2316</v>
      </c>
      <c r="C1486" s="20">
        <v>46118</v>
      </c>
      <c r="D1486" s="21">
        <v>22968.25</v>
      </c>
      <c r="F1486" s="274">
        <f t="shared" si="46"/>
        <v>2.7721293458100846E-2</v>
      </c>
      <c r="G1486" s="274">
        <f t="shared" si="47"/>
        <v>1.123362266767345E-2</v>
      </c>
    </row>
    <row r="1487" spans="1:7" ht="14.25" customHeight="1" x14ac:dyDescent="0.3">
      <c r="A1487" s="20">
        <v>46119</v>
      </c>
      <c r="B1487" s="21" t="s">
        <v>1302</v>
      </c>
      <c r="C1487" s="20">
        <v>46119</v>
      </c>
      <c r="D1487" s="21" t="s">
        <v>2317</v>
      </c>
      <c r="F1487" s="274">
        <f t="shared" si="46"/>
        <v>-2.2322929562687371E-2</v>
      </c>
      <c r="G1487" s="274">
        <f t="shared" si="47"/>
        <v>6.7658785769486142E-3</v>
      </c>
    </row>
    <row r="1488" spans="1:7" ht="14.25" customHeight="1" x14ac:dyDescent="0.3">
      <c r="A1488" s="20">
        <v>46120</v>
      </c>
      <c r="B1488" s="21">
        <v>446.75</v>
      </c>
      <c r="C1488" s="20">
        <v>46120</v>
      </c>
      <c r="D1488" s="21" t="s">
        <v>2318</v>
      </c>
      <c r="F1488" s="274">
        <f t="shared" si="46"/>
        <v>6.2551996740147012E-2</v>
      </c>
      <c r="G1488" s="274">
        <f t="shared" si="47"/>
        <v>3.7783792956159856E-2</v>
      </c>
    </row>
    <row r="1489" spans="1:7" ht="14.25" customHeight="1" x14ac:dyDescent="0.3">
      <c r="A1489" s="20">
        <v>46121</v>
      </c>
      <c r="B1489" s="21" t="s">
        <v>2319</v>
      </c>
      <c r="C1489" s="20">
        <v>46121</v>
      </c>
      <c r="D1489" s="21" t="s">
        <v>2320</v>
      </c>
      <c r="F1489" s="274">
        <f t="shared" si="46"/>
        <v>-2.8427559500910998E-2</v>
      </c>
      <c r="G1489" s="274">
        <f t="shared" si="47"/>
        <v>-9.2614394346771534E-3</v>
      </c>
    </row>
    <row r="1490" spans="1:7" ht="14.25" customHeight="1" x14ac:dyDescent="0.3">
      <c r="A1490" s="20">
        <v>46122</v>
      </c>
      <c r="B1490" s="21" t="s">
        <v>1612</v>
      </c>
      <c r="C1490" s="20">
        <v>46122</v>
      </c>
      <c r="D1490" s="21" t="s">
        <v>2321</v>
      </c>
      <c r="F1490" s="274">
        <f t="shared" si="46"/>
        <v>2.5688341729389289E-2</v>
      </c>
      <c r="G1490" s="274">
        <f t="shared" si="47"/>
        <v>1.1587753764504306E-2</v>
      </c>
    </row>
    <row r="1491" spans="1:7" ht="14.25" customHeight="1" x14ac:dyDescent="0.3">
      <c r="A1491" s="20">
        <v>46125</v>
      </c>
      <c r="B1491" s="21">
        <v>441</v>
      </c>
      <c r="C1491" s="20">
        <v>46125</v>
      </c>
      <c r="D1491" s="21" t="s">
        <v>2322</v>
      </c>
      <c r="F1491" s="274">
        <f t="shared" si="46"/>
        <v>-9.4339894246855821E-3</v>
      </c>
      <c r="G1491" s="274">
        <f t="shared" si="47"/>
        <v>-8.6463215939506441E-3</v>
      </c>
    </row>
    <row r="1492" spans="1:7" ht="14.25" customHeight="1" x14ac:dyDescent="0.3">
      <c r="A1492" s="20">
        <v>46127</v>
      </c>
      <c r="B1492" s="21">
        <v>454</v>
      </c>
      <c r="C1492" s="20">
        <v>46127</v>
      </c>
      <c r="D1492" s="21">
        <v>24231.30078125</v>
      </c>
      <c r="F1492" s="274">
        <f t="shared" si="46"/>
        <v>2.9478458049886622E-2</v>
      </c>
      <c r="G1492" s="274">
        <f t="shared" si="47"/>
        <v>1.6300637062472655E-2</v>
      </c>
    </row>
    <row r="1493" spans="1:7" ht="14.25" customHeight="1" x14ac:dyDescent="0.3">
      <c r="A1493" s="20">
        <v>46128</v>
      </c>
      <c r="B1493" s="21" t="s">
        <v>2323</v>
      </c>
      <c r="C1493" s="20">
        <v>46128</v>
      </c>
      <c r="D1493" s="21">
        <v>24196.75</v>
      </c>
      <c r="F1493" s="274">
        <f t="shared" si="46"/>
        <v>8.9206779580793191E-3</v>
      </c>
      <c r="G1493" s="274">
        <f t="shared" si="47"/>
        <v>-1.4258739785333826E-3</v>
      </c>
    </row>
    <row r="1494" spans="1:7" ht="14.25" customHeight="1" x14ac:dyDescent="0.3">
      <c r="A1494" s="20">
        <v>46129</v>
      </c>
      <c r="B1494" s="21">
        <v>459</v>
      </c>
      <c r="C1494" s="20">
        <v>46129</v>
      </c>
      <c r="D1494" s="21">
        <v>24353.55078125</v>
      </c>
      <c r="F1494" s="274">
        <f t="shared" si="46"/>
        <v>2.0740360928933827E-3</v>
      </c>
      <c r="G1494" s="274">
        <f t="shared" si="47"/>
        <v>6.480241406387221E-3</v>
      </c>
    </row>
    <row r="1495" spans="1:7" ht="14.25" customHeight="1" x14ac:dyDescent="0.3">
      <c r="A1495" s="20">
        <v>46132</v>
      </c>
      <c r="B1495" s="21" t="s">
        <v>2324</v>
      </c>
      <c r="C1495" s="20">
        <v>46132</v>
      </c>
      <c r="D1495" s="21" t="s">
        <v>2325</v>
      </c>
      <c r="F1495" s="274">
        <f t="shared" si="46"/>
        <v>-8.9324751710588741E-3</v>
      </c>
      <c r="G1495" s="274">
        <f t="shared" si="47"/>
        <v>4.6394992773288163E-4</v>
      </c>
    </row>
    <row r="1496" spans="1:7" ht="14.25" customHeight="1" x14ac:dyDescent="0.3">
      <c r="A1496" s="20">
        <v>46133</v>
      </c>
      <c r="B1496" s="21">
        <v>456.25</v>
      </c>
      <c r="C1496" s="20">
        <v>46133</v>
      </c>
      <c r="D1496" s="21" t="s">
        <v>2326</v>
      </c>
      <c r="F1496" s="274">
        <f t="shared" si="46"/>
        <v>2.9676986626278727E-3</v>
      </c>
      <c r="G1496" s="274">
        <f t="shared" si="47"/>
        <v>8.6907985641135974E-3</v>
      </c>
    </row>
    <row r="1497" spans="1:7" ht="14.25" customHeight="1" x14ac:dyDescent="0.3">
      <c r="A1497" s="20">
        <v>46134</v>
      </c>
      <c r="B1497" s="21" t="s">
        <v>1548</v>
      </c>
      <c r="C1497" s="20">
        <v>46134</v>
      </c>
      <c r="D1497" s="21" t="s">
        <v>2327</v>
      </c>
      <c r="F1497" s="274">
        <f t="shared" si="46"/>
        <v>1.0191767444348443E-2</v>
      </c>
      <c r="G1497" s="274">
        <f t="shared" si="47"/>
        <v>-8.0767886182383057E-3</v>
      </c>
    </row>
    <row r="1498" spans="1:7" ht="14.25" customHeight="1" x14ac:dyDescent="0.3">
      <c r="A1498" s="20">
        <v>46135</v>
      </c>
      <c r="B1498" s="21" t="s">
        <v>2328</v>
      </c>
      <c r="C1498" s="20">
        <v>46135</v>
      </c>
      <c r="D1498" s="21">
        <v>24173.05078125</v>
      </c>
      <c r="F1498" s="274">
        <f t="shared" si="46"/>
        <v>-2.2781514729979042E-2</v>
      </c>
      <c r="G1498" s="274">
        <f t="shared" si="47"/>
        <v>-8.4111900193460983E-3</v>
      </c>
    </row>
    <row r="1499" spans="1:7" ht="14.25" customHeight="1" x14ac:dyDescent="0.3">
      <c r="A1499" s="20">
        <v>46136</v>
      </c>
      <c r="B1499" s="21" t="s">
        <v>2329</v>
      </c>
      <c r="C1499" s="20">
        <v>46136</v>
      </c>
      <c r="D1499" s="21">
        <v>23897.94921875</v>
      </c>
      <c r="F1499" s="274">
        <f t="shared" si="46"/>
        <v>1.7762396123187222E-3</v>
      </c>
      <c r="G1499" s="274">
        <f t="shared" si="47"/>
        <v>-1.1380506539678661E-2</v>
      </c>
    </row>
    <row r="1500" spans="1:7" ht="14.25" customHeight="1" x14ac:dyDescent="0.3">
      <c r="A1500" s="20">
        <v>46139</v>
      </c>
      <c r="B1500" s="21">
        <v>460.5</v>
      </c>
      <c r="C1500" s="20">
        <v>46139</v>
      </c>
      <c r="D1500" s="21">
        <v>24092.69921875</v>
      </c>
      <c r="F1500" s="274">
        <f t="shared" si="46"/>
        <v>2.0611674515429137E-2</v>
      </c>
      <c r="G1500" s="274">
        <f t="shared" si="47"/>
        <v>8.1492348241832338E-3</v>
      </c>
    </row>
    <row r="1501" spans="1:7" ht="14.25" customHeight="1" x14ac:dyDescent="0.3">
      <c r="A1501" s="20">
        <v>46140</v>
      </c>
      <c r="B1501" s="21" t="s">
        <v>2330</v>
      </c>
      <c r="C1501" s="20">
        <v>46140</v>
      </c>
      <c r="D1501" s="21">
        <v>23995.69921875</v>
      </c>
      <c r="F1501" s="274">
        <f t="shared" si="46"/>
        <v>-3.6916660304712029E-3</v>
      </c>
      <c r="G1501" s="274">
        <f t="shared" si="47"/>
        <v>-4.0261159249649504E-3</v>
      </c>
    </row>
    <row r="1502" spans="1:7" ht="14.25" customHeight="1" x14ac:dyDescent="0.3">
      <c r="A1502" s="20">
        <v>46141</v>
      </c>
      <c r="B1502" s="21" t="s">
        <v>2331</v>
      </c>
      <c r="C1502" s="20">
        <v>46141</v>
      </c>
      <c r="D1502" s="21" t="s">
        <v>2332</v>
      </c>
      <c r="F1502" s="274">
        <f t="shared" si="46"/>
        <v>-9.1542759398420895E-3</v>
      </c>
      <c r="G1502" s="274">
        <f t="shared" si="47"/>
        <v>7.5826576344491421E-3</v>
      </c>
    </row>
    <row r="1503" spans="1:7" ht="14.25" customHeight="1" x14ac:dyDescent="0.3">
      <c r="A1503" s="20">
        <v>46142</v>
      </c>
      <c r="B1503" s="21" t="s">
        <v>2333</v>
      </c>
      <c r="C1503" s="20">
        <v>46142</v>
      </c>
      <c r="D1503" s="21">
        <v>23997.55078125</v>
      </c>
      <c r="F1503" s="274">
        <f t="shared" si="46"/>
        <v>-2.2877240996155727E-2</v>
      </c>
      <c r="G1503" s="274">
        <f t="shared" si="47"/>
        <v>-7.4490120613554117E-3</v>
      </c>
    </row>
    <row r="1504" spans="1:7" ht="14.25" customHeight="1" x14ac:dyDescent="0.3">
      <c r="A1504" s="20">
        <v>46146</v>
      </c>
      <c r="B1504" s="21" t="s">
        <v>2334</v>
      </c>
      <c r="C1504" s="20">
        <v>46146</v>
      </c>
      <c r="D1504" s="21">
        <v>24119.30078125</v>
      </c>
      <c r="F1504" s="274">
        <f t="shared" si="46"/>
        <v>2.4763069691774706E-3</v>
      </c>
      <c r="G1504" s="274">
        <f t="shared" si="47"/>
        <v>5.0734344146122984E-3</v>
      </c>
    </row>
    <row r="1505" spans="1:7" ht="14.25" customHeight="1" x14ac:dyDescent="0.3">
      <c r="A1505" s="20">
        <v>46147</v>
      </c>
      <c r="B1505" s="21" t="s">
        <v>2335</v>
      </c>
      <c r="C1505" s="20">
        <v>46147</v>
      </c>
      <c r="D1505" s="21">
        <v>24032.80078125</v>
      </c>
      <c r="F1505" s="274">
        <f t="shared" si="46"/>
        <v>-2.7397219905438471E-2</v>
      </c>
      <c r="G1505" s="274">
        <f t="shared" si="47"/>
        <v>-3.5863394542201598E-3</v>
      </c>
    </row>
    <row r="1506" spans="1:7" ht="14.25" customHeight="1" x14ac:dyDescent="0.3">
      <c r="A1506" s="20">
        <v>46148</v>
      </c>
      <c r="B1506" s="21" t="s">
        <v>2336</v>
      </c>
      <c r="C1506" s="20">
        <v>46148</v>
      </c>
      <c r="D1506" s="21">
        <v>24330.94921875</v>
      </c>
      <c r="F1506" s="274">
        <f t="shared" si="46"/>
        <v>3.1863282379337235E-2</v>
      </c>
      <c r="G1506" s="274">
        <f t="shared" si="47"/>
        <v>1.2405896433536392E-2</v>
      </c>
    </row>
    <row r="1507" spans="1:7" ht="14.25" customHeight="1" x14ac:dyDescent="0.3">
      <c r="A1507" s="20">
        <v>46149</v>
      </c>
      <c r="B1507" s="21" t="s">
        <v>2337</v>
      </c>
      <c r="C1507" s="20">
        <v>46149</v>
      </c>
      <c r="D1507" s="21" t="s">
        <v>2338</v>
      </c>
      <c r="F1507" s="274">
        <f t="shared" si="46"/>
        <v>8.3911390718627247E-3</v>
      </c>
      <c r="G1507" s="274">
        <f t="shared" si="47"/>
        <v>-1.7668148029700471E-4</v>
      </c>
    </row>
    <row r="1508" spans="1:7" ht="14.25" customHeight="1" x14ac:dyDescent="0.3">
      <c r="A1508" s="20">
        <v>46150</v>
      </c>
      <c r="B1508" s="21" t="s">
        <v>2339</v>
      </c>
      <c r="C1508" s="20">
        <v>46150</v>
      </c>
      <c r="D1508" s="21" t="s">
        <v>2340</v>
      </c>
      <c r="F1508" s="274">
        <f t="shared" si="46"/>
        <v>-1.4090771528945336E-2</v>
      </c>
      <c r="G1508" s="274">
        <f t="shared" si="47"/>
        <v>-6.1866306122440786E-3</v>
      </c>
    </row>
    <row r="1509" spans="1:7" ht="14.25" customHeight="1" x14ac:dyDescent="0.3">
      <c r="A1509" s="20">
        <v>46153</v>
      </c>
      <c r="B1509" s="21" t="s">
        <v>2341</v>
      </c>
      <c r="C1509" s="20">
        <v>46153</v>
      </c>
      <c r="D1509" s="21" t="s">
        <v>2342</v>
      </c>
      <c r="F1509" s="274">
        <f t="shared" si="46"/>
        <v>-1.8230870602029731E-2</v>
      </c>
      <c r="G1509" s="274">
        <f t="shared" si="47"/>
        <v>-1.4903149402549921E-2</v>
      </c>
    </row>
    <row r="1510" spans="1:7" ht="14.25" customHeight="1" x14ac:dyDescent="0.3">
      <c r="A1510" s="20">
        <v>46154</v>
      </c>
      <c r="B1510" s="21" t="s">
        <v>2343</v>
      </c>
      <c r="C1510" s="20">
        <v>46154</v>
      </c>
      <c r="D1510" s="21">
        <v>23379.55078125</v>
      </c>
      <c r="F1510" s="274">
        <f t="shared" si="46"/>
        <v>-2.1205868274047017E-2</v>
      </c>
      <c r="G1510" s="274">
        <f t="shared" si="47"/>
        <v>-1.8319683541890227E-2</v>
      </c>
    </row>
    <row r="1511" spans="1:7" ht="14.25" customHeight="1" x14ac:dyDescent="0.3">
      <c r="A1511" s="20">
        <v>46155</v>
      </c>
      <c r="B1511" s="21" t="s">
        <v>2344</v>
      </c>
      <c r="C1511" s="20">
        <v>46155</v>
      </c>
      <c r="D1511" s="21" t="s">
        <v>2345</v>
      </c>
      <c r="F1511" s="274">
        <f t="shared" si="46"/>
        <v>2.6818084932858085E-2</v>
      </c>
      <c r="G1511" s="274">
        <f t="shared" si="47"/>
        <v>1.413578405942025E-3</v>
      </c>
    </row>
    <row r="1512" spans="1:7" ht="14.25" customHeight="1" x14ac:dyDescent="0.3">
      <c r="A1512" s="20">
        <v>46156</v>
      </c>
      <c r="B1512" s="21" t="s">
        <v>1611</v>
      </c>
      <c r="C1512" s="20">
        <v>46156</v>
      </c>
      <c r="D1512" s="21" t="s">
        <v>2346</v>
      </c>
      <c r="F1512" s="274">
        <f t="shared" si="46"/>
        <v>1.2545620612619518E-2</v>
      </c>
      <c r="G1512" s="274">
        <f t="shared" si="47"/>
        <v>1.1831236369372762E-2</v>
      </c>
    </row>
    <row r="1513" spans="1:7" ht="14.25" customHeight="1" x14ac:dyDescent="0.3">
      <c r="A1513" s="20">
        <v>46157</v>
      </c>
      <c r="B1513" s="21">
        <v>433.75</v>
      </c>
      <c r="C1513" s="20">
        <v>46157</v>
      </c>
      <c r="D1513" s="21">
        <v>23643.5</v>
      </c>
      <c r="F1513" s="274">
        <f t="shared" si="46"/>
        <v>-2.2865496814696785E-2</v>
      </c>
      <c r="G1513" s="274">
        <f t="shared" si="47"/>
        <v>-1.9459851637490906E-3</v>
      </c>
    </row>
    <row r="1514" spans="1:7" ht="14.25" customHeight="1" x14ac:dyDescent="0.3">
      <c r="A1514" s="20">
        <v>46160</v>
      </c>
      <c r="B1514" s="21" t="s">
        <v>2347</v>
      </c>
      <c r="C1514" s="20">
        <v>46160</v>
      </c>
      <c r="D1514" s="21">
        <v>23649.94921875</v>
      </c>
      <c r="F1514" s="274">
        <f t="shared" si="46"/>
        <v>-8.2997258870686399E-3</v>
      </c>
      <c r="G1514" s="274">
        <f t="shared" si="47"/>
        <v>2.7276920718167786E-4</v>
      </c>
    </row>
    <row r="1515" spans="1:7" ht="14.25" customHeight="1" x14ac:dyDescent="0.3">
      <c r="A1515" s="20">
        <v>46161</v>
      </c>
      <c r="B1515" s="21" t="s">
        <v>2348</v>
      </c>
      <c r="C1515" s="20">
        <v>46161</v>
      </c>
      <c r="D1515" s="21">
        <v>23618</v>
      </c>
      <c r="F1515" s="274">
        <f t="shared" si="46"/>
        <v>3.6034367837746825E-3</v>
      </c>
      <c r="G1515" s="274">
        <f t="shared" si="47"/>
        <v>-1.3509212410769249E-3</v>
      </c>
    </row>
    <row r="1516" spans="1:7" ht="14.25" customHeight="1" x14ac:dyDescent="0.3">
      <c r="C1516" s="24"/>
      <c r="D1516" s="24"/>
    </row>
    <row r="1517" spans="1:7" ht="14.25" customHeight="1" x14ac:dyDescent="0.3">
      <c r="C1517" s="24"/>
      <c r="D1517" s="24"/>
    </row>
    <row r="1518" spans="1:7" ht="14.25" customHeight="1" x14ac:dyDescent="0.3">
      <c r="C1518" s="24"/>
      <c r="D1518" s="24"/>
    </row>
  </sheetData>
  <mergeCells count="1">
    <mergeCell ref="I8:J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X48"/>
  <sheetViews>
    <sheetView showGridLines="0" zoomScaleNormal="100" workbookViewId="0">
      <selection activeCell="C1" sqref="C1:H1"/>
    </sheetView>
  </sheetViews>
  <sheetFormatPr defaultColWidth="8.6640625" defaultRowHeight="14.4" x14ac:dyDescent="0.3"/>
  <cols>
    <col min="3" max="3" width="42" style="1" customWidth="1"/>
    <col min="4" max="4" width="9.44140625" style="1" customWidth="1"/>
    <col min="5" max="5" width="8.88671875" style="1" customWidth="1"/>
    <col min="6" max="6" width="8.44140625" style="1" customWidth="1"/>
    <col min="7" max="8" width="9.44140625" style="1" customWidth="1"/>
    <col min="12" max="12" width="15.109375" style="1" customWidth="1"/>
    <col min="13" max="13" width="16.5546875" style="1" customWidth="1"/>
    <col min="14" max="14" width="15.6640625" style="1" customWidth="1"/>
    <col min="15" max="15" width="10.21875" style="1" customWidth="1"/>
    <col min="17" max="17" width="21.77734375" style="1" customWidth="1"/>
    <col min="18" max="18" width="16.5546875" style="1" customWidth="1"/>
    <col min="21" max="21" width="9" style="1" customWidth="1"/>
    <col min="23" max="23" width="21.77734375" style="1" customWidth="1"/>
    <col min="24" max="24" width="9.109375" style="1" customWidth="1"/>
  </cols>
  <sheetData>
    <row r="1" spans="3:24" ht="14.25" customHeight="1" x14ac:dyDescent="0.3">
      <c r="C1" s="334" t="s">
        <v>2349</v>
      </c>
      <c r="D1" s="334"/>
      <c r="E1" s="334"/>
      <c r="F1" s="334"/>
      <c r="G1" s="334"/>
      <c r="H1" s="334"/>
    </row>
    <row r="2" spans="3:24" ht="15" customHeight="1" x14ac:dyDescent="0.3">
      <c r="C2" s="276"/>
      <c r="D2" s="277" t="s">
        <v>2350</v>
      </c>
      <c r="E2" s="277"/>
      <c r="F2" s="277"/>
      <c r="G2" s="277" t="s">
        <v>2351</v>
      </c>
      <c r="H2" s="277"/>
      <c r="L2" s="25"/>
      <c r="M2" s="26"/>
      <c r="N2" s="25"/>
      <c r="O2" s="26"/>
      <c r="Q2" s="25"/>
      <c r="R2" s="26"/>
      <c r="T2" s="25"/>
      <c r="U2" s="26"/>
      <c r="W2" s="25"/>
      <c r="X2" s="26"/>
    </row>
    <row r="3" spans="3:24" ht="15" customHeight="1" x14ac:dyDescent="0.3">
      <c r="C3" s="278" t="s">
        <v>277</v>
      </c>
      <c r="D3" s="279">
        <v>46082</v>
      </c>
      <c r="E3" s="279">
        <v>45992</v>
      </c>
      <c r="F3" s="279">
        <v>45901</v>
      </c>
      <c r="G3" s="279">
        <v>46082</v>
      </c>
      <c r="H3" s="279">
        <v>45717</v>
      </c>
      <c r="L3" s="25"/>
      <c r="M3" s="27"/>
      <c r="N3" s="25"/>
      <c r="O3" s="27"/>
      <c r="Q3" s="25"/>
      <c r="R3" s="27"/>
      <c r="T3" s="25"/>
      <c r="U3" s="27"/>
      <c r="W3" s="25"/>
      <c r="X3" s="27"/>
    </row>
    <row r="4" spans="3:24" ht="15" customHeight="1" x14ac:dyDescent="0.3">
      <c r="C4" s="280" t="s">
        <v>2352</v>
      </c>
      <c r="D4" s="281">
        <v>10915.47</v>
      </c>
      <c r="E4" s="281">
        <v>10276.65</v>
      </c>
      <c r="F4" s="281">
        <v>9174.49</v>
      </c>
      <c r="G4" s="281">
        <v>40655.68</v>
      </c>
      <c r="H4" s="281">
        <v>35044.76</v>
      </c>
      <c r="L4" s="25"/>
      <c r="M4" s="27"/>
      <c r="N4" s="25"/>
      <c r="O4" s="27"/>
      <c r="Q4" s="25"/>
      <c r="R4" s="27"/>
      <c r="T4" s="25"/>
      <c r="U4" s="27"/>
      <c r="W4" s="25"/>
      <c r="X4" s="27"/>
    </row>
    <row r="5" spans="3:24" ht="15" customHeight="1" x14ac:dyDescent="0.3">
      <c r="C5" s="282" t="s">
        <v>2353</v>
      </c>
      <c r="D5" s="283">
        <v>233.89</v>
      </c>
      <c r="E5" s="283">
        <v>87.32</v>
      </c>
      <c r="F5" s="283">
        <v>257.04000000000002</v>
      </c>
      <c r="G5" s="284">
        <v>834.34</v>
      </c>
      <c r="H5" s="284">
        <v>2654.24</v>
      </c>
      <c r="L5" s="28"/>
      <c r="M5" s="29"/>
      <c r="N5" s="28"/>
      <c r="O5" s="29"/>
      <c r="Q5" s="28"/>
      <c r="R5" s="29"/>
      <c r="T5" s="28"/>
      <c r="U5" s="29"/>
      <c r="W5" s="28"/>
      <c r="X5" s="29"/>
    </row>
    <row r="6" spans="3:24" ht="15" customHeight="1" x14ac:dyDescent="0.3">
      <c r="C6" s="282" t="s">
        <v>289</v>
      </c>
      <c r="D6" s="283">
        <v>11149.36</v>
      </c>
      <c r="E6" s="283">
        <v>10363.969999999999</v>
      </c>
      <c r="F6" s="283">
        <v>9431.5300000000007</v>
      </c>
      <c r="G6" s="283">
        <v>41490.019999999997</v>
      </c>
      <c r="H6" s="283">
        <v>37699</v>
      </c>
      <c r="L6" s="30"/>
      <c r="M6" s="31"/>
      <c r="N6" s="30"/>
      <c r="O6" s="31"/>
      <c r="Q6" s="30"/>
      <c r="R6" s="31"/>
      <c r="T6" s="30"/>
      <c r="U6" s="31"/>
      <c r="W6" s="30"/>
      <c r="X6" s="31"/>
    </row>
    <row r="7" spans="3:24" ht="15" customHeight="1" x14ac:dyDescent="0.3">
      <c r="C7" s="282" t="s">
        <v>2354</v>
      </c>
      <c r="D7" s="283">
        <v>-10525.09</v>
      </c>
      <c r="E7" s="283">
        <v>-9941.4599999999991</v>
      </c>
      <c r="F7" s="283">
        <v>-8375.59</v>
      </c>
      <c r="G7" s="284">
        <v>-37910.76</v>
      </c>
      <c r="H7" s="284">
        <v>-31768.39</v>
      </c>
      <c r="L7" s="30"/>
      <c r="M7" s="31"/>
      <c r="N7" s="30"/>
      <c r="O7" s="32"/>
      <c r="Q7" s="30"/>
      <c r="R7" s="31"/>
      <c r="T7" s="30"/>
      <c r="U7" s="31"/>
      <c r="W7" s="30"/>
      <c r="X7" s="31"/>
    </row>
    <row r="8" spans="3:24" ht="15" customHeight="1" x14ac:dyDescent="0.3">
      <c r="C8" s="280" t="s">
        <v>2355</v>
      </c>
      <c r="D8" s="281">
        <v>-1626.55</v>
      </c>
      <c r="E8" s="281">
        <v>-1741.51</v>
      </c>
      <c r="F8" s="281">
        <v>-1607.92</v>
      </c>
      <c r="G8" s="281">
        <v>-6511.54</v>
      </c>
      <c r="H8" s="281">
        <v>-5708.07</v>
      </c>
      <c r="L8" s="30"/>
      <c r="M8" s="31"/>
      <c r="N8" s="30"/>
      <c r="O8" s="31"/>
      <c r="Q8" s="30"/>
      <c r="R8" s="31"/>
      <c r="T8" s="30"/>
      <c r="U8" s="31"/>
      <c r="W8" s="30"/>
      <c r="X8" s="31"/>
    </row>
    <row r="9" spans="3:24" ht="15" customHeight="1" x14ac:dyDescent="0.3">
      <c r="C9" s="285" t="s">
        <v>2356</v>
      </c>
      <c r="D9" s="281">
        <v>-20.8</v>
      </c>
      <c r="E9" s="281">
        <v>-58.85</v>
      </c>
      <c r="F9" s="281">
        <v>-76.819999999999993</v>
      </c>
      <c r="G9" s="286">
        <v>-223.61</v>
      </c>
      <c r="H9" s="286">
        <v>-215.94</v>
      </c>
      <c r="L9" s="25"/>
      <c r="M9" s="31"/>
      <c r="N9" s="25"/>
      <c r="O9" s="31"/>
      <c r="Q9" s="25"/>
      <c r="R9" s="31"/>
      <c r="T9" s="25"/>
      <c r="U9" s="31"/>
      <c r="W9" s="25"/>
      <c r="X9" s="31"/>
    </row>
    <row r="10" spans="3:24" ht="15" customHeight="1" x14ac:dyDescent="0.3">
      <c r="C10" s="285" t="s">
        <v>2357</v>
      </c>
      <c r="D10" s="281">
        <v>-7051.01</v>
      </c>
      <c r="E10" s="281">
        <v>-6634.82</v>
      </c>
      <c r="F10" s="281">
        <v>-5699.98</v>
      </c>
      <c r="G10" s="286">
        <v>-25771.59</v>
      </c>
      <c r="H10" s="281">
        <v>-21143.279999999999</v>
      </c>
      <c r="L10" s="30"/>
      <c r="M10" s="31"/>
      <c r="N10" s="30"/>
      <c r="O10" s="31"/>
      <c r="Q10" s="30"/>
      <c r="R10" s="31"/>
      <c r="T10" s="30"/>
      <c r="U10" s="31"/>
      <c r="W10" s="30"/>
      <c r="X10" s="31"/>
    </row>
    <row r="11" spans="3:24" ht="15" customHeight="1" x14ac:dyDescent="0.3">
      <c r="C11" s="285" t="s">
        <v>2358</v>
      </c>
      <c r="D11" s="281">
        <v>-395.9</v>
      </c>
      <c r="E11" s="281">
        <v>-383.88</v>
      </c>
      <c r="F11" s="281">
        <v>-405.13</v>
      </c>
      <c r="G11" s="286">
        <v>-1602.65</v>
      </c>
      <c r="H11" s="286">
        <v>-1403.41</v>
      </c>
      <c r="L11" s="30"/>
      <c r="M11" s="32"/>
      <c r="N11" s="30"/>
      <c r="O11" s="32"/>
      <c r="Q11" s="30"/>
      <c r="R11" s="32"/>
      <c r="T11" s="30"/>
      <c r="U11" s="31"/>
      <c r="W11" s="30"/>
      <c r="X11" s="31"/>
    </row>
    <row r="12" spans="3:24" ht="15" customHeight="1" x14ac:dyDescent="0.3">
      <c r="C12" s="285" t="s">
        <v>2359</v>
      </c>
      <c r="D12" s="281">
        <v>-162.77000000000001</v>
      </c>
      <c r="E12" s="281">
        <v>-247.61</v>
      </c>
      <c r="F12" s="281">
        <v>-81.39</v>
      </c>
      <c r="G12" s="281">
        <v>-609.25</v>
      </c>
      <c r="H12" s="281">
        <v>-763.66</v>
      </c>
      <c r="L12" s="30"/>
      <c r="M12" s="31"/>
      <c r="N12" s="30"/>
      <c r="O12" s="31"/>
      <c r="Q12" s="30"/>
      <c r="R12" s="31"/>
      <c r="T12" s="30"/>
      <c r="U12" s="31"/>
      <c r="W12" s="30"/>
      <c r="X12" s="31"/>
    </row>
    <row r="13" spans="3:24" ht="27" customHeight="1" x14ac:dyDescent="0.3">
      <c r="C13" s="282" t="s">
        <v>2360</v>
      </c>
      <c r="D13" s="283">
        <v>-215.33</v>
      </c>
      <c r="E13" s="283">
        <v>84.24</v>
      </c>
      <c r="F13" s="283">
        <v>380.8</v>
      </c>
      <c r="G13" s="284">
        <v>378.29</v>
      </c>
      <c r="H13" s="284">
        <v>-55.69</v>
      </c>
      <c r="L13" s="30"/>
      <c r="M13" s="31"/>
      <c r="N13" s="30"/>
      <c r="O13" s="31"/>
      <c r="Q13" s="30"/>
      <c r="R13" s="31"/>
      <c r="T13" s="30"/>
      <c r="U13" s="31"/>
      <c r="W13" s="30"/>
      <c r="X13" s="32"/>
    </row>
    <row r="14" spans="3:24" ht="15" customHeight="1" x14ac:dyDescent="0.3">
      <c r="C14" s="287" t="s">
        <v>2361</v>
      </c>
      <c r="D14" s="281">
        <v>-1052.73</v>
      </c>
      <c r="E14" s="281">
        <v>-959.03</v>
      </c>
      <c r="F14" s="281">
        <v>-885.15</v>
      </c>
      <c r="G14" s="286">
        <v>-3570.41</v>
      </c>
      <c r="H14" s="286">
        <v>-2478.34</v>
      </c>
      <c r="L14" s="30"/>
      <c r="M14" s="31"/>
      <c r="N14" s="30"/>
      <c r="O14" s="31"/>
      <c r="Q14" s="30"/>
      <c r="R14" s="31"/>
      <c r="T14" s="30"/>
      <c r="U14" s="31"/>
      <c r="W14" s="30"/>
      <c r="X14" s="31"/>
    </row>
    <row r="15" spans="3:24" ht="27" customHeight="1" x14ac:dyDescent="0.3">
      <c r="C15" s="285" t="s">
        <v>2362</v>
      </c>
      <c r="D15" s="281">
        <v>521.76</v>
      </c>
      <c r="E15" s="281">
        <v>407.28</v>
      </c>
      <c r="F15" s="281">
        <v>833.14</v>
      </c>
      <c r="G15" s="281">
        <v>3278.72</v>
      </c>
      <c r="H15" s="281">
        <v>5909.14</v>
      </c>
      <c r="L15" s="30"/>
      <c r="M15" s="31"/>
      <c r="N15" s="30"/>
      <c r="O15" s="32"/>
      <c r="Q15" s="30"/>
      <c r="R15" s="32"/>
      <c r="T15" s="30"/>
      <c r="U15" s="31"/>
      <c r="W15" s="30"/>
      <c r="X15" s="31"/>
    </row>
    <row r="16" spans="3:24" ht="15" customHeight="1" x14ac:dyDescent="0.3">
      <c r="C16" s="285" t="s">
        <v>2363</v>
      </c>
      <c r="D16" s="281">
        <v>1329.3</v>
      </c>
      <c r="E16" s="281">
        <v>-45.44</v>
      </c>
      <c r="F16" s="281">
        <v>1464.75</v>
      </c>
      <c r="G16" s="286">
        <v>2338.31</v>
      </c>
      <c r="H16" s="286">
        <v>-763.95</v>
      </c>
      <c r="L16" s="30"/>
      <c r="M16" s="31"/>
      <c r="N16" s="30"/>
      <c r="O16" s="31"/>
      <c r="Q16" s="30"/>
      <c r="R16" s="31"/>
      <c r="T16" s="30"/>
      <c r="U16" s="31"/>
      <c r="W16" s="30"/>
      <c r="X16" s="31"/>
    </row>
    <row r="17" spans="3:24" ht="27" customHeight="1" x14ac:dyDescent="0.3">
      <c r="C17" s="285" t="s">
        <v>2364</v>
      </c>
      <c r="D17" s="281">
        <v>521.76</v>
      </c>
      <c r="E17" s="281">
        <v>361.84</v>
      </c>
      <c r="F17" s="281">
        <v>833.14</v>
      </c>
      <c r="G17" s="281">
        <v>3278.72</v>
      </c>
      <c r="H17" s="281">
        <v>5145.1899999999996</v>
      </c>
      <c r="L17" s="30"/>
      <c r="M17" s="31"/>
      <c r="N17" s="30"/>
      <c r="O17" s="31"/>
      <c r="Q17" s="30"/>
      <c r="R17" s="31"/>
      <c r="T17" s="30"/>
      <c r="U17" s="31"/>
      <c r="W17" s="30"/>
      <c r="X17" s="31"/>
    </row>
    <row r="18" spans="3:24" ht="15" customHeight="1" x14ac:dyDescent="0.3">
      <c r="C18" s="285" t="s">
        <v>2365</v>
      </c>
      <c r="D18" s="281">
        <v>1857.43</v>
      </c>
      <c r="E18" s="281">
        <v>366.97</v>
      </c>
      <c r="F18" s="281">
        <v>2302.2800000000002</v>
      </c>
      <c r="G18" s="281">
        <v>5637.08</v>
      </c>
      <c r="H18" s="281">
        <v>5158.41</v>
      </c>
      <c r="L18" s="30"/>
      <c r="M18" s="31"/>
      <c r="N18" s="30"/>
      <c r="O18" s="32"/>
      <c r="Q18" s="30"/>
      <c r="R18" s="31"/>
      <c r="T18" s="30"/>
      <c r="U18" s="31"/>
      <c r="W18" s="30"/>
      <c r="X18" s="31"/>
    </row>
    <row r="19" spans="3:24" ht="15" customHeight="1" x14ac:dyDescent="0.3">
      <c r="C19" s="285" t="s">
        <v>2366</v>
      </c>
      <c r="D19" s="281">
        <v>390.29</v>
      </c>
      <c r="E19" s="281">
        <v>-38.06</v>
      </c>
      <c r="F19" s="281">
        <v>1468.85</v>
      </c>
      <c r="G19" s="281">
        <v>1473.72</v>
      </c>
      <c r="H19" s="281">
        <v>-504.66</v>
      </c>
      <c r="L19" s="30"/>
      <c r="M19" s="31"/>
      <c r="N19" s="30"/>
      <c r="O19" s="31"/>
      <c r="Q19" s="30"/>
      <c r="R19" s="31"/>
      <c r="T19" s="30"/>
      <c r="U19" s="31"/>
      <c r="W19" s="30"/>
      <c r="X19" s="31"/>
    </row>
    <row r="20" spans="3:24" ht="15" customHeight="1" x14ac:dyDescent="0.3">
      <c r="C20" s="282" t="s">
        <v>2367</v>
      </c>
      <c r="D20" s="283">
        <v>939.01</v>
      </c>
      <c r="E20" s="283">
        <v>-7.38</v>
      </c>
      <c r="F20" s="283">
        <v>-4.0999999999999996</v>
      </c>
      <c r="G20" s="284">
        <v>864.59</v>
      </c>
      <c r="H20" s="284">
        <v>-259.29000000000002</v>
      </c>
      <c r="L20" s="30"/>
      <c r="M20" s="31"/>
      <c r="N20" s="30"/>
      <c r="O20" s="31"/>
      <c r="Q20" s="30"/>
      <c r="R20" s="31"/>
      <c r="T20" s="30"/>
      <c r="U20" s="31"/>
      <c r="W20" s="30"/>
      <c r="X20" s="31"/>
    </row>
    <row r="21" spans="3:24" ht="15" customHeight="1" x14ac:dyDescent="0.3">
      <c r="C21" s="282" t="s">
        <v>2368</v>
      </c>
      <c r="D21" s="283">
        <v>0</v>
      </c>
      <c r="E21" s="283">
        <v>0</v>
      </c>
      <c r="F21" s="283">
        <v>0</v>
      </c>
      <c r="G21" s="284">
        <v>0</v>
      </c>
      <c r="H21" s="284">
        <v>0</v>
      </c>
      <c r="L21" s="30"/>
      <c r="M21" s="31"/>
      <c r="N21" s="30"/>
      <c r="O21" s="32"/>
      <c r="Q21" s="30"/>
      <c r="R21" s="31"/>
      <c r="T21" s="30"/>
      <c r="U21" s="31"/>
      <c r="W21" s="30"/>
      <c r="X21" s="31"/>
    </row>
    <row r="22" spans="3:24" ht="15" customHeight="1" x14ac:dyDescent="0.3">
      <c r="C22" s="282" t="s">
        <v>2369</v>
      </c>
      <c r="D22" s="283">
        <v>0</v>
      </c>
      <c r="E22" s="283">
        <v>0</v>
      </c>
      <c r="F22" s="283">
        <v>0</v>
      </c>
      <c r="G22" s="284">
        <v>0</v>
      </c>
      <c r="H22" s="284">
        <v>0</v>
      </c>
      <c r="L22" s="30"/>
      <c r="M22" s="31"/>
      <c r="N22" s="30"/>
      <c r="O22" s="32"/>
      <c r="Q22" s="30"/>
      <c r="R22" s="32"/>
      <c r="T22" s="30"/>
      <c r="U22" s="31"/>
      <c r="W22" s="30"/>
      <c r="X22" s="31"/>
    </row>
    <row r="23" spans="3:24" ht="15" customHeight="1" x14ac:dyDescent="0.3">
      <c r="C23" s="280" t="s">
        <v>2370</v>
      </c>
      <c r="D23" s="281">
        <v>1857.43</v>
      </c>
      <c r="E23" s="281">
        <v>366.97</v>
      </c>
      <c r="F23" s="281">
        <v>2302.2800000000002</v>
      </c>
      <c r="G23" s="281">
        <v>5637.08</v>
      </c>
      <c r="H23" s="281">
        <v>5158.41</v>
      </c>
      <c r="L23" s="30"/>
      <c r="M23" s="32"/>
      <c r="N23" s="30"/>
      <c r="O23" s="32"/>
      <c r="Q23" s="30"/>
      <c r="R23" s="32"/>
      <c r="T23" s="30"/>
      <c r="U23" s="32"/>
      <c r="W23" s="30"/>
      <c r="X23" s="32"/>
    </row>
    <row r="24" spans="3:24" ht="15" customHeight="1" x14ac:dyDescent="0.3">
      <c r="C24" s="288" t="s">
        <v>2371</v>
      </c>
      <c r="D24" s="289">
        <v>0</v>
      </c>
      <c r="E24" s="289">
        <v>0</v>
      </c>
      <c r="F24" s="289">
        <v>0</v>
      </c>
      <c r="G24" s="290">
        <v>0</v>
      </c>
      <c r="H24" s="290">
        <v>0</v>
      </c>
      <c r="L24" s="30"/>
      <c r="M24" s="32"/>
      <c r="N24" s="30"/>
      <c r="O24" s="32"/>
      <c r="Q24" s="30"/>
      <c r="R24" s="32"/>
      <c r="T24" s="30"/>
      <c r="U24" s="32"/>
      <c r="W24" s="30"/>
      <c r="X24" s="32"/>
    </row>
    <row r="25" spans="3:24" ht="15" customHeight="1" x14ac:dyDescent="0.3">
      <c r="C25" s="285" t="s">
        <v>2372</v>
      </c>
      <c r="D25" s="281">
        <v>1857.43</v>
      </c>
      <c r="E25" s="281">
        <v>366.97</v>
      </c>
      <c r="F25" s="281">
        <v>2302.2800000000002</v>
      </c>
      <c r="G25" s="286">
        <v>5637.08</v>
      </c>
      <c r="H25" s="286">
        <v>5158.41</v>
      </c>
      <c r="L25" s="30"/>
      <c r="M25" s="31"/>
      <c r="N25" s="30"/>
      <c r="O25" s="31"/>
      <c r="Q25" s="30"/>
      <c r="R25" s="31"/>
      <c r="T25" s="30"/>
      <c r="U25" s="31"/>
      <c r="W25" s="30"/>
      <c r="X25" s="31"/>
    </row>
    <row r="26" spans="3:24" ht="15" customHeight="1" x14ac:dyDescent="0.3">
      <c r="C26" s="285" t="s">
        <v>2373</v>
      </c>
      <c r="D26" s="291" t="s">
        <v>287</v>
      </c>
      <c r="E26" s="291" t="s">
        <v>287</v>
      </c>
      <c r="F26" s="291" t="s">
        <v>287</v>
      </c>
      <c r="G26" s="292" t="s">
        <v>287</v>
      </c>
      <c r="H26" s="292" t="s">
        <v>287</v>
      </c>
      <c r="L26" s="30"/>
      <c r="M26" s="32"/>
      <c r="N26" s="30"/>
      <c r="O26" s="32"/>
      <c r="Q26" s="30"/>
      <c r="R26" s="32"/>
      <c r="T26" s="30"/>
      <c r="U26" s="32"/>
      <c r="W26" s="30"/>
      <c r="X26" s="32"/>
    </row>
    <row r="27" spans="3:24" ht="15" customHeight="1" x14ac:dyDescent="0.3">
      <c r="C27" s="288" t="s">
        <v>2374</v>
      </c>
      <c r="D27" s="289">
        <v>-102.51</v>
      </c>
      <c r="E27" s="289">
        <v>-15.23</v>
      </c>
      <c r="F27" s="289">
        <v>-222.8</v>
      </c>
      <c r="G27" s="290">
        <v>-300.54000000000002</v>
      </c>
      <c r="H27" s="290">
        <v>-21.47</v>
      </c>
      <c r="L27" s="30"/>
      <c r="M27" s="31"/>
      <c r="N27" s="30"/>
      <c r="O27" s="31"/>
      <c r="Q27" s="30"/>
      <c r="R27" s="31"/>
      <c r="T27" s="30"/>
      <c r="U27" s="31"/>
      <c r="W27" s="30"/>
      <c r="X27" s="31"/>
    </row>
    <row r="28" spans="3:24" ht="15" customHeight="1" x14ac:dyDescent="0.3">
      <c r="C28" s="285" t="s">
        <v>2375</v>
      </c>
      <c r="D28" s="281">
        <v>624.27</v>
      </c>
      <c r="E28" s="281">
        <v>422.51</v>
      </c>
      <c r="F28" s="281">
        <v>1055.94</v>
      </c>
      <c r="G28" s="286">
        <v>3579.26</v>
      </c>
      <c r="H28" s="286">
        <v>5930.61</v>
      </c>
      <c r="L28" s="25"/>
      <c r="M28" s="32"/>
      <c r="N28" s="25"/>
      <c r="O28" s="32"/>
      <c r="Q28" s="25"/>
      <c r="R28" s="32"/>
      <c r="T28" s="25"/>
      <c r="U28" s="32"/>
      <c r="W28" s="25"/>
      <c r="X28" s="32"/>
    </row>
    <row r="29" spans="3:24" ht="27" customHeight="1" x14ac:dyDescent="0.3">
      <c r="C29" s="282" t="s">
        <v>2376</v>
      </c>
      <c r="D29" s="283">
        <v>1851.06</v>
      </c>
      <c r="E29" s="283">
        <v>361.84</v>
      </c>
      <c r="F29" s="283">
        <v>2297.89</v>
      </c>
      <c r="G29" s="284">
        <v>5617.03</v>
      </c>
      <c r="H29" s="284">
        <v>5145.1899999999996</v>
      </c>
      <c r="L29" s="30"/>
      <c r="M29" s="31"/>
      <c r="N29" s="30"/>
      <c r="O29" s="32"/>
      <c r="Q29" s="30"/>
      <c r="R29" s="31"/>
      <c r="T29" s="30"/>
      <c r="U29" s="31"/>
      <c r="W29" s="30"/>
      <c r="X29" s="32"/>
    </row>
    <row r="30" spans="3:24" ht="27" customHeight="1" x14ac:dyDescent="0.3">
      <c r="C30" s="282" t="s">
        <v>2377</v>
      </c>
      <c r="D30" s="283">
        <v>0</v>
      </c>
      <c r="E30" s="283">
        <v>0</v>
      </c>
      <c r="F30" s="283">
        <v>0</v>
      </c>
      <c r="G30" s="283">
        <v>0</v>
      </c>
      <c r="H30" s="284">
        <v>0</v>
      </c>
      <c r="L30" s="30"/>
      <c r="M30" s="31"/>
      <c r="N30" s="30"/>
      <c r="O30" s="31"/>
      <c r="Q30" s="30"/>
      <c r="R30" s="31"/>
      <c r="T30" s="30"/>
      <c r="U30" s="31"/>
      <c r="W30" s="30"/>
      <c r="X30" s="31"/>
    </row>
    <row r="31" spans="3:24" ht="15" customHeight="1" x14ac:dyDescent="0.3">
      <c r="C31" s="282" t="s">
        <v>2378</v>
      </c>
      <c r="D31" s="283">
        <v>0</v>
      </c>
      <c r="E31" s="283">
        <v>0</v>
      </c>
      <c r="F31" s="283">
        <v>0</v>
      </c>
      <c r="G31" s="284">
        <v>0</v>
      </c>
      <c r="H31" s="284">
        <v>0</v>
      </c>
      <c r="L31" s="30"/>
      <c r="M31" s="31"/>
      <c r="N31" s="30"/>
      <c r="O31" s="31"/>
      <c r="Q31" s="30"/>
      <c r="R31" s="31"/>
      <c r="T31" s="30"/>
      <c r="U31" s="31"/>
      <c r="W31" s="30"/>
      <c r="X31" s="31"/>
    </row>
    <row r="32" spans="3:24" ht="27" customHeight="1" x14ac:dyDescent="0.3">
      <c r="C32" s="282" t="s">
        <v>2379</v>
      </c>
      <c r="D32" s="283">
        <v>0</v>
      </c>
      <c r="E32" s="283">
        <v>0</v>
      </c>
      <c r="F32" s="283">
        <v>0</v>
      </c>
      <c r="G32" s="284">
        <v>0</v>
      </c>
      <c r="H32" s="284">
        <v>0</v>
      </c>
      <c r="L32" s="30"/>
      <c r="M32" s="32"/>
      <c r="N32" s="30"/>
      <c r="O32" s="32"/>
      <c r="Q32" s="30"/>
      <c r="R32" s="32"/>
      <c r="T32" s="30"/>
      <c r="U32" s="32"/>
      <c r="W32" s="30"/>
      <c r="X32" s="32"/>
    </row>
    <row r="33" spans="3:24" ht="15" customHeight="1" x14ac:dyDescent="0.3">
      <c r="C33" s="282" t="s">
        <v>2380</v>
      </c>
      <c r="D33" s="283">
        <v>41.32</v>
      </c>
      <c r="E33" s="283">
        <v>-4.58</v>
      </c>
      <c r="F33" s="283">
        <v>42.26</v>
      </c>
      <c r="G33" s="284">
        <v>74.13</v>
      </c>
      <c r="H33" s="284">
        <v>-39.630000000000003</v>
      </c>
      <c r="L33" s="30"/>
      <c r="M33" s="32"/>
      <c r="N33" s="30"/>
      <c r="O33" s="32"/>
      <c r="Q33" s="30"/>
      <c r="R33" s="32"/>
      <c r="T33" s="30"/>
      <c r="U33" s="32"/>
      <c r="W33" s="30"/>
      <c r="X33" s="32"/>
    </row>
    <row r="34" spans="3:24" ht="15" customHeight="1" x14ac:dyDescent="0.3">
      <c r="C34" s="285" t="s">
        <v>2381</v>
      </c>
      <c r="D34" s="281">
        <v>0</v>
      </c>
      <c r="E34" s="281">
        <v>0</v>
      </c>
      <c r="F34" s="281">
        <v>0</v>
      </c>
      <c r="G34" s="286">
        <v>0</v>
      </c>
      <c r="H34" s="286">
        <v>0</v>
      </c>
      <c r="L34" s="30"/>
      <c r="M34" s="32"/>
      <c r="N34" s="30"/>
      <c r="O34" s="32"/>
      <c r="Q34" s="30"/>
      <c r="R34" s="32"/>
      <c r="T34" s="30"/>
      <c r="U34" s="32"/>
      <c r="W34" s="30"/>
      <c r="X34" s="32"/>
    </row>
    <row r="35" spans="3:24" ht="15" customHeight="1" x14ac:dyDescent="0.3">
      <c r="C35" s="282" t="s">
        <v>2382</v>
      </c>
      <c r="D35" s="283">
        <v>1898.75</v>
      </c>
      <c r="E35" s="283">
        <v>362.39</v>
      </c>
      <c r="F35" s="283">
        <v>2344.54</v>
      </c>
      <c r="G35" s="284">
        <v>5711.21</v>
      </c>
      <c r="H35" s="284">
        <v>5118.78</v>
      </c>
      <c r="L35" s="30"/>
      <c r="M35" s="32"/>
      <c r="N35" s="30"/>
      <c r="O35" s="32"/>
      <c r="Q35" s="30"/>
      <c r="R35" s="32"/>
      <c r="T35" s="30"/>
      <c r="U35" s="32"/>
      <c r="W35" s="30"/>
      <c r="X35" s="32"/>
    </row>
    <row r="36" spans="3:24" ht="27" customHeight="1" x14ac:dyDescent="0.3">
      <c r="C36" s="282" t="s">
        <v>2383</v>
      </c>
      <c r="D36" s="283">
        <v>0</v>
      </c>
      <c r="E36" s="283">
        <v>0</v>
      </c>
      <c r="F36" s="283">
        <v>0</v>
      </c>
      <c r="G36" s="284">
        <v>0</v>
      </c>
      <c r="H36" s="284">
        <v>0</v>
      </c>
      <c r="L36" s="30"/>
      <c r="M36" s="32"/>
      <c r="N36" s="30"/>
      <c r="O36" s="32"/>
      <c r="Q36" s="30"/>
      <c r="R36" s="32"/>
      <c r="T36" s="30"/>
      <c r="U36" s="32"/>
      <c r="W36" s="30"/>
      <c r="X36" s="32"/>
    </row>
    <row r="37" spans="3:24" ht="27" customHeight="1" x14ac:dyDescent="0.3">
      <c r="C37" s="282" t="s">
        <v>2384</v>
      </c>
      <c r="D37" s="283">
        <v>0</v>
      </c>
      <c r="E37" s="283">
        <v>0</v>
      </c>
      <c r="F37" s="283">
        <v>0</v>
      </c>
      <c r="G37" s="284">
        <v>0</v>
      </c>
      <c r="H37" s="284">
        <v>0</v>
      </c>
      <c r="L37" s="30"/>
      <c r="M37" s="31"/>
      <c r="N37" s="30"/>
      <c r="O37" s="31"/>
      <c r="Q37" s="30"/>
      <c r="R37" s="31"/>
      <c r="T37" s="30"/>
      <c r="U37" s="31"/>
      <c r="W37" s="30"/>
      <c r="X37" s="31"/>
    </row>
    <row r="38" spans="3:24" ht="27" customHeight="1" x14ac:dyDescent="0.3">
      <c r="C38" s="285" t="s">
        <v>2385</v>
      </c>
      <c r="D38" s="281">
        <v>0</v>
      </c>
      <c r="E38" s="281">
        <v>0</v>
      </c>
      <c r="F38" s="281">
        <v>0</v>
      </c>
      <c r="G38" s="281">
        <v>0</v>
      </c>
      <c r="H38" s="281">
        <v>0</v>
      </c>
      <c r="L38" s="30"/>
      <c r="M38" s="32"/>
      <c r="N38" s="30"/>
      <c r="O38" s="32"/>
      <c r="Q38" s="30"/>
      <c r="R38" s="32"/>
      <c r="T38" s="30"/>
      <c r="U38" s="32"/>
      <c r="W38" s="30"/>
      <c r="X38" s="32"/>
    </row>
    <row r="39" spans="3:24" ht="27" customHeight="1" x14ac:dyDescent="0.3">
      <c r="C39" s="285" t="s">
        <v>2386</v>
      </c>
      <c r="D39" s="281">
        <v>0</v>
      </c>
      <c r="E39" s="281">
        <v>0</v>
      </c>
      <c r="F39" s="281">
        <v>0</v>
      </c>
      <c r="G39" s="286">
        <v>0</v>
      </c>
      <c r="H39" s="286">
        <v>0</v>
      </c>
      <c r="L39" s="30"/>
      <c r="M39" s="32"/>
      <c r="N39" s="30"/>
      <c r="O39" s="32"/>
      <c r="Q39" s="30"/>
      <c r="R39" s="32"/>
      <c r="T39" s="30"/>
      <c r="U39" s="32"/>
      <c r="W39" s="30"/>
      <c r="X39" s="32"/>
    </row>
    <row r="40" spans="3:24" ht="27" customHeight="1" x14ac:dyDescent="0.3">
      <c r="C40" s="285" t="s">
        <v>2387</v>
      </c>
      <c r="D40" s="281">
        <v>0</v>
      </c>
      <c r="E40" s="281">
        <v>0</v>
      </c>
      <c r="F40" s="281">
        <v>0</v>
      </c>
      <c r="G40" s="286">
        <v>0</v>
      </c>
      <c r="H40" s="286">
        <v>0</v>
      </c>
      <c r="L40" s="30"/>
      <c r="M40" s="32"/>
      <c r="N40" s="30"/>
      <c r="O40" s="32"/>
      <c r="Q40" s="30"/>
      <c r="R40" s="32"/>
      <c r="T40" s="30"/>
      <c r="U40" s="32"/>
      <c r="W40" s="30"/>
      <c r="X40" s="32"/>
    </row>
    <row r="41" spans="3:24" ht="15" customHeight="1" x14ac:dyDescent="0.3">
      <c r="C41" s="280" t="s">
        <v>2388</v>
      </c>
      <c r="D41" s="281">
        <v>6.37</v>
      </c>
      <c r="E41" s="281">
        <v>5.13</v>
      </c>
      <c r="F41" s="281">
        <v>4.3899999999999997</v>
      </c>
      <c r="G41" s="281">
        <v>20.05</v>
      </c>
      <c r="H41" s="281">
        <v>13.22</v>
      </c>
      <c r="L41" s="30"/>
      <c r="M41" s="32"/>
      <c r="N41" s="30"/>
      <c r="O41" s="32"/>
      <c r="Q41" s="30"/>
      <c r="R41" s="32"/>
      <c r="T41" s="30"/>
      <c r="U41" s="32"/>
      <c r="W41" s="30"/>
      <c r="X41" s="32"/>
    </row>
    <row r="42" spans="3:24" ht="15" customHeight="1" x14ac:dyDescent="0.3">
      <c r="C42" s="282" t="s">
        <v>2389</v>
      </c>
      <c r="D42" s="293">
        <v>7.41</v>
      </c>
      <c r="E42" s="293">
        <v>0.82</v>
      </c>
      <c r="F42" s="293">
        <v>7.15</v>
      </c>
      <c r="G42" s="294">
        <v>19.149999999999999</v>
      </c>
      <c r="H42" s="294">
        <v>17</v>
      </c>
      <c r="L42" s="30"/>
      <c r="M42" s="32"/>
      <c r="N42" s="30"/>
      <c r="O42" s="32"/>
      <c r="Q42" s="30"/>
      <c r="R42" s="32"/>
      <c r="T42" s="30"/>
      <c r="U42" s="32"/>
      <c r="W42" s="30"/>
      <c r="X42" s="32"/>
    </row>
    <row r="43" spans="3:24" ht="15" customHeight="1" x14ac:dyDescent="0.3">
      <c r="C43" s="280" t="s">
        <v>2390</v>
      </c>
      <c r="D43" s="291">
        <v>7.37</v>
      </c>
      <c r="E43" s="291">
        <v>0.82</v>
      </c>
      <c r="F43" s="291">
        <v>7.15</v>
      </c>
      <c r="G43" s="292">
        <v>19.05</v>
      </c>
      <c r="H43" s="292">
        <v>16.96</v>
      </c>
      <c r="L43" s="30"/>
      <c r="M43" s="32"/>
      <c r="N43" s="30"/>
      <c r="O43" s="32"/>
      <c r="Q43" s="30"/>
      <c r="R43" s="32"/>
      <c r="T43" s="30"/>
      <c r="U43" s="32"/>
      <c r="W43" s="30"/>
      <c r="X43" s="32"/>
    </row>
    <row r="44" spans="3:24" ht="15" customHeight="1" x14ac:dyDescent="0.3">
      <c r="C44" s="285" t="s">
        <v>2391</v>
      </c>
      <c r="D44" s="291">
        <v>0</v>
      </c>
      <c r="E44" s="291">
        <v>0</v>
      </c>
      <c r="F44" s="291">
        <v>0</v>
      </c>
      <c r="G44" s="292">
        <v>0</v>
      </c>
      <c r="H44" s="292">
        <v>0</v>
      </c>
      <c r="L44" s="30"/>
      <c r="M44" s="32"/>
      <c r="N44" s="30"/>
      <c r="O44" s="32"/>
      <c r="Q44" s="30"/>
      <c r="R44" s="32"/>
      <c r="T44" s="30"/>
      <c r="U44" s="32"/>
      <c r="W44" s="30"/>
      <c r="X44" s="32"/>
    </row>
    <row r="45" spans="3:24" ht="15" customHeight="1" x14ac:dyDescent="0.3">
      <c r="C45" s="285" t="s">
        <v>2392</v>
      </c>
      <c r="D45" s="291">
        <v>0</v>
      </c>
      <c r="E45" s="291">
        <v>0</v>
      </c>
      <c r="F45" s="291">
        <v>0</v>
      </c>
      <c r="G45" s="292">
        <v>0</v>
      </c>
      <c r="H45" s="292">
        <v>0</v>
      </c>
      <c r="L45" s="30"/>
      <c r="M45" s="32"/>
      <c r="N45" s="30"/>
      <c r="O45" s="32"/>
      <c r="Q45" s="30"/>
      <c r="R45" s="32"/>
      <c r="T45" s="30"/>
      <c r="U45" s="32"/>
      <c r="W45" s="30"/>
      <c r="X45" s="32"/>
    </row>
    <row r="46" spans="3:24" ht="15" customHeight="1" x14ac:dyDescent="0.3">
      <c r="C46" s="295"/>
      <c r="D46" s="276"/>
      <c r="E46" s="276"/>
      <c r="F46" s="276"/>
      <c r="G46" s="276"/>
      <c r="H46" s="276"/>
      <c r="L46" s="30"/>
      <c r="M46" s="32"/>
      <c r="N46" s="30"/>
      <c r="O46" s="32"/>
      <c r="Q46" s="30"/>
      <c r="R46" s="32"/>
      <c r="T46" s="30"/>
      <c r="U46" s="32"/>
      <c r="W46" s="30"/>
      <c r="X46" s="32"/>
    </row>
    <row r="47" spans="3:24" ht="15" customHeight="1" x14ac:dyDescent="0.3">
      <c r="C47" s="296"/>
      <c r="D47" s="297"/>
      <c r="E47" s="297"/>
      <c r="F47" s="297"/>
      <c r="G47" s="298"/>
      <c r="H47" s="298"/>
      <c r="L47" s="30"/>
      <c r="M47" s="32"/>
      <c r="N47" s="30"/>
      <c r="O47" s="32"/>
      <c r="Q47" s="30"/>
      <c r="R47" s="32"/>
      <c r="T47" s="30"/>
      <c r="U47" s="32"/>
      <c r="W47" s="30"/>
      <c r="X47" s="32"/>
    </row>
    <row r="48" spans="3:24" ht="15" customHeight="1" x14ac:dyDescent="0.3">
      <c r="C48" s="296"/>
      <c r="D48" s="299"/>
      <c r="E48" s="299"/>
      <c r="F48" s="299"/>
      <c r="G48" s="298"/>
      <c r="H48" s="298"/>
      <c r="L48" s="30"/>
      <c r="M48" s="30"/>
      <c r="N48" s="32"/>
      <c r="S48" s="30"/>
      <c r="T48" s="32"/>
    </row>
  </sheetData>
  <mergeCells count="3">
    <mergeCell ref="C1:H1"/>
    <mergeCell ref="D2:F2"/>
    <mergeCell ref="G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E1:P40"/>
  <sheetViews>
    <sheetView showGridLines="0" zoomScaleNormal="100" workbookViewId="0">
      <selection activeCell="J13" sqref="J13:M13"/>
    </sheetView>
  </sheetViews>
  <sheetFormatPr defaultColWidth="8.6640625" defaultRowHeight="14.4" x14ac:dyDescent="0.3"/>
  <cols>
    <col min="5" max="5" width="33.44140625" style="1" customWidth="1"/>
    <col min="6" max="6" width="14.6640625" customWidth="1"/>
    <col min="7" max="7" width="9.21875" style="1" customWidth="1"/>
    <col min="9" max="9" width="11.88671875" customWidth="1"/>
    <col min="10" max="10" width="11.44140625" customWidth="1"/>
  </cols>
  <sheetData>
    <row r="1" spans="5:13" ht="15" customHeight="1" x14ac:dyDescent="0.3">
      <c r="E1" s="121"/>
      <c r="F1" s="122"/>
      <c r="G1" s="121"/>
      <c r="H1" s="122"/>
      <c r="I1" s="122"/>
      <c r="J1" s="122"/>
      <c r="K1" s="122"/>
      <c r="L1" s="122"/>
      <c r="M1" s="122"/>
    </row>
    <row r="2" spans="5:13" ht="14.25" customHeight="1" x14ac:dyDescent="0.3">
      <c r="E2" s="333" t="s">
        <v>2393</v>
      </c>
      <c r="F2" s="333"/>
      <c r="G2" s="333"/>
      <c r="H2" s="333"/>
      <c r="I2" s="122"/>
      <c r="J2" s="333" t="s">
        <v>2394</v>
      </c>
      <c r="K2" s="333"/>
      <c r="L2" s="333"/>
      <c r="M2" s="333"/>
    </row>
    <row r="3" spans="5:13" ht="14.25" customHeight="1" x14ac:dyDescent="0.3">
      <c r="E3" s="143" t="s">
        <v>2395</v>
      </c>
      <c r="F3" s="144">
        <v>45352</v>
      </c>
      <c r="G3" s="145">
        <v>45717</v>
      </c>
      <c r="H3" s="145">
        <v>46082</v>
      </c>
      <c r="I3" s="122"/>
      <c r="J3" s="143" t="s">
        <v>2395</v>
      </c>
      <c r="K3" s="144">
        <v>45352</v>
      </c>
      <c r="L3" s="145">
        <v>45717</v>
      </c>
      <c r="M3" s="145">
        <v>46082</v>
      </c>
    </row>
    <row r="4" spans="5:13" ht="28.5" customHeight="1" x14ac:dyDescent="0.3">
      <c r="E4" s="143" t="s">
        <v>2396</v>
      </c>
      <c r="F4" s="146">
        <v>13</v>
      </c>
      <c r="G4" s="146">
        <v>16</v>
      </c>
      <c r="H4" s="146">
        <v>17</v>
      </c>
      <c r="I4" s="122"/>
      <c r="J4" s="143" t="s">
        <v>2396</v>
      </c>
      <c r="K4" s="146">
        <v>22</v>
      </c>
      <c r="L4" s="146">
        <v>28</v>
      </c>
      <c r="M4" s="146">
        <v>25</v>
      </c>
    </row>
    <row r="5" spans="5:13" ht="28.5" customHeight="1" x14ac:dyDescent="0.3">
      <c r="E5" s="143" t="s">
        <v>2397</v>
      </c>
      <c r="F5" s="147">
        <v>238</v>
      </c>
      <c r="G5" s="147">
        <v>238</v>
      </c>
      <c r="H5" s="147">
        <v>246</v>
      </c>
      <c r="I5" s="122"/>
      <c r="J5" s="143" t="s">
        <v>2397</v>
      </c>
      <c r="K5" s="147">
        <v>255</v>
      </c>
      <c r="L5" s="147">
        <v>255</v>
      </c>
      <c r="M5" s="147">
        <v>206</v>
      </c>
    </row>
    <row r="6" spans="5:13" ht="28.5" customHeight="1" x14ac:dyDescent="0.3">
      <c r="E6" s="143" t="s">
        <v>2398</v>
      </c>
      <c r="F6" s="146">
        <v>196</v>
      </c>
      <c r="G6" s="146">
        <v>167</v>
      </c>
      <c r="H6" s="146">
        <v>227</v>
      </c>
      <c r="I6" s="122"/>
      <c r="J6" s="143" t="s">
        <v>2398</v>
      </c>
      <c r="K6" s="146">
        <v>260</v>
      </c>
      <c r="L6" s="146">
        <v>248</v>
      </c>
      <c r="M6" s="146">
        <v>217</v>
      </c>
    </row>
    <row r="7" spans="5:13" ht="42.75" customHeight="1" x14ac:dyDescent="0.3">
      <c r="E7" s="143" t="s">
        <v>2399</v>
      </c>
      <c r="F7" s="148">
        <v>56</v>
      </c>
      <c r="G7" s="148">
        <v>86</v>
      </c>
      <c r="H7" s="148">
        <v>37</v>
      </c>
      <c r="I7" s="122"/>
      <c r="J7" s="143" t="s">
        <v>2399</v>
      </c>
      <c r="K7" s="148">
        <v>17</v>
      </c>
      <c r="L7" s="148">
        <v>35</v>
      </c>
      <c r="M7" s="148">
        <v>13</v>
      </c>
    </row>
    <row r="8" spans="5:13" ht="42.75" customHeight="1" x14ac:dyDescent="0.3">
      <c r="E8" s="143" t="s">
        <v>2400</v>
      </c>
      <c r="F8" s="146">
        <v>8</v>
      </c>
      <c r="G8" s="146">
        <v>-25</v>
      </c>
      <c r="H8" s="146">
        <v>-3</v>
      </c>
      <c r="I8" s="122"/>
      <c r="J8" s="143" t="s">
        <v>2400</v>
      </c>
      <c r="K8" s="146">
        <v>-52</v>
      </c>
      <c r="L8" s="146">
        <v>-64</v>
      </c>
      <c r="M8" s="146">
        <v>-41</v>
      </c>
    </row>
    <row r="9" spans="5:13" ht="15" customHeight="1" x14ac:dyDescent="0.3">
      <c r="E9" s="143" t="s">
        <v>2401</v>
      </c>
      <c r="F9" s="149">
        <v>0.13</v>
      </c>
      <c r="G9" s="149">
        <v>0.11</v>
      </c>
      <c r="H9" s="149">
        <v>0.06</v>
      </c>
      <c r="I9" s="122"/>
      <c r="J9" s="143" t="s">
        <v>2401</v>
      </c>
      <c r="K9" s="149">
        <v>0.15</v>
      </c>
      <c r="L9" s="149">
        <v>0.11</v>
      </c>
      <c r="M9" s="149">
        <v>0.13</v>
      </c>
    </row>
    <row r="10" spans="5:13" x14ac:dyDescent="0.3">
      <c r="E10" s="121"/>
      <c r="F10" s="122"/>
      <c r="G10" s="121"/>
      <c r="H10" s="122"/>
      <c r="I10" s="122"/>
      <c r="J10" s="122"/>
      <c r="K10" s="122"/>
      <c r="L10" s="122"/>
      <c r="M10" s="122"/>
    </row>
    <row r="11" spans="5:13" x14ac:dyDescent="0.3">
      <c r="E11" s="121"/>
      <c r="F11" s="122"/>
      <c r="G11" s="121"/>
      <c r="H11" s="122"/>
      <c r="I11" s="122"/>
      <c r="J11" s="122"/>
      <c r="K11" s="122"/>
      <c r="L11" s="122"/>
      <c r="M11" s="122"/>
    </row>
    <row r="12" spans="5:13" ht="15" customHeight="1" x14ac:dyDescent="0.3">
      <c r="E12" s="121"/>
      <c r="F12" s="122"/>
      <c r="G12" s="121"/>
      <c r="H12" s="122"/>
      <c r="I12" s="122"/>
      <c r="J12" s="122"/>
      <c r="K12" s="122"/>
      <c r="L12" s="122"/>
      <c r="M12" s="122"/>
    </row>
    <row r="13" spans="5:13" ht="14.25" customHeight="1" x14ac:dyDescent="0.3">
      <c r="E13" s="333" t="s">
        <v>2402</v>
      </c>
      <c r="F13" s="333"/>
      <c r="G13" s="333"/>
      <c r="H13" s="333"/>
      <c r="I13" s="122"/>
      <c r="J13" s="333" t="s">
        <v>2403</v>
      </c>
      <c r="K13" s="333"/>
      <c r="L13" s="333"/>
      <c r="M13" s="333"/>
    </row>
    <row r="14" spans="5:13" ht="14.25" customHeight="1" x14ac:dyDescent="0.3">
      <c r="E14" s="143" t="s">
        <v>2395</v>
      </c>
      <c r="F14" s="144">
        <v>45352</v>
      </c>
      <c r="G14" s="145">
        <v>45717</v>
      </c>
      <c r="H14" s="145">
        <v>46082</v>
      </c>
      <c r="I14" s="122"/>
      <c r="J14" s="143" t="s">
        <v>2395</v>
      </c>
      <c r="K14" s="144">
        <v>45352</v>
      </c>
      <c r="L14" s="145">
        <v>45717</v>
      </c>
      <c r="M14" s="145">
        <v>46082</v>
      </c>
    </row>
    <row r="15" spans="5:13" ht="28.5" customHeight="1" x14ac:dyDescent="0.3">
      <c r="E15" s="143" t="s">
        <v>2396</v>
      </c>
      <c r="F15" s="146">
        <v>23</v>
      </c>
      <c r="G15" s="146">
        <v>27</v>
      </c>
      <c r="H15" s="146">
        <v>32</v>
      </c>
      <c r="I15" s="122"/>
      <c r="J15" s="143" t="s">
        <v>2396</v>
      </c>
      <c r="K15" s="146">
        <v>18</v>
      </c>
      <c r="L15" s="146">
        <v>24</v>
      </c>
      <c r="M15" s="146">
        <v>20</v>
      </c>
    </row>
    <row r="16" spans="5:13" ht="28.5" customHeight="1" x14ac:dyDescent="0.3">
      <c r="E16" s="143" t="s">
        <v>2397</v>
      </c>
      <c r="F16" s="147">
        <v>670</v>
      </c>
      <c r="G16" s="147">
        <v>444</v>
      </c>
      <c r="H16" s="147">
        <v>469</v>
      </c>
      <c r="I16" s="122"/>
      <c r="J16" s="143" t="s">
        <v>2397</v>
      </c>
      <c r="K16" s="147">
        <v>235</v>
      </c>
      <c r="L16" s="147">
        <v>213</v>
      </c>
      <c r="M16" s="147">
        <v>249</v>
      </c>
    </row>
    <row r="17" spans="5:16" ht="28.5" customHeight="1" x14ac:dyDescent="0.3">
      <c r="E17" s="143" t="s">
        <v>2398</v>
      </c>
      <c r="F17" s="146">
        <v>229</v>
      </c>
      <c r="G17" s="146">
        <v>247</v>
      </c>
      <c r="H17" s="146">
        <v>274</v>
      </c>
      <c r="I17" s="122"/>
      <c r="J17" s="143" t="s">
        <v>2398</v>
      </c>
      <c r="K17" s="146">
        <v>185</v>
      </c>
      <c r="L17" s="146">
        <v>199</v>
      </c>
      <c r="M17" s="146">
        <v>198</v>
      </c>
    </row>
    <row r="18" spans="5:16" ht="42.75" customHeight="1" x14ac:dyDescent="0.3">
      <c r="E18" s="143" t="s">
        <v>2399</v>
      </c>
      <c r="F18" s="148">
        <v>464</v>
      </c>
      <c r="G18" s="148">
        <v>223</v>
      </c>
      <c r="H18" s="148">
        <v>227</v>
      </c>
      <c r="I18" s="122"/>
      <c r="J18" s="143" t="s">
        <v>2399</v>
      </c>
      <c r="K18" s="148">
        <v>68</v>
      </c>
      <c r="L18" s="148">
        <v>38</v>
      </c>
      <c r="M18" s="148">
        <v>71</v>
      </c>
    </row>
    <row r="19" spans="5:16" ht="42.75" customHeight="1" x14ac:dyDescent="0.3">
      <c r="E19" s="143" t="s">
        <v>2400</v>
      </c>
      <c r="F19" s="146">
        <v>7</v>
      </c>
      <c r="G19" s="146">
        <v>-8</v>
      </c>
      <c r="H19" s="146">
        <v>135</v>
      </c>
      <c r="I19" s="122"/>
      <c r="J19" s="143" t="s">
        <v>2400</v>
      </c>
      <c r="K19" s="146">
        <v>2</v>
      </c>
      <c r="L19" s="146">
        <v>-23</v>
      </c>
      <c r="M19" s="146">
        <v>-21</v>
      </c>
    </row>
    <row r="20" spans="5:16" ht="15" customHeight="1" x14ac:dyDescent="0.3">
      <c r="E20" s="143" t="s">
        <v>2401</v>
      </c>
      <c r="F20" s="149">
        <v>0.15</v>
      </c>
      <c r="G20" s="149">
        <v>7.0000000000000007E-2</v>
      </c>
      <c r="H20" s="149">
        <v>0.1</v>
      </c>
      <c r="I20" s="122"/>
      <c r="J20" s="143" t="s">
        <v>2401</v>
      </c>
      <c r="K20" s="149">
        <v>0.16</v>
      </c>
      <c r="L20" s="149">
        <v>0.14000000000000001</v>
      </c>
      <c r="M20" s="149">
        <v>0.15</v>
      </c>
    </row>
    <row r="25" spans="5:16" ht="15" thickBot="1" x14ac:dyDescent="0.35"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4"/>
    </row>
    <row r="26" spans="5:16" x14ac:dyDescent="0.3">
      <c r="E26" s="136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</row>
    <row r="27" spans="5:16" x14ac:dyDescent="0.3">
      <c r="E27" s="138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</row>
    <row r="28" spans="5:16" ht="15" thickBot="1" x14ac:dyDescent="0.35">
      <c r="E28" s="136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</row>
    <row r="29" spans="5:16" x14ac:dyDescent="0.3">
      <c r="E29" s="140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</row>
    <row r="30" spans="5:16" ht="15" thickBot="1" x14ac:dyDescent="0.35">
      <c r="E30" s="136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</row>
    <row r="31" spans="5:16" x14ac:dyDescent="0.3">
      <c r="E31" s="140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</row>
    <row r="34" spans="5:16" ht="15" thickBot="1" x14ac:dyDescent="0.35"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4"/>
    </row>
    <row r="35" spans="5:16" x14ac:dyDescent="0.3">
      <c r="E35" s="136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</row>
    <row r="36" spans="5:16" x14ac:dyDescent="0.3">
      <c r="E36" s="138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</row>
    <row r="37" spans="5:16" ht="15" thickBot="1" x14ac:dyDescent="0.35">
      <c r="E37" s="136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</row>
    <row r="38" spans="5:16" x14ac:dyDescent="0.3">
      <c r="E38" s="140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</row>
    <row r="39" spans="5:16" ht="15" thickBot="1" x14ac:dyDescent="0.35">
      <c r="E39" s="136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</row>
    <row r="40" spans="5:16" x14ac:dyDescent="0.3">
      <c r="E40" s="140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</row>
  </sheetData>
  <mergeCells count="4">
    <mergeCell ref="E2:H2"/>
    <mergeCell ref="J2:M2"/>
    <mergeCell ref="E13:H13"/>
    <mergeCell ref="J13:M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9"/>
  <sheetViews>
    <sheetView showGridLines="0" zoomScaleNormal="100" workbookViewId="0">
      <selection sqref="A1:J2"/>
    </sheetView>
  </sheetViews>
  <sheetFormatPr defaultColWidth="8.6640625" defaultRowHeight="14.4" x14ac:dyDescent="0.3"/>
  <cols>
    <col min="1" max="1" width="25.77734375" style="1" customWidth="1"/>
    <col min="2" max="2" width="7" style="1" customWidth="1"/>
    <col min="3" max="4" width="10" style="1" customWidth="1"/>
    <col min="5" max="5" width="9" style="1" customWidth="1"/>
    <col min="6" max="6" width="10" style="1" customWidth="1"/>
    <col min="7" max="7" width="9" style="1" customWidth="1"/>
    <col min="8" max="8" width="9.6640625" style="1" customWidth="1"/>
    <col min="9" max="10" width="9" style="1" customWidth="1"/>
  </cols>
  <sheetData>
    <row r="1" spans="1:10" ht="18" customHeight="1" x14ac:dyDescent="0.35">
      <c r="A1" s="325" t="s">
        <v>2404</v>
      </c>
      <c r="B1" s="326"/>
      <c r="C1" s="326"/>
      <c r="D1" s="326"/>
      <c r="E1" s="326"/>
      <c r="F1" s="326"/>
      <c r="G1" s="326"/>
      <c r="H1" s="326"/>
      <c r="I1" s="326"/>
      <c r="J1" s="327"/>
    </row>
    <row r="2" spans="1:10" ht="14.25" customHeight="1" x14ac:dyDescent="0.3">
      <c r="A2" s="328" t="s">
        <v>2351</v>
      </c>
      <c r="B2" s="329">
        <v>43800</v>
      </c>
      <c r="C2" s="329">
        <v>44166</v>
      </c>
      <c r="D2" s="329">
        <v>44531</v>
      </c>
      <c r="E2" s="329">
        <v>44986</v>
      </c>
      <c r="F2" s="329">
        <v>45352</v>
      </c>
      <c r="G2" s="330">
        <v>45717</v>
      </c>
      <c r="H2" s="331" t="s">
        <v>2405</v>
      </c>
      <c r="I2" s="332" t="s">
        <v>2406</v>
      </c>
      <c r="J2" s="332" t="s">
        <v>2407</v>
      </c>
    </row>
    <row r="3" spans="1:10" ht="14.25" customHeight="1" x14ac:dyDescent="0.3">
      <c r="A3" s="2"/>
      <c r="B3" s="33"/>
      <c r="C3" s="33"/>
      <c r="D3" s="33"/>
      <c r="E3" s="33"/>
      <c r="F3" s="33"/>
      <c r="G3" s="2"/>
      <c r="H3" s="2"/>
      <c r="I3" s="33"/>
      <c r="J3" s="33"/>
    </row>
    <row r="4" spans="1:10" ht="14.25" customHeight="1" x14ac:dyDescent="0.3">
      <c r="A4" s="34" t="s">
        <v>2408</v>
      </c>
      <c r="B4" s="35"/>
      <c r="C4" s="35">
        <f>('Consolidated P&amp;L'!C6-'Consolidated P&amp;L'!B6)/'Consolidated P&amp;L'!B6</f>
        <v>-9.5462771481964581E-2</v>
      </c>
      <c r="D4" s="35">
        <f>('Consolidated P&amp;L'!D6-'Consolidated P&amp;L'!C6)/'Consolidated P&amp;L'!C6</f>
        <v>0.18148389409928228</v>
      </c>
      <c r="E4" s="35">
        <f>('Consolidated P&amp;L'!E6-'Consolidated P&amp;L'!D6)/'Consolidated P&amp;L'!D6</f>
        <v>0.34425726365125914</v>
      </c>
      <c r="F4" s="35">
        <f>('Consolidated P&amp;L'!F6-'Consolidated P&amp;L'!E6)/'Consolidated P&amp;L'!E6</f>
        <v>-0.14837777817157599</v>
      </c>
      <c r="G4" s="35">
        <f>('Consolidated P&amp;L'!G6-'Consolidated P&amp;L'!F6)/'Consolidated P&amp;L'!F6</f>
        <v>1.6226352276442015E-2</v>
      </c>
      <c r="H4" s="35"/>
      <c r="I4" s="35">
        <f>AVERAGE(C4:G4)</f>
        <v>5.9625392074688574E-2</v>
      </c>
      <c r="J4" s="35">
        <f>MEDIAN(C4:G4)</f>
        <v>1.6226352276442015E-2</v>
      </c>
    </row>
    <row r="5" spans="1:10" ht="14.25" customHeight="1" x14ac:dyDescent="0.3">
      <c r="A5" s="34" t="s">
        <v>2409</v>
      </c>
      <c r="B5" s="35"/>
      <c r="C5" s="35"/>
      <c r="D5" s="35">
        <f>(Assumptions!C9-Assumptions!B9)/Assumptions!B9</f>
        <v>0.23725426061969368</v>
      </c>
      <c r="E5" s="35">
        <f>(Assumptions!D9-Assumptions!C9)/Assumptions!C9</f>
        <v>-0.17683111760574902</v>
      </c>
      <c r="F5" s="35">
        <f>(Assumptions!E9-Assumptions!D9)/Assumptions!D9</f>
        <v>0.25804112722565525</v>
      </c>
      <c r="G5" s="35">
        <f>(Assumptions!F9-Assumptions!E9)/Assumptions!E9</f>
        <v>-0.2791539744563562</v>
      </c>
      <c r="H5" s="35"/>
      <c r="I5" s="35">
        <f>AVERAGE(D5:G5)</f>
        <v>9.8275739458109218E-3</v>
      </c>
      <c r="J5" s="35">
        <f>MEDIAN(D5:G5)</f>
        <v>3.0211571506972318E-2</v>
      </c>
    </row>
    <row r="6" spans="1:10" ht="14.25" customHeight="1" x14ac:dyDescent="0.3">
      <c r="A6" s="34" t="s">
        <v>2410</v>
      </c>
      <c r="B6" s="35"/>
      <c r="C6" s="35"/>
      <c r="D6" s="35">
        <f>(Assumptions!C11-Assumptions!B11)/Assumptions!B11</f>
        <v>0.31181034369971083</v>
      </c>
      <c r="E6" s="35">
        <f>(Assumptions!D11-Assumptions!C11)/Assumptions!C11</f>
        <v>-0.31565761337886561</v>
      </c>
      <c r="F6" s="35">
        <f>(Assumptions!E11-Assumptions!D11)/Assumptions!D11</f>
        <v>0.38794741751194944</v>
      </c>
      <c r="G6" s="35">
        <f>(Assumptions!F11-Assumptions!E11)/Assumptions!E11</f>
        <v>-0.55386967451178948</v>
      </c>
      <c r="H6" s="35"/>
      <c r="I6" s="35">
        <f>AVERAGE(D6:G6)</f>
        <v>-4.2442381669748702E-2</v>
      </c>
      <c r="J6" s="35">
        <f>MEDIAN(D6:G6)</f>
        <v>-1.923634839577415E-3</v>
      </c>
    </row>
    <row r="7" spans="1:10" ht="14.25" customHeight="1" x14ac:dyDescent="0.3">
      <c r="A7" s="34" t="s">
        <v>2411</v>
      </c>
      <c r="B7" s="35"/>
      <c r="C7" s="35"/>
      <c r="D7" s="35">
        <f>(Assumptions!C17-Assumptions!B17)/Assumptions!B17</f>
        <v>0.17541768127705629</v>
      </c>
      <c r="E7" s="35">
        <f>(Assumptions!D17-Assumptions!C17)/Assumptions!C17</f>
        <v>-7.0846431063379997E-2</v>
      </c>
      <c r="F7" s="35">
        <f>(Assumptions!E17-Assumptions!D17)/Assumptions!D17</f>
        <v>0.38452814120925932</v>
      </c>
      <c r="G7" s="35">
        <f>(Assumptions!F17-Assumptions!E17)/Assumptions!E17</f>
        <v>0.16513130488510658</v>
      </c>
      <c r="H7" s="35"/>
      <c r="I7" s="35">
        <f>AVERAGE(D7:G7)</f>
        <v>0.16355767407701055</v>
      </c>
      <c r="J7" s="35">
        <f>MEDIAN(D7:G7)</f>
        <v>0.17027449308108145</v>
      </c>
    </row>
    <row r="8" spans="1:10" ht="14.25" customHeight="1" x14ac:dyDescent="0.3">
      <c r="A8" s="34" t="s">
        <v>2412</v>
      </c>
      <c r="B8" s="36"/>
      <c r="C8" s="36"/>
      <c r="D8" s="35">
        <f>('Consolidated Cash Flow'!C83-'Consolidated Cash Flow'!B83)/'Consolidated Cash Flow'!B83</f>
        <v>-0.94485088454160204</v>
      </c>
      <c r="E8" s="35">
        <f>('Consolidated Cash Flow'!D83-'Consolidated Cash Flow'!C83)/'Consolidated Cash Flow'!C83</f>
        <v>5.1920831271647705</v>
      </c>
      <c r="F8" s="35">
        <f>('Consolidated Cash Flow'!E83-'Consolidated Cash Flow'!D83)/'Consolidated Cash Flow'!D83</f>
        <v>-0.60332262549743487</v>
      </c>
      <c r="G8" s="35">
        <f>('Consolidated Cash Flow'!F83-'Consolidated Cash Flow'!E83)/'Consolidated Cash Flow'!E83</f>
        <v>-7.6146733546867094E-3</v>
      </c>
      <c r="H8" s="36"/>
      <c r="I8" s="35">
        <f>AVERAGE(D8:G8)</f>
        <v>0.90907373594276164</v>
      </c>
      <c r="J8" s="35">
        <f>MEDIAN(D8:G8)</f>
        <v>-0.30546864942606078</v>
      </c>
    </row>
    <row r="9" spans="1:10" ht="14.25" customHeight="1" x14ac:dyDescent="0.3">
      <c r="A9" s="34" t="s">
        <v>2413</v>
      </c>
      <c r="B9" s="35">
        <f>('Consolidated P&amp;L'!B6-('Consolidated P&amp;L'!B11+'Consolidated P&amp;L'!B12+'Consolidated P&amp;L'!B13+'Consolidated P&amp;L'!B17+'Consolidated P&amp;L'!B18)-'Consolidated P&amp;L'!B14)/'Consolidated P&amp;L'!B6</f>
        <v>0.33202145106452841</v>
      </c>
      <c r="C9" s="35">
        <f>('Consolidated P&amp;L'!C6-('Consolidated P&amp;L'!C11+'Consolidated P&amp;L'!C12+'Consolidated P&amp;L'!C13+'Consolidated P&amp;L'!C17+'Consolidated P&amp;L'!C18)-'Consolidated P&amp;L'!C14)/'Consolidated P&amp;L'!C6</f>
        <v>0.35700315342894096</v>
      </c>
      <c r="D9" s="35">
        <f>('Consolidated P&amp;L'!D6-('Consolidated P&amp;L'!D11+'Consolidated P&amp;L'!D12+'Consolidated P&amp;L'!D13+'Consolidated P&amp;L'!D17+'Consolidated P&amp;L'!D18)-'Consolidated P&amp;L'!D14)/'Consolidated P&amp;L'!D6</f>
        <v>0.36435154145661774</v>
      </c>
      <c r="E9" s="35">
        <f>('Consolidated P&amp;L'!E6-('Consolidated P&amp;L'!E11+'Consolidated P&amp;L'!E12+'Consolidated P&amp;L'!E13+'Consolidated P&amp;L'!E17+'Consolidated P&amp;L'!E18)-'Consolidated P&amp;L'!E14)/'Consolidated P&amp;L'!E6</f>
        <v>0.27439098462312095</v>
      </c>
      <c r="F9" s="35">
        <f>('Consolidated P&amp;L'!F6-('Consolidated P&amp;L'!F11+'Consolidated P&amp;L'!F12+'Consolidated P&amp;L'!F13+'Consolidated P&amp;L'!F17+'Consolidated P&amp;L'!F18)-'Consolidated P&amp;L'!F14)/'Consolidated P&amp;L'!F6</f>
        <v>0.32491667581433331</v>
      </c>
      <c r="G9" s="35">
        <f>('Consolidated P&amp;L'!G6-('Consolidated P&amp;L'!G11+'Consolidated P&amp;L'!G12+'Consolidated P&amp;L'!G13+'Consolidated P&amp;L'!G17+'Consolidated P&amp;L'!G18)-'Consolidated P&amp;L'!G14)/'Consolidated P&amp;L'!G6</f>
        <v>0.2705775171599249</v>
      </c>
      <c r="H9" s="35"/>
      <c r="I9" s="35">
        <f>AVERAGE(B9:G9)</f>
        <v>0.32054355392457773</v>
      </c>
      <c r="J9" s="35">
        <f>MEDIAN(B9:G9)</f>
        <v>0.32846906343943083</v>
      </c>
    </row>
    <row r="10" spans="1:10" ht="14.25" customHeight="1" x14ac:dyDescent="0.3">
      <c r="A10" s="34" t="s">
        <v>2414</v>
      </c>
      <c r="B10" s="35">
        <f>('Consolidated P&amp;L'!B6-'Consolidated P&amp;L'!B22+'Consolidated P&amp;L'!B15+'Consolidated P&amp;L'!B16)/'Consolidated P&amp;L'!B6</f>
        <v>0.16960840923052509</v>
      </c>
      <c r="C10" s="35">
        <f>Assumptions!B9/'Consolidated P&amp;L'!C6</f>
        <v>0.20327114716531988</v>
      </c>
      <c r="D10" s="35">
        <f>Assumptions!C9/'Consolidated P&amp;L'!D6</f>
        <v>0.21286628971195351</v>
      </c>
      <c r="E10" s="35">
        <f>Assumptions!D9/'Consolidated P&amp;L'!E6</f>
        <v>0.13035072269251149</v>
      </c>
      <c r="F10" s="35">
        <f>Assumptions!E9/'Consolidated P&amp;L'!F6</f>
        <v>0.19255788060425258</v>
      </c>
      <c r="G10" s="35">
        <f>Assumptions!F9/'Consolidated P&amp;L'!G6</f>
        <v>0.13658825379773681</v>
      </c>
      <c r="H10" s="35"/>
      <c r="I10" s="35">
        <f>AVERAGE(B10:G10)</f>
        <v>0.1742071172003832</v>
      </c>
      <c r="J10" s="35">
        <f>MEDIAN(B10:G10)</f>
        <v>0.18108314491738883</v>
      </c>
    </row>
    <row r="11" spans="1:10" ht="14.25" customHeight="1" x14ac:dyDescent="0.3">
      <c r="A11" s="34" t="s">
        <v>2415</v>
      </c>
      <c r="B11" s="35">
        <f>('Consolidated P&amp;L'!B6-'Consolidated P&amp;L'!B22+'Consolidated P&amp;L'!B15)/'Consolidated P&amp;L'!B6</f>
        <v>0.12708556628190767</v>
      </c>
      <c r="C11" s="35">
        <f>Assumptions!B11/'Consolidated P&amp;L'!C6</f>
        <v>0.15588283161684721</v>
      </c>
      <c r="D11" s="35">
        <f>Assumptions!C11/'Consolidated P&amp;L'!D6</f>
        <v>0.17307786584435395</v>
      </c>
      <c r="E11" s="35">
        <f>Assumptions!D11/'Consolidated P&amp;L'!E6</f>
        <v>8.8111496947764156E-2</v>
      </c>
      <c r="F11" s="35">
        <f>Assumptions!E11/'Consolidated P&amp;L'!F6</f>
        <v>0.14360137806079915</v>
      </c>
      <c r="G11" s="35">
        <f>Assumptions!F11/'Consolidated P&amp;L'!G6</f>
        <v>6.3041988028856438E-2</v>
      </c>
      <c r="H11" s="35"/>
      <c r="I11" s="35">
        <f>AVERAGE(B11:G11)</f>
        <v>0.1251335211300881</v>
      </c>
      <c r="J11" s="35">
        <f>MEDIAN(B11:G11)</f>
        <v>0.1353434721713534</v>
      </c>
    </row>
    <row r="12" spans="1:10" ht="14.25" customHeight="1" x14ac:dyDescent="0.3">
      <c r="A12" s="34" t="s">
        <v>2416</v>
      </c>
      <c r="B12" s="35">
        <f>'Consolidated P&amp;L'!B27/'Consolidated P&amp;L'!B6</f>
        <v>0.14298163893659688</v>
      </c>
      <c r="C12" s="35">
        <f>'Consolidated P&amp;L'!C27/'Consolidated P&amp;L'!C6</f>
        <v>0.1628145831914202</v>
      </c>
      <c r="D12" s="35">
        <f>'Consolidated P&amp;L'!D27/'Consolidated P&amp;L'!D6</f>
        <v>0.17829753092131112</v>
      </c>
      <c r="E12" s="35">
        <f>'Consolidated P&amp;L'!E27/'Consolidated P&amp;L'!E6</f>
        <v>9.578260077874455E-2</v>
      </c>
      <c r="F12" s="35">
        <f>'Consolidated P&amp;L'!F27/'Consolidated P&amp;L'!F6</f>
        <v>0.17794584018403095</v>
      </c>
      <c r="G12" s="35">
        <f>'Consolidated P&amp;L'!G27/'Consolidated P&amp;L'!G6</f>
        <v>0.17574997700139774</v>
      </c>
      <c r="H12" s="35"/>
      <c r="I12" s="35">
        <f>AVERAGE(B12:G12)</f>
        <v>0.15559536183558356</v>
      </c>
      <c r="J12" s="35">
        <f>MEDIAN(B12:G12)</f>
        <v>0.16928228009640897</v>
      </c>
    </row>
    <row r="13" spans="1:10" ht="14.25" customHeight="1" x14ac:dyDescent="0.3">
      <c r="A13" s="34" t="s">
        <v>2417</v>
      </c>
      <c r="B13" s="35">
        <f>('Consolidated P&amp;L'!B33-'Consolidated P&amp;L'!B44)/'Consolidated P&amp;L'!B6</f>
        <v>7.729614755262687E-2</v>
      </c>
      <c r="C13" s="35">
        <f>Assumptions!B17/'Consolidated P&amp;L'!C6</f>
        <v>9.6484891400247269E-2</v>
      </c>
      <c r="D13" s="35">
        <f>Assumptions!C17/'Consolidated P&amp;L'!D6</f>
        <v>9.5989499217343704E-2</v>
      </c>
      <c r="E13" s="35">
        <f>Assumptions!D17/'Consolidated P&amp;L'!E6</f>
        <v>6.6348152388613094E-2</v>
      </c>
      <c r="F13" s="35">
        <f>Assumptions!E17/'Consolidated P&amp;L'!F6</f>
        <v>0.10786576693836242</v>
      </c>
      <c r="G13" s="35">
        <f>Assumptions!F17/'Consolidated P&amp;L'!G6</f>
        <v>0.12367105173350113</v>
      </c>
      <c r="H13" s="35"/>
      <c r="I13" s="35">
        <f>AVERAGE(B13:G13)</f>
        <v>9.4609251538449082E-2</v>
      </c>
      <c r="J13" s="35">
        <f>MEDIAN(B13:G13)</f>
        <v>9.6237195308795487E-2</v>
      </c>
    </row>
    <row r="14" spans="1:10" ht="14.25" customHeight="1" x14ac:dyDescent="0.3">
      <c r="A14" s="2"/>
      <c r="B14" s="36"/>
      <c r="C14" s="36"/>
      <c r="D14" s="36"/>
      <c r="E14" s="36"/>
      <c r="F14" s="36"/>
      <c r="G14" s="2"/>
      <c r="H14" s="36"/>
      <c r="I14" s="37"/>
      <c r="J14" s="37"/>
    </row>
    <row r="15" spans="1:10" ht="14.25" customHeight="1" x14ac:dyDescent="0.3">
      <c r="A15" s="34" t="s">
        <v>2418</v>
      </c>
      <c r="B15" s="35">
        <f>'Consolidated P&amp;L'!B22/'Consolidated P&amp;L'!B6</f>
        <v>0.87918187838862438</v>
      </c>
      <c r="C15" s="35">
        <f>'Consolidated P&amp;L'!C22/'Consolidated P&amp;L'!C6</f>
        <v>0.84893358138730479</v>
      </c>
      <c r="D15" s="35">
        <f>'Consolidated P&amp;L'!D22/'Consolidated P&amp;L'!D6</f>
        <v>0.83041008152468487</v>
      </c>
      <c r="E15" s="35">
        <f>'Consolidated P&amp;L'!E22/'Consolidated P&amp;L'!E6</f>
        <v>0.91568951201465554</v>
      </c>
      <c r="F15" s="35">
        <f>'Consolidated P&amp;L'!F22/'Consolidated P&amp;L'!F6</f>
        <v>0.86430039650611401</v>
      </c>
      <c r="G15" s="35">
        <f>'Consolidated P&amp;L'!G22/'Consolidated P&amp;L'!G6</f>
        <v>0.94274653759752158</v>
      </c>
      <c r="H15" s="35"/>
      <c r="I15" s="35">
        <f>AVERAGE(B15:G15)</f>
        <v>0.88021033123648429</v>
      </c>
      <c r="J15" s="35">
        <f>MEDIAN(B15:G15)</f>
        <v>0.87174113744736914</v>
      </c>
    </row>
    <row r="16" spans="1:10" ht="14.25" customHeight="1" x14ac:dyDescent="0.3">
      <c r="A16" s="34" t="s">
        <v>2419</v>
      </c>
      <c r="B16" s="35">
        <f>'Consolidated P&amp;L'!B16/'Consolidated P&amp;L'!B6</f>
        <v>4.2522842948617433E-2</v>
      </c>
      <c r="C16" s="35">
        <f>'Consolidated P&amp;L'!C16/'Consolidated P&amp;L'!C6</f>
        <v>4.7388315548472705E-2</v>
      </c>
      <c r="D16" s="35">
        <f>'Consolidated P&amp;L'!D16/'Consolidated P&amp;L'!D6</f>
        <v>3.9788423867599551E-2</v>
      </c>
      <c r="E16" s="35">
        <f>'Consolidated P&amp;L'!E16/'Consolidated P&amp;L'!E6</f>
        <v>4.2239225744747352E-2</v>
      </c>
      <c r="F16" s="35">
        <f>'Consolidated P&amp;L'!F16/'Consolidated P&amp;L'!F6</f>
        <v>4.8956502543453434E-2</v>
      </c>
      <c r="G16" s="35">
        <f>'Consolidated P&amp;L'!G16/'Consolidated P&amp;L'!G6</f>
        <v>7.3546265768880376E-2</v>
      </c>
      <c r="H16" s="35"/>
      <c r="I16" s="35">
        <f>AVERAGE(B16:G16)</f>
        <v>4.9073596070295149E-2</v>
      </c>
      <c r="J16" s="35">
        <f>MEDIAN(B16:G16)</f>
        <v>4.4955579248545069E-2</v>
      </c>
    </row>
    <row r="17" spans="1:10" ht="14.25" customHeight="1" x14ac:dyDescent="0.3">
      <c r="A17" s="34" t="s">
        <v>2420</v>
      </c>
      <c r="B17" s="35">
        <f>('Consolidated P&amp;L'!B6-'Consolidated P&amp;L'!B22+'Consolidated P&amp;L'!B15)/'Consolidated P&amp;L'!B6</f>
        <v>0.12708556628190767</v>
      </c>
      <c r="C17" s="35">
        <f>Assumptions!B11/'Consolidated P&amp;L'!C6</f>
        <v>0.15588283161684721</v>
      </c>
      <c r="D17" s="35">
        <f>Assumptions!C11/'Consolidated P&amp;L'!D6</f>
        <v>0.17307786584435395</v>
      </c>
      <c r="E17" s="35">
        <f>Assumptions!D11/'Consolidated P&amp;L'!E6</f>
        <v>8.8111496947764156E-2</v>
      </c>
      <c r="F17" s="35">
        <f>Assumptions!E11/'Consolidated P&amp;L'!F6</f>
        <v>0.14360137806079915</v>
      </c>
      <c r="G17" s="35">
        <f>Assumptions!F11/'Consolidated P&amp;L'!G6</f>
        <v>6.3041988028856438E-2</v>
      </c>
      <c r="H17" s="35"/>
      <c r="I17" s="35">
        <f>AVERAGE(B17:G17)</f>
        <v>0.1251335211300881</v>
      </c>
      <c r="J17" s="35">
        <f>MEDIAN(B17:G17)</f>
        <v>0.1353434721713534</v>
      </c>
    </row>
    <row r="18" spans="1:10" ht="14.25" customHeight="1" x14ac:dyDescent="0.3">
      <c r="A18" s="2"/>
      <c r="B18" s="36"/>
      <c r="C18" s="36"/>
      <c r="D18" s="36"/>
      <c r="E18" s="36"/>
      <c r="F18" s="36"/>
      <c r="G18" s="2"/>
      <c r="H18" s="36"/>
      <c r="I18" s="37"/>
      <c r="J18" s="37"/>
    </row>
    <row r="19" spans="1:10" ht="14.25" customHeight="1" x14ac:dyDescent="0.3">
      <c r="A19" s="34" t="s">
        <v>2421</v>
      </c>
      <c r="B19" s="35">
        <f>('Consolidated P&amp;L'!B6-'Consolidated P&amp;L'!B22+'Consolidated P&amp;L'!B15)/('Consolidated Balance sheet'!B35-'Consolidated Balance sheet'!B65)</f>
        <v>0.11071183718966582</v>
      </c>
      <c r="C19" s="35">
        <f>Assumptions!B11/('Consolidated Balance sheet'!C35-'Consolidated Balance sheet'!C65)</f>
        <v>0.1254633079779254</v>
      </c>
      <c r="D19" s="35">
        <f>Assumptions!C11/('Consolidated Balance sheet'!D35-'Consolidated Balance sheet'!D65)</f>
        <v>0.14753884634185607</v>
      </c>
      <c r="E19" s="35">
        <f>Assumptions!D11/('Consolidated Balance sheet'!E35-'Consolidated Balance sheet'!E65)</f>
        <v>8.5326748871300831E-2</v>
      </c>
      <c r="F19" s="35">
        <f>Assumptions!E11/('Consolidated Balance sheet'!F35-'Consolidated Balance sheet'!F65)</f>
        <v>8.9559259514908382E-2</v>
      </c>
      <c r="G19" s="35">
        <f>Assumptions!F11/('Consolidated Balance sheet'!G35-'Consolidated Balance sheet'!G65)</f>
        <v>3.1659690775653927E-2</v>
      </c>
      <c r="H19" s="35"/>
      <c r="I19" s="35">
        <f>AVERAGE(B19:G19)</f>
        <v>9.8376615111885057E-2</v>
      </c>
      <c r="J19" s="35">
        <f>MEDIAN(B19:G19)</f>
        <v>0.10013554835228711</v>
      </c>
    </row>
    <row r="20" spans="1:10" ht="14.25" customHeight="1" x14ac:dyDescent="0.3">
      <c r="A20" s="34" t="s">
        <v>2422</v>
      </c>
      <c r="B20" s="35"/>
      <c r="C20" s="35">
        <f>(Assumptions!B17+('Consolidated Cash Flow'!B83))/Assumptions!B17</f>
        <v>-0.54922974161255411</v>
      </c>
      <c r="D20" s="35">
        <f>(Assumptions!C17+('Consolidated Cash Flow'!C83))/Assumptions!C17</f>
        <v>0.92731209403031245</v>
      </c>
      <c r="E20" s="35">
        <f>(Assumptions!D17+('Consolidated Cash Flow'!D83))/Assumptions!D17</f>
        <v>0.51559185569404653</v>
      </c>
      <c r="F20" s="35">
        <f>(Assumptions!E17+('Consolidated Cash Flow'!E83))/Assumptions!E17</f>
        <v>0.86121354622440793</v>
      </c>
      <c r="G20" s="35">
        <f>(Assumptions!F17+('Consolidated Cash Flow'!F83))/Assumptions!F17</f>
        <v>0.88179045598846284</v>
      </c>
      <c r="H20" s="35"/>
      <c r="I20" s="35">
        <f>AVERAGE(C20:G20)</f>
        <v>0.52733564206493511</v>
      </c>
      <c r="J20" s="35">
        <f>MEDIAN(C20:G20)</f>
        <v>0.86121354622440793</v>
      </c>
    </row>
    <row r="21" spans="1:10" ht="14.25" customHeight="1" x14ac:dyDescent="0.3">
      <c r="A21" s="34" t="s">
        <v>2423</v>
      </c>
      <c r="B21" s="35">
        <f>('Consolidated P&amp;L'!B33-'Consolidated P&amp;L'!B44)/'Consolidated Balance sheet'!B41</f>
        <v>8.7008923917652595E-2</v>
      </c>
      <c r="C21" s="35">
        <f>Assumptions!B17/'Consolidated Balance sheet'!C41</f>
        <v>0.10394066158118608</v>
      </c>
      <c r="D21" s="35">
        <f>Assumptions!C17/'Consolidated Balance sheet'!D41</f>
        <v>0.10966350526588976</v>
      </c>
      <c r="E21" s="35">
        <f>Assumptions!D17/'Consolidated Balance sheet'!E41</f>
        <v>8.1499895893142188E-2</v>
      </c>
      <c r="F21" s="35">
        <f>Assumptions!E17/'Consolidated Balance sheet'!F41</f>
        <v>8.6281143966502521E-2</v>
      </c>
      <c r="G21" s="35">
        <f>Assumptions!F17/'Consolidated Balance sheet'!G41</f>
        <v>7.7978603471907118E-2</v>
      </c>
      <c r="H21" s="35"/>
      <c r="I21" s="35">
        <f>AVERAGE(B21:G21)</f>
        <v>9.1062122349380048E-2</v>
      </c>
      <c r="J21" s="35">
        <f>MEDIAN(B21:G21)</f>
        <v>8.6645033942077565E-2</v>
      </c>
    </row>
    <row r="22" spans="1:10" ht="14.25" customHeight="1" x14ac:dyDescent="0.3">
      <c r="A22" s="34" t="s">
        <v>2424</v>
      </c>
      <c r="B22" s="35"/>
      <c r="C22" s="35">
        <f>C21*C20</f>
        <v>-5.7087302703272759E-2</v>
      </c>
      <c r="D22" s="35">
        <f>D21*D20</f>
        <v>0.10169229470681643</v>
      </c>
      <c r="E22" s="35">
        <f>E21*E20</f>
        <v>4.2020682562416783E-2</v>
      </c>
      <c r="F22" s="35">
        <f>F21*F20</f>
        <v>7.430648996769032E-2</v>
      </c>
      <c r="G22" s="35">
        <f>G21*G20</f>
        <v>6.876078831283651E-2</v>
      </c>
      <c r="H22" s="35"/>
      <c r="I22" s="35">
        <f>AVERAGE(C22:G22)</f>
        <v>4.5938590569297458E-2</v>
      </c>
      <c r="J22" s="35">
        <f>MEDIAN(C22:G22)</f>
        <v>6.876078831283651E-2</v>
      </c>
    </row>
    <row r="23" spans="1:10" ht="14.25" customHeight="1" x14ac:dyDescent="0.3">
      <c r="A23" s="34" t="s">
        <v>2425</v>
      </c>
      <c r="B23" s="38">
        <f>('Consolidated P&amp;L'!B6-'Consolidated P&amp;L'!B22+'Consolidated P&amp;L'!B15)/'Consolidated P&amp;L'!B15</f>
        <v>20.277094248542994</v>
      </c>
      <c r="C23" s="38">
        <f>Assumptions!B11/'Consolidated P&amp;L'!C15</f>
        <v>27.254671230922838</v>
      </c>
      <c r="D23" s="38">
        <f>Assumptions!C11/'Consolidated P&amp;L'!D15</f>
        <v>34.417685019909385</v>
      </c>
      <c r="E23" s="38">
        <f>Assumptions!D11/'Consolidated P&amp;L'!E15</f>
        <v>17.602873268342744</v>
      </c>
      <c r="F23" s="38">
        <f>Assumptions!E11/'Consolidated P&amp;L'!F15</f>
        <v>17.229068673565372</v>
      </c>
      <c r="G23" s="38">
        <f>Assumptions!F11/'Consolidated P&amp;L'!G15</f>
        <v>9.8377790126886886</v>
      </c>
      <c r="H23" s="35"/>
      <c r="I23" s="38">
        <f>AVERAGE(B23:G23)</f>
        <v>21.10319524232867</v>
      </c>
      <c r="J23" s="38">
        <f>MEDIAN(B23:G23)</f>
        <v>18.939983758442871</v>
      </c>
    </row>
    <row r="24" spans="1:10" ht="14.25" customHeight="1" x14ac:dyDescent="0.3">
      <c r="A24" s="2"/>
      <c r="B24" s="36"/>
      <c r="C24" s="36"/>
      <c r="D24" s="36"/>
      <c r="E24" s="36"/>
      <c r="F24" s="36"/>
      <c r="G24" s="2"/>
      <c r="H24" s="36"/>
      <c r="I24" s="37"/>
      <c r="J24" s="37"/>
    </row>
    <row r="25" spans="1:10" ht="14.25" customHeight="1" x14ac:dyDescent="0.3">
      <c r="A25" s="34" t="s">
        <v>2426</v>
      </c>
      <c r="B25" s="39">
        <f>'Consolidated P&amp;L'!B6/'Consolidated Balance sheet'!B25</f>
        <v>25.364556038032493</v>
      </c>
      <c r="C25" s="39">
        <f>'Consolidated P&amp;L'!C6/'Consolidated Balance sheet'!C25</f>
        <v>43.690713381925754</v>
      </c>
      <c r="D25" s="39">
        <f>'Consolidated P&amp;L'!D6/'Consolidated Balance sheet'!D25</f>
        <v>44.849975999876122</v>
      </c>
      <c r="E25" s="39">
        <f>'Consolidated P&amp;L'!E6/'Consolidated Balance sheet'!E25</f>
        <v>33.730404726428496</v>
      </c>
      <c r="F25" s="39">
        <f>'Consolidated P&amp;L'!F6/'Consolidated Balance sheet'!F25</f>
        <v>27.333729000774845</v>
      </c>
      <c r="G25" s="39">
        <f>'Consolidated P&amp;L'!G6/'Consolidated Balance sheet'!G25</f>
        <v>21.18952398918443</v>
      </c>
      <c r="H25" s="39"/>
      <c r="I25" s="39">
        <f>AVERAGE(B25:G25)</f>
        <v>32.693150522703689</v>
      </c>
      <c r="J25" s="39">
        <f>MEDIAN(B25:G25)</f>
        <v>30.532066863601671</v>
      </c>
    </row>
    <row r="26" spans="1:10" ht="14.25" customHeight="1" x14ac:dyDescent="0.3">
      <c r="A26" s="34" t="s">
        <v>2427</v>
      </c>
      <c r="B26" s="39">
        <f>'Consolidated P&amp;L'!B6/('Consolidated Balance sheet'!B59+'Consolidated Balance sheet'!B60)</f>
        <v>11.618064366791261</v>
      </c>
      <c r="C26" s="39">
        <f>'Consolidated P&amp;L'!C6/('Consolidated Balance sheet'!C59+'Consolidated Balance sheet'!C60)</f>
        <v>11.076199167799908</v>
      </c>
      <c r="D26" s="39">
        <f>'Consolidated P&amp;L'!D6/('Consolidated Balance sheet'!D59+'Consolidated Balance sheet'!D60)</f>
        <v>9.9441297436848153</v>
      </c>
      <c r="E26" s="39">
        <f>'Consolidated P&amp;L'!E6/('Consolidated Balance sheet'!E59+'Consolidated Balance sheet'!E60)</f>
        <v>14.036875745788436</v>
      </c>
      <c r="F26" s="39">
        <f>'Consolidated P&amp;L'!F6/('Consolidated Balance sheet'!F59+'Consolidated Balance sheet'!F60)</f>
        <v>10.666550864495376</v>
      </c>
      <c r="G26" s="39">
        <f>'Consolidated P&amp;L'!G6/('Consolidated Balance sheet'!G59+'Consolidated Balance sheet'!G60)</f>
        <v>12.211700840019423</v>
      </c>
      <c r="H26" s="39"/>
      <c r="I26" s="39">
        <f>AVERAGE(B26:G26)</f>
        <v>11.592253454763203</v>
      </c>
      <c r="J26" s="39">
        <f>MEDIAN(B26:G26)</f>
        <v>11.347131767295584</v>
      </c>
    </row>
    <row r="27" spans="1:10" ht="14.25" customHeight="1" x14ac:dyDescent="0.3">
      <c r="A27" s="34" t="s">
        <v>2428</v>
      </c>
      <c r="B27" s="39">
        <f>IF('Consolidated Balance sheet'!B22=0,"",('Consolidated P&amp;L'!B6/'Consolidated Balance sheet'!B22))</f>
        <v>12.927999046029095</v>
      </c>
      <c r="C27" s="39">
        <f>IF('Consolidated Balance sheet'!C22=0,"",('Consolidated P&amp;L'!C6/'Consolidated Balance sheet'!C22))</f>
        <v>14.871082992636087</v>
      </c>
      <c r="D27" s="39">
        <f>IF('Consolidated Balance sheet'!D22=0,"",('Consolidated P&amp;L'!D6/'Consolidated Balance sheet'!D22))</f>
        <v>10.57890315700282</v>
      </c>
      <c r="E27" s="39">
        <f>IF('Consolidated Balance sheet'!E22=0,"",('Consolidated P&amp;L'!E6/'Consolidated Balance sheet'!E22))</f>
        <v>11.897197803708762</v>
      </c>
      <c r="F27" s="39">
        <f>IF('Consolidated Balance sheet'!F22=0,"",('Consolidated P&amp;L'!F6/'Consolidated Balance sheet'!F22))</f>
        <v>9.1891867924789725</v>
      </c>
      <c r="G27" s="39">
        <f>IF('Consolidated Balance sheet'!G22=0,"",'Consolidated P&amp;L'!G6/'Consolidated Balance sheet'!G22)</f>
        <v>7.9325849044611463</v>
      </c>
      <c r="H27" s="39"/>
      <c r="I27" s="39">
        <f>IFERROR(AVERAGE(B27:G27),"")</f>
        <v>11.23282578271948</v>
      </c>
      <c r="J27" s="39">
        <f>IFERROR(MEDIAN(B27:G27),"")</f>
        <v>11.238050480355792</v>
      </c>
    </row>
    <row r="28" spans="1:10" ht="14.25" customHeight="1" x14ac:dyDescent="0.3">
      <c r="A28" s="34" t="s">
        <v>2429</v>
      </c>
      <c r="B28" s="39">
        <f>'Consolidated P&amp;L'!B6/('Consolidated Balance sheet'!B6+'Consolidated Balance sheet'!B8)</f>
        <v>1.9140357418777125</v>
      </c>
      <c r="C28" s="39">
        <f>'Consolidated P&amp;L'!C6/('Consolidated Balance sheet'!C6+'Consolidated Balance sheet'!C8)</f>
        <v>1.7135535160244377</v>
      </c>
      <c r="D28" s="39">
        <f>'Consolidated P&amp;L'!D6/('Consolidated Balance sheet'!D6+'Consolidated Balance sheet'!D8)</f>
        <v>1.826520799557581</v>
      </c>
      <c r="E28" s="39">
        <f>'Consolidated P&amp;L'!E6/('Consolidated Balance sheet'!E6+'Consolidated Balance sheet'!E8)</f>
        <v>2.2565362829335123</v>
      </c>
      <c r="F28" s="39">
        <f>'Consolidated P&amp;L'!F6/('Consolidated Balance sheet'!F6+'Consolidated Balance sheet'!F8)</f>
        <v>1.4662597412704421</v>
      </c>
      <c r="G28" s="39">
        <f>'Consolidated P&amp;L'!G6/('Consolidated Balance sheet'!G6+'Consolidated Balance sheet'!G8)</f>
        <v>0.97740531356113347</v>
      </c>
      <c r="H28" s="39"/>
      <c r="I28" s="39">
        <f>AVERAGE(B28:G28)</f>
        <v>1.6923852325374698</v>
      </c>
      <c r="J28" s="39">
        <f>MEDIAN(B28:G28)</f>
        <v>1.7700371577910095</v>
      </c>
    </row>
    <row r="29" spans="1:10" ht="14.25" customHeight="1" x14ac:dyDescent="0.3">
      <c r="A29" s="34" t="s">
        <v>2430</v>
      </c>
      <c r="B29" s="39">
        <f>'Consolidated P&amp;L'!B6/('Consolidated Balance sheet'!B43+'Consolidated Balance sheet'!B47+IF(ISNUMBER('Consolidated Balance sheet'!B56),'Consolidated Balance sheet'!B56,0))</f>
        <v>0.90799071223714012</v>
      </c>
      <c r="C29" s="39">
        <f>'Consolidated P&amp;L'!C6/('Consolidated Balance sheet'!C43+'Consolidated Balance sheet'!C47+IF(ISNUMBER('Consolidated Balance sheet'!C56),'Consolidated Balance sheet'!C56,0))</f>
        <v>0.84126327246947619</v>
      </c>
      <c r="D29" s="39">
        <f>'Consolidated P&amp;L'!D6/('Consolidated Balance sheet'!D43+'Consolidated Balance sheet'!D47+IF(ISNUMBER('Consolidated Balance sheet'!D56),'Consolidated Balance sheet'!D56,0))</f>
        <v>0.89008726189045817</v>
      </c>
      <c r="E29" s="39">
        <f>'Consolidated P&amp;L'!E6/('Consolidated Balance sheet'!E43+'Consolidated Balance sheet'!E47+IF(ISNUMBER('Consolidated Balance sheet'!E56),'Consolidated Balance sheet'!E56,0))</f>
        <v>1.0034215315534942</v>
      </c>
      <c r="F29" s="39">
        <f>'Consolidated P&amp;L'!F6/('Consolidated Balance sheet'!F43+'Consolidated Balance sheet'!F47+IF(ISNUMBER('Consolidated Balance sheet'!F56),'Consolidated Balance sheet'!F56,0))</f>
        <v>0.65168815793507717</v>
      </c>
      <c r="G29" s="39">
        <f>'Consolidated P&amp;L'!G6/('Consolidated Balance sheet'!G43+'Consolidated Balance sheet'!G47+IF(ISNUMBER('Consolidated Balance sheet'!G56),'Consolidated Balance sheet'!G56,0))</f>
        <v>0.52786073049632942</v>
      </c>
      <c r="H29" s="39"/>
      <c r="I29" s="39">
        <f>AVERAGE(B29:G29)</f>
        <v>0.80371861109699594</v>
      </c>
      <c r="J29" s="39">
        <f>MEDIAN(B29:G29)</f>
        <v>0.86567526717996723</v>
      </c>
    </row>
    <row r="30" spans="1:10" ht="14.25" customHeight="1" x14ac:dyDescent="0.3">
      <c r="A30" s="2"/>
      <c r="B30" s="36"/>
      <c r="C30" s="36"/>
      <c r="D30" s="36"/>
      <c r="E30" s="36"/>
      <c r="F30" s="36"/>
      <c r="G30" s="2"/>
      <c r="H30" s="36"/>
      <c r="I30" s="37"/>
      <c r="J30" s="37"/>
    </row>
    <row r="31" spans="1:10" ht="14.25" customHeight="1" x14ac:dyDescent="0.3">
      <c r="A31" s="34" t="s">
        <v>2431</v>
      </c>
      <c r="B31" s="36"/>
      <c r="C31" s="36"/>
      <c r="D31" s="36"/>
      <c r="E31" s="36"/>
      <c r="F31" s="36"/>
      <c r="G31" s="2"/>
      <c r="H31" s="36"/>
      <c r="I31" s="37"/>
      <c r="J31" s="37"/>
    </row>
    <row r="32" spans="1:10" ht="14.25" customHeight="1" x14ac:dyDescent="0.3">
      <c r="A32" s="34" t="s">
        <v>2432</v>
      </c>
      <c r="B32" s="39">
        <f>'Consolidated Balance sheet'!B25/'Consolidated P&amp;L'!B6*365</f>
        <v>14.390159222684851</v>
      </c>
      <c r="C32" s="39">
        <f>'Consolidated Balance sheet'!C25/'Consolidated P&amp;L'!C6*365</f>
        <v>8.3541780792024198</v>
      </c>
      <c r="D32" s="39">
        <f>'Consolidated Balance sheet'!D25/'Consolidated P&amp;L'!D6*365</f>
        <v>8.1382429279562629</v>
      </c>
      <c r="E32" s="39">
        <f>'Consolidated Balance sheet'!E25/'Consolidated P&amp;L'!E6*365</f>
        <v>10.821097551610896</v>
      </c>
      <c r="F32" s="39">
        <f>'Consolidated Balance sheet'!F25/'Consolidated P&amp;L'!F6*365</f>
        <v>13.353465236655165</v>
      </c>
      <c r="G32" s="39">
        <f>'Consolidated Balance sheet'!G25/'Consolidated P&amp;L'!G6*365</f>
        <v>17.225493134546273</v>
      </c>
      <c r="H32" s="39"/>
      <c r="I32" s="39">
        <f>AVERAGE(B32:G32)</f>
        <v>12.047106025442645</v>
      </c>
      <c r="J32" s="39">
        <f>MEDIAN(B32:G32)</f>
        <v>12.087281394133029</v>
      </c>
    </row>
    <row r="33" spans="1:10" ht="14.25" customHeight="1" x14ac:dyDescent="0.3">
      <c r="A33" s="34" t="s">
        <v>2433</v>
      </c>
      <c r="B33" s="39">
        <f>('Consolidated Balance sheet'!B59+'Consolidated Balance sheet'!B60)/'Consolidated P&amp;L'!B6*365</f>
        <v>31.416593029326421</v>
      </c>
      <c r="C33" s="39">
        <f>('Consolidated Balance sheet'!C59+'Consolidated Balance sheet'!C60)/'Consolidated P&amp;L'!C6*365</f>
        <v>32.953542498685572</v>
      </c>
      <c r="D33" s="39">
        <f>('Consolidated Balance sheet'!D59+'Consolidated Balance sheet'!D60)/'Consolidated P&amp;L'!D6*365</f>
        <v>36.705072179071209</v>
      </c>
      <c r="E33" s="39">
        <f>('Consolidated Balance sheet'!E59+'Consolidated Balance sheet'!E60)/'Consolidated P&amp;L'!E6*365</f>
        <v>26.00293730672319</v>
      </c>
      <c r="F33" s="39">
        <f>('Consolidated Balance sheet'!F59+'Consolidated Balance sheet'!F60)/'Consolidated P&amp;L'!F6*365</f>
        <v>34.219121498303359</v>
      </c>
      <c r="G33" s="39">
        <f>('Consolidated Balance sheet'!G59+'Consolidated Balance sheet'!G60)/'Consolidated P&amp;L'!G6*365</f>
        <v>29.889366336574902</v>
      </c>
      <c r="H33" s="39"/>
      <c r="I33" s="39">
        <f>AVERAGE(B33:G33)</f>
        <v>31.864438808114112</v>
      </c>
      <c r="J33" s="39">
        <f>MEDIAN(B33:G33)</f>
        <v>32.185067764005993</v>
      </c>
    </row>
    <row r="34" spans="1:10" ht="14.25" customHeight="1" x14ac:dyDescent="0.3">
      <c r="A34" s="34" t="s">
        <v>2397</v>
      </c>
      <c r="B34" s="39">
        <f>IF('Consolidated Balance sheet'!B22=0,0,'Consolidated Balance sheet'!B22/'Consolidated P&amp;L'!B6*365)</f>
        <v>28.2332941625728</v>
      </c>
      <c r="C34" s="39">
        <f>IF('Consolidated Balance sheet'!C22=0,0,'Consolidated Balance sheet'!C22/'Consolidated P&amp;L'!C6*365)</f>
        <v>24.544278327324374</v>
      </c>
      <c r="D34" s="39">
        <f>IF('Consolidated Balance sheet'!D22=0,0,'Consolidated Balance sheet'!D22/'Consolidated P&amp;L'!D6*365)</f>
        <v>34.502631755200852</v>
      </c>
      <c r="E34" s="39">
        <f>IF('Consolidated Balance sheet'!E22=0,0,'Consolidated Balance sheet'!E22/'Consolidated P&amp;L'!E6*365)</f>
        <v>30.679493274140324</v>
      </c>
      <c r="F34" s="39">
        <f>IF('Consolidated Balance sheet'!F22=0,0,'Consolidated Balance sheet'!F22/'Consolidated P&amp;L'!F6*365)</f>
        <v>39.720598595159665</v>
      </c>
      <c r="G34" s="39">
        <f>IF('Consolidated Balance sheet'!G22=0,0,'Consolidated Balance sheet'!G22/'Consolidated P&amp;L'!G6*365)</f>
        <v>46.012744193223881</v>
      </c>
      <c r="H34" s="39"/>
      <c r="I34" s="39">
        <f>AVERAGE(B34:G34)</f>
        <v>33.948840051270317</v>
      </c>
      <c r="J34" s="39">
        <f>MEDIAN(B34:G34)</f>
        <v>32.59106251467059</v>
      </c>
    </row>
    <row r="35" spans="1:10" ht="14.25" customHeight="1" x14ac:dyDescent="0.3">
      <c r="A35" s="34" t="s">
        <v>2399</v>
      </c>
      <c r="B35" s="39">
        <f t="shared" ref="B35:G35" si="0">B32+B34-B33</f>
        <v>11.206860355931227</v>
      </c>
      <c r="C35" s="39">
        <f t="shared" si="0"/>
        <v>-5.5086092158781241E-2</v>
      </c>
      <c r="D35" s="39">
        <f t="shared" si="0"/>
        <v>5.9358025040859062</v>
      </c>
      <c r="E35" s="39">
        <f t="shared" si="0"/>
        <v>15.497653519028027</v>
      </c>
      <c r="F35" s="39">
        <f t="shared" si="0"/>
        <v>18.854942333511467</v>
      </c>
      <c r="G35" s="39">
        <f t="shared" si="0"/>
        <v>33.348870991195248</v>
      </c>
      <c r="H35" s="39"/>
      <c r="I35" s="39">
        <f>AVERAGE(B35:G35)</f>
        <v>14.131507268598847</v>
      </c>
      <c r="J35" s="39">
        <f>MEDIAN(B35:G35)</f>
        <v>13.352256937479627</v>
      </c>
    </row>
    <row r="36" spans="1:10" ht="14.25" customHeight="1" x14ac:dyDescent="0.3">
      <c r="A36" s="2"/>
      <c r="B36" s="36"/>
      <c r="C36" s="36"/>
      <c r="D36" s="36"/>
      <c r="E36" s="36"/>
      <c r="F36" s="36"/>
      <c r="G36" s="2"/>
      <c r="H36" s="36"/>
      <c r="I36" s="37"/>
      <c r="J36" s="37"/>
    </row>
    <row r="37" spans="1:10" ht="14.25" customHeight="1" x14ac:dyDescent="0.3">
      <c r="A37" s="34" t="s">
        <v>2434</v>
      </c>
      <c r="B37" s="35"/>
      <c r="C37" s="38">
        <f>'Consolidated Cash Flow'!B48/'Consolidated P&amp;L'!C6</f>
        <v>0.19710949956702048</v>
      </c>
      <c r="D37" s="38">
        <f>'Consolidated Cash Flow'!C48/'Consolidated P&amp;L'!D6</f>
        <v>0.18329279079289609</v>
      </c>
      <c r="E37" s="38">
        <f>'Consolidated Cash Flow'!D48/'Consolidated P&amp;L'!E6</f>
        <v>1.8874577747712139E-2</v>
      </c>
      <c r="F37" s="38">
        <f>'Consolidated Cash Flow'!E48/'Consolidated P&amp;L'!F6</f>
        <v>0.17026180018842182</v>
      </c>
      <c r="G37" s="38">
        <f>'Consolidated Cash Flow'!F48/'Consolidated P&amp;L'!G6</f>
        <v>6.6394739106823322E-2</v>
      </c>
      <c r="H37" s="35"/>
      <c r="I37" s="35">
        <f>AVERAGE(C37:G37)</f>
        <v>0.12718668148057477</v>
      </c>
      <c r="J37" s="35">
        <f>MEDIAN(C37:G37)</f>
        <v>0.17026180018842182</v>
      </c>
    </row>
    <row r="38" spans="1:10" ht="14.25" customHeight="1" x14ac:dyDescent="0.3">
      <c r="A38" s="34" t="s">
        <v>2435</v>
      </c>
      <c r="B38" s="35"/>
      <c r="C38" s="38">
        <f>'Consolidated Cash Flow'!B48/'Consolidated Balance sheet'!C35</f>
        <v>0.12165873209686638</v>
      </c>
      <c r="D38" s="38">
        <f>'Consolidated Cash Flow'!C48/'Consolidated Balance sheet'!D35</f>
        <v>0.11744037685965623</v>
      </c>
      <c r="E38" s="38">
        <f>'Consolidated Cash Flow'!D48/'Consolidated Balance sheet'!E35</f>
        <v>1.420918899041133E-2</v>
      </c>
      <c r="F38" s="38">
        <f>'Consolidated Cash Flow'!E48/'Consolidated Balance sheet'!F35</f>
        <v>8.6462624091068294E-2</v>
      </c>
      <c r="G38" s="38">
        <f>'Consolidated Cash Flow'!F48/'Consolidated Balance sheet'!G35</f>
        <v>2.7640233090424765E-2</v>
      </c>
      <c r="H38" s="35"/>
      <c r="I38" s="35">
        <f>AVERAGE(C38:G38)</f>
        <v>7.3482231025685407E-2</v>
      </c>
      <c r="J38" s="35">
        <f>MEDIAN(C38:G38)</f>
        <v>8.6462624091068294E-2</v>
      </c>
    </row>
    <row r="39" spans="1:10" ht="14.25" customHeight="1" x14ac:dyDescent="0.3">
      <c r="A39" s="34" t="s">
        <v>2436</v>
      </c>
      <c r="B39" s="39"/>
      <c r="C39" s="38">
        <f>IF('Consolidated Balance sheet'!C47+IF(ISNUMBER('Consolidated Balance sheet'!C56),'Consolidated Balance sheet'!C56,0)=0,"",'Consolidated Cash Flow'!B48/('Consolidated Balance sheet'!C47+IF(ISNUMBER('Consolidated Balance sheet'!C56),'Consolidated Balance sheet'!C56,0)))</f>
        <v>110.8341743119266</v>
      </c>
      <c r="D39" s="38">
        <f>IF('Consolidated Balance sheet'!D47+IF(ISNUMBER('Consolidated Balance sheet'!D56),'Consolidated Balance sheet'!D56,0)=0,"",'Consolidated Cash Flow'!C48/('Consolidated Balance sheet'!D47+IF(ISNUMBER('Consolidated Balance sheet'!D56),'Consolidated Balance sheet'!D56,0)))</f>
        <v>122.04965517241379</v>
      </c>
      <c r="E39" s="38">
        <f>IF('Consolidated Balance sheet'!E47+'Consolidated Balance sheet'!E56=0,"",'Consolidated Cash Flow'!D48/('Consolidated Balance sheet'!E47+'Consolidated Balance sheet'!E56))</f>
        <v>15.403898553762312</v>
      </c>
      <c r="F39" s="38">
        <f>IF('Consolidated Balance sheet'!F47+'Consolidated Balance sheet'!F56=0,"",'Consolidated Cash Flow'!E48/('Consolidated Balance sheet'!F47+'Consolidated Balance sheet'!F56))</f>
        <v>153.50244698205546</v>
      </c>
      <c r="G39" s="38">
        <f>IF('Consolidated Balance sheet'!G47+'Consolidated Balance sheet'!G56=0,"",'Consolidated Cash Flow'!F48/('Consolidated Balance sheet'!G47+'Consolidated Balance sheet'!G56))</f>
        <v>83.420954511558534</v>
      </c>
      <c r="H39" s="39"/>
      <c r="I39" s="39">
        <f>IFERROR(AVERAGE(C39:G39),"")</f>
        <v>97.042225906343333</v>
      </c>
      <c r="J39" s="39">
        <f>IFERROR(MEDIAN(C39:G39),"")</f>
        <v>110.8341743119266</v>
      </c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40.33203125" style="1" customWidth="1"/>
    <col min="2" max="3" width="11.5546875" style="1" customWidth="1"/>
    <col min="4" max="6" width="11.88671875" style="1" customWidth="1"/>
  </cols>
  <sheetData>
    <row r="1" spans="1:6" ht="14.25" customHeight="1" x14ac:dyDescent="0.3">
      <c r="A1" s="323" t="s">
        <v>2437</v>
      </c>
      <c r="B1" s="324" t="s">
        <v>279</v>
      </c>
      <c r="C1" s="324" t="s">
        <v>280</v>
      </c>
      <c r="D1" s="324" t="s">
        <v>2438</v>
      </c>
      <c r="E1" s="324" t="s">
        <v>282</v>
      </c>
      <c r="F1" s="324" t="s">
        <v>283</v>
      </c>
    </row>
    <row r="2" spans="1:6" ht="14.25" customHeight="1" x14ac:dyDescent="0.3">
      <c r="A2" s="36" t="s">
        <v>2439</v>
      </c>
      <c r="B2" s="40">
        <f>'Consolidated Balance sheet'!B6</f>
        <v>12605.99</v>
      </c>
      <c r="C2" s="40">
        <f>B6</f>
        <v>11885.36</v>
      </c>
      <c r="D2" s="40">
        <f>C6</f>
        <v>13661.89</v>
      </c>
      <c r="E2" s="41">
        <f>D6</f>
        <v>14729.35</v>
      </c>
      <c r="F2" s="40">
        <f>E6</f>
        <v>19956.669999999998</v>
      </c>
    </row>
    <row r="3" spans="1:6" ht="14.25" customHeight="1" x14ac:dyDescent="0.3">
      <c r="A3" s="34" t="s">
        <v>2440</v>
      </c>
      <c r="B3" s="42">
        <f>B6+B5-B2</f>
        <v>441.15000000000146</v>
      </c>
      <c r="C3" s="40">
        <f>C6+C5-C2</f>
        <v>2929.0199999999986</v>
      </c>
      <c r="D3" s="40">
        <f>D6+D5-D2</f>
        <v>2712.130000000001</v>
      </c>
      <c r="E3" s="40">
        <f>E6+E5-E2</f>
        <v>6850.6999999999989</v>
      </c>
      <c r="F3" s="40">
        <f>F6+F5-F2</f>
        <v>7177.9600000000028</v>
      </c>
    </row>
    <row r="4" spans="1:6" ht="14.25" customHeight="1" x14ac:dyDescent="0.3">
      <c r="A4" s="34" t="s">
        <v>2441</v>
      </c>
      <c r="B4" s="40">
        <f>B2+B3</f>
        <v>13047.140000000001</v>
      </c>
      <c r="C4" s="40">
        <f>C2+C3</f>
        <v>14814.38</v>
      </c>
      <c r="D4" s="40">
        <f>D2+D3</f>
        <v>16374.02</v>
      </c>
      <c r="E4" s="40">
        <f>E2+E3</f>
        <v>21580.05</v>
      </c>
      <c r="F4" s="40">
        <f>F2+F3</f>
        <v>27134.63</v>
      </c>
    </row>
    <row r="5" spans="1:6" ht="14.25" customHeight="1" x14ac:dyDescent="0.3">
      <c r="A5" s="34" t="s">
        <v>2442</v>
      </c>
      <c r="B5" s="40">
        <f>Assumptions!B10</f>
        <v>1161.78</v>
      </c>
      <c r="C5" s="40">
        <f>Assumptions!C10</f>
        <v>1152.49</v>
      </c>
      <c r="D5" s="40">
        <f>Assumptions!D10</f>
        <v>1644.67</v>
      </c>
      <c r="E5" s="40">
        <f>Assumptions!E10</f>
        <v>1623.38</v>
      </c>
      <c r="F5" s="40">
        <f>Assumptions!F10</f>
        <v>2478.34</v>
      </c>
    </row>
    <row r="6" spans="1:6" ht="14.25" customHeight="1" x14ac:dyDescent="0.3">
      <c r="A6" s="36" t="s">
        <v>2443</v>
      </c>
      <c r="B6" s="40">
        <f>'Consolidated Balance sheet'!C6</f>
        <v>11885.36</v>
      </c>
      <c r="C6" s="40">
        <f>'Consolidated Balance sheet'!D6</f>
        <v>13661.89</v>
      </c>
      <c r="D6" s="40">
        <f>'Consolidated Balance sheet'!E6</f>
        <v>14729.35</v>
      </c>
      <c r="E6" s="40">
        <f>'Consolidated Balance sheet'!F6</f>
        <v>19956.669999999998</v>
      </c>
      <c r="F6" s="40">
        <f>'Consolidated Balance sheet'!G6</f>
        <v>24656.29</v>
      </c>
    </row>
    <row r="7" spans="1:6" ht="14.25" customHeight="1" x14ac:dyDescent="0.3">
      <c r="A7" s="3"/>
      <c r="B7" s="3"/>
      <c r="C7" s="3"/>
      <c r="D7" s="3"/>
      <c r="E7" s="3"/>
    </row>
    <row r="8" spans="1:6" ht="14.25" customHeight="1" x14ac:dyDescent="0.3">
      <c r="A8" s="34" t="s">
        <v>2444</v>
      </c>
      <c r="B8" s="43">
        <f>B3-B5</f>
        <v>-720.62999999999852</v>
      </c>
      <c r="C8" s="44">
        <f>C3-C5</f>
        <v>1776.5299999999986</v>
      </c>
      <c r="D8" s="44">
        <f>D3-D5</f>
        <v>1067.4600000000009</v>
      </c>
      <c r="E8" s="44">
        <f>E3-E5</f>
        <v>5227.3199999999988</v>
      </c>
      <c r="F8" s="44">
        <f>F3-F5</f>
        <v>4699.6200000000026</v>
      </c>
    </row>
    <row r="9" spans="1:6" ht="14.25" customHeight="1" x14ac:dyDescent="0.3">
      <c r="A9" s="36" t="s">
        <v>2445</v>
      </c>
      <c r="B9" s="35">
        <f>B8/Assumptions!B3</f>
        <v>-2.9394069302015713E-2</v>
      </c>
      <c r="C9" s="45">
        <f>C8/Assumptions!C3</f>
        <v>6.1332704538439878E-2</v>
      </c>
      <c r="D9" s="45">
        <f>D8/Assumptions!D3</f>
        <v>2.741503396638113E-2</v>
      </c>
      <c r="E9" s="45">
        <f>E8/Assumptions!E3</f>
        <v>0.15764103590991937</v>
      </c>
      <c r="F9" s="45">
        <f>F8/Assumptions!F3</f>
        <v>0.13946411772910328</v>
      </c>
    </row>
    <row r="10" spans="1:6" ht="14.25" customHeight="1" x14ac:dyDescent="0.3">
      <c r="A10" s="3"/>
      <c r="B10" s="3"/>
      <c r="C10" s="3"/>
      <c r="D10" s="3"/>
      <c r="E10" s="3"/>
    </row>
    <row r="11" spans="1:6" ht="14.25" customHeight="1" x14ac:dyDescent="0.3">
      <c r="A11" s="36" t="s">
        <v>2446</v>
      </c>
      <c r="B11" s="46">
        <f>MEDIAN(B9:F9)</f>
        <v>6.1332704538439878E-2</v>
      </c>
      <c r="C11" s="45"/>
      <c r="D11" s="3"/>
      <c r="E11" s="3"/>
    </row>
    <row r="12" spans="1:6" ht="14.25" customHeight="1" x14ac:dyDescent="0.3">
      <c r="A12" s="36" t="s">
        <v>2447</v>
      </c>
      <c r="B12" s="46">
        <f>AVERAGE(B9:F9)</f>
        <v>7.1291764568365584E-2</v>
      </c>
      <c r="C12" s="45"/>
      <c r="D12" s="3"/>
      <c r="E12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46" style="1" customWidth="1"/>
    <col min="2" max="3" width="11.5546875" style="1" customWidth="1"/>
    <col min="4" max="6" width="11.88671875" style="1" customWidth="1"/>
  </cols>
  <sheetData>
    <row r="1" spans="1:6" ht="14.25" customHeight="1" x14ac:dyDescent="0.3">
      <c r="A1" s="323" t="s">
        <v>2437</v>
      </c>
      <c r="B1" s="324" t="s">
        <v>279</v>
      </c>
      <c r="C1" s="324" t="s">
        <v>280</v>
      </c>
      <c r="D1" s="324" t="s">
        <v>2438</v>
      </c>
      <c r="E1" s="324" t="s">
        <v>282</v>
      </c>
      <c r="F1" s="324" t="s">
        <v>283</v>
      </c>
    </row>
    <row r="2" spans="1:6" ht="14.25" customHeight="1" x14ac:dyDescent="0.3">
      <c r="A2" s="36" t="s">
        <v>2448</v>
      </c>
      <c r="B2" s="40">
        <f>'Consolidated Balance sheet'!C22</f>
        <v>1648.58</v>
      </c>
      <c r="C2" s="40">
        <f>'Consolidated Balance sheet'!D22</f>
        <v>2738.04</v>
      </c>
      <c r="D2" s="40">
        <f>'Consolidated Balance sheet'!E22</f>
        <v>3272.79</v>
      </c>
      <c r="E2" s="40">
        <f>'Consolidated Balance sheet'!F22</f>
        <v>3608.55</v>
      </c>
      <c r="F2" s="40">
        <f>'Consolidated Balance sheet'!G22</f>
        <v>4248.01</v>
      </c>
    </row>
    <row r="3" spans="1:6" ht="14.25" customHeight="1" x14ac:dyDescent="0.3">
      <c r="A3" s="36" t="s">
        <v>2449</v>
      </c>
      <c r="B3" s="40">
        <f>'Consolidated Balance sheet'!C25</f>
        <v>561.13</v>
      </c>
      <c r="C3" s="40">
        <f>'Consolidated Balance sheet'!D25</f>
        <v>645.83000000000004</v>
      </c>
      <c r="D3" s="40">
        <f>'Consolidated Balance sheet'!E25</f>
        <v>1154.3599999999999</v>
      </c>
      <c r="E3" s="40">
        <f>'Consolidated Balance sheet'!F25</f>
        <v>1213.1400000000001</v>
      </c>
      <c r="F3" s="40">
        <f>'Consolidated Balance sheet'!G25</f>
        <v>1590.3</v>
      </c>
    </row>
    <row r="4" spans="1:6" ht="14.25" customHeight="1" x14ac:dyDescent="0.3">
      <c r="A4" s="36" t="s">
        <v>2450</v>
      </c>
      <c r="B4" s="40">
        <f>'Consolidated Balance sheet'!C59+'Consolidated Balance sheet'!C60</f>
        <v>2213.4100000000003</v>
      </c>
      <c r="C4" s="40">
        <f>'Consolidated Balance sheet'!D59+'Consolidated Balance sheet'!D60</f>
        <v>2912.8199999999997</v>
      </c>
      <c r="D4" s="40">
        <f>'Consolidated Balance sheet'!E59+'Consolidated Balance sheet'!E60</f>
        <v>2773.91</v>
      </c>
      <c r="E4" s="40">
        <f>'Consolidated Balance sheet'!F59+'Consolidated Balance sheet'!F60</f>
        <v>3108.75</v>
      </c>
      <c r="F4" s="40">
        <f>'Consolidated Balance sheet'!G59+'Consolidated Balance sheet'!G60</f>
        <v>2759.46</v>
      </c>
    </row>
    <row r="5" spans="1:6" ht="14.25" customHeight="1" x14ac:dyDescent="0.3">
      <c r="A5" s="36" t="s">
        <v>2451</v>
      </c>
      <c r="B5" s="40">
        <f>B2+B3-B4</f>
        <v>-3.7000000000002728</v>
      </c>
      <c r="C5" s="40">
        <f>C2+C3-C4</f>
        <v>471.05000000000018</v>
      </c>
      <c r="D5" s="40">
        <f>D2+D3-D4</f>
        <v>1653.2399999999998</v>
      </c>
      <c r="E5" s="40">
        <f>E2+E3-E4</f>
        <v>1712.9400000000005</v>
      </c>
      <c r="F5" s="40">
        <f>F2+F3-F4</f>
        <v>3078.8500000000004</v>
      </c>
    </row>
    <row r="6" spans="1:6" ht="14.25" customHeight="1" x14ac:dyDescent="0.3">
      <c r="A6" s="34" t="s">
        <v>2452</v>
      </c>
      <c r="B6" s="40"/>
      <c r="C6" s="40">
        <f>C5-B5</f>
        <v>474.75000000000045</v>
      </c>
      <c r="D6" s="40">
        <f>D5-C5</f>
        <v>1182.1899999999996</v>
      </c>
      <c r="E6" s="40">
        <f>E5-D5</f>
        <v>59.700000000000728</v>
      </c>
      <c r="F6" s="40">
        <f>F5-E5</f>
        <v>1365.9099999999999</v>
      </c>
    </row>
    <row r="7" spans="1:6" ht="14.25" customHeight="1" x14ac:dyDescent="0.3">
      <c r="A7" s="36" t="s">
        <v>2453</v>
      </c>
      <c r="B7" s="33"/>
      <c r="C7" s="33">
        <f>C6/Assumptions!C3</f>
        <v>1.6390210961607393E-2</v>
      </c>
      <c r="D7" s="33">
        <f>D6/Assumptions!D3</f>
        <v>3.0361586387045947E-2</v>
      </c>
      <c r="E7" s="33">
        <f>E6/Assumptions!E3</f>
        <v>1.8003814275426612E-3</v>
      </c>
      <c r="F7" s="33">
        <f>F6/Assumptions!F3</f>
        <v>4.0534220436409606E-2</v>
      </c>
    </row>
    <row r="8" spans="1:6" ht="14.25" customHeight="1" x14ac:dyDescent="0.3">
      <c r="A8" s="3"/>
      <c r="B8" s="3"/>
      <c r="C8" s="3"/>
      <c r="D8" s="3"/>
      <c r="E8" s="3"/>
    </row>
    <row r="9" spans="1:6" ht="14.25" customHeight="1" x14ac:dyDescent="0.3">
      <c r="A9" s="36" t="s">
        <v>2454</v>
      </c>
      <c r="B9" s="46">
        <f>MEDIAN(B5:F5)/MEDIAN(Assumptions!B3:F3)</f>
        <v>4.9856994828653141E-2</v>
      </c>
      <c r="C9" s="45"/>
      <c r="D9" s="3"/>
      <c r="E9" s="3"/>
    </row>
    <row r="10" spans="1:6" ht="14.25" customHeight="1" x14ac:dyDescent="0.3">
      <c r="A10" s="36" t="s">
        <v>2455</v>
      </c>
      <c r="B10" s="46">
        <f>AVERAGE(B5:F5)/AVERAGE(Assumptions!B3:F3)</f>
        <v>4.3398754363494815E-2</v>
      </c>
      <c r="C10" s="45"/>
      <c r="D10" s="3"/>
      <c r="E10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39.88671875" style="1" customWidth="1"/>
    <col min="2" max="3" width="11.5546875" style="1" customWidth="1"/>
    <col min="4" max="6" width="11.88671875" style="1" customWidth="1"/>
  </cols>
  <sheetData>
    <row r="1" spans="1:6" ht="14.25" customHeight="1" x14ac:dyDescent="0.3">
      <c r="A1" s="323" t="s">
        <v>2437</v>
      </c>
      <c r="B1" s="324" t="s">
        <v>279</v>
      </c>
      <c r="C1" s="324" t="s">
        <v>280</v>
      </c>
      <c r="D1" s="324" t="s">
        <v>2438</v>
      </c>
      <c r="E1" s="324" t="s">
        <v>282</v>
      </c>
      <c r="F1" s="324" t="s">
        <v>283</v>
      </c>
    </row>
    <row r="2" spans="1:6" ht="14.25" customHeight="1" x14ac:dyDescent="0.3">
      <c r="A2" s="34" t="s">
        <v>2456</v>
      </c>
      <c r="B2" s="40">
        <f>Assumptions!B11</f>
        <v>3821.6500000000005</v>
      </c>
      <c r="C2" s="40">
        <f>Assumptions!C11</f>
        <v>5013.2800000000007</v>
      </c>
      <c r="D2" s="40">
        <f>Assumptions!D11</f>
        <v>3430.8000000000011</v>
      </c>
      <c r="E2" s="40">
        <f>Assumptions!E11</f>
        <v>4761.7699999999977</v>
      </c>
      <c r="F2" s="40">
        <f>Assumptions!F11</f>
        <v>2124.3699999999953</v>
      </c>
    </row>
    <row r="3" spans="1:6" ht="14.25" customHeight="1" x14ac:dyDescent="0.3">
      <c r="A3" s="36" t="s">
        <v>2457</v>
      </c>
      <c r="B3" s="40">
        <f>B2*Assumptions!$G$34</f>
        <v>778.2202364808312</v>
      </c>
      <c r="C3" s="40">
        <f>C2*Assumptions!$G$34</f>
        <v>1020.8773558919895</v>
      </c>
      <c r="D3" s="40">
        <f>D2*Assumptions!$G$34</f>
        <v>698.62964617859723</v>
      </c>
      <c r="E3" s="40">
        <f>E2*Assumptions!$G$34</f>
        <v>969.6612132108711</v>
      </c>
      <c r="F3" s="40">
        <f>F2*Assumptions!$G$34</f>
        <v>432.59527266305906</v>
      </c>
    </row>
    <row r="4" spans="1:6" ht="14.25" customHeight="1" x14ac:dyDescent="0.3">
      <c r="A4" s="34" t="s">
        <v>2458</v>
      </c>
      <c r="B4" s="40">
        <f>B2-B3</f>
        <v>3043.4297635191692</v>
      </c>
      <c r="C4" s="40">
        <f>C2-C3</f>
        <v>3992.4026441080114</v>
      </c>
      <c r="D4" s="40">
        <f>D2-D3</f>
        <v>2732.1703538214038</v>
      </c>
      <c r="E4" s="40">
        <f>E2-E3</f>
        <v>3792.1087867891265</v>
      </c>
      <c r="F4" s="40">
        <f>F2-F3</f>
        <v>1691.7747273369364</v>
      </c>
    </row>
    <row r="5" spans="1:6" ht="14.25" customHeight="1" x14ac:dyDescent="0.3">
      <c r="A5" s="36" t="s">
        <v>2459</v>
      </c>
      <c r="B5" s="40"/>
      <c r="C5" s="40">
        <f>'Fixed Asset Scheduled'!C8</f>
        <v>1776.5299999999986</v>
      </c>
      <c r="D5" s="40">
        <f>'Fixed Asset Scheduled'!D8</f>
        <v>1067.4600000000009</v>
      </c>
      <c r="E5" s="40">
        <f>'Fixed Asset Scheduled'!E8</f>
        <v>5227.3199999999988</v>
      </c>
      <c r="F5" s="40">
        <f>'Fixed Asset Scheduled'!F8</f>
        <v>4699.6200000000026</v>
      </c>
    </row>
    <row r="6" spans="1:6" ht="14.25" customHeight="1" x14ac:dyDescent="0.3">
      <c r="A6" s="36" t="s">
        <v>2460</v>
      </c>
      <c r="B6" s="40"/>
      <c r="C6" s="40">
        <f>'Change in working capital'!C6</f>
        <v>474.75000000000045</v>
      </c>
      <c r="D6" s="40">
        <f>'Change in working capital'!D6</f>
        <v>1182.1899999999996</v>
      </c>
      <c r="E6" s="40">
        <f>'Change in working capital'!E6</f>
        <v>59.700000000000728</v>
      </c>
      <c r="F6" s="40">
        <f>'Change in working capital'!F6</f>
        <v>1365.9099999999999</v>
      </c>
    </row>
    <row r="7" spans="1:6" ht="14.25" customHeight="1" x14ac:dyDescent="0.3">
      <c r="A7" s="36" t="s">
        <v>2461</v>
      </c>
      <c r="B7" s="40"/>
      <c r="C7" s="40">
        <f>C5+C6</f>
        <v>2251.2799999999988</v>
      </c>
      <c r="D7" s="40">
        <f>D5+D6</f>
        <v>2249.6500000000005</v>
      </c>
      <c r="E7" s="40">
        <f>E5+E6</f>
        <v>5287.0199999999995</v>
      </c>
      <c r="F7" s="40">
        <f>F5+F6</f>
        <v>6065.5300000000025</v>
      </c>
    </row>
    <row r="8" spans="1:6" ht="14.25" customHeight="1" x14ac:dyDescent="0.3">
      <c r="A8" s="34" t="s">
        <v>2462</v>
      </c>
      <c r="B8" s="42"/>
      <c r="C8" s="40">
        <f>C4-C7</f>
        <v>1741.1226441080125</v>
      </c>
      <c r="D8" s="40">
        <f>D4-D7</f>
        <v>482.52035382140321</v>
      </c>
      <c r="E8" s="40">
        <f>E4-E7</f>
        <v>-1494.911213210873</v>
      </c>
      <c r="F8" s="40">
        <f>F4-F7</f>
        <v>-4373.7552726630656</v>
      </c>
    </row>
    <row r="9" spans="1:6" ht="14.25" customHeight="1" x14ac:dyDescent="0.3">
      <c r="A9" s="34"/>
      <c r="B9" s="2"/>
      <c r="C9" s="40"/>
      <c r="D9" s="40"/>
      <c r="E9" s="40"/>
      <c r="F9" s="40"/>
    </row>
    <row r="10" spans="1:6" ht="14.25" customHeight="1" x14ac:dyDescent="0.3">
      <c r="A10" s="36" t="s">
        <v>2463</v>
      </c>
      <c r="B10" s="33"/>
      <c r="C10" s="33">
        <f>IF(C4=0,"",C7/C4)</f>
        <v>0.56389102019117188</v>
      </c>
      <c r="D10" s="33">
        <f>IF(D4=0,"",D7/D4)</f>
        <v>0.82339302044379603</v>
      </c>
      <c r="E10" s="33">
        <f>IF(E4=0,"",E7/E4)</f>
        <v>1.3942163311397646</v>
      </c>
      <c r="F10" s="33">
        <f>IF(F4=0,"",F7/F4)</f>
        <v>3.5853059523757635</v>
      </c>
    </row>
    <row r="11" spans="1:6" ht="14.25" customHeight="1" x14ac:dyDescent="0.3">
      <c r="A11" s="3"/>
      <c r="B11" s="3"/>
      <c r="C11" s="3"/>
      <c r="D11" s="3"/>
      <c r="E11" s="3"/>
    </row>
    <row r="12" spans="1:6" ht="14.25" customHeight="1" x14ac:dyDescent="0.3">
      <c r="A12" s="36" t="s">
        <v>2464</v>
      </c>
      <c r="B12" s="46">
        <f>MEDIAN(C10:F10)</f>
        <v>1.1088046757917804</v>
      </c>
      <c r="C12" s="47"/>
      <c r="D12" s="3"/>
      <c r="E12" s="3"/>
      <c r="F12" s="48"/>
    </row>
    <row r="13" spans="1:6" ht="14.25" customHeight="1" x14ac:dyDescent="0.3">
      <c r="A13" s="36" t="s">
        <v>2465</v>
      </c>
      <c r="B13" s="46">
        <f>AVERAGE(C10:F10)</f>
        <v>1.591701581037624</v>
      </c>
      <c r="C13" s="47"/>
      <c r="D13" s="3"/>
      <c r="E13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8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39.77734375" style="1" customWidth="1"/>
    <col min="2" max="2" width="9.6640625" style="1" customWidth="1"/>
    <col min="3" max="3" width="9" style="1" customWidth="1"/>
    <col min="4" max="6" width="9.6640625" style="1" customWidth="1"/>
    <col min="7" max="7" width="7" style="1" customWidth="1"/>
    <col min="8" max="8" width="15.109375" style="1" customWidth="1"/>
  </cols>
  <sheetData>
    <row r="1" spans="1:6" ht="25.5" customHeight="1" x14ac:dyDescent="0.5">
      <c r="A1" s="322" t="s">
        <v>2393</v>
      </c>
      <c r="B1" s="322"/>
      <c r="C1" s="322"/>
      <c r="D1" s="322"/>
      <c r="E1" s="322"/>
      <c r="F1" s="322"/>
    </row>
    <row r="2" spans="1:6" ht="14.25" customHeight="1" x14ac:dyDescent="0.3">
      <c r="A2" s="2" t="s">
        <v>2563</v>
      </c>
      <c r="B2" s="300" t="s">
        <v>2564</v>
      </c>
      <c r="C2" s="301" t="s">
        <v>2565</v>
      </c>
      <c r="D2" s="300" t="s">
        <v>2566</v>
      </c>
      <c r="E2" s="300" t="s">
        <v>2567</v>
      </c>
      <c r="F2" s="300" t="s">
        <v>2568</v>
      </c>
    </row>
    <row r="3" spans="1:6" ht="14.25" customHeight="1" x14ac:dyDescent="0.3">
      <c r="A3" s="67" t="s">
        <v>2569</v>
      </c>
      <c r="B3" s="40">
        <f>'Consolidated P&amp;L'!C6</f>
        <v>24516.17</v>
      </c>
      <c r="C3" s="40">
        <f>'Consolidated P&amp;L'!D6</f>
        <v>28965.46</v>
      </c>
      <c r="D3" s="40">
        <f>'Consolidated P&amp;L'!E6</f>
        <v>38937.03</v>
      </c>
      <c r="E3" s="40">
        <f>'Consolidated P&amp;L'!F6</f>
        <v>33159.64</v>
      </c>
      <c r="F3" s="40">
        <f>'Consolidated P&amp;L'!G6</f>
        <v>33697.699999999997</v>
      </c>
    </row>
    <row r="4" spans="1:6" ht="14.25" customHeight="1" x14ac:dyDescent="0.3">
      <c r="A4" s="2" t="s">
        <v>2570</v>
      </c>
      <c r="B4" s="33">
        <f>(B3-'Consolidated P&amp;L'!B6)/'Consolidated P&amp;L'!B6</f>
        <v>-9.5462771481964581E-2</v>
      </c>
      <c r="C4" s="33">
        <f>(C3-'Consolidated P&amp;L'!C6)/'Consolidated P&amp;L'!C6</f>
        <v>0.18148389409928228</v>
      </c>
      <c r="D4" s="33">
        <f>(D3-'Consolidated P&amp;L'!D6)/'Consolidated P&amp;L'!D6</f>
        <v>0.34425726365125914</v>
      </c>
      <c r="E4" s="33">
        <f>(E3-'Consolidated P&amp;L'!E6)/'Consolidated P&amp;L'!E6</f>
        <v>-0.14837777817157599</v>
      </c>
      <c r="F4" s="33">
        <f>(F3-'Consolidated P&amp;L'!F6)/'Consolidated P&amp;L'!F6</f>
        <v>1.6226352276442015E-2</v>
      </c>
    </row>
    <row r="5" spans="1:6" ht="14.25" customHeight="1" x14ac:dyDescent="0.3">
      <c r="A5" s="2" t="s">
        <v>2571</v>
      </c>
      <c r="B5" s="40">
        <f>'Consolidated P&amp;L'!C12+'Consolidated P&amp;L'!C13+'Consolidated P&amp;L'!C11+'Consolidated P&amp;L'!C17+'Consolidated P&amp;L'!C18</f>
        <v>14223.42</v>
      </c>
      <c r="C5" s="40">
        <f>'Consolidated P&amp;L'!D12+'Consolidated P&amp;L'!D13+'Consolidated P&amp;L'!D11+'Consolidated P&amp;L'!D17+'Consolidated P&amp;L'!D18</f>
        <v>16882.699999999997</v>
      </c>
      <c r="D5" s="40">
        <f>'Consolidated P&amp;L'!E12+'Consolidated P&amp;L'!E13+'Consolidated P&amp;L'!E11+'Consolidated P&amp;L'!E17+'Consolidated P&amp;L'!E18</f>
        <v>26396.53</v>
      </c>
      <c r="E5" s="40">
        <f>'Consolidated P&amp;L'!F12+'Consolidated P&amp;L'!F13+'Consolidated P&amp;L'!F11+'Consolidated P&amp;L'!F17+'Consolidated P&amp;L'!F18</f>
        <v>21032.73</v>
      </c>
      <c r="F5" s="40">
        <f>'Consolidated P&amp;L'!G12+'Consolidated P&amp;L'!G13+'Consolidated P&amp;L'!G11+'Consolidated P&amp;L'!G17+'Consolidated P&amp;L'!G18</f>
        <v>23176.45</v>
      </c>
    </row>
    <row r="6" spans="1:6" ht="14.25" customHeight="1" x14ac:dyDescent="0.3">
      <c r="A6" s="2" t="s">
        <v>2572</v>
      </c>
      <c r="B6" s="40">
        <f>'Consolidated P&amp;L'!C14</f>
        <v>1540.4</v>
      </c>
      <c r="C6" s="40">
        <f>'Consolidated P&amp;L'!D14</f>
        <v>1529.15</v>
      </c>
      <c r="D6" s="40">
        <f>'Consolidated P&amp;L'!E14</f>
        <v>1856.53</v>
      </c>
      <c r="E6" s="40">
        <f>'Consolidated P&amp;L'!F14</f>
        <v>1352.79</v>
      </c>
      <c r="F6" s="40">
        <f>'Consolidated P&amp;L'!G14</f>
        <v>1403.41</v>
      </c>
    </row>
    <row r="7" spans="1:6" ht="14.25" customHeight="1" x14ac:dyDescent="0.3">
      <c r="A7" s="2" t="s">
        <v>2573</v>
      </c>
      <c r="B7" s="40">
        <f>'Consolidated P&amp;L'!C19</f>
        <v>3768.92</v>
      </c>
      <c r="C7" s="40">
        <f>'Consolidated P&amp;L'!D19</f>
        <v>4387.84</v>
      </c>
      <c r="D7" s="40">
        <f>'Consolidated P&amp;L'!E19</f>
        <v>5608.5</v>
      </c>
      <c r="E7" s="40">
        <f>'Consolidated P&amp;L'!F19</f>
        <v>4388.97</v>
      </c>
      <c r="F7" s="40">
        <f>'Consolidated P&amp;L'!G19</f>
        <v>4515.13</v>
      </c>
    </row>
    <row r="8" spans="1:6" ht="14.25" customHeight="1" x14ac:dyDescent="0.3">
      <c r="A8" s="67" t="s">
        <v>302</v>
      </c>
      <c r="B8" s="40">
        <f>B5+B6+B7</f>
        <v>19532.739999999998</v>
      </c>
      <c r="C8" s="40">
        <f>C5+C6+C7</f>
        <v>22799.69</v>
      </c>
      <c r="D8" s="40">
        <f>D5+D6+D7</f>
        <v>33861.56</v>
      </c>
      <c r="E8" s="40">
        <f>E5+E6+E7</f>
        <v>26774.49</v>
      </c>
      <c r="F8" s="40">
        <f>F5+F6+F7</f>
        <v>29094.99</v>
      </c>
    </row>
    <row r="9" spans="1:6" ht="14.25" customHeight="1" x14ac:dyDescent="0.3">
      <c r="A9" s="67" t="s">
        <v>2574</v>
      </c>
      <c r="B9" s="40">
        <f>B3-B8</f>
        <v>4983.43</v>
      </c>
      <c r="C9" s="40">
        <f>C3-C8</f>
        <v>6165.77</v>
      </c>
      <c r="D9" s="40">
        <f>D3-D8</f>
        <v>5075.4700000000012</v>
      </c>
      <c r="E9" s="40">
        <f>E3-E8</f>
        <v>6385.1499999999978</v>
      </c>
      <c r="F9" s="40">
        <f>F3-F8</f>
        <v>4602.7099999999955</v>
      </c>
    </row>
    <row r="10" spans="1:6" ht="14.25" customHeight="1" x14ac:dyDescent="0.3">
      <c r="A10" s="2" t="s">
        <v>2575</v>
      </c>
      <c r="B10" s="40">
        <f>'Consolidated P&amp;L'!C16</f>
        <v>1161.78</v>
      </c>
      <c r="C10" s="40">
        <f>'Consolidated P&amp;L'!D16</f>
        <v>1152.49</v>
      </c>
      <c r="D10" s="40">
        <f>'Consolidated P&amp;L'!E16</f>
        <v>1644.67</v>
      </c>
      <c r="E10" s="40">
        <f>'Consolidated P&amp;L'!F16</f>
        <v>1623.38</v>
      </c>
      <c r="F10" s="40">
        <f>'Consolidated P&amp;L'!G16</f>
        <v>2478.34</v>
      </c>
    </row>
    <row r="11" spans="1:6" ht="14.25" customHeight="1" x14ac:dyDescent="0.3">
      <c r="A11" s="2" t="s">
        <v>2576</v>
      </c>
      <c r="B11" s="40">
        <f>B9-B10</f>
        <v>3821.6500000000005</v>
      </c>
      <c r="C11" s="40">
        <f>C9-C10</f>
        <v>5013.2800000000007</v>
      </c>
      <c r="D11" s="40">
        <f>D9-D10</f>
        <v>3430.8000000000011</v>
      </c>
      <c r="E11" s="40">
        <f>E9-E10</f>
        <v>4761.7699999999977</v>
      </c>
      <c r="F11" s="40">
        <f>F9-F10</f>
        <v>2124.3699999999953</v>
      </c>
    </row>
    <row r="12" spans="1:6" ht="14.25" customHeight="1" x14ac:dyDescent="0.3">
      <c r="A12" s="2" t="s">
        <v>2577</v>
      </c>
      <c r="B12" s="40">
        <f>'Consolidated P&amp;L'!C8</f>
        <v>449.59</v>
      </c>
      <c r="C12" s="40">
        <f>'Consolidated P&amp;L'!D8</f>
        <v>352.44</v>
      </c>
      <c r="D12" s="40">
        <f>'Consolidated P&amp;L'!E8</f>
        <v>737.71</v>
      </c>
      <c r="E12" s="40">
        <f>'Consolidated P&amp;L'!F8</f>
        <v>1166.4000000000001</v>
      </c>
      <c r="F12" s="40">
        <f>'Consolidated P&amp;L'!G8</f>
        <v>2654.25</v>
      </c>
    </row>
    <row r="13" spans="1:6" ht="14.25" customHeight="1" x14ac:dyDescent="0.3">
      <c r="A13" s="2" t="s">
        <v>2578</v>
      </c>
      <c r="B13" s="40">
        <f>'Consolidated P&amp;L'!C15</f>
        <v>140.22</v>
      </c>
      <c r="C13" s="40">
        <f>'Consolidated P&amp;L'!D15</f>
        <v>145.66</v>
      </c>
      <c r="D13" s="40">
        <f>'Consolidated P&amp;L'!E15</f>
        <v>194.9</v>
      </c>
      <c r="E13" s="40">
        <f>'Consolidated P&amp;L'!F15</f>
        <v>276.38</v>
      </c>
      <c r="F13" s="40">
        <f>'Consolidated P&amp;L'!G15</f>
        <v>215.94</v>
      </c>
    </row>
    <row r="14" spans="1:6" ht="14.25" customHeight="1" x14ac:dyDescent="0.3">
      <c r="A14" s="2" t="s">
        <v>2579</v>
      </c>
      <c r="B14" s="40">
        <f>'Consolidated P&amp;L'!C27</f>
        <v>3991.59</v>
      </c>
      <c r="C14" s="40">
        <f>'Consolidated P&amp;L'!D27</f>
        <v>5164.47</v>
      </c>
      <c r="D14" s="40">
        <f>'Consolidated P&amp;L'!E27</f>
        <v>3729.49</v>
      </c>
      <c r="E14" s="40">
        <f>'Consolidated P&amp;L'!F27</f>
        <v>5900.62</v>
      </c>
      <c r="F14" s="40">
        <f>'Consolidated P&amp;L'!G27</f>
        <v>5922.37</v>
      </c>
    </row>
    <row r="15" spans="1:6" ht="14.25" customHeight="1" x14ac:dyDescent="0.3">
      <c r="A15" s="67" t="s">
        <v>2580</v>
      </c>
      <c r="B15" s="40">
        <f>'Consolidated P&amp;L'!C32</f>
        <v>884.75</v>
      </c>
      <c r="C15" s="40">
        <f>'Consolidated P&amp;L'!D32</f>
        <v>1453.43</v>
      </c>
      <c r="D15" s="40">
        <f>'Consolidated P&amp;L'!E32</f>
        <v>705.11</v>
      </c>
      <c r="E15" s="40">
        <f>'Consolidated P&amp;L'!F32</f>
        <v>1162.6099999999999</v>
      </c>
      <c r="F15" s="40">
        <f>'Consolidated P&amp;L'!G32</f>
        <v>763.96</v>
      </c>
    </row>
    <row r="16" spans="1:6" ht="14.25" customHeight="1" x14ac:dyDescent="0.3">
      <c r="A16" s="2" t="s">
        <v>2581</v>
      </c>
      <c r="B16" s="40">
        <f>'Consolidated P&amp;L'!C44</f>
        <v>741.4</v>
      </c>
      <c r="C16" s="40">
        <f>'Consolidated P&amp;L'!D44</f>
        <v>930.66</v>
      </c>
      <c r="D16" s="40">
        <f>'Consolidated P&amp;L'!E44</f>
        <v>440.98</v>
      </c>
      <c r="E16" s="40">
        <f>'Consolidated P&amp;L'!F44</f>
        <v>1161.22</v>
      </c>
      <c r="F16" s="40">
        <f>'Consolidated P&amp;L'!G44</f>
        <v>990.98</v>
      </c>
    </row>
    <row r="17" spans="1:7" ht="14.25" customHeight="1" x14ac:dyDescent="0.3">
      <c r="A17" s="67" t="s">
        <v>2582</v>
      </c>
      <c r="B17" s="40">
        <f>B14-B15-B16</f>
        <v>2365.44</v>
      </c>
      <c r="C17" s="40">
        <f>C14-C15-C16</f>
        <v>2780.38</v>
      </c>
      <c r="D17" s="40">
        <f>D14-D15-D16</f>
        <v>2583.3999999999996</v>
      </c>
      <c r="E17" s="40">
        <f>E14-E15-E16</f>
        <v>3576.79</v>
      </c>
      <c r="F17" s="40">
        <f>F14-F15-F16</f>
        <v>4167.43</v>
      </c>
    </row>
    <row r="18" spans="1:7" ht="14.25" customHeight="1" x14ac:dyDescent="0.3">
      <c r="A18" s="2"/>
      <c r="B18" s="2"/>
      <c r="C18" s="2"/>
      <c r="D18" s="2"/>
      <c r="E18" s="2"/>
      <c r="F18" s="2"/>
    </row>
    <row r="23" spans="1:7" ht="14.25" customHeight="1" x14ac:dyDescent="0.3">
      <c r="A23" s="159" t="s">
        <v>2583</v>
      </c>
      <c r="B23" s="159"/>
      <c r="C23" s="159"/>
    </row>
    <row r="24" spans="1:7" ht="14.25" customHeight="1" x14ac:dyDescent="0.3">
      <c r="A24" s="36" t="s">
        <v>2584</v>
      </c>
      <c r="B24" s="33">
        <f>AVERAGE(B4:F4)</f>
        <v>5.9625392074688574E-2</v>
      </c>
      <c r="C24" s="2"/>
    </row>
    <row r="25" spans="1:7" ht="14.25" customHeight="1" x14ac:dyDescent="0.3">
      <c r="A25" s="36" t="s">
        <v>2585</v>
      </c>
      <c r="B25" s="33">
        <f>(F3/B3)^(1/5)-1</f>
        <v>6.5686654258679811E-2</v>
      </c>
      <c r="C25" s="33">
        <f>_xlfn.RRI(5,B3,F3)</f>
        <v>6.5686654258679811E-2</v>
      </c>
      <c r="D25" s="1" t="s">
        <v>2586</v>
      </c>
    </row>
    <row r="27" spans="1:7" ht="14.25" customHeight="1" x14ac:dyDescent="0.3">
      <c r="A27" s="68" t="s">
        <v>2587</v>
      </c>
    </row>
    <row r="28" spans="1:7" ht="14.25" customHeight="1" x14ac:dyDescent="0.3">
      <c r="A28" s="69" t="s">
        <v>2574</v>
      </c>
      <c r="B28" s="70">
        <f>C9/C3</f>
        <v>0.21286628971195351</v>
      </c>
      <c r="C28" s="70">
        <f>B9/B3</f>
        <v>0.20327114716531988</v>
      </c>
      <c r="D28" s="70">
        <f>D9/D3</f>
        <v>0.13035072269251149</v>
      </c>
      <c r="E28" s="70">
        <f>E9/E3</f>
        <v>0.19255788060425258</v>
      </c>
      <c r="F28" s="70">
        <f>F9/F3</f>
        <v>0.13658825379773681</v>
      </c>
    </row>
    <row r="29" spans="1:7" ht="14.25" customHeight="1" x14ac:dyDescent="0.3">
      <c r="A29" s="69" t="s">
        <v>2456</v>
      </c>
      <c r="B29" s="70">
        <f>C11/C3</f>
        <v>0.17307786584435395</v>
      </c>
      <c r="C29" s="70">
        <f>B11/B3</f>
        <v>0.15588283161684721</v>
      </c>
      <c r="D29" s="70">
        <f>D11/D3</f>
        <v>8.8111496947764156E-2</v>
      </c>
      <c r="E29" s="70">
        <f>E11/E3</f>
        <v>0.14360137806079915</v>
      </c>
      <c r="F29" s="70">
        <f>F11/F3</f>
        <v>6.3041988028856438E-2</v>
      </c>
      <c r="G29" s="48">
        <f>AVERAGE(B29:F29)</f>
        <v>0.12474311209972418</v>
      </c>
    </row>
    <row r="30" spans="1:7" ht="14.25" customHeight="1" x14ac:dyDescent="0.3">
      <c r="A30" s="69" t="s">
        <v>2579</v>
      </c>
      <c r="B30" s="70">
        <f>C14/C3</f>
        <v>0.17829753092131112</v>
      </c>
      <c r="C30" s="70">
        <f>B14/B3</f>
        <v>0.1628145831914202</v>
      </c>
      <c r="D30" s="70">
        <f>D14/D3</f>
        <v>9.578260077874455E-2</v>
      </c>
      <c r="E30" s="70">
        <f>E14/E3</f>
        <v>0.17794584018403095</v>
      </c>
      <c r="F30" s="70">
        <f>F14/F3</f>
        <v>0.17574997700139774</v>
      </c>
    </row>
    <row r="31" spans="1:7" ht="14.25" customHeight="1" x14ac:dyDescent="0.3">
      <c r="A31" s="69" t="s">
        <v>2588</v>
      </c>
      <c r="B31" s="70">
        <f>C17/C3</f>
        <v>9.5989499217343704E-2</v>
      </c>
      <c r="C31" s="70">
        <f>B17/B3</f>
        <v>9.6484891400247269E-2</v>
      </c>
      <c r="D31" s="70">
        <f>D17/D3</f>
        <v>6.6348152388613094E-2</v>
      </c>
      <c r="E31" s="70">
        <f>E17/E3</f>
        <v>0.10786576693836242</v>
      </c>
      <c r="F31" s="70">
        <f>F17/F3</f>
        <v>0.12367105173350113</v>
      </c>
    </row>
    <row r="33" spans="1:8" ht="14.25" customHeight="1" x14ac:dyDescent="0.3">
      <c r="A33" s="68" t="s">
        <v>355</v>
      </c>
    </row>
    <row r="34" spans="1:8" ht="14.25" customHeight="1" x14ac:dyDescent="0.3">
      <c r="A34" s="69" t="s">
        <v>2589</v>
      </c>
      <c r="B34" s="45">
        <f>C15/C14</f>
        <v>0.28142868484084521</v>
      </c>
      <c r="C34" s="45">
        <f>B15/B14</f>
        <v>0.22165352653954939</v>
      </c>
      <c r="D34" s="45">
        <f>D15/D14</f>
        <v>0.18906338400156592</v>
      </c>
      <c r="E34" s="45">
        <f>E15/E14</f>
        <v>0.19703183733234811</v>
      </c>
      <c r="F34" s="45">
        <f>F15/F14</f>
        <v>0.12899565545550176</v>
      </c>
      <c r="G34" s="48">
        <f>AVERAGE(B34:F34)</f>
        <v>0.20363461763396207</v>
      </c>
      <c r="H34" s="1" t="s">
        <v>2589</v>
      </c>
    </row>
    <row r="35" spans="1:8" ht="14.25" customHeight="1" x14ac:dyDescent="0.3">
      <c r="A35" s="69" t="s">
        <v>2590</v>
      </c>
      <c r="B35" s="71">
        <v>0.25</v>
      </c>
      <c r="C35" s="71">
        <f>B35</f>
        <v>0.25</v>
      </c>
      <c r="D35" s="71">
        <f>C35</f>
        <v>0.25</v>
      </c>
      <c r="E35" s="71">
        <f>D35</f>
        <v>0.25</v>
      </c>
      <c r="F35" s="71">
        <f>E35</f>
        <v>0.25</v>
      </c>
    </row>
    <row r="37" spans="1:8" ht="14.25" customHeight="1" x14ac:dyDescent="0.3">
      <c r="A37" s="68" t="s">
        <v>2591</v>
      </c>
    </row>
    <row r="38" spans="1:8" ht="14.25" customHeight="1" x14ac:dyDescent="0.3">
      <c r="A38" s="69" t="s">
        <v>2592</v>
      </c>
      <c r="B38" s="40">
        <f>C11*(1-B35)</f>
        <v>3759.9600000000005</v>
      </c>
      <c r="C38" s="40">
        <f>B11*(1-C35)</f>
        <v>2866.2375000000002</v>
      </c>
      <c r="D38" s="40">
        <f>D11*(1-D35)</f>
        <v>2573.1000000000008</v>
      </c>
      <c r="E38" s="40">
        <f>E11*(1-E35)</f>
        <v>3571.3274999999985</v>
      </c>
      <c r="F38" s="40">
        <f>F11*(1-F35)</f>
        <v>1593.2774999999965</v>
      </c>
    </row>
    <row r="39" spans="1:8" ht="14.25" customHeight="1" x14ac:dyDescent="0.3">
      <c r="A39" s="69" t="s">
        <v>2593</v>
      </c>
      <c r="B39" s="40">
        <f>'Consolidated Balance sheet'!D43</f>
        <v>32498.77</v>
      </c>
      <c r="C39" s="40">
        <f>'Consolidated Balance sheet'!C43</f>
        <v>29098.49</v>
      </c>
      <c r="D39" s="40">
        <f>'Consolidated Balance sheet'!E43</f>
        <v>38756.550000000003</v>
      </c>
      <c r="E39" s="40">
        <f>'Consolidated Balance sheet'!F43</f>
        <v>50845.9</v>
      </c>
      <c r="F39" s="40">
        <f>'Consolidated Balance sheet'!G43</f>
        <v>63811.42</v>
      </c>
    </row>
    <row r="40" spans="1:8" ht="14.25" customHeight="1" x14ac:dyDescent="0.3">
      <c r="A40" s="69" t="s">
        <v>2594</v>
      </c>
      <c r="B40" s="40">
        <f>'Consolidated Balance sheet'!D47+0</f>
        <v>43.5</v>
      </c>
      <c r="C40" s="40">
        <f>'Consolidated Balance sheet'!C47+0</f>
        <v>43.6</v>
      </c>
      <c r="D40" s="40">
        <f>'Consolidated Balance sheet'!E47+'Consolidated Balance sheet'!E56</f>
        <v>47.71</v>
      </c>
      <c r="E40" s="40">
        <f>'Consolidated Balance sheet'!F47+'Consolidated Balance sheet'!F56</f>
        <v>36.78</v>
      </c>
      <c r="F40" s="40">
        <f>'Consolidated Balance sheet'!G47+'Consolidated Balance sheet'!G56</f>
        <v>26.82</v>
      </c>
    </row>
    <row r="41" spans="1:8" ht="14.25" customHeight="1" x14ac:dyDescent="0.3">
      <c r="A41" s="69" t="s">
        <v>2595</v>
      </c>
      <c r="B41" s="40">
        <f>'Consolidated Balance sheet'!D26</f>
        <v>11358.49</v>
      </c>
      <c r="C41" s="40">
        <f>'Consolidated Balance sheet'!C26</f>
        <v>8571.56</v>
      </c>
      <c r="D41" s="40">
        <f>'Consolidated Balance sheet'!E26</f>
        <v>543.87</v>
      </c>
      <c r="E41" s="40">
        <f>'Consolidated Balance sheet'!F26</f>
        <v>3007.1</v>
      </c>
      <c r="F41" s="40">
        <f>'Consolidated Balance sheet'!G26</f>
        <v>5043.32</v>
      </c>
    </row>
    <row r="42" spans="1:8" ht="14.25" customHeight="1" x14ac:dyDescent="0.3">
      <c r="A42" s="69" t="s">
        <v>2596</v>
      </c>
      <c r="B42" s="40">
        <f>B39+B40-B41</f>
        <v>21183.78</v>
      </c>
      <c r="C42" s="40">
        <f>C39+C40-C41</f>
        <v>20570.53</v>
      </c>
      <c r="D42" s="40">
        <f>D39+D40-D41</f>
        <v>38260.39</v>
      </c>
      <c r="E42" s="40">
        <f>E39+E40-E41</f>
        <v>47875.58</v>
      </c>
      <c r="F42" s="40">
        <f>F39+F40-F41</f>
        <v>58794.92</v>
      </c>
    </row>
    <row r="44" spans="1:8" ht="14.25" customHeight="1" x14ac:dyDescent="0.3">
      <c r="A44" s="69" t="s">
        <v>2597</v>
      </c>
      <c r="B44" s="45">
        <f>C11/B42</f>
        <v>0.23665653627445155</v>
      </c>
      <c r="C44" s="45">
        <f>B11/C42</f>
        <v>0.18578276787229112</v>
      </c>
      <c r="D44" s="45">
        <f>D11/D42</f>
        <v>8.9669760292563697E-2</v>
      </c>
      <c r="E44" s="45">
        <f>E11/E42</f>
        <v>9.9461353784121201E-2</v>
      </c>
      <c r="F44" s="45">
        <f>F11/F42</f>
        <v>3.61318630929338E-2</v>
      </c>
    </row>
    <row r="45" spans="1:8" ht="14.25" customHeight="1" x14ac:dyDescent="0.3">
      <c r="A45" s="69" t="s">
        <v>2598</v>
      </c>
      <c r="B45" s="45">
        <f>B38/B42</f>
        <v>0.17749240220583865</v>
      </c>
      <c r="C45" s="45">
        <f>C38/C42</f>
        <v>0.13933707590421834</v>
      </c>
      <c r="D45" s="45">
        <f>D38/D42</f>
        <v>6.7252320219422776E-2</v>
      </c>
      <c r="E45" s="45">
        <f>E38/E42</f>
        <v>7.4596015338090904E-2</v>
      </c>
      <c r="F45" s="45">
        <f>F38/F42</f>
        <v>2.709889731970035E-2</v>
      </c>
    </row>
    <row r="46" spans="1:8" ht="14.25" customHeight="1" x14ac:dyDescent="0.3">
      <c r="A46" s="3"/>
    </row>
    <row r="47" spans="1:8" ht="14.25" customHeight="1" x14ac:dyDescent="0.3">
      <c r="A47" s="34" t="s">
        <v>2599</v>
      </c>
      <c r="B47" s="33">
        <f>FCFF!B12*Assumptions!F45</f>
        <v>3.0047384056885094E-2</v>
      </c>
      <c r="C47" s="56"/>
      <c r="D47" s="56"/>
      <c r="E47" s="56"/>
      <c r="F47" s="56"/>
    </row>
    <row r="48" spans="1:8" ht="14.25" customHeight="1" x14ac:dyDescent="0.3">
      <c r="C48" s="56"/>
      <c r="D48" s="56"/>
      <c r="E48" s="56"/>
      <c r="F48" s="56"/>
    </row>
  </sheetData>
  <mergeCells count="2">
    <mergeCell ref="A1:F1"/>
    <mergeCell ref="A23:C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9"/>
  <sheetViews>
    <sheetView showGridLines="0" zoomScaleNormal="100" workbookViewId="0">
      <selection activeCell="P4" sqref="P4"/>
    </sheetView>
  </sheetViews>
  <sheetFormatPr defaultColWidth="8.6640625" defaultRowHeight="14.4" x14ac:dyDescent="0.3"/>
  <cols>
    <col min="1" max="1" width="27.109375" style="1" customWidth="1"/>
    <col min="2" max="12" width="10.5546875" style="1" customWidth="1"/>
    <col min="13" max="13" width="13.109375" style="1" customWidth="1"/>
    <col min="14" max="15" width="7.21875" style="1" customWidth="1"/>
    <col min="16" max="16" width="14" style="1" customWidth="1"/>
  </cols>
  <sheetData>
    <row r="1" spans="1:16" ht="14.25" customHeight="1" x14ac:dyDescent="0.3">
      <c r="A1" s="72" t="s">
        <v>2600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6" ht="14.25" customHeight="1" x14ac:dyDescent="0.3">
      <c r="A2" s="73" t="s">
        <v>2601</v>
      </c>
      <c r="B2" s="74" t="s">
        <v>2527</v>
      </c>
      <c r="C2" s="74" t="s">
        <v>2528</v>
      </c>
      <c r="D2" s="74" t="s">
        <v>2529</v>
      </c>
      <c r="E2" s="74" t="s">
        <v>2530</v>
      </c>
      <c r="F2" s="74" t="s">
        <v>2602</v>
      </c>
      <c r="G2" s="74" t="s">
        <v>2532</v>
      </c>
      <c r="H2" s="74" t="s">
        <v>2533</v>
      </c>
      <c r="I2" s="74" t="s">
        <v>2534</v>
      </c>
      <c r="J2" s="74" t="s">
        <v>2535</v>
      </c>
      <c r="K2" s="74" t="s">
        <v>2536</v>
      </c>
      <c r="L2" s="74" t="s">
        <v>2537</v>
      </c>
    </row>
    <row r="3" spans="1:16" ht="14.25" customHeight="1" x14ac:dyDescent="0.3">
      <c r="A3" s="73" t="s">
        <v>2603</v>
      </c>
      <c r="B3" s="75">
        <f>Assumptions!F3</f>
        <v>33697.699999999997</v>
      </c>
      <c r="C3" s="75">
        <f t="shared" ref="C3:L3" si="0">B3*(1+C4)</f>
        <v>35911.18916921271</v>
      </c>
      <c r="D3" s="75">
        <f t="shared" si="0"/>
        <v>38238.100727878293</v>
      </c>
      <c r="E3" s="75">
        <f t="shared" si="0"/>
        <v>40681.741380649248</v>
      </c>
      <c r="F3" s="75">
        <f t="shared" si="0"/>
        <v>43245.323241680278</v>
      </c>
      <c r="G3" s="75">
        <f t="shared" si="0"/>
        <v>45931.946181392166</v>
      </c>
      <c r="H3" s="75">
        <f t="shared" si="0"/>
        <v>48744.579513346893</v>
      </c>
      <c r="I3" s="75">
        <f t="shared" si="0"/>
        <v>51686.04307572102</v>
      </c>
      <c r="J3" s="75">
        <f t="shared" si="0"/>
        <v>54758.987769216728</v>
      </c>
      <c r="K3" s="75">
        <f t="shared" si="0"/>
        <v>57965.875620644576</v>
      </c>
      <c r="L3" s="75">
        <f t="shared" si="0"/>
        <v>61308.959448792899</v>
      </c>
      <c r="M3" s="76">
        <f>Assumptions!B25</f>
        <v>6.5686654258679811E-2</v>
      </c>
      <c r="P3" s="50" t="s">
        <v>2604</v>
      </c>
    </row>
    <row r="4" spans="1:16" ht="14.25" customHeight="1" x14ac:dyDescent="0.3">
      <c r="A4" s="73" t="s">
        <v>2605</v>
      </c>
      <c r="B4" s="77"/>
      <c r="C4" s="78">
        <f>M3</f>
        <v>6.5686654258679811E-2</v>
      </c>
      <c r="D4" s="78">
        <f t="shared" ref="D4:L4" si="1">C4+$O$4</f>
        <v>6.479628250964424E-2</v>
      </c>
      <c r="E4" s="78">
        <f t="shared" si="1"/>
        <v>6.390591076060867E-2</v>
      </c>
      <c r="F4" s="78">
        <f t="shared" si="1"/>
        <v>6.3015539011573099E-2</v>
      </c>
      <c r="G4" s="78">
        <f t="shared" si="1"/>
        <v>6.2125167262537521E-2</v>
      </c>
      <c r="H4" s="78">
        <f t="shared" si="1"/>
        <v>6.1234795513501944E-2</v>
      </c>
      <c r="I4" s="78">
        <f t="shared" si="1"/>
        <v>6.0344423764466366E-2</v>
      </c>
      <c r="J4" s="78">
        <f t="shared" si="1"/>
        <v>5.9454052015430789E-2</v>
      </c>
      <c r="K4" s="78">
        <f t="shared" si="1"/>
        <v>5.8563680266395211E-2</v>
      </c>
      <c r="L4" s="78">
        <f t="shared" si="1"/>
        <v>5.7673308517359634E-2</v>
      </c>
      <c r="M4" s="76">
        <v>7.3700000000000002E-2</v>
      </c>
      <c r="N4" s="76">
        <f>M3-M4</f>
        <v>-8.0133457413201908E-3</v>
      </c>
      <c r="O4" s="76">
        <f>N4/9</f>
        <v>-8.9037174903557677E-4</v>
      </c>
      <c r="P4" s="76">
        <f>M4</f>
        <v>7.3700000000000002E-2</v>
      </c>
    </row>
    <row r="5" spans="1:16" ht="14.25" customHeight="1" x14ac:dyDescent="0.3">
      <c r="A5" s="73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6" ht="14.25" customHeight="1" x14ac:dyDescent="0.3">
      <c r="A6" s="72" t="s">
        <v>2606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6" ht="14.25" customHeight="1" x14ac:dyDescent="0.3">
      <c r="A7" s="73" t="s">
        <v>2601</v>
      </c>
      <c r="B7" s="74" t="s">
        <v>2527</v>
      </c>
      <c r="C7" s="74" t="s">
        <v>2528</v>
      </c>
      <c r="D7" s="74" t="s">
        <v>2529</v>
      </c>
      <c r="E7" s="74" t="s">
        <v>2530</v>
      </c>
      <c r="F7" s="74" t="s">
        <v>2602</v>
      </c>
      <c r="G7" s="74" t="s">
        <v>2532</v>
      </c>
      <c r="H7" s="74" t="s">
        <v>2533</v>
      </c>
      <c r="I7" s="74" t="s">
        <v>2534</v>
      </c>
      <c r="J7" s="74" t="s">
        <v>2535</v>
      </c>
      <c r="K7" s="74" t="s">
        <v>2536</v>
      </c>
      <c r="L7" s="74" t="s">
        <v>2537</v>
      </c>
      <c r="M7" s="79" t="s">
        <v>2607</v>
      </c>
      <c r="N7" s="76">
        <f>Assumptions!B24</f>
        <v>5.9625392074688574E-2</v>
      </c>
    </row>
    <row r="8" spans="1:16" ht="14.25" customHeight="1" x14ac:dyDescent="0.3">
      <c r="A8" s="73" t="s">
        <v>2603</v>
      </c>
      <c r="B8" s="75">
        <f>B3</f>
        <v>33697.699999999997</v>
      </c>
      <c r="C8" s="75">
        <f t="shared" ref="C8:L8" si="2">B8*(1+C9)</f>
        <v>35706.938574515232</v>
      </c>
      <c r="D8" s="75">
        <f t="shared" si="2"/>
        <v>37780.138657846466</v>
      </c>
      <c r="E8" s="75">
        <f t="shared" si="2"/>
        <v>39914.629651518197</v>
      </c>
      <c r="F8" s="75">
        <f t="shared" si="2"/>
        <v>42107.29417306291</v>
      </c>
      <c r="G8" s="75">
        <f t="shared" si="2"/>
        <v>44354.56091676643</v>
      </c>
      <c r="H8" s="75">
        <f t="shared" si="2"/>
        <v>46652.400638061044</v>
      </c>
      <c r="I8" s="75">
        <f t="shared" si="2"/>
        <v>48996.325485494053</v>
      </c>
      <c r="J8" s="75">
        <f t="shared" si="2"/>
        <v>51381.391880905154</v>
      </c>
      <c r="K8" s="75">
        <f t="shared" si="2"/>
        <v>53802.207121253552</v>
      </c>
      <c r="L8" s="75">
        <f t="shared" si="2"/>
        <v>56252.939844593857</v>
      </c>
      <c r="N8" s="76">
        <f>M4</f>
        <v>7.3700000000000002E-2</v>
      </c>
      <c r="O8" s="76">
        <f>N7-N8</f>
        <v>-1.4074607925311428E-2</v>
      </c>
      <c r="P8" s="76">
        <f>O8/9</f>
        <v>-1.5638453250346031E-3</v>
      </c>
    </row>
    <row r="9" spans="1:16" ht="14.25" customHeight="1" x14ac:dyDescent="0.3">
      <c r="A9" s="73" t="s">
        <v>2605</v>
      </c>
      <c r="B9" s="77"/>
      <c r="C9" s="78">
        <f>N7</f>
        <v>5.9625392074688574E-2</v>
      </c>
      <c r="D9" s="78">
        <f t="shared" ref="D9:L9" si="3">C9+$P$8</f>
        <v>5.8061546749653969E-2</v>
      </c>
      <c r="E9" s="78">
        <f t="shared" si="3"/>
        <v>5.6497701424619365E-2</v>
      </c>
      <c r="F9" s="78">
        <f t="shared" si="3"/>
        <v>5.493385609958476E-2</v>
      </c>
      <c r="G9" s="78">
        <f t="shared" si="3"/>
        <v>5.3370010774550156E-2</v>
      </c>
      <c r="H9" s="78">
        <f t="shared" si="3"/>
        <v>5.1806165449515551E-2</v>
      </c>
      <c r="I9" s="78">
        <f t="shared" si="3"/>
        <v>5.0242320124480946E-2</v>
      </c>
      <c r="J9" s="78">
        <f t="shared" si="3"/>
        <v>4.8678474799446342E-2</v>
      </c>
      <c r="K9" s="78">
        <f t="shared" si="3"/>
        <v>4.7114629474411737E-2</v>
      </c>
      <c r="L9" s="78">
        <f t="shared" si="3"/>
        <v>4.5550784149377133E-2</v>
      </c>
    </row>
    <row r="10" spans="1:16" ht="14.25" customHeight="1" x14ac:dyDescent="0.3">
      <c r="A10" s="73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16" ht="14.25" customHeight="1" x14ac:dyDescent="0.3">
      <c r="A11" s="72" t="s">
        <v>2608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</row>
    <row r="12" spans="1:16" ht="14.25" customHeight="1" x14ac:dyDescent="0.3">
      <c r="A12" s="73" t="s">
        <v>2601</v>
      </c>
      <c r="B12" s="74" t="s">
        <v>2527</v>
      </c>
      <c r="C12" s="74" t="s">
        <v>2528</v>
      </c>
      <c r="D12" s="74" t="s">
        <v>2529</v>
      </c>
      <c r="E12" s="74" t="s">
        <v>2530</v>
      </c>
      <c r="F12" s="74" t="s">
        <v>2602</v>
      </c>
      <c r="G12" s="74" t="s">
        <v>2532</v>
      </c>
      <c r="H12" s="74" t="s">
        <v>2533</v>
      </c>
      <c r="I12" s="74" t="s">
        <v>2534</v>
      </c>
      <c r="J12" s="74" t="s">
        <v>2535</v>
      </c>
      <c r="K12" s="74" t="s">
        <v>2536</v>
      </c>
      <c r="L12" s="74" t="s">
        <v>2537</v>
      </c>
      <c r="N12" s="76">
        <f>Assumptions!B47</f>
        <v>3.0047384056885094E-2</v>
      </c>
    </row>
    <row r="13" spans="1:16" ht="14.25" customHeight="1" x14ac:dyDescent="0.3">
      <c r="A13" s="73" t="s">
        <v>2603</v>
      </c>
      <c r="B13" s="75">
        <f>B8</f>
        <v>33697.699999999997</v>
      </c>
      <c r="C13" s="75">
        <f t="shared" ref="C13:L13" si="4">B13*(1+C14)</f>
        <v>34710.227733733693</v>
      </c>
      <c r="D13" s="75">
        <f t="shared" si="4"/>
        <v>35584.824583755719</v>
      </c>
      <c r="E13" s="75">
        <f t="shared" si="4"/>
        <v>36308.861989963421</v>
      </c>
      <c r="F13" s="75">
        <f t="shared" si="4"/>
        <v>36871.522708251141</v>
      </c>
      <c r="G13" s="75">
        <f t="shared" si="4"/>
        <v>37264.065102929846</v>
      </c>
      <c r="H13" s="75">
        <f t="shared" si="4"/>
        <v>37480.045043921993</v>
      </c>
      <c r="I13" s="75">
        <f t="shared" si="4"/>
        <v>37515.48767727075</v>
      </c>
      <c r="J13" s="75">
        <f t="shared" si="4"/>
        <v>37369.002807095276</v>
      </c>
      <c r="K13" s="75">
        <f t="shared" si="4"/>
        <v>37041.83938384927</v>
      </c>
      <c r="L13" s="75">
        <f t="shared" si="4"/>
        <v>36537.87656953952</v>
      </c>
      <c r="N13" s="76">
        <f>N8</f>
        <v>7.3700000000000002E-2</v>
      </c>
      <c r="O13" s="76">
        <f>N12-N13</f>
        <v>-4.3652615943114911E-2</v>
      </c>
      <c r="P13" s="50">
        <f>O13/9</f>
        <v>-4.8502906603461009E-3</v>
      </c>
    </row>
    <row r="14" spans="1:16" ht="14.25" customHeight="1" x14ac:dyDescent="0.3">
      <c r="A14" s="73" t="s">
        <v>2605</v>
      </c>
      <c r="B14" s="77"/>
      <c r="C14" s="78">
        <f>N12</f>
        <v>3.0047384056885094E-2</v>
      </c>
      <c r="D14" s="78">
        <f t="shared" ref="D14:L14" si="5">C14+($P$13)</f>
        <v>2.5197093396538993E-2</v>
      </c>
      <c r="E14" s="78">
        <f t="shared" si="5"/>
        <v>2.0346802736192892E-2</v>
      </c>
      <c r="F14" s="78">
        <f t="shared" si="5"/>
        <v>1.5496512075846791E-2</v>
      </c>
      <c r="G14" s="78">
        <f t="shared" si="5"/>
        <v>1.064622141550069E-2</v>
      </c>
      <c r="H14" s="78">
        <f t="shared" si="5"/>
        <v>5.7959307551545894E-3</v>
      </c>
      <c r="I14" s="78">
        <f t="shared" si="5"/>
        <v>9.4564009480848851E-4</v>
      </c>
      <c r="J14" s="78">
        <f t="shared" si="5"/>
        <v>-3.9046505655376124E-3</v>
      </c>
      <c r="K14" s="78">
        <f t="shared" si="5"/>
        <v>-8.7549412258837132E-3</v>
      </c>
      <c r="L14" s="78">
        <f t="shared" si="5"/>
        <v>-1.3605231886229814E-2</v>
      </c>
      <c r="P14" s="76">
        <v>2.9399999999999999E-3</v>
      </c>
    </row>
    <row r="15" spans="1:16" ht="14.25" customHeight="1" x14ac:dyDescent="0.3">
      <c r="A15" s="73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</row>
    <row r="16" spans="1:16" ht="14.25" customHeight="1" x14ac:dyDescent="0.3">
      <c r="A16" s="72" t="s">
        <v>2609</v>
      </c>
      <c r="B16" s="80">
        <v>1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</row>
    <row r="17" spans="1:12" ht="14.25" customHeight="1" x14ac:dyDescent="0.3">
      <c r="A17" s="73" t="s">
        <v>2601</v>
      </c>
      <c r="B17" s="77"/>
      <c r="C17" s="74" t="s">
        <v>2528</v>
      </c>
      <c r="D17" s="74" t="s">
        <v>2529</v>
      </c>
      <c r="E17" s="74" t="s">
        <v>2530</v>
      </c>
      <c r="F17" s="74" t="s">
        <v>2602</v>
      </c>
      <c r="G17" s="74" t="s">
        <v>2532</v>
      </c>
      <c r="H17" s="74" t="s">
        <v>2533</v>
      </c>
      <c r="I17" s="74" t="s">
        <v>2534</v>
      </c>
      <c r="J17" s="74" t="s">
        <v>2535</v>
      </c>
      <c r="K17" s="74" t="s">
        <v>2536</v>
      </c>
      <c r="L17" s="74" t="s">
        <v>2537</v>
      </c>
    </row>
    <row r="18" spans="1:12" ht="14.25" customHeight="1" x14ac:dyDescent="0.3">
      <c r="A18" s="73" t="s">
        <v>2603</v>
      </c>
      <c r="B18" s="75">
        <f>B13</f>
        <v>33697.699999999997</v>
      </c>
      <c r="C18" s="75">
        <f t="shared" ref="C18:L18" si="6">B18*(1+C19)</f>
        <v>35911.18916921271</v>
      </c>
      <c r="D18" s="75">
        <f t="shared" si="6"/>
        <v>38238.100727878293</v>
      </c>
      <c r="E18" s="75">
        <f t="shared" si="6"/>
        <v>40681.741380649248</v>
      </c>
      <c r="F18" s="75">
        <f t="shared" si="6"/>
        <v>43245.323241680278</v>
      </c>
      <c r="G18" s="75">
        <f t="shared" si="6"/>
        <v>45931.946181392166</v>
      </c>
      <c r="H18" s="75">
        <f t="shared" si="6"/>
        <v>48744.579513346893</v>
      </c>
      <c r="I18" s="75">
        <f t="shared" si="6"/>
        <v>51686.04307572102</v>
      </c>
      <c r="J18" s="75">
        <f t="shared" si="6"/>
        <v>54758.987769216728</v>
      </c>
      <c r="K18" s="75">
        <f t="shared" si="6"/>
        <v>57965.875620644576</v>
      </c>
      <c r="L18" s="75">
        <f t="shared" si="6"/>
        <v>61308.959448792899</v>
      </c>
    </row>
    <row r="19" spans="1:12" ht="14.25" customHeight="1" x14ac:dyDescent="0.3">
      <c r="A19" s="73" t="s">
        <v>2605</v>
      </c>
      <c r="B19" s="77"/>
      <c r="C19" s="78">
        <f t="shared" ref="C19:L19" si="7">CHOOSE($B$16,C4,C9,C14)</f>
        <v>6.5686654258679811E-2</v>
      </c>
      <c r="D19" s="78">
        <f t="shared" si="7"/>
        <v>6.479628250964424E-2</v>
      </c>
      <c r="E19" s="78">
        <f t="shared" si="7"/>
        <v>6.390591076060867E-2</v>
      </c>
      <c r="F19" s="78">
        <f t="shared" si="7"/>
        <v>6.3015539011573099E-2</v>
      </c>
      <c r="G19" s="78">
        <f t="shared" si="7"/>
        <v>6.2125167262537521E-2</v>
      </c>
      <c r="H19" s="78">
        <f t="shared" si="7"/>
        <v>6.1234795513501944E-2</v>
      </c>
      <c r="I19" s="78">
        <f t="shared" si="7"/>
        <v>6.0344423764466366E-2</v>
      </c>
      <c r="J19" s="78">
        <f t="shared" si="7"/>
        <v>5.9454052015430789E-2</v>
      </c>
      <c r="K19" s="78">
        <f t="shared" si="7"/>
        <v>5.8563680266395211E-2</v>
      </c>
      <c r="L19" s="78">
        <f t="shared" si="7"/>
        <v>5.7673308517359634E-2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9"/>
  <sheetViews>
    <sheetView showGridLines="0" zoomScaleNormal="100" workbookViewId="0">
      <selection activeCell="B4" sqref="B4"/>
    </sheetView>
  </sheetViews>
  <sheetFormatPr defaultColWidth="8.6640625" defaultRowHeight="14.4" x14ac:dyDescent="0.3"/>
  <cols>
    <col min="3" max="3" width="12.44140625" style="1" customWidth="1"/>
    <col min="4" max="4" width="8.88671875" style="1" customWidth="1"/>
    <col min="5" max="5" width="9.77734375" style="1" customWidth="1"/>
    <col min="6" max="6" width="13.21875" style="1" customWidth="1"/>
    <col min="8" max="8" width="12.44140625" style="1" customWidth="1"/>
    <col min="9" max="9" width="6.6640625" style="1" customWidth="1"/>
    <col min="10" max="10" width="10.5546875" style="1" customWidth="1"/>
    <col min="11" max="11" width="15.6640625" style="1" customWidth="1"/>
    <col min="13" max="13" width="12.44140625" style="1" customWidth="1"/>
    <col min="14" max="14" width="8.77734375" style="1" customWidth="1"/>
    <col min="15" max="15" width="7.6640625" style="1" customWidth="1"/>
    <col min="16" max="16" width="11.88671875" style="1" customWidth="1"/>
  </cols>
  <sheetData>
    <row r="1" spans="1:18" ht="14.25" customHeigh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14.2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 ht="14.25" customHeight="1" x14ac:dyDescent="0.3">
      <c r="A3" s="50"/>
      <c r="B3" s="50"/>
      <c r="C3" s="321" t="s">
        <v>2610</v>
      </c>
      <c r="D3" s="321"/>
      <c r="E3" s="321"/>
      <c r="F3" s="321"/>
      <c r="G3" s="50"/>
      <c r="H3" s="317" t="s">
        <v>2611</v>
      </c>
      <c r="I3" s="317"/>
      <c r="J3" s="317"/>
      <c r="K3" s="317"/>
      <c r="L3" s="50"/>
      <c r="M3" s="317" t="s">
        <v>2612</v>
      </c>
      <c r="N3" s="317"/>
      <c r="O3" s="317"/>
      <c r="P3" s="317"/>
      <c r="Q3" s="50"/>
      <c r="R3" s="50"/>
    </row>
    <row r="4" spans="1:18" ht="14.25" customHeight="1" x14ac:dyDescent="0.3">
      <c r="A4" s="50"/>
      <c r="B4" s="50"/>
      <c r="C4" s="319" t="s">
        <v>2613</v>
      </c>
      <c r="D4" s="319" t="s">
        <v>2614</v>
      </c>
      <c r="E4" s="319" t="s">
        <v>2603</v>
      </c>
      <c r="F4" s="319" t="s">
        <v>2408</v>
      </c>
      <c r="G4" s="50"/>
      <c r="H4" s="318" t="s">
        <v>2613</v>
      </c>
      <c r="I4" s="319" t="s">
        <v>2614</v>
      </c>
      <c r="J4" s="319" t="s">
        <v>2574</v>
      </c>
      <c r="K4" s="320" t="s">
        <v>2409</v>
      </c>
      <c r="L4" s="50"/>
      <c r="M4" s="318" t="s">
        <v>2613</v>
      </c>
      <c r="N4" s="319" t="s">
        <v>2614</v>
      </c>
      <c r="O4" s="319" t="s">
        <v>2615</v>
      </c>
      <c r="P4" s="319" t="s">
        <v>2616</v>
      </c>
      <c r="Q4" s="50"/>
      <c r="R4" s="50"/>
    </row>
    <row r="5" spans="1:18" ht="14.25" customHeight="1" x14ac:dyDescent="0.3">
      <c r="A5" s="50"/>
      <c r="B5" s="50"/>
      <c r="C5" s="36">
        <v>1</v>
      </c>
      <c r="D5" s="81">
        <f>DATE(2019,12,31)</f>
        <v>43830</v>
      </c>
      <c r="E5" s="82">
        <f>'Consolidated P&amp;L'!B6</f>
        <v>27103.55</v>
      </c>
      <c r="F5" s="36"/>
      <c r="G5" s="50"/>
      <c r="H5" s="36">
        <v>1</v>
      </c>
      <c r="I5" s="81">
        <f>DATE(2019,12,31)</f>
        <v>43830</v>
      </c>
      <c r="J5" s="82">
        <f>'Consolidated P&amp;L'!B6-('Consolidated P&amp;L'!B11+'Consolidated P&amp;L'!B12+'Consolidated P&amp;L'!B13+'Consolidated P&amp;L'!B17+'Consolidated P&amp;L'!B18+'Consolidated P&amp;L'!B14+'Consolidated P&amp;L'!B19)</f>
        <v>4588.5200000000004</v>
      </c>
      <c r="K5" s="36"/>
      <c r="L5" s="50"/>
      <c r="M5" s="36">
        <v>1</v>
      </c>
      <c r="N5" s="81">
        <f>DATE(2019,12,31)</f>
        <v>43830</v>
      </c>
      <c r="O5" s="82">
        <f>'Consolidated P&amp;L'!B52</f>
        <v>10.55</v>
      </c>
      <c r="P5" s="36"/>
      <c r="Q5" s="50"/>
      <c r="R5" s="50"/>
    </row>
    <row r="6" spans="1:18" ht="14.25" customHeight="1" x14ac:dyDescent="0.3">
      <c r="A6" s="50"/>
      <c r="B6" s="50"/>
      <c r="C6" s="36">
        <f t="shared" ref="C6:C14" si="0">C5+1</f>
        <v>2</v>
      </c>
      <c r="D6" s="81">
        <f t="shared" ref="D6:D14" si="1">D5+365</f>
        <v>44195</v>
      </c>
      <c r="E6" s="82">
        <f>Assumptions!B3</f>
        <v>24516.17</v>
      </c>
      <c r="F6" s="83">
        <f t="shared" ref="F6:F14" si="2">(E6-E5)/E5</f>
        <v>-9.5462771481964581E-2</v>
      </c>
      <c r="G6" s="50"/>
      <c r="H6" s="36">
        <f t="shared" ref="H6:H14" si="3">H5+1</f>
        <v>2</v>
      </c>
      <c r="I6" s="81">
        <f t="shared" ref="I6:I14" si="4">I5+365</f>
        <v>44195</v>
      </c>
      <c r="J6" s="82">
        <f>Assumptions!B9</f>
        <v>4983.43</v>
      </c>
      <c r="K6" s="83">
        <f t="shared" ref="K6:K14" si="5">(J6-J5)/J5</f>
        <v>8.6064787774707274E-2</v>
      </c>
      <c r="L6" s="50"/>
      <c r="M6" s="36">
        <f t="shared" ref="M6:M14" si="6">M5+1</f>
        <v>2</v>
      </c>
      <c r="N6" s="81">
        <f t="shared" ref="N6:N14" si="7">N5+365</f>
        <v>44195</v>
      </c>
      <c r="O6" s="82">
        <f>'Consolidated P&amp;L'!C52</f>
        <v>11.91</v>
      </c>
      <c r="P6" s="83">
        <f t="shared" ref="P6:P14" si="8">(O6-O5)/O5</f>
        <v>0.12890995260663501</v>
      </c>
      <c r="Q6" s="50"/>
      <c r="R6" s="50"/>
    </row>
    <row r="7" spans="1:18" ht="14.25" customHeight="1" x14ac:dyDescent="0.3">
      <c r="A7" s="50"/>
      <c r="B7" s="50"/>
      <c r="C7" s="36">
        <f t="shared" si="0"/>
        <v>3</v>
      </c>
      <c r="D7" s="81">
        <f t="shared" si="1"/>
        <v>44560</v>
      </c>
      <c r="E7" s="82">
        <f>Assumptions!C3</f>
        <v>28965.46</v>
      </c>
      <c r="F7" s="83">
        <f t="shared" si="2"/>
        <v>0.18148389409928228</v>
      </c>
      <c r="G7" s="50"/>
      <c r="H7" s="36">
        <f t="shared" si="3"/>
        <v>3</v>
      </c>
      <c r="I7" s="81">
        <f t="shared" si="4"/>
        <v>44560</v>
      </c>
      <c r="J7" s="82">
        <f>Assumptions!C9</f>
        <v>6165.77</v>
      </c>
      <c r="K7" s="83">
        <f t="shared" si="5"/>
        <v>0.23725426061969368</v>
      </c>
      <c r="L7" s="50"/>
      <c r="M7" s="36">
        <f t="shared" si="6"/>
        <v>3</v>
      </c>
      <c r="N7" s="81">
        <f t="shared" si="7"/>
        <v>44560</v>
      </c>
      <c r="O7" s="82">
        <f>'Consolidated P&amp;L'!D52</f>
        <v>14</v>
      </c>
      <c r="P7" s="83">
        <f t="shared" si="8"/>
        <v>0.17548278757346766</v>
      </c>
      <c r="Q7" s="50"/>
      <c r="R7" s="50"/>
    </row>
    <row r="8" spans="1:18" ht="14.25" customHeight="1" x14ac:dyDescent="0.3">
      <c r="A8" s="50"/>
      <c r="B8" s="50"/>
      <c r="C8" s="36">
        <f t="shared" si="0"/>
        <v>4</v>
      </c>
      <c r="D8" s="81">
        <f t="shared" si="1"/>
        <v>44925</v>
      </c>
      <c r="E8" s="82">
        <f>Assumptions!D3</f>
        <v>38937.03</v>
      </c>
      <c r="F8" s="83">
        <f t="shared" si="2"/>
        <v>0.34425726365125914</v>
      </c>
      <c r="G8" s="50"/>
      <c r="H8" s="36">
        <f t="shared" si="3"/>
        <v>4</v>
      </c>
      <c r="I8" s="81">
        <f t="shared" si="4"/>
        <v>44925</v>
      </c>
      <c r="J8" s="82">
        <f>Assumptions!D9</f>
        <v>5075.4700000000012</v>
      </c>
      <c r="K8" s="83">
        <f t="shared" si="5"/>
        <v>-0.17683111760574902</v>
      </c>
      <c r="L8" s="50"/>
      <c r="M8" s="36">
        <f t="shared" si="6"/>
        <v>4</v>
      </c>
      <c r="N8" s="81">
        <f t="shared" si="7"/>
        <v>44925</v>
      </c>
      <c r="O8" s="82">
        <f>'Consolidated P&amp;L'!E52</f>
        <v>13.01</v>
      </c>
      <c r="P8" s="83">
        <f t="shared" si="8"/>
        <v>-7.071428571428573E-2</v>
      </c>
      <c r="Q8" s="50"/>
      <c r="R8" s="50"/>
    </row>
    <row r="9" spans="1:18" ht="14.25" customHeight="1" x14ac:dyDescent="0.3">
      <c r="A9" s="50"/>
      <c r="B9" s="50"/>
      <c r="C9" s="36">
        <f t="shared" si="0"/>
        <v>5</v>
      </c>
      <c r="D9" s="81">
        <f t="shared" si="1"/>
        <v>45290</v>
      </c>
      <c r="E9" s="82">
        <f>Assumptions!E3</f>
        <v>33159.64</v>
      </c>
      <c r="F9" s="83">
        <f t="shared" si="2"/>
        <v>-0.14837777817157599</v>
      </c>
      <c r="G9" s="50"/>
      <c r="H9" s="36">
        <f t="shared" si="3"/>
        <v>5</v>
      </c>
      <c r="I9" s="81">
        <f t="shared" si="4"/>
        <v>45290</v>
      </c>
      <c r="J9" s="82">
        <f>Assumptions!E9</f>
        <v>6385.1499999999978</v>
      </c>
      <c r="K9" s="83">
        <f t="shared" si="5"/>
        <v>0.25804112722565525</v>
      </c>
      <c r="L9" s="50"/>
      <c r="M9" s="36">
        <f t="shared" si="6"/>
        <v>5</v>
      </c>
      <c r="N9" s="81">
        <f t="shared" si="7"/>
        <v>45290</v>
      </c>
      <c r="O9" s="82">
        <f>'Consolidated P&amp;L'!F52</f>
        <v>17.989999999999998</v>
      </c>
      <c r="P9" s="83">
        <f t="shared" si="8"/>
        <v>0.38278247501921592</v>
      </c>
      <c r="Q9" s="50"/>
      <c r="R9" s="50"/>
    </row>
    <row r="10" spans="1:18" ht="14.25" customHeight="1" x14ac:dyDescent="0.3">
      <c r="A10" s="50"/>
      <c r="B10" s="50"/>
      <c r="C10" s="36">
        <f t="shared" si="0"/>
        <v>6</v>
      </c>
      <c r="D10" s="81">
        <f t="shared" si="1"/>
        <v>45655</v>
      </c>
      <c r="E10" s="82">
        <f>Assumptions!F3</f>
        <v>33697.699999999997</v>
      </c>
      <c r="F10" s="83">
        <f t="shared" si="2"/>
        <v>1.6226352276442015E-2</v>
      </c>
      <c r="G10" s="50"/>
      <c r="H10" s="36">
        <f t="shared" si="3"/>
        <v>6</v>
      </c>
      <c r="I10" s="81">
        <f t="shared" si="4"/>
        <v>45655</v>
      </c>
      <c r="J10" s="82">
        <f>Assumptions!F9</f>
        <v>4602.7099999999955</v>
      </c>
      <c r="K10" s="83">
        <f t="shared" si="5"/>
        <v>-0.2791539744563562</v>
      </c>
      <c r="L10" s="50"/>
      <c r="M10" s="36">
        <f t="shared" si="6"/>
        <v>6</v>
      </c>
      <c r="N10" s="81">
        <f t="shared" si="7"/>
        <v>45655</v>
      </c>
      <c r="O10" s="82">
        <f>'Consolidated P&amp;L'!G52</f>
        <v>17</v>
      </c>
      <c r="P10" s="83">
        <f t="shared" si="8"/>
        <v>-5.5030572540300082E-2</v>
      </c>
      <c r="Q10" s="50"/>
      <c r="R10" s="50"/>
    </row>
    <row r="11" spans="1:18" ht="14.25" customHeight="1" x14ac:dyDescent="0.3">
      <c r="A11" s="50"/>
      <c r="B11" s="50"/>
      <c r="C11" s="36">
        <f t="shared" si="0"/>
        <v>7</v>
      </c>
      <c r="D11" s="150">
        <f t="shared" si="1"/>
        <v>46020</v>
      </c>
      <c r="E11" s="151">
        <f>FORECAST(C11,$E$5:$E$10,$C$5:$C$10)</f>
        <v>37950.531333333332</v>
      </c>
      <c r="F11" s="152">
        <f t="shared" si="2"/>
        <v>0.12620538889399976</v>
      </c>
      <c r="G11" s="50"/>
      <c r="H11" s="36">
        <f t="shared" si="3"/>
        <v>7</v>
      </c>
      <c r="I11" s="150">
        <f t="shared" si="4"/>
        <v>46020</v>
      </c>
      <c r="J11" s="151">
        <f>FORECAST(H11,$J$5:$J$10,$H$5:$H$10)</f>
        <v>5618.7559999999967</v>
      </c>
      <c r="K11" s="152">
        <f t="shared" si="5"/>
        <v>0.22074951495966555</v>
      </c>
      <c r="L11" s="50"/>
      <c r="M11" s="36">
        <f t="shared" si="6"/>
        <v>7</v>
      </c>
      <c r="N11" s="150">
        <f t="shared" si="7"/>
        <v>46020</v>
      </c>
      <c r="O11" s="151">
        <f>FORECAST(M11,$O$5:$O$10,$M$5:$M$10)</f>
        <v>19.026666666666664</v>
      </c>
      <c r="P11" s="152">
        <f t="shared" si="8"/>
        <v>0.11921568627450962</v>
      </c>
      <c r="Q11" s="50"/>
      <c r="R11" s="50"/>
    </row>
    <row r="12" spans="1:18" ht="14.25" customHeight="1" x14ac:dyDescent="0.3">
      <c r="A12" s="50"/>
      <c r="B12" s="50"/>
      <c r="C12" s="36">
        <f t="shared" si="0"/>
        <v>8</v>
      </c>
      <c r="D12" s="150">
        <f t="shared" si="1"/>
        <v>46385</v>
      </c>
      <c r="E12" s="151">
        <f>FORECAST(C12,$E$5:$E$10,$C$5:$C$10)</f>
        <v>39918.323619047616</v>
      </c>
      <c r="F12" s="152">
        <f t="shared" si="2"/>
        <v>5.185150817601071E-2</v>
      </c>
      <c r="G12" s="50"/>
      <c r="H12" s="36">
        <f t="shared" si="3"/>
        <v>8</v>
      </c>
      <c r="I12" s="150">
        <f t="shared" si="4"/>
        <v>46385</v>
      </c>
      <c r="J12" s="151">
        <f>FORECAST(H12,$J$5:$J$10,$H$5:$H$10)</f>
        <v>5709.7791428571381</v>
      </c>
      <c r="K12" s="152">
        <f t="shared" si="5"/>
        <v>1.6199874644341472E-2</v>
      </c>
      <c r="L12" s="50"/>
      <c r="M12" s="36">
        <f t="shared" si="6"/>
        <v>8</v>
      </c>
      <c r="N12" s="150">
        <f t="shared" si="7"/>
        <v>46385</v>
      </c>
      <c r="O12" s="151">
        <f>FORECAST(M12,$O$5:$O$10,$M$5:$M$10)</f>
        <v>20.440952380952382</v>
      </c>
      <c r="P12" s="152">
        <f t="shared" si="8"/>
        <v>7.4331764941435799E-2</v>
      </c>
      <c r="Q12" s="50"/>
      <c r="R12" s="50"/>
    </row>
    <row r="13" spans="1:18" ht="14.25" customHeight="1" x14ac:dyDescent="0.3">
      <c r="A13" s="50"/>
      <c r="B13" s="50"/>
      <c r="C13" s="36">
        <f t="shared" si="0"/>
        <v>9</v>
      </c>
      <c r="D13" s="150">
        <f t="shared" si="1"/>
        <v>46750</v>
      </c>
      <c r="E13" s="151">
        <f>FORECAST(C13,$E$5:$E$10,$C$5:$C$10)</f>
        <v>41886.1159047619</v>
      </c>
      <c r="F13" s="152">
        <f t="shared" si="2"/>
        <v>4.9295464020320805E-2</v>
      </c>
      <c r="G13" s="50"/>
      <c r="H13" s="36">
        <f t="shared" si="3"/>
        <v>9</v>
      </c>
      <c r="I13" s="150">
        <f t="shared" si="4"/>
        <v>46750</v>
      </c>
      <c r="J13" s="151">
        <f>FORECAST(H13,$J$5:$J$10,$H$5:$H$10)</f>
        <v>5800.8022857142805</v>
      </c>
      <c r="K13" s="152">
        <f t="shared" si="5"/>
        <v>1.5941622360474517E-2</v>
      </c>
      <c r="L13" s="50"/>
      <c r="M13" s="36">
        <f t="shared" si="6"/>
        <v>9</v>
      </c>
      <c r="N13" s="150">
        <f t="shared" si="7"/>
        <v>46750</v>
      </c>
      <c r="O13" s="151">
        <f>FORECAST(M13,$O$5:$O$10,$M$5:$M$10)</f>
        <v>21.855238095238093</v>
      </c>
      <c r="P13" s="152">
        <f t="shared" si="8"/>
        <v>6.9188836602525117E-2</v>
      </c>
      <c r="Q13" s="50"/>
      <c r="R13" s="50"/>
    </row>
    <row r="14" spans="1:18" ht="14.25" customHeight="1" x14ac:dyDescent="0.3">
      <c r="A14" s="50"/>
      <c r="B14" s="50"/>
      <c r="C14" s="36">
        <f t="shared" si="0"/>
        <v>10</v>
      </c>
      <c r="D14" s="150">
        <f t="shared" si="1"/>
        <v>47115</v>
      </c>
      <c r="E14" s="151">
        <f>FORECAST(C14,$E$5:$E$10,$C$5:$C$10)</f>
        <v>43853.908190476184</v>
      </c>
      <c r="F14" s="152">
        <f t="shared" si="2"/>
        <v>4.6979583645056278E-2</v>
      </c>
      <c r="G14" s="50"/>
      <c r="H14" s="36">
        <f t="shared" si="3"/>
        <v>10</v>
      </c>
      <c r="I14" s="150">
        <f t="shared" si="4"/>
        <v>47115</v>
      </c>
      <c r="J14" s="151">
        <f>FORECAST(H14,$J$5:$J$10,$H$5:$H$10)</f>
        <v>5891.8254285714229</v>
      </c>
      <c r="K14" s="152">
        <f t="shared" si="5"/>
        <v>1.5691474795013507E-2</v>
      </c>
      <c r="L14" s="50"/>
      <c r="M14" s="36">
        <f t="shared" si="6"/>
        <v>10</v>
      </c>
      <c r="N14" s="150">
        <f t="shared" si="7"/>
        <v>47115</v>
      </c>
      <c r="O14" s="151">
        <f>FORECAST(M14,$O$5:$O$10,$M$5:$M$10)</f>
        <v>23.269523809523811</v>
      </c>
      <c r="P14" s="152">
        <f t="shared" si="8"/>
        <v>6.471152170123777E-2</v>
      </c>
      <c r="Q14" s="50"/>
      <c r="R14" s="50"/>
    </row>
    <row r="15" spans="1:18" ht="14.25" customHeight="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9" spans="6:6" ht="14.25" customHeight="1" x14ac:dyDescent="0.3">
      <c r="F19" s="84"/>
    </row>
  </sheetData>
  <mergeCells count="3">
    <mergeCell ref="C3:F3"/>
    <mergeCell ref="H3:K3"/>
    <mergeCell ref="M3:P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3"/>
  <sheetViews>
    <sheetView showGridLines="0" topLeftCell="A19" zoomScaleNormal="100" workbookViewId="0">
      <selection activeCell="F45" sqref="F45"/>
    </sheetView>
  </sheetViews>
  <sheetFormatPr defaultColWidth="8.6640625" defaultRowHeight="14.4" x14ac:dyDescent="0.3"/>
  <cols>
    <col min="1" max="1" width="30.6640625" style="1" customWidth="1"/>
    <col min="2" max="2" width="8.44140625" style="1" bestFit="1" customWidth="1"/>
    <col min="3" max="3" width="8.77734375" style="1" customWidth="1"/>
    <col min="4" max="4" width="11.21875" style="1" customWidth="1"/>
    <col min="5" max="5" width="10.109375" style="1" customWidth="1"/>
    <col min="6" max="6" width="9" style="1" customWidth="1"/>
    <col min="7" max="11" width="8.77734375" style="1" customWidth="1"/>
    <col min="12" max="12" width="10.21875" style="1" bestFit="1" customWidth="1"/>
    <col min="13" max="13" width="8.77734375" style="1" customWidth="1"/>
    <col min="15" max="15" width="11.44140625" style="1" customWidth="1"/>
    <col min="16" max="16" width="10.21875" style="1" customWidth="1"/>
    <col min="17" max="17" width="8.77734375" style="1" customWidth="1"/>
  </cols>
  <sheetData>
    <row r="1" spans="1:17" ht="14.25" customHeight="1" x14ac:dyDescent="0.3">
      <c r="A1" s="302" t="s">
        <v>2617</v>
      </c>
      <c r="B1" s="303" t="s">
        <v>2618</v>
      </c>
      <c r="C1" s="303"/>
      <c r="D1" s="303"/>
      <c r="E1" s="303"/>
      <c r="F1" s="303" t="s">
        <v>2619</v>
      </c>
      <c r="G1" s="303"/>
      <c r="H1" s="303"/>
      <c r="I1" s="303"/>
      <c r="J1" s="304" t="s">
        <v>2620</v>
      </c>
      <c r="K1" s="304"/>
      <c r="L1" s="304"/>
      <c r="M1" s="304"/>
      <c r="N1" s="85"/>
      <c r="O1" s="85"/>
      <c r="P1" s="85"/>
      <c r="Q1" s="85"/>
    </row>
    <row r="2" spans="1:17" ht="24" customHeight="1" x14ac:dyDescent="0.3">
      <c r="A2" s="302"/>
      <c r="B2" s="305" t="s">
        <v>2621</v>
      </c>
      <c r="C2" s="305" t="s">
        <v>2622</v>
      </c>
      <c r="D2" s="305" t="s">
        <v>2623</v>
      </c>
      <c r="E2" s="305" t="s">
        <v>2624</v>
      </c>
      <c r="F2" s="305" t="s">
        <v>2625</v>
      </c>
      <c r="G2" s="305" t="s">
        <v>2626</v>
      </c>
      <c r="H2" s="305" t="s">
        <v>2627</v>
      </c>
      <c r="I2" s="305" t="s">
        <v>2628</v>
      </c>
      <c r="J2" s="306" t="s">
        <v>2629</v>
      </c>
      <c r="K2" s="306" t="s">
        <v>2630</v>
      </c>
      <c r="L2" s="306" t="s">
        <v>2631</v>
      </c>
      <c r="M2" s="306" t="s">
        <v>2632</v>
      </c>
      <c r="N2" s="85"/>
      <c r="O2" s="85"/>
      <c r="P2" s="85"/>
      <c r="Q2" s="85"/>
    </row>
    <row r="3" spans="1:17" ht="14.25" customHeight="1" x14ac:dyDescent="0.3">
      <c r="A3" s="86" t="s">
        <v>2633</v>
      </c>
      <c r="B3" s="87">
        <v>416</v>
      </c>
      <c r="C3" s="88">
        <f>'Consolidated Balance sheet'!G38/2</f>
        <v>246.31</v>
      </c>
      <c r="D3" s="89">
        <f>B3*C3</f>
        <v>102464.96000000001</v>
      </c>
      <c r="E3" s="90">
        <f>D3+'Consolidated Balance sheet'!G47+'Consolidated Balance sheet'!G48+'Consolidated Balance sheet'!G56+'Consolidated Balance sheet'!G57-'Consolidated Balance sheet'!G26-'Consolidated Balance sheet'!G27-'Consolidated Balance sheet'!G24</f>
        <v>95259.139999999985</v>
      </c>
      <c r="F3" s="91">
        <f>'Consolidated P&amp;L'!G6</f>
        <v>33697.699999999997</v>
      </c>
      <c r="G3" s="91">
        <f>Assumptions!F9</f>
        <v>4602.7099999999955</v>
      </c>
      <c r="H3" s="91">
        <f>Assumptions!F11</f>
        <v>2124.3699999999953</v>
      </c>
      <c r="I3" s="88">
        <f>'Consolidated P&amp;L'!G52</f>
        <v>17</v>
      </c>
      <c r="J3" s="92">
        <f t="shared" ref="J3:J8" si="0">B3/I3</f>
        <v>24.470588235294116</v>
      </c>
      <c r="K3" s="92">
        <f t="shared" ref="K3:K8" si="1">E3/F3</f>
        <v>2.8268736441953011</v>
      </c>
      <c r="L3" s="92">
        <f t="shared" ref="L3:L8" si="2">E3/G3</f>
        <v>20.696315866087605</v>
      </c>
      <c r="M3" s="92">
        <f t="shared" ref="M3:M8" si="3">E3/H3</f>
        <v>44.84112466284131</v>
      </c>
      <c r="N3" s="85"/>
      <c r="O3" s="85"/>
      <c r="P3" s="85"/>
      <c r="Q3" s="85"/>
    </row>
    <row r="4" spans="1:17" ht="14.25" customHeight="1" x14ac:dyDescent="0.3">
      <c r="A4" s="86" t="s">
        <v>2634</v>
      </c>
      <c r="B4" s="87">
        <v>10911</v>
      </c>
      <c r="C4" s="39">
        <f>295/10</f>
        <v>29.5</v>
      </c>
      <c r="D4" s="87">
        <v>321455.96000000002</v>
      </c>
      <c r="E4" s="93">
        <v>344269</v>
      </c>
      <c r="F4" s="94">
        <v>88512</v>
      </c>
      <c r="G4" s="94">
        <v>17004</v>
      </c>
      <c r="H4" s="94">
        <f>10927+1872</f>
        <v>12799</v>
      </c>
      <c r="I4" s="39">
        <v>277.10000000000002</v>
      </c>
      <c r="J4" s="92">
        <f t="shared" si="0"/>
        <v>39.375676651028506</v>
      </c>
      <c r="K4" s="92">
        <f t="shared" si="1"/>
        <v>3.8895178054952999</v>
      </c>
      <c r="L4" s="92">
        <f t="shared" si="2"/>
        <v>20.246353799106092</v>
      </c>
      <c r="M4" s="92">
        <f t="shared" si="3"/>
        <v>26.898117040393782</v>
      </c>
      <c r="N4" s="85"/>
      <c r="O4" s="85"/>
      <c r="P4" s="85"/>
      <c r="Q4" s="85"/>
    </row>
    <row r="5" spans="1:17" ht="14.25" customHeight="1" x14ac:dyDescent="0.3">
      <c r="A5" s="86" t="s">
        <v>2402</v>
      </c>
      <c r="B5" s="95">
        <v>23415</v>
      </c>
      <c r="C5" s="39">
        <f>36/10</f>
        <v>3.6</v>
      </c>
      <c r="D5" s="95">
        <v>84700.63</v>
      </c>
      <c r="E5" s="93">
        <v>86426</v>
      </c>
      <c r="F5" s="94">
        <v>20943</v>
      </c>
      <c r="G5" s="94">
        <v>4638</v>
      </c>
      <c r="H5" s="96">
        <f>2293+212</f>
        <v>2505</v>
      </c>
      <c r="I5" s="39">
        <v>483.24</v>
      </c>
      <c r="J5" s="92">
        <f t="shared" si="0"/>
        <v>48.454184256270175</v>
      </c>
      <c r="K5" s="92">
        <f t="shared" si="1"/>
        <v>4.126724920021009</v>
      </c>
      <c r="L5" s="92">
        <f t="shared" si="2"/>
        <v>18.634325140146615</v>
      </c>
      <c r="M5" s="92">
        <f t="shared" si="3"/>
        <v>34.501397205588823</v>
      </c>
      <c r="N5" s="85"/>
      <c r="O5" s="85"/>
      <c r="P5" s="85"/>
      <c r="Q5" s="85"/>
    </row>
    <row r="6" spans="1:17" ht="14.25" customHeight="1" x14ac:dyDescent="0.3">
      <c r="A6" s="86" t="s">
        <v>2635</v>
      </c>
      <c r="B6" s="87">
        <v>4822</v>
      </c>
      <c r="C6" s="39">
        <f>77/10</f>
        <v>7.7</v>
      </c>
      <c r="D6" s="87">
        <v>37275.96</v>
      </c>
      <c r="E6" s="93">
        <v>43146</v>
      </c>
      <c r="F6" s="94">
        <v>13722</v>
      </c>
      <c r="G6" s="94">
        <v>2374</v>
      </c>
      <c r="H6" s="94">
        <f>1444+424</f>
        <v>1868</v>
      </c>
      <c r="I6" s="39">
        <v>128.44999999999999</v>
      </c>
      <c r="J6" s="92">
        <f t="shared" si="0"/>
        <v>37.539898793304793</v>
      </c>
      <c r="K6" s="92">
        <f t="shared" si="1"/>
        <v>3.144293834717971</v>
      </c>
      <c r="L6" s="92">
        <f t="shared" si="2"/>
        <v>18.174389216512214</v>
      </c>
      <c r="M6" s="92">
        <f t="shared" si="3"/>
        <v>23.097430406852247</v>
      </c>
      <c r="N6" s="85"/>
      <c r="O6" s="85"/>
      <c r="P6" s="85"/>
      <c r="Q6" s="85"/>
    </row>
    <row r="7" spans="1:17" ht="15" customHeight="1" x14ac:dyDescent="0.3">
      <c r="A7" s="97" t="s">
        <v>2636</v>
      </c>
      <c r="B7" s="95">
        <v>1651.7</v>
      </c>
      <c r="C7" s="39">
        <f>38/2</f>
        <v>19</v>
      </c>
      <c r="D7" s="95">
        <v>31036.22</v>
      </c>
      <c r="E7" s="93">
        <v>38405</v>
      </c>
      <c r="F7" s="44">
        <v>14804</v>
      </c>
      <c r="G7" s="44">
        <v>3083</v>
      </c>
      <c r="H7" s="96">
        <f>1449+480</f>
        <v>1929</v>
      </c>
      <c r="I7" s="96">
        <v>60.73</v>
      </c>
      <c r="J7" s="92">
        <f t="shared" si="0"/>
        <v>27.197431253087437</v>
      </c>
      <c r="K7" s="92">
        <f t="shared" si="1"/>
        <v>2.5942312888408536</v>
      </c>
      <c r="L7" s="92">
        <f t="shared" si="2"/>
        <v>12.457022380797923</v>
      </c>
      <c r="M7" s="92">
        <f t="shared" si="3"/>
        <v>19.909279419388284</v>
      </c>
      <c r="N7" s="85"/>
      <c r="O7" s="94"/>
      <c r="P7" s="85"/>
      <c r="Q7" s="85"/>
    </row>
    <row r="8" spans="1:17" ht="14.25" customHeight="1" x14ac:dyDescent="0.3">
      <c r="A8" s="86" t="s">
        <v>2637</v>
      </c>
      <c r="B8" s="87">
        <v>1324.7</v>
      </c>
      <c r="C8" s="36">
        <f>188/10</f>
        <v>18.8</v>
      </c>
      <c r="D8" s="87">
        <v>24906.38</v>
      </c>
      <c r="E8" s="93">
        <v>24693</v>
      </c>
      <c r="F8" s="98">
        <v>25962</v>
      </c>
      <c r="G8" s="38">
        <v>2958</v>
      </c>
      <c r="H8" s="38">
        <f>2157+112</f>
        <v>2269</v>
      </c>
      <c r="I8" s="38">
        <v>113.8</v>
      </c>
      <c r="J8" s="92">
        <f t="shared" si="0"/>
        <v>11.640597539543059</v>
      </c>
      <c r="K8" s="92">
        <f t="shared" si="1"/>
        <v>0.95112086896232961</v>
      </c>
      <c r="L8" s="92">
        <f t="shared" si="2"/>
        <v>8.3478701825557806</v>
      </c>
      <c r="M8" s="92">
        <f t="shared" si="3"/>
        <v>10.882767739092111</v>
      </c>
      <c r="N8" s="85"/>
      <c r="O8" s="85"/>
      <c r="P8" s="85"/>
      <c r="Q8" s="85"/>
    </row>
    <row r="9" spans="1:17" ht="14.25" customHeight="1" x14ac:dyDescent="0.3">
      <c r="A9" s="99" t="s">
        <v>2638</v>
      </c>
      <c r="B9" s="44">
        <f t="shared" ref="B9:M9" si="4">AVERAGE(B4:B8)</f>
        <v>8424.8799999999992</v>
      </c>
      <c r="C9" s="44">
        <f t="shared" si="4"/>
        <v>15.720000000000002</v>
      </c>
      <c r="D9" s="100">
        <f t="shared" si="4"/>
        <v>99875.03</v>
      </c>
      <c r="E9" s="100">
        <f t="shared" si="4"/>
        <v>107387.8</v>
      </c>
      <c r="F9" s="100">
        <f t="shared" si="4"/>
        <v>32788.6</v>
      </c>
      <c r="G9" s="100">
        <f t="shared" si="4"/>
        <v>6011.4</v>
      </c>
      <c r="H9" s="100">
        <f t="shared" si="4"/>
        <v>4274</v>
      </c>
      <c r="I9" s="44">
        <f t="shared" si="4"/>
        <v>212.66399999999999</v>
      </c>
      <c r="J9" s="101">
        <f t="shared" si="4"/>
        <v>32.841557698646795</v>
      </c>
      <c r="K9" s="101">
        <f t="shared" si="4"/>
        <v>2.9411777436074926</v>
      </c>
      <c r="L9" s="101">
        <f t="shared" si="4"/>
        <v>15.571992143823724</v>
      </c>
      <c r="M9" s="101">
        <f t="shared" si="4"/>
        <v>23.05779836226305</v>
      </c>
      <c r="N9" s="85"/>
      <c r="O9" s="85"/>
      <c r="P9" s="85"/>
      <c r="Q9" s="85"/>
    </row>
    <row r="10" spans="1:17" ht="14.25" customHeight="1" x14ac:dyDescent="0.3">
      <c r="A10" s="99" t="s">
        <v>2639</v>
      </c>
      <c r="B10" s="44">
        <f t="shared" ref="B10:M10" si="5">MEDIAN(B4:B8)</f>
        <v>4822</v>
      </c>
      <c r="C10" s="44">
        <f t="shared" si="5"/>
        <v>18.8</v>
      </c>
      <c r="D10" s="100">
        <f t="shared" si="5"/>
        <v>37275.96</v>
      </c>
      <c r="E10" s="100">
        <f t="shared" si="5"/>
        <v>43146</v>
      </c>
      <c r="F10" s="100">
        <f t="shared" si="5"/>
        <v>20943</v>
      </c>
      <c r="G10" s="100">
        <f t="shared" si="5"/>
        <v>3083</v>
      </c>
      <c r="H10" s="100">
        <f t="shared" si="5"/>
        <v>2269</v>
      </c>
      <c r="I10" s="44">
        <f t="shared" si="5"/>
        <v>128.44999999999999</v>
      </c>
      <c r="J10" s="101">
        <f t="shared" si="5"/>
        <v>37.539898793304793</v>
      </c>
      <c r="K10" s="101">
        <f t="shared" si="5"/>
        <v>3.144293834717971</v>
      </c>
      <c r="L10" s="101">
        <f t="shared" si="5"/>
        <v>18.174389216512214</v>
      </c>
      <c r="M10" s="101">
        <f t="shared" si="5"/>
        <v>23.097430406852247</v>
      </c>
      <c r="N10" s="85"/>
      <c r="O10" s="85"/>
      <c r="P10" s="102"/>
      <c r="Q10" s="103"/>
    </row>
    <row r="11" spans="1:17" ht="14.25" customHeight="1" x14ac:dyDescent="0.3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53"/>
      <c r="Q11" s="85"/>
    </row>
    <row r="12" spans="1:17" ht="14.25" customHeight="1" x14ac:dyDescent="0.3">
      <c r="A12" s="302" t="s">
        <v>2640</v>
      </c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85"/>
      <c r="O12" s="85"/>
      <c r="P12" s="85"/>
      <c r="Q12" s="85"/>
    </row>
    <row r="13" spans="1:17" ht="45.75" customHeight="1" x14ac:dyDescent="0.3">
      <c r="A13" s="307" t="s">
        <v>2641</v>
      </c>
      <c r="B13" s="305" t="s">
        <v>2642</v>
      </c>
      <c r="C13" s="305" t="s">
        <v>2643</v>
      </c>
      <c r="D13" s="307" t="s">
        <v>2644</v>
      </c>
      <c r="E13" s="306" t="s">
        <v>2645</v>
      </c>
      <c r="F13" s="306" t="s">
        <v>2646</v>
      </c>
      <c r="G13" s="306" t="s">
        <v>2647</v>
      </c>
      <c r="H13" s="306" t="s">
        <v>2648</v>
      </c>
      <c r="I13" s="308" t="s">
        <v>2649</v>
      </c>
      <c r="J13" s="308" t="s">
        <v>2650</v>
      </c>
      <c r="K13" s="307" t="s">
        <v>2651</v>
      </c>
      <c r="L13" s="306" t="s">
        <v>2652</v>
      </c>
      <c r="M13" s="306" t="s">
        <v>2653</v>
      </c>
      <c r="N13" s="85"/>
      <c r="O13" s="85"/>
      <c r="P13" s="85"/>
      <c r="Q13" s="85"/>
    </row>
    <row r="14" spans="1:17" ht="14.25" customHeight="1" x14ac:dyDescent="0.3">
      <c r="A14" s="99" t="s">
        <v>2654</v>
      </c>
      <c r="B14" s="104">
        <f>K9</f>
        <v>2.9411777436074926</v>
      </c>
      <c r="C14" s="104">
        <f>K10</f>
        <v>3.144293834717971</v>
      </c>
      <c r="D14" s="104">
        <f>K3</f>
        <v>2.8268736441953011</v>
      </c>
      <c r="E14" s="105">
        <f>B14*F3</f>
        <v>99110.9252507622</v>
      </c>
      <c r="F14" s="105">
        <f>C14*F3</f>
        <v>105955.47035417576</v>
      </c>
      <c r="G14" s="105">
        <f>E14-(E3-D3)</f>
        <v>106316.74525076222</v>
      </c>
      <c r="H14" s="105">
        <f>F14-(E3-D3)</f>
        <v>113161.29035417578</v>
      </c>
      <c r="I14" s="106">
        <f>G14/C3</f>
        <v>431.63795725208973</v>
      </c>
      <c r="J14" s="106">
        <f>H14/C3</f>
        <v>459.42629350889439</v>
      </c>
      <c r="K14" s="106">
        <f>B3</f>
        <v>416</v>
      </c>
      <c r="L14" s="107">
        <f>(B3-I14)/I14</f>
        <v>-3.6229337548636137E-2</v>
      </c>
      <c r="M14" s="107">
        <f>(B3-J14)/J14</f>
        <v>-9.4522873684968284E-2</v>
      </c>
      <c r="N14" s="85"/>
      <c r="O14" s="85"/>
      <c r="P14" s="85"/>
      <c r="Q14" s="85"/>
    </row>
    <row r="15" spans="1:17" ht="14.25" customHeight="1" x14ac:dyDescent="0.3">
      <c r="A15" s="99" t="s">
        <v>2655</v>
      </c>
      <c r="B15" s="104">
        <f>L9</f>
        <v>15.571992143823724</v>
      </c>
      <c r="C15" s="104">
        <f>L10</f>
        <v>18.174389216512214</v>
      </c>
      <c r="D15" s="104">
        <f>L3</f>
        <v>20.696315866087605</v>
      </c>
      <c r="E15" s="105">
        <f>B15*G3</f>
        <v>71673.363960298826</v>
      </c>
      <c r="F15" s="105">
        <f>C15*G3</f>
        <v>83651.442990732845</v>
      </c>
      <c r="G15" s="105">
        <f>E15-(E3-D3)</f>
        <v>78879.183960298848</v>
      </c>
      <c r="H15" s="105">
        <f>F15-(E3-D3)</f>
        <v>90857.262990732866</v>
      </c>
      <c r="I15" s="106">
        <f>G15/C3</f>
        <v>320.24353034914884</v>
      </c>
      <c r="J15" s="106">
        <f>H15/C3</f>
        <v>368.87362669291895</v>
      </c>
      <c r="K15" s="106">
        <f>B3</f>
        <v>416</v>
      </c>
      <c r="L15" s="107">
        <f>(B3-I15)/I15</f>
        <v>0.29901141030531253</v>
      </c>
      <c r="M15" s="107">
        <f>(B3-J15)/J15</f>
        <v>0.1277575025614747</v>
      </c>
      <c r="N15" s="85"/>
      <c r="O15" s="85"/>
      <c r="P15" s="85"/>
      <c r="Q15" s="85"/>
    </row>
    <row r="16" spans="1:17" ht="14.25" customHeight="1" x14ac:dyDescent="0.3">
      <c r="A16" s="99" t="s">
        <v>2656</v>
      </c>
      <c r="B16" s="104">
        <f>J9</f>
        <v>32.841557698646795</v>
      </c>
      <c r="C16" s="104">
        <f>J10</f>
        <v>37.539898793304793</v>
      </c>
      <c r="D16" s="104">
        <f>J3</f>
        <v>24.470588235294116</v>
      </c>
      <c r="E16" s="106">
        <f>B16*I3</f>
        <v>558.30648087699547</v>
      </c>
      <c r="F16" s="106">
        <f>C16*I3</f>
        <v>638.17827948618151</v>
      </c>
      <c r="G16" s="105">
        <f>E16*C3</f>
        <v>137516.46930481275</v>
      </c>
      <c r="H16" s="105">
        <f>F16*C3</f>
        <v>157189.69202024137</v>
      </c>
      <c r="I16" s="106">
        <f>E16</f>
        <v>558.30648087699547</v>
      </c>
      <c r="J16" s="106">
        <f>F16</f>
        <v>638.17827948618151</v>
      </c>
      <c r="K16" s="106">
        <f>K15</f>
        <v>416</v>
      </c>
      <c r="L16" s="107">
        <f>(B3-I16)/I16</f>
        <v>-0.25488953782778678</v>
      </c>
      <c r="M16" s="107">
        <f>(B3-J16)/J16</f>
        <v>-0.34814453363261533</v>
      </c>
      <c r="N16" s="85"/>
      <c r="O16" s="85"/>
      <c r="P16" s="85"/>
      <c r="Q16" s="85"/>
    </row>
    <row r="17" spans="1:17" ht="14.25" customHeight="1" x14ac:dyDescent="0.3">
      <c r="A17" s="108"/>
      <c r="B17" s="3"/>
      <c r="C17" s="109"/>
      <c r="D17" s="3"/>
      <c r="E17" s="3"/>
      <c r="F17" s="3"/>
      <c r="G17" s="3"/>
      <c r="H17" s="3"/>
      <c r="I17" s="3"/>
      <c r="J17" s="3"/>
      <c r="K17" s="3"/>
      <c r="L17" s="3"/>
      <c r="M17" s="110"/>
      <c r="N17" s="3"/>
      <c r="O17" s="111"/>
      <c r="P17" s="111"/>
      <c r="Q17" s="111"/>
    </row>
    <row r="18" spans="1:17" ht="14.25" customHeight="1" x14ac:dyDescent="0.3">
      <c r="A18" s="108"/>
      <c r="B18" s="3"/>
      <c r="C18" s="109"/>
      <c r="D18" s="3"/>
      <c r="E18" s="3"/>
      <c r="F18" s="3"/>
      <c r="G18" s="3"/>
      <c r="H18" s="3"/>
      <c r="I18" s="3"/>
      <c r="J18" s="3"/>
      <c r="K18" s="3"/>
      <c r="L18" s="3"/>
      <c r="M18" s="110"/>
      <c r="N18" s="3"/>
      <c r="O18" s="309" t="s">
        <v>2657</v>
      </c>
      <c r="P18" s="309" t="s">
        <v>2631</v>
      </c>
      <c r="Q18" s="309" t="s">
        <v>2658</v>
      </c>
    </row>
    <row r="19" spans="1:17" ht="14.25" customHeight="1" x14ac:dyDescent="0.3">
      <c r="A19" s="3" t="s">
        <v>2659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12">
        <f>MAX(K4:K8)</f>
        <v>4.126724920021009</v>
      </c>
      <c r="P19" s="112">
        <f>MAX(L4:L8)</f>
        <v>20.246353799106092</v>
      </c>
      <c r="Q19" s="112">
        <f>MAX(J4:J8)</f>
        <v>48.454184256270175</v>
      </c>
    </row>
    <row r="20" spans="1:17" ht="14.25" customHeight="1" x14ac:dyDescent="0.3">
      <c r="A20" s="3" t="s">
        <v>2660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12">
        <f>QUARTILE(K4:K8,3)</f>
        <v>3.8895178054952999</v>
      </c>
      <c r="P20" s="112">
        <f>QUARTILE(L4:L8,3)</f>
        <v>18.634325140146615</v>
      </c>
      <c r="Q20" s="112">
        <f>QUARTILE(J4:J8,3)</f>
        <v>39.375676651028506</v>
      </c>
    </row>
    <row r="21" spans="1:17" ht="14.25" customHeight="1" x14ac:dyDescent="0.3">
      <c r="A21" s="113" t="s">
        <v>2661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12">
        <f>AVERAGE(K4:K8)</f>
        <v>2.9411777436074926</v>
      </c>
      <c r="P21" s="112">
        <f>AVERAGE(L4:L8)</f>
        <v>15.571992143823724</v>
      </c>
      <c r="Q21" s="112">
        <f>AVERAGE(J4:J8)</f>
        <v>32.841557698646795</v>
      </c>
    </row>
    <row r="22" spans="1:17" ht="14.25" customHeight="1" x14ac:dyDescent="0.3">
      <c r="A22" s="113" t="s">
        <v>2662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111"/>
      <c r="M22" s="3"/>
      <c r="N22" s="3"/>
      <c r="O22" s="112">
        <f>MEDIAN(K4:K8)</f>
        <v>3.144293834717971</v>
      </c>
      <c r="P22" s="112">
        <f>MEDIAN(L4:L8)</f>
        <v>18.174389216512214</v>
      </c>
      <c r="Q22" s="112">
        <f>MEDIAN(J4:J8)</f>
        <v>37.539898793304793</v>
      </c>
    </row>
    <row r="23" spans="1:17" ht="14.25" customHeight="1" x14ac:dyDescent="0.3">
      <c r="A23" s="3" t="s">
        <v>2663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12">
        <f>QUARTILE(K4:K8,1)</f>
        <v>2.5942312888408536</v>
      </c>
      <c r="P23" s="112">
        <f>QUARTILE(L4:L8,1)</f>
        <v>12.457022380797923</v>
      </c>
      <c r="Q23" s="112">
        <f>QUARTILE(J4:J8,1)</f>
        <v>27.197431253087437</v>
      </c>
    </row>
    <row r="24" spans="1:17" ht="14.25" customHeight="1" x14ac:dyDescent="0.3">
      <c r="A24" s="3" t="s">
        <v>2664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12">
        <f>MIN(K4:K8)</f>
        <v>0.95112086896232961</v>
      </c>
      <c r="P24" s="112">
        <f>MIN(L4:L8)</f>
        <v>8.3478701825557806</v>
      </c>
      <c r="Q24" s="112">
        <f>MIN(J4:J8)</f>
        <v>11.640597539543059</v>
      </c>
    </row>
    <row r="25" spans="1:17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4.25" customHeight="1" x14ac:dyDescent="0.3">
      <c r="A26" s="310" t="s">
        <v>2665</v>
      </c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09" t="s">
        <v>2657</v>
      </c>
      <c r="P26" s="309" t="s">
        <v>2631</v>
      </c>
      <c r="Q26" s="309" t="s">
        <v>2658</v>
      </c>
    </row>
    <row r="27" spans="1:17" ht="14.25" customHeight="1" x14ac:dyDescent="0.3">
      <c r="A27" s="3" t="s">
        <v>2666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14">
        <f>O21*F3</f>
        <v>99110.9252507622</v>
      </c>
      <c r="P27" s="114">
        <f>P21*G3</f>
        <v>71673.363960298826</v>
      </c>
      <c r="Q27" s="114">
        <f>Q21*I3*C3</f>
        <v>137516.46930481275</v>
      </c>
    </row>
    <row r="28" spans="1:17" ht="14.25" customHeight="1" x14ac:dyDescent="0.3">
      <c r="A28" s="3" t="s">
        <v>2667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14">
        <f>E3-D3</f>
        <v>-7205.8200000000215</v>
      </c>
      <c r="P28" s="114">
        <f>E3-D3</f>
        <v>-7205.8200000000215</v>
      </c>
      <c r="Q28" s="114">
        <f>E3-D3</f>
        <v>-7205.8200000000215</v>
      </c>
    </row>
    <row r="29" spans="1:17" ht="14.25" customHeight="1" x14ac:dyDescent="0.3">
      <c r="A29" s="3" t="s">
        <v>2668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114">
        <f>O27-O28</f>
        <v>106316.74525076222</v>
      </c>
      <c r="P29" s="114">
        <f>P27-P28</f>
        <v>78879.183960298848</v>
      </c>
      <c r="Q29" s="114">
        <f>Q27-Q28</f>
        <v>144722.28930481279</v>
      </c>
    </row>
    <row r="30" spans="1:17" ht="14.25" customHeight="1" x14ac:dyDescent="0.3">
      <c r="A30" s="3" t="s">
        <v>2669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4">
        <f>C3</f>
        <v>246.31</v>
      </c>
      <c r="P30" s="44">
        <f>C3</f>
        <v>246.31</v>
      </c>
      <c r="Q30" s="44">
        <f>C3</f>
        <v>246.31</v>
      </c>
    </row>
    <row r="31" spans="1:17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" customHeight="1" x14ac:dyDescent="0.3">
      <c r="A32" s="115" t="s">
        <v>2670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100">
        <f>O29/O30</f>
        <v>431.63795725208973</v>
      </c>
      <c r="P32" s="100">
        <f>P29/P30</f>
        <v>320.24353034914884</v>
      </c>
      <c r="Q32" s="100">
        <f>Q21*I3</f>
        <v>558.30648087699547</v>
      </c>
    </row>
    <row r="33" spans="1:11" ht="15" customHeight="1" x14ac:dyDescent="0.3"/>
    <row r="37" spans="1:11" ht="15" customHeight="1" x14ac:dyDescent="0.3">
      <c r="A37" s="116"/>
      <c r="B37" s="117"/>
      <c r="C37" s="118"/>
      <c r="D37" s="118"/>
      <c r="E37" s="118"/>
      <c r="F37" s="118"/>
      <c r="G37" s="118"/>
      <c r="H37" s="118"/>
      <c r="I37" s="118"/>
      <c r="J37" s="118"/>
      <c r="K37" s="118"/>
    </row>
    <row r="38" spans="1:11" ht="14.25" customHeight="1" x14ac:dyDescent="0.3">
      <c r="A38" s="311"/>
      <c r="B38" s="312"/>
      <c r="C38" s="313"/>
      <c r="D38" s="313"/>
      <c r="E38" s="313"/>
      <c r="F38" s="313"/>
      <c r="G38" s="313"/>
      <c r="H38" s="313"/>
      <c r="I38" s="313"/>
      <c r="J38" s="313"/>
      <c r="K38" s="313"/>
    </row>
    <row r="39" spans="1:11" ht="14.25" customHeight="1" x14ac:dyDescent="0.3">
      <c r="A39" s="311"/>
      <c r="B39" s="312"/>
      <c r="C39" s="313"/>
      <c r="D39" s="313"/>
      <c r="E39" s="313"/>
      <c r="F39" s="313"/>
      <c r="G39" s="313"/>
      <c r="H39" s="313"/>
      <c r="I39" s="313"/>
      <c r="J39" s="313"/>
      <c r="K39" s="313"/>
    </row>
    <row r="40" spans="1:11" ht="14.25" customHeight="1" x14ac:dyDescent="0.3">
      <c r="A40" s="311"/>
      <c r="B40" s="312"/>
      <c r="C40" s="313"/>
      <c r="D40" s="313"/>
      <c r="E40" s="313"/>
      <c r="F40" s="313"/>
      <c r="G40" s="313"/>
      <c r="H40" s="313"/>
      <c r="I40" s="313"/>
      <c r="J40" s="313"/>
      <c r="K40" s="313"/>
    </row>
    <row r="41" spans="1:11" ht="14.25" customHeight="1" x14ac:dyDescent="0.3">
      <c r="A41" s="311"/>
      <c r="B41" s="312"/>
      <c r="C41" s="313"/>
      <c r="D41" s="313"/>
      <c r="E41" s="313"/>
      <c r="F41" s="313"/>
      <c r="G41" s="313"/>
      <c r="H41" s="313"/>
      <c r="I41" s="313"/>
      <c r="J41" s="313"/>
      <c r="K41" s="313"/>
    </row>
    <row r="42" spans="1:11" ht="15" customHeight="1" x14ac:dyDescent="0.3">
      <c r="A42" s="311"/>
      <c r="B42" s="312"/>
      <c r="C42" s="313"/>
      <c r="D42" s="313"/>
      <c r="E42" s="313"/>
      <c r="F42" s="313"/>
      <c r="G42" s="313"/>
      <c r="H42" s="313"/>
      <c r="I42" s="313"/>
      <c r="J42" s="313"/>
      <c r="K42" s="313"/>
    </row>
    <row r="43" spans="1:11" ht="15" customHeight="1" x14ac:dyDescent="0.3">
      <c r="A43" s="315"/>
      <c r="B43" s="316"/>
      <c r="C43" s="314"/>
      <c r="D43" s="314"/>
      <c r="E43" s="314"/>
      <c r="F43" s="314"/>
      <c r="G43" s="263"/>
      <c r="H43" s="263"/>
      <c r="I43" s="263"/>
      <c r="J43" s="263"/>
      <c r="K43" s="263"/>
    </row>
  </sheetData>
  <mergeCells count="5">
    <mergeCell ref="A1:A2"/>
    <mergeCell ref="B1:E1"/>
    <mergeCell ref="F1:I1"/>
    <mergeCell ref="J1:M1"/>
    <mergeCell ref="A12:M12"/>
  </mergeCells>
  <hyperlinks>
    <hyperlink ref="A3" r:id="rId1" xr:uid="{00000000-0004-0000-1200-000000000000}"/>
    <hyperlink ref="A4" r:id="rId2" xr:uid="{00000000-0004-0000-1200-000001000000}"/>
    <hyperlink ref="A5" r:id="rId3" xr:uid="{00000000-0004-0000-1200-000002000000}"/>
    <hyperlink ref="A6" r:id="rId4" xr:uid="{00000000-0004-0000-1200-000003000000}"/>
    <hyperlink ref="A7" r:id="rId5" xr:uid="{00000000-0004-0000-1200-000004000000}"/>
    <hyperlink ref="A8" r:id="rId6" xr:uid="{00000000-0004-0000-1200-000005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7"/>
  <sheetViews>
    <sheetView showGridLines="0" zoomScaleNormal="100" workbookViewId="0">
      <selection activeCell="E7" sqref="E7"/>
    </sheetView>
  </sheetViews>
  <sheetFormatPr defaultColWidth="8.6640625" defaultRowHeight="14.4" x14ac:dyDescent="0.3"/>
  <cols>
    <col min="1" max="1" width="88.21875" style="1" customWidth="1"/>
    <col min="2" max="2" width="15" style="1" customWidth="1"/>
    <col min="3" max="3" width="45" style="1" customWidth="1"/>
    <col min="4" max="6" width="15" style="1" customWidth="1"/>
  </cols>
  <sheetData>
    <row r="1" spans="1:9" ht="14.25" customHeight="1" x14ac:dyDescent="0.3">
      <c r="A1" s="120" t="s">
        <v>2671</v>
      </c>
      <c r="B1" s="121"/>
      <c r="C1" s="121"/>
      <c r="D1" s="121"/>
      <c r="E1" s="121"/>
      <c r="F1" s="121"/>
      <c r="G1" s="122"/>
      <c r="H1" s="122"/>
      <c r="I1" s="122"/>
    </row>
    <row r="2" spans="1:9" ht="14.25" customHeight="1" x14ac:dyDescent="0.3">
      <c r="A2" s="123" t="s">
        <v>2672</v>
      </c>
      <c r="B2" s="121"/>
      <c r="C2" s="121"/>
      <c r="D2" s="121"/>
      <c r="E2" s="121"/>
      <c r="F2" s="121"/>
      <c r="G2" s="122"/>
      <c r="H2" s="122"/>
      <c r="I2" s="122"/>
    </row>
    <row r="3" spans="1:9" x14ac:dyDescent="0.3">
      <c r="A3" s="121"/>
      <c r="B3" s="121"/>
      <c r="C3" s="121"/>
      <c r="D3" s="121"/>
      <c r="E3" s="121"/>
      <c r="F3" s="121"/>
      <c r="G3" s="122"/>
      <c r="H3" s="122"/>
      <c r="I3" s="122"/>
    </row>
    <row r="4" spans="1:9" ht="14.25" customHeight="1" x14ac:dyDescent="0.3">
      <c r="A4" s="120" t="s">
        <v>2673</v>
      </c>
      <c r="B4" s="121"/>
      <c r="C4" s="121"/>
      <c r="D4" s="121"/>
      <c r="E4" s="121"/>
      <c r="F4" s="121"/>
      <c r="G4" s="122"/>
      <c r="H4" s="122"/>
      <c r="I4" s="122"/>
    </row>
    <row r="5" spans="1:9" ht="14.25" customHeight="1" x14ac:dyDescent="0.3">
      <c r="A5" s="121" t="s">
        <v>2614</v>
      </c>
      <c r="B5" s="123" t="s">
        <v>2674</v>
      </c>
      <c r="C5" s="123" t="s">
        <v>2675</v>
      </c>
      <c r="D5" s="123" t="s">
        <v>2676</v>
      </c>
      <c r="E5" s="123" t="s">
        <v>2677</v>
      </c>
      <c r="F5" s="121"/>
      <c r="G5" s="122"/>
      <c r="H5" s="122"/>
      <c r="I5" s="122"/>
    </row>
    <row r="6" spans="1:9" ht="14.25" customHeight="1" x14ac:dyDescent="0.3">
      <c r="A6" s="121" t="s">
        <v>2678</v>
      </c>
      <c r="B6" s="124">
        <f>ABS('Consolidated Cash Flow'!C83)</f>
        <v>202.1</v>
      </c>
      <c r="C6" s="124">
        <f>ABS('Consolidated Cash Flow'!D83)</f>
        <v>1251.42</v>
      </c>
      <c r="D6" s="124">
        <f>ABS('Consolidated Cash Flow'!E83)</f>
        <v>496.41</v>
      </c>
      <c r="E6" s="124">
        <f>ABS('Consolidated Cash Flow'!F83)</f>
        <v>492.63</v>
      </c>
      <c r="F6" s="121"/>
      <c r="G6" s="122"/>
      <c r="H6" s="122"/>
      <c r="I6" s="122"/>
    </row>
    <row r="7" spans="1:9" ht="14.25" customHeight="1" x14ac:dyDescent="0.3">
      <c r="A7" s="121" t="s">
        <v>2679</v>
      </c>
      <c r="B7" s="124">
        <f>'Consolidated Balance sheet'!D38/2</f>
        <v>198.565</v>
      </c>
      <c r="C7" s="124">
        <f>'Consolidated Balance sheet'!E38/2</f>
        <v>198.565</v>
      </c>
      <c r="D7" s="124">
        <f>'Consolidated Balance sheet'!F38/2</f>
        <v>219.77</v>
      </c>
      <c r="E7" s="124">
        <f>'Consolidated Balance sheet'!G38/2</f>
        <v>246.31</v>
      </c>
      <c r="F7" s="121"/>
      <c r="G7" s="122"/>
      <c r="H7" s="122"/>
      <c r="I7" s="122"/>
    </row>
    <row r="8" spans="1:9" ht="14.25" customHeight="1" x14ac:dyDescent="0.3">
      <c r="A8" s="121" t="s">
        <v>2680</v>
      </c>
      <c r="B8" s="124">
        <f>B6/B7</f>
        <v>1.0178027346209049</v>
      </c>
      <c r="C8" s="124">
        <f>C6/C7</f>
        <v>6.3023191398282679</v>
      </c>
      <c r="D8" s="124">
        <f>D6/D7</f>
        <v>2.2587705328297765</v>
      </c>
      <c r="E8" s="124">
        <f>E6/E7</f>
        <v>2.000040599244854</v>
      </c>
      <c r="F8" s="121"/>
      <c r="G8" s="122"/>
      <c r="H8" s="122"/>
      <c r="I8" s="122"/>
    </row>
    <row r="9" spans="1:9" x14ac:dyDescent="0.3">
      <c r="A9" s="121"/>
      <c r="B9" s="121"/>
      <c r="C9" s="121"/>
      <c r="D9" s="121"/>
      <c r="E9" s="121"/>
      <c r="F9" s="121"/>
      <c r="G9" s="122"/>
      <c r="H9" s="122"/>
      <c r="I9" s="122"/>
    </row>
    <row r="10" spans="1:9" ht="14.25" customHeight="1" x14ac:dyDescent="0.3">
      <c r="A10" s="120" t="s">
        <v>2681</v>
      </c>
      <c r="B10" s="121"/>
      <c r="C10" s="121"/>
      <c r="D10" s="121"/>
      <c r="E10" s="121"/>
      <c r="F10" s="121"/>
      <c r="G10" s="122"/>
      <c r="H10" s="122"/>
      <c r="I10" s="122"/>
    </row>
    <row r="11" spans="1:9" ht="14.25" customHeight="1" x14ac:dyDescent="0.3">
      <c r="A11" s="121" t="s">
        <v>2682</v>
      </c>
      <c r="B11" s="121"/>
      <c r="C11" s="125">
        <f>(C8-B8)/B8</f>
        <v>5.1920831271647705</v>
      </c>
      <c r="D11" s="125">
        <f>(D8-C8)/C8</f>
        <v>-0.6415969292073449</v>
      </c>
      <c r="E11" s="125">
        <f>(E8-D8)/D8</f>
        <v>-0.11454458512914407</v>
      </c>
      <c r="F11" s="121"/>
      <c r="G11" s="122"/>
      <c r="H11" s="122"/>
      <c r="I11" s="122"/>
    </row>
    <row r="12" spans="1:9" ht="14.25" customHeight="1" x14ac:dyDescent="0.3">
      <c r="A12" s="121" t="s">
        <v>2683</v>
      </c>
      <c r="B12" s="125">
        <f>AVERAGE(C11:E11)</f>
        <v>1.4786472042760941</v>
      </c>
      <c r="C12" s="121" t="s">
        <v>2684</v>
      </c>
      <c r="D12" s="121"/>
      <c r="E12" s="121"/>
      <c r="F12" s="121"/>
      <c r="G12" s="122"/>
      <c r="H12" s="122"/>
      <c r="I12" s="122"/>
    </row>
    <row r="13" spans="1:9" ht="14.25" customHeight="1" x14ac:dyDescent="0.3">
      <c r="A13" s="121"/>
      <c r="B13" s="125"/>
      <c r="C13" s="121"/>
      <c r="D13" s="121"/>
      <c r="E13" s="121"/>
      <c r="F13" s="121"/>
      <c r="G13" s="122"/>
      <c r="H13" s="122"/>
      <c r="I13" s="122"/>
    </row>
    <row r="14" spans="1:9" ht="14.25" customHeight="1" x14ac:dyDescent="0.3">
      <c r="A14" s="121" t="s">
        <v>2685</v>
      </c>
      <c r="B14" s="125">
        <f>Assumptions!B25</f>
        <v>6.5686654258679811E-2</v>
      </c>
      <c r="C14" s="121" t="s">
        <v>2686</v>
      </c>
      <c r="D14" s="121"/>
      <c r="E14" s="121"/>
      <c r="F14" s="121"/>
      <c r="G14" s="122"/>
      <c r="H14" s="122"/>
      <c r="I14" s="122"/>
    </row>
    <row r="15" spans="1:9" x14ac:dyDescent="0.3">
      <c r="A15" s="121"/>
      <c r="B15" s="121"/>
      <c r="C15" s="121"/>
      <c r="D15" s="121"/>
      <c r="E15" s="121"/>
      <c r="F15" s="121"/>
      <c r="G15" s="122"/>
      <c r="H15" s="122"/>
      <c r="I15" s="122"/>
    </row>
    <row r="16" spans="1:9" ht="14.25" customHeight="1" x14ac:dyDescent="0.3">
      <c r="A16" s="120" t="s">
        <v>2687</v>
      </c>
      <c r="B16" s="126">
        <f>G24</f>
        <v>8.5165589967422128E-2</v>
      </c>
      <c r="C16" s="121" t="s">
        <v>2688</v>
      </c>
      <c r="D16" s="121"/>
      <c r="E16" s="121"/>
      <c r="F16" s="121"/>
      <c r="G16" s="122"/>
      <c r="H16" s="122"/>
      <c r="I16" s="122"/>
    </row>
    <row r="17" spans="1:9" x14ac:dyDescent="0.3">
      <c r="A17" s="121"/>
      <c r="B17" s="121"/>
      <c r="C17" s="121"/>
      <c r="D17" s="121"/>
      <c r="E17" s="121"/>
      <c r="F17" s="122" t="s">
        <v>2715</v>
      </c>
      <c r="G17" s="122"/>
      <c r="H17" s="122"/>
      <c r="I17" s="122"/>
    </row>
    <row r="18" spans="1:9" ht="14.25" customHeight="1" x14ac:dyDescent="0.3">
      <c r="A18" s="120" t="s">
        <v>2689</v>
      </c>
      <c r="B18" s="121"/>
      <c r="C18" s="121"/>
      <c r="D18" s="121"/>
      <c r="E18" s="121"/>
      <c r="F18" s="121" t="s">
        <v>2716</v>
      </c>
      <c r="G18" s="127">
        <f>'Consolidated P&amp;L'!G33/('Consolidated Balance sheet'!G38+'Consolidated Balance sheet'!G39)</f>
        <v>9.6521263209104979E-2</v>
      </c>
      <c r="H18" s="122"/>
      <c r="I18" s="122"/>
    </row>
    <row r="19" spans="1:9" ht="14.25" customHeight="1" x14ac:dyDescent="0.3">
      <c r="A19" s="121" t="s">
        <v>2690</v>
      </c>
      <c r="B19" s="125">
        <f>Wacc!C11</f>
        <v>6.25E-2</v>
      </c>
      <c r="C19" s="121" t="s">
        <v>2691</v>
      </c>
      <c r="D19" s="121"/>
      <c r="E19" s="121"/>
      <c r="F19" s="121" t="s">
        <v>2717</v>
      </c>
      <c r="G19" s="122"/>
      <c r="H19" s="122"/>
      <c r="I19" s="122"/>
    </row>
    <row r="20" spans="1:9" ht="14.25" customHeight="1" x14ac:dyDescent="0.3">
      <c r="A20" s="121" t="s">
        <v>347</v>
      </c>
      <c r="B20" s="128">
        <f>Wacc!C12</f>
        <v>1.0923357727358798</v>
      </c>
      <c r="C20" s="121" t="s">
        <v>2692</v>
      </c>
      <c r="D20" s="121"/>
      <c r="E20" s="121"/>
      <c r="F20" s="121" t="s">
        <v>2718</v>
      </c>
      <c r="G20" s="122"/>
      <c r="H20" s="122"/>
      <c r="I20" s="122" t="s">
        <v>2719</v>
      </c>
    </row>
    <row r="21" spans="1:9" ht="14.25" customHeight="1" x14ac:dyDescent="0.3">
      <c r="A21" s="121" t="s">
        <v>348</v>
      </c>
      <c r="B21" s="125">
        <f>Wacc!C13</f>
        <v>6.5000000000000002E-2</v>
      </c>
      <c r="C21" s="121" t="s">
        <v>2693</v>
      </c>
      <c r="D21" s="121"/>
      <c r="E21" s="121"/>
      <c r="F21" s="121"/>
      <c r="G21" s="122"/>
      <c r="H21" s="122"/>
      <c r="I21" s="122">
        <f>E8/'Consolidated P&amp;L'!G52</f>
        <v>0.11764944701440318</v>
      </c>
    </row>
    <row r="22" spans="1:9" ht="14.25" customHeight="1" x14ac:dyDescent="0.3">
      <c r="A22" s="120" t="s">
        <v>2694</v>
      </c>
      <c r="B22" s="126">
        <f>Wacc!C14</f>
        <v>0.13350182522783219</v>
      </c>
      <c r="C22" s="121"/>
      <c r="D22" s="121"/>
      <c r="E22" s="121"/>
      <c r="F22" s="121" t="s">
        <v>2717</v>
      </c>
      <c r="G22" s="122" t="s">
        <v>2720</v>
      </c>
      <c r="H22" s="122"/>
      <c r="I22" s="129">
        <f>1-I21</f>
        <v>0.88235055298559684</v>
      </c>
    </row>
    <row r="23" spans="1:9" x14ac:dyDescent="0.3">
      <c r="A23" s="121"/>
      <c r="B23" s="121"/>
      <c r="C23" s="121"/>
      <c r="D23" s="121"/>
      <c r="E23" s="121"/>
      <c r="F23" s="121"/>
      <c r="G23" s="122"/>
      <c r="H23" s="122"/>
      <c r="I23" s="122"/>
    </row>
    <row r="24" spans="1:9" ht="14.25" customHeight="1" x14ac:dyDescent="0.3">
      <c r="A24" s="120" t="s">
        <v>2695</v>
      </c>
      <c r="B24" s="121"/>
      <c r="C24" s="121"/>
      <c r="D24" s="121"/>
      <c r="E24" s="121"/>
      <c r="F24" s="121" t="s">
        <v>2721</v>
      </c>
      <c r="G24" s="130">
        <f>G18*I22</f>
        <v>8.5165589967422128E-2</v>
      </c>
      <c r="H24" s="122"/>
      <c r="I24" s="122"/>
    </row>
    <row r="25" spans="1:9" ht="14.25" customHeight="1" x14ac:dyDescent="0.3">
      <c r="A25" s="121" t="s">
        <v>2696</v>
      </c>
      <c r="B25" s="125">
        <f>B22</f>
        <v>0.13350182522783219</v>
      </c>
      <c r="C25" s="121"/>
      <c r="D25" s="121"/>
      <c r="E25" s="121"/>
      <c r="F25" s="121"/>
      <c r="G25" s="122"/>
      <c r="H25" s="122"/>
      <c r="I25" s="122"/>
    </row>
    <row r="26" spans="1:9" ht="14.25" customHeight="1" x14ac:dyDescent="0.3">
      <c r="A26" s="121" t="s">
        <v>2697</v>
      </c>
      <c r="B26" s="125">
        <f>B16</f>
        <v>8.5165589967422128E-2</v>
      </c>
      <c r="C26" s="121"/>
      <c r="D26" s="121"/>
      <c r="E26" s="121"/>
      <c r="F26" s="121"/>
      <c r="G26" s="122"/>
      <c r="H26" s="122"/>
      <c r="I26" s="122"/>
    </row>
    <row r="27" spans="1:9" ht="14.25" customHeight="1" x14ac:dyDescent="0.3">
      <c r="A27" s="121" t="s">
        <v>2698</v>
      </c>
      <c r="B27" s="125">
        <f>B25-B26</f>
        <v>4.833623526041006E-2</v>
      </c>
      <c r="C27" s="121"/>
      <c r="D27" s="121"/>
      <c r="E27" s="121"/>
      <c r="F27" s="121"/>
      <c r="G27" s="122"/>
      <c r="H27" s="122"/>
      <c r="I27" s="122"/>
    </row>
    <row r="28" spans="1:9" x14ac:dyDescent="0.3">
      <c r="A28" s="121"/>
      <c r="B28" s="121"/>
      <c r="C28" s="121"/>
      <c r="D28" s="121"/>
      <c r="E28" s="121"/>
      <c r="F28" s="121"/>
      <c r="G28" s="122"/>
      <c r="H28" s="122"/>
      <c r="I28" s="122"/>
    </row>
    <row r="29" spans="1:9" ht="14.25" customHeight="1" x14ac:dyDescent="0.3">
      <c r="A29" s="120" t="s">
        <v>2699</v>
      </c>
      <c r="B29" s="121"/>
      <c r="C29" s="121"/>
      <c r="D29" s="121"/>
      <c r="E29" s="121"/>
      <c r="F29" s="121"/>
      <c r="G29" s="122"/>
      <c r="H29" s="122"/>
      <c r="I29" s="122"/>
    </row>
    <row r="30" spans="1:9" ht="14.25" customHeight="1" x14ac:dyDescent="0.3">
      <c r="A30" s="121" t="s">
        <v>2700</v>
      </c>
      <c r="B30" s="124">
        <f>E8</f>
        <v>2.000040599244854</v>
      </c>
      <c r="C30" s="121" t="s">
        <v>2701</v>
      </c>
      <c r="D30" s="121"/>
      <c r="E30" s="121"/>
      <c r="F30" s="121"/>
      <c r="G30" s="122"/>
      <c r="H30" s="122"/>
      <c r="I30" s="122"/>
    </row>
    <row r="31" spans="1:9" ht="14.25" customHeight="1" x14ac:dyDescent="0.3">
      <c r="A31" s="120" t="s">
        <v>2702</v>
      </c>
      <c r="B31" s="124">
        <f>B30*(1+B16)</f>
        <v>2.1703752368383387</v>
      </c>
      <c r="C31" s="121" t="s">
        <v>2703</v>
      </c>
      <c r="D31" s="121"/>
      <c r="E31" s="121"/>
      <c r="F31" s="121"/>
      <c r="G31" s="122"/>
      <c r="H31" s="122"/>
      <c r="I31" s="122"/>
    </row>
    <row r="32" spans="1:9" x14ac:dyDescent="0.3">
      <c r="A32" s="121"/>
      <c r="B32" s="121"/>
      <c r="C32" s="121"/>
      <c r="D32" s="121"/>
      <c r="E32" s="121"/>
      <c r="F32" s="121"/>
      <c r="G32" s="122"/>
      <c r="H32" s="122"/>
      <c r="I32" s="122"/>
    </row>
    <row r="33" spans="1:9" ht="14.25" customHeight="1" x14ac:dyDescent="0.3">
      <c r="A33" s="120" t="s">
        <v>2704</v>
      </c>
      <c r="B33" s="121"/>
      <c r="C33" s="121"/>
      <c r="D33" s="121"/>
      <c r="E33" s="121"/>
      <c r="F33" s="121"/>
      <c r="G33" s="122"/>
      <c r="H33" s="122"/>
      <c r="I33" s="122"/>
    </row>
    <row r="34" spans="1:9" ht="14.25" customHeight="1" x14ac:dyDescent="0.3">
      <c r="A34" s="121" t="s">
        <v>2705</v>
      </c>
      <c r="B34" s="121"/>
      <c r="C34" s="121"/>
      <c r="D34" s="121"/>
      <c r="E34" s="121"/>
      <c r="F34" s="121"/>
      <c r="G34" s="122"/>
      <c r="H34" s="122"/>
      <c r="I34" s="122"/>
    </row>
    <row r="35" spans="1:9" ht="14.25" customHeight="1" x14ac:dyDescent="0.3">
      <c r="A35" s="120" t="s">
        <v>2706</v>
      </c>
      <c r="B35" s="131">
        <f>B31/(B25-B26)</f>
        <v>44.901619357517298</v>
      </c>
      <c r="C35" s="121"/>
      <c r="D35" s="121"/>
      <c r="E35" s="121"/>
      <c r="F35" s="121"/>
      <c r="G35" s="122"/>
      <c r="H35" s="122"/>
      <c r="I35" s="122"/>
    </row>
    <row r="36" spans="1:9" ht="14.25" customHeight="1" x14ac:dyDescent="0.3">
      <c r="A36" s="121" t="s">
        <v>2707</v>
      </c>
      <c r="B36" s="124">
        <f>'Relative Valuations'!B3</f>
        <v>416</v>
      </c>
      <c r="C36" s="121" t="s">
        <v>2708</v>
      </c>
      <c r="D36" s="121"/>
      <c r="E36" s="121"/>
      <c r="F36" s="121"/>
      <c r="G36" s="122"/>
      <c r="H36" s="122"/>
      <c r="I36" s="122"/>
    </row>
    <row r="37" spans="1:9" ht="14.25" customHeight="1" x14ac:dyDescent="0.3">
      <c r="A37" s="121" t="s">
        <v>2709</v>
      </c>
      <c r="B37" s="125">
        <f>(B36-B35)/B35</f>
        <v>8.2646992681424187</v>
      </c>
      <c r="C37" s="121" t="str">
        <f>IF(B36&gt;B35,"Stock is OVERVALUED vs GGM","Stock is UNDERVALUED vs GGM")</f>
        <v>Stock is OVERVALUED vs GGM</v>
      </c>
      <c r="D37" s="121"/>
      <c r="E37" s="121"/>
      <c r="F37" s="121"/>
      <c r="G37" s="122"/>
      <c r="H37" s="122"/>
      <c r="I37" s="122"/>
    </row>
    <row r="38" spans="1:9" x14ac:dyDescent="0.3">
      <c r="A38" s="121"/>
      <c r="B38" s="121"/>
      <c r="C38" s="121"/>
      <c r="D38" s="121"/>
      <c r="E38" s="121"/>
      <c r="F38" s="121"/>
      <c r="G38" s="122"/>
      <c r="H38" s="122"/>
      <c r="I38" s="122"/>
    </row>
    <row r="39" spans="1:9" ht="14.25" customHeight="1" x14ac:dyDescent="0.3">
      <c r="A39" s="120" t="s">
        <v>2710</v>
      </c>
      <c r="B39" s="121"/>
      <c r="C39" s="121"/>
      <c r="D39" s="121"/>
      <c r="E39" s="121"/>
      <c r="F39" s="121"/>
      <c r="G39" s="122"/>
      <c r="H39" s="122"/>
      <c r="I39" s="122"/>
    </row>
    <row r="40" spans="1:9" ht="14.25" customHeight="1" x14ac:dyDescent="0.3">
      <c r="A40" s="120" t="s">
        <v>2711</v>
      </c>
      <c r="B40" s="126">
        <f>B22-0.02</f>
        <v>0.11350182522783218</v>
      </c>
      <c r="C40" s="126">
        <f>B22-0.01</f>
        <v>0.12350182522783219</v>
      </c>
      <c r="D40" s="126">
        <f>B22</f>
        <v>0.13350182522783219</v>
      </c>
      <c r="E40" s="126">
        <f>B22+0.01</f>
        <v>0.1435018252278322</v>
      </c>
      <c r="F40" s="132">
        <f>B22+0.02</f>
        <v>0.15350182522783218</v>
      </c>
      <c r="G40" s="122"/>
      <c r="H40" s="122"/>
      <c r="I40" s="122"/>
    </row>
    <row r="41" spans="1:9" ht="14.25" customHeight="1" x14ac:dyDescent="0.3">
      <c r="A41" s="132">
        <f>B16-0.01</f>
        <v>7.5165589967422133E-2</v>
      </c>
      <c r="B41" s="124">
        <f>IFERROR(B31/(B22-0.02-(B16-0.01)),"")</f>
        <v>56.61419860597767</v>
      </c>
      <c r="C41" s="124">
        <f>IFERROR(B31/(B22-0.01-(B16-0.01)),"")</f>
        <v>44.901619357517298</v>
      </c>
      <c r="D41" s="124">
        <f>IFERROR(B31/(B22-(B16-0.01)),"")</f>
        <v>37.204581803229011</v>
      </c>
      <c r="E41" s="124">
        <f>IFERROR(B31/(B22+0.01-(B16-0.01)),"")</f>
        <v>31.760240062503481</v>
      </c>
      <c r="F41" s="133">
        <f>IFERROR(B31/(B22+0.02-(B16-0.01)),"")</f>
        <v>27.705891528019521</v>
      </c>
      <c r="G41" s="122"/>
      <c r="H41" s="122"/>
      <c r="I41" s="122"/>
    </row>
    <row r="42" spans="1:9" ht="14.25" customHeight="1" x14ac:dyDescent="0.3">
      <c r="A42" s="132">
        <f>B16</f>
        <v>8.5165589967422128E-2</v>
      </c>
      <c r="B42" s="124">
        <f>IFERROR(B31/(B22-0.02-(B16)),"")</f>
        <v>76.593634154028791</v>
      </c>
      <c r="C42" s="124">
        <f>IFERROR(B31/(B22-0.01-(B16)),"")</f>
        <v>56.614198605977649</v>
      </c>
      <c r="D42" s="124">
        <f>IFERROR(B31/(B22-(B16)),"")</f>
        <v>44.901619357517298</v>
      </c>
      <c r="E42" s="124">
        <f>IFERROR(B31/(B22+0.01-(B16)),"")</f>
        <v>37.204581803229004</v>
      </c>
      <c r="F42" s="133">
        <f>IFERROR(B31/(B22+0.02-(B16)),"")</f>
        <v>31.760240062503488</v>
      </c>
      <c r="G42" s="122"/>
      <c r="H42" s="122"/>
      <c r="I42" s="122"/>
    </row>
    <row r="43" spans="1:9" ht="14.25" customHeight="1" x14ac:dyDescent="0.3">
      <c r="A43" s="132">
        <f>B16+0.01</f>
        <v>9.5165589967422123E-2</v>
      </c>
      <c r="B43" s="124">
        <f>IFERROR(B31/(B22-0.02-(B16+0.01)),"")</f>
        <v>118.36536813663251</v>
      </c>
      <c r="C43" s="124">
        <f>IFERROR(B31/(B22-0.01-(B16+0.01)),"")</f>
        <v>76.593634154028763</v>
      </c>
      <c r="D43" s="124">
        <f>IFERROR(B31/(B22-(B16+0.01)),"")</f>
        <v>56.614198605977649</v>
      </c>
      <c r="E43" s="124">
        <f>IFERROR(B31/(B22+0.01-(B16+0.01)),"")</f>
        <v>44.901619357517291</v>
      </c>
      <c r="F43" s="133">
        <f>IFERROR(B31/(B22+0.02-(B16+0.01)),"")</f>
        <v>37.204581803229011</v>
      </c>
      <c r="G43" s="122"/>
      <c r="H43" s="122"/>
      <c r="I43" s="122"/>
    </row>
    <row r="44" spans="1:9" ht="14.25" customHeight="1" x14ac:dyDescent="0.3">
      <c r="A44" s="132">
        <f>B16+0.02</f>
        <v>0.10516558996742213</v>
      </c>
      <c r="B44" s="124">
        <f>IFERROR(B31/(B22-0.02-(B16+0.02)),"")</f>
        <v>260.35436489487699</v>
      </c>
      <c r="C44" s="124">
        <f>IFERROR(B31/(B22-0.01-(B16+0.02)),"")</f>
        <v>118.36536813663251</v>
      </c>
      <c r="D44" s="124">
        <f>IFERROR(B31/(B22-(B16+0.02)),"")</f>
        <v>76.593634154028791</v>
      </c>
      <c r="E44" s="124">
        <f>IFERROR(B31/(B22+0.01-(B16+0.02)),"")</f>
        <v>56.614198605977649</v>
      </c>
      <c r="F44" s="133">
        <f>IFERROR(B31/(B22+0.02-(B16+0.02)),"")</f>
        <v>44.901619357517312</v>
      </c>
      <c r="G44" s="122"/>
      <c r="H44" s="122"/>
      <c r="I44" s="122"/>
    </row>
    <row r="45" spans="1:9" ht="14.25" customHeight="1" x14ac:dyDescent="0.3">
      <c r="A45" s="132">
        <f>B16+0.03</f>
        <v>0.11516558996742213</v>
      </c>
      <c r="B45" s="124">
        <f>IFERROR(B31/(B22-0.02-(B16+0.03)),"")</f>
        <v>-1304.496474287138</v>
      </c>
      <c r="C45" s="124">
        <f>IFERROR(B31/(B22-0.01-(B16+0.03)),"")</f>
        <v>260.35436489487654</v>
      </c>
      <c r="D45" s="124">
        <f>IFERROR(B31/(B22-(B16+0.03)),"")</f>
        <v>118.36536813663251</v>
      </c>
      <c r="E45" s="124">
        <f>IFERROR(B31/(B22+0.01-(B16+0.03)),"")</f>
        <v>76.593634154028763</v>
      </c>
      <c r="F45" s="133">
        <f>IFERROR(B31/(B22+0.02-(B16+0.03)),"")</f>
        <v>56.61419860597767</v>
      </c>
      <c r="G45" s="122"/>
      <c r="H45" s="122"/>
      <c r="I45" s="122"/>
    </row>
    <row r="46" spans="1:9" x14ac:dyDescent="0.3">
      <c r="A46" s="121"/>
      <c r="B46" s="121"/>
      <c r="C46" s="121"/>
      <c r="D46" s="121"/>
      <c r="E46" s="121"/>
      <c r="F46" s="121"/>
      <c r="G46" s="122"/>
      <c r="H46" s="122"/>
      <c r="I46" s="122"/>
    </row>
    <row r="47" spans="1:9" ht="14.25" customHeight="1" x14ac:dyDescent="0.3">
      <c r="A47" s="123" t="s">
        <v>2712</v>
      </c>
      <c r="B47" s="121"/>
      <c r="C47" s="121"/>
      <c r="D47" s="121"/>
      <c r="E47" s="121"/>
      <c r="F47" s="121"/>
      <c r="G47" s="122"/>
      <c r="H47" s="122"/>
      <c r="I47" s="122"/>
    </row>
    <row r="48" spans="1:9" ht="14.25" customHeight="1" x14ac:dyDescent="0.3">
      <c r="A48" s="123" t="s">
        <v>2713</v>
      </c>
      <c r="B48" s="121"/>
      <c r="C48" s="121"/>
      <c r="D48" s="121"/>
      <c r="E48" s="121"/>
      <c r="F48" s="121"/>
      <c r="G48" s="122"/>
      <c r="H48" s="122"/>
      <c r="I48" s="122"/>
    </row>
    <row r="49" spans="1:9" ht="14.25" customHeight="1" x14ac:dyDescent="0.3">
      <c r="A49" s="123" t="s">
        <v>2714</v>
      </c>
      <c r="B49" s="121"/>
      <c r="C49" s="121"/>
      <c r="D49" s="121"/>
      <c r="E49" s="121"/>
      <c r="F49" s="121"/>
      <c r="G49" s="122"/>
      <c r="H49" s="122"/>
      <c r="I49" s="122"/>
    </row>
    <row r="50" spans="1:9" x14ac:dyDescent="0.3">
      <c r="B50" s="119"/>
      <c r="C50" s="119"/>
      <c r="D50" s="119"/>
      <c r="E50" s="119"/>
    </row>
    <row r="51" spans="1:9" x14ac:dyDescent="0.3">
      <c r="B51" s="119"/>
      <c r="C51" s="119"/>
      <c r="D51" s="119"/>
      <c r="E51" s="119"/>
    </row>
    <row r="52" spans="1:9" x14ac:dyDescent="0.3">
      <c r="B52" s="119"/>
      <c r="C52" s="119"/>
      <c r="D52" s="119"/>
      <c r="E52" s="119"/>
    </row>
    <row r="53" spans="1:9" x14ac:dyDescent="0.3">
      <c r="B53" s="119"/>
      <c r="C53" s="119"/>
      <c r="D53" s="119"/>
      <c r="E53" s="119"/>
    </row>
    <row r="54" spans="1:9" x14ac:dyDescent="0.3">
      <c r="B54" s="119"/>
      <c r="C54" s="119"/>
      <c r="D54" s="119"/>
      <c r="E54" s="119"/>
    </row>
    <row r="55" spans="1:9" x14ac:dyDescent="0.3">
      <c r="B55" s="119"/>
      <c r="C55" s="119"/>
      <c r="D55" s="119"/>
      <c r="E55" s="119"/>
    </row>
    <row r="56" spans="1:9" x14ac:dyDescent="0.3">
      <c r="B56" s="119"/>
      <c r="C56" s="119"/>
      <c r="D56" s="119"/>
      <c r="E56" s="119"/>
    </row>
    <row r="57" spans="1:9" x14ac:dyDescent="0.3">
      <c r="B57" s="119"/>
      <c r="C57" s="119"/>
      <c r="D57" s="119"/>
      <c r="E57" s="119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 the Company</vt:lpstr>
      <vt:lpstr>Promoter</vt:lpstr>
      <vt:lpstr>Public</vt:lpstr>
      <vt:lpstr>Consolidated P&amp;L</vt:lpstr>
      <vt:lpstr>DCF Valuation</vt:lpstr>
      <vt:lpstr>Consolidated Balance sheet</vt:lpstr>
      <vt:lpstr>Consolidated Cash Flow</vt:lpstr>
      <vt:lpstr>Wacc</vt:lpstr>
      <vt:lpstr>BETA</vt:lpstr>
      <vt:lpstr>Consolidated Quaterly Result</vt:lpstr>
      <vt:lpstr>Peers</vt:lpstr>
      <vt:lpstr>Ratio Analysis</vt:lpstr>
      <vt:lpstr>Fixed Asset Scheduled</vt:lpstr>
      <vt:lpstr>Change in working capital</vt:lpstr>
      <vt:lpstr>FCFF</vt:lpstr>
      <vt:lpstr>Assumptions</vt:lpstr>
      <vt:lpstr>Growth Scenario</vt:lpstr>
      <vt:lpstr>Forecasting</vt:lpstr>
      <vt:lpstr>Relative Valuations</vt:lpstr>
      <vt:lpstr>Gordon Growth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PRATHAM KUSHWAHA</dc:creator>
  <dc:description/>
  <cp:lastModifiedBy>PRATHAM KUSHWAHA</cp:lastModifiedBy>
  <cp:revision>0</cp:revision>
  <dcterms:created xsi:type="dcterms:W3CDTF">2026-05-20T06:16:00Z</dcterms:created>
  <dcterms:modified xsi:type="dcterms:W3CDTF">2026-06-29T05:27:18Z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C6D27FBAED38433E9EB0B6BD92D824D8_12</vt:lpwstr>
  </property>
  <property fmtid="{D5CDD505-2E9C-101B-9397-08002B2CF9AE}" pid="4" name="KSOProductBuildVer">
    <vt:lpwstr>1033-12.1.0.26880</vt:lpwstr>
  </property>
</Properties>
</file>