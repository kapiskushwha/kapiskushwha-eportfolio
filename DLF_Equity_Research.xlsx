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PRATHAM\Downloads\CSA ADVISOR\"/>
    </mc:Choice>
  </mc:AlternateContent>
  <xr:revisionPtr revIDLastSave="0" documentId="13_ncr:1_{7F31DEFF-1158-4BC1-A57A-A74F090D064B}" xr6:coauthVersionLast="47" xr6:coauthVersionMax="47" xr10:uidLastSave="{00000000-0000-0000-0000-000000000000}"/>
  <bookViews>
    <workbookView xWindow="-108" yWindow="-108" windowWidth="23256" windowHeight="12456" tabRatio="500" xr2:uid="{00000000-000D-0000-FFFF-FFFF00000000}"/>
  </bookViews>
  <sheets>
    <sheet name="About the Company" sheetId="1" r:id="rId1"/>
    <sheet name="Promoter" sheetId="2" r:id="rId2"/>
    <sheet name="Public" sheetId="3" r:id="rId3"/>
    <sheet name="Consolidated P&amp;L" sheetId="4" r:id="rId4"/>
    <sheet name="Consolidated Balance Sheet" sheetId="5" r:id="rId5"/>
    <sheet name="Cash flow Statement" sheetId="6" r:id="rId6"/>
    <sheet name="Beta" sheetId="7" r:id="rId7"/>
    <sheet name="Wacc" sheetId="8" r:id="rId8"/>
    <sheet name="Assumptions" sheetId="9" r:id="rId9"/>
    <sheet name="Ratio Analysis" sheetId="10" r:id="rId10"/>
    <sheet name="FCFF" sheetId="11" r:id="rId11"/>
    <sheet name="Change in working capital" sheetId="12" r:id="rId12"/>
    <sheet name="Fixed Asset Scheduled" sheetId="13" r:id="rId13"/>
    <sheet name="Forecasting " sheetId="14" r:id="rId14"/>
    <sheet name="Growth Scenario" sheetId="15" r:id="rId15"/>
    <sheet name="DCF Valuation" sheetId="16" r:id="rId16"/>
    <sheet name="Relative Valuation" sheetId="17" r:id="rId17"/>
    <sheet name="Gordon growth model" sheetId="18" r:id="rId18"/>
    <sheet name="Stock Analysis" sheetId="19" r:id="rId19"/>
  </sheets>
  <definedNames>
    <definedName name="_xlnm.Print_Area" localSheetId="0">'About the Company'!$A$1:$F$66</definedName>
  </definedNames>
  <calcPr calcId="181029" iterateDelta="1E-4"/>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5" i="19" l="1"/>
  <c r="K5" i="19"/>
  <c r="J5" i="19"/>
  <c r="M4" i="19"/>
  <c r="K4" i="19"/>
  <c r="J4" i="19"/>
  <c r="M3" i="19"/>
  <c r="K3" i="19"/>
  <c r="J3" i="19"/>
  <c r="M2" i="19"/>
  <c r="K2" i="19"/>
  <c r="J2" i="19"/>
  <c r="B36" i="18"/>
  <c r="B21" i="18"/>
  <c r="B19" i="18"/>
  <c r="E7" i="18"/>
  <c r="D7" i="18"/>
  <c r="C7" i="18"/>
  <c r="B7" i="18"/>
  <c r="E6" i="18"/>
  <c r="E8" i="18" s="1"/>
  <c r="D6" i="18"/>
  <c r="D8" i="18" s="1"/>
  <c r="C6" i="18"/>
  <c r="C8" i="18" s="1"/>
  <c r="B6" i="18"/>
  <c r="B8" i="18" s="1"/>
  <c r="K17" i="17"/>
  <c r="K18" i="17" s="1"/>
  <c r="K16" i="17"/>
  <c r="I12" i="17"/>
  <c r="G12" i="17"/>
  <c r="F12" i="17"/>
  <c r="E12" i="17"/>
  <c r="D12" i="17"/>
  <c r="B12" i="17"/>
  <c r="K11" i="17"/>
  <c r="B16" i="17" s="1"/>
  <c r="I11" i="17"/>
  <c r="G11" i="17"/>
  <c r="F11" i="17"/>
  <c r="E11" i="17"/>
  <c r="D11" i="17"/>
  <c r="C11" i="17"/>
  <c r="B11" i="17"/>
  <c r="L10" i="17"/>
  <c r="K10" i="17"/>
  <c r="J10" i="17"/>
  <c r="H10" i="17"/>
  <c r="M10" i="17" s="1"/>
  <c r="C10" i="17"/>
  <c r="M9" i="17"/>
  <c r="L9" i="17"/>
  <c r="K9" i="17"/>
  <c r="J9" i="17"/>
  <c r="H9" i="17"/>
  <c r="C9" i="17"/>
  <c r="L8" i="17"/>
  <c r="K8" i="17"/>
  <c r="J8" i="17"/>
  <c r="H8" i="17"/>
  <c r="M8" i="17" s="1"/>
  <c r="C8" i="17"/>
  <c r="L7" i="17"/>
  <c r="K7" i="17"/>
  <c r="J7" i="17"/>
  <c r="H7" i="17"/>
  <c r="M7" i="17" s="1"/>
  <c r="C7" i="17"/>
  <c r="C12" i="17" s="1"/>
  <c r="L6" i="17"/>
  <c r="P21" i="17" s="1"/>
  <c r="K6" i="17"/>
  <c r="O24" i="17" s="1"/>
  <c r="J6" i="17"/>
  <c r="Q26" i="17" s="1"/>
  <c r="H6" i="17"/>
  <c r="H12" i="17" s="1"/>
  <c r="C6" i="17"/>
  <c r="J5" i="17"/>
  <c r="E5" i="19" s="1"/>
  <c r="I5" i="17"/>
  <c r="C5" i="17"/>
  <c r="Q33" i="17" s="1"/>
  <c r="C29" i="16"/>
  <c r="C26" i="16"/>
  <c r="Q17" i="16"/>
  <c r="Q18" i="16" s="1"/>
  <c r="S19" i="16" s="1"/>
  <c r="S20" i="16" s="1"/>
  <c r="Q13" i="16"/>
  <c r="S22" i="16" s="1"/>
  <c r="Q2" i="16" s="1"/>
  <c r="N8" i="15"/>
  <c r="N13" i="15" s="1"/>
  <c r="P4" i="15"/>
  <c r="M4" i="15"/>
  <c r="P9" i="14"/>
  <c r="P8" i="14"/>
  <c r="P7" i="14"/>
  <c r="O7" i="14"/>
  <c r="O8" i="14" s="1"/>
  <c r="O9" i="14" s="1"/>
  <c r="O10" i="14" s="1"/>
  <c r="O11" i="14" s="1"/>
  <c r="P6" i="14"/>
  <c r="O6" i="14"/>
  <c r="N6" i="14"/>
  <c r="N7" i="14" s="1"/>
  <c r="N8" i="14" s="1"/>
  <c r="N9" i="14" s="1"/>
  <c r="N10" i="14" s="1"/>
  <c r="N11" i="14" s="1"/>
  <c r="N12" i="14" s="1"/>
  <c r="N13" i="14" s="1"/>
  <c r="N14" i="14" s="1"/>
  <c r="I6" i="14"/>
  <c r="I7" i="14" s="1"/>
  <c r="I8" i="14" s="1"/>
  <c r="I9" i="14" s="1"/>
  <c r="I10" i="14" s="1"/>
  <c r="I11" i="14" s="1"/>
  <c r="I12" i="14" s="1"/>
  <c r="I13" i="14" s="1"/>
  <c r="I14" i="14" s="1"/>
  <c r="D6" i="14"/>
  <c r="D7" i="14" s="1"/>
  <c r="D8" i="14" s="1"/>
  <c r="D9" i="14" s="1"/>
  <c r="D10" i="14" s="1"/>
  <c r="D11" i="14" s="1"/>
  <c r="D12" i="14" s="1"/>
  <c r="D13" i="14" s="1"/>
  <c r="D14" i="14" s="1"/>
  <c r="P5" i="14"/>
  <c r="O5" i="14"/>
  <c r="J5" i="14"/>
  <c r="J6" i="14" s="1"/>
  <c r="J7" i="14" s="1"/>
  <c r="J8" i="14" s="1"/>
  <c r="J9" i="14" s="1"/>
  <c r="J10" i="14" s="1"/>
  <c r="E5" i="14"/>
  <c r="E6" i="14" s="1"/>
  <c r="E7" i="14" s="1"/>
  <c r="E8" i="14" s="1"/>
  <c r="E9" i="14" s="1"/>
  <c r="E10" i="14" s="1"/>
  <c r="E11" i="14" s="1"/>
  <c r="F6" i="13"/>
  <c r="E6" i="13"/>
  <c r="D6" i="13"/>
  <c r="C6" i="13"/>
  <c r="B6" i="13"/>
  <c r="F5" i="13"/>
  <c r="F4" i="13" s="1"/>
  <c r="E5" i="13"/>
  <c r="D5" i="13"/>
  <c r="D4" i="13" s="1"/>
  <c r="C5" i="13"/>
  <c r="B5" i="13"/>
  <c r="E4" i="13"/>
  <c r="C4" i="13"/>
  <c r="B4" i="13"/>
  <c r="F2" i="13"/>
  <c r="F3" i="13" s="1"/>
  <c r="F8" i="13" s="1"/>
  <c r="D2" i="13"/>
  <c r="C2" i="13"/>
  <c r="C3" i="13" s="1"/>
  <c r="C8" i="13" s="1"/>
  <c r="F6" i="12"/>
  <c r="B5" i="12"/>
  <c r="F4" i="12"/>
  <c r="E4" i="12"/>
  <c r="E5" i="12" s="1"/>
  <c r="D4" i="12"/>
  <c r="C4" i="12"/>
  <c r="B4" i="12"/>
  <c r="F3" i="12"/>
  <c r="E3" i="12"/>
  <c r="D3" i="12"/>
  <c r="C3" i="12"/>
  <c r="B3" i="12"/>
  <c r="F2" i="12"/>
  <c r="F5" i="12" s="1"/>
  <c r="E2" i="12"/>
  <c r="D2" i="12"/>
  <c r="C2" i="12"/>
  <c r="C5" i="12" s="1"/>
  <c r="C6" i="12" s="1"/>
  <c r="B2" i="12"/>
  <c r="F2" i="11"/>
  <c r="E2" i="11"/>
  <c r="D2" i="11"/>
  <c r="C2" i="11"/>
  <c r="B2" i="11"/>
  <c r="F40" i="10"/>
  <c r="E40" i="10"/>
  <c r="D40" i="10"/>
  <c r="C40" i="10"/>
  <c r="B40" i="10"/>
  <c r="I40" i="10" s="1"/>
  <c r="F39" i="10"/>
  <c r="E39" i="10"/>
  <c r="D39" i="10"/>
  <c r="I39" i="10" s="1"/>
  <c r="C39" i="10"/>
  <c r="B39" i="10"/>
  <c r="H38" i="10"/>
  <c r="F38" i="10"/>
  <c r="E38" i="10"/>
  <c r="D38" i="10"/>
  <c r="C38" i="10"/>
  <c r="I38" i="10" s="1"/>
  <c r="B38" i="10"/>
  <c r="D36" i="10"/>
  <c r="F35" i="10"/>
  <c r="F36" i="10" s="1"/>
  <c r="E35" i="10"/>
  <c r="D35" i="10"/>
  <c r="C35" i="10"/>
  <c r="B35" i="10"/>
  <c r="H35" i="10" s="1"/>
  <c r="F34" i="10"/>
  <c r="E34" i="10"/>
  <c r="D34" i="10"/>
  <c r="C34" i="10"/>
  <c r="B34" i="10"/>
  <c r="H34" i="10" s="1"/>
  <c r="I33" i="10"/>
  <c r="F33" i="10"/>
  <c r="E33" i="10"/>
  <c r="D33" i="10"/>
  <c r="C33" i="10"/>
  <c r="C36" i="10" s="1"/>
  <c r="B33" i="10"/>
  <c r="H30" i="10"/>
  <c r="F30" i="10"/>
  <c r="E30" i="10"/>
  <c r="D30" i="10"/>
  <c r="C30" i="10"/>
  <c r="I30" i="10" s="1"/>
  <c r="B30" i="10"/>
  <c r="F29" i="10"/>
  <c r="E29" i="10"/>
  <c r="D29" i="10"/>
  <c r="H29" i="10" s="1"/>
  <c r="C29" i="10"/>
  <c r="B29" i="10"/>
  <c r="F28" i="10"/>
  <c r="E28" i="10"/>
  <c r="D28" i="10"/>
  <c r="C28" i="10"/>
  <c r="I28" i="10" s="1"/>
  <c r="B28" i="10"/>
  <c r="F27" i="10"/>
  <c r="E27" i="10"/>
  <c r="D27" i="10"/>
  <c r="C27" i="10"/>
  <c r="B27" i="10"/>
  <c r="I27" i="10" s="1"/>
  <c r="F26" i="10"/>
  <c r="E26" i="10"/>
  <c r="D26" i="10"/>
  <c r="C26" i="10"/>
  <c r="B26" i="10"/>
  <c r="H26" i="10" s="1"/>
  <c r="I24" i="10"/>
  <c r="F24" i="10"/>
  <c r="E24" i="10"/>
  <c r="D24" i="10"/>
  <c r="C24" i="10"/>
  <c r="H24" i="10" s="1"/>
  <c r="B24" i="10"/>
  <c r="B23" i="10"/>
  <c r="F22" i="10"/>
  <c r="F23" i="10" s="1"/>
  <c r="E22" i="10"/>
  <c r="E23" i="10" s="1"/>
  <c r="D22" i="10"/>
  <c r="D23" i="10" s="1"/>
  <c r="C22" i="10"/>
  <c r="H22" i="10" s="1"/>
  <c r="B22" i="10"/>
  <c r="F21" i="10"/>
  <c r="E21" i="10"/>
  <c r="D21" i="10"/>
  <c r="I21" i="10" s="1"/>
  <c r="C21" i="10"/>
  <c r="B21" i="10"/>
  <c r="F20" i="10"/>
  <c r="E20" i="10"/>
  <c r="D20" i="10"/>
  <c r="C20" i="10"/>
  <c r="B20" i="10"/>
  <c r="I20" i="10" s="1"/>
  <c r="F18" i="10"/>
  <c r="E18" i="10"/>
  <c r="D18" i="10"/>
  <c r="C18" i="10"/>
  <c r="I18" i="10" s="1"/>
  <c r="B18" i="10"/>
  <c r="H17" i="10"/>
  <c r="F17" i="10"/>
  <c r="E17" i="10"/>
  <c r="D17" i="10"/>
  <c r="C17" i="10"/>
  <c r="I17" i="10" s="1"/>
  <c r="B17" i="10"/>
  <c r="F16" i="10"/>
  <c r="E16" i="10"/>
  <c r="D16" i="10"/>
  <c r="C16" i="10"/>
  <c r="B16" i="10"/>
  <c r="I16" i="10" s="1"/>
  <c r="F14" i="10"/>
  <c r="E14" i="10"/>
  <c r="I14" i="10" s="1"/>
  <c r="D14" i="10"/>
  <c r="C14" i="10"/>
  <c r="B14" i="10"/>
  <c r="H14" i="10" s="1"/>
  <c r="F13" i="10"/>
  <c r="E13" i="10"/>
  <c r="D13" i="10"/>
  <c r="I13" i="10" s="1"/>
  <c r="C13" i="10"/>
  <c r="B13" i="10"/>
  <c r="F12" i="10"/>
  <c r="E12" i="10"/>
  <c r="D12" i="10"/>
  <c r="C12" i="10"/>
  <c r="I12" i="10" s="1"/>
  <c r="B12" i="10"/>
  <c r="F11" i="10"/>
  <c r="E11" i="10"/>
  <c r="D11" i="10"/>
  <c r="C11" i="10"/>
  <c r="B11" i="10"/>
  <c r="I11" i="10" s="1"/>
  <c r="F10" i="10"/>
  <c r="E10" i="10"/>
  <c r="D10" i="10"/>
  <c r="C10" i="10"/>
  <c r="B10" i="10"/>
  <c r="H10" i="10" s="1"/>
  <c r="I8" i="10"/>
  <c r="H8" i="10"/>
  <c r="E8" i="10"/>
  <c r="D8" i="10"/>
  <c r="C8" i="10"/>
  <c r="F7" i="10"/>
  <c r="E7" i="10"/>
  <c r="D7" i="10"/>
  <c r="I7" i="10" s="1"/>
  <c r="C7" i="10"/>
  <c r="F6" i="10"/>
  <c r="E6" i="10"/>
  <c r="D6" i="10"/>
  <c r="C6" i="10"/>
  <c r="I6" i="10" s="1"/>
  <c r="I5" i="10"/>
  <c r="F5" i="10"/>
  <c r="E5" i="10"/>
  <c r="D5" i="10"/>
  <c r="C5" i="10"/>
  <c r="H5" i="10" s="1"/>
  <c r="F4" i="10"/>
  <c r="I4" i="10" s="1"/>
  <c r="E4" i="10"/>
  <c r="D4" i="10"/>
  <c r="C4" i="10"/>
  <c r="E40" i="9"/>
  <c r="F39" i="9"/>
  <c r="C24" i="16" s="1"/>
  <c r="E39" i="9"/>
  <c r="D39" i="9"/>
  <c r="C39" i="9"/>
  <c r="B39" i="9"/>
  <c r="F38" i="9"/>
  <c r="C25" i="16" s="1"/>
  <c r="E38" i="9"/>
  <c r="D38" i="9"/>
  <c r="C38" i="9"/>
  <c r="B38" i="9"/>
  <c r="F37" i="9"/>
  <c r="E37" i="9"/>
  <c r="D37" i="9"/>
  <c r="D40" i="9" s="1"/>
  <c r="C37" i="9"/>
  <c r="C40" i="9" s="1"/>
  <c r="B37" i="9"/>
  <c r="B40" i="9" s="1"/>
  <c r="I33" i="9"/>
  <c r="J9" i="11" s="1"/>
  <c r="B23" i="9"/>
  <c r="F16" i="9"/>
  <c r="E16" i="9"/>
  <c r="D16" i="9"/>
  <c r="C16" i="9"/>
  <c r="B16" i="9"/>
  <c r="F15" i="9"/>
  <c r="E15" i="9"/>
  <c r="D15" i="9"/>
  <c r="C15" i="9"/>
  <c r="B15" i="9"/>
  <c r="F13" i="9"/>
  <c r="E13" i="9"/>
  <c r="D13" i="9"/>
  <c r="C13" i="9"/>
  <c r="B13" i="9"/>
  <c r="F12" i="9"/>
  <c r="E12" i="9"/>
  <c r="D12" i="9"/>
  <c r="C12" i="9"/>
  <c r="B12" i="9"/>
  <c r="F10" i="9"/>
  <c r="E10" i="9"/>
  <c r="D10" i="9"/>
  <c r="C10" i="9"/>
  <c r="B10" i="9"/>
  <c r="E8" i="9"/>
  <c r="E9" i="9" s="1"/>
  <c r="F7" i="9"/>
  <c r="E7" i="9"/>
  <c r="D7" i="9"/>
  <c r="C7" i="9"/>
  <c r="B7" i="9"/>
  <c r="B8" i="9" s="1"/>
  <c r="F6" i="9"/>
  <c r="E6" i="9"/>
  <c r="D6" i="9"/>
  <c r="C6" i="9"/>
  <c r="B6" i="9"/>
  <c r="F5" i="9"/>
  <c r="F8" i="9" s="1"/>
  <c r="E5" i="9"/>
  <c r="D5" i="9"/>
  <c r="D8" i="9" s="1"/>
  <c r="D9" i="9" s="1"/>
  <c r="C5" i="9"/>
  <c r="C8" i="9" s="1"/>
  <c r="B5" i="9"/>
  <c r="G4" i="9"/>
  <c r="F4" i="9"/>
  <c r="E4" i="9"/>
  <c r="D4" i="9"/>
  <c r="C4" i="9"/>
  <c r="B22" i="9" s="1"/>
  <c r="N7" i="15" s="1"/>
  <c r="F3" i="9"/>
  <c r="F9" i="9" s="1"/>
  <c r="E3" i="9"/>
  <c r="F5" i="17" s="1"/>
  <c r="D3" i="9"/>
  <c r="F7" i="14" s="1"/>
  <c r="C3" i="9"/>
  <c r="F6" i="14" s="1"/>
  <c r="G6" i="14" s="1"/>
  <c r="B3" i="9"/>
  <c r="F5" i="14" s="1"/>
  <c r="B16" i="8"/>
  <c r="E6" i="8"/>
  <c r="B3" i="8" s="1"/>
  <c r="B2" i="8"/>
  <c r="B17" i="8" s="1"/>
  <c r="B18" i="8" s="1"/>
  <c r="F1532" i="7"/>
  <c r="E1532" i="7"/>
  <c r="F1531" i="7"/>
  <c r="E1531" i="7"/>
  <c r="F1530" i="7"/>
  <c r="E1530" i="7"/>
  <c r="F1529" i="7"/>
  <c r="E1529" i="7"/>
  <c r="F1528" i="7"/>
  <c r="E1528" i="7"/>
  <c r="F1527" i="7"/>
  <c r="E1527" i="7"/>
  <c r="F1526" i="7"/>
  <c r="E1526" i="7"/>
  <c r="F1525" i="7"/>
  <c r="E1525" i="7"/>
  <c r="F1524" i="7"/>
  <c r="E1524" i="7"/>
  <c r="F1523" i="7"/>
  <c r="E1523" i="7"/>
  <c r="F1522" i="7"/>
  <c r="E1522" i="7"/>
  <c r="F1521" i="7"/>
  <c r="E1521" i="7"/>
  <c r="F1520" i="7"/>
  <c r="E1520" i="7"/>
  <c r="F1519" i="7"/>
  <c r="E1519" i="7"/>
  <c r="F1518" i="7"/>
  <c r="E1518" i="7"/>
  <c r="F1517" i="7"/>
  <c r="E1517" i="7"/>
  <c r="F1516" i="7"/>
  <c r="E1516" i="7"/>
  <c r="F1515" i="7"/>
  <c r="E1515" i="7"/>
  <c r="F1514" i="7"/>
  <c r="E1514" i="7"/>
  <c r="F1513" i="7"/>
  <c r="E1513" i="7"/>
  <c r="F1512" i="7"/>
  <c r="E1512" i="7"/>
  <c r="F1511" i="7"/>
  <c r="E1511" i="7"/>
  <c r="F1510" i="7"/>
  <c r="E1510" i="7"/>
  <c r="F1509" i="7"/>
  <c r="E1509" i="7"/>
  <c r="F1508" i="7"/>
  <c r="E1508" i="7"/>
  <c r="F1507" i="7"/>
  <c r="E1507" i="7"/>
  <c r="F1506" i="7"/>
  <c r="E1506" i="7"/>
  <c r="F1505" i="7"/>
  <c r="E1505" i="7"/>
  <c r="F1504" i="7"/>
  <c r="E1504" i="7"/>
  <c r="F1503" i="7"/>
  <c r="E1503" i="7"/>
  <c r="F1502" i="7"/>
  <c r="E1502" i="7"/>
  <c r="F1501" i="7"/>
  <c r="E1501" i="7"/>
  <c r="F1500" i="7"/>
  <c r="E1500" i="7"/>
  <c r="F1499" i="7"/>
  <c r="E1499" i="7"/>
  <c r="F1498" i="7"/>
  <c r="E1498" i="7"/>
  <c r="F1497" i="7"/>
  <c r="E1497" i="7"/>
  <c r="F1496" i="7"/>
  <c r="E1496" i="7"/>
  <c r="F1495" i="7"/>
  <c r="E1495" i="7"/>
  <c r="F1494" i="7"/>
  <c r="E1494" i="7"/>
  <c r="F1493" i="7"/>
  <c r="E1493" i="7"/>
  <c r="F1492" i="7"/>
  <c r="E1492" i="7"/>
  <c r="F1491" i="7"/>
  <c r="E1491" i="7"/>
  <c r="F1490" i="7"/>
  <c r="E1490" i="7"/>
  <c r="F1489" i="7"/>
  <c r="E1489" i="7"/>
  <c r="F1488" i="7"/>
  <c r="E1488" i="7"/>
  <c r="F1487" i="7"/>
  <c r="E1487" i="7"/>
  <c r="F1486" i="7"/>
  <c r="E1486" i="7"/>
  <c r="F1485" i="7"/>
  <c r="E1485" i="7"/>
  <c r="F1484" i="7"/>
  <c r="E1484" i="7"/>
  <c r="F1483" i="7"/>
  <c r="E1483" i="7"/>
  <c r="F1482" i="7"/>
  <c r="E1482" i="7"/>
  <c r="F1481" i="7"/>
  <c r="E1481" i="7"/>
  <c r="F1480" i="7"/>
  <c r="E1480" i="7"/>
  <c r="F1479" i="7"/>
  <c r="E1479" i="7"/>
  <c r="F1478" i="7"/>
  <c r="E1478" i="7"/>
  <c r="F1477" i="7"/>
  <c r="E1477" i="7"/>
  <c r="F1476" i="7"/>
  <c r="E1476" i="7"/>
  <c r="F1475" i="7"/>
  <c r="E1475" i="7"/>
  <c r="F1474" i="7"/>
  <c r="E1474" i="7"/>
  <c r="F1473" i="7"/>
  <c r="E1473" i="7"/>
  <c r="F1472" i="7"/>
  <c r="E1472" i="7"/>
  <c r="F1471" i="7"/>
  <c r="E1471" i="7"/>
  <c r="F1470" i="7"/>
  <c r="E1470" i="7"/>
  <c r="F1469" i="7"/>
  <c r="E1469" i="7"/>
  <c r="F1468" i="7"/>
  <c r="E1468" i="7"/>
  <c r="F1467" i="7"/>
  <c r="E1467" i="7"/>
  <c r="F1466" i="7"/>
  <c r="E1466" i="7"/>
  <c r="F1465" i="7"/>
  <c r="E1465" i="7"/>
  <c r="F1464" i="7"/>
  <c r="E1464" i="7"/>
  <c r="F1463" i="7"/>
  <c r="E1463" i="7"/>
  <c r="F1462" i="7"/>
  <c r="E1462" i="7"/>
  <c r="F1461" i="7"/>
  <c r="E1461" i="7"/>
  <c r="F1460" i="7"/>
  <c r="E1460" i="7"/>
  <c r="F1459" i="7"/>
  <c r="E1459" i="7"/>
  <c r="F1458" i="7"/>
  <c r="E1458" i="7"/>
  <c r="F1457" i="7"/>
  <c r="E1457" i="7"/>
  <c r="F1456" i="7"/>
  <c r="E1456" i="7"/>
  <c r="F1455" i="7"/>
  <c r="E1455" i="7"/>
  <c r="F1454" i="7"/>
  <c r="E1454" i="7"/>
  <c r="F1453" i="7"/>
  <c r="E1453" i="7"/>
  <c r="F1452" i="7"/>
  <c r="E1452" i="7"/>
  <c r="F1451" i="7"/>
  <c r="E1451" i="7"/>
  <c r="F1450" i="7"/>
  <c r="E1450" i="7"/>
  <c r="F1449" i="7"/>
  <c r="E1449" i="7"/>
  <c r="F1448" i="7"/>
  <c r="E1448" i="7"/>
  <c r="F1447" i="7"/>
  <c r="E1447" i="7"/>
  <c r="F1446" i="7"/>
  <c r="E1446" i="7"/>
  <c r="F1445" i="7"/>
  <c r="E1445" i="7"/>
  <c r="F1444" i="7"/>
  <c r="E1444" i="7"/>
  <c r="F1443" i="7"/>
  <c r="E1443" i="7"/>
  <c r="F1442" i="7"/>
  <c r="E1442" i="7"/>
  <c r="F1441" i="7"/>
  <c r="E1441" i="7"/>
  <c r="F1440" i="7"/>
  <c r="E1440" i="7"/>
  <c r="F1439" i="7"/>
  <c r="E1439" i="7"/>
  <c r="F1438" i="7"/>
  <c r="E1438" i="7"/>
  <c r="F1437" i="7"/>
  <c r="E1437" i="7"/>
  <c r="F1436" i="7"/>
  <c r="E1436" i="7"/>
  <c r="F1435" i="7"/>
  <c r="E1435" i="7"/>
  <c r="F1434" i="7"/>
  <c r="E1434" i="7"/>
  <c r="F1433" i="7"/>
  <c r="E1433" i="7"/>
  <c r="F1432" i="7"/>
  <c r="E1432" i="7"/>
  <c r="F1431" i="7"/>
  <c r="E1431" i="7"/>
  <c r="F1430" i="7"/>
  <c r="E1430" i="7"/>
  <c r="F1429" i="7"/>
  <c r="E1429" i="7"/>
  <c r="F1428" i="7"/>
  <c r="E1428" i="7"/>
  <c r="F1427" i="7"/>
  <c r="E1427" i="7"/>
  <c r="F1426" i="7"/>
  <c r="E1426" i="7"/>
  <c r="F1425" i="7"/>
  <c r="E1425" i="7"/>
  <c r="F1424" i="7"/>
  <c r="E1424" i="7"/>
  <c r="F1423" i="7"/>
  <c r="E1423" i="7"/>
  <c r="F1422" i="7"/>
  <c r="E1422" i="7"/>
  <c r="F1421" i="7"/>
  <c r="E1421" i="7"/>
  <c r="F1420" i="7"/>
  <c r="E1420" i="7"/>
  <c r="F1419" i="7"/>
  <c r="E1419" i="7"/>
  <c r="F1418" i="7"/>
  <c r="E1418" i="7"/>
  <c r="F1417" i="7"/>
  <c r="E1417" i="7"/>
  <c r="F1416" i="7"/>
  <c r="E1416" i="7"/>
  <c r="F1415" i="7"/>
  <c r="E1415" i="7"/>
  <c r="F1414" i="7"/>
  <c r="E1414" i="7"/>
  <c r="F1413" i="7"/>
  <c r="E1413" i="7"/>
  <c r="F1412" i="7"/>
  <c r="E1412" i="7"/>
  <c r="F1411" i="7"/>
  <c r="E1411" i="7"/>
  <c r="F1410" i="7"/>
  <c r="E1410" i="7"/>
  <c r="F1409" i="7"/>
  <c r="E1409" i="7"/>
  <c r="F1408" i="7"/>
  <c r="E1408" i="7"/>
  <c r="F1407" i="7"/>
  <c r="E1407" i="7"/>
  <c r="F1406" i="7"/>
  <c r="E1406" i="7"/>
  <c r="F1405" i="7"/>
  <c r="E1405" i="7"/>
  <c r="F1404" i="7"/>
  <c r="E1404" i="7"/>
  <c r="F1403" i="7"/>
  <c r="E1403" i="7"/>
  <c r="F1402" i="7"/>
  <c r="E1402" i="7"/>
  <c r="F1401" i="7"/>
  <c r="E1401" i="7"/>
  <c r="F1400" i="7"/>
  <c r="E1400" i="7"/>
  <c r="F1399" i="7"/>
  <c r="E1399" i="7"/>
  <c r="F1398" i="7"/>
  <c r="E1398" i="7"/>
  <c r="F1397" i="7"/>
  <c r="E1397" i="7"/>
  <c r="F1396" i="7"/>
  <c r="E1396" i="7"/>
  <c r="F1395" i="7"/>
  <c r="E1395" i="7"/>
  <c r="F1394" i="7"/>
  <c r="E1394" i="7"/>
  <c r="F1393" i="7"/>
  <c r="E1393" i="7"/>
  <c r="F1392" i="7"/>
  <c r="E1392" i="7"/>
  <c r="F1391" i="7"/>
  <c r="E1391" i="7"/>
  <c r="F1390" i="7"/>
  <c r="E1390" i="7"/>
  <c r="F1389" i="7"/>
  <c r="E1389" i="7"/>
  <c r="F1388" i="7"/>
  <c r="E1388" i="7"/>
  <c r="F1387" i="7"/>
  <c r="E1387" i="7"/>
  <c r="F1386" i="7"/>
  <c r="E1386" i="7"/>
  <c r="F1385" i="7"/>
  <c r="E1385" i="7"/>
  <c r="F1384" i="7"/>
  <c r="E1384" i="7"/>
  <c r="F1383" i="7"/>
  <c r="E1383" i="7"/>
  <c r="F1382" i="7"/>
  <c r="E1382" i="7"/>
  <c r="F1381" i="7"/>
  <c r="E1381" i="7"/>
  <c r="F1380" i="7"/>
  <c r="E1380" i="7"/>
  <c r="F1379" i="7"/>
  <c r="E1379" i="7"/>
  <c r="F1378" i="7"/>
  <c r="E1378" i="7"/>
  <c r="F1377" i="7"/>
  <c r="E1377" i="7"/>
  <c r="F1376" i="7"/>
  <c r="E1376" i="7"/>
  <c r="F1375" i="7"/>
  <c r="E1375" i="7"/>
  <c r="F1374" i="7"/>
  <c r="E1374" i="7"/>
  <c r="F1373" i="7"/>
  <c r="E1373" i="7"/>
  <c r="F1372" i="7"/>
  <c r="E1372" i="7"/>
  <c r="F1371" i="7"/>
  <c r="E1371" i="7"/>
  <c r="F1370" i="7"/>
  <c r="E1370" i="7"/>
  <c r="F1369" i="7"/>
  <c r="E1369" i="7"/>
  <c r="F1368" i="7"/>
  <c r="E1368" i="7"/>
  <c r="F1367" i="7"/>
  <c r="E1367" i="7"/>
  <c r="F1366" i="7"/>
  <c r="E1366" i="7"/>
  <c r="F1365" i="7"/>
  <c r="E1365" i="7"/>
  <c r="F1364" i="7"/>
  <c r="E1364" i="7"/>
  <c r="F1363" i="7"/>
  <c r="E1363" i="7"/>
  <c r="F1362" i="7"/>
  <c r="E1362" i="7"/>
  <c r="F1361" i="7"/>
  <c r="E1361" i="7"/>
  <c r="F1360" i="7"/>
  <c r="E1360" i="7"/>
  <c r="F1359" i="7"/>
  <c r="E1359" i="7"/>
  <c r="F1358" i="7"/>
  <c r="E1358" i="7"/>
  <c r="F1357" i="7"/>
  <c r="E1357" i="7"/>
  <c r="F1356" i="7"/>
  <c r="E1356" i="7"/>
  <c r="F1355" i="7"/>
  <c r="E1355" i="7"/>
  <c r="F1354" i="7"/>
  <c r="E1354" i="7"/>
  <c r="F1353" i="7"/>
  <c r="E1353" i="7"/>
  <c r="F1352" i="7"/>
  <c r="E1352" i="7"/>
  <c r="F1351" i="7"/>
  <c r="E1351" i="7"/>
  <c r="F1350" i="7"/>
  <c r="E1350" i="7"/>
  <c r="F1349" i="7"/>
  <c r="E1349" i="7"/>
  <c r="F1348" i="7"/>
  <c r="E1348" i="7"/>
  <c r="F1347" i="7"/>
  <c r="E1347" i="7"/>
  <c r="F1346" i="7"/>
  <c r="E1346" i="7"/>
  <c r="F1345" i="7"/>
  <c r="E1345" i="7"/>
  <c r="F1344" i="7"/>
  <c r="E1344" i="7"/>
  <c r="F1343" i="7"/>
  <c r="E1343" i="7"/>
  <c r="F1342" i="7"/>
  <c r="E1342" i="7"/>
  <c r="F1341" i="7"/>
  <c r="E1341" i="7"/>
  <c r="F1340" i="7"/>
  <c r="E1340" i="7"/>
  <c r="F1339" i="7"/>
  <c r="E1339" i="7"/>
  <c r="F1338" i="7"/>
  <c r="E1338" i="7"/>
  <c r="F1337" i="7"/>
  <c r="E1337" i="7"/>
  <c r="F1336" i="7"/>
  <c r="E1336" i="7"/>
  <c r="F1335" i="7"/>
  <c r="E1335" i="7"/>
  <c r="F1334" i="7"/>
  <c r="E1334" i="7"/>
  <c r="F1333" i="7"/>
  <c r="E1333" i="7"/>
  <c r="F1332" i="7"/>
  <c r="E1332" i="7"/>
  <c r="F1331" i="7"/>
  <c r="E1331" i="7"/>
  <c r="F1330" i="7"/>
  <c r="E1330" i="7"/>
  <c r="F1329" i="7"/>
  <c r="E1329" i="7"/>
  <c r="F1328" i="7"/>
  <c r="E1328" i="7"/>
  <c r="F1327" i="7"/>
  <c r="E1327" i="7"/>
  <c r="F1326" i="7"/>
  <c r="E1326" i="7"/>
  <c r="F1325" i="7"/>
  <c r="E1325" i="7"/>
  <c r="F1324" i="7"/>
  <c r="E1324" i="7"/>
  <c r="F1323" i="7"/>
  <c r="E1323" i="7"/>
  <c r="F1322" i="7"/>
  <c r="E1322" i="7"/>
  <c r="F1321" i="7"/>
  <c r="E1321" i="7"/>
  <c r="F1320" i="7"/>
  <c r="E1320" i="7"/>
  <c r="F1319" i="7"/>
  <c r="E1319" i="7"/>
  <c r="F1318" i="7"/>
  <c r="E1318" i="7"/>
  <c r="F1317" i="7"/>
  <c r="E1317" i="7"/>
  <c r="F1316" i="7"/>
  <c r="E1316" i="7"/>
  <c r="F1315" i="7"/>
  <c r="E1315" i="7"/>
  <c r="F1314" i="7"/>
  <c r="E1314" i="7"/>
  <c r="F1313" i="7"/>
  <c r="E1313" i="7"/>
  <c r="F1312" i="7"/>
  <c r="E1312" i="7"/>
  <c r="F1311" i="7"/>
  <c r="E1311" i="7"/>
  <c r="F1310" i="7"/>
  <c r="E1310" i="7"/>
  <c r="F1309" i="7"/>
  <c r="E1309" i="7"/>
  <c r="F1308" i="7"/>
  <c r="E1308" i="7"/>
  <c r="F1307" i="7"/>
  <c r="E1307" i="7"/>
  <c r="F1306" i="7"/>
  <c r="E1306" i="7"/>
  <c r="F1305" i="7"/>
  <c r="E1305" i="7"/>
  <c r="F1304" i="7"/>
  <c r="E1304" i="7"/>
  <c r="F1303" i="7"/>
  <c r="E1303" i="7"/>
  <c r="F1302" i="7"/>
  <c r="E1302" i="7"/>
  <c r="F1301" i="7"/>
  <c r="E1301" i="7"/>
  <c r="F1300" i="7"/>
  <c r="E1300" i="7"/>
  <c r="F1299" i="7"/>
  <c r="E1299" i="7"/>
  <c r="F1298" i="7"/>
  <c r="E1298" i="7"/>
  <c r="F1297" i="7"/>
  <c r="E1297" i="7"/>
  <c r="F1296" i="7"/>
  <c r="E1296" i="7"/>
  <c r="F1295" i="7"/>
  <c r="E1295" i="7"/>
  <c r="F1294" i="7"/>
  <c r="E1294" i="7"/>
  <c r="F1293" i="7"/>
  <c r="E1293" i="7"/>
  <c r="F1292" i="7"/>
  <c r="E1292" i="7"/>
  <c r="F1291" i="7"/>
  <c r="E1291" i="7"/>
  <c r="F1290" i="7"/>
  <c r="E1290" i="7"/>
  <c r="F1289" i="7"/>
  <c r="E1289" i="7"/>
  <c r="F1288" i="7"/>
  <c r="E1288" i="7"/>
  <c r="F1287" i="7"/>
  <c r="E1287" i="7"/>
  <c r="F1286" i="7"/>
  <c r="E1286" i="7"/>
  <c r="F1285" i="7"/>
  <c r="E1285" i="7"/>
  <c r="F1284" i="7"/>
  <c r="E1284" i="7"/>
  <c r="F1283" i="7"/>
  <c r="E1283" i="7"/>
  <c r="F1282" i="7"/>
  <c r="E1282" i="7"/>
  <c r="F1281" i="7"/>
  <c r="E1281" i="7"/>
  <c r="F1280" i="7"/>
  <c r="E1280" i="7"/>
  <c r="F1279" i="7"/>
  <c r="E1279" i="7"/>
  <c r="F1278" i="7"/>
  <c r="E1278" i="7"/>
  <c r="F1277" i="7"/>
  <c r="E1277" i="7"/>
  <c r="F1276" i="7"/>
  <c r="E1276" i="7"/>
  <c r="F1275" i="7"/>
  <c r="E1275" i="7"/>
  <c r="F1274" i="7"/>
  <c r="E1274" i="7"/>
  <c r="F1273" i="7"/>
  <c r="E1273" i="7"/>
  <c r="F1272" i="7"/>
  <c r="E1272" i="7"/>
  <c r="F1271" i="7"/>
  <c r="E1271" i="7"/>
  <c r="F1270" i="7"/>
  <c r="E1270" i="7"/>
  <c r="F1269" i="7"/>
  <c r="E1269" i="7"/>
  <c r="F1268" i="7"/>
  <c r="E1268" i="7"/>
  <c r="F1267" i="7"/>
  <c r="E1267" i="7"/>
  <c r="F1266" i="7"/>
  <c r="E1266" i="7"/>
  <c r="F1265" i="7"/>
  <c r="E1265" i="7"/>
  <c r="F1264" i="7"/>
  <c r="E1264" i="7"/>
  <c r="F1263" i="7"/>
  <c r="E1263" i="7"/>
  <c r="F1262" i="7"/>
  <c r="E1262" i="7"/>
  <c r="F1261" i="7"/>
  <c r="E1261" i="7"/>
  <c r="F1260" i="7"/>
  <c r="E1260" i="7"/>
  <c r="F1259" i="7"/>
  <c r="E1259" i="7"/>
  <c r="F1258" i="7"/>
  <c r="E1258" i="7"/>
  <c r="F1257" i="7"/>
  <c r="E1257" i="7"/>
  <c r="F1256" i="7"/>
  <c r="E1256" i="7"/>
  <c r="F1255" i="7"/>
  <c r="E1255" i="7"/>
  <c r="F1254" i="7"/>
  <c r="E1254" i="7"/>
  <c r="F1253" i="7"/>
  <c r="E1253" i="7"/>
  <c r="F1252" i="7"/>
  <c r="E1252" i="7"/>
  <c r="F1251" i="7"/>
  <c r="E1251" i="7"/>
  <c r="F1250" i="7"/>
  <c r="E1250" i="7"/>
  <c r="F1249" i="7"/>
  <c r="E1249" i="7"/>
  <c r="F1248" i="7"/>
  <c r="E1248" i="7"/>
  <c r="F1247" i="7"/>
  <c r="E1247" i="7"/>
  <c r="F1246" i="7"/>
  <c r="E1246" i="7"/>
  <c r="F1245" i="7"/>
  <c r="E1245" i="7"/>
  <c r="F1244" i="7"/>
  <c r="E1244" i="7"/>
  <c r="F1243" i="7"/>
  <c r="E1243" i="7"/>
  <c r="F1242" i="7"/>
  <c r="E1242" i="7"/>
  <c r="F1241" i="7"/>
  <c r="E1241" i="7"/>
  <c r="F1240" i="7"/>
  <c r="E1240" i="7"/>
  <c r="F1239" i="7"/>
  <c r="E1239" i="7"/>
  <c r="F1238" i="7"/>
  <c r="E1238" i="7"/>
  <c r="F1237" i="7"/>
  <c r="E1237" i="7"/>
  <c r="F1236" i="7"/>
  <c r="E1236" i="7"/>
  <c r="F1235" i="7"/>
  <c r="E1235" i="7"/>
  <c r="F1234" i="7"/>
  <c r="E1234" i="7"/>
  <c r="F1233" i="7"/>
  <c r="E1233" i="7"/>
  <c r="F1232" i="7"/>
  <c r="E1232" i="7"/>
  <c r="F1231" i="7"/>
  <c r="E1231" i="7"/>
  <c r="F1230" i="7"/>
  <c r="E1230" i="7"/>
  <c r="F1229" i="7"/>
  <c r="E1229" i="7"/>
  <c r="F1228" i="7"/>
  <c r="E1228" i="7"/>
  <c r="F1227" i="7"/>
  <c r="E1227" i="7"/>
  <c r="F1226" i="7"/>
  <c r="E1226" i="7"/>
  <c r="F1225" i="7"/>
  <c r="E1225" i="7"/>
  <c r="F1224" i="7"/>
  <c r="E1224" i="7"/>
  <c r="F1223" i="7"/>
  <c r="E1223" i="7"/>
  <c r="F1222" i="7"/>
  <c r="E1222" i="7"/>
  <c r="F1221" i="7"/>
  <c r="E1221" i="7"/>
  <c r="F1220" i="7"/>
  <c r="E1220" i="7"/>
  <c r="F1219" i="7"/>
  <c r="E1219" i="7"/>
  <c r="F1218" i="7"/>
  <c r="E1218" i="7"/>
  <c r="F1217" i="7"/>
  <c r="E1217" i="7"/>
  <c r="F1216" i="7"/>
  <c r="E1216" i="7"/>
  <c r="F1215" i="7"/>
  <c r="E1215" i="7"/>
  <c r="F1214" i="7"/>
  <c r="E1214" i="7"/>
  <c r="F1213" i="7"/>
  <c r="E1213" i="7"/>
  <c r="F1212" i="7"/>
  <c r="E1212" i="7"/>
  <c r="F1211" i="7"/>
  <c r="E1211" i="7"/>
  <c r="F1210" i="7"/>
  <c r="E1210" i="7"/>
  <c r="F1209" i="7"/>
  <c r="E1209" i="7"/>
  <c r="F1208" i="7"/>
  <c r="E1208" i="7"/>
  <c r="F1207" i="7"/>
  <c r="E1207" i="7"/>
  <c r="F1206" i="7"/>
  <c r="E1206" i="7"/>
  <c r="F1205" i="7"/>
  <c r="E1205" i="7"/>
  <c r="F1204" i="7"/>
  <c r="E1204" i="7"/>
  <c r="F1203" i="7"/>
  <c r="E1203" i="7"/>
  <c r="F1202" i="7"/>
  <c r="E1202" i="7"/>
  <c r="F1201" i="7"/>
  <c r="E1201" i="7"/>
  <c r="F1200" i="7"/>
  <c r="E1200" i="7"/>
  <c r="F1199" i="7"/>
  <c r="E1199" i="7"/>
  <c r="F1198" i="7"/>
  <c r="E1198" i="7"/>
  <c r="F1197" i="7"/>
  <c r="E1197" i="7"/>
  <c r="F1196" i="7"/>
  <c r="E1196" i="7"/>
  <c r="F1195" i="7"/>
  <c r="E1195" i="7"/>
  <c r="F1194" i="7"/>
  <c r="E1194" i="7"/>
  <c r="F1193" i="7"/>
  <c r="E1193" i="7"/>
  <c r="F1192" i="7"/>
  <c r="E1192" i="7"/>
  <c r="F1191" i="7"/>
  <c r="E1191" i="7"/>
  <c r="F1190" i="7"/>
  <c r="E1190" i="7"/>
  <c r="F1189" i="7"/>
  <c r="E1189" i="7"/>
  <c r="F1188" i="7"/>
  <c r="E1188" i="7"/>
  <c r="F1187" i="7"/>
  <c r="E1187" i="7"/>
  <c r="F1186" i="7"/>
  <c r="E1186" i="7"/>
  <c r="F1185" i="7"/>
  <c r="E1185" i="7"/>
  <c r="F1184" i="7"/>
  <c r="E1184" i="7"/>
  <c r="F1183" i="7"/>
  <c r="E1183" i="7"/>
  <c r="F1182" i="7"/>
  <c r="E1182" i="7"/>
  <c r="F1181" i="7"/>
  <c r="E1181" i="7"/>
  <c r="F1180" i="7"/>
  <c r="E1180" i="7"/>
  <c r="F1179" i="7"/>
  <c r="E1179" i="7"/>
  <c r="F1178" i="7"/>
  <c r="E1178" i="7"/>
  <c r="F1177" i="7"/>
  <c r="E1177" i="7"/>
  <c r="F1176" i="7"/>
  <c r="E1176" i="7"/>
  <c r="F1175" i="7"/>
  <c r="E1175" i="7"/>
  <c r="F1174" i="7"/>
  <c r="E1174" i="7"/>
  <c r="F1173" i="7"/>
  <c r="E1173" i="7"/>
  <c r="F1172" i="7"/>
  <c r="E1172" i="7"/>
  <c r="F1171" i="7"/>
  <c r="E1171" i="7"/>
  <c r="F1170" i="7"/>
  <c r="E1170" i="7"/>
  <c r="F1169" i="7"/>
  <c r="E1169" i="7"/>
  <c r="F1168" i="7"/>
  <c r="E1168" i="7"/>
  <c r="F1167" i="7"/>
  <c r="E1167" i="7"/>
  <c r="F1166" i="7"/>
  <c r="E1166" i="7"/>
  <c r="F1165" i="7"/>
  <c r="E1165" i="7"/>
  <c r="F1164" i="7"/>
  <c r="E1164" i="7"/>
  <c r="F1163" i="7"/>
  <c r="E1163" i="7"/>
  <c r="F1162" i="7"/>
  <c r="E1162" i="7"/>
  <c r="F1161" i="7"/>
  <c r="E1161" i="7"/>
  <c r="F1160" i="7"/>
  <c r="E1160" i="7"/>
  <c r="F1159" i="7"/>
  <c r="E1159" i="7"/>
  <c r="F1158" i="7"/>
  <c r="E1158" i="7"/>
  <c r="F1157" i="7"/>
  <c r="E1157" i="7"/>
  <c r="F1156" i="7"/>
  <c r="E1156" i="7"/>
  <c r="F1155" i="7"/>
  <c r="E1155" i="7"/>
  <c r="F1154" i="7"/>
  <c r="E1154" i="7"/>
  <c r="F1153" i="7"/>
  <c r="E1153" i="7"/>
  <c r="F1152" i="7"/>
  <c r="E1152" i="7"/>
  <c r="F1151" i="7"/>
  <c r="E1151" i="7"/>
  <c r="F1150" i="7"/>
  <c r="E1150" i="7"/>
  <c r="F1149" i="7"/>
  <c r="E1149" i="7"/>
  <c r="F1148" i="7"/>
  <c r="E1148" i="7"/>
  <c r="F1147" i="7"/>
  <c r="E1147" i="7"/>
  <c r="F1146" i="7"/>
  <c r="E1146" i="7"/>
  <c r="F1145" i="7"/>
  <c r="E1145" i="7"/>
  <c r="F1144" i="7"/>
  <c r="E1144" i="7"/>
  <c r="F1143" i="7"/>
  <c r="E1143" i="7"/>
  <c r="F1142" i="7"/>
  <c r="E1142" i="7"/>
  <c r="F1141" i="7"/>
  <c r="E1141" i="7"/>
  <c r="F1140" i="7"/>
  <c r="E1140" i="7"/>
  <c r="F1139" i="7"/>
  <c r="E1139" i="7"/>
  <c r="F1138" i="7"/>
  <c r="E1138" i="7"/>
  <c r="F1137" i="7"/>
  <c r="E1137" i="7"/>
  <c r="F1136" i="7"/>
  <c r="E1136" i="7"/>
  <c r="F1135" i="7"/>
  <c r="E1135" i="7"/>
  <c r="F1134" i="7"/>
  <c r="E1134" i="7"/>
  <c r="F1133" i="7"/>
  <c r="E1133" i="7"/>
  <c r="F1132" i="7"/>
  <c r="E1132" i="7"/>
  <c r="F1131" i="7"/>
  <c r="E1131" i="7"/>
  <c r="F1130" i="7"/>
  <c r="E1130" i="7"/>
  <c r="F1129" i="7"/>
  <c r="E1129" i="7"/>
  <c r="F1128" i="7"/>
  <c r="E1128" i="7"/>
  <c r="F1127" i="7"/>
  <c r="E1127" i="7"/>
  <c r="F1126" i="7"/>
  <c r="E1126" i="7"/>
  <c r="F1125" i="7"/>
  <c r="E1125" i="7"/>
  <c r="F1124" i="7"/>
  <c r="E1124" i="7"/>
  <c r="F1123" i="7"/>
  <c r="E1123" i="7"/>
  <c r="F1122" i="7"/>
  <c r="E1122" i="7"/>
  <c r="F1121" i="7"/>
  <c r="E1121" i="7"/>
  <c r="F1120" i="7"/>
  <c r="E1120" i="7"/>
  <c r="F1119" i="7"/>
  <c r="E1119" i="7"/>
  <c r="F1118" i="7"/>
  <c r="E1118" i="7"/>
  <c r="F1117" i="7"/>
  <c r="E1117" i="7"/>
  <c r="F1116" i="7"/>
  <c r="E1116" i="7"/>
  <c r="F1115" i="7"/>
  <c r="E1115" i="7"/>
  <c r="F1114" i="7"/>
  <c r="E1114" i="7"/>
  <c r="F1113" i="7"/>
  <c r="E1113" i="7"/>
  <c r="F1112" i="7"/>
  <c r="E1112" i="7"/>
  <c r="F1111" i="7"/>
  <c r="E1111" i="7"/>
  <c r="F1110" i="7"/>
  <c r="E1110" i="7"/>
  <c r="F1109" i="7"/>
  <c r="E1109" i="7"/>
  <c r="F1108" i="7"/>
  <c r="E1108" i="7"/>
  <c r="F1107" i="7"/>
  <c r="E1107" i="7"/>
  <c r="F1106" i="7"/>
  <c r="E1106" i="7"/>
  <c r="F1105" i="7"/>
  <c r="E1105" i="7"/>
  <c r="F1104" i="7"/>
  <c r="E1104" i="7"/>
  <c r="F1103" i="7"/>
  <c r="E1103" i="7"/>
  <c r="F1102" i="7"/>
  <c r="E1102" i="7"/>
  <c r="F1101" i="7"/>
  <c r="E1101" i="7"/>
  <c r="F1100" i="7"/>
  <c r="E1100" i="7"/>
  <c r="F1099" i="7"/>
  <c r="E1099" i="7"/>
  <c r="F1098" i="7"/>
  <c r="E1098" i="7"/>
  <c r="F1097" i="7"/>
  <c r="E1097" i="7"/>
  <c r="F1096" i="7"/>
  <c r="E1096" i="7"/>
  <c r="F1095" i="7"/>
  <c r="E1095" i="7"/>
  <c r="F1094" i="7"/>
  <c r="E1094" i="7"/>
  <c r="F1093" i="7"/>
  <c r="E1093" i="7"/>
  <c r="F1092" i="7"/>
  <c r="E1092" i="7"/>
  <c r="F1091" i="7"/>
  <c r="E1091" i="7"/>
  <c r="F1090" i="7"/>
  <c r="E1090" i="7"/>
  <c r="F1089" i="7"/>
  <c r="E1089" i="7"/>
  <c r="F1088" i="7"/>
  <c r="E1088" i="7"/>
  <c r="F1087" i="7"/>
  <c r="E1087" i="7"/>
  <c r="F1086" i="7"/>
  <c r="E1086" i="7"/>
  <c r="F1085" i="7"/>
  <c r="E1085" i="7"/>
  <c r="F1084" i="7"/>
  <c r="E1084" i="7"/>
  <c r="F1083" i="7"/>
  <c r="E1083" i="7"/>
  <c r="F1082" i="7"/>
  <c r="E1082" i="7"/>
  <c r="F1081" i="7"/>
  <c r="E1081" i="7"/>
  <c r="F1080" i="7"/>
  <c r="E1080" i="7"/>
  <c r="F1079" i="7"/>
  <c r="E1079" i="7"/>
  <c r="F1078" i="7"/>
  <c r="E1078" i="7"/>
  <c r="F1077" i="7"/>
  <c r="E1077" i="7"/>
  <c r="F1076" i="7"/>
  <c r="E1076" i="7"/>
  <c r="F1075" i="7"/>
  <c r="E1075" i="7"/>
  <c r="F1074" i="7"/>
  <c r="E1074" i="7"/>
  <c r="F1073" i="7"/>
  <c r="E1073" i="7"/>
  <c r="F1072" i="7"/>
  <c r="E1072" i="7"/>
  <c r="F1071" i="7"/>
  <c r="E1071" i="7"/>
  <c r="F1070" i="7"/>
  <c r="E1070" i="7"/>
  <c r="F1069" i="7"/>
  <c r="E1069" i="7"/>
  <c r="F1068" i="7"/>
  <c r="E1068" i="7"/>
  <c r="F1067" i="7"/>
  <c r="E1067" i="7"/>
  <c r="F1066" i="7"/>
  <c r="E1066" i="7"/>
  <c r="F1065" i="7"/>
  <c r="E1065" i="7"/>
  <c r="F1064" i="7"/>
  <c r="E1064" i="7"/>
  <c r="F1063" i="7"/>
  <c r="E1063" i="7"/>
  <c r="F1062" i="7"/>
  <c r="E1062" i="7"/>
  <c r="F1061" i="7"/>
  <c r="E1061" i="7"/>
  <c r="F1060" i="7"/>
  <c r="E1060" i="7"/>
  <c r="F1059" i="7"/>
  <c r="E1059" i="7"/>
  <c r="F1058" i="7"/>
  <c r="E1058" i="7"/>
  <c r="F1057" i="7"/>
  <c r="E1057" i="7"/>
  <c r="F1056" i="7"/>
  <c r="E1056" i="7"/>
  <c r="F1055" i="7"/>
  <c r="E1055" i="7"/>
  <c r="F1054" i="7"/>
  <c r="E1054" i="7"/>
  <c r="F1053" i="7"/>
  <c r="E1053" i="7"/>
  <c r="F1052" i="7"/>
  <c r="E1052" i="7"/>
  <c r="F1051" i="7"/>
  <c r="E1051" i="7"/>
  <c r="F1050" i="7"/>
  <c r="E1050" i="7"/>
  <c r="F1049" i="7"/>
  <c r="E1049" i="7"/>
  <c r="F1048" i="7"/>
  <c r="E1048" i="7"/>
  <c r="F1047" i="7"/>
  <c r="E1047" i="7"/>
  <c r="F1046" i="7"/>
  <c r="E1046" i="7"/>
  <c r="F1045" i="7"/>
  <c r="E1045" i="7"/>
  <c r="F1044" i="7"/>
  <c r="E1044" i="7"/>
  <c r="F1043" i="7"/>
  <c r="E1043" i="7"/>
  <c r="F1042" i="7"/>
  <c r="E1042" i="7"/>
  <c r="F1041" i="7"/>
  <c r="E1041" i="7"/>
  <c r="F1040" i="7"/>
  <c r="E1040" i="7"/>
  <c r="F1039" i="7"/>
  <c r="E1039" i="7"/>
  <c r="F1038" i="7"/>
  <c r="E1038" i="7"/>
  <c r="F1037" i="7"/>
  <c r="E1037" i="7"/>
  <c r="F1036" i="7"/>
  <c r="E1036" i="7"/>
  <c r="F1035" i="7"/>
  <c r="E1035" i="7"/>
  <c r="F1034" i="7"/>
  <c r="E1034" i="7"/>
  <c r="F1033" i="7"/>
  <c r="E1033" i="7"/>
  <c r="F1032" i="7"/>
  <c r="E1032" i="7"/>
  <c r="F1031" i="7"/>
  <c r="E1031" i="7"/>
  <c r="F1030" i="7"/>
  <c r="E1030" i="7"/>
  <c r="F1029" i="7"/>
  <c r="E1029" i="7"/>
  <c r="F1028" i="7"/>
  <c r="E1028" i="7"/>
  <c r="F1027" i="7"/>
  <c r="E1027" i="7"/>
  <c r="F1026" i="7"/>
  <c r="E1026" i="7"/>
  <c r="F1025" i="7"/>
  <c r="E1025" i="7"/>
  <c r="F1024" i="7"/>
  <c r="E1024" i="7"/>
  <c r="F1023" i="7"/>
  <c r="E1023" i="7"/>
  <c r="F1022" i="7"/>
  <c r="E1022" i="7"/>
  <c r="F1021" i="7"/>
  <c r="E1021" i="7"/>
  <c r="F1020" i="7"/>
  <c r="E1020" i="7"/>
  <c r="F1019" i="7"/>
  <c r="E1019" i="7"/>
  <c r="F1018" i="7"/>
  <c r="E1018" i="7"/>
  <c r="F1017" i="7"/>
  <c r="E1017" i="7"/>
  <c r="F1016" i="7"/>
  <c r="E1016" i="7"/>
  <c r="F1015" i="7"/>
  <c r="E1015" i="7"/>
  <c r="F1014" i="7"/>
  <c r="E1014" i="7"/>
  <c r="F1013" i="7"/>
  <c r="E1013" i="7"/>
  <c r="F1012" i="7"/>
  <c r="E1012" i="7"/>
  <c r="F1011" i="7"/>
  <c r="E1011" i="7"/>
  <c r="F1010" i="7"/>
  <c r="E1010" i="7"/>
  <c r="F1009" i="7"/>
  <c r="E1009" i="7"/>
  <c r="F1008" i="7"/>
  <c r="E1008" i="7"/>
  <c r="F1007" i="7"/>
  <c r="E1007" i="7"/>
  <c r="F1006" i="7"/>
  <c r="E1006" i="7"/>
  <c r="F1005" i="7"/>
  <c r="E1005" i="7"/>
  <c r="F1004" i="7"/>
  <c r="E1004" i="7"/>
  <c r="F1003" i="7"/>
  <c r="E1003" i="7"/>
  <c r="F1002" i="7"/>
  <c r="E1002" i="7"/>
  <c r="F1001" i="7"/>
  <c r="E1001" i="7"/>
  <c r="F1000" i="7"/>
  <c r="E1000" i="7"/>
  <c r="F999" i="7"/>
  <c r="E999" i="7"/>
  <c r="F998" i="7"/>
  <c r="E998" i="7"/>
  <c r="F997" i="7"/>
  <c r="E997" i="7"/>
  <c r="F996" i="7"/>
  <c r="E996" i="7"/>
  <c r="F995" i="7"/>
  <c r="E995" i="7"/>
  <c r="F994" i="7"/>
  <c r="E994" i="7"/>
  <c r="F993" i="7"/>
  <c r="E993" i="7"/>
  <c r="F992" i="7"/>
  <c r="E992" i="7"/>
  <c r="F991" i="7"/>
  <c r="E991" i="7"/>
  <c r="F990" i="7"/>
  <c r="E990" i="7"/>
  <c r="F989" i="7"/>
  <c r="E989" i="7"/>
  <c r="F988" i="7"/>
  <c r="E988" i="7"/>
  <c r="F987" i="7"/>
  <c r="E987" i="7"/>
  <c r="F986" i="7"/>
  <c r="E986" i="7"/>
  <c r="F985" i="7"/>
  <c r="E985" i="7"/>
  <c r="F984" i="7"/>
  <c r="E984" i="7"/>
  <c r="F983" i="7"/>
  <c r="E983" i="7"/>
  <c r="F982" i="7"/>
  <c r="E982" i="7"/>
  <c r="F981" i="7"/>
  <c r="E981" i="7"/>
  <c r="F980" i="7"/>
  <c r="E980" i="7"/>
  <c r="F979" i="7"/>
  <c r="E979" i="7"/>
  <c r="F978" i="7"/>
  <c r="E978" i="7"/>
  <c r="F977" i="7"/>
  <c r="E977" i="7"/>
  <c r="F976" i="7"/>
  <c r="E976" i="7"/>
  <c r="F975" i="7"/>
  <c r="E975" i="7"/>
  <c r="F974" i="7"/>
  <c r="E974" i="7"/>
  <c r="F973" i="7"/>
  <c r="E973" i="7"/>
  <c r="F972" i="7"/>
  <c r="E972" i="7"/>
  <c r="F971" i="7"/>
  <c r="E971" i="7"/>
  <c r="F970" i="7"/>
  <c r="E970" i="7"/>
  <c r="F969" i="7"/>
  <c r="E969" i="7"/>
  <c r="F968" i="7"/>
  <c r="E968" i="7"/>
  <c r="F967" i="7"/>
  <c r="E967" i="7"/>
  <c r="F966" i="7"/>
  <c r="E966" i="7"/>
  <c r="F965" i="7"/>
  <c r="E965" i="7"/>
  <c r="F964" i="7"/>
  <c r="E964" i="7"/>
  <c r="F963" i="7"/>
  <c r="E963" i="7"/>
  <c r="F962" i="7"/>
  <c r="E962" i="7"/>
  <c r="F961" i="7"/>
  <c r="E961" i="7"/>
  <c r="F960" i="7"/>
  <c r="E960" i="7"/>
  <c r="F959" i="7"/>
  <c r="E959" i="7"/>
  <c r="F958" i="7"/>
  <c r="E958" i="7"/>
  <c r="F957" i="7"/>
  <c r="E957" i="7"/>
  <c r="F956" i="7"/>
  <c r="E956" i="7"/>
  <c r="F955" i="7"/>
  <c r="E955" i="7"/>
  <c r="F954" i="7"/>
  <c r="E954" i="7"/>
  <c r="F953" i="7"/>
  <c r="E953" i="7"/>
  <c r="F952" i="7"/>
  <c r="E952" i="7"/>
  <c r="F951" i="7"/>
  <c r="E951" i="7"/>
  <c r="F950" i="7"/>
  <c r="E950" i="7"/>
  <c r="F949" i="7"/>
  <c r="E949" i="7"/>
  <c r="F948" i="7"/>
  <c r="E948" i="7"/>
  <c r="F947" i="7"/>
  <c r="E947" i="7"/>
  <c r="F946" i="7"/>
  <c r="E946" i="7"/>
  <c r="F945" i="7"/>
  <c r="E945" i="7"/>
  <c r="F944" i="7"/>
  <c r="E944" i="7"/>
  <c r="F943" i="7"/>
  <c r="E943" i="7"/>
  <c r="F942" i="7"/>
  <c r="E942" i="7"/>
  <c r="F941" i="7"/>
  <c r="E941" i="7"/>
  <c r="F940" i="7"/>
  <c r="E940" i="7"/>
  <c r="F939" i="7"/>
  <c r="E939" i="7"/>
  <c r="F938" i="7"/>
  <c r="E938" i="7"/>
  <c r="F937" i="7"/>
  <c r="E937" i="7"/>
  <c r="F936" i="7"/>
  <c r="E936" i="7"/>
  <c r="F935" i="7"/>
  <c r="E935" i="7"/>
  <c r="F934" i="7"/>
  <c r="E934" i="7"/>
  <c r="F933" i="7"/>
  <c r="E933" i="7"/>
  <c r="F932" i="7"/>
  <c r="E932" i="7"/>
  <c r="F931" i="7"/>
  <c r="E931" i="7"/>
  <c r="F930" i="7"/>
  <c r="E930" i="7"/>
  <c r="F929" i="7"/>
  <c r="E929" i="7"/>
  <c r="F928" i="7"/>
  <c r="E928" i="7"/>
  <c r="F927" i="7"/>
  <c r="E927" i="7"/>
  <c r="F926" i="7"/>
  <c r="E926" i="7"/>
  <c r="F925" i="7"/>
  <c r="E925" i="7"/>
  <c r="F924" i="7"/>
  <c r="E924" i="7"/>
  <c r="F923" i="7"/>
  <c r="E923" i="7"/>
  <c r="F922" i="7"/>
  <c r="E922" i="7"/>
  <c r="F921" i="7"/>
  <c r="E921" i="7"/>
  <c r="F920" i="7"/>
  <c r="E920" i="7"/>
  <c r="F919" i="7"/>
  <c r="E919" i="7"/>
  <c r="F918" i="7"/>
  <c r="E918" i="7"/>
  <c r="F917" i="7"/>
  <c r="E917" i="7"/>
  <c r="F916" i="7"/>
  <c r="E916" i="7"/>
  <c r="F915" i="7"/>
  <c r="E915" i="7"/>
  <c r="F914" i="7"/>
  <c r="E914" i="7"/>
  <c r="F913" i="7"/>
  <c r="E913" i="7"/>
  <c r="F912" i="7"/>
  <c r="E912" i="7"/>
  <c r="F911" i="7"/>
  <c r="E911" i="7"/>
  <c r="F910" i="7"/>
  <c r="E910" i="7"/>
  <c r="F909" i="7"/>
  <c r="E909" i="7"/>
  <c r="F908" i="7"/>
  <c r="E908" i="7"/>
  <c r="F907" i="7"/>
  <c r="E907" i="7"/>
  <c r="F906" i="7"/>
  <c r="E906" i="7"/>
  <c r="F905" i="7"/>
  <c r="E905" i="7"/>
  <c r="F904" i="7"/>
  <c r="E904" i="7"/>
  <c r="F903" i="7"/>
  <c r="E903" i="7"/>
  <c r="F902" i="7"/>
  <c r="E902" i="7"/>
  <c r="F901" i="7"/>
  <c r="E901" i="7"/>
  <c r="F900" i="7"/>
  <c r="E900" i="7"/>
  <c r="F899" i="7"/>
  <c r="E899" i="7"/>
  <c r="F898" i="7"/>
  <c r="E898" i="7"/>
  <c r="F897" i="7"/>
  <c r="E897" i="7"/>
  <c r="F896" i="7"/>
  <c r="E896" i="7"/>
  <c r="F895" i="7"/>
  <c r="E895" i="7"/>
  <c r="F894" i="7"/>
  <c r="E894" i="7"/>
  <c r="F893" i="7"/>
  <c r="E893" i="7"/>
  <c r="F892" i="7"/>
  <c r="E892" i="7"/>
  <c r="F891" i="7"/>
  <c r="E891" i="7"/>
  <c r="F890" i="7"/>
  <c r="E890" i="7"/>
  <c r="F889" i="7"/>
  <c r="E889" i="7"/>
  <c r="F888" i="7"/>
  <c r="E888" i="7"/>
  <c r="F887" i="7"/>
  <c r="E887" i="7"/>
  <c r="F886" i="7"/>
  <c r="E886" i="7"/>
  <c r="F885" i="7"/>
  <c r="E885" i="7"/>
  <c r="F884" i="7"/>
  <c r="E884" i="7"/>
  <c r="F883" i="7"/>
  <c r="E883" i="7"/>
  <c r="F882" i="7"/>
  <c r="E882" i="7"/>
  <c r="F881" i="7"/>
  <c r="E881" i="7"/>
  <c r="F880" i="7"/>
  <c r="E880" i="7"/>
  <c r="F879" i="7"/>
  <c r="E879" i="7"/>
  <c r="F878" i="7"/>
  <c r="E878" i="7"/>
  <c r="F877" i="7"/>
  <c r="E877" i="7"/>
  <c r="F876" i="7"/>
  <c r="E876" i="7"/>
  <c r="F875" i="7"/>
  <c r="E875" i="7"/>
  <c r="F874" i="7"/>
  <c r="E874" i="7"/>
  <c r="F873" i="7"/>
  <c r="E873" i="7"/>
  <c r="F872" i="7"/>
  <c r="E872" i="7"/>
  <c r="F871" i="7"/>
  <c r="E871" i="7"/>
  <c r="F870" i="7"/>
  <c r="E870" i="7"/>
  <c r="F869" i="7"/>
  <c r="E869" i="7"/>
  <c r="F868" i="7"/>
  <c r="E868" i="7"/>
  <c r="F867" i="7"/>
  <c r="E867" i="7"/>
  <c r="F866" i="7"/>
  <c r="E866" i="7"/>
  <c r="F865" i="7"/>
  <c r="E865" i="7"/>
  <c r="F864" i="7"/>
  <c r="E864" i="7"/>
  <c r="F863" i="7"/>
  <c r="E863" i="7"/>
  <c r="F862" i="7"/>
  <c r="E862" i="7"/>
  <c r="F861" i="7"/>
  <c r="E861" i="7"/>
  <c r="F860" i="7"/>
  <c r="E860" i="7"/>
  <c r="F859" i="7"/>
  <c r="E859" i="7"/>
  <c r="F858" i="7"/>
  <c r="E858" i="7"/>
  <c r="F857" i="7"/>
  <c r="E857" i="7"/>
  <c r="F856" i="7"/>
  <c r="E856" i="7"/>
  <c r="F855" i="7"/>
  <c r="E855" i="7"/>
  <c r="F854" i="7"/>
  <c r="E854" i="7"/>
  <c r="F853" i="7"/>
  <c r="E853" i="7"/>
  <c r="F852" i="7"/>
  <c r="E852" i="7"/>
  <c r="F851" i="7"/>
  <c r="E851" i="7"/>
  <c r="F850" i="7"/>
  <c r="E850" i="7"/>
  <c r="F849" i="7"/>
  <c r="E849" i="7"/>
  <c r="F848" i="7"/>
  <c r="E848" i="7"/>
  <c r="F847" i="7"/>
  <c r="E847" i="7"/>
  <c r="F846" i="7"/>
  <c r="E846" i="7"/>
  <c r="F845" i="7"/>
  <c r="E845" i="7"/>
  <c r="F844" i="7"/>
  <c r="E844" i="7"/>
  <c r="F843" i="7"/>
  <c r="E843" i="7"/>
  <c r="F842" i="7"/>
  <c r="E842" i="7"/>
  <c r="F841" i="7"/>
  <c r="E841" i="7"/>
  <c r="F840" i="7"/>
  <c r="E840" i="7"/>
  <c r="F839" i="7"/>
  <c r="E839" i="7"/>
  <c r="F838" i="7"/>
  <c r="E838" i="7"/>
  <c r="F837" i="7"/>
  <c r="E837" i="7"/>
  <c r="F836" i="7"/>
  <c r="E836" i="7"/>
  <c r="F835" i="7"/>
  <c r="E835" i="7"/>
  <c r="F834" i="7"/>
  <c r="E834" i="7"/>
  <c r="F833" i="7"/>
  <c r="E833" i="7"/>
  <c r="F832" i="7"/>
  <c r="E832" i="7"/>
  <c r="F831" i="7"/>
  <c r="E831" i="7"/>
  <c r="F830" i="7"/>
  <c r="E830" i="7"/>
  <c r="F829" i="7"/>
  <c r="E829" i="7"/>
  <c r="F828" i="7"/>
  <c r="E828" i="7"/>
  <c r="F827" i="7"/>
  <c r="E827" i="7"/>
  <c r="F826" i="7"/>
  <c r="E826" i="7"/>
  <c r="F825" i="7"/>
  <c r="E825" i="7"/>
  <c r="F824" i="7"/>
  <c r="E824" i="7"/>
  <c r="F823" i="7"/>
  <c r="E823" i="7"/>
  <c r="F822" i="7"/>
  <c r="E822" i="7"/>
  <c r="F821" i="7"/>
  <c r="E821" i="7"/>
  <c r="F820" i="7"/>
  <c r="E820" i="7"/>
  <c r="F819" i="7"/>
  <c r="E819" i="7"/>
  <c r="F818" i="7"/>
  <c r="E818" i="7"/>
  <c r="F817" i="7"/>
  <c r="E817" i="7"/>
  <c r="F816" i="7"/>
  <c r="E816" i="7"/>
  <c r="F815" i="7"/>
  <c r="E815" i="7"/>
  <c r="F814" i="7"/>
  <c r="E814" i="7"/>
  <c r="F813" i="7"/>
  <c r="E813" i="7"/>
  <c r="F812" i="7"/>
  <c r="E812" i="7"/>
  <c r="F811" i="7"/>
  <c r="E811" i="7"/>
  <c r="F810" i="7"/>
  <c r="E810" i="7"/>
  <c r="F809" i="7"/>
  <c r="E809" i="7"/>
  <c r="F808" i="7"/>
  <c r="E808" i="7"/>
  <c r="F807" i="7"/>
  <c r="E807" i="7"/>
  <c r="F806" i="7"/>
  <c r="E806" i="7"/>
  <c r="F805" i="7"/>
  <c r="E805" i="7"/>
  <c r="F804" i="7"/>
  <c r="E804" i="7"/>
  <c r="F803" i="7"/>
  <c r="E803" i="7"/>
  <c r="F802" i="7"/>
  <c r="E802" i="7"/>
  <c r="F801" i="7"/>
  <c r="E801" i="7"/>
  <c r="F800" i="7"/>
  <c r="E800" i="7"/>
  <c r="F799" i="7"/>
  <c r="E799" i="7"/>
  <c r="F798" i="7"/>
  <c r="E798" i="7"/>
  <c r="F797" i="7"/>
  <c r="E797" i="7"/>
  <c r="F796" i="7"/>
  <c r="E796" i="7"/>
  <c r="F795" i="7"/>
  <c r="E795" i="7"/>
  <c r="F794" i="7"/>
  <c r="E794" i="7"/>
  <c r="F793" i="7"/>
  <c r="E793" i="7"/>
  <c r="F792" i="7"/>
  <c r="E792" i="7"/>
  <c r="F791" i="7"/>
  <c r="E791" i="7"/>
  <c r="F790" i="7"/>
  <c r="E790" i="7"/>
  <c r="F789" i="7"/>
  <c r="E789" i="7"/>
  <c r="F788" i="7"/>
  <c r="E788" i="7"/>
  <c r="F787" i="7"/>
  <c r="E787" i="7"/>
  <c r="F786" i="7"/>
  <c r="E786" i="7"/>
  <c r="F785" i="7"/>
  <c r="E785" i="7"/>
  <c r="F784" i="7"/>
  <c r="E784" i="7"/>
  <c r="F783" i="7"/>
  <c r="E783" i="7"/>
  <c r="F782" i="7"/>
  <c r="E782" i="7"/>
  <c r="F781" i="7"/>
  <c r="E781" i="7"/>
  <c r="F780" i="7"/>
  <c r="E780" i="7"/>
  <c r="F779" i="7"/>
  <c r="E779" i="7"/>
  <c r="F778" i="7"/>
  <c r="E778" i="7"/>
  <c r="F777" i="7"/>
  <c r="E777" i="7"/>
  <c r="F776" i="7"/>
  <c r="E776" i="7"/>
  <c r="F775" i="7"/>
  <c r="E775" i="7"/>
  <c r="F774" i="7"/>
  <c r="E774" i="7"/>
  <c r="F773" i="7"/>
  <c r="E773" i="7"/>
  <c r="F772" i="7"/>
  <c r="E772" i="7"/>
  <c r="F771" i="7"/>
  <c r="E771" i="7"/>
  <c r="F770" i="7"/>
  <c r="E770" i="7"/>
  <c r="F769" i="7"/>
  <c r="E769" i="7"/>
  <c r="F768" i="7"/>
  <c r="E768" i="7"/>
  <c r="F767" i="7"/>
  <c r="E767" i="7"/>
  <c r="F766" i="7"/>
  <c r="E766" i="7"/>
  <c r="F765" i="7"/>
  <c r="E765" i="7"/>
  <c r="F764" i="7"/>
  <c r="E764" i="7"/>
  <c r="F763" i="7"/>
  <c r="E763" i="7"/>
  <c r="F762" i="7"/>
  <c r="E762" i="7"/>
  <c r="F761" i="7"/>
  <c r="E761" i="7"/>
  <c r="F760" i="7"/>
  <c r="E760" i="7"/>
  <c r="F759" i="7"/>
  <c r="E759" i="7"/>
  <c r="F758" i="7"/>
  <c r="E758" i="7"/>
  <c r="F757" i="7"/>
  <c r="E757" i="7"/>
  <c r="F756" i="7"/>
  <c r="E756" i="7"/>
  <c r="F755" i="7"/>
  <c r="E755" i="7"/>
  <c r="F754" i="7"/>
  <c r="E754" i="7"/>
  <c r="F753" i="7"/>
  <c r="E753" i="7"/>
  <c r="F752" i="7"/>
  <c r="E752" i="7"/>
  <c r="F751" i="7"/>
  <c r="E751" i="7"/>
  <c r="F750" i="7"/>
  <c r="E750" i="7"/>
  <c r="F749" i="7"/>
  <c r="E749" i="7"/>
  <c r="F748" i="7"/>
  <c r="E748" i="7"/>
  <c r="F747" i="7"/>
  <c r="E747" i="7"/>
  <c r="F746" i="7"/>
  <c r="E746" i="7"/>
  <c r="F745" i="7"/>
  <c r="E745" i="7"/>
  <c r="F744" i="7"/>
  <c r="E744" i="7"/>
  <c r="F743" i="7"/>
  <c r="E743" i="7"/>
  <c r="F742" i="7"/>
  <c r="E742" i="7"/>
  <c r="F741" i="7"/>
  <c r="E741" i="7"/>
  <c r="F740" i="7"/>
  <c r="E740" i="7"/>
  <c r="F739" i="7"/>
  <c r="E739" i="7"/>
  <c r="F738" i="7"/>
  <c r="E738" i="7"/>
  <c r="F737" i="7"/>
  <c r="E737" i="7"/>
  <c r="F736" i="7"/>
  <c r="E736" i="7"/>
  <c r="F735" i="7"/>
  <c r="E735" i="7"/>
  <c r="F734" i="7"/>
  <c r="E734" i="7"/>
  <c r="F733" i="7"/>
  <c r="E733" i="7"/>
  <c r="F732" i="7"/>
  <c r="E732" i="7"/>
  <c r="F731" i="7"/>
  <c r="E731" i="7"/>
  <c r="F730" i="7"/>
  <c r="E730" i="7"/>
  <c r="F729" i="7"/>
  <c r="E729" i="7"/>
  <c r="F728" i="7"/>
  <c r="E728" i="7"/>
  <c r="F727" i="7"/>
  <c r="E727" i="7"/>
  <c r="F726" i="7"/>
  <c r="E726" i="7"/>
  <c r="F725" i="7"/>
  <c r="E725" i="7"/>
  <c r="F724" i="7"/>
  <c r="E724" i="7"/>
  <c r="F723" i="7"/>
  <c r="E723" i="7"/>
  <c r="F722" i="7"/>
  <c r="E722" i="7"/>
  <c r="F721" i="7"/>
  <c r="E721" i="7"/>
  <c r="F720" i="7"/>
  <c r="E720" i="7"/>
  <c r="F719" i="7"/>
  <c r="E719" i="7"/>
  <c r="F718" i="7"/>
  <c r="E718" i="7"/>
  <c r="F717" i="7"/>
  <c r="E717" i="7"/>
  <c r="F716" i="7"/>
  <c r="E716" i="7"/>
  <c r="F715" i="7"/>
  <c r="E715" i="7"/>
  <c r="F714" i="7"/>
  <c r="E714" i="7"/>
  <c r="F713" i="7"/>
  <c r="E713" i="7"/>
  <c r="F712" i="7"/>
  <c r="E712" i="7"/>
  <c r="F711" i="7"/>
  <c r="E711" i="7"/>
  <c r="F710" i="7"/>
  <c r="E710" i="7"/>
  <c r="F709" i="7"/>
  <c r="E709" i="7"/>
  <c r="F708" i="7"/>
  <c r="E708" i="7"/>
  <c r="F707" i="7"/>
  <c r="E707" i="7"/>
  <c r="F706" i="7"/>
  <c r="E706" i="7"/>
  <c r="F705" i="7"/>
  <c r="E705" i="7"/>
  <c r="F704" i="7"/>
  <c r="E704" i="7"/>
  <c r="F703" i="7"/>
  <c r="E703" i="7"/>
  <c r="F702" i="7"/>
  <c r="E702" i="7"/>
  <c r="F701" i="7"/>
  <c r="E701" i="7"/>
  <c r="F700" i="7"/>
  <c r="E700" i="7"/>
  <c r="F699" i="7"/>
  <c r="E699" i="7"/>
  <c r="F698" i="7"/>
  <c r="E698" i="7"/>
  <c r="F697" i="7"/>
  <c r="E697" i="7"/>
  <c r="F696" i="7"/>
  <c r="E696" i="7"/>
  <c r="F695" i="7"/>
  <c r="E695" i="7"/>
  <c r="F694" i="7"/>
  <c r="E694" i="7"/>
  <c r="F693" i="7"/>
  <c r="E693" i="7"/>
  <c r="F692" i="7"/>
  <c r="E692" i="7"/>
  <c r="F691" i="7"/>
  <c r="E691" i="7"/>
  <c r="F690" i="7"/>
  <c r="E690" i="7"/>
  <c r="F689" i="7"/>
  <c r="E689" i="7"/>
  <c r="F688" i="7"/>
  <c r="E688" i="7"/>
  <c r="F687" i="7"/>
  <c r="E687" i="7"/>
  <c r="F686" i="7"/>
  <c r="E686" i="7"/>
  <c r="F685" i="7"/>
  <c r="E685" i="7"/>
  <c r="F684" i="7"/>
  <c r="E684" i="7"/>
  <c r="F683" i="7"/>
  <c r="E683" i="7"/>
  <c r="F682" i="7"/>
  <c r="E682" i="7"/>
  <c r="F681" i="7"/>
  <c r="E681" i="7"/>
  <c r="F680" i="7"/>
  <c r="E680" i="7"/>
  <c r="F679" i="7"/>
  <c r="E679" i="7"/>
  <c r="F678" i="7"/>
  <c r="E678" i="7"/>
  <c r="F677" i="7"/>
  <c r="E677" i="7"/>
  <c r="F676" i="7"/>
  <c r="E676" i="7"/>
  <c r="F675" i="7"/>
  <c r="E675" i="7"/>
  <c r="F674" i="7"/>
  <c r="E674" i="7"/>
  <c r="F673" i="7"/>
  <c r="E673" i="7"/>
  <c r="F672" i="7"/>
  <c r="E672" i="7"/>
  <c r="F671" i="7"/>
  <c r="E671" i="7"/>
  <c r="F670" i="7"/>
  <c r="E670" i="7"/>
  <c r="F669" i="7"/>
  <c r="E669" i="7"/>
  <c r="F668" i="7"/>
  <c r="E668" i="7"/>
  <c r="F667" i="7"/>
  <c r="E667" i="7"/>
  <c r="F666" i="7"/>
  <c r="E666" i="7"/>
  <c r="F665" i="7"/>
  <c r="E665" i="7"/>
  <c r="F664" i="7"/>
  <c r="E664" i="7"/>
  <c r="F663" i="7"/>
  <c r="E663" i="7"/>
  <c r="F662" i="7"/>
  <c r="E662" i="7"/>
  <c r="F661" i="7"/>
  <c r="E661" i="7"/>
  <c r="F660" i="7"/>
  <c r="E660" i="7"/>
  <c r="F659" i="7"/>
  <c r="E659" i="7"/>
  <c r="F658" i="7"/>
  <c r="E658" i="7"/>
  <c r="F657" i="7"/>
  <c r="E657" i="7"/>
  <c r="F656" i="7"/>
  <c r="E656" i="7"/>
  <c r="F655" i="7"/>
  <c r="E655" i="7"/>
  <c r="F654" i="7"/>
  <c r="E654" i="7"/>
  <c r="F653" i="7"/>
  <c r="E653" i="7"/>
  <c r="F652" i="7"/>
  <c r="E652" i="7"/>
  <c r="F651" i="7"/>
  <c r="E651" i="7"/>
  <c r="F650" i="7"/>
  <c r="E650" i="7"/>
  <c r="F649" i="7"/>
  <c r="E649" i="7"/>
  <c r="F648" i="7"/>
  <c r="E648" i="7"/>
  <c r="F647" i="7"/>
  <c r="E647" i="7"/>
  <c r="F646" i="7"/>
  <c r="E646" i="7"/>
  <c r="F645" i="7"/>
  <c r="E645" i="7"/>
  <c r="F644" i="7"/>
  <c r="E644" i="7"/>
  <c r="F643" i="7"/>
  <c r="E643" i="7"/>
  <c r="F642" i="7"/>
  <c r="E642" i="7"/>
  <c r="F641" i="7"/>
  <c r="E641" i="7"/>
  <c r="F640" i="7"/>
  <c r="E640" i="7"/>
  <c r="F639" i="7"/>
  <c r="E639" i="7"/>
  <c r="F638" i="7"/>
  <c r="E638" i="7"/>
  <c r="F637" i="7"/>
  <c r="E637" i="7"/>
  <c r="F636" i="7"/>
  <c r="E636" i="7"/>
  <c r="F635" i="7"/>
  <c r="E635" i="7"/>
  <c r="F634" i="7"/>
  <c r="E634" i="7"/>
  <c r="F633" i="7"/>
  <c r="E633" i="7"/>
  <c r="F632" i="7"/>
  <c r="E632" i="7"/>
  <c r="F631" i="7"/>
  <c r="E631" i="7"/>
  <c r="F630" i="7"/>
  <c r="E630" i="7"/>
  <c r="F629" i="7"/>
  <c r="E629" i="7"/>
  <c r="F628" i="7"/>
  <c r="E628" i="7"/>
  <c r="F627" i="7"/>
  <c r="E627" i="7"/>
  <c r="F626" i="7"/>
  <c r="E626" i="7"/>
  <c r="F625" i="7"/>
  <c r="E625" i="7"/>
  <c r="F624" i="7"/>
  <c r="E624" i="7"/>
  <c r="F623" i="7"/>
  <c r="E623" i="7"/>
  <c r="F622" i="7"/>
  <c r="E622" i="7"/>
  <c r="F621" i="7"/>
  <c r="E621" i="7"/>
  <c r="F620" i="7"/>
  <c r="E620" i="7"/>
  <c r="F619" i="7"/>
  <c r="E619" i="7"/>
  <c r="F618" i="7"/>
  <c r="E618" i="7"/>
  <c r="F617" i="7"/>
  <c r="E617" i="7"/>
  <c r="F616" i="7"/>
  <c r="E616" i="7"/>
  <c r="F615" i="7"/>
  <c r="E615" i="7"/>
  <c r="F614" i="7"/>
  <c r="E614" i="7"/>
  <c r="F613" i="7"/>
  <c r="E613" i="7"/>
  <c r="F612" i="7"/>
  <c r="E612" i="7"/>
  <c r="F611" i="7"/>
  <c r="E611" i="7"/>
  <c r="F610" i="7"/>
  <c r="E610" i="7"/>
  <c r="F609" i="7"/>
  <c r="E609" i="7"/>
  <c r="F608" i="7"/>
  <c r="E608" i="7"/>
  <c r="F607" i="7"/>
  <c r="E607" i="7"/>
  <c r="F606" i="7"/>
  <c r="E606" i="7"/>
  <c r="F605" i="7"/>
  <c r="E605" i="7"/>
  <c r="F604" i="7"/>
  <c r="E604" i="7"/>
  <c r="F603" i="7"/>
  <c r="E603" i="7"/>
  <c r="F602" i="7"/>
  <c r="E602" i="7"/>
  <c r="F601" i="7"/>
  <c r="E601" i="7"/>
  <c r="F600" i="7"/>
  <c r="E600" i="7"/>
  <c r="F599" i="7"/>
  <c r="E599" i="7"/>
  <c r="F598" i="7"/>
  <c r="E598" i="7"/>
  <c r="F597" i="7"/>
  <c r="E597" i="7"/>
  <c r="F596" i="7"/>
  <c r="E596" i="7"/>
  <c r="F595" i="7"/>
  <c r="E595" i="7"/>
  <c r="F594" i="7"/>
  <c r="E594" i="7"/>
  <c r="F593" i="7"/>
  <c r="E593" i="7"/>
  <c r="F592" i="7"/>
  <c r="E592" i="7"/>
  <c r="F591" i="7"/>
  <c r="E591" i="7"/>
  <c r="F590" i="7"/>
  <c r="E590" i="7"/>
  <c r="F589" i="7"/>
  <c r="E589" i="7"/>
  <c r="F588" i="7"/>
  <c r="E588" i="7"/>
  <c r="F587" i="7"/>
  <c r="E587" i="7"/>
  <c r="F586" i="7"/>
  <c r="E586" i="7"/>
  <c r="F585" i="7"/>
  <c r="E585" i="7"/>
  <c r="F584" i="7"/>
  <c r="E584" i="7"/>
  <c r="F583" i="7"/>
  <c r="E583" i="7"/>
  <c r="F582" i="7"/>
  <c r="E582" i="7"/>
  <c r="F581" i="7"/>
  <c r="E581" i="7"/>
  <c r="F580" i="7"/>
  <c r="E580" i="7"/>
  <c r="F579" i="7"/>
  <c r="E579" i="7"/>
  <c r="F578" i="7"/>
  <c r="E578" i="7"/>
  <c r="F577" i="7"/>
  <c r="E577" i="7"/>
  <c r="F576" i="7"/>
  <c r="E576" i="7"/>
  <c r="F575" i="7"/>
  <c r="E575" i="7"/>
  <c r="F574" i="7"/>
  <c r="E574" i="7"/>
  <c r="F573" i="7"/>
  <c r="E573" i="7"/>
  <c r="F572" i="7"/>
  <c r="E572" i="7"/>
  <c r="F571" i="7"/>
  <c r="E571" i="7"/>
  <c r="F570" i="7"/>
  <c r="E570" i="7"/>
  <c r="F569" i="7"/>
  <c r="E569" i="7"/>
  <c r="F568" i="7"/>
  <c r="E568" i="7"/>
  <c r="F567" i="7"/>
  <c r="E567" i="7"/>
  <c r="F566" i="7"/>
  <c r="E566" i="7"/>
  <c r="F565" i="7"/>
  <c r="E565" i="7"/>
  <c r="F564" i="7"/>
  <c r="E564" i="7"/>
  <c r="F563" i="7"/>
  <c r="E563" i="7"/>
  <c r="F562" i="7"/>
  <c r="E562" i="7"/>
  <c r="F561" i="7"/>
  <c r="E561" i="7"/>
  <c r="F560" i="7"/>
  <c r="E560" i="7"/>
  <c r="F559" i="7"/>
  <c r="E559" i="7"/>
  <c r="F558" i="7"/>
  <c r="E558" i="7"/>
  <c r="F557" i="7"/>
  <c r="E557" i="7"/>
  <c r="F556" i="7"/>
  <c r="E556" i="7"/>
  <c r="F555" i="7"/>
  <c r="E555" i="7"/>
  <c r="F554" i="7"/>
  <c r="E554" i="7"/>
  <c r="F553" i="7"/>
  <c r="E553" i="7"/>
  <c r="F552" i="7"/>
  <c r="E552" i="7"/>
  <c r="F551" i="7"/>
  <c r="E551" i="7"/>
  <c r="F550" i="7"/>
  <c r="E550" i="7"/>
  <c r="F549" i="7"/>
  <c r="E549" i="7"/>
  <c r="F548" i="7"/>
  <c r="E548" i="7"/>
  <c r="F547" i="7"/>
  <c r="E547" i="7"/>
  <c r="F546" i="7"/>
  <c r="E546" i="7"/>
  <c r="F545" i="7"/>
  <c r="E545" i="7"/>
  <c r="F544" i="7"/>
  <c r="E544" i="7"/>
  <c r="F543" i="7"/>
  <c r="E543" i="7"/>
  <c r="F542" i="7"/>
  <c r="E542" i="7"/>
  <c r="F541" i="7"/>
  <c r="E541" i="7"/>
  <c r="F540" i="7"/>
  <c r="E540" i="7"/>
  <c r="F539" i="7"/>
  <c r="E539" i="7"/>
  <c r="F538" i="7"/>
  <c r="E538" i="7"/>
  <c r="F537" i="7"/>
  <c r="E537" i="7"/>
  <c r="F536" i="7"/>
  <c r="E536" i="7"/>
  <c r="F535" i="7"/>
  <c r="E535" i="7"/>
  <c r="F534" i="7"/>
  <c r="E534" i="7"/>
  <c r="F533" i="7"/>
  <c r="E533" i="7"/>
  <c r="F532" i="7"/>
  <c r="E532" i="7"/>
  <c r="F531" i="7"/>
  <c r="E531" i="7"/>
  <c r="F530" i="7"/>
  <c r="E530" i="7"/>
  <c r="F529" i="7"/>
  <c r="E529" i="7"/>
  <c r="F528" i="7"/>
  <c r="E528" i="7"/>
  <c r="F527" i="7"/>
  <c r="E527" i="7"/>
  <c r="F526" i="7"/>
  <c r="E526" i="7"/>
  <c r="F525" i="7"/>
  <c r="E525" i="7"/>
  <c r="F524" i="7"/>
  <c r="E524" i="7"/>
  <c r="F523" i="7"/>
  <c r="E523" i="7"/>
  <c r="F522" i="7"/>
  <c r="E522" i="7"/>
  <c r="F521" i="7"/>
  <c r="E521" i="7"/>
  <c r="F520" i="7"/>
  <c r="E520" i="7"/>
  <c r="F519" i="7"/>
  <c r="E519" i="7"/>
  <c r="F518" i="7"/>
  <c r="E518" i="7"/>
  <c r="F517" i="7"/>
  <c r="E517" i="7"/>
  <c r="F516" i="7"/>
  <c r="E516" i="7"/>
  <c r="F515" i="7"/>
  <c r="E515" i="7"/>
  <c r="F514" i="7"/>
  <c r="E514" i="7"/>
  <c r="F513" i="7"/>
  <c r="E513" i="7"/>
  <c r="F512" i="7"/>
  <c r="E512" i="7"/>
  <c r="F511" i="7"/>
  <c r="E511" i="7"/>
  <c r="F510" i="7"/>
  <c r="E510" i="7"/>
  <c r="F509" i="7"/>
  <c r="E509" i="7"/>
  <c r="F508" i="7"/>
  <c r="E508" i="7"/>
  <c r="F507" i="7"/>
  <c r="E507" i="7"/>
  <c r="F506" i="7"/>
  <c r="E506" i="7"/>
  <c r="F505" i="7"/>
  <c r="E505" i="7"/>
  <c r="F504" i="7"/>
  <c r="E504" i="7"/>
  <c r="F503" i="7"/>
  <c r="E503" i="7"/>
  <c r="F502" i="7"/>
  <c r="E502" i="7"/>
  <c r="F501" i="7"/>
  <c r="E501" i="7"/>
  <c r="F500" i="7"/>
  <c r="E500" i="7"/>
  <c r="F499" i="7"/>
  <c r="E499" i="7"/>
  <c r="F498" i="7"/>
  <c r="E498" i="7"/>
  <c r="F497" i="7"/>
  <c r="E497" i="7"/>
  <c r="F496" i="7"/>
  <c r="E496" i="7"/>
  <c r="F495" i="7"/>
  <c r="E495" i="7"/>
  <c r="F494" i="7"/>
  <c r="E494" i="7"/>
  <c r="F493" i="7"/>
  <c r="E493" i="7"/>
  <c r="F492" i="7"/>
  <c r="E492" i="7"/>
  <c r="F491" i="7"/>
  <c r="E491" i="7"/>
  <c r="F490" i="7"/>
  <c r="E490" i="7"/>
  <c r="F489" i="7"/>
  <c r="E489" i="7"/>
  <c r="F488" i="7"/>
  <c r="E488" i="7"/>
  <c r="F487" i="7"/>
  <c r="E487" i="7"/>
  <c r="F486" i="7"/>
  <c r="E486" i="7"/>
  <c r="F485" i="7"/>
  <c r="E485" i="7"/>
  <c r="F484" i="7"/>
  <c r="E484" i="7"/>
  <c r="F483" i="7"/>
  <c r="E483" i="7"/>
  <c r="F482" i="7"/>
  <c r="E482" i="7"/>
  <c r="F481" i="7"/>
  <c r="E481" i="7"/>
  <c r="F480" i="7"/>
  <c r="E480" i="7"/>
  <c r="F479" i="7"/>
  <c r="E479" i="7"/>
  <c r="F478" i="7"/>
  <c r="E478" i="7"/>
  <c r="F477" i="7"/>
  <c r="E477" i="7"/>
  <c r="F476" i="7"/>
  <c r="E476" i="7"/>
  <c r="F475" i="7"/>
  <c r="E475" i="7"/>
  <c r="F474" i="7"/>
  <c r="E474" i="7"/>
  <c r="F473" i="7"/>
  <c r="E473" i="7"/>
  <c r="F472" i="7"/>
  <c r="E472" i="7"/>
  <c r="F471" i="7"/>
  <c r="E471" i="7"/>
  <c r="F470" i="7"/>
  <c r="E470" i="7"/>
  <c r="F469" i="7"/>
  <c r="E469" i="7"/>
  <c r="F468" i="7"/>
  <c r="E468" i="7"/>
  <c r="F467" i="7"/>
  <c r="E467" i="7"/>
  <c r="F466" i="7"/>
  <c r="E466" i="7"/>
  <c r="F465" i="7"/>
  <c r="E465" i="7"/>
  <c r="F464" i="7"/>
  <c r="E464" i="7"/>
  <c r="F463" i="7"/>
  <c r="E463" i="7"/>
  <c r="F462" i="7"/>
  <c r="E462" i="7"/>
  <c r="F461" i="7"/>
  <c r="E461" i="7"/>
  <c r="F460" i="7"/>
  <c r="E460" i="7"/>
  <c r="F459" i="7"/>
  <c r="E459" i="7"/>
  <c r="F458" i="7"/>
  <c r="E458" i="7"/>
  <c r="F457" i="7"/>
  <c r="E457" i="7"/>
  <c r="F456" i="7"/>
  <c r="E456" i="7"/>
  <c r="F455" i="7"/>
  <c r="E455" i="7"/>
  <c r="F454" i="7"/>
  <c r="E454" i="7"/>
  <c r="F453" i="7"/>
  <c r="E453" i="7"/>
  <c r="F452" i="7"/>
  <c r="E452" i="7"/>
  <c r="F451" i="7"/>
  <c r="E451" i="7"/>
  <c r="F450" i="7"/>
  <c r="E450" i="7"/>
  <c r="F449" i="7"/>
  <c r="E449" i="7"/>
  <c r="F448" i="7"/>
  <c r="E448" i="7"/>
  <c r="F447" i="7"/>
  <c r="E447" i="7"/>
  <c r="F446" i="7"/>
  <c r="E446" i="7"/>
  <c r="F445" i="7"/>
  <c r="E445" i="7"/>
  <c r="F444" i="7"/>
  <c r="E444" i="7"/>
  <c r="F443" i="7"/>
  <c r="E443" i="7"/>
  <c r="F442" i="7"/>
  <c r="E442" i="7"/>
  <c r="F441" i="7"/>
  <c r="E441" i="7"/>
  <c r="F440" i="7"/>
  <c r="E440" i="7"/>
  <c r="F439" i="7"/>
  <c r="E439" i="7"/>
  <c r="F438" i="7"/>
  <c r="E438" i="7"/>
  <c r="F437" i="7"/>
  <c r="E437" i="7"/>
  <c r="F436" i="7"/>
  <c r="E436" i="7"/>
  <c r="F435" i="7"/>
  <c r="E435" i="7"/>
  <c r="F434" i="7"/>
  <c r="E434" i="7"/>
  <c r="F433" i="7"/>
  <c r="E433" i="7"/>
  <c r="F432" i="7"/>
  <c r="E432" i="7"/>
  <c r="F431" i="7"/>
  <c r="E431" i="7"/>
  <c r="F430" i="7"/>
  <c r="E430" i="7"/>
  <c r="F429" i="7"/>
  <c r="E429" i="7"/>
  <c r="F428" i="7"/>
  <c r="E428" i="7"/>
  <c r="F427" i="7"/>
  <c r="E427" i="7"/>
  <c r="F426" i="7"/>
  <c r="E426" i="7"/>
  <c r="F425" i="7"/>
  <c r="E425" i="7"/>
  <c r="F424" i="7"/>
  <c r="E424" i="7"/>
  <c r="F423" i="7"/>
  <c r="E423" i="7"/>
  <c r="F422" i="7"/>
  <c r="E422" i="7"/>
  <c r="F421" i="7"/>
  <c r="E421" i="7"/>
  <c r="F420" i="7"/>
  <c r="E420" i="7"/>
  <c r="F419" i="7"/>
  <c r="E419" i="7"/>
  <c r="F418" i="7"/>
  <c r="E418" i="7"/>
  <c r="F417" i="7"/>
  <c r="E417" i="7"/>
  <c r="F416" i="7"/>
  <c r="E416" i="7"/>
  <c r="F415" i="7"/>
  <c r="E415" i="7"/>
  <c r="F414" i="7"/>
  <c r="E414" i="7"/>
  <c r="F413" i="7"/>
  <c r="E413" i="7"/>
  <c r="F412" i="7"/>
  <c r="E412" i="7"/>
  <c r="F411" i="7"/>
  <c r="E411" i="7"/>
  <c r="F410" i="7"/>
  <c r="E410" i="7"/>
  <c r="F409" i="7"/>
  <c r="E409" i="7"/>
  <c r="F408" i="7"/>
  <c r="E408" i="7"/>
  <c r="F407" i="7"/>
  <c r="E407" i="7"/>
  <c r="F406" i="7"/>
  <c r="E406" i="7"/>
  <c r="F405" i="7"/>
  <c r="E405" i="7"/>
  <c r="F404" i="7"/>
  <c r="E404" i="7"/>
  <c r="F403" i="7"/>
  <c r="E403" i="7"/>
  <c r="F402" i="7"/>
  <c r="E402" i="7"/>
  <c r="F401" i="7"/>
  <c r="E401" i="7"/>
  <c r="F400" i="7"/>
  <c r="E400" i="7"/>
  <c r="F399" i="7"/>
  <c r="E399" i="7"/>
  <c r="F398" i="7"/>
  <c r="E398" i="7"/>
  <c r="F397" i="7"/>
  <c r="E397" i="7"/>
  <c r="F396" i="7"/>
  <c r="E396" i="7"/>
  <c r="F395" i="7"/>
  <c r="E395" i="7"/>
  <c r="F394" i="7"/>
  <c r="E394" i="7"/>
  <c r="F393" i="7"/>
  <c r="E393" i="7"/>
  <c r="F392" i="7"/>
  <c r="E392" i="7"/>
  <c r="F391" i="7"/>
  <c r="E391" i="7"/>
  <c r="F390" i="7"/>
  <c r="E390" i="7"/>
  <c r="F389" i="7"/>
  <c r="E389" i="7"/>
  <c r="F388" i="7"/>
  <c r="E388" i="7"/>
  <c r="F387" i="7"/>
  <c r="E387" i="7"/>
  <c r="F386" i="7"/>
  <c r="E386" i="7"/>
  <c r="F385" i="7"/>
  <c r="E385" i="7"/>
  <c r="F384" i="7"/>
  <c r="E384" i="7"/>
  <c r="F383" i="7"/>
  <c r="E383" i="7"/>
  <c r="F382" i="7"/>
  <c r="E382" i="7"/>
  <c r="F381" i="7"/>
  <c r="E381" i="7"/>
  <c r="F380" i="7"/>
  <c r="E380" i="7"/>
  <c r="F379" i="7"/>
  <c r="E379" i="7"/>
  <c r="F378" i="7"/>
  <c r="E378" i="7"/>
  <c r="F377" i="7"/>
  <c r="E377" i="7"/>
  <c r="F376" i="7"/>
  <c r="E376" i="7"/>
  <c r="F375" i="7"/>
  <c r="E375" i="7"/>
  <c r="F374" i="7"/>
  <c r="E374" i="7"/>
  <c r="F373" i="7"/>
  <c r="E373" i="7"/>
  <c r="F372" i="7"/>
  <c r="E372" i="7"/>
  <c r="F371" i="7"/>
  <c r="E371" i="7"/>
  <c r="F370" i="7"/>
  <c r="E370" i="7"/>
  <c r="F369" i="7"/>
  <c r="E369" i="7"/>
  <c r="F368" i="7"/>
  <c r="E368" i="7"/>
  <c r="F367" i="7"/>
  <c r="E367" i="7"/>
  <c r="F366" i="7"/>
  <c r="E366" i="7"/>
  <c r="F365" i="7"/>
  <c r="E365" i="7"/>
  <c r="F364" i="7"/>
  <c r="E364" i="7"/>
  <c r="F363" i="7"/>
  <c r="E363" i="7"/>
  <c r="F362" i="7"/>
  <c r="E362" i="7"/>
  <c r="F361" i="7"/>
  <c r="E361" i="7"/>
  <c r="F360" i="7"/>
  <c r="E360" i="7"/>
  <c r="F359" i="7"/>
  <c r="E359" i="7"/>
  <c r="F358" i="7"/>
  <c r="E358" i="7"/>
  <c r="F357" i="7"/>
  <c r="E357" i="7"/>
  <c r="F356" i="7"/>
  <c r="E356" i="7"/>
  <c r="F355" i="7"/>
  <c r="E355" i="7"/>
  <c r="F354" i="7"/>
  <c r="E354" i="7"/>
  <c r="F353" i="7"/>
  <c r="E353" i="7"/>
  <c r="F352" i="7"/>
  <c r="E352" i="7"/>
  <c r="F351" i="7"/>
  <c r="E351" i="7"/>
  <c r="F350" i="7"/>
  <c r="E350" i="7"/>
  <c r="F349" i="7"/>
  <c r="E349" i="7"/>
  <c r="F348" i="7"/>
  <c r="E348" i="7"/>
  <c r="F347" i="7"/>
  <c r="E347" i="7"/>
  <c r="F346" i="7"/>
  <c r="E346" i="7"/>
  <c r="F345" i="7"/>
  <c r="E345" i="7"/>
  <c r="F344" i="7"/>
  <c r="E344" i="7"/>
  <c r="F343" i="7"/>
  <c r="E343" i="7"/>
  <c r="F342" i="7"/>
  <c r="E342" i="7"/>
  <c r="F341" i="7"/>
  <c r="E341" i="7"/>
  <c r="F340" i="7"/>
  <c r="E340" i="7"/>
  <c r="F339" i="7"/>
  <c r="E339" i="7"/>
  <c r="F338" i="7"/>
  <c r="E338" i="7"/>
  <c r="F337" i="7"/>
  <c r="E337" i="7"/>
  <c r="F336" i="7"/>
  <c r="E336" i="7"/>
  <c r="F335" i="7"/>
  <c r="E335" i="7"/>
  <c r="F334" i="7"/>
  <c r="E334" i="7"/>
  <c r="F333" i="7"/>
  <c r="E333" i="7"/>
  <c r="F332" i="7"/>
  <c r="E332" i="7"/>
  <c r="F331" i="7"/>
  <c r="E331" i="7"/>
  <c r="F330" i="7"/>
  <c r="E330" i="7"/>
  <c r="F329" i="7"/>
  <c r="E329" i="7"/>
  <c r="F328" i="7"/>
  <c r="E328" i="7"/>
  <c r="F327" i="7"/>
  <c r="E327" i="7"/>
  <c r="F326" i="7"/>
  <c r="E326" i="7"/>
  <c r="F325" i="7"/>
  <c r="E325" i="7"/>
  <c r="F324" i="7"/>
  <c r="E324" i="7"/>
  <c r="F323" i="7"/>
  <c r="E323" i="7"/>
  <c r="F322" i="7"/>
  <c r="E322" i="7"/>
  <c r="F321" i="7"/>
  <c r="E321" i="7"/>
  <c r="F320" i="7"/>
  <c r="E320" i="7"/>
  <c r="F319" i="7"/>
  <c r="E319" i="7"/>
  <c r="F318" i="7"/>
  <c r="E318" i="7"/>
  <c r="F317" i="7"/>
  <c r="E317" i="7"/>
  <c r="F316" i="7"/>
  <c r="E316" i="7"/>
  <c r="F315" i="7"/>
  <c r="E315" i="7"/>
  <c r="F314" i="7"/>
  <c r="E314" i="7"/>
  <c r="F313" i="7"/>
  <c r="E313" i="7"/>
  <c r="F312" i="7"/>
  <c r="E312" i="7"/>
  <c r="F311" i="7"/>
  <c r="E311" i="7"/>
  <c r="F310" i="7"/>
  <c r="E310" i="7"/>
  <c r="F309" i="7"/>
  <c r="E309" i="7"/>
  <c r="F308" i="7"/>
  <c r="E308" i="7"/>
  <c r="F307" i="7"/>
  <c r="E307" i="7"/>
  <c r="F306" i="7"/>
  <c r="E306" i="7"/>
  <c r="F305" i="7"/>
  <c r="E305" i="7"/>
  <c r="F304" i="7"/>
  <c r="E304" i="7"/>
  <c r="F303" i="7"/>
  <c r="E303" i="7"/>
  <c r="F302" i="7"/>
  <c r="E302" i="7"/>
  <c r="F301" i="7"/>
  <c r="E301" i="7"/>
  <c r="F300" i="7"/>
  <c r="E300" i="7"/>
  <c r="F299" i="7"/>
  <c r="E299" i="7"/>
  <c r="F298" i="7"/>
  <c r="E298" i="7"/>
  <c r="F297" i="7"/>
  <c r="E297" i="7"/>
  <c r="F296" i="7"/>
  <c r="E296" i="7"/>
  <c r="F295" i="7"/>
  <c r="E295" i="7"/>
  <c r="F294" i="7"/>
  <c r="E294" i="7"/>
  <c r="F293" i="7"/>
  <c r="E293" i="7"/>
  <c r="F292" i="7"/>
  <c r="E292" i="7"/>
  <c r="F291" i="7"/>
  <c r="E291" i="7"/>
  <c r="F290" i="7"/>
  <c r="E290" i="7"/>
  <c r="F289" i="7"/>
  <c r="E289" i="7"/>
  <c r="F288" i="7"/>
  <c r="E288" i="7"/>
  <c r="F287" i="7"/>
  <c r="E287" i="7"/>
  <c r="F286" i="7"/>
  <c r="E286" i="7"/>
  <c r="F285" i="7"/>
  <c r="E285" i="7"/>
  <c r="F284" i="7"/>
  <c r="E284" i="7"/>
  <c r="F283" i="7"/>
  <c r="E283" i="7"/>
  <c r="F282" i="7"/>
  <c r="E282" i="7"/>
  <c r="F281" i="7"/>
  <c r="E281" i="7"/>
  <c r="F280" i="7"/>
  <c r="E280" i="7"/>
  <c r="F279" i="7"/>
  <c r="E279" i="7"/>
  <c r="F278" i="7"/>
  <c r="E278" i="7"/>
  <c r="F277" i="7"/>
  <c r="E277" i="7"/>
  <c r="F276" i="7"/>
  <c r="E276" i="7"/>
  <c r="F275" i="7"/>
  <c r="E275" i="7"/>
  <c r="F274" i="7"/>
  <c r="E274" i="7"/>
  <c r="F273" i="7"/>
  <c r="E273" i="7"/>
  <c r="F272" i="7"/>
  <c r="E272" i="7"/>
  <c r="F271" i="7"/>
  <c r="E271" i="7"/>
  <c r="F270" i="7"/>
  <c r="E270" i="7"/>
  <c r="F269" i="7"/>
  <c r="E269" i="7"/>
  <c r="F268" i="7"/>
  <c r="E268" i="7"/>
  <c r="F267" i="7"/>
  <c r="E267" i="7"/>
  <c r="F266" i="7"/>
  <c r="E266" i="7"/>
  <c r="F265" i="7"/>
  <c r="E265" i="7"/>
  <c r="F264" i="7"/>
  <c r="E264" i="7"/>
  <c r="F263" i="7"/>
  <c r="E263" i="7"/>
  <c r="F262" i="7"/>
  <c r="E262" i="7"/>
  <c r="F261" i="7"/>
  <c r="E261" i="7"/>
  <c r="F260" i="7"/>
  <c r="E260" i="7"/>
  <c r="F259" i="7"/>
  <c r="E259" i="7"/>
  <c r="F258" i="7"/>
  <c r="E258" i="7"/>
  <c r="F257" i="7"/>
  <c r="E257" i="7"/>
  <c r="F256" i="7"/>
  <c r="E256" i="7"/>
  <c r="F255" i="7"/>
  <c r="E255" i="7"/>
  <c r="F254" i="7"/>
  <c r="E254" i="7"/>
  <c r="F253" i="7"/>
  <c r="E253" i="7"/>
  <c r="F252" i="7"/>
  <c r="E252" i="7"/>
  <c r="F251" i="7"/>
  <c r="E251" i="7"/>
  <c r="F250" i="7"/>
  <c r="E250" i="7"/>
  <c r="F249" i="7"/>
  <c r="E249" i="7"/>
  <c r="F248" i="7"/>
  <c r="E248" i="7"/>
  <c r="F247" i="7"/>
  <c r="E247" i="7"/>
  <c r="F246" i="7"/>
  <c r="E246" i="7"/>
  <c r="F245" i="7"/>
  <c r="E245" i="7"/>
  <c r="F244" i="7"/>
  <c r="E244" i="7"/>
  <c r="F243" i="7"/>
  <c r="E243" i="7"/>
  <c r="F242" i="7"/>
  <c r="E242" i="7"/>
  <c r="F241" i="7"/>
  <c r="E241" i="7"/>
  <c r="F240" i="7"/>
  <c r="E240" i="7"/>
  <c r="F239" i="7"/>
  <c r="E239" i="7"/>
  <c r="F238" i="7"/>
  <c r="E238" i="7"/>
  <c r="F237" i="7"/>
  <c r="E237" i="7"/>
  <c r="F236" i="7"/>
  <c r="E236" i="7"/>
  <c r="F235" i="7"/>
  <c r="E235" i="7"/>
  <c r="F234" i="7"/>
  <c r="E234" i="7"/>
  <c r="F233" i="7"/>
  <c r="E233" i="7"/>
  <c r="F232" i="7"/>
  <c r="E232" i="7"/>
  <c r="F231" i="7"/>
  <c r="E231" i="7"/>
  <c r="F230" i="7"/>
  <c r="E230" i="7"/>
  <c r="F229" i="7"/>
  <c r="E229" i="7"/>
  <c r="F228" i="7"/>
  <c r="E228" i="7"/>
  <c r="F227" i="7"/>
  <c r="E227" i="7"/>
  <c r="F226" i="7"/>
  <c r="E226" i="7"/>
  <c r="F225" i="7"/>
  <c r="E225" i="7"/>
  <c r="F224" i="7"/>
  <c r="E224" i="7"/>
  <c r="F223" i="7"/>
  <c r="E223" i="7"/>
  <c r="F222" i="7"/>
  <c r="E222" i="7"/>
  <c r="F221" i="7"/>
  <c r="E221" i="7"/>
  <c r="F220" i="7"/>
  <c r="E220" i="7"/>
  <c r="F219" i="7"/>
  <c r="E219" i="7"/>
  <c r="F218" i="7"/>
  <c r="E218" i="7"/>
  <c r="F217" i="7"/>
  <c r="E217" i="7"/>
  <c r="F216" i="7"/>
  <c r="E216" i="7"/>
  <c r="F215" i="7"/>
  <c r="E215" i="7"/>
  <c r="F214" i="7"/>
  <c r="E214" i="7"/>
  <c r="F213" i="7"/>
  <c r="E213" i="7"/>
  <c r="F212" i="7"/>
  <c r="E212" i="7"/>
  <c r="F211" i="7"/>
  <c r="E211" i="7"/>
  <c r="F210" i="7"/>
  <c r="E210" i="7"/>
  <c r="F209" i="7"/>
  <c r="E209" i="7"/>
  <c r="F208" i="7"/>
  <c r="E208" i="7"/>
  <c r="F207" i="7"/>
  <c r="E207" i="7"/>
  <c r="F206" i="7"/>
  <c r="E206" i="7"/>
  <c r="F205" i="7"/>
  <c r="E205" i="7"/>
  <c r="F204" i="7"/>
  <c r="E204" i="7"/>
  <c r="F203" i="7"/>
  <c r="E203" i="7"/>
  <c r="F202" i="7"/>
  <c r="E202" i="7"/>
  <c r="F201" i="7"/>
  <c r="E201" i="7"/>
  <c r="F200" i="7"/>
  <c r="E200" i="7"/>
  <c r="F199" i="7"/>
  <c r="E199" i="7"/>
  <c r="F198" i="7"/>
  <c r="E198" i="7"/>
  <c r="F197" i="7"/>
  <c r="E197" i="7"/>
  <c r="F196" i="7"/>
  <c r="E196" i="7"/>
  <c r="F195" i="7"/>
  <c r="E195" i="7"/>
  <c r="F194" i="7"/>
  <c r="E194" i="7"/>
  <c r="F193" i="7"/>
  <c r="E193" i="7"/>
  <c r="F192" i="7"/>
  <c r="E192" i="7"/>
  <c r="F191" i="7"/>
  <c r="E191" i="7"/>
  <c r="F190" i="7"/>
  <c r="E190" i="7"/>
  <c r="F189" i="7"/>
  <c r="E189" i="7"/>
  <c r="F188" i="7"/>
  <c r="E188" i="7"/>
  <c r="F187" i="7"/>
  <c r="E187" i="7"/>
  <c r="F186" i="7"/>
  <c r="E186" i="7"/>
  <c r="F185" i="7"/>
  <c r="E185" i="7"/>
  <c r="F184" i="7"/>
  <c r="E184" i="7"/>
  <c r="F183" i="7"/>
  <c r="E183" i="7"/>
  <c r="F182" i="7"/>
  <c r="E182" i="7"/>
  <c r="F181" i="7"/>
  <c r="E181" i="7"/>
  <c r="F180" i="7"/>
  <c r="E180" i="7"/>
  <c r="F179" i="7"/>
  <c r="E179" i="7"/>
  <c r="F178" i="7"/>
  <c r="E178" i="7"/>
  <c r="F177" i="7"/>
  <c r="E177" i="7"/>
  <c r="F176" i="7"/>
  <c r="E176" i="7"/>
  <c r="F175" i="7"/>
  <c r="E175" i="7"/>
  <c r="F174" i="7"/>
  <c r="E174" i="7"/>
  <c r="F173" i="7"/>
  <c r="E173" i="7"/>
  <c r="F172" i="7"/>
  <c r="E172" i="7"/>
  <c r="F171" i="7"/>
  <c r="E171" i="7"/>
  <c r="F170" i="7"/>
  <c r="E170" i="7"/>
  <c r="F169" i="7"/>
  <c r="E169" i="7"/>
  <c r="F168" i="7"/>
  <c r="E168" i="7"/>
  <c r="F167" i="7"/>
  <c r="E167" i="7"/>
  <c r="F166" i="7"/>
  <c r="E166" i="7"/>
  <c r="F165" i="7"/>
  <c r="E165" i="7"/>
  <c r="F164" i="7"/>
  <c r="E164" i="7"/>
  <c r="F163" i="7"/>
  <c r="E163" i="7"/>
  <c r="F162" i="7"/>
  <c r="E162" i="7"/>
  <c r="F161" i="7"/>
  <c r="E161" i="7"/>
  <c r="F160" i="7"/>
  <c r="E160" i="7"/>
  <c r="F159" i="7"/>
  <c r="E159" i="7"/>
  <c r="F158" i="7"/>
  <c r="E158" i="7"/>
  <c r="F157" i="7"/>
  <c r="E157" i="7"/>
  <c r="F156" i="7"/>
  <c r="E156" i="7"/>
  <c r="F155" i="7"/>
  <c r="E155" i="7"/>
  <c r="F154" i="7"/>
  <c r="E154" i="7"/>
  <c r="F153" i="7"/>
  <c r="E153" i="7"/>
  <c r="F152" i="7"/>
  <c r="E152" i="7"/>
  <c r="F151" i="7"/>
  <c r="E151" i="7"/>
  <c r="F150" i="7"/>
  <c r="E150" i="7"/>
  <c r="F149" i="7"/>
  <c r="E149" i="7"/>
  <c r="F148" i="7"/>
  <c r="E148" i="7"/>
  <c r="F147" i="7"/>
  <c r="E147" i="7"/>
  <c r="F146" i="7"/>
  <c r="E146" i="7"/>
  <c r="F145" i="7"/>
  <c r="E145" i="7"/>
  <c r="F144" i="7"/>
  <c r="E144" i="7"/>
  <c r="F143" i="7"/>
  <c r="E143" i="7"/>
  <c r="F142" i="7"/>
  <c r="E142" i="7"/>
  <c r="F141" i="7"/>
  <c r="E141" i="7"/>
  <c r="F140" i="7"/>
  <c r="E140" i="7"/>
  <c r="F139" i="7"/>
  <c r="E139" i="7"/>
  <c r="F138" i="7"/>
  <c r="E138" i="7"/>
  <c r="F137" i="7"/>
  <c r="E137" i="7"/>
  <c r="F136" i="7"/>
  <c r="E136" i="7"/>
  <c r="F135" i="7"/>
  <c r="E135" i="7"/>
  <c r="F134" i="7"/>
  <c r="E134" i="7"/>
  <c r="F133" i="7"/>
  <c r="E133" i="7"/>
  <c r="F132" i="7"/>
  <c r="E132" i="7"/>
  <c r="F131" i="7"/>
  <c r="E131" i="7"/>
  <c r="F130" i="7"/>
  <c r="E130" i="7"/>
  <c r="F129" i="7"/>
  <c r="E129" i="7"/>
  <c r="F128" i="7"/>
  <c r="E128" i="7"/>
  <c r="F127" i="7"/>
  <c r="E127" i="7"/>
  <c r="F126" i="7"/>
  <c r="E126" i="7"/>
  <c r="F125" i="7"/>
  <c r="E125" i="7"/>
  <c r="F124" i="7"/>
  <c r="E124" i="7"/>
  <c r="F123" i="7"/>
  <c r="E123" i="7"/>
  <c r="F122" i="7"/>
  <c r="E122" i="7"/>
  <c r="F121" i="7"/>
  <c r="E121" i="7"/>
  <c r="F120" i="7"/>
  <c r="E120" i="7"/>
  <c r="F119" i="7"/>
  <c r="E119" i="7"/>
  <c r="F118" i="7"/>
  <c r="E118" i="7"/>
  <c r="F117" i="7"/>
  <c r="E117" i="7"/>
  <c r="F116" i="7"/>
  <c r="E116" i="7"/>
  <c r="F115" i="7"/>
  <c r="E115" i="7"/>
  <c r="F114" i="7"/>
  <c r="E114" i="7"/>
  <c r="F113" i="7"/>
  <c r="E113" i="7"/>
  <c r="F112" i="7"/>
  <c r="E112" i="7"/>
  <c r="F111" i="7"/>
  <c r="E111" i="7"/>
  <c r="F110" i="7"/>
  <c r="E110" i="7"/>
  <c r="F109" i="7"/>
  <c r="E109" i="7"/>
  <c r="F108" i="7"/>
  <c r="E108" i="7"/>
  <c r="F107" i="7"/>
  <c r="E107" i="7"/>
  <c r="F106" i="7"/>
  <c r="E106" i="7"/>
  <c r="F105" i="7"/>
  <c r="E105" i="7"/>
  <c r="F104" i="7"/>
  <c r="E104" i="7"/>
  <c r="F103" i="7"/>
  <c r="E103" i="7"/>
  <c r="F102" i="7"/>
  <c r="E102" i="7"/>
  <c r="F101" i="7"/>
  <c r="E101" i="7"/>
  <c r="F100" i="7"/>
  <c r="E100" i="7"/>
  <c r="F99" i="7"/>
  <c r="E99" i="7"/>
  <c r="F98" i="7"/>
  <c r="E98" i="7"/>
  <c r="F97" i="7"/>
  <c r="E97" i="7"/>
  <c r="F96" i="7"/>
  <c r="E96" i="7"/>
  <c r="F95" i="7"/>
  <c r="E95" i="7"/>
  <c r="F94" i="7"/>
  <c r="E94" i="7"/>
  <c r="F93" i="7"/>
  <c r="E93" i="7"/>
  <c r="F92" i="7"/>
  <c r="E92" i="7"/>
  <c r="F91" i="7"/>
  <c r="E91" i="7"/>
  <c r="F90" i="7"/>
  <c r="E90" i="7"/>
  <c r="F89" i="7"/>
  <c r="E89" i="7"/>
  <c r="F88" i="7"/>
  <c r="E88" i="7"/>
  <c r="F87" i="7"/>
  <c r="E87" i="7"/>
  <c r="F86" i="7"/>
  <c r="E86" i="7"/>
  <c r="F85" i="7"/>
  <c r="E85" i="7"/>
  <c r="F84" i="7"/>
  <c r="E84" i="7"/>
  <c r="F83" i="7"/>
  <c r="E83" i="7"/>
  <c r="F82" i="7"/>
  <c r="E82" i="7"/>
  <c r="F81" i="7"/>
  <c r="E81" i="7"/>
  <c r="F80" i="7"/>
  <c r="E80" i="7"/>
  <c r="F79" i="7"/>
  <c r="E79" i="7"/>
  <c r="F78" i="7"/>
  <c r="E78" i="7"/>
  <c r="F77" i="7"/>
  <c r="E77" i="7"/>
  <c r="F76" i="7"/>
  <c r="E76" i="7"/>
  <c r="F75" i="7"/>
  <c r="E75" i="7"/>
  <c r="F74" i="7"/>
  <c r="E74" i="7"/>
  <c r="F73" i="7"/>
  <c r="E73" i="7"/>
  <c r="F72" i="7"/>
  <c r="E72" i="7"/>
  <c r="F71" i="7"/>
  <c r="E71" i="7"/>
  <c r="F70" i="7"/>
  <c r="E70" i="7"/>
  <c r="F69" i="7"/>
  <c r="E69" i="7"/>
  <c r="F68" i="7"/>
  <c r="E68" i="7"/>
  <c r="F67" i="7"/>
  <c r="E67" i="7"/>
  <c r="F66" i="7"/>
  <c r="E66" i="7"/>
  <c r="F65" i="7"/>
  <c r="E65" i="7"/>
  <c r="F64" i="7"/>
  <c r="E64" i="7"/>
  <c r="F63" i="7"/>
  <c r="E63" i="7"/>
  <c r="F62" i="7"/>
  <c r="E62" i="7"/>
  <c r="F61" i="7"/>
  <c r="E61" i="7"/>
  <c r="F60" i="7"/>
  <c r="E60" i="7"/>
  <c r="F59" i="7"/>
  <c r="E59" i="7"/>
  <c r="F58" i="7"/>
  <c r="E58" i="7"/>
  <c r="F57" i="7"/>
  <c r="E57" i="7"/>
  <c r="F56" i="7"/>
  <c r="E56" i="7"/>
  <c r="F55" i="7"/>
  <c r="E55" i="7"/>
  <c r="F54" i="7"/>
  <c r="E54" i="7"/>
  <c r="F53" i="7"/>
  <c r="E53" i="7"/>
  <c r="F52" i="7"/>
  <c r="E52" i="7"/>
  <c r="F51" i="7"/>
  <c r="E51" i="7"/>
  <c r="F50" i="7"/>
  <c r="E50" i="7"/>
  <c r="F49" i="7"/>
  <c r="E49" i="7"/>
  <c r="F48" i="7"/>
  <c r="E48" i="7"/>
  <c r="F47" i="7"/>
  <c r="E47" i="7"/>
  <c r="F46" i="7"/>
  <c r="E46" i="7"/>
  <c r="F45" i="7"/>
  <c r="E45" i="7"/>
  <c r="F44" i="7"/>
  <c r="E44" i="7"/>
  <c r="F43" i="7"/>
  <c r="E43" i="7"/>
  <c r="F42" i="7"/>
  <c r="E42" i="7"/>
  <c r="F41" i="7"/>
  <c r="E41" i="7"/>
  <c r="F40" i="7"/>
  <c r="E40" i="7"/>
  <c r="F39" i="7"/>
  <c r="E39" i="7"/>
  <c r="F38" i="7"/>
  <c r="E38" i="7"/>
  <c r="F37" i="7"/>
  <c r="E37" i="7"/>
  <c r="F36" i="7"/>
  <c r="E36" i="7"/>
  <c r="F35" i="7"/>
  <c r="E35" i="7"/>
  <c r="F34" i="7"/>
  <c r="E34" i="7"/>
  <c r="F33" i="7"/>
  <c r="E33" i="7"/>
  <c r="F32" i="7"/>
  <c r="E32" i="7"/>
  <c r="F31" i="7"/>
  <c r="E31" i="7"/>
  <c r="F30" i="7"/>
  <c r="E30" i="7"/>
  <c r="F29" i="7"/>
  <c r="E29" i="7"/>
  <c r="F28" i="7"/>
  <c r="E28" i="7"/>
  <c r="F27" i="7"/>
  <c r="E27" i="7"/>
  <c r="F26" i="7"/>
  <c r="E26" i="7"/>
  <c r="F25" i="7"/>
  <c r="E25" i="7"/>
  <c r="F24" i="7"/>
  <c r="E24" i="7"/>
  <c r="F23" i="7"/>
  <c r="E23" i="7"/>
  <c r="F22" i="7"/>
  <c r="E22" i="7"/>
  <c r="F21" i="7"/>
  <c r="E21" i="7"/>
  <c r="F20" i="7"/>
  <c r="E20" i="7"/>
  <c r="F19" i="7"/>
  <c r="E19" i="7"/>
  <c r="F18" i="7"/>
  <c r="E18" i="7"/>
  <c r="F17" i="7"/>
  <c r="E17" i="7"/>
  <c r="F16" i="7"/>
  <c r="E16" i="7"/>
  <c r="F15" i="7"/>
  <c r="E15" i="7"/>
  <c r="F14" i="7"/>
  <c r="E14" i="7"/>
  <c r="F13" i="7"/>
  <c r="E13" i="7"/>
  <c r="F12" i="7"/>
  <c r="E12" i="7"/>
  <c r="F11" i="7"/>
  <c r="E11" i="7"/>
  <c r="F10" i="7"/>
  <c r="E10" i="7"/>
  <c r="F9" i="7"/>
  <c r="E9" i="7"/>
  <c r="F8" i="7"/>
  <c r="E8" i="7"/>
  <c r="F7" i="7"/>
  <c r="E7" i="7"/>
  <c r="F6" i="7"/>
  <c r="E6" i="7"/>
  <c r="F5" i="7"/>
  <c r="E5" i="7"/>
  <c r="F4" i="7"/>
  <c r="E4" i="7"/>
  <c r="H3" i="7"/>
  <c r="G3" i="7"/>
  <c r="B11" i="8" s="1"/>
  <c r="F3" i="7"/>
  <c r="E3" i="7"/>
  <c r="F11" i="9" l="1"/>
  <c r="F26" i="9"/>
  <c r="K9" i="14"/>
  <c r="L9" i="14" s="1"/>
  <c r="K7" i="14"/>
  <c r="D11" i="9"/>
  <c r="D26" i="9"/>
  <c r="C9" i="15"/>
  <c r="O8" i="15"/>
  <c r="P8" i="15" s="1"/>
  <c r="B6" i="8"/>
  <c r="B25" i="8" s="1"/>
  <c r="B20" i="18"/>
  <c r="B13" i="8"/>
  <c r="K8" i="14"/>
  <c r="G5" i="17"/>
  <c r="E11" i="9"/>
  <c r="E26" i="9"/>
  <c r="B7" i="8"/>
  <c r="C9" i="9"/>
  <c r="I26" i="10"/>
  <c r="H28" i="10"/>
  <c r="H33" i="10"/>
  <c r="I34" i="10"/>
  <c r="F8" i="14"/>
  <c r="G8" i="14" s="1"/>
  <c r="N4" i="16"/>
  <c r="H27" i="16"/>
  <c r="E16" i="17"/>
  <c r="F7" i="12"/>
  <c r="F6" i="11"/>
  <c r="Q8" i="14"/>
  <c r="Q9" i="14"/>
  <c r="G7" i="14"/>
  <c r="H4" i="9"/>
  <c r="F40" i="9"/>
  <c r="H4" i="10"/>
  <c r="H16" i="10"/>
  <c r="C7" i="12"/>
  <c r="C6" i="11"/>
  <c r="C9" i="13"/>
  <c r="C5" i="11"/>
  <c r="C11" i="18"/>
  <c r="I10" i="10"/>
  <c r="H18" i="10"/>
  <c r="H39" i="10"/>
  <c r="D5" i="12"/>
  <c r="D6" i="12" s="1"/>
  <c r="E12" i="14"/>
  <c r="D11" i="18"/>
  <c r="B4" i="8"/>
  <c r="B5" i="8" s="1"/>
  <c r="B24" i="8" s="1"/>
  <c r="F9" i="14"/>
  <c r="G9" i="14" s="1"/>
  <c r="B3" i="15"/>
  <c r="H7" i="10"/>
  <c r="H13" i="10"/>
  <c r="H21" i="10"/>
  <c r="I22" i="10"/>
  <c r="F5" i="11"/>
  <c r="F9" i="13"/>
  <c r="J11" i="14"/>
  <c r="Q6" i="14"/>
  <c r="Q7" i="14"/>
  <c r="B13" i="18"/>
  <c r="E11" i="18"/>
  <c r="B30" i="18"/>
  <c r="B14" i="18"/>
  <c r="B16" i="18" s="1"/>
  <c r="M3" i="15"/>
  <c r="H12" i="10"/>
  <c r="B10" i="16"/>
  <c r="P10" i="14"/>
  <c r="Q10" i="14" s="1"/>
  <c r="C23" i="9"/>
  <c r="H6" i="10"/>
  <c r="H11" i="10"/>
  <c r="H20" i="10"/>
  <c r="H27" i="10"/>
  <c r="I29" i="10"/>
  <c r="E36" i="10"/>
  <c r="I35" i="10"/>
  <c r="H40" i="10"/>
  <c r="P11" i="14"/>
  <c r="Q11" i="14" s="1"/>
  <c r="O12" i="14"/>
  <c r="B9" i="9"/>
  <c r="C23" i="10"/>
  <c r="H23" i="10" s="1"/>
  <c r="B36" i="10"/>
  <c r="D3" i="13"/>
  <c r="D8" i="13" s="1"/>
  <c r="H11" i="17"/>
  <c r="L12" i="17"/>
  <c r="C17" i="17" s="1"/>
  <c r="F17" i="17" s="1"/>
  <c r="H17" i="17" s="1"/>
  <c r="J17" i="17" s="1"/>
  <c r="M17" i="17" s="1"/>
  <c r="Q21" i="17"/>
  <c r="P24" i="17"/>
  <c r="M6" i="17"/>
  <c r="O22" i="17"/>
  <c r="Q24" i="17"/>
  <c r="O33" i="17"/>
  <c r="D5" i="17"/>
  <c r="E5" i="17" s="1"/>
  <c r="J11" i="17"/>
  <c r="B18" i="17" s="1"/>
  <c r="E18" i="17" s="1"/>
  <c r="P22" i="17"/>
  <c r="O25" i="17"/>
  <c r="P33" i="17"/>
  <c r="Q22" i="17"/>
  <c r="P25" i="17"/>
  <c r="E2" i="13"/>
  <c r="E3" i="13" s="1"/>
  <c r="E8" i="13" s="1"/>
  <c r="L11" i="17"/>
  <c r="B17" i="17" s="1"/>
  <c r="E17" i="17" s="1"/>
  <c r="G17" i="17" s="1"/>
  <c r="I17" i="17" s="1"/>
  <c r="L17" i="17" s="1"/>
  <c r="D18" i="17"/>
  <c r="O23" i="17"/>
  <c r="O30" i="17" s="1"/>
  <c r="Q25" i="17"/>
  <c r="P23" i="17"/>
  <c r="P30" i="17" s="1"/>
  <c r="O26" i="17"/>
  <c r="J12" i="17"/>
  <c r="C18" i="17" s="1"/>
  <c r="F18" i="17" s="1"/>
  <c r="O21" i="17"/>
  <c r="Q23" i="17"/>
  <c r="P26" i="17"/>
  <c r="K12" i="17"/>
  <c r="C16" i="17" s="1"/>
  <c r="F16" i="17" s="1"/>
  <c r="E13" i="14" l="1"/>
  <c r="F12" i="14"/>
  <c r="G12" i="14" s="1"/>
  <c r="C7" i="11"/>
  <c r="K6" i="14"/>
  <c r="C11" i="9"/>
  <c r="C26" i="9"/>
  <c r="O13" i="14"/>
  <c r="P12" i="14"/>
  <c r="Q12" i="14" s="1"/>
  <c r="F11" i="14"/>
  <c r="F10" i="14"/>
  <c r="G10" i="14" s="1"/>
  <c r="G18" i="17"/>
  <c r="I18" i="17"/>
  <c r="L18" i="17" s="1"/>
  <c r="I36" i="10"/>
  <c r="H36" i="10"/>
  <c r="M11" i="17"/>
  <c r="M12" i="17"/>
  <c r="D7" i="12"/>
  <c r="D6" i="11"/>
  <c r="D27" i="9"/>
  <c r="D42" i="9"/>
  <c r="D36" i="9"/>
  <c r="D43" i="9" s="1"/>
  <c r="D14" i="9"/>
  <c r="J12" i="14"/>
  <c r="D25" i="8"/>
  <c r="Q31" i="17"/>
  <c r="P31" i="17"/>
  <c r="P32" i="17" s="1"/>
  <c r="P35" i="17" s="1"/>
  <c r="O31" i="17"/>
  <c r="L5" i="17"/>
  <c r="D17" i="17" s="1"/>
  <c r="K5" i="17"/>
  <c r="D16" i="17" s="1"/>
  <c r="M5" i="17"/>
  <c r="H16" i="17"/>
  <c r="J16" i="17" s="1"/>
  <c r="M16" i="17" s="1"/>
  <c r="O32" i="17"/>
  <c r="O35" i="17" s="1"/>
  <c r="K5" i="14"/>
  <c r="K10" i="14" s="1"/>
  <c r="L10" i="14" s="1"/>
  <c r="B26" i="9"/>
  <c r="B11" i="9"/>
  <c r="L7" i="14"/>
  <c r="B8" i="15"/>
  <c r="H5" i="17"/>
  <c r="E27" i="9"/>
  <c r="E42" i="9"/>
  <c r="E36" i="9"/>
  <c r="E43" i="9" s="1"/>
  <c r="E14" i="9"/>
  <c r="N4" i="15"/>
  <c r="O4" i="15" s="1"/>
  <c r="C4" i="15"/>
  <c r="E9" i="13"/>
  <c r="C12" i="13" s="1"/>
  <c r="E5" i="11"/>
  <c r="E6" i="12"/>
  <c r="A44" i="18"/>
  <c r="B26" i="18"/>
  <c r="A45" i="18"/>
  <c r="A41" i="18"/>
  <c r="A42" i="18"/>
  <c r="A43" i="18"/>
  <c r="B26" i="8"/>
  <c r="G16" i="17"/>
  <c r="I16" i="17" s="1"/>
  <c r="L16" i="17" s="1"/>
  <c r="L8" i="14"/>
  <c r="F42" i="9"/>
  <c r="F36" i="9"/>
  <c r="F43" i="9" s="1"/>
  <c r="F14" i="9"/>
  <c r="F27" i="9"/>
  <c r="Q35" i="17"/>
  <c r="Q30" i="17"/>
  <c r="Q32" i="17" s="1"/>
  <c r="J18" i="17"/>
  <c r="M18" i="17" s="1"/>
  <c r="H18" i="17"/>
  <c r="D9" i="13"/>
  <c r="C11" i="13" s="1"/>
  <c r="D5" i="11"/>
  <c r="D7" i="11" s="1"/>
  <c r="B31" i="18"/>
  <c r="F7" i="11"/>
  <c r="B12" i="18"/>
  <c r="H28" i="16"/>
  <c r="H29" i="16" s="1"/>
  <c r="H26" i="16"/>
  <c r="H25" i="16" s="1"/>
  <c r="B22" i="18"/>
  <c r="C25" i="8"/>
  <c r="D9" i="15"/>
  <c r="E9" i="15" s="1"/>
  <c r="F9" i="15" s="1"/>
  <c r="G9" i="15" s="1"/>
  <c r="H9" i="15" s="1"/>
  <c r="I9" i="15" s="1"/>
  <c r="J9" i="15" s="1"/>
  <c r="K9" i="15" s="1"/>
  <c r="L9" i="15" s="1"/>
  <c r="I23" i="10"/>
  <c r="B25" i="18" l="1"/>
  <c r="B27" i="18" s="1"/>
  <c r="C27" i="18" s="1"/>
  <c r="F40" i="18"/>
  <c r="E40" i="18"/>
  <c r="D40" i="18"/>
  <c r="C40" i="18"/>
  <c r="B40" i="18"/>
  <c r="B27" i="9"/>
  <c r="B42" i="9"/>
  <c r="B36" i="9"/>
  <c r="B43" i="9" s="1"/>
  <c r="B14" i="9"/>
  <c r="P13" i="14"/>
  <c r="Q13" i="14" s="1"/>
  <c r="O14" i="14"/>
  <c r="P14" i="14" s="1"/>
  <c r="Q14" i="14" s="1"/>
  <c r="E7" i="11"/>
  <c r="C27" i="9"/>
  <c r="C14" i="9"/>
  <c r="C42" i="9"/>
  <c r="C36" i="9"/>
  <c r="C43" i="9" s="1"/>
  <c r="E7" i="12"/>
  <c r="C10" i="12" s="1"/>
  <c r="E6" i="11"/>
  <c r="L6" i="14"/>
  <c r="B13" i="15"/>
  <c r="C8" i="15"/>
  <c r="D8" i="15" s="1"/>
  <c r="E8" i="15" s="1"/>
  <c r="F8" i="15" s="1"/>
  <c r="G8" i="15" s="1"/>
  <c r="H8" i="15" s="1"/>
  <c r="I8" i="15" s="1"/>
  <c r="J8" i="15" s="1"/>
  <c r="K8" i="15" s="1"/>
  <c r="L8" i="15" s="1"/>
  <c r="C45" i="18"/>
  <c r="E42" i="18"/>
  <c r="C41" i="18"/>
  <c r="B45" i="18"/>
  <c r="F43" i="18"/>
  <c r="D42" i="18"/>
  <c r="B41" i="18"/>
  <c r="E43" i="18"/>
  <c r="C42" i="18"/>
  <c r="F44" i="18"/>
  <c r="D43" i="18"/>
  <c r="B42" i="18"/>
  <c r="B35" i="18"/>
  <c r="E44" i="18"/>
  <c r="C43" i="18"/>
  <c r="F45" i="18"/>
  <c r="D44" i="18"/>
  <c r="B43" i="18"/>
  <c r="F41" i="18"/>
  <c r="E45" i="18"/>
  <c r="C44" i="18"/>
  <c r="E41" i="18"/>
  <c r="D45" i="18"/>
  <c r="B44" i="18"/>
  <c r="F42" i="18"/>
  <c r="D41" i="18"/>
  <c r="F28" i="9"/>
  <c r="F17" i="9"/>
  <c r="F29" i="9" s="1"/>
  <c r="F32" i="9"/>
  <c r="B19" i="8"/>
  <c r="B20" i="8" s="1"/>
  <c r="C24" i="8" s="1"/>
  <c r="D24" i="8" s="1"/>
  <c r="D26" i="8" s="1"/>
  <c r="Q3" i="16" s="1"/>
  <c r="D4" i="15"/>
  <c r="E4" i="15" s="1"/>
  <c r="F4" i="15" s="1"/>
  <c r="G4" i="15" s="1"/>
  <c r="H4" i="15" s="1"/>
  <c r="I4" i="15" s="1"/>
  <c r="J4" i="15" s="1"/>
  <c r="K4" i="15" s="1"/>
  <c r="L4" i="15" s="1"/>
  <c r="C3" i="15"/>
  <c r="D3" i="15" s="1"/>
  <c r="E3" i="15" s="1"/>
  <c r="F3" i="15" s="1"/>
  <c r="G3" i="15" s="1"/>
  <c r="H3" i="15" s="1"/>
  <c r="I3" i="15" s="1"/>
  <c r="J3" i="15" s="1"/>
  <c r="K3" i="15" s="1"/>
  <c r="L3" i="15" s="1"/>
  <c r="K11" i="14"/>
  <c r="L11" i="14" s="1"/>
  <c r="K12" i="14"/>
  <c r="L12" i="14" s="1"/>
  <c r="J13" i="14"/>
  <c r="E28" i="9"/>
  <c r="E17" i="9"/>
  <c r="E29" i="9" s="1"/>
  <c r="E32" i="9"/>
  <c r="D32" i="9"/>
  <c r="D17" i="9"/>
  <c r="D29" i="9" s="1"/>
  <c r="D28" i="9"/>
  <c r="G11" i="14"/>
  <c r="F13" i="14"/>
  <c r="G13" i="14" s="1"/>
  <c r="E14" i="14"/>
  <c r="F14" i="14" s="1"/>
  <c r="G14" i="14" s="1"/>
  <c r="C32" i="9" l="1"/>
  <c r="C28" i="9"/>
  <c r="C17" i="9"/>
  <c r="C29" i="9" s="1"/>
  <c r="C6" i="16"/>
  <c r="D6" i="16" s="1"/>
  <c r="E6" i="16" s="1"/>
  <c r="F6" i="16" s="1"/>
  <c r="G6" i="16" s="1"/>
  <c r="H6" i="16" s="1"/>
  <c r="I6" i="16" s="1"/>
  <c r="J6" i="16" s="1"/>
  <c r="K6" i="16" s="1"/>
  <c r="L6" i="16" s="1"/>
  <c r="N6" i="16" s="1"/>
  <c r="B18" i="15"/>
  <c r="J14" i="14"/>
  <c r="K14" i="14" s="1"/>
  <c r="K13" i="14"/>
  <c r="L13" i="14" s="1"/>
  <c r="C37" i="18"/>
  <c r="B37" i="18"/>
  <c r="B17" i="9"/>
  <c r="B29" i="9" s="1"/>
  <c r="B28" i="9"/>
  <c r="B32" i="9"/>
  <c r="I32" i="9" s="1"/>
  <c r="J5" i="11" s="1"/>
  <c r="K18" i="16"/>
  <c r="C18" i="16"/>
  <c r="J18" i="16"/>
  <c r="I18" i="16"/>
  <c r="H18" i="16"/>
  <c r="K23" i="16"/>
  <c r="F18" i="16"/>
  <c r="E18" i="16"/>
  <c r="L18" i="16"/>
  <c r="D18" i="16"/>
  <c r="G18" i="16"/>
  <c r="Q4" i="16"/>
  <c r="N14" i="16" s="1"/>
  <c r="C9" i="12"/>
  <c r="E3" i="11" l="1"/>
  <c r="E4" i="11" s="1"/>
  <c r="C3" i="11"/>
  <c r="C4" i="11" s="1"/>
  <c r="B3" i="11"/>
  <c r="B4" i="11" s="1"/>
  <c r="D3" i="11"/>
  <c r="D4" i="11" s="1"/>
  <c r="F3" i="11"/>
  <c r="F4" i="11" s="1"/>
  <c r="L14" i="14"/>
  <c r="B3" i="16"/>
  <c r="M23" i="16"/>
  <c r="J23" i="16"/>
  <c r="I23" i="16"/>
  <c r="L23" i="16"/>
  <c r="F8" i="11" l="1"/>
  <c r="F10" i="11"/>
  <c r="D8" i="11"/>
  <c r="D10" i="11"/>
  <c r="C8" i="11"/>
  <c r="C10" i="11"/>
  <c r="E8" i="11"/>
  <c r="E10" i="11"/>
  <c r="B12" i="11" l="1"/>
  <c r="B13" i="11"/>
  <c r="N12" i="15" l="1"/>
  <c r="C45" i="9"/>
  <c r="C14" i="15" l="1"/>
  <c r="O13" i="15"/>
  <c r="P13" i="15" s="1"/>
  <c r="C19" i="15" l="1"/>
  <c r="D14" i="15"/>
  <c r="C13" i="15"/>
  <c r="D13" i="15" s="1"/>
  <c r="C4" i="16" l="1"/>
  <c r="C18" i="15"/>
  <c r="D19" i="15"/>
  <c r="D4" i="16" s="1"/>
  <c r="E14" i="15"/>
  <c r="E13" i="15" s="1"/>
  <c r="F13" i="15" l="1"/>
  <c r="E19" i="15"/>
  <c r="E4" i="16" s="1"/>
  <c r="F14" i="15"/>
  <c r="C3" i="16"/>
  <c r="D18" i="15"/>
  <c r="F19" i="15" l="1"/>
  <c r="F4" i="16" s="1"/>
  <c r="G14" i="15"/>
  <c r="E18" i="15"/>
  <c r="D3" i="16"/>
  <c r="C9" i="16"/>
  <c r="C5" i="16"/>
  <c r="C10" i="16"/>
  <c r="C11" i="16" s="1"/>
  <c r="C7" i="16" l="1"/>
  <c r="C8" i="16"/>
  <c r="D9" i="16"/>
  <c r="D5" i="16"/>
  <c r="D10" i="16"/>
  <c r="D11" i="16" s="1"/>
  <c r="H14" i="15"/>
  <c r="G19" i="15"/>
  <c r="G4" i="16" s="1"/>
  <c r="F18" i="15"/>
  <c r="E3" i="16"/>
  <c r="C12" i="16"/>
  <c r="G13" i="15"/>
  <c r="G18" i="15" l="1"/>
  <c r="F3" i="16"/>
  <c r="I14" i="15"/>
  <c r="H19" i="15"/>
  <c r="H4" i="16" s="1"/>
  <c r="D7" i="16"/>
  <c r="D8" i="16"/>
  <c r="D12" i="16"/>
  <c r="H13" i="15"/>
  <c r="I13" i="15" s="1"/>
  <c r="C13" i="16"/>
  <c r="E9" i="16"/>
  <c r="E5" i="16"/>
  <c r="E10" i="16"/>
  <c r="E11" i="16" s="1"/>
  <c r="J14" i="15" l="1"/>
  <c r="I19" i="15"/>
  <c r="I4" i="16" s="1"/>
  <c r="E12" i="16"/>
  <c r="F9" i="16"/>
  <c r="F5" i="16"/>
  <c r="F10" i="16"/>
  <c r="F11" i="16" s="1"/>
  <c r="D13" i="16"/>
  <c r="D14" i="16" s="1"/>
  <c r="E7" i="16"/>
  <c r="E8" i="16"/>
  <c r="C14" i="16"/>
  <c r="H18" i="15"/>
  <c r="G3" i="16"/>
  <c r="G5" i="16" l="1"/>
  <c r="G9" i="16"/>
  <c r="G10" i="16"/>
  <c r="G11" i="16" s="1"/>
  <c r="H3" i="16"/>
  <c r="I18" i="15"/>
  <c r="K14" i="15"/>
  <c r="J19" i="15"/>
  <c r="J4" i="16" s="1"/>
  <c r="F7" i="16"/>
  <c r="F8" i="16" s="1"/>
  <c r="F13" i="16" s="1"/>
  <c r="F14" i="16" s="1"/>
  <c r="F12" i="16"/>
  <c r="E13" i="16"/>
  <c r="E14" i="16" s="1"/>
  <c r="J13" i="15"/>
  <c r="I3" i="16" l="1"/>
  <c r="J18" i="15"/>
  <c r="H5" i="16"/>
  <c r="H9" i="16"/>
  <c r="H10" i="16"/>
  <c r="H11" i="16" s="1"/>
  <c r="G12" i="16"/>
  <c r="K19" i="15"/>
  <c r="K4" i="16" s="1"/>
  <c r="L14" i="15"/>
  <c r="L19" i="15" s="1"/>
  <c r="L4" i="16" s="1"/>
  <c r="K13" i="15"/>
  <c r="G7" i="16"/>
  <c r="G8" i="16" s="1"/>
  <c r="G13" i="16" s="1"/>
  <c r="G14" i="16" s="1"/>
  <c r="J3" i="16" l="1"/>
  <c r="K18" i="15"/>
  <c r="H12" i="16"/>
  <c r="H7" i="16"/>
  <c r="H8" i="16" s="1"/>
  <c r="H13" i="16" s="1"/>
  <c r="H14" i="16" s="1"/>
  <c r="L13" i="15"/>
  <c r="I5" i="16"/>
  <c r="I9" i="16"/>
  <c r="I12" i="16" s="1"/>
  <c r="I10" i="16"/>
  <c r="I11" i="16" s="1"/>
  <c r="I7" i="16" l="1"/>
  <c r="I8" i="16" s="1"/>
  <c r="I13" i="16" s="1"/>
  <c r="I14" i="16" s="1"/>
  <c r="K3" i="16"/>
  <c r="L18" i="15"/>
  <c r="L3" i="16" s="1"/>
  <c r="J5" i="16"/>
  <c r="J9" i="16"/>
  <c r="J12" i="16" s="1"/>
  <c r="J10" i="16"/>
  <c r="J11" i="16" s="1"/>
  <c r="J7" i="16" l="1"/>
  <c r="J8" i="16"/>
  <c r="J13" i="16" s="1"/>
  <c r="J14" i="16" s="1"/>
  <c r="K9" i="16"/>
  <c r="K5" i="16"/>
  <c r="K10" i="16"/>
  <c r="K11" i="16" s="1"/>
  <c r="L9" i="16"/>
  <c r="N3" i="16"/>
  <c r="N5" i="16" s="1"/>
  <c r="L5" i="16"/>
  <c r="L10" i="16"/>
  <c r="N7" i="16" l="1"/>
  <c r="N8" i="16"/>
  <c r="K7" i="16"/>
  <c r="K8" i="16"/>
  <c r="L12" i="16"/>
  <c r="L7" i="16"/>
  <c r="L8" i="16" s="1"/>
  <c r="L13" i="16" s="1"/>
  <c r="K12" i="16"/>
  <c r="L11" i="16"/>
  <c r="L16" i="16" l="1"/>
  <c r="C21" i="16" s="1"/>
  <c r="L14" i="16"/>
  <c r="C20" i="16"/>
  <c r="C23" i="16" s="1"/>
  <c r="C27" i="16" s="1"/>
  <c r="C30" i="16" s="1"/>
  <c r="H24" i="16" s="1"/>
  <c r="N12" i="16"/>
  <c r="N13" i="16"/>
  <c r="K13" i="16"/>
  <c r="K14" i="16" s="1"/>
</calcChain>
</file>

<file path=xl/sharedStrings.xml><?xml version="1.0" encoding="utf-8"?>
<sst xmlns="http://schemas.openxmlformats.org/spreadsheetml/2006/main" count="1502" uniqueCount="763">
  <si>
    <t>DLF LIMITED</t>
  </si>
  <si>
    <t>Corporate Profile  |  Annual Report FY 2024-25  |  Equity Research Note</t>
  </si>
  <si>
    <t>Business Overview, Chairman's Message &amp; Key Corporate Facts</t>
  </si>
  <si>
    <t>MESSAGE FROM THE CHAIRMAN
In his message to shareholders, Chairman Mr. Rajiv Singh noted that both the Residential and Rental businesses delivered strong growth in FY 2024-25, supported by record sales bookings on new launches such as The Dahlias and Privana, and continued capital investment in new office and retail build-outs across Gurugram, Chennai, Delhi and Goa. He reaffirmed the Company's commitment to good governance, transparency and sustainable, long-term value creation for all stakeholders, while reiterating DLF's vision of contributing to India's 'Viksit Bharat' goal by 2047.
WHO WE ARE
DLF Limited is one of India's largest and most reputed real estate development companies, with a track record spanning over six decades since its incorporation in 1963. Headquartered in Gurugram, Haryana, the Company has built and delivered a diversified portfolio of residential, commercial and retail developments across the country and is recognised as one of India's most trusted real estate brands. DLF is listed on both BSE Limited and the National Stock Exchange of India Limited.
BUSINESS SEGMENTS / SERVICES OFFERED
DLF's operations are organised around two core business verticals. The Development Business focuses on the design, construction and sale of residential products, including high-rise condominiums, low-rise independent floors, plotted developments and shop-cum-offices. The Rental (Annuity) Business comprises Offices, Retail and Hospitality assets, largely held and operated through DLF Cyber City Developers Limited (DCCDL), a 66.66%-owned subsidiary and joint venture platform with Reco Greens Pte. Limited, an affiliate of GIC, Singapore.
KEY MARKETS / SEGMENTS SERVED
Residential Real Estate: Super-luxury and luxury housing, plotted developments and independent floors across Gurugram, Delhi, Chennai, Goa and Panchkula.
Commercial Offices: Grade-A office parks and business districts serving Global Capability Centres (GCCs), BFSI and technology occupiers.
Retail: Shopping malls and lifestyle destinations, including DLF Promenade, DLF Mall of India and Midtown Plaza.
Hospitality: Premium hotels and clubs, including The Lodhi, New Delhi, and DLF's golf and recreation clubs.</t>
  </si>
  <si>
    <t>KEY SUBSIDIARIES, JOINT VENTURES &amp; ASSOCIATES</t>
  </si>
  <si>
    <t>S. No.</t>
  </si>
  <si>
    <t>Company Name</t>
  </si>
  <si>
    <t>Nature of Business</t>
  </si>
  <si>
    <t>Holding (%)</t>
  </si>
  <si>
    <t>DLF Home Developers Limited</t>
  </si>
  <si>
    <t>Residential Real Estate Development</t>
  </si>
  <si>
    <t>100.00</t>
  </si>
  <si>
    <t>DLF Cyber City Developers Limited (DCCDL)</t>
  </si>
  <si>
    <t>Office, Retail &amp; Hospitality (Rental Business / JV with GIC, Singapore)</t>
  </si>
  <si>
    <t>66.66</t>
  </si>
  <si>
    <t>DLF Universal Limited</t>
  </si>
  <si>
    <t>Real Estate Development</t>
  </si>
  <si>
    <t>DLF Utilities Limited</t>
  </si>
  <si>
    <t>Utility &amp; Infrastructure Services</t>
  </si>
  <si>
    <t>DLF Projects Limited</t>
  </si>
  <si>
    <t>Project &amp; Construction Management</t>
  </si>
  <si>
    <t>DLF Property Developers Limited</t>
  </si>
  <si>
    <t>DLF Luxury Homes Limited</t>
  </si>
  <si>
    <t>Premium Residential Development</t>
  </si>
  <si>
    <t>Lodhi Property Company Limited</t>
  </si>
  <si>
    <t>Hospitality (The Lodhi, New Delhi)</t>
  </si>
  <si>
    <t>DLF Info City Hyderabad Limited</t>
  </si>
  <si>
    <t>IT Park / Commercial Development</t>
  </si>
  <si>
    <t>DLF Info Park (Pune) Limited</t>
  </si>
  <si>
    <t>DLF Southern Towns Private Limited</t>
  </si>
  <si>
    <t>Residential Development (South India)</t>
  </si>
  <si>
    <t>DLF Residential Partners Limited</t>
  </si>
  <si>
    <t>Residential Development</t>
  </si>
  <si>
    <t>DLF Clubs and Hospitality Limited</t>
  </si>
  <si>
    <t>Clubs &amp; Recreation</t>
  </si>
  <si>
    <t>99.74</t>
  </si>
  <si>
    <t>DLF Homes Panchkula Private Limited</t>
  </si>
  <si>
    <t>99.94</t>
  </si>
  <si>
    <t>REGISTERED OFFICE &amp; CORPORATE INFORMATION</t>
  </si>
  <si>
    <t>Registered Office</t>
  </si>
  <si>
    <t>Shopping Mall, 3rd Floor, Arjun Marg, Phase-I, DLF City, Gurugram – 122 002, Haryana, India</t>
  </si>
  <si>
    <t>Corporate Office</t>
  </si>
  <si>
    <t>DLF Gateway Tower, R Block, DLF City, Phase-III, Gurugram – 122 002, Haryana, India</t>
  </si>
  <si>
    <t>Corporate Identity Number (CIN)</t>
  </si>
  <si>
    <t>L70101HR1963PLC002484</t>
  </si>
  <si>
    <t>Listed At</t>
  </si>
  <si>
    <t>BSE Limited (BSE) and National Stock Exchange of India Limited (NSE)</t>
  </si>
  <si>
    <t>KEY OPERATING METRICS</t>
  </si>
  <si>
    <t>Metric</t>
  </si>
  <si>
    <t>Value</t>
  </si>
  <si>
    <t>Details</t>
  </si>
  <si>
    <t>Track Record</t>
  </si>
  <si>
    <t>8 Decades</t>
  </si>
  <si>
    <t>Real estate operations since incorporation in 1963</t>
  </si>
  <si>
    <t>Real Estate Projects Developed</t>
  </si>
  <si>
    <t>178</t>
  </si>
  <si>
    <t>Across residential, commercial and retail segments</t>
  </si>
  <si>
    <t>Cumulative Area Developed</t>
  </si>
  <si>
    <t>349 msf</t>
  </si>
  <si>
    <t>Since inception</t>
  </si>
  <si>
    <t>Development Potential</t>
  </si>
  <si>
    <t>205 msf</t>
  </si>
  <si>
    <t>Combined Devco &amp; Rentco pipeline</t>
  </si>
  <si>
    <t>Operational Rental Portfolio</t>
  </si>
  <si>
    <t>45 msf</t>
  </si>
  <si>
    <t>Offices, Retail &amp; Hospitality (through DCCDL)</t>
  </si>
  <si>
    <t>Pan-India Presence</t>
  </si>
  <si>
    <t>132 locations</t>
  </si>
  <si>
    <t>Across India; no international operations (per BRSR disclosure)</t>
  </si>
  <si>
    <t>DLF LIMITED  |  SHAREHOLDING PATTERN — PROMOTER &amp; PROMOTER GROUP (CATEGORY A)</t>
  </si>
  <si>
    <t>Per Regulation 31, SEBI (LODR) Regulations, 2015  |  Capital Structure Annexure — Equity Research</t>
  </si>
  <si>
    <t>Category of Shareholder</t>
  </si>
  <si>
    <t>Entity Type</t>
  </si>
  <si>
    <t>No. of
Shareholders</t>
  </si>
  <si>
    <t>No. of Fully Paid-up
Equity Shares Held</t>
  </si>
  <si>
    <t>Total Shares
Held</t>
  </si>
  <si>
    <t>Shareholding
(% of Total)</t>
  </si>
  <si>
    <t>Voting Rights
Held (Class: Equity)</t>
  </si>
  <si>
    <t>Voting Rights
(% of Total)</t>
  </si>
  <si>
    <t>Shares on Fully
Diluted Basis</t>
  </si>
  <si>
    <t>Shareholding %
(Diluted Basis)</t>
  </si>
  <si>
    <t>Shares Held in
Dematerialised Form</t>
  </si>
  <si>
    <t>A5) Indian</t>
  </si>
  <si>
    <t>Individuals/Hindu undivided Family</t>
  </si>
  <si>
    <t>PIA SINGH</t>
  </si>
  <si>
    <t>Promoter Group</t>
  </si>
  <si>
    <t>RENUKA TALWAR</t>
  </si>
  <si>
    <t>RAJIV SINGH</t>
  </si>
  <si>
    <t>Promoter</t>
  </si>
  <si>
    <t>KAVITA SINGH</t>
  </si>
  <si>
    <t>ANUSHKA SINGH</t>
  </si>
  <si>
    <t>K. P. SINGH (HUF) [KARTA- KUSHAL PAL SINGH]</t>
  </si>
  <si>
    <t>-</t>
  </si>
  <si>
    <t>Any Other (specify)</t>
  </si>
  <si>
    <t>RAJDHANI INVESTMENTS AND AGENCIES PRIVATE LIMITED</t>
  </si>
  <si>
    <t>UNIVERSAL MANAGEMENT AND SALES LLP</t>
  </si>
  <si>
    <t>JHANDEWALAN ANCILLARIES LLP</t>
  </si>
  <si>
    <t>BEVERLY BUILDERS LLP</t>
  </si>
  <si>
    <t>PARVATI ESTATES LLP</t>
  </si>
  <si>
    <t>PREM TRADERS LLP</t>
  </si>
  <si>
    <t>RAISINA AGENCIES LLP</t>
  </si>
  <si>
    <t>MALLIKA HOUSING COMPANY LLP</t>
  </si>
  <si>
    <t>PREM'S WILL TRUST (TRUSTEE- KUSHAL PAL SINGH, RAJIV SINGH AND PIA SINGH)</t>
  </si>
  <si>
    <t>REALEST BUILDERS AND SERVICES PRIVATE LIMITED</t>
  </si>
  <si>
    <t>AGS BUILDTECH PRIVATE LIMITED</t>
  </si>
  <si>
    <t>A.S.G. REALCON PRIVATE LIMITED</t>
  </si>
  <si>
    <t>HITECH PROPERTY DEVELOPERS PRIVATE LIMITED</t>
  </si>
  <si>
    <t>SIDHANT REAL ESTATE DEVELOPERS AND SERVICES PRIVATE LIMITED</t>
  </si>
  <si>
    <t>TRINITY HOUSING AND CONSTRUCTION COMPANY</t>
  </si>
  <si>
    <t>UTTAM BUILDERS AND DEVELOPERS PRIVATE LIMITED</t>
  </si>
  <si>
    <t>UTTAM REAL ESTATES COMPANY</t>
  </si>
  <si>
    <t>MADHUKAR HOUSING AND DEVELOPMENT COMPANY</t>
  </si>
  <si>
    <t>RENKON PARTNERS</t>
  </si>
  <si>
    <t>GENERAL MARKETING CORPORATION</t>
  </si>
  <si>
    <t>DLF BUILDING AND SERVICES PRIVATE LIMITED</t>
  </si>
  <si>
    <t>ANUBHAV APARTMENTS PRIVATE LIMITED</t>
  </si>
  <si>
    <t>SAMBHAV HOUSING AND DEVELOPMENT COMPANY</t>
  </si>
  <si>
    <t>UDYAN HOUSING AND DEVELOPMENT COMPANY</t>
  </si>
  <si>
    <t>EXCEL HOUSING CONSTRUCTION LLP</t>
  </si>
  <si>
    <t>CENTRE POINT PROPERTY MANAGEMENT SERVICES LLP</t>
  </si>
  <si>
    <t>SUDARSHAN ESTATES LLP</t>
  </si>
  <si>
    <t>HERMINDA BUILDERS &amp; DEVELOPERS LLP</t>
  </si>
  <si>
    <t>SABRE INVESTMENT ADVISOR INDIA PRIVATE LIMITED</t>
  </si>
  <si>
    <t>DLF COMMERCIAL ENTERPRISES</t>
  </si>
  <si>
    <t>SABRE INVESTMENT CONSULTANTS LLP</t>
  </si>
  <si>
    <t>ARIHANT HOUSING COMPANY</t>
  </si>
  <si>
    <t>PUSHPAK BUILDERS AND DEVELOPERS PRIVATE LIMITED</t>
  </si>
  <si>
    <t>SOLACE HOUSING AND CONSTRUCTION PRIVATE LIMITED</t>
  </si>
  <si>
    <t>SUKH SANSAR HOUSING PRIVATE LIMITED</t>
  </si>
  <si>
    <t>NORTHERN INDIA THEATRES PRIVATE LIMITED</t>
  </si>
  <si>
    <t>PLAZA PARTNERS</t>
  </si>
  <si>
    <t>SUPER MART TWO PROPERTY MANAGEMENT SERVICES LLP</t>
  </si>
  <si>
    <t>YOGANANDA FILMS LLP</t>
  </si>
  <si>
    <t>ISHTAR RETAIL LLP</t>
  </si>
  <si>
    <t>ATRIA PARTNERS</t>
  </si>
  <si>
    <t>KS TRUST (TRUSTEE – KAVITA SINGH, RAJIV SINGH, SAVITRI DEVI SINGH AND ANUSHKA SINGH)</t>
  </si>
  <si>
    <t>RS TRUST (TRUSTEE – RAJIV SINGH, KAVITA SINGH, SAVITRI DEVI SINGH AND ANUSHKA SINGH)</t>
  </si>
  <si>
    <t>SINGH FAMILY TRUST (TRUSTEE – RAJIV SINGH, KUSHAL PAL SINGH, KAVITA SINGH, SAVITRI DEVI SINGH AND ANUSHKA SINGH)</t>
  </si>
  <si>
    <t>NACHIKETA FAMILY TRUST (BENEFICIARY- KUSHAL PAL SINGH, RAJIV SINGH, RENUKA TALWAR, PIA SINGH, BEVERLY BUILDERS LLP, HERMINDA BUILDERS &amp; DEVELOPERS LLP</t>
  </si>
  <si>
    <t>PIA PARIWAR TRUST (TRUSTEE – KUSHAL PAL SINGH, RENUKA TALWAR AND PIA SINGH)</t>
  </si>
  <si>
    <t>TARA JAI FAMILY TRUST (TRUSTEE – PIA SINGH)</t>
  </si>
  <si>
    <t>R.R. FAMILY TRUST (TRUSTEE – RENUKA TALWAR AND PIA SINGH)</t>
  </si>
  <si>
    <t>Sub Total A1</t>
  </si>
  <si>
    <t>A6) Foreign</t>
  </si>
  <si>
    <t>Individuals (NonResident Individuals/ Foreign Individuals)</t>
  </si>
  <si>
    <t>KUSHAL PAL SINGH</t>
  </si>
  <si>
    <t>SAVITRI DEVI SINGH</t>
  </si>
  <si>
    <t>BECKON INVESTMENTS GROUP LIMITED</t>
  </si>
  <si>
    <t>RENKON OVERSEAS DEVELOPMENT LIMITED</t>
  </si>
  <si>
    <t>KRIS DEVELOPMENTS LIMITED</t>
  </si>
  <si>
    <t>MOUGINS RIVIERA DEVELOPMENTS SCI</t>
  </si>
  <si>
    <t>PERLSEE INVESTMENT LIMITED</t>
  </si>
  <si>
    <t>INDALE SERVICES (BVI) LIMITED</t>
  </si>
  <si>
    <t>RT VENTURES PTE. LTD.</t>
  </si>
  <si>
    <t>RT ENTERPRISES FZCO</t>
  </si>
  <si>
    <t>ALFA INVESTMENTS GLOBAL LTD</t>
  </si>
  <si>
    <t>UNIMARK PROPERTIES</t>
  </si>
  <si>
    <t>Sub Total A2</t>
  </si>
  <si>
    <t>A=A1+A2</t>
  </si>
  <si>
    <t>DLF LIMITED  |  SHAREHOLDING PATTERN — PUBLIC SHAREHOLDING (CATEGORY B)</t>
  </si>
  <si>
    <t>Category &amp; Name of Shareholder</t>
  </si>
  <si>
    <t>No. of
Voting Rights</t>
  </si>
  <si>
    <t>Sub-Category I
(No. of Shares)</t>
  </si>
  <si>
    <t>Sub-Category II
(No. of Shares)</t>
  </si>
  <si>
    <t>Sub-Category III
(No. of Shares)</t>
  </si>
  <si>
    <t>Institutions</t>
  </si>
  <si>
    <t>B2) Institutions (Domestic)</t>
  </si>
  <si>
    <t>Mutual Funds/</t>
  </si>
  <si>
    <t>SBI EQUITY HYBRID FUND</t>
  </si>
  <si>
    <t>ICICI PRUDENTIAL LARGE CAP FUND</t>
  </si>
  <si>
    <t>Venture Capital Funds</t>
  </si>
  <si>
    <t>Alternate Investment Funds</t>
  </si>
  <si>
    <t>Banks</t>
  </si>
  <si>
    <t>Insurance Companies</t>
  </si>
  <si>
    <t>Provident Funds/ Pension Funds</t>
  </si>
  <si>
    <t>Asset reconstruction companies</t>
  </si>
  <si>
    <t>Sovereign Wealth Funds</t>
  </si>
  <si>
    <t>NBFCs registered with RBI</t>
  </si>
  <si>
    <t>Other Financial Institutions</t>
  </si>
  <si>
    <t>Any Other(Institutions (Domestic))</t>
  </si>
  <si>
    <t>Sub Total B1</t>
  </si>
  <si>
    <t>B17) Institutions (Foreign)</t>
  </si>
  <si>
    <t>Foreign Direct Investment</t>
  </si>
  <si>
    <t>Foreign Venture Capital Investors</t>
  </si>
  <si>
    <t>Foreign Portfolio Investors Category I</t>
  </si>
  <si>
    <t>INVESCO GLOBAL FUND</t>
  </si>
  <si>
    <t>Foreign Portfolio Investors Category II</t>
  </si>
  <si>
    <t>Overseas Depositories (holding DRs) (balancing figure)</t>
  </si>
  <si>
    <t>Any Other(Institutions (Foreign))</t>
  </si>
  <si>
    <t>Sub Total B2</t>
  </si>
  <si>
    <t>B27) Central Government/ State Government(s)/ President of India</t>
  </si>
  <si>
    <t>Central Government / President of India</t>
  </si>
  <si>
    <t>State Government / Governor</t>
  </si>
  <si>
    <t>Shareholding by Companies or Bodies Corporate where Central / State Government is a promoter</t>
  </si>
  <si>
    <t>Sub Total B3</t>
  </si>
  <si>
    <t>B32) Non-Institutions</t>
  </si>
  <si>
    <t>Associate companies / Subsidiaries</t>
  </si>
  <si>
    <t>Directors and their relatives (excluding independent directors and nominee directors)</t>
  </si>
  <si>
    <t>Key Managerial Personnel</t>
  </si>
  <si>
    <t>Relatives of promoters (other than 'immediate relatives' of promoters disclosed under 'Promoter and Promoter Group' category)</t>
  </si>
  <si>
    <t>Trusts where any person belonging to 'Promoter and Promoter Group' category is 'trustee', 'beneficiary', or 'author of the trust'</t>
  </si>
  <si>
    <t>Investor Education and Protection Fund (IEPF)</t>
  </si>
  <si>
    <t>Resident Individuals holding nominal share capital up to Rs. 2 lakhs</t>
  </si>
  <si>
    <t>Resident Individuals holding nominal share capital in excess of Rs. 2 lakhs</t>
  </si>
  <si>
    <t>Non Resident Indians (NRIs)</t>
  </si>
  <si>
    <t>Foreign Nationals</t>
  </si>
  <si>
    <t>Foreign Companies</t>
  </si>
  <si>
    <t>Bodies Corporate</t>
  </si>
  <si>
    <t>Clearing Members</t>
  </si>
  <si>
    <t>HUF</t>
  </si>
  <si>
    <t>Trusts</t>
  </si>
  <si>
    <t>Sub Total B4</t>
  </si>
  <si>
    <t>B=B1+B2+B3+B4</t>
  </si>
  <si>
    <t>Note: '-' denotes nil holding for the category. Aggregate Public shareholding stood at 25.92% of total equity share capital as of the latest reporting period. Sub-category I/II/III columns (per Regulation 31, Table V) reflect nil disclosures for the period. Source: Company shareholding pattern disclosures filed with stock exchanges.</t>
  </si>
  <si>
    <t>Consolidated Profit &amp; Loss Account</t>
  </si>
  <si>
    <t>(Rs. Cr.)</t>
  </si>
  <si>
    <t>Mar 22</t>
  </si>
  <si>
    <t>Mar 23</t>
  </si>
  <si>
    <t>Mar 24</t>
  </si>
  <si>
    <t>Mar 25</t>
  </si>
  <si>
    <t>Mar 26</t>
  </si>
  <si>
    <t>INCOME</t>
  </si>
  <si>
    <t>Revenue From Operations [Gross]</t>
  </si>
  <si>
    <t>Revenue From Operations [Net]</t>
  </si>
  <si>
    <t>Other Operating Revenues</t>
  </si>
  <si>
    <t>Total Operating Revenues</t>
  </si>
  <si>
    <t>Other Income</t>
  </si>
  <si>
    <t>Total Revenue</t>
  </si>
  <si>
    <t>EXPENSES</t>
  </si>
  <si>
    <t>Cost Of Materials Consumed</t>
  </si>
  <si>
    <t>Operating And Direct Expenses</t>
  </si>
  <si>
    <t>Employee Benefit Expenses</t>
  </si>
  <si>
    <t>Finance Costs</t>
  </si>
  <si>
    <t>Depreciation And Amortisation Expenses</t>
  </si>
  <si>
    <t>Other Expenses</t>
  </si>
  <si>
    <t>Total Expenses</t>
  </si>
  <si>
    <t>Profit/Loss Before Exceptional, ExtraOrdinary Items And Tax</t>
  </si>
  <si>
    <t>Exceptional Items</t>
  </si>
  <si>
    <t>Profit/Loss Before Tax</t>
  </si>
  <si>
    <t>Tax Expenses-Continued Operations</t>
  </si>
  <si>
    <t>Current Tax</t>
  </si>
  <si>
    <t>Deferred Tax</t>
  </si>
  <si>
    <t>Tax For Earlier Years</t>
  </si>
  <si>
    <t>Total Tax Expenses</t>
  </si>
  <si>
    <t>Profit/Loss After Tax And Before ExtraOrdinary Items</t>
  </si>
  <si>
    <t>Profit/Loss From Continuing Operations</t>
  </si>
  <si>
    <t>Profit/Loss For The Period</t>
  </si>
  <si>
    <t>Minority Interest</t>
  </si>
  <si>
    <t>Share Of Profit/Loss Of Associates</t>
  </si>
  <si>
    <t>Consolidated Profit/Loss After MI And Associates</t>
  </si>
  <si>
    <t>EARNINGS PER SHARE</t>
  </si>
  <si>
    <t>Basic EPS (Rs.)</t>
  </si>
  <si>
    <t>Diluted EPS (Rs.)</t>
  </si>
  <si>
    <t>DIVIDEND AND DIVIDEND PERCENTAGE</t>
  </si>
  <si>
    <t>Equity Share Dividend</t>
  </si>
  <si>
    <t>Consolidated Balance Sheet</t>
  </si>
  <si>
    <t>EQUITIES AND LIABILITIES</t>
  </si>
  <si>
    <t>SHAREHOLDER'S FUNDS</t>
  </si>
  <si>
    <t>Equity Share Capital</t>
  </si>
  <si>
    <t>Total Share Capital</t>
  </si>
  <si>
    <t>Reserves and Surplus</t>
  </si>
  <si>
    <t>Total Reserves and Surplus</t>
  </si>
  <si>
    <t>Total Shareholders Funds</t>
  </si>
  <si>
    <t>NON-CURRENT LIABILITIES</t>
  </si>
  <si>
    <t>Long Term Borrowings</t>
  </si>
  <si>
    <t>Deferred Tax Liabilities [Net]</t>
  </si>
  <si>
    <t>Other Long Term Liabilities</t>
  </si>
  <si>
    <t>Long Term Provisions</t>
  </si>
  <si>
    <t>Total Non-Current Liabilities</t>
  </si>
  <si>
    <t>CURRENT LIABILITIES</t>
  </si>
  <si>
    <t>Short Term Borrowings</t>
  </si>
  <si>
    <t>Trade Payables</t>
  </si>
  <si>
    <t>Other Current Liabilities</t>
  </si>
  <si>
    <t>Short Term Provisions</t>
  </si>
  <si>
    <t>Total Current Liabilities</t>
  </si>
  <si>
    <t>Total Capital And Liabilities</t>
  </si>
  <si>
    <t>ASSETS</t>
  </si>
  <si>
    <t>NON-CURRENT ASSETS</t>
  </si>
  <si>
    <t>Tangible Assets</t>
  </si>
  <si>
    <t>Intangible Assets</t>
  </si>
  <si>
    <t>Capital Work-In-Progress</t>
  </si>
  <si>
    <t>Intangible Assets Under Development</t>
  </si>
  <si>
    <t>Fixed Assets</t>
  </si>
  <si>
    <t>Non-Current Investments</t>
  </si>
  <si>
    <t>Deferred Tax Assets [Net]</t>
  </si>
  <si>
    <t>Long Term Loans And Advances</t>
  </si>
  <si>
    <t>Other Non-Current Assets</t>
  </si>
  <si>
    <t>Total Non-Current Assets</t>
  </si>
  <si>
    <t>CURRENT ASSETS</t>
  </si>
  <si>
    <t>Current Investments</t>
  </si>
  <si>
    <t>Inventories</t>
  </si>
  <si>
    <t>Trade Receivables</t>
  </si>
  <si>
    <t>Cash And Cash Equivalents</t>
  </si>
  <si>
    <t>Short Term Loans And Advances</t>
  </si>
  <si>
    <t>Other Current Assets</t>
  </si>
  <si>
    <t>Total Current Assets</t>
  </si>
  <si>
    <t>Total Assets</t>
  </si>
  <si>
    <t>OTHER ADDITIONAL INFORMATION</t>
  </si>
  <si>
    <t>CONTINGENT LIABILITIES, COMMITMENTS</t>
  </si>
  <si>
    <t>Contingent Liabilities</t>
  </si>
  <si>
    <t>BONUS DETAILS</t>
  </si>
  <si>
    <t>Bonus Equity Share Capital</t>
  </si>
  <si>
    <t>NON-CURRENT INVESTMENTS</t>
  </si>
  <si>
    <t>Non-Current Investments Quoted Market Value</t>
  </si>
  <si>
    <t>Non-Current Investments Unquoted Book Value</t>
  </si>
  <si>
    <t>CURRENT INVESTMENTS</t>
  </si>
  <si>
    <t>Current Investments Unquoted Book Value</t>
  </si>
  <si>
    <t>Consolidated Cash Flow</t>
  </si>
  <si>
    <t>Net Profit Before Tax</t>
  </si>
  <si>
    <t>Net Cash From Operating Activities</t>
  </si>
  <si>
    <t>Net Cash (used in)/from Investing Activities</t>
  </si>
  <si>
    <t>Net Cash (used in)/from Financing Activities</t>
  </si>
  <si>
    <t>Net (decrease)/increase In Cash and Cash Equivalents</t>
  </si>
  <si>
    <t>Opening Cash &amp; Cash Equivalents</t>
  </si>
  <si>
    <t>Closing Cash &amp; Cash Equivalents</t>
  </si>
  <si>
    <t>Date</t>
  </si>
  <si>
    <t>NIFTY50_Close</t>
  </si>
  <si>
    <t>DLF_Close</t>
  </si>
  <si>
    <t>Rm nifty</t>
  </si>
  <si>
    <t xml:space="preserve">Rm Dlf </t>
  </si>
  <si>
    <t>slope</t>
  </si>
  <si>
    <t>covariance</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</si>
  <si>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</si>
  <si>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</si>
  <si>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</si>
  <si>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</si>
  <si>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</si>
  <si>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</si>
  <si>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</si>
  <si>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</si>
  <si>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</si>
  <si>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</si>
  <si>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</si>
  <si>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</si>
  <si>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</si>
  <si>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</si>
  <si>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</si>
  <si>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</si>
  <si>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</si>
  <si>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</si>
  <si>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</si>
  <si>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</si>
  <si>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</si>
  <si>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</si>
  <si>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</si>
  <si>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</si>
  <si>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X Variable 1</t>
  </si>
  <si>
    <t>Capital Structure</t>
  </si>
  <si>
    <t>Total Debt</t>
  </si>
  <si>
    <t>Total Debt (FY2025) = Long Term Borrowings + Short Term Borrowings (Mar 25, Consolidated Balance Sheet)</t>
  </si>
  <si>
    <t>Total Equity</t>
  </si>
  <si>
    <t>Total Equity = Market Cap = (Total Share Capital / Face Value 2) x Current Price (Beta sheet latest close)</t>
  </si>
  <si>
    <t>Total Mix (Debt + Equity)</t>
  </si>
  <si>
    <t>% of Debt</t>
  </si>
  <si>
    <t xml:space="preserve">share outstanding </t>
  </si>
  <si>
    <t>mkt capitalisation/current share price</t>
  </si>
  <si>
    <t>% of Equity</t>
  </si>
  <si>
    <t>149620/606.05</t>
  </si>
  <si>
    <t>Debt to Equity</t>
  </si>
  <si>
    <t>Cost of Equity (CAPM)</t>
  </si>
  <si>
    <t>Risk-free Rate (Rf)</t>
  </si>
  <si>
    <t>Source: RBI 10-year Government Securities yield (FY2025)</t>
  </si>
  <si>
    <t>Beta (β)</t>
  </si>
  <si>
    <t>Market Risk Premium (Rm - Rf)</t>
  </si>
  <si>
    <t>Source: India Equity Risk Premium (Damodaran estimate)</t>
  </si>
  <si>
    <t>Cost of Equity [Ke = Rf + β×(Rm-Rf)]</t>
  </si>
  <si>
    <t>Cost of Debt</t>
  </si>
  <si>
    <t>Finance Cost (FY2025)</t>
  </si>
  <si>
    <t>Finance Costs, FY2025 / Mar 25 (Consolidated P&amp;L)</t>
  </si>
  <si>
    <t>Total Debt (FY2025)</t>
  </si>
  <si>
    <t>Same as Total Debt (Capital Structure)</t>
  </si>
  <si>
    <t>Pre-tax Cost of Debt [Kd = FC/Debt]</t>
  </si>
  <si>
    <t>Tax Rate</t>
  </si>
  <si>
    <t>Effective Tax Rate = Tax / EBT, FY2026 / Mar 26 (FY2025 excluded: one-off deferred tax credit distorts it to -16.9%)</t>
  </si>
  <si>
    <t>Post-tax Cost of Debt [Kd*(1-T)]</t>
  </si>
  <si>
    <t>WACC</t>
  </si>
  <si>
    <t>Source</t>
  </si>
  <si>
    <t>Weight</t>
  </si>
  <si>
    <t>Cost</t>
  </si>
  <si>
    <t>Weighted Cost</t>
  </si>
  <si>
    <t>Debt</t>
  </si>
  <si>
    <t>Equity</t>
  </si>
  <si>
    <t>(Check: weights = 100%)</t>
  </si>
  <si>
    <t>wacc = we*ke+wd*kd</t>
  </si>
  <si>
    <t>DLF</t>
  </si>
  <si>
    <t>Particulars (in RS Cr.)</t>
  </si>
  <si>
    <t>Revenue from operations</t>
  </si>
  <si>
    <t>Median of revenue growth</t>
  </si>
  <si>
    <t>Revenue growth in %</t>
  </si>
  <si>
    <t>Less: Material cost</t>
  </si>
  <si>
    <t>Less: Employee costs</t>
  </si>
  <si>
    <t>Less: Other Expenses</t>
  </si>
  <si>
    <t>EBITDA</t>
  </si>
  <si>
    <t>Less: Depreciation And Amortization</t>
  </si>
  <si>
    <t xml:space="preserve">EBIT </t>
  </si>
  <si>
    <t>ADD: Non operating  income/ Other Income</t>
  </si>
  <si>
    <t xml:space="preserve">Less: Interest Expenses </t>
  </si>
  <si>
    <t>EBT</t>
  </si>
  <si>
    <t>Less: TAX</t>
  </si>
  <si>
    <t>Less:Non Controlling Interest/Minority Interest</t>
  </si>
  <si>
    <t>Net Profit- Pat</t>
  </si>
  <si>
    <t>Historical Growth</t>
  </si>
  <si>
    <t>Average Growth</t>
  </si>
  <si>
    <t>CAGR</t>
  </si>
  <si>
    <t>RRI</t>
  </si>
  <si>
    <t>Margins</t>
  </si>
  <si>
    <t>EBIT</t>
  </si>
  <si>
    <t>Net Proftt</t>
  </si>
  <si>
    <t>Effective tax rate</t>
  </si>
  <si>
    <t>Marginal Tax rate</t>
  </si>
  <si>
    <t>Return On Capital</t>
  </si>
  <si>
    <t>EBIT*(1-T)</t>
  </si>
  <si>
    <t>Book Equity</t>
  </si>
  <si>
    <t>Book Debt</t>
  </si>
  <si>
    <t>Cash and Cash equivalents</t>
  </si>
  <si>
    <t>Capital Employed</t>
  </si>
  <si>
    <t>Pre-Tax Return on capital</t>
  </si>
  <si>
    <t>Post Tax return On capital</t>
  </si>
  <si>
    <t>Growth In EBIT</t>
  </si>
  <si>
    <t>Ratio Analysis- DLF</t>
  </si>
  <si>
    <t>Years</t>
  </si>
  <si>
    <t>Trends</t>
  </si>
  <si>
    <t>Mean</t>
  </si>
  <si>
    <t>Median</t>
  </si>
  <si>
    <t>Sales Growth</t>
  </si>
  <si>
    <t>EBITDA Growth</t>
  </si>
  <si>
    <t>EBIT Growth</t>
  </si>
  <si>
    <t>Net Profit Growth</t>
  </si>
  <si>
    <t xml:space="preserve">Dividend Growth </t>
  </si>
  <si>
    <t>Gross Margin</t>
  </si>
  <si>
    <t>EBITDA Margin</t>
  </si>
  <si>
    <t>EBIT Margin</t>
  </si>
  <si>
    <t>EBT Margin</t>
  </si>
  <si>
    <t>Net Profit Margin</t>
  </si>
  <si>
    <t>Sales Expenses%Sales</t>
  </si>
  <si>
    <t>Depriciation%Sales</t>
  </si>
  <si>
    <t>Operating Income%Sales</t>
  </si>
  <si>
    <t xml:space="preserve">Return on Capital Employed </t>
  </si>
  <si>
    <t>Retained Earning %</t>
  </si>
  <si>
    <t>Return on Equity %</t>
  </si>
  <si>
    <t xml:space="preserve">Self Sustained Growth Rate </t>
  </si>
  <si>
    <t xml:space="preserve">Interest Coverage Ratio </t>
  </si>
  <si>
    <t>Debtor Turnover Ratio</t>
  </si>
  <si>
    <t>Creditor Turnover Ratio</t>
  </si>
  <si>
    <t>Inventory Turnover</t>
  </si>
  <si>
    <t>Fixed Asset Turnover</t>
  </si>
  <si>
    <t>Capital Turnover Ratio</t>
  </si>
  <si>
    <t>(In days)</t>
  </si>
  <si>
    <t>Debtors Day</t>
  </si>
  <si>
    <t>Payable Days</t>
  </si>
  <si>
    <t>Inventory Days</t>
  </si>
  <si>
    <t>Cash Conversion Cycle</t>
  </si>
  <si>
    <t>CFO/Sales</t>
  </si>
  <si>
    <t>CFO/Total Assets</t>
  </si>
  <si>
    <t>CFO/Total Debt</t>
  </si>
  <si>
    <t xml:space="preserve">Particular </t>
  </si>
  <si>
    <t>Less: Tax on EBIT</t>
  </si>
  <si>
    <t>EBIT * (1- Tax) NOPAT</t>
  </si>
  <si>
    <t xml:space="preserve">Less: Net Capital expenditure </t>
  </si>
  <si>
    <t>Avg of effective tax rate</t>
  </si>
  <si>
    <t xml:space="preserve">Less: Net Change in working Capital </t>
  </si>
  <si>
    <t>Reinvestment</t>
  </si>
  <si>
    <t>Free Cash Flow</t>
  </si>
  <si>
    <t>Marginal tax rate</t>
  </si>
  <si>
    <t xml:space="preserve">Reinvestment Rate </t>
  </si>
  <si>
    <t xml:space="preserve">Median Reinvestment rate   /Sales percentage </t>
  </si>
  <si>
    <t xml:space="preserve">Average Reinvestment rate   /Sales percentage </t>
  </si>
  <si>
    <t xml:space="preserve">Inventory </t>
  </si>
  <si>
    <t xml:space="preserve">Trade Receivables </t>
  </si>
  <si>
    <t>Trade Payable</t>
  </si>
  <si>
    <t xml:space="preserve">Non Cash working Capital </t>
  </si>
  <si>
    <t xml:space="preserve">Change in Working Capital </t>
  </si>
  <si>
    <t xml:space="preserve">change in working Capital /percentage of sales </t>
  </si>
  <si>
    <t xml:space="preserve">Median Non Cash working Capital  /Sales percentage </t>
  </si>
  <si>
    <t xml:space="preserve">Average  Non Cash working Capital  /Sales percentage </t>
  </si>
  <si>
    <t xml:space="preserve">Beginning balance </t>
  </si>
  <si>
    <t xml:space="preserve">Add: Net Purchases </t>
  </si>
  <si>
    <t xml:space="preserve">Total Fixed Assets </t>
  </si>
  <si>
    <t xml:space="preserve">Less: Depreciation </t>
  </si>
  <si>
    <t xml:space="preserve">Closing Balance(Fixed Asests ) </t>
  </si>
  <si>
    <t xml:space="preserve">Net Capital expenditure </t>
  </si>
  <si>
    <t xml:space="preserve">Net Capital expenditure / Sales percentage </t>
  </si>
  <si>
    <t xml:space="preserve">Median Capital expenditure /Sales percentage </t>
  </si>
  <si>
    <t xml:space="preserve">Average  Capital expenditure /Sales percentage </t>
  </si>
  <si>
    <t>Sales Forecasting</t>
  </si>
  <si>
    <t>EBITDA Forecasting</t>
  </si>
  <si>
    <t>Earning per share Forecasting</t>
  </si>
  <si>
    <t>Year Weight</t>
  </si>
  <si>
    <t>Year</t>
  </si>
  <si>
    <t>Sales</t>
  </si>
  <si>
    <t>EPS</t>
  </si>
  <si>
    <t>EPS Growth</t>
  </si>
  <si>
    <t>Scenario 1: High Growth</t>
  </si>
  <si>
    <t>INR Cr.</t>
  </si>
  <si>
    <t>LTM</t>
  </si>
  <si>
    <t>Y1E</t>
  </si>
  <si>
    <t>Y2E</t>
  </si>
  <si>
    <t>Y3E</t>
  </si>
  <si>
    <t>Y4W</t>
  </si>
  <si>
    <t>Y5E</t>
  </si>
  <si>
    <t>Y6E</t>
  </si>
  <si>
    <t>Y7E</t>
  </si>
  <si>
    <t>Y8E</t>
  </si>
  <si>
    <t>Y9E</t>
  </si>
  <si>
    <t>Y10E</t>
  </si>
  <si>
    <t>Risk free rate</t>
  </si>
  <si>
    <t>Sales Growth %</t>
  </si>
  <si>
    <t>Scenario 2: Average Growth</t>
  </si>
  <si>
    <t>Scenario 3: EBIT Growth</t>
  </si>
  <si>
    <t>Live Scenario</t>
  </si>
  <si>
    <t>INR Cr</t>
  </si>
  <si>
    <t>Y4E</t>
  </si>
  <si>
    <t>Terminal Year</t>
  </si>
  <si>
    <t>Terminal growth rate %</t>
  </si>
  <si>
    <t xml:space="preserve">Sales </t>
  </si>
  <si>
    <t>Cost of Capital %</t>
  </si>
  <si>
    <t>Terminal reinvestment rate %</t>
  </si>
  <si>
    <t>EBIT Margin %</t>
  </si>
  <si>
    <t>Enterprise value = Equity Value + Minority interest</t>
  </si>
  <si>
    <t>EBIT(1-T)</t>
  </si>
  <si>
    <t>Less: Net Capital Expenditure</t>
  </si>
  <si>
    <t>Non Cash Working Capital</t>
  </si>
  <si>
    <t>Less: Change in Working Capital</t>
  </si>
  <si>
    <t>GROWTH RATE</t>
  </si>
  <si>
    <t>Roe *Retention Ratio</t>
  </si>
  <si>
    <t>roe</t>
  </si>
  <si>
    <t>net income/equity share holder</t>
  </si>
  <si>
    <t>Free Cash Flow To Firm (FCFF)</t>
  </si>
  <si>
    <t>Implied Reinvestment rate %</t>
  </si>
  <si>
    <t xml:space="preserve">retention ratio </t>
  </si>
  <si>
    <t xml:space="preserve">1- payback </t>
  </si>
  <si>
    <t>share outstanding</t>
  </si>
  <si>
    <t>mkt capital / share price</t>
  </si>
  <si>
    <t>Terminal Value</t>
  </si>
  <si>
    <t>152355/615.50</t>
  </si>
  <si>
    <t>Present Value Interest Factor(PVIF)</t>
  </si>
  <si>
    <t>dps</t>
  </si>
  <si>
    <t>payback</t>
  </si>
  <si>
    <t>Present value of FCFF</t>
  </si>
  <si>
    <t>retention</t>
  </si>
  <si>
    <t>Present value of Terminal value</t>
  </si>
  <si>
    <t>Calculation of Sensitivity Analysis</t>
  </si>
  <si>
    <t>growth rate</t>
  </si>
  <si>
    <t>Value of operating assets</t>
  </si>
  <si>
    <t>Terminal
Growth ↓ / WACC →</t>
  </si>
  <si>
    <t>Add: Cash</t>
  </si>
  <si>
    <t>Less: Debt</t>
  </si>
  <si>
    <t>Less: Minority Interest</t>
  </si>
  <si>
    <t>Equity Value</t>
  </si>
  <si>
    <t>No. of Shares outstanding (Cr)</t>
  </si>
  <si>
    <t xml:space="preserve">intrinsic value per share </t>
  </si>
  <si>
    <t>RELATIVE VALUATION – DLF  (FY2025  |  INR Crores)</t>
  </si>
  <si>
    <t>Company</t>
  </si>
  <si>
    <t>Market Data</t>
  </si>
  <si>
    <t>Financial Data</t>
  </si>
  <si>
    <t>Valuation Ratios</t>
  </si>
  <si>
    <t>Price
(₹)</t>
  </si>
  <si>
    <t>Shares
(Cr.)</t>
  </si>
  <si>
    <t>Mkt Cap
(Cr.)</t>
  </si>
  <si>
    <t>EV
(Cr.)</t>
  </si>
  <si>
    <t>Revenue
(Cr.)</t>
  </si>
  <si>
    <t>EBITDA
(Cr.)</t>
  </si>
  <si>
    <t>EBIT
(Cr.)</t>
  </si>
  <si>
    <t>EPS
(₹)</t>
  </si>
  <si>
    <t>P/E</t>
  </si>
  <si>
    <t>EV/Sales</t>
  </si>
  <si>
    <t>EV/EBITDA</t>
  </si>
  <si>
    <t>EV/EBIT</t>
  </si>
  <si>
    <t>Lodha Developers</t>
  </si>
  <si>
    <t>Phoenix Mills</t>
  </si>
  <si>
    <t>Prestige Estates</t>
  </si>
  <si>
    <t>Oberoi Realty</t>
  </si>
  <si>
    <t>Godrej Propert.</t>
  </si>
  <si>
    <t>Peer Average</t>
  </si>
  <si>
    <t>Peer Median</t>
  </si>
  <si>
    <t>NMDC — IMPLIED SHARE PRICE FROM PEER MULTIPLES</t>
  </si>
  <si>
    <t>Valuation
Basis</t>
  </si>
  <si>
    <t>Peer Avg
Multiple</t>
  </si>
  <si>
    <t>Peer Median
Multiple</t>
  </si>
  <si>
    <t>NMDC
Actual</t>
  </si>
  <si>
    <t>Implied EV
(Avg)</t>
  </si>
  <si>
    <t>Implied EV
(Median)</t>
  </si>
  <si>
    <t>Implied Equity
(Avg)</t>
  </si>
  <si>
    <t>Implied Equity
(Median)</t>
  </si>
  <si>
    <t>Implied Price
(Avg) ₹</t>
  </si>
  <si>
    <t>Implied Price
(Med) ₹</t>
  </si>
  <si>
    <t>CMP ₹</t>
  </si>
  <si>
    <t>Premium/Disc
(vs Avg)</t>
  </si>
  <si>
    <t>Premium/Disc
(vs Med)</t>
  </si>
  <si>
    <t>EV / Sales</t>
  </si>
  <si>
    <t>EV / EBITDA</t>
  </si>
  <si>
    <t>P / E</t>
  </si>
  <si>
    <t>EV/Revenue</t>
  </si>
  <si>
    <t>P/E Ratio</t>
  </si>
  <si>
    <t>Max</t>
  </si>
  <si>
    <t>75th Percentile</t>
  </si>
  <si>
    <t>Average</t>
  </si>
  <si>
    <t>median</t>
  </si>
  <si>
    <t>25th Percentile</t>
  </si>
  <si>
    <t>Min.</t>
  </si>
  <si>
    <t xml:space="preserve"> Industry Comparable comps</t>
  </si>
  <si>
    <t xml:space="preserve"> </t>
  </si>
  <si>
    <t>Implied Enterprise Value</t>
  </si>
  <si>
    <t>Net Debt</t>
  </si>
  <si>
    <t>Implied Market Value</t>
  </si>
  <si>
    <t>Share Outstanding</t>
  </si>
  <si>
    <t>Implied Value per Share</t>
  </si>
  <si>
    <t>Gordon Growth Model (Dividend Discount Model) — DLF</t>
  </si>
  <si>
    <t>Intrinsic Value = D1 / (Ke - g)   where D1 = next year dividend, Ke = cost of equity, g = sustainable growth rate</t>
  </si>
  <si>
    <t>STEP 1: Historical Dividend Per Share</t>
  </si>
  <si>
    <t>FY22</t>
  </si>
  <si>
    <t>FY23</t>
  </si>
  <si>
    <t>FY24</t>
  </si>
  <si>
    <t>FY25</t>
  </si>
  <si>
    <t>Total Equity Dividend Paid (Rs Cr)</t>
  </si>
  <si>
    <t>Shares Outstanding (Cr)</t>
  </si>
  <si>
    <t>Dividend Per Share - DPS (Rs)</t>
  </si>
  <si>
    <t>STEP 2: Dividend Growth Rate (g)</t>
  </si>
  <si>
    <t>YoY DPS Growth</t>
  </si>
  <si>
    <t>Average Historical DPS Growth</t>
  </si>
  <si>
    <t>(FY23 to FY25 average)</t>
  </si>
  <si>
    <t>CAGR of DPS (FY22 to FY25)</t>
  </si>
  <si>
    <t>(3 year CAGR)</t>
  </si>
  <si>
    <t>Revenue CAGR (from Assumptions sheet)</t>
  </si>
  <si>
    <t>(used as proxy for sustainable growth)</t>
  </si>
  <si>
    <t>Dividend Growth Rate Used (g)</t>
  </si>
  <si>
    <t>Revenue CAGR used as g (DPS CAGR FY22-25 unreliable due to low base - see B13)</t>
  </si>
  <si>
    <t>STEP 3: Cost of Equity (Ke) — from CAPM</t>
  </si>
  <si>
    <t>Risk Free Rate (Rf)</t>
  </si>
  <si>
    <t>RBI 10Y Gsec yield</t>
  </si>
  <si>
    <t>Regression beta from Nifty50 vs DLF</t>
  </si>
  <si>
    <t>India ERP (Damodaran)</t>
  </si>
  <si>
    <t>Cost of Equity Ke = Rf + β × (Rm - Rf)</t>
  </si>
  <si>
    <t>STEP 4: Validity Check — Ke must be &gt; g</t>
  </si>
  <si>
    <t>Cost of Equity (Ke)</t>
  </si>
  <si>
    <t>Growth Rate (g)</t>
  </si>
  <si>
    <t>Ke - g (spread)</t>
  </si>
  <si>
    <t>STEP 5: D1 — Expected Dividend Next Year</t>
  </si>
  <si>
    <t>D0 — Latest DPS (FY25)</t>
  </si>
  <si>
    <t>FY25 actual dividend per share</t>
  </si>
  <si>
    <t>D1 = D0 × (1 + g)</t>
  </si>
  <si>
    <t>Expected dividend in next year (D1)</t>
  </si>
  <si>
    <t>STEP 6: Intrinsic Value per Share</t>
  </si>
  <si>
    <t>Gordon Growth Model Formula: P = D1 / (Ke - g)</t>
  </si>
  <si>
    <t>Intrinsic Value (P)</t>
  </si>
  <si>
    <t>Current Market Price (CMP)</t>
  </si>
  <si>
    <t>DLF CMP from Beta sheet (latest close)</t>
  </si>
  <si>
    <t>Premium / (Discount) to Intrinsic Value</t>
  </si>
  <si>
    <t>STEP 7: Sensitivity Analysis — Intrinsic Value at different g and Ke</t>
  </si>
  <si>
    <t>g ↓  /  Ke →</t>
  </si>
  <si>
    <t>Financial Year</t>
  </si>
  <si>
    <t>Revenue (₹ Crore)</t>
  </si>
  <si>
    <t>Profit After Tax (PAT) (₹ Crore)</t>
  </si>
  <si>
    <t>Revenue Change (%)</t>
  </si>
  <si>
    <t>PAT Change (%)</t>
  </si>
  <si>
    <t>Nifty 50 Prices</t>
  </si>
  <si>
    <t>Nifty 50 Change (%)</t>
  </si>
  <si>
    <t>Market Cap</t>
  </si>
  <si>
    <t>FY 2025-26</t>
  </si>
  <si>
    <t>Current Price</t>
  </si>
  <si>
    <t>FY 2024-25</t>
  </si>
  <si>
    <t>High / Low</t>
  </si>
  <si>
    <t>882 / 489</t>
  </si>
  <si>
    <t>FY 2023-24</t>
  </si>
  <si>
    <t>Stock P/E</t>
  </si>
  <si>
    <t>FY 2022-23</t>
  </si>
  <si>
    <t>Book Value</t>
  </si>
  <si>
    <t>FY 2021-22</t>
  </si>
  <si>
    <t>Dividend Yield</t>
  </si>
  <si>
    <t>ROCE</t>
  </si>
  <si>
    <t>ROE</t>
  </si>
  <si>
    <t>Face Value</t>
  </si>
  <si>
    <t>DLF LIMITED — EQUITY RESEARCH NOTE</t>
  </si>
  <si>
    <t>Initiating Coverage  |  Real Estate — Premium Residential &amp; Annuity  |  Recommendation: HOLD  |  CMP: ₹623  |  12-Month Target: ₹710</t>
  </si>
  <si>
    <t>1. INVESTMENT THESIS</t>
  </si>
  <si>
    <t>DLF Limited is India's pre-eminent premium and luxury real estate developer with an unrivalled 60+ year track record. The company operates a uniquely positioned dual-engine business model: (i) a high-margin Residential Development business driven by super-luxury launches such as The Dahlias and Privana, and (ii) a stable, contractually annuity-like Rental business held through DCCDL (66.66% owned JV with GIC, Singapore) spanning 45 msf of Grade-A offices, retail malls and hospitality assets. This combination delivers a rare mix of cyclical earnings upside through residential bookings and defensive cash flow stability through long-lease rental income — making DLF one of the most resilient real estate franchises in the country.
The FY2024-25 consolidated revenue of ₹7,994 Cr (+24.4% YoY) and PAT of ₹4,368 Cr (+60.3% YoY) confirm that the residential upcycle is firmly intact. Record pre-sales on new launches and strong rental EBITDA from DCCDL are the twin growth engines. Consolidated Cash &amp; Cash Equivalents stand at ₹4,338 Cr as of Mar 2025, providing ample runway for land acquisition and capital deployment without balance sheet stress. Promoter holding remains high at 74.08%, signalling alignment with long-term value creation.</t>
  </si>
  <si>
    <t>2. KEY FINANCIAL METRICS AT A GLANCE</t>
  </si>
  <si>
    <t>FY26E</t>
  </si>
  <si>
    <t>Revenue (₹ Cr)</t>
  </si>
  <si>
    <t>YoY Growth (%)</t>
  </si>
  <si>
    <t>–</t>
  </si>
  <si>
    <t>-0.4%</t>
  </si>
  <si>
    <t>+12.9%</t>
  </si>
  <si>
    <t>+24.4%</t>
  </si>
  <si>
    <t>+2.5%</t>
  </si>
  <si>
    <t>PAT — Consol. (₹ Cr)</t>
  </si>
  <si>
    <t>PAT Growth (%)</t>
  </si>
  <si>
    <t>+35.6%</t>
  </si>
  <si>
    <t>+34.0%</t>
  </si>
  <si>
    <t>+60.2%</t>
  </si>
  <si>
    <t>+1.1%</t>
  </si>
  <si>
    <t>EPS — Basic (₹)</t>
  </si>
  <si>
    <t>EBITDA Margin (%)*</t>
  </si>
  <si>
    <t>ROCE (%)</t>
  </si>
  <si>
    <t>6.3%</t>
  </si>
  <si>
    <t>ROE (%)</t>
  </si>
  <si>
    <t>9.6%</t>
  </si>
  <si>
    <t>Dividend (₹ Cr)</t>
  </si>
  <si>
    <t>Net Debt / Equity</t>
  </si>
  <si>
    <t>Low</t>
  </si>
  <si>
    <t>Moderate</t>
  </si>
  <si>
    <t>3. SHAREHOLDING STRUCTURE &amp; INSTITUTIONAL INTEREST</t>
  </si>
  <si>
    <t>Category</t>
  </si>
  <si>
    <t>Shareholders</t>
  </si>
  <si>
    <t>Shares Held</t>
  </si>
  <si>
    <t>Stake (%)</t>
  </si>
  <si>
    <t>Voting Rights (%)</t>
  </si>
  <si>
    <t>Key Insight</t>
  </si>
  <si>
    <t>Promoter &amp; Promoter Group</t>
  </si>
  <si>
    <t>1,833,636,385</t>
  </si>
  <si>
    <t>74.08%</t>
  </si>
  <si>
    <t>Rajdhani Inv. &amp; Agencies Pvt. Ltd holds 61.53% — cornerstone family control</t>
  </si>
  <si>
    <t>Domestic Institutions (MFs, Insurance, PF)</t>
  </si>
  <si>
    <t>171,773,695</t>
  </si>
  <si>
    <t>6.94%</t>
  </si>
  <si>
    <t>SBI Equity Hybrid &amp; ICICI Pru Large Cap among top holders — quality DII base</t>
  </si>
  <si>
    <t>Foreign Portfolio Investors (FPI)</t>
  </si>
  <si>
    <t>335,171,497</t>
  </si>
  <si>
    <t>13.54%</t>
  </si>
  <si>
    <t>Invesco Global Fund (1.30%) — meaningful FII conviction; Cat I dominates</t>
  </si>
  <si>
    <t>Retail &amp; Non-Institutions</t>
  </si>
  <si>
    <t>505,753+</t>
  </si>
  <si>
    <t>134,727,246</t>
  </si>
  <si>
    <t>5.44%</t>
  </si>
  <si>
    <t>487K+ retail holders; robust shareholder breadth</t>
  </si>
  <si>
    <t>TOTAL</t>
  </si>
  <si>
    <t>506,572</t>
  </si>
  <si>
    <t>2,475,311,706</t>
  </si>
  <si>
    <t>100.00%</t>
  </si>
  <si>
    <t>4. VALUATION, RISKS &amp; INVESTMENT RECOMMENDATION</t>
  </si>
  <si>
    <t>Valuation Summary</t>
  </si>
  <si>
    <t>Key Risks</t>
  </si>
  <si>
    <t>CMP (₹)</t>
  </si>
  <si>
    <t>₹623</t>
  </si>
  <si>
    <t>▪  Real estate cycle risk: residential presales can slow sharply in a rate-tightening or demand-slowdown environment.</t>
  </si>
  <si>
    <t>Market Cap (₹ Cr)</t>
  </si>
  <si>
    <t>₹1,54,261 Cr</t>
  </si>
  <si>
    <t>▪  Execution risk: large pipeline of 205 msf requires sustained capital deployment and delivery capability.</t>
  </si>
  <si>
    <t>Stock P/E (TTM)</t>
  </si>
  <si>
    <t>34.1x</t>
  </si>
  <si>
    <t>▪  Concentration risk: DCCDL rental income (~40% of revenue mix) depends on Grade-A office absorption trends.</t>
  </si>
  <si>
    <t>Book Value / Share (₹)</t>
  </si>
  <si>
    <t>₹184</t>
  </si>
  <si>
    <t>▪  Regulatory risk: GST, RERA, and approval delays can compress margins and stretch working capital cycles.</t>
  </si>
  <si>
    <t>Price-to-Book (P/B)</t>
  </si>
  <si>
    <t>~3.4x</t>
  </si>
  <si>
    <t>▪  Valuation premium: at 34x P/E, stock already prices in near-term earnings optimism; limited margin of safety.</t>
  </si>
  <si>
    <t>0.98%</t>
  </si>
  <si>
    <t>▪  Promoter holding at 74.08% limits free float — large block sales could trigger sharp price corrections.</t>
  </si>
  <si>
    <t>Beta (vs Nifty 50)</t>
  </si>
  <si>
    <t>1.57 (high sensitivity)</t>
  </si>
  <si>
    <t>52-Week High / Low</t>
  </si>
  <si>
    <t>₹882 / ₹489</t>
  </si>
  <si>
    <t>DCF-Based Fair Value*</t>
  </si>
  <si>
    <t>₹640–₹720 range</t>
  </si>
  <si>
    <t>12-Month Price Target</t>
  </si>
  <si>
    <t>₹710 (upside ~14%)</t>
  </si>
  <si>
    <t>HOLD — DLF is a quality franchise trading at a fair, though not cheap, valuation.
We initiate with a HOLD recommendation at the current market price of ₹623, with a 12-month price target of ₹710 implying ~14% upside. This target is derived from a blended DCF-based intrinsic value estimate (WACC-based FCFF model) and a relative valuation cross-check using sector P/E and EV/EBITDA multiples.
BULL CASE (Target: ₹820+): Sustained luxury residential bookings above ₹15,000 Cr annually, DCCDL office occupancy trending above 92%, accelerated land acquisition in NCR/MMR, and a broader re-rating of Indian real estate multiples could push the stock toward its 52-week high and beyond.
BASE CASE (Target: ₹710): Revenue growth of 8–12% over FY26–27E on steady presales momentum, DCCDL rental EBITDA growing ~10% YoY driven by new office and mall completions, and manageable balance sheet with net debt/equity below 0.3x. Beta of 1.57 means this stock amplifies market moves — time entry carefully.
BEAR CASE (Target: ₹490–520): A sharp slowdown in luxury housing demand (interest rate spike, wealth effect reversal), rising unsold inventory in Gurugram, and a correction in commercial office absorption due to GCC hiring freeze could compress multiples and drag the stock toward its 52-week low. Dividend yield of ~1% provides limited downside cushion.
SINGLE METRIC TO WATCH: Residential pre-sales bookings for FY26 (company guidance: ₹17,000+ Cr). If this number is delivered, the stock will re-rate higher. Miss it, and the 34x P/E becomes a significant headwind.
Disclosure: This note is for academic/educational purposes only and does not constitute SEBI-registered investment advice.</t>
  </si>
  <si>
    <t>5. MARKET SENSITIVITY (BETA ANALYSIS)</t>
  </si>
  <si>
    <t>DLF's Beta (β) against Nifty 50 stands at approximately 1.57 (OLS regression, daily returns, 6-year window as per the Beta sheet). This is materially above 1.0, indicating DLF is a high-beta, market-sensitive stock.
What this means for investors:
▪  In a Nifty bull run of +10%, DLF is expected to gain approximately +15.7% on average — meaningful amplification.
▪  In a Nifty correction of -10%, DLF tends to fall approximately -15.7% — significantly higher downside than the index.
▪  R-squared of ~0.44 implies ~44% of DLF's price variance is explained by market movement; the remaining ~56% is driven by company-specific factors (pre-sales data, rental updates, management guidance, real estate cycle news).
▪  Implication: DLF is best held by investors with a medium-to-long investment horizon who can absorb inter-quarter volatility. Short-term traders must size positions conservatively given the elevated beta. Portfolio managers with strict VaR constraints should note that DLF adds meaningful systematic risk to a portfolio.</t>
  </si>
  <si>
    <t>38%E</t>
  </si>
  <si>
    <t>ANALYST RECOMMENDATION — HOLD | CMP: ₹623 | TARGET: ₹710 | UPSIDE: 14%</t>
  </si>
  <si>
    <t>ABOUT THE COMPANY (DLF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</si>
</sst>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164" formatCode="0.00\%"/>
    <numFmt numFmtId="165" formatCode="m/d/yyyy"/>
    <numFmt numFmtId="166" formatCode="_ * #,##0.00_ ;_ * \-#,##0.00_ ;_ * \-??_ ;_ @_ "/>
    <numFmt numFmtId="167" formatCode="0.000000000000000%"/>
    <numFmt numFmtId="168" formatCode="mmm\-yy"/>
    <numFmt numFmtId="169" formatCode="mmm\ yy"/>
    <numFmt numFmtId="170" formatCode="0.0%"/>
    <numFmt numFmtId="171" formatCode="yyyy\ "/>
    <numFmt numFmtId="172" formatCode="yyyy\A"/>
    <numFmt numFmtId="173" formatCode="0.000%"/>
    <numFmt numFmtId="174" formatCode="yyyy\E"/>
    <numFmt numFmtId="175" formatCode="#,##0.00;\(#,##0.00\);\-"/>
    <numFmt numFmtId="176" formatCode="0.0\x"/>
    <numFmt numFmtId="177" formatCode="#,##0.0"/>
    <numFmt numFmtId="178" formatCode="\₹#,##0"/>
    <numFmt numFmtId="179" formatCode="0.0%;\(0.0%\);\-"/>
    <numFmt numFmtId="180" formatCode="0.0"/>
    <numFmt numFmtId="181" formatCode="0.0000"/>
    <numFmt numFmtId="182" formatCode="0.\X"/>
    <numFmt numFmtId="183" formatCode="&quot;₹ &quot;#,##0;[Red]&quot;₹ -&quot;#,##0"/>
    <numFmt numFmtId="184" formatCode="&quot;₹ &quot;#,##0.00;[Red]&quot;₹ -&quot;#,##0.00"/>
  </numFmts>
  <fonts count="75" x14ac:knownFonts="1">
    <font>
      <sz val="11"/>
      <color theme="1"/>
      <name val="Calibri"/>
      <charset val="1"/>
    </font>
    <font>
      <sz val="11"/>
      <color theme="1"/>
      <name val="Calibri"/>
      <family val="2"/>
      <scheme val="minor"/>
    </font>
    <font>
      <sz val="11"/>
      <color theme="1"/>
      <name val="Calibri"/>
      <family val="2"/>
      <scheme val="minor"/>
    </font>
    <font>
      <sz val="11"/>
      <color theme="1"/>
      <name val="Calibri"/>
      <family val="2"/>
      <scheme val="minor"/>
    </font>
    <font>
      <b/>
      <sz val="20"/>
      <color rgb="FF1F3864"/>
      <name val="Calibri"/>
      <family val="2"/>
    </font>
    <font>
      <i/>
      <sz val="10.5"/>
      <color rgb="FF595959"/>
      <name val="Calibri"/>
      <family val="2"/>
    </font>
    <font>
      <b/>
      <sz val="16"/>
      <color rgb="FFFFFFFF"/>
      <name val="Calibri"/>
      <family val="2"/>
    </font>
    <font>
      <sz val="10.5"/>
      <color rgb="FF000000"/>
      <name val="Calibri"/>
      <family val="2"/>
    </font>
    <font>
      <b/>
      <sz val="13"/>
      <color rgb="FFFFFFFF"/>
      <name val="Calibri"/>
      <family val="2"/>
    </font>
    <font>
      <b/>
      <sz val="11"/>
      <color rgb="FF1F3864"/>
      <name val="Calibri"/>
      <family val="2"/>
    </font>
    <font>
      <sz val="11"/>
      <color rgb="FF000000"/>
      <name val="Calibri"/>
      <family val="2"/>
    </font>
    <font>
      <i/>
      <sz val="8.5"/>
      <color rgb="FF595959"/>
      <name val="Calibri"/>
      <family val="2"/>
    </font>
    <font>
      <b/>
      <sz val="11"/>
      <color rgb="FF1F3864"/>
      <name val="Calibri"/>
      <family val="2"/>
      <charset val="1"/>
    </font>
    <font>
      <sz val="11"/>
      <color rgb="FF595959"/>
      <name val="Calibri"/>
      <family val="2"/>
      <charset val="1"/>
    </font>
    <font>
      <sz val="11"/>
      <name val="Calibri"/>
      <family val="2"/>
      <charset val="1"/>
    </font>
    <font>
      <b/>
      <sz val="11"/>
      <color rgb="FFFFFFFF"/>
      <name val="Calibri"/>
      <family val="2"/>
      <charset val="1"/>
    </font>
    <font>
      <b/>
      <sz val="11"/>
      <name val="Calibri"/>
      <family val="2"/>
      <charset val="1"/>
    </font>
    <font>
      <i/>
      <sz val="9"/>
      <color rgb="FF7F7F7F"/>
      <name val="Calibri"/>
      <family val="2"/>
      <charset val="1"/>
    </font>
    <font>
      <b/>
      <sz val="15"/>
      <color rgb="FF1F3864"/>
      <name val="Calibri"/>
      <family val="2"/>
      <charset val="1"/>
    </font>
    <font>
      <i/>
      <sz val="10"/>
      <color rgb="FF595959"/>
      <name val="Calibri"/>
      <family val="2"/>
      <charset val="1"/>
    </font>
    <font>
      <sz val="11"/>
      <color rgb="FF404040"/>
      <name val="Calibri"/>
      <family val="2"/>
      <charset val="1"/>
    </font>
    <font>
      <b/>
      <sz val="11"/>
      <color theme="1"/>
      <name val="Calibri"/>
      <family val="2"/>
      <charset val="1"/>
    </font>
    <font>
      <sz val="11"/>
      <color theme="1"/>
      <name val="Calibri"/>
      <family val="2"/>
      <charset val="1"/>
    </font>
    <font>
      <i/>
      <sz val="11"/>
      <color theme="1"/>
      <name val="Calibri"/>
      <family val="2"/>
      <charset val="1"/>
    </font>
    <font>
      <b/>
      <sz val="11"/>
      <color rgb="FFFFFFFF"/>
      <name val="Arial"/>
      <family val="2"/>
      <charset val="1"/>
    </font>
    <font>
      <sz val="10"/>
      <color rgb="FF000000"/>
      <name val="Arial"/>
      <family val="2"/>
      <charset val="1"/>
    </font>
    <font>
      <b/>
      <sz val="10"/>
      <color rgb="FF000000"/>
      <name val="Arial"/>
      <family val="2"/>
      <charset val="1"/>
    </font>
    <font>
      <b/>
      <sz val="11"/>
      <color rgb="FF000000"/>
      <name val="Calibri"/>
      <family val="2"/>
      <charset val="1"/>
    </font>
    <font>
      <sz val="10"/>
      <color theme="1"/>
      <name val="Arial"/>
      <family val="2"/>
      <charset val="1"/>
    </font>
    <font>
      <sz val="10"/>
      <name val="Arial"/>
      <family val="2"/>
      <charset val="1"/>
    </font>
    <font>
      <b/>
      <sz val="10"/>
      <name val="Arial"/>
      <family val="2"/>
      <charset val="1"/>
    </font>
    <font>
      <b/>
      <sz val="14"/>
      <color rgb="FFFFFFFF"/>
      <name val="Arial"/>
      <family val="2"/>
      <charset val="1"/>
    </font>
    <font>
      <sz val="11"/>
      <color rgb="FF000000"/>
      <name val="Calibri"/>
      <family val="2"/>
      <charset val="1"/>
    </font>
    <font>
      <b/>
      <sz val="12"/>
      <color rgb="FFFFFFFF"/>
      <name val="Arial"/>
      <family val="2"/>
      <charset val="1"/>
    </font>
    <font>
      <b/>
      <sz val="20"/>
      <color theme="0"/>
      <name val="Calibri"/>
      <family val="2"/>
      <charset val="1"/>
    </font>
    <font>
      <sz val="11"/>
      <color rgb="FF000000"/>
      <name val="Cambria"/>
      <family val="1"/>
      <charset val="1"/>
    </font>
    <font>
      <b/>
      <sz val="11"/>
      <color theme="0"/>
      <name val="Calibri"/>
      <family val="2"/>
      <charset val="1"/>
    </font>
    <font>
      <b/>
      <i/>
      <sz val="11"/>
      <color theme="1"/>
      <name val="Calibri"/>
      <family val="2"/>
      <charset val="1"/>
    </font>
    <font>
      <b/>
      <sz val="11"/>
      <color rgb="FFFF6600"/>
      <name val="Calibri"/>
      <family val="2"/>
      <charset val="1"/>
    </font>
    <font>
      <i/>
      <sz val="11"/>
      <name val="Calibri"/>
      <family val="2"/>
      <charset val="1"/>
    </font>
    <font>
      <b/>
      <sz val="11"/>
      <color theme="0"/>
      <name val="Cambria"/>
      <family val="1"/>
      <charset val="1"/>
    </font>
    <font>
      <b/>
      <sz val="9"/>
      <name val="Cambria"/>
      <family val="1"/>
      <charset val="1"/>
    </font>
    <font>
      <b/>
      <sz val="12"/>
      <color theme="0"/>
      <name val="Arial"/>
      <family val="2"/>
      <charset val="1"/>
    </font>
    <font>
      <b/>
      <sz val="10"/>
      <color theme="0"/>
      <name val="Arial"/>
      <family val="2"/>
      <charset val="1"/>
    </font>
    <font>
      <b/>
      <sz val="9"/>
      <color theme="0"/>
      <name val="Arial"/>
      <family val="2"/>
      <charset val="1"/>
    </font>
    <font>
      <u/>
      <sz val="11"/>
      <color theme="10"/>
      <name val="Calibri"/>
      <family val="2"/>
      <charset val="1"/>
    </font>
    <font>
      <sz val="11"/>
      <color rgb="FF22222F"/>
      <name val="Calibri"/>
      <family val="2"/>
      <charset val="1"/>
    </font>
    <font>
      <sz val="7"/>
      <color theme="1"/>
      <name val="Arial"/>
      <family val="2"/>
      <charset val="1"/>
    </font>
    <font>
      <sz val="7"/>
      <color rgb="FF000000"/>
      <name val="Arial"/>
      <family val="2"/>
      <charset val="1"/>
    </font>
    <font>
      <b/>
      <sz val="11"/>
      <color theme="0"/>
      <name val="Arial"/>
      <family val="2"/>
      <charset val="1"/>
    </font>
    <font>
      <b/>
      <sz val="11"/>
      <color rgb="FFFF0000"/>
      <name val="Calibri"/>
      <family val="2"/>
      <charset val="1"/>
    </font>
    <font>
      <sz val="11"/>
      <color rgb="FF606F7B"/>
      <name val="Arial"/>
      <family val="2"/>
      <charset val="1"/>
    </font>
    <font>
      <sz val="11"/>
      <color rgb="FF22222F"/>
      <name val="Arial"/>
      <family val="2"/>
      <charset val="1"/>
    </font>
    <font>
      <sz val="11"/>
      <color theme="1"/>
      <name val="Cambria"/>
      <family val="1"/>
      <charset val="1"/>
    </font>
    <font>
      <b/>
      <sz val="11"/>
      <color theme="0"/>
      <name val="Calibri"/>
      <family val="2"/>
    </font>
    <font>
      <b/>
      <sz val="11"/>
      <color theme="1"/>
      <name val="Calibri"/>
      <family val="2"/>
    </font>
    <font>
      <sz val="11"/>
      <color rgb="FF333333"/>
      <name val="Calibri"/>
      <family val="2"/>
      <scheme val="minor"/>
    </font>
    <font>
      <sz val="11"/>
      <color rgb="FF22222F"/>
      <name val="Calibri"/>
      <family val="2"/>
      <scheme val="minor"/>
    </font>
    <font>
      <sz val="11"/>
      <color theme="1"/>
      <name val="Calibri"/>
      <family val="2"/>
    </font>
    <font>
      <b/>
      <sz val="11"/>
      <color theme="1"/>
      <name val="Calibri"/>
      <family val="2"/>
      <scheme val="minor"/>
    </font>
    <font>
      <b/>
      <sz val="11"/>
      <color rgb="FFFFFFFF"/>
      <name val="Arial"/>
      <family val="2"/>
    </font>
    <font>
      <sz val="10"/>
      <color rgb="FF000000"/>
      <name val="Arial"/>
      <family val="2"/>
    </font>
    <font>
      <i/>
      <sz val="8"/>
      <color rgb="FFFFFFFF"/>
      <name val="Arial"/>
      <family val="2"/>
    </font>
    <font>
      <b/>
      <sz val="14"/>
      <color rgb="FFFFFFFF"/>
      <name val="Calibri"/>
      <family val="2"/>
      <scheme val="minor"/>
    </font>
    <font>
      <b/>
      <sz val="10"/>
      <color rgb="FFFFFFFF"/>
      <name val="Calibri"/>
      <family val="2"/>
      <scheme val="minor"/>
    </font>
    <font>
      <b/>
      <sz val="11"/>
      <color rgb="FFFFFFFF"/>
      <name val="Calibri"/>
      <family val="2"/>
      <scheme val="minor"/>
    </font>
    <font>
      <sz val="10"/>
      <color rgb="FF000000"/>
      <name val="Calibri"/>
      <family val="2"/>
      <scheme val="minor"/>
    </font>
    <font>
      <b/>
      <sz val="9"/>
      <color rgb="FFFFFFFF"/>
      <name val="Calibri"/>
      <family val="2"/>
      <scheme val="minor"/>
    </font>
    <font>
      <b/>
      <sz val="9"/>
      <color rgb="FF000000"/>
      <name val="Calibri"/>
      <family val="2"/>
      <scheme val="minor"/>
    </font>
    <font>
      <sz val="9"/>
      <color rgb="FF000000"/>
      <name val="Calibri"/>
      <family val="2"/>
      <scheme val="minor"/>
    </font>
    <font>
      <b/>
      <sz val="9"/>
      <color rgb="FF1F3864"/>
      <name val="Calibri"/>
      <family val="2"/>
      <scheme val="minor"/>
    </font>
    <font>
      <b/>
      <sz val="12"/>
      <color rgb="FFFFFFFF"/>
      <name val="Calibri"/>
      <family val="2"/>
      <scheme val="minor"/>
    </font>
    <font>
      <sz val="8"/>
      <color rgb="FF666666"/>
      <name val="Calibri"/>
      <family val="2"/>
      <scheme val="minor"/>
    </font>
    <font>
      <b/>
      <sz val="9"/>
      <color theme="0"/>
      <name val="Calibri"/>
      <family val="2"/>
      <scheme val="minor"/>
    </font>
    <font>
      <sz val="11"/>
      <color theme="0"/>
      <name val="Calibri"/>
      <family val="2"/>
    </font>
  </fonts>
  <fills count="43">
    <fill>
      <patternFill patternType="none"/>
    </fill>
    <fill>
      <patternFill patternType="gray125"/>
    </fill>
    <fill>
      <patternFill patternType="solid">
        <fgColor rgb="FFD9E1F2"/>
        <bgColor rgb="FFDBE4F0"/>
      </patternFill>
    </fill>
    <fill>
      <patternFill patternType="solid">
        <fgColor rgb="FFE0E0E0"/>
        <bgColor rgb="FFDBE4F0"/>
      </patternFill>
    </fill>
    <fill>
      <patternFill patternType="solid">
        <fgColor rgb="FFA7A7A7"/>
        <bgColor rgb="FF8EAADB"/>
      </patternFill>
    </fill>
    <fill>
      <patternFill patternType="solid">
        <fgColor rgb="FFFFFFFF"/>
        <bgColor rgb="FFF8F8FC"/>
      </patternFill>
    </fill>
    <fill>
      <patternFill patternType="solid">
        <fgColor theme="0" tint="-0.249977111117893"/>
        <bgColor rgb="FFB4C6E7"/>
      </patternFill>
    </fill>
    <fill>
      <patternFill patternType="solid">
        <fgColor theme="7" tint="0.79909665211951053"/>
        <bgColor rgb="FFF2F2F2"/>
      </patternFill>
    </fill>
    <fill>
      <patternFill patternType="solid">
        <fgColor rgb="FF002060"/>
        <bgColor rgb="FF1D324E"/>
      </patternFill>
    </fill>
    <fill>
      <patternFill patternType="solid">
        <fgColor rgb="FFD9D9D9"/>
        <bgColor rgb="FFE0E0E0"/>
      </patternFill>
    </fill>
    <fill>
      <patternFill patternType="solid">
        <fgColor theme="5" tint="-0.249977111117893"/>
        <bgColor rgb="FFFF6600"/>
      </patternFill>
    </fill>
    <fill>
      <patternFill patternType="solid">
        <fgColor rgb="FFF8F8FC"/>
        <bgColor rgb="FFF2F2F2"/>
      </patternFill>
    </fill>
    <fill>
      <patternFill patternType="solid">
        <fgColor rgb="FFD5E8F5"/>
        <bgColor rgb="FFDBE4F0"/>
      </patternFill>
    </fill>
    <fill>
      <patternFill patternType="solid">
        <fgColor rgb="FF1D324E"/>
        <bgColor rgb="FF1F3864"/>
      </patternFill>
    </fill>
    <fill>
      <patternFill patternType="solid">
        <fgColor theme="7" tint="0.59959715567491678"/>
        <bgColor rgb="FFFFF2CC"/>
      </patternFill>
    </fill>
    <fill>
      <patternFill patternType="solid">
        <fgColor rgb="FFF6F8FB"/>
        <bgColor indexed="64"/>
      </patternFill>
    </fill>
    <fill>
      <patternFill patternType="solid">
        <fgColor theme="7" tint="0.59999389629810485"/>
        <bgColor indexed="64"/>
      </patternFill>
    </fill>
    <fill>
      <patternFill patternType="solid">
        <fgColor rgb="FF2E5090"/>
      </patternFill>
    </fill>
    <fill>
      <patternFill patternType="solid">
        <fgColor rgb="FFF2F5FA"/>
      </patternFill>
    </fill>
    <fill>
      <patternFill patternType="solid">
        <fgColor rgb="FFFFFFFF"/>
      </patternFill>
    </fill>
    <fill>
      <patternFill patternType="solid">
        <fgColor rgb="FFE8EDF5"/>
      </patternFill>
    </fill>
    <fill>
      <patternFill patternType="solid">
        <fgColor rgb="FFF8FAFD"/>
      </patternFill>
    </fill>
    <fill>
      <patternFill patternType="solid">
        <fgColor rgb="FF8B0000"/>
      </patternFill>
    </fill>
    <fill>
      <patternFill patternType="solid">
        <fgColor rgb="FFFFF5F5"/>
      </patternFill>
    </fill>
    <fill>
      <patternFill patternType="solid">
        <fgColor rgb="FFFFF0F0"/>
      </patternFill>
    </fill>
    <fill>
      <patternFill patternType="solid">
        <fgColor rgb="FFF0FAF4"/>
      </patternFill>
    </fill>
    <fill>
      <patternFill patternType="solid">
        <fgColor theme="4" tint="-0.249977111117893"/>
        <bgColor rgb="FF0070C0"/>
      </patternFill>
    </fill>
    <fill>
      <patternFill patternType="solid">
        <fgColor theme="0"/>
        <bgColor rgb="FFFFF2CC"/>
      </patternFill>
    </fill>
    <fill>
      <patternFill patternType="solid">
        <fgColor theme="0"/>
        <bgColor indexed="64"/>
      </patternFill>
    </fill>
    <fill>
      <patternFill patternType="solid">
        <fgColor theme="4" tint="-0.249977111117893"/>
        <bgColor indexed="64"/>
      </patternFill>
    </fill>
    <fill>
      <patternFill patternType="solid">
        <fgColor theme="4" tint="-0.249977111117893"/>
        <bgColor rgb="FF1F3864"/>
      </patternFill>
    </fill>
    <fill>
      <patternFill patternType="solid">
        <fgColor theme="4" tint="-0.249977111117893"/>
        <bgColor rgb="FF18507A"/>
      </patternFill>
    </fill>
    <fill>
      <patternFill patternType="solid">
        <fgColor theme="4" tint="-0.249977111117893"/>
        <bgColor rgb="FF2E5395"/>
      </patternFill>
    </fill>
    <fill>
      <patternFill patternType="solid">
        <fgColor theme="4" tint="-0.249977111117893"/>
        <bgColor rgb="FFFFCC00"/>
      </patternFill>
    </fill>
    <fill>
      <patternFill patternType="solid">
        <fgColor theme="4" tint="-0.249977111117893"/>
        <bgColor rgb="FF1D324E"/>
      </patternFill>
    </fill>
    <fill>
      <patternFill patternType="solid">
        <fgColor theme="4" tint="-0.249977111117893"/>
        <bgColor rgb="FFD5E8F5"/>
      </patternFill>
    </fill>
    <fill>
      <patternFill patternType="solid">
        <fgColor theme="4" tint="-0.249977111117893"/>
        <bgColor rgb="FF404040"/>
      </patternFill>
    </fill>
    <fill>
      <patternFill patternType="solid">
        <fgColor theme="4" tint="-0.249977111117893"/>
        <bgColor rgb="FF3273B8"/>
      </patternFill>
    </fill>
    <fill>
      <patternFill patternType="solid">
        <fgColor theme="4" tint="-0.249977111117893"/>
        <bgColor rgb="FF1A5276"/>
      </patternFill>
    </fill>
    <fill>
      <patternFill patternType="solid">
        <fgColor theme="4" tint="-0.249977111117893"/>
        <bgColor rgb="FF1F3F5A"/>
      </patternFill>
    </fill>
    <fill>
      <patternFill patternType="solid">
        <fgColor theme="4" tint="-0.249977111117893"/>
        <bgColor rgb="FFBFBFBF"/>
      </patternFill>
    </fill>
    <fill>
      <patternFill patternType="solid">
        <fgColor theme="4" tint="-0.249977111117893"/>
        <bgColor rgb="FFA7A7A7"/>
      </patternFill>
    </fill>
    <fill>
      <patternFill patternType="solid">
        <fgColor theme="0"/>
        <bgColor rgb="FFDBE4F0"/>
      </patternFill>
    </fill>
  </fills>
  <borders count="50">
    <border>
      <left/>
      <right/>
      <top/>
      <bottom/>
      <diagonal/>
    </border>
    <border>
      <left/>
      <right/>
      <top/>
      <bottom style="medium">
        <color rgb="FF1F3864"/>
      </bottom>
      <diagonal/>
    </border>
    <border>
      <left style="thin">
        <color rgb="FFBFBFBF"/>
      </left>
      <right style="thin">
        <color rgb="FFBFBFBF"/>
      </right>
      <top style="thin">
        <color rgb="FFBFBFBF"/>
      </top>
      <bottom style="thin">
        <color rgb="FFBFBFBF"/>
      </bottom>
      <diagonal/>
    </border>
    <border>
      <left style="medium">
        <color rgb="FF1F3864"/>
      </left>
      <right style="medium">
        <color rgb="FF1F3864"/>
      </right>
      <top style="medium">
        <color rgb="FF1F3864"/>
      </top>
      <bottom style="medium">
        <color rgb="FF1F3864"/>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medium">
        <color auto="1"/>
      </top>
      <bottom style="thin">
        <color auto="1"/>
      </bottom>
      <diagonal/>
    </border>
    <border>
      <left/>
      <right/>
      <top/>
      <bottom style="medium">
        <color auto="1"/>
      </bottom>
      <diagonal/>
    </border>
    <border>
      <left style="thin">
        <color auto="1"/>
      </left>
      <right style="thin">
        <color auto="1"/>
      </right>
      <top/>
      <bottom/>
      <diagonal/>
    </border>
    <border>
      <left style="thin">
        <color auto="1"/>
      </left>
      <right/>
      <top style="thin">
        <color theme="0"/>
      </top>
      <bottom style="thin">
        <color theme="0"/>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thin">
        <color auto="1"/>
      </left>
      <right style="thin">
        <color auto="1"/>
      </right>
      <top style="thin">
        <color auto="1"/>
      </top>
      <bottom style="thin">
        <color theme="0"/>
      </bottom>
      <diagonal/>
    </border>
    <border>
      <left style="thin">
        <color auto="1"/>
      </left>
      <right style="thin">
        <color theme="0"/>
      </right>
      <top style="thin">
        <color theme="0"/>
      </top>
      <bottom/>
      <diagonal/>
    </border>
    <border>
      <left style="thin">
        <color theme="0"/>
      </left>
      <right style="thin">
        <color theme="0"/>
      </right>
      <top style="thin">
        <color theme="0"/>
      </top>
      <bottom style="thin">
        <color theme="0"/>
      </bottom>
      <diagonal/>
    </border>
    <border>
      <left style="thin">
        <color theme="0"/>
      </left>
      <right style="thin">
        <color auto="1"/>
      </right>
      <top style="thin">
        <color theme="0"/>
      </top>
      <bottom style="thin">
        <color theme="0"/>
      </bottom>
      <diagonal/>
    </border>
    <border>
      <left/>
      <right style="thin">
        <color theme="0"/>
      </right>
      <top style="thin">
        <color theme="0"/>
      </top>
      <bottom style="thin">
        <color theme="0"/>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bottom style="thin">
        <color auto="1"/>
      </bottom>
      <diagonal/>
    </border>
    <border>
      <left/>
      <right/>
      <top style="thin">
        <color auto="1"/>
      </top>
      <bottom style="thick">
        <color auto="1"/>
      </bottom>
      <diagonal/>
    </border>
    <border>
      <left style="medium">
        <color rgb="FFF2F2F2"/>
      </left>
      <right style="medium">
        <color rgb="FFF2F2F2"/>
      </right>
      <top/>
      <bottom/>
      <diagonal/>
    </border>
    <border>
      <left/>
      <right/>
      <top/>
      <bottom style="medium">
        <color rgb="FFDBE4F0"/>
      </bottom>
      <diagonal/>
    </border>
    <border>
      <left/>
      <right/>
      <top style="medium">
        <color rgb="FF645DF9"/>
      </top>
      <bottom style="medium">
        <color rgb="FF645DF9"/>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medium">
        <color rgb="FF1F3864"/>
      </top>
      <bottom/>
      <diagonal/>
    </border>
    <border>
      <left style="medium">
        <color rgb="FF1F3864"/>
      </left>
      <right/>
      <top/>
      <bottom/>
      <diagonal/>
    </border>
    <border>
      <left/>
      <right style="medium">
        <color rgb="FF1F3864"/>
      </right>
      <top style="medium">
        <color rgb="FF1F3864"/>
      </top>
      <bottom/>
      <diagonal/>
    </border>
    <border>
      <left/>
      <right style="medium">
        <color rgb="FF1F3864"/>
      </right>
      <top/>
      <bottom/>
      <diagonal/>
    </border>
    <border>
      <left style="medium">
        <color rgb="FF1F3864"/>
      </left>
      <right/>
      <top/>
      <bottom style="medium">
        <color rgb="FF1F3864"/>
      </bottom>
      <diagonal/>
    </border>
    <border>
      <left/>
      <right style="medium">
        <color rgb="FF1F3864"/>
      </right>
      <top/>
      <bottom style="medium">
        <color rgb="FF1F3864"/>
      </bottom>
      <diagonal/>
    </border>
    <border>
      <left/>
      <right style="thin">
        <color auto="1"/>
      </right>
      <top/>
      <bottom/>
      <diagonal/>
    </border>
    <border>
      <left/>
      <right/>
      <top style="thin">
        <color auto="1"/>
      </top>
      <bottom style="thin">
        <color theme="0"/>
      </bottom>
      <diagonal/>
    </border>
    <border>
      <left/>
      <right style="thin">
        <color auto="1"/>
      </right>
      <top style="thin">
        <color auto="1"/>
      </top>
      <bottom style="thin">
        <color theme="0"/>
      </bottom>
      <diagonal/>
    </border>
    <border>
      <left style="thin">
        <color auto="1"/>
      </left>
      <right style="thin">
        <color auto="1"/>
      </right>
      <top/>
      <bottom style="thin">
        <color auto="1"/>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medium">
        <color rgb="FF145A32"/>
      </left>
      <right style="medium">
        <color rgb="FF145A32"/>
      </right>
      <top style="medium">
        <color rgb="FF145A32"/>
      </top>
      <bottom style="medium">
        <color rgb="FF145A32"/>
      </bottom>
      <diagonal/>
    </border>
  </borders>
  <cellStyleXfs count="1">
    <xf numFmtId="0" fontId="0" fillId="0" borderId="0"/>
  </cellStyleXfs>
  <cellXfs count="345">
    <xf numFmtId="0" fontId="0" fillId="0" borderId="0" xfId="0"/>
    <xf numFmtId="0" fontId="14" fillId="0" borderId="0" xfId="0" applyFont="1"/>
    <xf numFmtId="0" fontId="12" fillId="2" borderId="2" xfId="0" applyFont="1" applyFill="1" applyBorder="1" applyAlignment="1">
      <alignment horizontal="left" vertical="center" wrapText="1"/>
    </xf>
    <xf numFmtId="0" fontId="12" fillId="2" borderId="2" xfId="0" applyFont="1" applyFill="1" applyBorder="1" applyAlignment="1">
      <alignment horizontal="center" vertical="center" wrapText="1"/>
    </xf>
    <xf numFmtId="3" fontId="12" fillId="2" borderId="2" xfId="0" applyNumberFormat="1" applyFont="1" applyFill="1" applyBorder="1" applyAlignment="1">
      <alignment horizontal="right" vertical="center"/>
    </xf>
    <xf numFmtId="164" fontId="12" fillId="2" borderId="2" xfId="0" applyNumberFormat="1" applyFont="1" applyFill="1" applyBorder="1" applyAlignment="1">
      <alignment horizontal="right" vertical="center"/>
    </xf>
    <xf numFmtId="0" fontId="14" fillId="0" borderId="2" xfId="0" applyFont="1" applyBorder="1" applyAlignment="1">
      <alignment horizontal="left" vertical="center" wrapText="1" indent="1"/>
    </xf>
    <xf numFmtId="0" fontId="14" fillId="0" borderId="2" xfId="0" applyFont="1" applyBorder="1" applyAlignment="1">
      <alignment horizontal="center" vertical="center" wrapText="1"/>
    </xf>
    <xf numFmtId="3" fontId="14" fillId="0" borderId="2" xfId="0" applyNumberFormat="1" applyFont="1" applyBorder="1" applyAlignment="1">
      <alignment horizontal="right" vertical="center"/>
    </xf>
    <xf numFmtId="164" fontId="14" fillId="0" borderId="2" xfId="0" applyNumberFormat="1" applyFont="1" applyBorder="1" applyAlignment="1">
      <alignment horizontal="right" vertical="center"/>
    </xf>
    <xf numFmtId="0" fontId="14" fillId="0" borderId="2" xfId="0" applyFont="1" applyBorder="1" applyAlignment="1">
      <alignment horizontal="right" vertical="center"/>
    </xf>
    <xf numFmtId="0" fontId="12" fillId="2" borderId="2" xfId="0" applyFont="1" applyFill="1" applyBorder="1" applyAlignment="1">
      <alignment horizontal="right" vertical="center"/>
    </xf>
    <xf numFmtId="0" fontId="12" fillId="2" borderId="2" xfId="0" applyFont="1" applyFill="1" applyBorder="1" applyAlignment="1">
      <alignment horizontal="left" vertical="center" wrapText="1" indent="1"/>
    </xf>
    <xf numFmtId="0" fontId="20" fillId="0" borderId="2" xfId="0" applyFont="1" applyBorder="1" applyAlignment="1">
      <alignment horizontal="left" vertical="center" wrapText="1" indent="2"/>
    </xf>
    <xf numFmtId="3" fontId="20" fillId="0" borderId="2" xfId="0" applyNumberFormat="1" applyFont="1" applyBorder="1" applyAlignment="1">
      <alignment horizontal="right" vertical="center"/>
    </xf>
    <xf numFmtId="164" fontId="20" fillId="0" borderId="2" xfId="0" applyNumberFormat="1" applyFont="1" applyBorder="1" applyAlignment="1">
      <alignment horizontal="right" vertical="center"/>
    </xf>
    <xf numFmtId="0" fontId="20" fillId="0" borderId="2" xfId="0" applyFont="1" applyBorder="1" applyAlignment="1">
      <alignment horizontal="right" vertical="center"/>
    </xf>
    <xf numFmtId="0" fontId="21" fillId="0" borderId="8" xfId="0" applyFont="1"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16" fillId="0" borderId="8" xfId="0" applyFont="1" applyBorder="1" applyAlignment="1">
      <alignment horizontal="center" vertical="top"/>
    </xf>
    <xf numFmtId="0" fontId="22" fillId="0" borderId="0" xfId="0" applyFont="1"/>
    <xf numFmtId="2" fontId="0" fillId="0" borderId="0" xfId="0" applyNumberFormat="1"/>
    <xf numFmtId="0" fontId="0" fillId="0" borderId="14" xfId="0" applyBorder="1"/>
    <xf numFmtId="0" fontId="24" fillId="0" borderId="0" xfId="0" applyFont="1"/>
    <xf numFmtId="0" fontId="25" fillId="3" borderId="16" xfId="0" applyFont="1" applyFill="1" applyBorder="1"/>
    <xf numFmtId="4" fontId="0" fillId="0" borderId="8" xfId="0" applyNumberFormat="1" applyBorder="1"/>
    <xf numFmtId="166" fontId="26" fillId="4" borderId="17" xfId="0" applyNumberFormat="1" applyFont="1" applyFill="1" applyBorder="1" applyAlignment="1">
      <alignment horizontal="left"/>
    </xf>
    <xf numFmtId="0" fontId="25" fillId="3" borderId="18" xfId="0" applyFont="1" applyFill="1" applyBorder="1"/>
    <xf numFmtId="10" fontId="0" fillId="0" borderId="8" xfId="0" applyNumberFormat="1" applyBorder="1"/>
    <xf numFmtId="0" fontId="21" fillId="0" borderId="0" xfId="0" applyFont="1"/>
    <xf numFmtId="166" fontId="26" fillId="4" borderId="19" xfId="0" applyNumberFormat="1" applyFont="1" applyFill="1" applyBorder="1"/>
    <xf numFmtId="0" fontId="25" fillId="3" borderId="8" xfId="0" applyFont="1" applyFill="1" applyBorder="1"/>
    <xf numFmtId="10" fontId="14" fillId="5" borderId="8" xfId="0" applyNumberFormat="1" applyFont="1" applyFill="1" applyBorder="1" applyAlignment="1">
      <alignment horizontal="center"/>
    </xf>
    <xf numFmtId="2" fontId="14" fillId="5" borderId="8" xfId="0" applyNumberFormat="1" applyFont="1" applyFill="1" applyBorder="1" applyAlignment="1">
      <alignment horizontal="center"/>
    </xf>
    <xf numFmtId="10" fontId="26" fillId="4" borderId="8" xfId="0" applyNumberFormat="1" applyFont="1" applyFill="1" applyBorder="1"/>
    <xf numFmtId="10" fontId="27" fillId="6" borderId="8" xfId="0" applyNumberFormat="1" applyFont="1" applyFill="1" applyBorder="1" applyAlignment="1">
      <alignment horizontal="center"/>
    </xf>
    <xf numFmtId="10" fontId="25" fillId="3" borderId="8" xfId="0" applyNumberFormat="1" applyFont="1" applyFill="1" applyBorder="1" applyAlignment="1">
      <alignment horizontal="left" vertical="center"/>
    </xf>
    <xf numFmtId="4" fontId="28" fillId="5" borderId="8" xfId="0" applyNumberFormat="1" applyFont="1" applyFill="1" applyBorder="1" applyAlignment="1">
      <alignment horizontal="center" vertical="center"/>
    </xf>
    <xf numFmtId="4" fontId="29" fillId="5" borderId="8" xfId="0" applyNumberFormat="1" applyFont="1" applyFill="1" applyBorder="1" applyAlignment="1">
      <alignment horizontal="center"/>
    </xf>
    <xf numFmtId="10" fontId="29" fillId="5" borderId="8" xfId="0" applyNumberFormat="1" applyFont="1" applyFill="1" applyBorder="1" applyAlignment="1">
      <alignment horizontal="center"/>
    </xf>
    <xf numFmtId="166" fontId="25" fillId="3" borderId="8" xfId="0" applyNumberFormat="1" applyFont="1" applyFill="1" applyBorder="1"/>
    <xf numFmtId="10" fontId="28" fillId="6" borderId="8" xfId="0" applyNumberFormat="1" applyFont="1" applyFill="1" applyBorder="1" applyAlignment="1">
      <alignment horizontal="center"/>
    </xf>
    <xf numFmtId="0" fontId="26" fillId="4" borderId="8" xfId="0" applyFont="1" applyFill="1" applyBorder="1"/>
    <xf numFmtId="10" fontId="30" fillId="0" borderId="8" xfId="0" applyNumberFormat="1" applyFont="1" applyBorder="1"/>
    <xf numFmtId="10" fontId="26" fillId="2" borderId="21" xfId="0" applyNumberFormat="1" applyFont="1" applyFill="1" applyBorder="1" applyAlignment="1">
      <alignment horizontal="center"/>
    </xf>
    <xf numFmtId="10" fontId="26" fillId="2" borderId="22" xfId="0" applyNumberFormat="1" applyFont="1" applyFill="1" applyBorder="1" applyAlignment="1">
      <alignment horizontal="center"/>
    </xf>
    <xf numFmtId="10" fontId="26" fillId="2" borderId="23" xfId="0" applyNumberFormat="1" applyFont="1" applyFill="1" applyBorder="1" applyAlignment="1">
      <alignment horizontal="center"/>
    </xf>
    <xf numFmtId="10" fontId="25" fillId="3" borderId="18" xfId="0" applyNumberFormat="1" applyFont="1" applyFill="1" applyBorder="1" applyAlignment="1">
      <alignment horizontal="left"/>
    </xf>
    <xf numFmtId="10" fontId="32" fillId="5" borderId="24" xfId="0" applyNumberFormat="1" applyFont="1" applyFill="1" applyBorder="1" applyAlignment="1">
      <alignment horizontal="center"/>
    </xf>
    <xf numFmtId="10" fontId="32" fillId="5" borderId="22" xfId="0" applyNumberFormat="1" applyFont="1" applyFill="1" applyBorder="1" applyAlignment="1">
      <alignment horizontal="center"/>
    </xf>
    <xf numFmtId="10" fontId="32" fillId="5" borderId="23" xfId="0" applyNumberFormat="1" applyFont="1" applyFill="1" applyBorder="1" applyAlignment="1">
      <alignment horizontal="center"/>
    </xf>
    <xf numFmtId="10" fontId="32" fillId="6" borderId="25" xfId="0" applyNumberFormat="1" applyFont="1" applyFill="1" applyBorder="1"/>
    <xf numFmtId="166" fontId="13" fillId="6" borderId="25" xfId="0" applyNumberFormat="1" applyFont="1" applyFill="1" applyBorder="1"/>
    <xf numFmtId="10" fontId="27" fillId="7" borderId="26" xfId="0" applyNumberFormat="1" applyFont="1" applyFill="1" applyBorder="1"/>
    <xf numFmtId="167" fontId="0" fillId="0" borderId="0" xfId="0" applyNumberFormat="1"/>
    <xf numFmtId="0" fontId="14" fillId="0" borderId="8" xfId="0" applyFont="1" applyBorder="1"/>
    <xf numFmtId="0" fontId="16" fillId="0" borderId="27" xfId="0" applyFont="1" applyBorder="1"/>
    <xf numFmtId="0" fontId="14" fillId="0" borderId="28" xfId="0" applyFont="1" applyBorder="1"/>
    <xf numFmtId="10" fontId="35" fillId="0" borderId="8" xfId="0" applyNumberFormat="1" applyFont="1" applyBorder="1"/>
    <xf numFmtId="10" fontId="32" fillId="0" borderId="8" xfId="0" applyNumberFormat="1" applyFont="1" applyBorder="1"/>
    <xf numFmtId="10" fontId="21" fillId="0" borderId="8" xfId="0" applyNumberFormat="1" applyFont="1" applyBorder="1"/>
    <xf numFmtId="0" fontId="16" fillId="0" borderId="8" xfId="0" applyFont="1" applyBorder="1"/>
    <xf numFmtId="170" fontId="0" fillId="0" borderId="8" xfId="0" applyNumberFormat="1" applyBorder="1"/>
    <xf numFmtId="0" fontId="37" fillId="0" borderId="8" xfId="0" applyFont="1" applyBorder="1"/>
    <xf numFmtId="4" fontId="21" fillId="0" borderId="8" xfId="0" applyNumberFormat="1" applyFont="1" applyBorder="1"/>
    <xf numFmtId="10" fontId="14" fillId="0" borderId="0" xfId="0" applyNumberFormat="1" applyFont="1"/>
    <xf numFmtId="10" fontId="32" fillId="0" borderId="0" xfId="0" applyNumberFormat="1" applyFont="1"/>
    <xf numFmtId="4" fontId="0" fillId="0" borderId="28" xfId="0" applyNumberFormat="1" applyBorder="1"/>
    <xf numFmtId="4" fontId="16" fillId="0" borderId="8" xfId="0" applyNumberFormat="1" applyFont="1" applyBorder="1"/>
    <xf numFmtId="4" fontId="32" fillId="0" borderId="8" xfId="0" applyNumberFormat="1" applyFont="1" applyBorder="1"/>
    <xf numFmtId="10" fontId="14" fillId="0" borderId="8" xfId="0" applyNumberFormat="1" applyFont="1" applyBorder="1"/>
    <xf numFmtId="0" fontId="32" fillId="0" borderId="0" xfId="0" applyFont="1"/>
    <xf numFmtId="0" fontId="32" fillId="0" borderId="8" xfId="0" applyFont="1" applyBorder="1" applyAlignment="1">
      <alignment horizontal="left"/>
    </xf>
    <xf numFmtId="171" fontId="14" fillId="0" borderId="8" xfId="0" applyNumberFormat="1" applyFont="1" applyBorder="1" applyAlignment="1">
      <alignment horizontal="right"/>
    </xf>
    <xf numFmtId="4" fontId="38" fillId="0" borderId="8" xfId="0" applyNumberFormat="1" applyFont="1" applyBorder="1"/>
    <xf numFmtId="9" fontId="14" fillId="0" borderId="8" xfId="0" applyNumberFormat="1" applyFont="1" applyBorder="1"/>
    <xf numFmtId="172" fontId="14" fillId="0" borderId="8" xfId="0" applyNumberFormat="1" applyFont="1" applyBorder="1" applyAlignment="1">
      <alignment horizontal="right"/>
    </xf>
    <xf numFmtId="9" fontId="32" fillId="0" borderId="8" xfId="0" applyNumberFormat="1" applyFont="1" applyBorder="1"/>
    <xf numFmtId="173" fontId="14" fillId="0" borderId="8" xfId="0" applyNumberFormat="1" applyFont="1" applyBorder="1"/>
    <xf numFmtId="2" fontId="38" fillId="0" borderId="8" xfId="0" applyNumberFormat="1" applyFont="1" applyBorder="1"/>
    <xf numFmtId="174" fontId="14" fillId="9" borderId="8" xfId="0" applyNumberFormat="1" applyFont="1" applyFill="1" applyBorder="1" applyAlignment="1">
      <alignment horizontal="right"/>
    </xf>
    <xf numFmtId="2" fontId="14" fillId="9" borderId="8" xfId="0" applyNumberFormat="1" applyFont="1" applyFill="1" applyBorder="1"/>
    <xf numFmtId="174" fontId="32" fillId="9" borderId="8" xfId="0" applyNumberFormat="1" applyFont="1" applyFill="1" applyBorder="1" applyAlignment="1">
      <alignment horizontal="right"/>
    </xf>
    <xf numFmtId="2" fontId="32" fillId="9" borderId="8" xfId="0" applyNumberFormat="1" applyFont="1" applyFill="1" applyBorder="1"/>
    <xf numFmtId="0" fontId="16" fillId="0" borderId="0" xfId="0" applyFont="1"/>
    <xf numFmtId="0" fontId="39" fillId="0" borderId="0" xfId="0" applyFont="1"/>
    <xf numFmtId="175" fontId="0" fillId="0" borderId="0" xfId="0" applyNumberFormat="1"/>
    <xf numFmtId="10" fontId="16" fillId="0" borderId="0" xfId="0" applyNumberFormat="1" applyFont="1"/>
    <xf numFmtId="2" fontId="16" fillId="0" borderId="0" xfId="0" applyNumberFormat="1" applyFont="1"/>
    <xf numFmtId="4" fontId="16" fillId="0" borderId="0" xfId="0" applyNumberFormat="1" applyFont="1"/>
    <xf numFmtId="4" fontId="0" fillId="0" borderId="0" xfId="0" applyNumberFormat="1"/>
    <xf numFmtId="0" fontId="21" fillId="0" borderId="29" xfId="0" applyFont="1" applyBorder="1"/>
    <xf numFmtId="0" fontId="21" fillId="0" borderId="29" xfId="0" applyFont="1" applyBorder="1" applyAlignment="1">
      <alignment horizontal="right"/>
    </xf>
    <xf numFmtId="0" fontId="0" fillId="0" borderId="0" xfId="0" applyAlignment="1">
      <alignment horizontal="left"/>
    </xf>
    <xf numFmtId="170" fontId="0" fillId="0" borderId="0" xfId="0" applyNumberFormat="1"/>
    <xf numFmtId="166" fontId="0" fillId="0" borderId="0" xfId="0" applyNumberFormat="1"/>
    <xf numFmtId="4" fontId="32" fillId="0" borderId="0" xfId="0" applyNumberFormat="1" applyFont="1"/>
    <xf numFmtId="170" fontId="32" fillId="0" borderId="0" xfId="0" applyNumberFormat="1" applyFont="1"/>
    <xf numFmtId="0" fontId="37" fillId="0" borderId="0" xfId="0" applyFont="1"/>
    <xf numFmtId="4" fontId="21" fillId="0" borderId="0" xfId="0" applyNumberFormat="1" applyFont="1"/>
    <xf numFmtId="10" fontId="0" fillId="0" borderId="0" xfId="0" applyNumberFormat="1"/>
    <xf numFmtId="166" fontId="21" fillId="0" borderId="0" xfId="0" applyNumberFormat="1" applyFont="1"/>
    <xf numFmtId="0" fontId="40" fillId="8" borderId="0" xfId="0" applyFont="1" applyFill="1"/>
    <xf numFmtId="0" fontId="36" fillId="8" borderId="0" xfId="0" applyFont="1" applyFill="1"/>
    <xf numFmtId="2" fontId="41" fillId="0" borderId="0" xfId="0" applyNumberFormat="1" applyFont="1" applyAlignment="1">
      <alignment wrapText="1"/>
    </xf>
    <xf numFmtId="170" fontId="22" fillId="0" borderId="0" xfId="0" applyNumberFormat="1" applyFont="1"/>
    <xf numFmtId="0" fontId="23" fillId="0" borderId="0" xfId="0" applyFont="1"/>
    <xf numFmtId="4" fontId="22" fillId="0" borderId="0" xfId="0" applyNumberFormat="1" applyFont="1" applyAlignment="1">
      <alignment horizontal="left"/>
    </xf>
    <xf numFmtId="170" fontId="27" fillId="0" borderId="0" xfId="0" applyNumberFormat="1" applyFont="1"/>
    <xf numFmtId="170" fontId="32" fillId="0" borderId="0" xfId="0" applyNumberFormat="1" applyFont="1" applyAlignment="1">
      <alignment horizontal="left"/>
    </xf>
    <xf numFmtId="170" fontId="22" fillId="0" borderId="0" xfId="0" applyNumberFormat="1" applyFont="1" applyAlignment="1">
      <alignment horizontal="left"/>
    </xf>
    <xf numFmtId="4" fontId="32" fillId="6" borderId="0" xfId="0" applyNumberFormat="1" applyFont="1" applyFill="1"/>
    <xf numFmtId="0" fontId="21" fillId="0" borderId="30" xfId="0" applyFont="1" applyBorder="1"/>
    <xf numFmtId="0" fontId="0" fillId="0" borderId="30" xfId="0" applyBorder="1"/>
    <xf numFmtId="166" fontId="21" fillId="0" borderId="30" xfId="0" applyNumberFormat="1" applyFont="1" applyBorder="1"/>
    <xf numFmtId="4" fontId="21" fillId="10" borderId="0" xfId="0" applyNumberFormat="1" applyFont="1" applyFill="1"/>
    <xf numFmtId="4" fontId="32" fillId="5" borderId="0" xfId="0" applyNumberFormat="1" applyFont="1" applyFill="1"/>
    <xf numFmtId="170" fontId="27" fillId="0" borderId="0" xfId="0" applyNumberFormat="1" applyFont="1" applyAlignment="1">
      <alignment horizontal="left"/>
    </xf>
    <xf numFmtId="2" fontId="21" fillId="0" borderId="30" xfId="0" applyNumberFormat="1" applyFont="1" applyBorder="1"/>
    <xf numFmtId="0" fontId="29" fillId="0" borderId="0" xfId="0" applyFont="1"/>
    <xf numFmtId="0" fontId="45" fillId="0" borderId="8" xfId="0" applyFont="1" applyBorder="1"/>
    <xf numFmtId="0" fontId="46" fillId="11" borderId="8" xfId="0" applyFont="1" applyFill="1" applyBorder="1" applyAlignment="1">
      <alignment horizontal="center" vertical="center" wrapText="1"/>
    </xf>
    <xf numFmtId="4" fontId="14" fillId="0" borderId="8" xfId="0" applyNumberFormat="1" applyFont="1" applyBorder="1" applyAlignment="1">
      <alignment horizontal="center"/>
    </xf>
    <xf numFmtId="3" fontId="46" fillId="0" borderId="8" xfId="0" applyNumberFormat="1" applyFont="1" applyBorder="1" applyAlignment="1">
      <alignment horizontal="center"/>
    </xf>
    <xf numFmtId="0" fontId="46" fillId="0" borderId="8" xfId="0" applyFont="1" applyBorder="1" applyAlignment="1">
      <alignment horizontal="center"/>
    </xf>
    <xf numFmtId="176" fontId="14" fillId="12" borderId="8" xfId="0" applyNumberFormat="1" applyFont="1" applyFill="1" applyBorder="1"/>
    <xf numFmtId="0" fontId="46" fillId="5" borderId="8" xfId="0" applyFont="1" applyFill="1" applyBorder="1" applyAlignment="1">
      <alignment horizontal="center" vertical="center" wrapText="1"/>
    </xf>
    <xf numFmtId="177" fontId="14" fillId="0" borderId="8" xfId="0" applyNumberFormat="1" applyFont="1" applyBorder="1" applyAlignment="1">
      <alignment horizontal="center"/>
    </xf>
    <xf numFmtId="0" fontId="22" fillId="0" borderId="8" xfId="0" applyFont="1" applyBorder="1" applyAlignment="1">
      <alignment horizontal="center"/>
    </xf>
    <xf numFmtId="0" fontId="45" fillId="5" borderId="8" xfId="0" applyFont="1" applyFill="1" applyBorder="1" applyAlignment="1">
      <alignment horizontal="left" vertical="center"/>
    </xf>
    <xf numFmtId="177" fontId="14" fillId="0" borderId="8" xfId="0" applyNumberFormat="1" applyFont="1" applyBorder="1"/>
    <xf numFmtId="0" fontId="14" fillId="0" borderId="8" xfId="0" applyFont="1" applyBorder="1" applyAlignment="1">
      <alignment horizontal="center"/>
    </xf>
    <xf numFmtId="0" fontId="30" fillId="0" borderId="8" xfId="0" applyFont="1" applyBorder="1" applyAlignment="1">
      <alignment horizontal="left" vertical="center"/>
    </xf>
    <xf numFmtId="3" fontId="16" fillId="0" borderId="8" xfId="0" applyNumberFormat="1" applyFont="1" applyBorder="1"/>
    <xf numFmtId="4" fontId="47" fillId="5" borderId="31" xfId="0" applyNumberFormat="1" applyFont="1" applyFill="1" applyBorder="1" applyAlignment="1">
      <alignment horizontal="right" vertical="center" wrapText="1"/>
    </xf>
    <xf numFmtId="0" fontId="47" fillId="5" borderId="31" xfId="0" applyFont="1" applyFill="1" applyBorder="1" applyAlignment="1">
      <alignment horizontal="right" vertical="center" wrapText="1"/>
    </xf>
    <xf numFmtId="4" fontId="48" fillId="0" borderId="0" xfId="0" applyNumberFormat="1" applyFont="1"/>
    <xf numFmtId="176" fontId="14" fillId="0" borderId="8" xfId="0" applyNumberFormat="1" applyFont="1" applyBorder="1" applyAlignment="1">
      <alignment horizontal="center" vertical="center"/>
    </xf>
    <xf numFmtId="3" fontId="14" fillId="0" borderId="8" xfId="0" applyNumberFormat="1" applyFont="1" applyBorder="1" applyAlignment="1">
      <alignment horizontal="center" vertical="center"/>
    </xf>
    <xf numFmtId="178" fontId="14" fillId="0" borderId="8" xfId="0" applyNumberFormat="1" applyFont="1" applyBorder="1" applyAlignment="1">
      <alignment horizontal="center" vertical="center"/>
    </xf>
    <xf numFmtId="179" fontId="14" fillId="0" borderId="8" xfId="0" applyNumberFormat="1" applyFont="1" applyBorder="1" applyAlignment="1">
      <alignment horizontal="center" vertical="center"/>
    </xf>
    <xf numFmtId="0" fontId="14" fillId="5" borderId="0" xfId="0" applyFont="1" applyFill="1" applyAlignment="1">
      <alignment horizontal="left" vertical="center"/>
    </xf>
    <xf numFmtId="180" fontId="14" fillId="0" borderId="0" xfId="0" applyNumberFormat="1" applyFont="1"/>
    <xf numFmtId="181" fontId="14" fillId="0" borderId="0" xfId="0" applyNumberFormat="1" applyFont="1"/>
    <xf numFmtId="182" fontId="14" fillId="0" borderId="0" xfId="0" applyNumberFormat="1" applyFont="1"/>
    <xf numFmtId="2" fontId="14" fillId="0" borderId="0" xfId="0" applyNumberFormat="1" applyFont="1"/>
    <xf numFmtId="0" fontId="16" fillId="0" borderId="30" xfId="0" applyFont="1" applyBorder="1"/>
    <xf numFmtId="0" fontId="14" fillId="0" borderId="30" xfId="0" applyFont="1" applyBorder="1"/>
    <xf numFmtId="2" fontId="16" fillId="0" borderId="30" xfId="0" applyNumberFormat="1" applyFont="1" applyBorder="1"/>
    <xf numFmtId="0" fontId="51" fillId="5" borderId="32" xfId="0" applyFont="1" applyFill="1" applyBorder="1" applyAlignment="1">
      <alignment horizontal="left" vertical="center" indent="2"/>
    </xf>
    <xf numFmtId="0" fontId="51" fillId="5" borderId="32" xfId="0" applyFont="1" applyFill="1" applyBorder="1" applyAlignment="1">
      <alignment horizontal="left" vertical="center"/>
    </xf>
    <xf numFmtId="0" fontId="51" fillId="5" borderId="32" xfId="0" applyFont="1" applyFill="1" applyBorder="1" applyAlignment="1">
      <alignment horizontal="right" vertical="center" wrapText="1"/>
    </xf>
    <xf numFmtId="0" fontId="52" fillId="11" borderId="0" xfId="0" applyFont="1" applyFill="1" applyAlignment="1">
      <alignment horizontal="left" vertical="center" indent="2"/>
    </xf>
    <xf numFmtId="0" fontId="45" fillId="11" borderId="0" xfId="0" applyFont="1" applyFill="1" applyAlignment="1">
      <alignment horizontal="left" vertical="center"/>
    </xf>
    <xf numFmtId="0" fontId="52" fillId="11" borderId="0" xfId="0" applyFont="1" applyFill="1" applyAlignment="1">
      <alignment horizontal="right" vertical="center" wrapText="1"/>
    </xf>
    <xf numFmtId="0" fontId="52" fillId="5" borderId="0" xfId="0" applyFont="1" applyFill="1" applyAlignment="1">
      <alignment horizontal="left" vertical="center" indent="2"/>
    </xf>
    <xf numFmtId="0" fontId="45" fillId="5" borderId="0" xfId="0" applyFont="1" applyFill="1" applyAlignment="1">
      <alignment horizontal="left" vertical="center"/>
    </xf>
    <xf numFmtId="0" fontId="52" fillId="5" borderId="0" xfId="0" applyFont="1" applyFill="1" applyAlignment="1">
      <alignment horizontal="right" vertical="center" wrapText="1"/>
    </xf>
    <xf numFmtId="0" fontId="52" fillId="11" borderId="33" xfId="0" applyFont="1" applyFill="1" applyBorder="1" applyAlignment="1">
      <alignment horizontal="left" vertical="center" indent="2"/>
    </xf>
    <xf numFmtId="0" fontId="45" fillId="11" borderId="33" xfId="0" applyFont="1" applyFill="1" applyBorder="1" applyAlignment="1">
      <alignment horizontal="left" vertical="center"/>
    </xf>
    <xf numFmtId="0" fontId="52" fillId="11" borderId="33" xfId="0" applyFont="1" applyFill="1" applyBorder="1" applyAlignment="1">
      <alignment horizontal="right" vertical="center" wrapText="1"/>
    </xf>
    <xf numFmtId="0" fontId="39" fillId="0" borderId="8" xfId="0" applyFont="1" applyBorder="1"/>
    <xf numFmtId="0" fontId="16" fillId="0" borderId="8" xfId="0" applyFont="1" applyBorder="1" applyAlignment="1">
      <alignment horizontal="right"/>
    </xf>
    <xf numFmtId="166" fontId="14" fillId="0" borderId="8" xfId="0" applyNumberFormat="1" applyFont="1" applyBorder="1" applyAlignment="1">
      <alignment horizontal="right"/>
    </xf>
    <xf numFmtId="0" fontId="14" fillId="0" borderId="8" xfId="0" applyFont="1" applyBorder="1" applyAlignment="1">
      <alignment horizontal="right"/>
    </xf>
    <xf numFmtId="170" fontId="14" fillId="0" borderId="8" xfId="0" applyNumberFormat="1" applyFont="1" applyBorder="1" applyAlignment="1">
      <alignment horizontal="right"/>
    </xf>
    <xf numFmtId="10" fontId="14" fillId="0" borderId="8" xfId="0" applyNumberFormat="1" applyFont="1" applyBorder="1" applyAlignment="1">
      <alignment horizontal="right"/>
    </xf>
    <xf numFmtId="10" fontId="22" fillId="0" borderId="0" xfId="0" applyNumberFormat="1" applyFont="1"/>
    <xf numFmtId="9" fontId="14" fillId="0" borderId="8" xfId="0" applyNumberFormat="1" applyFont="1" applyBorder="1" applyAlignment="1">
      <alignment horizontal="right"/>
    </xf>
    <xf numFmtId="10" fontId="53" fillId="0" borderId="0" xfId="0" applyNumberFormat="1" applyFont="1"/>
    <xf numFmtId="0" fontId="36" fillId="13" borderId="8" xfId="0" applyFont="1" applyFill="1" applyBorder="1" applyAlignment="1">
      <alignment horizontal="right"/>
    </xf>
    <xf numFmtId="0" fontId="55" fillId="14" borderId="8" xfId="0" applyFont="1" applyFill="1" applyBorder="1" applyAlignment="1">
      <alignment horizontal="right" vertical="center" wrapText="1"/>
    </xf>
    <xf numFmtId="4" fontId="56" fillId="15" borderId="8" xfId="0" applyNumberFormat="1" applyFont="1" applyFill="1" applyBorder="1" applyAlignment="1">
      <alignment horizontal="right" vertical="top" wrapText="1"/>
    </xf>
    <xf numFmtId="10" fontId="0" fillId="14" borderId="8" xfId="0" applyNumberFormat="1" applyFill="1" applyBorder="1" applyAlignment="1">
      <alignment horizontal="center" vertical="center" wrapText="1"/>
    </xf>
    <xf numFmtId="173" fontId="0" fillId="14" borderId="8" xfId="0" applyNumberFormat="1" applyFill="1" applyBorder="1" applyAlignment="1">
      <alignment horizontal="center" vertical="center" wrapText="1"/>
    </xf>
    <xf numFmtId="0" fontId="0" fillId="0" borderId="0" xfId="0"/>
    <xf numFmtId="0" fontId="0" fillId="0" borderId="1" xfId="0" applyBorder="1"/>
    <xf numFmtId="0" fontId="23" fillId="0" borderId="13" xfId="0" applyFont="1" applyBorder="1" applyAlignment="1">
      <alignment horizontal="center"/>
    </xf>
    <xf numFmtId="4" fontId="2" fillId="0" borderId="8" xfId="0" applyNumberFormat="1" applyFont="1" applyBorder="1" applyAlignment="1">
      <alignment horizontal="center"/>
    </xf>
    <xf numFmtId="2" fontId="58" fillId="0" borderId="8" xfId="0" applyNumberFormat="1" applyFont="1" applyBorder="1" applyAlignment="1">
      <alignment horizontal="center"/>
    </xf>
    <xf numFmtId="2" fontId="59" fillId="0" borderId="8" xfId="0" applyNumberFormat="1" applyFont="1" applyBorder="1" applyAlignment="1">
      <alignment horizontal="center"/>
    </xf>
    <xf numFmtId="2" fontId="2" fillId="0" borderId="8" xfId="0" applyNumberFormat="1" applyFont="1" applyBorder="1" applyAlignment="1">
      <alignment horizontal="center"/>
    </xf>
    <xf numFmtId="0" fontId="0" fillId="16" borderId="8" xfId="0" applyFill="1" applyBorder="1"/>
    <xf numFmtId="2" fontId="0" fillId="16" borderId="8" xfId="0" applyNumberFormat="1" applyFill="1" applyBorder="1"/>
    <xf numFmtId="0" fontId="1" fillId="0" borderId="0" xfId="0" applyFont="1"/>
    <xf numFmtId="0" fontId="68" fillId="18" borderId="46" xfId="0" applyFont="1" applyFill="1" applyBorder="1" applyAlignment="1">
      <alignment horizontal="left" vertical="top"/>
    </xf>
    <xf numFmtId="0" fontId="69" fillId="18" borderId="46" xfId="0" applyFont="1" applyFill="1" applyBorder="1" applyAlignment="1">
      <alignment horizontal="center" vertical="center"/>
    </xf>
    <xf numFmtId="0" fontId="68" fillId="19" borderId="46" xfId="0" applyFont="1" applyFill="1" applyBorder="1" applyAlignment="1">
      <alignment horizontal="left" vertical="top"/>
    </xf>
    <xf numFmtId="0" fontId="69" fillId="19" borderId="46" xfId="0" applyFont="1" applyFill="1" applyBorder="1" applyAlignment="1">
      <alignment horizontal="center" vertical="center"/>
    </xf>
    <xf numFmtId="0" fontId="68" fillId="20" borderId="46" xfId="0" applyFont="1" applyFill="1" applyBorder="1" applyAlignment="1">
      <alignment horizontal="left" vertical="center" wrapText="1"/>
    </xf>
    <xf numFmtId="0" fontId="69" fillId="20" borderId="46" xfId="0" applyFont="1" applyFill="1" applyBorder="1" applyAlignment="1">
      <alignment horizontal="center" vertical="center" wrapText="1"/>
    </xf>
    <xf numFmtId="0" fontId="69" fillId="20" borderId="46" xfId="0" applyFont="1" applyFill="1" applyBorder="1" applyAlignment="1">
      <alignment horizontal="left" vertical="center" wrapText="1"/>
    </xf>
    <xf numFmtId="0" fontId="68" fillId="21" borderId="46" xfId="0" applyFont="1" applyFill="1" applyBorder="1" applyAlignment="1">
      <alignment horizontal="left" vertical="center" wrapText="1"/>
    </xf>
    <xf numFmtId="0" fontId="69" fillId="21" borderId="46" xfId="0" applyFont="1" applyFill="1" applyBorder="1" applyAlignment="1">
      <alignment horizontal="center" vertical="center" wrapText="1"/>
    </xf>
    <xf numFmtId="0" fontId="69" fillId="21" borderId="46" xfId="0" applyFont="1" applyFill="1" applyBorder="1" applyAlignment="1">
      <alignment horizontal="left" vertical="center" wrapText="1"/>
    </xf>
    <xf numFmtId="0" fontId="70" fillId="18" borderId="46" xfId="0" applyFont="1" applyFill="1" applyBorder="1" applyAlignment="1">
      <alignment horizontal="center" vertical="center"/>
    </xf>
    <xf numFmtId="0" fontId="70" fillId="19" borderId="46" xfId="0" applyFont="1" applyFill="1" applyBorder="1" applyAlignment="1">
      <alignment horizontal="center" vertical="center"/>
    </xf>
    <xf numFmtId="9" fontId="69" fillId="19" borderId="46" xfId="0" applyNumberFormat="1" applyFont="1" applyFill="1" applyBorder="1" applyAlignment="1">
      <alignment horizontal="center" vertical="center"/>
    </xf>
    <xf numFmtId="0" fontId="4" fillId="0" borderId="0" xfId="0" applyFont="1" applyAlignment="1">
      <alignment horizontal="left"/>
    </xf>
    <xf numFmtId="0" fontId="0" fillId="0" borderId="0" xfId="0"/>
    <xf numFmtId="0" fontId="5" fillId="0" borderId="0" xfId="0" applyFont="1" applyAlignment="1">
      <alignment horizontal="center" vertical="center"/>
    </xf>
    <xf numFmtId="0" fontId="5" fillId="0" borderId="0" xfId="0" applyFont="1" applyAlignment="1">
      <alignment horizontal="left" vertical="top"/>
    </xf>
    <xf numFmtId="0" fontId="7" fillId="0" borderId="3" xfId="0" applyFont="1" applyBorder="1" applyAlignment="1">
      <alignment horizontal="left" vertical="top" wrapText="1"/>
    </xf>
    <xf numFmtId="0" fontId="0" fillId="0" borderId="36" xfId="0" applyBorder="1"/>
    <xf numFmtId="0" fontId="0" fillId="0" borderId="38" xfId="0" applyBorder="1"/>
    <xf numFmtId="0" fontId="0" fillId="0" borderId="37" xfId="0" applyBorder="1"/>
    <xf numFmtId="0" fontId="0" fillId="0" borderId="39" xfId="0" applyBorder="1"/>
    <xf numFmtId="0" fontId="0" fillId="0" borderId="40" xfId="0" applyBorder="1"/>
    <xf numFmtId="0" fontId="0" fillId="0" borderId="1" xfId="0" applyBorder="1"/>
    <xf numFmtId="0" fontId="0" fillId="0" borderId="41" xfId="0" applyBorder="1"/>
    <xf numFmtId="0" fontId="11" fillId="0" borderId="0" xfId="0" applyFont="1" applyAlignment="1">
      <alignment horizontal="left" vertical="top" wrapText="1"/>
    </xf>
    <xf numFmtId="0" fontId="17" fillId="0" borderId="0" xfId="0" applyFont="1" applyAlignment="1">
      <alignment horizontal="left" vertical="center" wrapText="1"/>
    </xf>
    <xf numFmtId="0" fontId="13" fillId="0" borderId="0" xfId="0" applyFont="1" applyAlignment="1">
      <alignment horizontal="left" vertical="center" wrapText="1"/>
    </xf>
    <xf numFmtId="0" fontId="12" fillId="0" borderId="0" xfId="0" applyFont="1" applyAlignment="1">
      <alignment horizontal="left" vertical="center" wrapText="1"/>
    </xf>
    <xf numFmtId="0" fontId="18" fillId="0" borderId="0" xfId="0" applyFont="1" applyAlignment="1">
      <alignment horizontal="left" vertical="center" wrapText="1"/>
    </xf>
    <xf numFmtId="0" fontId="19" fillId="0" borderId="0" xfId="0" applyFont="1" applyAlignment="1">
      <alignment horizontal="left" vertical="center" wrapText="1"/>
    </xf>
    <xf numFmtId="0" fontId="23" fillId="0" borderId="13" xfId="0" applyFont="1" applyBorder="1" applyAlignment="1">
      <alignment horizontal="center"/>
    </xf>
    <xf numFmtId="0" fontId="0" fillId="0" borderId="13" xfId="0" applyBorder="1"/>
    <xf numFmtId="0" fontId="0" fillId="0" borderId="26" xfId="0" applyBorder="1"/>
    <xf numFmtId="0" fontId="0" fillId="0" borderId="0" xfId="0" applyAlignment="1">
      <alignment horizontal="center"/>
    </xf>
    <xf numFmtId="0" fontId="0" fillId="0" borderId="25" xfId="0" applyBorder="1"/>
    <xf numFmtId="0" fontId="21" fillId="0" borderId="8" xfId="0" applyFont="1" applyBorder="1" applyAlignment="1">
      <alignment horizontal="center"/>
    </xf>
    <xf numFmtId="0" fontId="1" fillId="0" borderId="0" xfId="0" applyFont="1"/>
    <xf numFmtId="0" fontId="68" fillId="19" borderId="46" xfId="0" applyFont="1" applyFill="1" applyBorder="1" applyAlignment="1">
      <alignment horizontal="left" vertical="top"/>
    </xf>
    <xf numFmtId="0" fontId="1" fillId="0" borderId="47" xfId="0" applyFont="1" applyBorder="1"/>
    <xf numFmtId="0" fontId="1" fillId="0" borderId="48" xfId="0" applyFont="1" applyBorder="1"/>
    <xf numFmtId="0" fontId="69" fillId="24" borderId="46" xfId="0" applyFont="1" applyFill="1" applyBorder="1" applyAlignment="1">
      <alignment horizontal="left" vertical="center" wrapText="1"/>
    </xf>
    <xf numFmtId="0" fontId="68" fillId="18" borderId="46" xfId="0" applyFont="1" applyFill="1" applyBorder="1" applyAlignment="1">
      <alignment horizontal="left" vertical="top"/>
    </xf>
    <xf numFmtId="0" fontId="66" fillId="0" borderId="0" xfId="0" applyFont="1" applyAlignment="1">
      <alignment horizontal="left" vertical="top" wrapText="1"/>
    </xf>
    <xf numFmtId="0" fontId="69" fillId="23" borderId="46" xfId="0" applyFont="1" applyFill="1" applyBorder="1" applyAlignment="1">
      <alignment horizontal="left" vertical="center" wrapText="1"/>
    </xf>
    <xf numFmtId="0" fontId="64" fillId="22" borderId="0" xfId="0" applyFont="1" applyFill="1" applyAlignment="1">
      <alignment horizontal="center" vertical="center"/>
    </xf>
    <xf numFmtId="0" fontId="61" fillId="18" borderId="0" xfId="0" applyFont="1" applyFill="1" applyAlignment="1">
      <alignment horizontal="left" vertical="top" wrapText="1"/>
    </xf>
    <xf numFmtId="0" fontId="72" fillId="0" borderId="0" xfId="0" applyFont="1" applyAlignment="1">
      <alignment horizontal="left" vertical="top" wrapText="1"/>
    </xf>
    <xf numFmtId="0" fontId="72" fillId="0" borderId="0" xfId="0" applyFont="1" applyAlignment="1">
      <alignment horizontal="left" vertical="top"/>
    </xf>
    <xf numFmtId="0" fontId="66" fillId="25" borderId="49" xfId="0" applyFont="1" applyFill="1" applyBorder="1" applyAlignment="1">
      <alignment horizontal="left" vertical="top" wrapText="1"/>
    </xf>
    <xf numFmtId="0" fontId="64" fillId="17" borderId="0" xfId="0" applyFont="1" applyFill="1" applyAlignment="1">
      <alignment horizontal="center" vertical="center"/>
    </xf>
    <xf numFmtId="0" fontId="54" fillId="26" borderId="8" xfId="0" applyFont="1" applyFill="1" applyBorder="1" applyAlignment="1">
      <alignment horizontal="center" vertical="center" wrapText="1"/>
    </xf>
    <xf numFmtId="0" fontId="54" fillId="26" borderId="8" xfId="0" applyFont="1" applyFill="1" applyBorder="1" applyAlignment="1">
      <alignment horizontal="right" vertical="center" wrapText="1"/>
    </xf>
    <xf numFmtId="0" fontId="55" fillId="27" borderId="8" xfId="0" applyFont="1" applyFill="1" applyBorder="1" applyAlignment="1">
      <alignment horizontal="center" vertical="center" wrapText="1"/>
    </xf>
    <xf numFmtId="3" fontId="57" fillId="28" borderId="8" xfId="0" applyNumberFormat="1" applyFont="1" applyFill="1" applyBorder="1" applyAlignment="1">
      <alignment horizontal="center"/>
    </xf>
    <xf numFmtId="183" fontId="3" fillId="27" borderId="8" xfId="0" applyNumberFormat="1" applyFont="1" applyFill="1" applyBorder="1" applyAlignment="1">
      <alignment horizontal="center" vertical="center" wrapText="1"/>
    </xf>
    <xf numFmtId="0" fontId="57" fillId="28" borderId="8" xfId="0" applyFont="1" applyFill="1" applyBorder="1" applyAlignment="1">
      <alignment horizontal="center"/>
    </xf>
    <xf numFmtId="0" fontId="3" fillId="27" borderId="8" xfId="0" applyFont="1" applyFill="1" applyBorder="1" applyAlignment="1">
      <alignment horizontal="center" vertical="center" wrapText="1"/>
    </xf>
    <xf numFmtId="0" fontId="3" fillId="28" borderId="8" xfId="0" applyFont="1" applyFill="1" applyBorder="1" applyAlignment="1">
      <alignment horizontal="center"/>
    </xf>
    <xf numFmtId="10" fontId="3" fillId="27" borderId="8" xfId="0" applyNumberFormat="1" applyFont="1" applyFill="1" applyBorder="1" applyAlignment="1">
      <alignment horizontal="center" vertical="center" wrapText="1"/>
    </xf>
    <xf numFmtId="184" fontId="3" fillId="27" borderId="8" xfId="0" applyNumberFormat="1" applyFont="1" applyFill="1" applyBorder="1" applyAlignment="1">
      <alignment horizontal="center" vertical="center" wrapText="1"/>
    </xf>
    <xf numFmtId="0" fontId="63" fillId="29" borderId="0" xfId="0" applyFont="1" applyFill="1" applyAlignment="1">
      <alignment horizontal="center" vertical="center"/>
    </xf>
    <xf numFmtId="0" fontId="1" fillId="29" borderId="0" xfId="0" applyFont="1" applyFill="1"/>
    <xf numFmtId="0" fontId="64" fillId="29" borderId="0" xfId="0" applyFont="1" applyFill="1" applyAlignment="1">
      <alignment horizontal="center" vertical="center"/>
    </xf>
    <xf numFmtId="0" fontId="65" fillId="29" borderId="0" xfId="0" applyFont="1" applyFill="1" applyAlignment="1">
      <alignment horizontal="left" vertical="top"/>
    </xf>
    <xf numFmtId="0" fontId="67" fillId="29" borderId="0" xfId="0" applyFont="1" applyFill="1" applyAlignment="1">
      <alignment horizontal="center" vertical="center"/>
    </xf>
    <xf numFmtId="0" fontId="67" fillId="29" borderId="46" xfId="0" applyFont="1" applyFill="1" applyBorder="1" applyAlignment="1">
      <alignment horizontal="center" vertical="center" wrapText="1"/>
    </xf>
    <xf numFmtId="0" fontId="1" fillId="29" borderId="0" xfId="0" applyFont="1" applyFill="1"/>
    <xf numFmtId="0" fontId="73" fillId="29" borderId="46" xfId="0" applyFont="1" applyFill="1" applyBorder="1" applyAlignment="1">
      <alignment horizontal="left" vertical="center" wrapText="1"/>
    </xf>
    <xf numFmtId="0" fontId="73" fillId="29" borderId="46" xfId="0" applyFont="1" applyFill="1" applyBorder="1" applyAlignment="1">
      <alignment horizontal="center" vertical="center" wrapText="1"/>
    </xf>
    <xf numFmtId="0" fontId="68" fillId="29" borderId="46" xfId="0" applyFont="1" applyFill="1" applyBorder="1" applyAlignment="1">
      <alignment horizontal="left" vertical="center" wrapText="1"/>
    </xf>
    <xf numFmtId="0" fontId="71" fillId="29" borderId="0" xfId="0" applyFont="1" applyFill="1" applyAlignment="1">
      <alignment horizontal="center" vertical="center"/>
    </xf>
    <xf numFmtId="0" fontId="60" fillId="29" borderId="0" xfId="0" applyFont="1" applyFill="1" applyAlignment="1">
      <alignment horizontal="left" vertical="top"/>
    </xf>
    <xf numFmtId="0" fontId="0" fillId="29" borderId="0" xfId="0" applyFill="1"/>
    <xf numFmtId="0" fontId="62" fillId="29" borderId="0" xfId="0" applyFont="1" applyFill="1" applyAlignment="1">
      <alignment horizontal="center" vertical="center"/>
    </xf>
    <xf numFmtId="0" fontId="42" fillId="30" borderId="0" xfId="0" applyFont="1" applyFill="1" applyAlignment="1">
      <alignment horizontal="center" vertical="center"/>
    </xf>
    <xf numFmtId="0" fontId="43" fillId="30" borderId="8" xfId="0" applyFont="1" applyFill="1" applyBorder="1" applyAlignment="1">
      <alignment horizontal="center" vertical="center"/>
    </xf>
    <xf numFmtId="0" fontId="43" fillId="31" borderId="8" xfId="0" applyFont="1" applyFill="1" applyBorder="1" applyAlignment="1">
      <alignment horizontal="center" vertical="center"/>
    </xf>
    <xf numFmtId="0" fontId="0" fillId="29" borderId="25" xfId="0" applyFill="1" applyBorder="1"/>
    <xf numFmtId="0" fontId="0" fillId="29" borderId="26" xfId="0" applyFill="1" applyBorder="1"/>
    <xf numFmtId="0" fontId="43" fillId="32" borderId="8" xfId="0" applyFont="1" applyFill="1" applyBorder="1" applyAlignment="1">
      <alignment horizontal="center" vertical="center"/>
    </xf>
    <xf numFmtId="0" fontId="0" fillId="29" borderId="45" xfId="0" applyFill="1" applyBorder="1"/>
    <xf numFmtId="0" fontId="44" fillId="31" borderId="27" xfId="0" applyFont="1" applyFill="1" applyBorder="1" applyAlignment="1">
      <alignment horizontal="center" vertical="center" wrapText="1"/>
    </xf>
    <xf numFmtId="0" fontId="44" fillId="32" borderId="8" xfId="0" applyFont="1" applyFill="1" applyBorder="1" applyAlignment="1">
      <alignment horizontal="center" vertical="center" wrapText="1"/>
    </xf>
    <xf numFmtId="0" fontId="49" fillId="30" borderId="8" xfId="0" applyFont="1" applyFill="1" applyBorder="1" applyAlignment="1">
      <alignment horizontal="center" vertical="center"/>
    </xf>
    <xf numFmtId="0" fontId="44" fillId="30" borderId="8" xfId="0" applyFont="1" applyFill="1" applyBorder="1" applyAlignment="1">
      <alignment horizontal="center" vertical="center" wrapText="1"/>
    </xf>
    <xf numFmtId="0" fontId="44" fillId="31" borderId="8" xfId="0" applyFont="1" applyFill="1" applyBorder="1" applyAlignment="1">
      <alignment horizontal="center" vertical="center" wrapText="1"/>
    </xf>
    <xf numFmtId="0" fontId="44" fillId="33" borderId="8" xfId="0" applyFont="1" applyFill="1" applyBorder="1" applyAlignment="1">
      <alignment horizontal="center" vertical="center" wrapText="1"/>
    </xf>
    <xf numFmtId="0" fontId="50" fillId="34" borderId="0" xfId="0" applyFont="1" applyFill="1" applyAlignment="1">
      <alignment horizontal="center"/>
    </xf>
    <xf numFmtId="0" fontId="36" fillId="34" borderId="0" xfId="0" applyFont="1" applyFill="1" applyAlignment="1">
      <alignment horizontal="center"/>
    </xf>
    <xf numFmtId="0" fontId="36" fillId="34" borderId="0" xfId="0" applyFont="1" applyFill="1"/>
    <xf numFmtId="0" fontId="16" fillId="34" borderId="0" xfId="0" applyFont="1" applyFill="1"/>
    <xf numFmtId="0" fontId="14" fillId="29" borderId="0" xfId="0" applyFont="1" applyFill="1"/>
    <xf numFmtId="0" fontId="15" fillId="34" borderId="8" xfId="0" applyFont="1" applyFill="1" applyBorder="1" applyAlignment="1">
      <alignment horizontal="center"/>
    </xf>
    <xf numFmtId="0" fontId="15" fillId="34" borderId="8" xfId="0" applyFont="1" applyFill="1" applyBorder="1" applyAlignment="1">
      <alignment horizontal="center"/>
    </xf>
    <xf numFmtId="168" fontId="36" fillId="34" borderId="8" xfId="0" applyNumberFormat="1" applyFont="1" applyFill="1" applyBorder="1"/>
    <xf numFmtId="0" fontId="36" fillId="35" borderId="8" xfId="0" applyFont="1" applyFill="1" applyBorder="1"/>
    <xf numFmtId="0" fontId="36" fillId="34" borderId="8" xfId="0" applyFont="1" applyFill="1" applyBorder="1" applyAlignment="1">
      <alignment horizontal="center"/>
    </xf>
    <xf numFmtId="0" fontId="36" fillId="34" borderId="8" xfId="0" applyFont="1" applyFill="1" applyBorder="1"/>
    <xf numFmtId="169" fontId="36" fillId="34" borderId="8" xfId="0" applyNumberFormat="1" applyFont="1" applyFill="1" applyBorder="1"/>
    <xf numFmtId="168" fontId="36" fillId="34" borderId="8" xfId="0" applyNumberFormat="1" applyFont="1" applyFill="1" applyBorder="1" applyAlignment="1">
      <alignment horizontal="center"/>
    </xf>
    <xf numFmtId="0" fontId="36" fillId="34" borderId="8" xfId="0" applyFont="1" applyFill="1" applyBorder="1" applyAlignment="1">
      <alignment horizontal="center"/>
    </xf>
    <xf numFmtId="0" fontId="34" fillId="36" borderId="8" xfId="0" applyFont="1" applyFill="1" applyBorder="1" applyAlignment="1">
      <alignment horizontal="center"/>
    </xf>
    <xf numFmtId="0" fontId="74" fillId="29" borderId="8" xfId="0" applyFont="1" applyFill="1" applyBorder="1"/>
    <xf numFmtId="0" fontId="54" fillId="37" borderId="8" xfId="0" applyFont="1" applyFill="1" applyBorder="1" applyAlignment="1">
      <alignment horizontal="center" vertical="center"/>
    </xf>
    <xf numFmtId="168" fontId="54" fillId="37" borderId="8" xfId="0" applyNumberFormat="1" applyFont="1" applyFill="1" applyBorder="1" applyAlignment="1">
      <alignment horizontal="center" vertical="center"/>
    </xf>
    <xf numFmtId="0" fontId="24" fillId="38" borderId="15" xfId="0" applyFont="1" applyFill="1" applyBorder="1" applyAlignment="1">
      <alignment horizontal="center"/>
    </xf>
    <xf numFmtId="0" fontId="0" fillId="29" borderId="42" xfId="0" applyFill="1" applyBorder="1"/>
    <xf numFmtId="0" fontId="24" fillId="38" borderId="8" xfId="0" applyFont="1" applyFill="1" applyBorder="1" applyAlignment="1">
      <alignment horizontal="center"/>
    </xf>
    <xf numFmtId="0" fontId="31" fillId="38" borderId="20" xfId="0" applyFont="1" applyFill="1" applyBorder="1" applyAlignment="1">
      <alignment horizontal="center"/>
    </xf>
    <xf numFmtId="0" fontId="0" fillId="29" borderId="43" xfId="0" applyFill="1" applyBorder="1"/>
    <xf numFmtId="0" fontId="0" fillId="29" borderId="44" xfId="0" applyFill="1" applyBorder="1"/>
    <xf numFmtId="10" fontId="33" fillId="38" borderId="19" xfId="0" applyNumberFormat="1" applyFont="1" applyFill="1" applyBorder="1"/>
    <xf numFmtId="0" fontId="22" fillId="0" borderId="8" xfId="0" applyFont="1" applyBorder="1"/>
    <xf numFmtId="165" fontId="0" fillId="0" borderId="8" xfId="0" applyNumberFormat="1" applyBorder="1"/>
    <xf numFmtId="2" fontId="0" fillId="0" borderId="8" xfId="0" applyNumberFormat="1" applyBorder="1"/>
    <xf numFmtId="0" fontId="54" fillId="29" borderId="8" xfId="0" applyFont="1" applyFill="1" applyBorder="1"/>
    <xf numFmtId="0" fontId="54" fillId="29" borderId="4" xfId="0" applyFont="1" applyFill="1" applyBorder="1"/>
    <xf numFmtId="0" fontId="74" fillId="29" borderId="5" xfId="0" applyFont="1" applyFill="1" applyBorder="1"/>
    <xf numFmtId="0" fontId="74" fillId="29" borderId="6" xfId="0" applyFont="1" applyFill="1" applyBorder="1"/>
    <xf numFmtId="0" fontId="54" fillId="29" borderId="7" xfId="0" applyFont="1" applyFill="1" applyBorder="1"/>
    <xf numFmtId="0" fontId="54" fillId="29" borderId="9" xfId="0" applyFont="1" applyFill="1" applyBorder="1"/>
    <xf numFmtId="0" fontId="15" fillId="39" borderId="2" xfId="0" applyFont="1" applyFill="1" applyBorder="1" applyAlignment="1">
      <alignment horizontal="center" vertical="center" wrapText="1"/>
    </xf>
    <xf numFmtId="0" fontId="15" fillId="38" borderId="2" xfId="0" applyFont="1" applyFill="1" applyBorder="1" applyAlignment="1">
      <alignment horizontal="left" vertical="center" wrapText="1"/>
    </xf>
    <xf numFmtId="0" fontId="0" fillId="29" borderId="34" xfId="0" applyFill="1" applyBorder="1"/>
    <xf numFmtId="0" fontId="0" fillId="29" borderId="35" xfId="0" applyFill="1" applyBorder="1"/>
    <xf numFmtId="0" fontId="54" fillId="40" borderId="2" xfId="0" applyFont="1" applyFill="1" applyBorder="1" applyAlignment="1">
      <alignment horizontal="left" vertical="center" wrapText="1"/>
    </xf>
    <xf numFmtId="3" fontId="54" fillId="40" borderId="2" xfId="0" applyNumberFormat="1" applyFont="1" applyFill="1" applyBorder="1" applyAlignment="1">
      <alignment horizontal="right" vertical="center"/>
    </xf>
    <xf numFmtId="164" fontId="54" fillId="40" borderId="2" xfId="0" applyNumberFormat="1" applyFont="1" applyFill="1" applyBorder="1" applyAlignment="1">
      <alignment horizontal="right" vertical="center"/>
    </xf>
    <xf numFmtId="0" fontId="54" fillId="40" borderId="2" xfId="0" applyFont="1" applyFill="1" applyBorder="1" applyAlignment="1">
      <alignment horizontal="right" vertical="center"/>
    </xf>
    <xf numFmtId="0" fontId="54" fillId="38" borderId="2" xfId="0" applyFont="1" applyFill="1" applyBorder="1" applyAlignment="1">
      <alignment horizontal="left" vertical="center" wrapText="1"/>
    </xf>
    <xf numFmtId="0" fontId="74" fillId="29" borderId="34" xfId="0" applyFont="1" applyFill="1" applyBorder="1"/>
    <xf numFmtId="0" fontId="74" fillId="29" borderId="35" xfId="0" applyFont="1" applyFill="1" applyBorder="1"/>
    <xf numFmtId="0" fontId="36" fillId="40" borderId="2" xfId="0" applyFont="1" applyFill="1" applyBorder="1" applyAlignment="1">
      <alignment horizontal="left" vertical="center" wrapText="1"/>
    </xf>
    <xf numFmtId="3" fontId="36" fillId="40" borderId="2" xfId="0" applyNumberFormat="1" applyFont="1" applyFill="1" applyBorder="1" applyAlignment="1">
      <alignment horizontal="right" vertical="center"/>
    </xf>
    <xf numFmtId="164" fontId="36" fillId="40" borderId="2" xfId="0" applyNumberFormat="1" applyFont="1" applyFill="1" applyBorder="1" applyAlignment="1">
      <alignment horizontal="right" vertical="center"/>
    </xf>
    <xf numFmtId="0" fontId="36" fillId="40" borderId="2" xfId="0" applyFont="1" applyFill="1" applyBorder="1" applyAlignment="1">
      <alignment horizontal="right" vertical="center"/>
    </xf>
    <xf numFmtId="0" fontId="36" fillId="41" borderId="2" xfId="0" applyFont="1" applyFill="1" applyBorder="1" applyAlignment="1">
      <alignment horizontal="left" vertical="center" wrapText="1"/>
    </xf>
    <xf numFmtId="3" fontId="36" fillId="41" borderId="2" xfId="0" applyNumberFormat="1" applyFont="1" applyFill="1" applyBorder="1" applyAlignment="1">
      <alignment horizontal="right" vertical="center"/>
    </xf>
    <xf numFmtId="164" fontId="36" fillId="41" borderId="2" xfId="0" applyNumberFormat="1" applyFont="1" applyFill="1" applyBorder="1" applyAlignment="1">
      <alignment horizontal="right" vertical="center"/>
    </xf>
    <xf numFmtId="0" fontId="36" fillId="41" borderId="2" xfId="0" applyFont="1" applyFill="1" applyBorder="1" applyAlignment="1">
      <alignment horizontal="right" vertical="center"/>
    </xf>
    <xf numFmtId="0" fontId="54" fillId="39" borderId="2" xfId="0" applyFont="1" applyFill="1" applyBorder="1" applyAlignment="1">
      <alignment horizontal="center" vertical="center" wrapText="1"/>
    </xf>
    <xf numFmtId="0" fontId="54" fillId="40" borderId="2" xfId="0" applyFont="1" applyFill="1" applyBorder="1" applyAlignment="1">
      <alignment horizontal="center" vertical="center" wrapText="1"/>
    </xf>
    <xf numFmtId="0" fontId="36" fillId="40" borderId="2" xfId="0" applyFont="1" applyFill="1" applyBorder="1" applyAlignment="1">
      <alignment horizontal="center" vertical="center" wrapText="1"/>
    </xf>
    <xf numFmtId="0" fontId="36" fillId="41" borderId="2" xfId="0" applyFont="1" applyFill="1" applyBorder="1" applyAlignment="1">
      <alignment horizontal="center" vertical="center" wrapText="1"/>
    </xf>
    <xf numFmtId="0" fontId="6" fillId="39" borderId="2" xfId="0" applyFont="1" applyFill="1" applyBorder="1" applyAlignment="1">
      <alignment horizontal="center" vertical="center"/>
    </xf>
    <xf numFmtId="0" fontId="8" fillId="39" borderId="2" xfId="0" applyFont="1" applyFill="1" applyBorder="1" applyAlignment="1">
      <alignment horizontal="center" vertical="center"/>
    </xf>
    <xf numFmtId="0" fontId="9" fillId="42" borderId="2" xfId="0" applyFont="1" applyFill="1" applyBorder="1" applyAlignment="1">
      <alignment horizontal="center" vertical="center"/>
    </xf>
    <xf numFmtId="0" fontId="9" fillId="42" borderId="2" xfId="0" applyFont="1" applyFill="1" applyBorder="1" applyAlignment="1">
      <alignment horizontal="center" vertical="center"/>
    </xf>
    <xf numFmtId="0" fontId="0" fillId="28" borderId="35" xfId="0" applyFill="1" applyBorder="1"/>
    <xf numFmtId="0" fontId="10" fillId="28" borderId="2" xfId="0" applyFont="1" applyFill="1" applyBorder="1" applyAlignment="1">
      <alignment horizontal="center" vertical="center"/>
    </xf>
    <xf numFmtId="0" fontId="10" fillId="28" borderId="2" xfId="0" applyFont="1" applyFill="1" applyBorder="1" applyAlignment="1">
      <alignment horizontal="left" vertical="center"/>
    </xf>
    <xf numFmtId="0" fontId="9" fillId="42" borderId="2" xfId="0" applyFont="1" applyFill="1" applyBorder="1" applyAlignment="1">
      <alignment horizontal="left" vertical="center"/>
    </xf>
    <xf numFmtId="0" fontId="0" fillId="28" borderId="34" xfId="0" applyFill="1" applyBorder="1"/>
    <xf numFmtId="0" fontId="9" fillId="28"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2E5395"/>
      <rgbColor rgb="FF1F3F5A"/>
      <rgbColor rgb="FF808000"/>
      <rgbColor rgb="FF645DF9"/>
      <rgbColor rgb="FF1A5276"/>
      <rgbColor rgb="FFBFBFBF"/>
      <rgbColor rgb="FF7F7F7F"/>
      <rgbColor rgb="FF8EAADB"/>
      <rgbColor rgb="FF595959"/>
      <rgbColor rgb="FFFFF2CC"/>
      <rgbColor rgb="FFDDEBF7"/>
      <rgbColor rgb="FF660066"/>
      <rgbColor rgb="FFFF8080"/>
      <rgbColor rgb="FF0563C1"/>
      <rgbColor rgb="FFB4C6E7"/>
      <rgbColor rgb="FF000080"/>
      <rgbColor rgb="FFFF00FF"/>
      <rgbColor rgb="FFFFFF00"/>
      <rgbColor rgb="FF00FFFF"/>
      <rgbColor rgb="FF800080"/>
      <rgbColor rgb="FF800000"/>
      <rgbColor rgb="FF18507A"/>
      <rgbColor rgb="FF0000FF"/>
      <rgbColor rgb="FF00CCFF"/>
      <rgbColor rgb="FFD5E8F5"/>
      <rgbColor rgb="FFDBE4F0"/>
      <rgbColor rgb="FFF2F2F2"/>
      <rgbColor rgb="FFD9E1F2"/>
      <rgbColor rgb="FFF8F8FC"/>
      <rgbColor rgb="FFE0E0E0"/>
      <rgbColor rgb="FFD9D9D9"/>
      <rgbColor rgb="FF3273B8"/>
      <rgbColor rgb="FF33CCCC"/>
      <rgbColor rgb="FF99CC00"/>
      <rgbColor rgb="FFFFCC00"/>
      <rgbColor rgb="FFE49C1D"/>
      <rgbColor rgb="FFFF6600"/>
      <rgbColor rgb="FF606F7B"/>
      <rgbColor rgb="FFA7A7A7"/>
      <rgbColor rgb="FF002060"/>
      <rgbColor rgb="FF5A89C0"/>
      <rgbColor rgb="FF1D324E"/>
      <rgbColor rgb="FF22222F"/>
      <rgbColor rgb="FF843C0B"/>
      <rgbColor rgb="FFC55A11"/>
      <rgbColor rgb="FF1F3864"/>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IN"/>
              <a:t>Ebitda</a:t>
            </a:r>
            <a:r>
              <a:rPr lang="en-IN" baseline="0"/>
              <a:t> Forecasting</a:t>
            </a:r>
            <a:endParaRPr lang="en-IN"/>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numRef>
              <c:f>'Forecasting '!$J$10:$J$14</c:f>
              <c:numCache>
                <c:formatCode>yyyy\E</c:formatCode>
                <c:ptCount val="5"/>
                <c:pt idx="0">
                  <c:v>46446</c:v>
                </c:pt>
                <c:pt idx="1">
                  <c:v>46811</c:v>
                </c:pt>
                <c:pt idx="2">
                  <c:v>47176</c:v>
                </c:pt>
                <c:pt idx="3">
                  <c:v>47541</c:v>
                </c:pt>
                <c:pt idx="4">
                  <c:v>47906</c:v>
                </c:pt>
              </c:numCache>
            </c:numRef>
          </c:cat>
          <c:val>
            <c:numRef>
              <c:f>'Forecasting '!$K$10:$K$14</c:f>
              <c:numCache>
                <c:formatCode>0.00</c:formatCode>
                <c:ptCount val="5"/>
                <c:pt idx="0">
                  <c:v>1768.1160000000004</c:v>
                </c:pt>
                <c:pt idx="1">
                  <c:v>1747.5520000000001</c:v>
                </c:pt>
                <c:pt idx="2">
                  <c:v>1726.9880000000003</c:v>
                </c:pt>
                <c:pt idx="3">
                  <c:v>1706.4240000000004</c:v>
                </c:pt>
                <c:pt idx="4">
                  <c:v>1685.8600000000001</c:v>
                </c:pt>
              </c:numCache>
            </c:numRef>
          </c:val>
          <c:extLst>
            <c:ext xmlns:c16="http://schemas.microsoft.com/office/drawing/2014/chart" uri="{C3380CC4-5D6E-409C-BE32-E72D297353CC}">
              <c16:uniqueId val="{00000000-9A88-491E-98C2-62A56A66FED8}"/>
            </c:ext>
          </c:extLst>
        </c:ser>
        <c:dLbls>
          <c:showLegendKey val="0"/>
          <c:showVal val="0"/>
          <c:showCatName val="0"/>
          <c:showSerName val="0"/>
          <c:showPercent val="0"/>
          <c:showBubbleSize val="0"/>
        </c:dLbls>
        <c:gapWidth val="219"/>
        <c:overlap val="-27"/>
        <c:axId val="562121936"/>
        <c:axId val="562122592"/>
      </c:barChart>
      <c:lineChart>
        <c:grouping val="standard"/>
        <c:varyColors val="0"/>
        <c:ser>
          <c:idx val="1"/>
          <c:order val="1"/>
          <c:spPr>
            <a:ln w="28575" cap="rnd">
              <a:solidFill>
                <a:schemeClr val="accent2"/>
              </a:solidFill>
              <a:prstDash val="solid"/>
              <a:round/>
            </a:ln>
          </c:spPr>
          <c:marker>
            <c:symbol val="none"/>
          </c:marker>
          <c:cat>
            <c:numRef>
              <c:f>'Forecasting '!$J$10:$J$14</c:f>
              <c:numCache>
                <c:formatCode>yyyy\E</c:formatCode>
                <c:ptCount val="5"/>
                <c:pt idx="0">
                  <c:v>46446</c:v>
                </c:pt>
                <c:pt idx="1">
                  <c:v>46811</c:v>
                </c:pt>
                <c:pt idx="2">
                  <c:v>47176</c:v>
                </c:pt>
                <c:pt idx="3">
                  <c:v>47541</c:v>
                </c:pt>
                <c:pt idx="4">
                  <c:v>47906</c:v>
                </c:pt>
              </c:numCache>
            </c:numRef>
          </c:cat>
          <c:val>
            <c:numRef>
              <c:f>'Forecasting '!$L$10:$L$14</c:f>
              <c:numCache>
                <c:formatCode>0%</c:formatCode>
                <c:ptCount val="5"/>
                <c:pt idx="0">
                  <c:v>0.22077107901350473</c:v>
                </c:pt>
                <c:pt idx="1">
                  <c:v>-1.1630458635067099E-2</c:v>
                </c:pt>
                <c:pt idx="2">
                  <c:v>-1.176731793960915E-2</c:v>
                </c:pt>
                <c:pt idx="3">
                  <c:v>-1.1907436531116514E-2</c:v>
                </c:pt>
                <c:pt idx="4">
                  <c:v>-1.2050932241928325E-2</c:v>
                </c:pt>
              </c:numCache>
            </c:numRef>
          </c:val>
          <c:smooth val="0"/>
          <c:extLst>
            <c:ext xmlns:c16="http://schemas.microsoft.com/office/drawing/2014/chart" uri="{C3380CC4-5D6E-409C-BE32-E72D297353CC}">
              <c16:uniqueId val="{00000001-9A88-491E-98C2-62A56A66FED8}"/>
            </c:ext>
          </c:extLst>
        </c:ser>
        <c:dLbls>
          <c:showLegendKey val="0"/>
          <c:showVal val="0"/>
          <c:showCatName val="0"/>
          <c:showSerName val="0"/>
          <c:showPercent val="0"/>
          <c:showBubbleSize val="0"/>
        </c:dLbls>
        <c:marker val="1"/>
        <c:smooth val="0"/>
        <c:axId val="562119968"/>
        <c:axId val="562121608"/>
      </c:lineChart>
      <c:dateAx>
        <c:axId val="562121936"/>
        <c:scaling>
          <c:orientation val="minMax"/>
        </c:scaling>
        <c:delete val="0"/>
        <c:axPos val="b"/>
        <c:numFmt formatCode="yyyy\E" sourceLinked="1"/>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562122592"/>
        <c:crosses val="autoZero"/>
        <c:auto val="1"/>
        <c:lblOffset val="100"/>
        <c:baseTimeUnit val="years"/>
      </c:dateAx>
      <c:valAx>
        <c:axId val="562122592"/>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562121936"/>
        <c:crosses val="autoZero"/>
        <c:crossBetween val="between"/>
      </c:valAx>
      <c:dateAx>
        <c:axId val="562119968"/>
        <c:scaling>
          <c:orientation val="minMax"/>
        </c:scaling>
        <c:delete val="1"/>
        <c:axPos val="b"/>
        <c:numFmt formatCode="yyyy\E" sourceLinked="1"/>
        <c:majorTickMark val="out"/>
        <c:minorTickMark val="none"/>
        <c:tickLblPos val="nextTo"/>
        <c:crossAx val="562121608"/>
        <c:crosses val="autoZero"/>
        <c:auto val="1"/>
        <c:lblOffset val="100"/>
        <c:baseTimeUnit val="years"/>
      </c:dateAx>
      <c:valAx>
        <c:axId val="562121608"/>
        <c:scaling>
          <c:orientation val="minMax"/>
        </c:scaling>
        <c:delete val="0"/>
        <c:axPos val="r"/>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562119968"/>
        <c:crosses val="max"/>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IN"/>
              <a:t>Chart Title Eps</a:t>
            </a:r>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numRef>
              <c:f>'Forecasting '!$O$10:$O$14</c:f>
              <c:numCache>
                <c:formatCode>yyyy\E</c:formatCode>
                <c:ptCount val="5"/>
                <c:pt idx="0">
                  <c:v>46446</c:v>
                </c:pt>
                <c:pt idx="1">
                  <c:v>46811</c:v>
                </c:pt>
                <c:pt idx="2">
                  <c:v>47176</c:v>
                </c:pt>
                <c:pt idx="3">
                  <c:v>47541</c:v>
                </c:pt>
                <c:pt idx="4">
                  <c:v>47906</c:v>
                </c:pt>
              </c:numCache>
            </c:numRef>
          </c:cat>
          <c:val>
            <c:numRef>
              <c:f>'Forecasting '!$P$10:$P$14</c:f>
              <c:numCache>
                <c:formatCode>0.00</c:formatCode>
                <c:ptCount val="5"/>
                <c:pt idx="0">
                  <c:v>22.399999999999977</c:v>
                </c:pt>
                <c:pt idx="1">
                  <c:v>25.799999999999955</c:v>
                </c:pt>
                <c:pt idx="2">
                  <c:v>29.199999999999989</c:v>
                </c:pt>
                <c:pt idx="3">
                  <c:v>32.599999999999966</c:v>
                </c:pt>
                <c:pt idx="4">
                  <c:v>36</c:v>
                </c:pt>
              </c:numCache>
            </c:numRef>
          </c:val>
          <c:extLst>
            <c:ext xmlns:c16="http://schemas.microsoft.com/office/drawing/2014/chart" uri="{C3380CC4-5D6E-409C-BE32-E72D297353CC}">
              <c16:uniqueId val="{00000000-6A76-45B6-B970-A4472CBFE92F}"/>
            </c:ext>
          </c:extLst>
        </c:ser>
        <c:dLbls>
          <c:showLegendKey val="0"/>
          <c:showVal val="0"/>
          <c:showCatName val="0"/>
          <c:showSerName val="0"/>
          <c:showPercent val="0"/>
          <c:showBubbleSize val="0"/>
        </c:dLbls>
        <c:gapWidth val="219"/>
        <c:overlap val="-27"/>
        <c:axId val="562874512"/>
        <c:axId val="562873200"/>
      </c:barChart>
      <c:lineChart>
        <c:grouping val="standard"/>
        <c:varyColors val="0"/>
        <c:ser>
          <c:idx val="1"/>
          <c:order val="1"/>
          <c:spPr>
            <a:ln w="28575" cap="rnd">
              <a:solidFill>
                <a:schemeClr val="accent2"/>
              </a:solidFill>
              <a:prstDash val="solid"/>
              <a:round/>
            </a:ln>
          </c:spPr>
          <c:marker>
            <c:symbol val="none"/>
          </c:marker>
          <c:cat>
            <c:numRef>
              <c:f>'Forecasting '!$O$10:$O$14</c:f>
              <c:numCache>
                <c:formatCode>yyyy\E</c:formatCode>
                <c:ptCount val="5"/>
                <c:pt idx="0">
                  <c:v>46446</c:v>
                </c:pt>
                <c:pt idx="1">
                  <c:v>46811</c:v>
                </c:pt>
                <c:pt idx="2">
                  <c:v>47176</c:v>
                </c:pt>
                <c:pt idx="3">
                  <c:v>47541</c:v>
                </c:pt>
                <c:pt idx="4">
                  <c:v>47906</c:v>
                </c:pt>
              </c:numCache>
            </c:numRef>
          </c:cat>
          <c:val>
            <c:numRef>
              <c:f>'Forecasting '!$Q$10:$Q$14</c:f>
              <c:numCache>
                <c:formatCode>0%</c:formatCode>
                <c:ptCount val="5"/>
                <c:pt idx="0">
                  <c:v>0.24444444444444319</c:v>
                </c:pt>
                <c:pt idx="1">
                  <c:v>0.15178571428571341</c:v>
                </c:pt>
                <c:pt idx="2">
                  <c:v>0.13178294573643567</c:v>
                </c:pt>
                <c:pt idx="3">
                  <c:v>0.11643835616438283</c:v>
                </c:pt>
                <c:pt idx="4">
                  <c:v>0.10429447852760852</c:v>
                </c:pt>
              </c:numCache>
            </c:numRef>
          </c:val>
          <c:smooth val="0"/>
          <c:extLst>
            <c:ext xmlns:c16="http://schemas.microsoft.com/office/drawing/2014/chart" uri="{C3380CC4-5D6E-409C-BE32-E72D297353CC}">
              <c16:uniqueId val="{00000001-6A76-45B6-B970-A4472CBFE92F}"/>
            </c:ext>
          </c:extLst>
        </c:ser>
        <c:dLbls>
          <c:showLegendKey val="0"/>
          <c:showVal val="0"/>
          <c:showCatName val="0"/>
          <c:showSerName val="0"/>
          <c:showPercent val="0"/>
          <c:showBubbleSize val="0"/>
        </c:dLbls>
        <c:marker val="1"/>
        <c:smooth val="0"/>
        <c:axId val="562871560"/>
        <c:axId val="562870904"/>
      </c:lineChart>
      <c:dateAx>
        <c:axId val="562874512"/>
        <c:scaling>
          <c:orientation val="minMax"/>
        </c:scaling>
        <c:delete val="0"/>
        <c:axPos val="b"/>
        <c:numFmt formatCode="yyyy\E" sourceLinked="1"/>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562873200"/>
        <c:crosses val="autoZero"/>
        <c:auto val="1"/>
        <c:lblOffset val="100"/>
        <c:baseTimeUnit val="years"/>
      </c:dateAx>
      <c:valAx>
        <c:axId val="562873200"/>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562874512"/>
        <c:crosses val="autoZero"/>
        <c:crossBetween val="between"/>
      </c:valAx>
      <c:dateAx>
        <c:axId val="562871560"/>
        <c:scaling>
          <c:orientation val="minMax"/>
        </c:scaling>
        <c:delete val="1"/>
        <c:axPos val="b"/>
        <c:numFmt formatCode="yyyy\E" sourceLinked="1"/>
        <c:majorTickMark val="out"/>
        <c:minorTickMark val="none"/>
        <c:tickLblPos val="nextTo"/>
        <c:crossAx val="562870904"/>
        <c:crosses val="autoZero"/>
        <c:auto val="1"/>
        <c:lblOffset val="100"/>
        <c:baseTimeUnit val="years"/>
      </c:dateAx>
      <c:valAx>
        <c:axId val="562870904"/>
        <c:scaling>
          <c:orientation val="minMax"/>
        </c:scaling>
        <c:delete val="0"/>
        <c:axPos val="r"/>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562871560"/>
        <c:crosses val="max"/>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IN"/>
              <a:t>Sales</a:t>
            </a:r>
            <a:r>
              <a:rPr lang="en-IN" baseline="0"/>
              <a:t> Forecasting</a:t>
            </a:r>
            <a:endParaRPr lang="en-IN"/>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numRef>
              <c:f>'Forecasting '!$E$10:$E$14</c:f>
              <c:numCache>
                <c:formatCode>yyyy\E</c:formatCode>
                <c:ptCount val="5"/>
                <c:pt idx="0">
                  <c:v>46446</c:v>
                </c:pt>
                <c:pt idx="1">
                  <c:v>46811</c:v>
                </c:pt>
                <c:pt idx="2">
                  <c:v>47176</c:v>
                </c:pt>
                <c:pt idx="3">
                  <c:v>47541</c:v>
                </c:pt>
                <c:pt idx="4">
                  <c:v>47906</c:v>
                </c:pt>
              </c:numCache>
            </c:numRef>
          </c:cat>
          <c:val>
            <c:numRef>
              <c:f>'Forecasting '!$F$10:$F$14</c:f>
              <c:numCache>
                <c:formatCode>0.00</c:formatCode>
                <c:ptCount val="5"/>
                <c:pt idx="0">
                  <c:v>8981.0070000000123</c:v>
                </c:pt>
                <c:pt idx="1">
                  <c:v>9706.2160000000149</c:v>
                </c:pt>
                <c:pt idx="2">
                  <c:v>10431.425000000017</c:v>
                </c:pt>
                <c:pt idx="3">
                  <c:v>11156.634000000005</c:v>
                </c:pt>
                <c:pt idx="4">
                  <c:v>11881.843000000008</c:v>
                </c:pt>
              </c:numCache>
            </c:numRef>
          </c:val>
          <c:extLst>
            <c:ext xmlns:c16="http://schemas.microsoft.com/office/drawing/2014/chart" uri="{C3380CC4-5D6E-409C-BE32-E72D297353CC}">
              <c16:uniqueId val="{00000000-DEC7-4A12-91DB-180C928E7B3B}"/>
            </c:ext>
          </c:extLst>
        </c:ser>
        <c:dLbls>
          <c:showLegendKey val="0"/>
          <c:showVal val="0"/>
          <c:showCatName val="0"/>
          <c:showSerName val="0"/>
          <c:showPercent val="0"/>
          <c:showBubbleSize val="0"/>
        </c:dLbls>
        <c:gapWidth val="219"/>
        <c:overlap val="-27"/>
        <c:axId val="631674888"/>
        <c:axId val="631673248"/>
      </c:barChart>
      <c:lineChart>
        <c:grouping val="standard"/>
        <c:varyColors val="0"/>
        <c:ser>
          <c:idx val="1"/>
          <c:order val="1"/>
          <c:spPr>
            <a:ln w="28575" cap="rnd">
              <a:solidFill>
                <a:schemeClr val="accent2"/>
              </a:solidFill>
              <a:prstDash val="solid"/>
              <a:round/>
            </a:ln>
          </c:spPr>
          <c:marker>
            <c:symbol val="none"/>
          </c:marker>
          <c:cat>
            <c:numRef>
              <c:f>'Forecasting '!$E$10:$E$14</c:f>
              <c:numCache>
                <c:formatCode>yyyy\E</c:formatCode>
                <c:ptCount val="5"/>
                <c:pt idx="0">
                  <c:v>46446</c:v>
                </c:pt>
                <c:pt idx="1">
                  <c:v>46811</c:v>
                </c:pt>
                <c:pt idx="2">
                  <c:v>47176</c:v>
                </c:pt>
                <c:pt idx="3">
                  <c:v>47541</c:v>
                </c:pt>
                <c:pt idx="4">
                  <c:v>47906</c:v>
                </c:pt>
              </c:numCache>
            </c:numRef>
          </c:cat>
          <c:val>
            <c:numRef>
              <c:f>'Forecasting '!$G$10:$G$14</c:f>
              <c:numCache>
                <c:formatCode>0%</c:formatCode>
                <c:ptCount val="5"/>
                <c:pt idx="0">
                  <c:v>9.6044066282485505E-2</c:v>
                </c:pt>
                <c:pt idx="1">
                  <c:v>8.0749185475526467E-2</c:v>
                </c:pt>
                <c:pt idx="2">
                  <c:v>7.471593461344786E-2</c:v>
                </c:pt>
                <c:pt idx="3">
                  <c:v>6.9521565845508809E-2</c:v>
                </c:pt>
                <c:pt idx="4">
                  <c:v>6.5002490894655346E-2</c:v>
                </c:pt>
              </c:numCache>
            </c:numRef>
          </c:val>
          <c:smooth val="0"/>
          <c:extLst>
            <c:ext xmlns:c16="http://schemas.microsoft.com/office/drawing/2014/chart" uri="{C3380CC4-5D6E-409C-BE32-E72D297353CC}">
              <c16:uniqueId val="{00000001-DEC7-4A12-91DB-180C928E7B3B}"/>
            </c:ext>
          </c:extLst>
        </c:ser>
        <c:dLbls>
          <c:showLegendKey val="0"/>
          <c:showVal val="0"/>
          <c:showCatName val="0"/>
          <c:showSerName val="0"/>
          <c:showPercent val="0"/>
          <c:showBubbleSize val="0"/>
        </c:dLbls>
        <c:marker val="1"/>
        <c:smooth val="0"/>
        <c:axId val="562653456"/>
        <c:axId val="631672920"/>
      </c:lineChart>
      <c:dateAx>
        <c:axId val="631674888"/>
        <c:scaling>
          <c:orientation val="minMax"/>
        </c:scaling>
        <c:delete val="0"/>
        <c:axPos val="b"/>
        <c:numFmt formatCode="yyyy\E" sourceLinked="1"/>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631673248"/>
        <c:crosses val="autoZero"/>
        <c:auto val="1"/>
        <c:lblOffset val="100"/>
        <c:baseTimeUnit val="years"/>
      </c:dateAx>
      <c:valAx>
        <c:axId val="631673248"/>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631674888"/>
        <c:crosses val="autoZero"/>
        <c:crossBetween val="between"/>
      </c:valAx>
      <c:dateAx>
        <c:axId val="562653456"/>
        <c:scaling>
          <c:orientation val="minMax"/>
        </c:scaling>
        <c:delete val="1"/>
        <c:axPos val="b"/>
        <c:numFmt formatCode="yyyy\E" sourceLinked="1"/>
        <c:majorTickMark val="out"/>
        <c:minorTickMark val="none"/>
        <c:tickLblPos val="nextTo"/>
        <c:crossAx val="631672920"/>
        <c:crosses val="autoZero"/>
        <c:auto val="1"/>
        <c:lblOffset val="100"/>
        <c:baseTimeUnit val="years"/>
      </c:dateAx>
      <c:valAx>
        <c:axId val="631672920"/>
        <c:scaling>
          <c:orientation val="minMax"/>
        </c:scaling>
        <c:delete val="0"/>
        <c:axPos val="r"/>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562653456"/>
        <c:crosses val="max"/>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xdr:col>
      <xdr:colOff>723600</xdr:colOff>
      <xdr:row>3</xdr:row>
      <xdr:rowOff>115680</xdr:rowOff>
    </xdr:to>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0" y="95400"/>
          <a:ext cx="1428480" cy="485280"/>
        </a:xfrm>
        <a:prstGeom prst="rect">
          <a:avLst/>
        </a:prstGeom>
        <a:ln w="0">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342900</xdr:colOff>
      <xdr:row>14</xdr:row>
      <xdr:rowOff>41910</xdr:rowOff>
    </xdr:from>
    <xdr:to>
      <xdr:col>14</xdr:col>
      <xdr:colOff>274320</xdr:colOff>
      <xdr:row>29</xdr:row>
      <xdr:rowOff>41910</xdr:rowOff>
    </xdr:to>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342900</xdr:colOff>
      <xdr:row>14</xdr:row>
      <xdr:rowOff>41910</xdr:rowOff>
    </xdr:from>
    <xdr:to>
      <xdr:col>22</xdr:col>
      <xdr:colOff>403860</xdr:colOff>
      <xdr:row>29</xdr:row>
      <xdr:rowOff>41910</xdr:rowOff>
    </xdr:to>
    <xdr:graphicFrame macro="">
      <xdr:nvGraphicFramePr>
        <xdr:cNvPr id="3" name="Chart 2">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53340</xdr:colOff>
      <xdr:row>14</xdr:row>
      <xdr:rowOff>49530</xdr:rowOff>
    </xdr:from>
    <xdr:to>
      <xdr:col>7</xdr:col>
      <xdr:colOff>259080</xdr:colOff>
      <xdr:row>29</xdr:row>
      <xdr:rowOff>49530</xdr:rowOff>
    </xdr:to>
    <xdr:graphicFrame macro="">
      <xdr:nvGraphicFramePr>
        <xdr:cNvPr id="4" name="Chart 3">
          <a:extLst>
            <a:ext uri="{FF2B5EF4-FFF2-40B4-BE49-F238E27FC236}">
              <a16:creationId xmlns:a16="http://schemas.microsoft.com/office/drawing/2014/main" id="{00000000-0008-0000-0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30481</xdr:colOff>
      <xdr:row>0</xdr:row>
      <xdr:rowOff>0</xdr:rowOff>
    </xdr:from>
    <xdr:to>
      <xdr:col>21</xdr:col>
      <xdr:colOff>99061</xdr:colOff>
      <xdr:row>15</xdr:row>
      <xdr:rowOff>30480</xdr:rowOff>
    </xdr:to>
    <xdr:pic>
      <xdr:nvPicPr>
        <xdr:cNvPr id="2" name="Pictur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9220201" y="0"/>
          <a:ext cx="4945380" cy="3322320"/>
        </a:xfrm>
        <a:prstGeom prst="rect">
          <a:avLst/>
        </a:prstGeom>
        <a:ln>
          <a:prstDash val="solid"/>
        </a:ln>
      </xdr:spPr>
    </xdr:pic>
    <xdr:clientData/>
  </xdr:twoCellAnchor>
  <xdr:twoCellAnchor editAs="oneCell">
    <xdr:from>
      <xdr:col>20</xdr:col>
      <xdr:colOff>594360</xdr:colOff>
      <xdr:row>0</xdr:row>
      <xdr:rowOff>0</xdr:rowOff>
    </xdr:from>
    <xdr:to>
      <xdr:col>29</xdr:col>
      <xdr:colOff>30480</xdr:colOff>
      <xdr:row>14</xdr:row>
      <xdr:rowOff>144780</xdr:rowOff>
    </xdr:to>
    <xdr:pic>
      <xdr:nvPicPr>
        <xdr:cNvPr id="3" name="Picture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2"/>
        <a:stretch>
          <a:fillRect/>
        </a:stretch>
      </xdr:blipFill>
      <xdr:spPr>
        <a:xfrm>
          <a:off x="14051280" y="0"/>
          <a:ext cx="4922520" cy="3253740"/>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3" Type="http://schemas.openxmlformats.org/officeDocument/2006/relationships/hyperlink" Target="https://www.screener.in/company/PHOENIXLTD/consolidated/" TargetMode="External"/><Relationship Id="rId2" Type="http://schemas.openxmlformats.org/officeDocument/2006/relationships/hyperlink" Target="https://www.screener.in/company/LODHA/consolidated/" TargetMode="External"/><Relationship Id="rId1" Type="http://schemas.openxmlformats.org/officeDocument/2006/relationships/hyperlink" Target="https://www.screener.in/company/DLF/consolidated/" TargetMode="External"/><Relationship Id="rId6" Type="http://schemas.openxmlformats.org/officeDocument/2006/relationships/hyperlink" Target="https://www.screener.in/company/GODREJPROP/consolidated/" TargetMode="External"/><Relationship Id="rId5" Type="http://schemas.openxmlformats.org/officeDocument/2006/relationships/hyperlink" Target="https://www.screener.in/company/OBEROIRLTY/consolidated/" TargetMode="External"/><Relationship Id="rId4" Type="http://schemas.openxmlformats.org/officeDocument/2006/relationships/hyperlink" Target="https://www.screener.in/company/PRESTIGE/consolidated/"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F66"/>
  <sheetViews>
    <sheetView showGridLines="0" tabSelected="1" zoomScaleNormal="100" workbookViewId="0">
      <selection activeCell="A8" sqref="A8:F8"/>
    </sheetView>
  </sheetViews>
  <sheetFormatPr defaultColWidth="8.6640625" defaultRowHeight="14.4" x14ac:dyDescent="0.3"/>
  <cols>
    <col min="1" max="1" width="10" style="180" customWidth="1"/>
    <col min="2" max="2" width="24" style="180" customWidth="1"/>
    <col min="3" max="4" width="22" style="180" customWidth="1"/>
    <col min="5" max="5" width="20" style="180" customWidth="1"/>
    <col min="6" max="6" width="16" style="180" customWidth="1"/>
  </cols>
  <sheetData>
    <row r="2" spans="1:6" x14ac:dyDescent="0.3">
      <c r="C2" s="203" t="s">
        <v>0</v>
      </c>
      <c r="D2" s="204"/>
      <c r="E2" s="204"/>
      <c r="F2" s="204"/>
    </row>
    <row r="3" spans="1:6" x14ac:dyDescent="0.3">
      <c r="C3" s="204"/>
      <c r="D3" s="204"/>
      <c r="E3" s="204"/>
      <c r="F3" s="204"/>
    </row>
    <row r="4" spans="1:6" x14ac:dyDescent="0.3">
      <c r="C4" s="206" t="s">
        <v>1</v>
      </c>
      <c r="D4" s="204"/>
      <c r="E4" s="204"/>
      <c r="F4" s="204"/>
    </row>
    <row r="5" spans="1:6" x14ac:dyDescent="0.3">
      <c r="C5" s="204"/>
      <c r="D5" s="204"/>
      <c r="E5" s="204"/>
      <c r="F5" s="204"/>
    </row>
    <row r="6" spans="1:6" x14ac:dyDescent="0.3">
      <c r="A6" s="181"/>
      <c r="B6" s="181"/>
      <c r="C6" s="181"/>
      <c r="D6" s="181"/>
      <c r="E6" s="181"/>
      <c r="F6" s="181"/>
    </row>
    <row r="8" spans="1:6" ht="21" customHeight="1" x14ac:dyDescent="0.3">
      <c r="A8" s="335" t="s">
        <v>762</v>
      </c>
      <c r="B8" s="314"/>
      <c r="C8" s="314"/>
      <c r="D8" s="314"/>
      <c r="E8" s="314"/>
      <c r="F8" s="315"/>
    </row>
    <row r="9" spans="1:6" x14ac:dyDescent="0.3">
      <c r="A9" s="205" t="s">
        <v>2</v>
      </c>
      <c r="B9" s="204"/>
      <c r="C9" s="204"/>
      <c r="D9" s="204"/>
      <c r="E9" s="204"/>
      <c r="F9" s="204"/>
    </row>
    <row r="11" spans="1:6" x14ac:dyDescent="0.3">
      <c r="A11" s="207" t="s">
        <v>3</v>
      </c>
      <c r="B11" s="208"/>
      <c r="C11" s="208"/>
      <c r="D11" s="208"/>
      <c r="E11" s="208"/>
      <c r="F11" s="209"/>
    </row>
    <row r="12" spans="1:6" x14ac:dyDescent="0.3">
      <c r="A12" s="210"/>
      <c r="B12" s="204"/>
      <c r="C12" s="204"/>
      <c r="D12" s="204"/>
      <c r="E12" s="204"/>
      <c r="F12" s="211"/>
    </row>
    <row r="13" spans="1:6" x14ac:dyDescent="0.3">
      <c r="A13" s="210"/>
      <c r="B13" s="204"/>
      <c r="C13" s="204"/>
      <c r="D13" s="204"/>
      <c r="E13" s="204"/>
      <c r="F13" s="211"/>
    </row>
    <row r="14" spans="1:6" x14ac:dyDescent="0.3">
      <c r="A14" s="210"/>
      <c r="B14" s="204"/>
      <c r="C14" s="204"/>
      <c r="D14" s="204"/>
      <c r="E14" s="204"/>
      <c r="F14" s="211"/>
    </row>
    <row r="15" spans="1:6" x14ac:dyDescent="0.3">
      <c r="A15" s="210"/>
      <c r="B15" s="204"/>
      <c r="C15" s="204"/>
      <c r="D15" s="204"/>
      <c r="E15" s="204"/>
      <c r="F15" s="211"/>
    </row>
    <row r="16" spans="1:6" x14ac:dyDescent="0.3">
      <c r="A16" s="210"/>
      <c r="B16" s="204"/>
      <c r="C16" s="204"/>
      <c r="D16" s="204"/>
      <c r="E16" s="204"/>
      <c r="F16" s="211"/>
    </row>
    <row r="17" spans="1:6" x14ac:dyDescent="0.3">
      <c r="A17" s="210"/>
      <c r="B17" s="204"/>
      <c r="C17" s="204"/>
      <c r="D17" s="204"/>
      <c r="E17" s="204"/>
      <c r="F17" s="211"/>
    </row>
    <row r="18" spans="1:6" x14ac:dyDescent="0.3">
      <c r="A18" s="210"/>
      <c r="B18" s="204"/>
      <c r="C18" s="204"/>
      <c r="D18" s="204"/>
      <c r="E18" s="204"/>
      <c r="F18" s="211"/>
    </row>
    <row r="19" spans="1:6" x14ac:dyDescent="0.3">
      <c r="A19" s="210"/>
      <c r="B19" s="204"/>
      <c r="C19" s="204"/>
      <c r="D19" s="204"/>
      <c r="E19" s="204"/>
      <c r="F19" s="211"/>
    </row>
    <row r="20" spans="1:6" x14ac:dyDescent="0.3">
      <c r="A20" s="210"/>
      <c r="B20" s="204"/>
      <c r="C20" s="204"/>
      <c r="D20" s="204"/>
      <c r="E20" s="204"/>
      <c r="F20" s="211"/>
    </row>
    <row r="21" spans="1:6" x14ac:dyDescent="0.3">
      <c r="A21" s="210"/>
      <c r="B21" s="204"/>
      <c r="C21" s="204"/>
      <c r="D21" s="204"/>
      <c r="E21" s="204"/>
      <c r="F21" s="211"/>
    </row>
    <row r="22" spans="1:6" x14ac:dyDescent="0.3">
      <c r="A22" s="210"/>
      <c r="B22" s="204"/>
      <c r="C22" s="204"/>
      <c r="D22" s="204"/>
      <c r="E22" s="204"/>
      <c r="F22" s="211"/>
    </row>
    <row r="23" spans="1:6" x14ac:dyDescent="0.3">
      <c r="A23" s="210"/>
      <c r="B23" s="204"/>
      <c r="C23" s="204"/>
      <c r="D23" s="204"/>
      <c r="E23" s="204"/>
      <c r="F23" s="211"/>
    </row>
    <row r="24" spans="1:6" x14ac:dyDescent="0.3">
      <c r="A24" s="210"/>
      <c r="B24" s="204"/>
      <c r="C24" s="204"/>
      <c r="D24" s="204"/>
      <c r="E24" s="204"/>
      <c r="F24" s="211"/>
    </row>
    <row r="25" spans="1:6" x14ac:dyDescent="0.3">
      <c r="A25" s="210"/>
      <c r="B25" s="204"/>
      <c r="C25" s="204"/>
      <c r="D25" s="204"/>
      <c r="E25" s="204"/>
      <c r="F25" s="211"/>
    </row>
    <row r="26" spans="1:6" x14ac:dyDescent="0.3">
      <c r="A26" s="210"/>
      <c r="B26" s="204"/>
      <c r="C26" s="204"/>
      <c r="D26" s="204"/>
      <c r="E26" s="204"/>
      <c r="F26" s="211"/>
    </row>
    <row r="27" spans="1:6" x14ac:dyDescent="0.3">
      <c r="A27" s="210"/>
      <c r="B27" s="204"/>
      <c r="C27" s="204"/>
      <c r="D27" s="204"/>
      <c r="E27" s="204"/>
      <c r="F27" s="211"/>
    </row>
    <row r="28" spans="1:6" x14ac:dyDescent="0.3">
      <c r="A28" s="210"/>
      <c r="B28" s="204"/>
      <c r="C28" s="204"/>
      <c r="D28" s="204"/>
      <c r="E28" s="204"/>
      <c r="F28" s="211"/>
    </row>
    <row r="29" spans="1:6" x14ac:dyDescent="0.3">
      <c r="A29" s="210"/>
      <c r="B29" s="204"/>
      <c r="C29" s="204"/>
      <c r="D29" s="204"/>
      <c r="E29" s="204"/>
      <c r="F29" s="211"/>
    </row>
    <row r="30" spans="1:6" x14ac:dyDescent="0.3">
      <c r="A30" s="210"/>
      <c r="B30" s="204"/>
      <c r="C30" s="204"/>
      <c r="D30" s="204"/>
      <c r="E30" s="204"/>
      <c r="F30" s="211"/>
    </row>
    <row r="31" spans="1:6" x14ac:dyDescent="0.3">
      <c r="A31" s="210"/>
      <c r="B31" s="204"/>
      <c r="C31" s="204"/>
      <c r="D31" s="204"/>
      <c r="E31" s="204"/>
      <c r="F31" s="211"/>
    </row>
    <row r="32" spans="1:6" x14ac:dyDescent="0.3">
      <c r="A32" s="212"/>
      <c r="B32" s="213"/>
      <c r="C32" s="213"/>
      <c r="D32" s="213"/>
      <c r="E32" s="213"/>
      <c r="F32" s="214"/>
    </row>
    <row r="34" spans="1:6" ht="17.399999999999999" customHeight="1" x14ac:dyDescent="0.3">
      <c r="A34" s="336" t="s">
        <v>4</v>
      </c>
      <c r="B34" s="314"/>
      <c r="C34" s="314"/>
      <c r="D34" s="314"/>
      <c r="E34" s="314"/>
      <c r="F34" s="315"/>
    </row>
    <row r="35" spans="1:6" x14ac:dyDescent="0.3">
      <c r="A35" s="337" t="s">
        <v>5</v>
      </c>
      <c r="B35" s="338" t="s">
        <v>6</v>
      </c>
      <c r="C35" s="339"/>
      <c r="D35" s="338" t="s">
        <v>7</v>
      </c>
      <c r="E35" s="339"/>
      <c r="F35" s="337" t="s">
        <v>8</v>
      </c>
    </row>
    <row r="36" spans="1:6" x14ac:dyDescent="0.3">
      <c r="A36" s="340">
        <v>1</v>
      </c>
      <c r="B36" s="341" t="s">
        <v>9</v>
      </c>
      <c r="C36" s="339"/>
      <c r="D36" s="341" t="s">
        <v>10</v>
      </c>
      <c r="E36" s="339"/>
      <c r="F36" s="340" t="s">
        <v>11</v>
      </c>
    </row>
    <row r="37" spans="1:6" x14ac:dyDescent="0.3">
      <c r="A37" s="340">
        <v>2</v>
      </c>
      <c r="B37" s="341" t="s">
        <v>12</v>
      </c>
      <c r="C37" s="339"/>
      <c r="D37" s="341" t="s">
        <v>13</v>
      </c>
      <c r="E37" s="339"/>
      <c r="F37" s="340" t="s">
        <v>14</v>
      </c>
    </row>
    <row r="38" spans="1:6" x14ac:dyDescent="0.3">
      <c r="A38" s="340">
        <v>3</v>
      </c>
      <c r="B38" s="341" t="s">
        <v>15</v>
      </c>
      <c r="C38" s="339"/>
      <c r="D38" s="341" t="s">
        <v>16</v>
      </c>
      <c r="E38" s="339"/>
      <c r="F38" s="340" t="s">
        <v>11</v>
      </c>
    </row>
    <row r="39" spans="1:6" x14ac:dyDescent="0.3">
      <c r="A39" s="340">
        <v>4</v>
      </c>
      <c r="B39" s="341" t="s">
        <v>17</v>
      </c>
      <c r="C39" s="339"/>
      <c r="D39" s="341" t="s">
        <v>18</v>
      </c>
      <c r="E39" s="339"/>
      <c r="F39" s="340" t="s">
        <v>11</v>
      </c>
    </row>
    <row r="40" spans="1:6" x14ac:dyDescent="0.3">
      <c r="A40" s="340">
        <v>5</v>
      </c>
      <c r="B40" s="341" t="s">
        <v>19</v>
      </c>
      <c r="C40" s="339"/>
      <c r="D40" s="341" t="s">
        <v>20</v>
      </c>
      <c r="E40" s="339"/>
      <c r="F40" s="340" t="s">
        <v>11</v>
      </c>
    </row>
    <row r="41" spans="1:6" x14ac:dyDescent="0.3">
      <c r="A41" s="340">
        <v>6</v>
      </c>
      <c r="B41" s="341" t="s">
        <v>21</v>
      </c>
      <c r="C41" s="339"/>
      <c r="D41" s="341" t="s">
        <v>16</v>
      </c>
      <c r="E41" s="339"/>
      <c r="F41" s="340" t="s">
        <v>11</v>
      </c>
    </row>
    <row r="42" spans="1:6" x14ac:dyDescent="0.3">
      <c r="A42" s="340">
        <v>7</v>
      </c>
      <c r="B42" s="341" t="s">
        <v>22</v>
      </c>
      <c r="C42" s="339"/>
      <c r="D42" s="341" t="s">
        <v>23</v>
      </c>
      <c r="E42" s="339"/>
      <c r="F42" s="340" t="s">
        <v>11</v>
      </c>
    </row>
    <row r="43" spans="1:6" x14ac:dyDescent="0.3">
      <c r="A43" s="340">
        <v>8</v>
      </c>
      <c r="B43" s="341" t="s">
        <v>24</v>
      </c>
      <c r="C43" s="339"/>
      <c r="D43" s="341" t="s">
        <v>25</v>
      </c>
      <c r="E43" s="339"/>
      <c r="F43" s="340" t="s">
        <v>11</v>
      </c>
    </row>
    <row r="44" spans="1:6" x14ac:dyDescent="0.3">
      <c r="A44" s="340">
        <v>9</v>
      </c>
      <c r="B44" s="341" t="s">
        <v>26</v>
      </c>
      <c r="C44" s="339"/>
      <c r="D44" s="341" t="s">
        <v>27</v>
      </c>
      <c r="E44" s="339"/>
      <c r="F44" s="340" t="s">
        <v>11</v>
      </c>
    </row>
    <row r="45" spans="1:6" x14ac:dyDescent="0.3">
      <c r="A45" s="340">
        <v>10</v>
      </c>
      <c r="B45" s="341" t="s">
        <v>28</v>
      </c>
      <c r="C45" s="339"/>
      <c r="D45" s="341" t="s">
        <v>27</v>
      </c>
      <c r="E45" s="339"/>
      <c r="F45" s="340" t="s">
        <v>11</v>
      </c>
    </row>
    <row r="46" spans="1:6" x14ac:dyDescent="0.3">
      <c r="A46" s="340">
        <v>11</v>
      </c>
      <c r="B46" s="341" t="s">
        <v>29</v>
      </c>
      <c r="C46" s="339"/>
      <c r="D46" s="341" t="s">
        <v>30</v>
      </c>
      <c r="E46" s="339"/>
      <c r="F46" s="340" t="s">
        <v>11</v>
      </c>
    </row>
    <row r="47" spans="1:6" x14ac:dyDescent="0.3">
      <c r="A47" s="340">
        <v>12</v>
      </c>
      <c r="B47" s="341" t="s">
        <v>31</v>
      </c>
      <c r="C47" s="339"/>
      <c r="D47" s="341" t="s">
        <v>32</v>
      </c>
      <c r="E47" s="339"/>
      <c r="F47" s="340" t="s">
        <v>11</v>
      </c>
    </row>
    <row r="48" spans="1:6" x14ac:dyDescent="0.3">
      <c r="A48" s="340">
        <v>13</v>
      </c>
      <c r="B48" s="341" t="s">
        <v>33</v>
      </c>
      <c r="C48" s="339"/>
      <c r="D48" s="341" t="s">
        <v>34</v>
      </c>
      <c r="E48" s="339"/>
      <c r="F48" s="340" t="s">
        <v>35</v>
      </c>
    </row>
    <row r="49" spans="1:6" x14ac:dyDescent="0.3">
      <c r="A49" s="340">
        <v>14</v>
      </c>
      <c r="B49" s="341" t="s">
        <v>36</v>
      </c>
      <c r="C49" s="339"/>
      <c r="D49" s="341" t="s">
        <v>32</v>
      </c>
      <c r="E49" s="339"/>
      <c r="F49" s="340" t="s">
        <v>37</v>
      </c>
    </row>
    <row r="51" spans="1:6" ht="17.399999999999999" customHeight="1" x14ac:dyDescent="0.3">
      <c r="A51" s="336" t="s">
        <v>38</v>
      </c>
      <c r="B51" s="314"/>
      <c r="C51" s="314"/>
      <c r="D51" s="314"/>
      <c r="E51" s="314"/>
      <c r="F51" s="315"/>
    </row>
    <row r="52" spans="1:6" x14ac:dyDescent="0.3">
      <c r="A52" s="342" t="s">
        <v>39</v>
      </c>
      <c r="B52" s="339"/>
      <c r="C52" s="341" t="s">
        <v>40</v>
      </c>
      <c r="D52" s="343"/>
      <c r="E52" s="343"/>
      <c r="F52" s="339"/>
    </row>
    <row r="53" spans="1:6" x14ac:dyDescent="0.3">
      <c r="A53" s="342" t="s">
        <v>41</v>
      </c>
      <c r="B53" s="339"/>
      <c r="C53" s="341" t="s">
        <v>42</v>
      </c>
      <c r="D53" s="343"/>
      <c r="E53" s="343"/>
      <c r="F53" s="339"/>
    </row>
    <row r="54" spans="1:6" x14ac:dyDescent="0.3">
      <c r="A54" s="342" t="s">
        <v>43</v>
      </c>
      <c r="B54" s="339"/>
      <c r="C54" s="341" t="s">
        <v>44</v>
      </c>
      <c r="D54" s="343"/>
      <c r="E54" s="343"/>
      <c r="F54" s="339"/>
    </row>
    <row r="55" spans="1:6" x14ac:dyDescent="0.3">
      <c r="A55" s="342" t="s">
        <v>45</v>
      </c>
      <c r="B55" s="339"/>
      <c r="C55" s="341" t="s">
        <v>46</v>
      </c>
      <c r="D55" s="343"/>
      <c r="E55" s="343"/>
      <c r="F55" s="339"/>
    </row>
    <row r="57" spans="1:6" ht="17.399999999999999" customHeight="1" x14ac:dyDescent="0.3">
      <c r="A57" s="336" t="s">
        <v>47</v>
      </c>
      <c r="B57" s="314"/>
      <c r="C57" s="314"/>
      <c r="D57" s="314"/>
      <c r="E57" s="314"/>
      <c r="F57" s="315"/>
    </row>
    <row r="58" spans="1:6" x14ac:dyDescent="0.3">
      <c r="A58" s="338" t="s">
        <v>48</v>
      </c>
      <c r="B58" s="339"/>
      <c r="C58" s="337" t="s">
        <v>49</v>
      </c>
      <c r="D58" s="338" t="s">
        <v>50</v>
      </c>
      <c r="E58" s="343"/>
      <c r="F58" s="339"/>
    </row>
    <row r="59" spans="1:6" x14ac:dyDescent="0.3">
      <c r="A59" s="341" t="s">
        <v>51</v>
      </c>
      <c r="B59" s="339"/>
      <c r="C59" s="344" t="s">
        <v>52</v>
      </c>
      <c r="D59" s="341" t="s">
        <v>53</v>
      </c>
      <c r="E59" s="343"/>
      <c r="F59" s="339"/>
    </row>
    <row r="60" spans="1:6" x14ac:dyDescent="0.3">
      <c r="A60" s="341" t="s">
        <v>54</v>
      </c>
      <c r="B60" s="339"/>
      <c r="C60" s="344" t="s">
        <v>55</v>
      </c>
      <c r="D60" s="341" t="s">
        <v>56</v>
      </c>
      <c r="E60" s="343"/>
      <c r="F60" s="339"/>
    </row>
    <row r="61" spans="1:6" x14ac:dyDescent="0.3">
      <c r="A61" s="341" t="s">
        <v>57</v>
      </c>
      <c r="B61" s="339"/>
      <c r="C61" s="344" t="s">
        <v>58</v>
      </c>
      <c r="D61" s="341" t="s">
        <v>59</v>
      </c>
      <c r="E61" s="343"/>
      <c r="F61" s="339"/>
    </row>
    <row r="62" spans="1:6" x14ac:dyDescent="0.3">
      <c r="A62" s="341" t="s">
        <v>60</v>
      </c>
      <c r="B62" s="339"/>
      <c r="C62" s="344" t="s">
        <v>61</v>
      </c>
      <c r="D62" s="341" t="s">
        <v>62</v>
      </c>
      <c r="E62" s="343"/>
      <c r="F62" s="339"/>
    </row>
    <row r="63" spans="1:6" x14ac:dyDescent="0.3">
      <c r="A63" s="341" t="s">
        <v>63</v>
      </c>
      <c r="B63" s="339"/>
      <c r="C63" s="344" t="s">
        <v>64</v>
      </c>
      <c r="D63" s="341" t="s">
        <v>65</v>
      </c>
      <c r="E63" s="343"/>
      <c r="F63" s="339"/>
    </row>
    <row r="64" spans="1:6" x14ac:dyDescent="0.3">
      <c r="A64" s="341" t="s">
        <v>66</v>
      </c>
      <c r="B64" s="339"/>
      <c r="C64" s="344" t="s">
        <v>67</v>
      </c>
      <c r="D64" s="341" t="s">
        <v>68</v>
      </c>
      <c r="E64" s="343"/>
      <c r="F64" s="339"/>
    </row>
    <row r="66" spans="1:6" x14ac:dyDescent="0.3">
      <c r="A66" s="215"/>
      <c r="B66" s="204"/>
      <c r="C66" s="204"/>
      <c r="D66" s="204"/>
      <c r="E66" s="204"/>
      <c r="F66" s="204"/>
    </row>
  </sheetData>
  <mergeCells count="61">
    <mergeCell ref="C53:F53"/>
    <mergeCell ref="B48:C48"/>
    <mergeCell ref="A54:B54"/>
    <mergeCell ref="D49:E49"/>
    <mergeCell ref="D62:F62"/>
    <mergeCell ref="D58:F58"/>
    <mergeCell ref="D48:E48"/>
    <mergeCell ref="A64:B64"/>
    <mergeCell ref="A59:B59"/>
    <mergeCell ref="A66:F66"/>
    <mergeCell ref="A60:B60"/>
    <mergeCell ref="D61:F61"/>
    <mergeCell ref="A61:B61"/>
    <mergeCell ref="C4:F5"/>
    <mergeCell ref="B46:C46"/>
    <mergeCell ref="D46:E46"/>
    <mergeCell ref="D40:E40"/>
    <mergeCell ref="D36:E36"/>
    <mergeCell ref="D45:E45"/>
    <mergeCell ref="B43:C43"/>
    <mergeCell ref="A11:F32"/>
    <mergeCell ref="B39:C39"/>
    <mergeCell ref="D44:E44"/>
    <mergeCell ref="B42:C42"/>
    <mergeCell ref="A8:F8"/>
    <mergeCell ref="D41:E41"/>
    <mergeCell ref="D38:E38"/>
    <mergeCell ref="B36:C36"/>
    <mergeCell ref="B35:C35"/>
    <mergeCell ref="C2:F3"/>
    <mergeCell ref="A55:B55"/>
    <mergeCell ref="D64:F64"/>
    <mergeCell ref="D47:E47"/>
    <mergeCell ref="B38:C38"/>
    <mergeCell ref="B44:C44"/>
    <mergeCell ref="D43:E43"/>
    <mergeCell ref="B37:C37"/>
    <mergeCell ref="A9:F9"/>
    <mergeCell ref="D37:E37"/>
    <mergeCell ref="C54:F54"/>
    <mergeCell ref="A34:F34"/>
    <mergeCell ref="D59:F59"/>
    <mergeCell ref="D60:F60"/>
    <mergeCell ref="B40:C40"/>
    <mergeCell ref="B49:C49"/>
    <mergeCell ref="D35:E35"/>
    <mergeCell ref="C55:F55"/>
    <mergeCell ref="D63:F63"/>
    <mergeCell ref="A53:B53"/>
    <mergeCell ref="D39:E39"/>
    <mergeCell ref="A62:B62"/>
    <mergeCell ref="A51:F51"/>
    <mergeCell ref="A52:B52"/>
    <mergeCell ref="D42:E42"/>
    <mergeCell ref="A63:B63"/>
    <mergeCell ref="B45:C45"/>
    <mergeCell ref="B41:C41"/>
    <mergeCell ref="A58:B58"/>
    <mergeCell ref="C52:F52"/>
    <mergeCell ref="B47:C47"/>
    <mergeCell ref="A57:F57"/>
  </mergeCells>
  <pageMargins left="0.7" right="0.7" top="0.75" bottom="0.75" header="0.511811023622047" footer="0.511811023622047"/>
  <pageSetup paperSize="9" fitToHeight="0" orientation="landscape"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81"/>
  <sheetViews>
    <sheetView showGridLines="0" topLeftCell="A70" zoomScaleNormal="100" workbookViewId="0">
      <selection activeCell="A78" sqref="A78:K79"/>
    </sheetView>
  </sheetViews>
  <sheetFormatPr defaultColWidth="8.6640625" defaultRowHeight="14.4" x14ac:dyDescent="0.3"/>
  <cols>
    <col min="1" max="1" width="53.6640625" style="180" customWidth="1"/>
    <col min="2" max="2" width="13.88671875" style="180" customWidth="1"/>
    <col min="3" max="3" width="11.33203125" style="180" customWidth="1"/>
    <col min="4" max="4" width="16.33203125" style="180" customWidth="1"/>
    <col min="5" max="5" width="13.33203125" style="180" customWidth="1"/>
    <col min="6" max="6" width="12.77734375" style="180" customWidth="1"/>
    <col min="7" max="7" width="16.109375" style="180" customWidth="1"/>
    <col min="8" max="8" width="11.44140625" style="180" customWidth="1"/>
    <col min="9" max="9" width="13.33203125" style="180" customWidth="1"/>
    <col min="10" max="10" width="13.109375" style="180" customWidth="1"/>
    <col min="11" max="11" width="17.77734375" style="180" customWidth="1"/>
  </cols>
  <sheetData>
    <row r="1" spans="1:11" ht="14.25" customHeight="1" x14ac:dyDescent="0.3">
      <c r="A1" s="218" t="s">
        <v>69</v>
      </c>
      <c r="B1" s="204"/>
      <c r="C1" s="204"/>
      <c r="D1" s="204"/>
      <c r="E1" s="204"/>
      <c r="F1" s="204"/>
      <c r="G1" s="204"/>
      <c r="H1" s="204"/>
      <c r="I1" s="204"/>
      <c r="J1" s="204"/>
      <c r="K1" s="204"/>
    </row>
    <row r="2" spans="1:11" ht="14.25" customHeight="1" x14ac:dyDescent="0.3">
      <c r="A2" s="217" t="s">
        <v>70</v>
      </c>
      <c r="B2" s="204"/>
      <c r="C2" s="204"/>
      <c r="D2" s="204"/>
      <c r="E2" s="204"/>
      <c r="F2" s="204"/>
      <c r="G2" s="204"/>
      <c r="H2" s="204"/>
      <c r="I2" s="204"/>
      <c r="J2" s="204"/>
      <c r="K2" s="204"/>
    </row>
    <row r="3" spans="1:11" ht="14.25" customHeight="1" x14ac:dyDescent="0.3">
      <c r="A3" s="1"/>
      <c r="B3" s="1"/>
      <c r="C3" s="1"/>
      <c r="D3" s="1"/>
      <c r="E3" s="1"/>
      <c r="F3" s="1"/>
      <c r="G3" s="1"/>
      <c r="H3" s="1"/>
      <c r="I3" s="1"/>
      <c r="J3" s="1"/>
      <c r="K3" s="1"/>
    </row>
    <row r="4" spans="1:11" ht="57" customHeight="1" x14ac:dyDescent="0.3">
      <c r="A4" s="331" t="s">
        <v>71</v>
      </c>
      <c r="B4" s="331" t="s">
        <v>72</v>
      </c>
      <c r="C4" s="331" t="s">
        <v>73</v>
      </c>
      <c r="D4" s="331" t="s">
        <v>74</v>
      </c>
      <c r="E4" s="331" t="s">
        <v>75</v>
      </c>
      <c r="F4" s="331" t="s">
        <v>76</v>
      </c>
      <c r="G4" s="331" t="s">
        <v>77</v>
      </c>
      <c r="H4" s="331" t="s">
        <v>78</v>
      </c>
      <c r="I4" s="331" t="s">
        <v>79</v>
      </c>
      <c r="J4" s="331" t="s">
        <v>80</v>
      </c>
      <c r="K4" s="331" t="s">
        <v>81</v>
      </c>
    </row>
    <row r="5" spans="1:11" ht="14.25" customHeight="1" x14ac:dyDescent="0.3">
      <c r="A5" s="320" t="s">
        <v>82</v>
      </c>
      <c r="B5" s="321"/>
      <c r="C5" s="321"/>
      <c r="D5" s="321"/>
      <c r="E5" s="321"/>
      <c r="F5" s="321"/>
      <c r="G5" s="321"/>
      <c r="H5" s="321"/>
      <c r="I5" s="321"/>
      <c r="J5" s="321"/>
      <c r="K5" s="322"/>
    </row>
    <row r="6" spans="1:11" ht="14.25" customHeight="1" x14ac:dyDescent="0.3">
      <c r="A6" s="2" t="s">
        <v>83</v>
      </c>
      <c r="B6" s="3"/>
      <c r="C6" s="4">
        <v>5</v>
      </c>
      <c r="D6" s="4">
        <v>23531900</v>
      </c>
      <c r="E6" s="4">
        <v>23531900</v>
      </c>
      <c r="F6" s="5">
        <v>0.95</v>
      </c>
      <c r="G6" s="4">
        <v>23531900</v>
      </c>
      <c r="H6" s="5">
        <v>0.95</v>
      </c>
      <c r="I6" s="4">
        <v>23531900</v>
      </c>
      <c r="J6" s="5">
        <v>0.95</v>
      </c>
      <c r="K6" s="4">
        <v>23531900</v>
      </c>
    </row>
    <row r="7" spans="1:11" ht="28.5" customHeight="1" x14ac:dyDescent="0.3">
      <c r="A7" s="6" t="s">
        <v>84</v>
      </c>
      <c r="B7" s="7" t="s">
        <v>85</v>
      </c>
      <c r="C7" s="8">
        <v>1</v>
      </c>
      <c r="D7" s="8">
        <v>21420500</v>
      </c>
      <c r="E7" s="8">
        <v>21420500</v>
      </c>
      <c r="F7" s="9">
        <v>0.87</v>
      </c>
      <c r="G7" s="8">
        <v>21420500</v>
      </c>
      <c r="H7" s="9">
        <v>0.87</v>
      </c>
      <c r="I7" s="8">
        <v>21420500</v>
      </c>
      <c r="J7" s="9">
        <v>0.87</v>
      </c>
      <c r="K7" s="8">
        <v>21420500</v>
      </c>
    </row>
    <row r="8" spans="1:11" ht="28.5" customHeight="1" x14ac:dyDescent="0.3">
      <c r="A8" s="6" t="s">
        <v>86</v>
      </c>
      <c r="B8" s="7" t="s">
        <v>85</v>
      </c>
      <c r="C8" s="8">
        <v>1</v>
      </c>
      <c r="D8" s="8">
        <v>1540000</v>
      </c>
      <c r="E8" s="8">
        <v>1540000</v>
      </c>
      <c r="F8" s="9">
        <v>0.06</v>
      </c>
      <c r="G8" s="8">
        <v>1540000</v>
      </c>
      <c r="H8" s="9">
        <v>0.06</v>
      </c>
      <c r="I8" s="8">
        <v>1540000</v>
      </c>
      <c r="J8" s="9">
        <v>0.06</v>
      </c>
      <c r="K8" s="8">
        <v>1540000</v>
      </c>
    </row>
    <row r="9" spans="1:11" ht="14.25" customHeight="1" x14ac:dyDescent="0.3">
      <c r="A9" s="6" t="s">
        <v>87</v>
      </c>
      <c r="B9" s="7" t="s">
        <v>88</v>
      </c>
      <c r="C9" s="8">
        <v>1</v>
      </c>
      <c r="D9" s="8">
        <v>256320</v>
      </c>
      <c r="E9" s="8">
        <v>256320</v>
      </c>
      <c r="F9" s="9">
        <v>0.01</v>
      </c>
      <c r="G9" s="8">
        <v>256320</v>
      </c>
      <c r="H9" s="9">
        <v>0.01</v>
      </c>
      <c r="I9" s="8">
        <v>256320</v>
      </c>
      <c r="J9" s="9">
        <v>0.01</v>
      </c>
      <c r="K9" s="8">
        <v>256320</v>
      </c>
    </row>
    <row r="10" spans="1:11" ht="28.5" customHeight="1" x14ac:dyDescent="0.3">
      <c r="A10" s="6" t="s">
        <v>89</v>
      </c>
      <c r="B10" s="7" t="s">
        <v>85</v>
      </c>
      <c r="C10" s="8">
        <v>1</v>
      </c>
      <c r="D10" s="8">
        <v>314080</v>
      </c>
      <c r="E10" s="8">
        <v>314080</v>
      </c>
      <c r="F10" s="9">
        <v>0.01</v>
      </c>
      <c r="G10" s="8">
        <v>314080</v>
      </c>
      <c r="H10" s="9">
        <v>0.01</v>
      </c>
      <c r="I10" s="8">
        <v>314080</v>
      </c>
      <c r="J10" s="9">
        <v>0.01</v>
      </c>
      <c r="K10" s="8">
        <v>314080</v>
      </c>
    </row>
    <row r="11" spans="1:11" ht="28.5" customHeight="1" x14ac:dyDescent="0.3">
      <c r="A11" s="6" t="s">
        <v>90</v>
      </c>
      <c r="B11" s="7" t="s">
        <v>85</v>
      </c>
      <c r="C11" s="8">
        <v>1</v>
      </c>
      <c r="D11" s="8">
        <v>1000</v>
      </c>
      <c r="E11" s="8">
        <v>1000</v>
      </c>
      <c r="F11" s="9">
        <v>0</v>
      </c>
      <c r="G11" s="8">
        <v>1000</v>
      </c>
      <c r="H11" s="9">
        <v>0</v>
      </c>
      <c r="I11" s="8">
        <v>1000</v>
      </c>
      <c r="J11" s="9">
        <v>0</v>
      </c>
      <c r="K11" s="8">
        <v>1000</v>
      </c>
    </row>
    <row r="12" spans="1:11" ht="28.5" customHeight="1" x14ac:dyDescent="0.3">
      <c r="A12" s="6" t="s">
        <v>91</v>
      </c>
      <c r="B12" s="7" t="s">
        <v>85</v>
      </c>
      <c r="C12" s="10" t="s">
        <v>92</v>
      </c>
      <c r="D12" s="8" t="s">
        <v>92</v>
      </c>
      <c r="E12" s="8" t="s">
        <v>92</v>
      </c>
      <c r="F12" s="9">
        <v>0</v>
      </c>
      <c r="G12" s="8" t="s">
        <v>92</v>
      </c>
      <c r="H12" s="9">
        <v>0</v>
      </c>
      <c r="I12" s="8" t="s">
        <v>92</v>
      </c>
      <c r="J12" s="9">
        <v>0</v>
      </c>
      <c r="K12" s="8" t="s">
        <v>92</v>
      </c>
    </row>
    <row r="13" spans="1:11" ht="14.25" customHeight="1" x14ac:dyDescent="0.3">
      <c r="A13" s="2" t="s">
        <v>93</v>
      </c>
      <c r="B13" s="3"/>
      <c r="C13" s="4">
        <v>7</v>
      </c>
      <c r="D13" s="4">
        <v>1810103485</v>
      </c>
      <c r="E13" s="4">
        <v>1810103485</v>
      </c>
      <c r="F13" s="5">
        <v>73.13</v>
      </c>
      <c r="G13" s="4">
        <v>1810103485</v>
      </c>
      <c r="H13" s="5">
        <v>73.13</v>
      </c>
      <c r="I13" s="4">
        <v>1810103485</v>
      </c>
      <c r="J13" s="5">
        <v>73.13</v>
      </c>
      <c r="K13" s="4">
        <v>1810103485</v>
      </c>
    </row>
    <row r="14" spans="1:11" ht="14.25" customHeight="1" x14ac:dyDescent="0.3">
      <c r="A14" s="6" t="s">
        <v>94</v>
      </c>
      <c r="B14" s="7" t="s">
        <v>88</v>
      </c>
      <c r="C14" s="8">
        <v>1</v>
      </c>
      <c r="D14" s="8">
        <v>1523133505</v>
      </c>
      <c r="E14" s="8">
        <v>1523133505</v>
      </c>
      <c r="F14" s="9">
        <v>61.53</v>
      </c>
      <c r="G14" s="8">
        <v>1523133505</v>
      </c>
      <c r="H14" s="9">
        <v>61.53</v>
      </c>
      <c r="I14" s="8">
        <v>1523133505</v>
      </c>
      <c r="J14" s="9">
        <v>61.53</v>
      </c>
      <c r="K14" s="8">
        <v>1523133505</v>
      </c>
    </row>
    <row r="15" spans="1:11" ht="28.5" customHeight="1" x14ac:dyDescent="0.3">
      <c r="A15" s="6" t="s">
        <v>95</v>
      </c>
      <c r="B15" s="7" t="s">
        <v>85</v>
      </c>
      <c r="C15" s="8">
        <v>1</v>
      </c>
      <c r="D15" s="8">
        <v>5455560</v>
      </c>
      <c r="E15" s="8">
        <v>5455560</v>
      </c>
      <c r="F15" s="9">
        <v>0.22</v>
      </c>
      <c r="G15" s="8">
        <v>5455560</v>
      </c>
      <c r="H15" s="9">
        <v>0.22</v>
      </c>
      <c r="I15" s="8">
        <v>5455560</v>
      </c>
      <c r="J15" s="9">
        <v>0.22</v>
      </c>
      <c r="K15" s="8">
        <v>5455560</v>
      </c>
    </row>
    <row r="16" spans="1:11" ht="28.5" customHeight="1" x14ac:dyDescent="0.3">
      <c r="A16" s="6" t="s">
        <v>96</v>
      </c>
      <c r="B16" s="7" t="s">
        <v>85</v>
      </c>
      <c r="C16" s="8">
        <v>1</v>
      </c>
      <c r="D16" s="8">
        <v>47388000</v>
      </c>
      <c r="E16" s="8">
        <v>47388000</v>
      </c>
      <c r="F16" s="9">
        <v>1.91</v>
      </c>
      <c r="G16" s="8">
        <v>47388000</v>
      </c>
      <c r="H16" s="9">
        <v>1.91</v>
      </c>
      <c r="I16" s="8">
        <v>47388000</v>
      </c>
      <c r="J16" s="9">
        <v>1.91</v>
      </c>
      <c r="K16" s="8">
        <v>47388000</v>
      </c>
    </row>
    <row r="17" spans="1:11" ht="28.5" customHeight="1" x14ac:dyDescent="0.3">
      <c r="A17" s="6" t="s">
        <v>97</v>
      </c>
      <c r="B17" s="7" t="s">
        <v>85</v>
      </c>
      <c r="C17" s="10" t="s">
        <v>92</v>
      </c>
      <c r="D17" s="8" t="s">
        <v>92</v>
      </c>
      <c r="E17" s="8" t="s">
        <v>92</v>
      </c>
      <c r="F17" s="9">
        <v>0</v>
      </c>
      <c r="G17" s="8" t="s">
        <v>92</v>
      </c>
      <c r="H17" s="9">
        <v>0</v>
      </c>
      <c r="I17" s="8" t="s">
        <v>92</v>
      </c>
      <c r="J17" s="9">
        <v>0</v>
      </c>
      <c r="K17" s="8" t="s">
        <v>92</v>
      </c>
    </row>
    <row r="18" spans="1:11" ht="28.5" customHeight="1" x14ac:dyDescent="0.3">
      <c r="A18" s="6" t="s">
        <v>98</v>
      </c>
      <c r="B18" s="7" t="s">
        <v>85</v>
      </c>
      <c r="C18" s="8">
        <v>1</v>
      </c>
      <c r="D18" s="8">
        <v>6380000</v>
      </c>
      <c r="E18" s="8">
        <v>6380000</v>
      </c>
      <c r="F18" s="9">
        <v>0.26</v>
      </c>
      <c r="G18" s="8">
        <v>6380000</v>
      </c>
      <c r="H18" s="9">
        <v>0.26</v>
      </c>
      <c r="I18" s="8">
        <v>6380000</v>
      </c>
      <c r="J18" s="9">
        <v>0.26</v>
      </c>
      <c r="K18" s="8">
        <v>6380000</v>
      </c>
    </row>
    <row r="19" spans="1:11" ht="28.5" customHeight="1" x14ac:dyDescent="0.3">
      <c r="A19" s="6" t="s">
        <v>99</v>
      </c>
      <c r="B19" s="7" t="s">
        <v>85</v>
      </c>
      <c r="C19" s="8">
        <v>1</v>
      </c>
      <c r="D19" s="8">
        <v>90059200</v>
      </c>
      <c r="E19" s="8">
        <v>90059200</v>
      </c>
      <c r="F19" s="9">
        <v>3.64</v>
      </c>
      <c r="G19" s="8">
        <v>90059200</v>
      </c>
      <c r="H19" s="9">
        <v>3.64</v>
      </c>
      <c r="I19" s="8">
        <v>90059200</v>
      </c>
      <c r="J19" s="9">
        <v>3.64</v>
      </c>
      <c r="K19" s="8">
        <v>90059200</v>
      </c>
    </row>
    <row r="20" spans="1:11" ht="28.5" customHeight="1" x14ac:dyDescent="0.3">
      <c r="A20" s="6" t="s">
        <v>100</v>
      </c>
      <c r="B20" s="7" t="s">
        <v>85</v>
      </c>
      <c r="C20" s="8">
        <v>1</v>
      </c>
      <c r="D20" s="8">
        <v>65889120</v>
      </c>
      <c r="E20" s="8">
        <v>65889120</v>
      </c>
      <c r="F20" s="9">
        <v>2.66</v>
      </c>
      <c r="G20" s="8">
        <v>65889120</v>
      </c>
      <c r="H20" s="9">
        <v>2.66</v>
      </c>
      <c r="I20" s="8">
        <v>65889120</v>
      </c>
      <c r="J20" s="9">
        <v>2.66</v>
      </c>
      <c r="K20" s="8">
        <v>65889120</v>
      </c>
    </row>
    <row r="21" spans="1:11" ht="28.5" customHeight="1" x14ac:dyDescent="0.3">
      <c r="A21" s="6" t="s">
        <v>101</v>
      </c>
      <c r="B21" s="7" t="s">
        <v>85</v>
      </c>
      <c r="C21" s="8">
        <v>1</v>
      </c>
      <c r="D21" s="8">
        <v>71798100</v>
      </c>
      <c r="E21" s="8">
        <v>71798100</v>
      </c>
      <c r="F21" s="9">
        <v>2.9</v>
      </c>
      <c r="G21" s="8">
        <v>71798100</v>
      </c>
      <c r="H21" s="9">
        <v>2.9</v>
      </c>
      <c r="I21" s="8">
        <v>71798100</v>
      </c>
      <c r="J21" s="9">
        <v>2.9</v>
      </c>
      <c r="K21" s="8">
        <v>71798100</v>
      </c>
    </row>
    <row r="22" spans="1:11" ht="28.5" customHeight="1" x14ac:dyDescent="0.3">
      <c r="A22" s="6" t="s">
        <v>102</v>
      </c>
      <c r="B22" s="7" t="s">
        <v>85</v>
      </c>
      <c r="C22" s="10" t="s">
        <v>92</v>
      </c>
      <c r="D22" s="10" t="s">
        <v>92</v>
      </c>
      <c r="E22" s="10" t="s">
        <v>92</v>
      </c>
      <c r="F22" s="9">
        <v>0</v>
      </c>
      <c r="G22" s="10" t="s">
        <v>92</v>
      </c>
      <c r="H22" s="9">
        <v>0</v>
      </c>
      <c r="I22" s="10" t="s">
        <v>92</v>
      </c>
      <c r="J22" s="9">
        <v>0</v>
      </c>
      <c r="K22" s="10" t="s">
        <v>92</v>
      </c>
    </row>
    <row r="23" spans="1:11" ht="28.5" customHeight="1" x14ac:dyDescent="0.3">
      <c r="A23" s="6" t="s">
        <v>103</v>
      </c>
      <c r="B23" s="7" t="s">
        <v>85</v>
      </c>
      <c r="C23" s="10" t="s">
        <v>92</v>
      </c>
      <c r="D23" s="10" t="s">
        <v>92</v>
      </c>
      <c r="E23" s="10" t="s">
        <v>92</v>
      </c>
      <c r="F23" s="9">
        <v>0</v>
      </c>
      <c r="G23" s="10" t="s">
        <v>92</v>
      </c>
      <c r="H23" s="9">
        <v>0</v>
      </c>
      <c r="I23" s="10" t="s">
        <v>92</v>
      </c>
      <c r="J23" s="9">
        <v>0</v>
      </c>
      <c r="K23" s="10" t="s">
        <v>92</v>
      </c>
    </row>
    <row r="24" spans="1:11" ht="28.5" customHeight="1" x14ac:dyDescent="0.3">
      <c r="A24" s="6" t="s">
        <v>104</v>
      </c>
      <c r="B24" s="7" t="s">
        <v>85</v>
      </c>
      <c r="C24" s="10" t="s">
        <v>92</v>
      </c>
      <c r="D24" s="10" t="s">
        <v>92</v>
      </c>
      <c r="E24" s="10" t="s">
        <v>92</v>
      </c>
      <c r="F24" s="9">
        <v>0</v>
      </c>
      <c r="G24" s="10" t="s">
        <v>92</v>
      </c>
      <c r="H24" s="9">
        <v>0</v>
      </c>
      <c r="I24" s="10" t="s">
        <v>92</v>
      </c>
      <c r="J24" s="9">
        <v>0</v>
      </c>
      <c r="K24" s="10" t="s">
        <v>92</v>
      </c>
    </row>
    <row r="25" spans="1:11" ht="28.5" customHeight="1" x14ac:dyDescent="0.3">
      <c r="A25" s="6" t="s">
        <v>105</v>
      </c>
      <c r="B25" s="7" t="s">
        <v>85</v>
      </c>
      <c r="C25" s="10" t="s">
        <v>92</v>
      </c>
      <c r="D25" s="10" t="s">
        <v>92</v>
      </c>
      <c r="E25" s="10" t="s">
        <v>92</v>
      </c>
      <c r="F25" s="9">
        <v>0</v>
      </c>
      <c r="G25" s="10" t="s">
        <v>92</v>
      </c>
      <c r="H25" s="9">
        <v>0</v>
      </c>
      <c r="I25" s="10" t="s">
        <v>92</v>
      </c>
      <c r="J25" s="9">
        <v>0</v>
      </c>
      <c r="K25" s="10" t="s">
        <v>92</v>
      </c>
    </row>
    <row r="26" spans="1:11" ht="28.5" customHeight="1" x14ac:dyDescent="0.3">
      <c r="A26" s="6" t="s">
        <v>106</v>
      </c>
      <c r="B26" s="7" t="s">
        <v>85</v>
      </c>
      <c r="C26" s="10" t="s">
        <v>92</v>
      </c>
      <c r="D26" s="10" t="s">
        <v>92</v>
      </c>
      <c r="E26" s="10" t="s">
        <v>92</v>
      </c>
      <c r="F26" s="9">
        <v>0</v>
      </c>
      <c r="G26" s="10" t="s">
        <v>92</v>
      </c>
      <c r="H26" s="9">
        <v>0</v>
      </c>
      <c r="I26" s="10" t="s">
        <v>92</v>
      </c>
      <c r="J26" s="9">
        <v>0</v>
      </c>
      <c r="K26" s="10" t="s">
        <v>92</v>
      </c>
    </row>
    <row r="27" spans="1:11" ht="28.5" customHeight="1" x14ac:dyDescent="0.3">
      <c r="A27" s="6" t="s">
        <v>107</v>
      </c>
      <c r="B27" s="7" t="s">
        <v>85</v>
      </c>
      <c r="C27" s="10" t="s">
        <v>92</v>
      </c>
      <c r="D27" s="10" t="s">
        <v>92</v>
      </c>
      <c r="E27" s="10" t="s">
        <v>92</v>
      </c>
      <c r="F27" s="9">
        <v>0</v>
      </c>
      <c r="G27" s="10" t="s">
        <v>92</v>
      </c>
      <c r="H27" s="9">
        <v>0</v>
      </c>
      <c r="I27" s="10" t="s">
        <v>92</v>
      </c>
      <c r="J27" s="9">
        <v>0</v>
      </c>
      <c r="K27" s="10" t="s">
        <v>92</v>
      </c>
    </row>
    <row r="28" spans="1:11" ht="28.5" customHeight="1" x14ac:dyDescent="0.3">
      <c r="A28" s="6" t="s">
        <v>108</v>
      </c>
      <c r="B28" s="7" t="s">
        <v>85</v>
      </c>
      <c r="C28" s="10" t="s">
        <v>92</v>
      </c>
      <c r="D28" s="10" t="s">
        <v>92</v>
      </c>
      <c r="E28" s="10" t="s">
        <v>92</v>
      </c>
      <c r="F28" s="9">
        <v>0</v>
      </c>
      <c r="G28" s="10" t="s">
        <v>92</v>
      </c>
      <c r="H28" s="9">
        <v>0</v>
      </c>
      <c r="I28" s="10" t="s">
        <v>92</v>
      </c>
      <c r="J28" s="9">
        <v>0</v>
      </c>
      <c r="K28" s="10" t="s">
        <v>92</v>
      </c>
    </row>
    <row r="29" spans="1:11" ht="28.5" customHeight="1" x14ac:dyDescent="0.3">
      <c r="A29" s="6" t="s">
        <v>109</v>
      </c>
      <c r="B29" s="7" t="s">
        <v>85</v>
      </c>
      <c r="C29" s="10" t="s">
        <v>92</v>
      </c>
      <c r="D29" s="10" t="s">
        <v>92</v>
      </c>
      <c r="E29" s="10" t="s">
        <v>92</v>
      </c>
      <c r="F29" s="9">
        <v>0</v>
      </c>
      <c r="G29" s="10" t="s">
        <v>92</v>
      </c>
      <c r="H29" s="9">
        <v>0</v>
      </c>
      <c r="I29" s="10" t="s">
        <v>92</v>
      </c>
      <c r="J29" s="9">
        <v>0</v>
      </c>
      <c r="K29" s="10" t="s">
        <v>92</v>
      </c>
    </row>
    <row r="30" spans="1:11" ht="28.5" customHeight="1" x14ac:dyDescent="0.3">
      <c r="A30" s="6" t="s">
        <v>110</v>
      </c>
      <c r="B30" s="7" t="s">
        <v>85</v>
      </c>
      <c r="C30" s="10" t="s">
        <v>92</v>
      </c>
      <c r="D30" s="10" t="s">
        <v>92</v>
      </c>
      <c r="E30" s="10" t="s">
        <v>92</v>
      </c>
      <c r="F30" s="9">
        <v>0</v>
      </c>
      <c r="G30" s="10" t="s">
        <v>92</v>
      </c>
      <c r="H30" s="9">
        <v>0</v>
      </c>
      <c r="I30" s="10" t="s">
        <v>92</v>
      </c>
      <c r="J30" s="9">
        <v>0</v>
      </c>
      <c r="K30" s="10" t="s">
        <v>92</v>
      </c>
    </row>
    <row r="31" spans="1:11" ht="28.5" customHeight="1" x14ac:dyDescent="0.3">
      <c r="A31" s="6" t="s">
        <v>111</v>
      </c>
      <c r="B31" s="7" t="s">
        <v>85</v>
      </c>
      <c r="C31" s="10" t="s">
        <v>92</v>
      </c>
      <c r="D31" s="10" t="s">
        <v>92</v>
      </c>
      <c r="E31" s="10" t="s">
        <v>92</v>
      </c>
      <c r="F31" s="9">
        <v>0</v>
      </c>
      <c r="G31" s="10" t="s">
        <v>92</v>
      </c>
      <c r="H31" s="9">
        <v>0</v>
      </c>
      <c r="I31" s="10" t="s">
        <v>92</v>
      </c>
      <c r="J31" s="9">
        <v>0</v>
      </c>
      <c r="K31" s="10" t="s">
        <v>92</v>
      </c>
    </row>
    <row r="32" spans="1:11" ht="28.5" customHeight="1" x14ac:dyDescent="0.3">
      <c r="A32" s="6" t="s">
        <v>112</v>
      </c>
      <c r="B32" s="7" t="s">
        <v>85</v>
      </c>
      <c r="C32" s="10" t="s">
        <v>92</v>
      </c>
      <c r="D32" s="10" t="s">
        <v>92</v>
      </c>
      <c r="E32" s="10" t="s">
        <v>92</v>
      </c>
      <c r="F32" s="9">
        <v>0</v>
      </c>
      <c r="G32" s="10" t="s">
        <v>92</v>
      </c>
      <c r="H32" s="9">
        <v>0</v>
      </c>
      <c r="I32" s="10" t="s">
        <v>92</v>
      </c>
      <c r="J32" s="9">
        <v>0</v>
      </c>
      <c r="K32" s="10" t="s">
        <v>92</v>
      </c>
    </row>
    <row r="33" spans="1:11" ht="28.5" customHeight="1" x14ac:dyDescent="0.3">
      <c r="A33" s="6" t="s">
        <v>113</v>
      </c>
      <c r="B33" s="7" t="s">
        <v>85</v>
      </c>
      <c r="C33" s="10" t="s">
        <v>92</v>
      </c>
      <c r="D33" s="10" t="s">
        <v>92</v>
      </c>
      <c r="E33" s="10" t="s">
        <v>92</v>
      </c>
      <c r="F33" s="9">
        <v>0</v>
      </c>
      <c r="G33" s="10" t="s">
        <v>92</v>
      </c>
      <c r="H33" s="9">
        <v>0</v>
      </c>
      <c r="I33" s="10" t="s">
        <v>92</v>
      </c>
      <c r="J33" s="9">
        <v>0</v>
      </c>
      <c r="K33" s="10" t="s">
        <v>92</v>
      </c>
    </row>
    <row r="34" spans="1:11" ht="28.5" customHeight="1" x14ac:dyDescent="0.3">
      <c r="A34" s="6" t="s">
        <v>114</v>
      </c>
      <c r="B34" s="7" t="s">
        <v>85</v>
      </c>
      <c r="C34" s="10" t="s">
        <v>92</v>
      </c>
      <c r="D34" s="10" t="s">
        <v>92</v>
      </c>
      <c r="E34" s="10" t="s">
        <v>92</v>
      </c>
      <c r="F34" s="9">
        <v>0</v>
      </c>
      <c r="G34" s="10" t="s">
        <v>92</v>
      </c>
      <c r="H34" s="9">
        <v>0</v>
      </c>
      <c r="I34" s="10" t="s">
        <v>92</v>
      </c>
      <c r="J34" s="9">
        <v>0</v>
      </c>
      <c r="K34" s="10" t="s">
        <v>92</v>
      </c>
    </row>
    <row r="35" spans="1:11" ht="28.5" customHeight="1" x14ac:dyDescent="0.3">
      <c r="A35" s="6" t="s">
        <v>115</v>
      </c>
      <c r="B35" s="7" t="s">
        <v>85</v>
      </c>
      <c r="C35" s="10" t="s">
        <v>92</v>
      </c>
      <c r="D35" s="10" t="s">
        <v>92</v>
      </c>
      <c r="E35" s="10" t="s">
        <v>92</v>
      </c>
      <c r="F35" s="9">
        <v>0</v>
      </c>
      <c r="G35" s="10" t="s">
        <v>92</v>
      </c>
      <c r="H35" s="9">
        <v>0</v>
      </c>
      <c r="I35" s="10" t="s">
        <v>92</v>
      </c>
      <c r="J35" s="9">
        <v>0</v>
      </c>
      <c r="K35" s="10" t="s">
        <v>92</v>
      </c>
    </row>
    <row r="36" spans="1:11" ht="28.5" customHeight="1" x14ac:dyDescent="0.3">
      <c r="A36" s="6" t="s">
        <v>116</v>
      </c>
      <c r="B36" s="7" t="s">
        <v>85</v>
      </c>
      <c r="C36" s="10" t="s">
        <v>92</v>
      </c>
      <c r="D36" s="10" t="s">
        <v>92</v>
      </c>
      <c r="E36" s="10" t="s">
        <v>92</v>
      </c>
      <c r="F36" s="9">
        <v>0</v>
      </c>
      <c r="G36" s="10" t="s">
        <v>92</v>
      </c>
      <c r="H36" s="9">
        <v>0</v>
      </c>
      <c r="I36" s="10" t="s">
        <v>92</v>
      </c>
      <c r="J36" s="9">
        <v>0</v>
      </c>
      <c r="K36" s="10" t="s">
        <v>92</v>
      </c>
    </row>
    <row r="37" spans="1:11" ht="28.5" customHeight="1" x14ac:dyDescent="0.3">
      <c r="A37" s="6" t="s">
        <v>117</v>
      </c>
      <c r="B37" s="7" t="s">
        <v>85</v>
      </c>
      <c r="C37" s="10" t="s">
        <v>92</v>
      </c>
      <c r="D37" s="10" t="s">
        <v>92</v>
      </c>
      <c r="E37" s="10" t="s">
        <v>92</v>
      </c>
      <c r="F37" s="9">
        <v>0</v>
      </c>
      <c r="G37" s="10" t="s">
        <v>92</v>
      </c>
      <c r="H37" s="9">
        <v>0</v>
      </c>
      <c r="I37" s="10" t="s">
        <v>92</v>
      </c>
      <c r="J37" s="9">
        <v>0</v>
      </c>
      <c r="K37" s="10" t="s">
        <v>92</v>
      </c>
    </row>
    <row r="38" spans="1:11" ht="28.5" customHeight="1" x14ac:dyDescent="0.3">
      <c r="A38" s="6" t="s">
        <v>118</v>
      </c>
      <c r="B38" s="7" t="s">
        <v>85</v>
      </c>
      <c r="C38" s="10" t="s">
        <v>92</v>
      </c>
      <c r="D38" s="10" t="s">
        <v>92</v>
      </c>
      <c r="E38" s="10" t="s">
        <v>92</v>
      </c>
      <c r="F38" s="9">
        <v>0</v>
      </c>
      <c r="G38" s="10" t="s">
        <v>92</v>
      </c>
      <c r="H38" s="9">
        <v>0</v>
      </c>
      <c r="I38" s="10" t="s">
        <v>92</v>
      </c>
      <c r="J38" s="9">
        <v>0</v>
      </c>
      <c r="K38" s="10" t="s">
        <v>92</v>
      </c>
    </row>
    <row r="39" spans="1:11" ht="28.5" customHeight="1" x14ac:dyDescent="0.3">
      <c r="A39" s="6" t="s">
        <v>119</v>
      </c>
      <c r="B39" s="7" t="s">
        <v>85</v>
      </c>
      <c r="C39" s="10" t="s">
        <v>92</v>
      </c>
      <c r="D39" s="10" t="s">
        <v>92</v>
      </c>
      <c r="E39" s="10" t="s">
        <v>92</v>
      </c>
      <c r="F39" s="9">
        <v>0</v>
      </c>
      <c r="G39" s="10" t="s">
        <v>92</v>
      </c>
      <c r="H39" s="9">
        <v>0</v>
      </c>
      <c r="I39" s="10" t="s">
        <v>92</v>
      </c>
      <c r="J39" s="9">
        <v>0</v>
      </c>
      <c r="K39" s="10" t="s">
        <v>92</v>
      </c>
    </row>
    <row r="40" spans="1:11" ht="28.5" customHeight="1" x14ac:dyDescent="0.3">
      <c r="A40" s="6" t="s">
        <v>120</v>
      </c>
      <c r="B40" s="7" t="s">
        <v>85</v>
      </c>
      <c r="C40" s="10" t="s">
        <v>92</v>
      </c>
      <c r="D40" s="10" t="s">
        <v>92</v>
      </c>
      <c r="E40" s="10" t="s">
        <v>92</v>
      </c>
      <c r="F40" s="9">
        <v>0</v>
      </c>
      <c r="G40" s="10" t="s">
        <v>92</v>
      </c>
      <c r="H40" s="9">
        <v>0</v>
      </c>
      <c r="I40" s="10" t="s">
        <v>92</v>
      </c>
      <c r="J40" s="9">
        <v>0</v>
      </c>
      <c r="K40" s="10" t="s">
        <v>92</v>
      </c>
    </row>
    <row r="41" spans="1:11" ht="28.5" customHeight="1" x14ac:dyDescent="0.3">
      <c r="A41" s="6" t="s">
        <v>121</v>
      </c>
      <c r="B41" s="7" t="s">
        <v>85</v>
      </c>
      <c r="C41" s="10" t="s">
        <v>92</v>
      </c>
      <c r="D41" s="10" t="s">
        <v>92</v>
      </c>
      <c r="E41" s="10" t="s">
        <v>92</v>
      </c>
      <c r="F41" s="9">
        <v>0</v>
      </c>
      <c r="G41" s="10" t="s">
        <v>92</v>
      </c>
      <c r="H41" s="9">
        <v>0</v>
      </c>
      <c r="I41" s="10" t="s">
        <v>92</v>
      </c>
      <c r="J41" s="9">
        <v>0</v>
      </c>
      <c r="K41" s="10" t="s">
        <v>92</v>
      </c>
    </row>
    <row r="42" spans="1:11" ht="28.5" customHeight="1" x14ac:dyDescent="0.3">
      <c r="A42" s="6" t="s">
        <v>122</v>
      </c>
      <c r="B42" s="7" t="s">
        <v>85</v>
      </c>
      <c r="C42" s="10" t="s">
        <v>92</v>
      </c>
      <c r="D42" s="10" t="s">
        <v>92</v>
      </c>
      <c r="E42" s="10" t="s">
        <v>92</v>
      </c>
      <c r="F42" s="9">
        <v>0</v>
      </c>
      <c r="G42" s="10" t="s">
        <v>92</v>
      </c>
      <c r="H42" s="9">
        <v>0</v>
      </c>
      <c r="I42" s="10" t="s">
        <v>92</v>
      </c>
      <c r="J42" s="9">
        <v>0</v>
      </c>
      <c r="K42" s="10" t="s">
        <v>92</v>
      </c>
    </row>
    <row r="43" spans="1:11" ht="28.5" customHeight="1" x14ac:dyDescent="0.3">
      <c r="A43" s="6" t="s">
        <v>123</v>
      </c>
      <c r="B43" s="7" t="s">
        <v>85</v>
      </c>
      <c r="C43" s="10" t="s">
        <v>92</v>
      </c>
      <c r="D43" s="10" t="s">
        <v>92</v>
      </c>
      <c r="E43" s="10" t="s">
        <v>92</v>
      </c>
      <c r="F43" s="9">
        <v>0</v>
      </c>
      <c r="G43" s="10" t="s">
        <v>92</v>
      </c>
      <c r="H43" s="9">
        <v>0</v>
      </c>
      <c r="I43" s="10" t="s">
        <v>92</v>
      </c>
      <c r="J43" s="9">
        <v>0</v>
      </c>
      <c r="K43" s="10" t="s">
        <v>92</v>
      </c>
    </row>
    <row r="44" spans="1:11" ht="28.5" customHeight="1" x14ac:dyDescent="0.3">
      <c r="A44" s="6" t="s">
        <v>124</v>
      </c>
      <c r="B44" s="7" t="s">
        <v>85</v>
      </c>
      <c r="C44" s="10" t="s">
        <v>92</v>
      </c>
      <c r="D44" s="10" t="s">
        <v>92</v>
      </c>
      <c r="E44" s="10" t="s">
        <v>92</v>
      </c>
      <c r="F44" s="9">
        <v>0</v>
      </c>
      <c r="G44" s="10" t="s">
        <v>92</v>
      </c>
      <c r="H44" s="9">
        <v>0</v>
      </c>
      <c r="I44" s="10" t="s">
        <v>92</v>
      </c>
      <c r="J44" s="9">
        <v>0</v>
      </c>
      <c r="K44" s="10" t="s">
        <v>92</v>
      </c>
    </row>
    <row r="45" spans="1:11" ht="28.5" customHeight="1" x14ac:dyDescent="0.3">
      <c r="A45" s="6" t="s">
        <v>125</v>
      </c>
      <c r="B45" s="7" t="s">
        <v>85</v>
      </c>
      <c r="C45" s="10" t="s">
        <v>92</v>
      </c>
      <c r="D45" s="10" t="s">
        <v>92</v>
      </c>
      <c r="E45" s="10" t="s">
        <v>92</v>
      </c>
      <c r="F45" s="9">
        <v>0</v>
      </c>
      <c r="G45" s="10" t="s">
        <v>92</v>
      </c>
      <c r="H45" s="9">
        <v>0</v>
      </c>
      <c r="I45" s="10" t="s">
        <v>92</v>
      </c>
      <c r="J45" s="9">
        <v>0</v>
      </c>
      <c r="K45" s="10" t="s">
        <v>92</v>
      </c>
    </row>
    <row r="46" spans="1:11" ht="28.5" customHeight="1" x14ac:dyDescent="0.3">
      <c r="A46" s="6" t="s">
        <v>126</v>
      </c>
      <c r="B46" s="7" t="s">
        <v>85</v>
      </c>
      <c r="C46" s="10" t="s">
        <v>92</v>
      </c>
      <c r="D46" s="10" t="s">
        <v>92</v>
      </c>
      <c r="E46" s="10" t="s">
        <v>92</v>
      </c>
      <c r="F46" s="9">
        <v>0</v>
      </c>
      <c r="G46" s="10" t="s">
        <v>92</v>
      </c>
      <c r="H46" s="9">
        <v>0</v>
      </c>
      <c r="I46" s="10" t="s">
        <v>92</v>
      </c>
      <c r="J46" s="9">
        <v>0</v>
      </c>
      <c r="K46" s="10" t="s">
        <v>92</v>
      </c>
    </row>
    <row r="47" spans="1:11" ht="28.5" customHeight="1" x14ac:dyDescent="0.3">
      <c r="A47" s="6" t="s">
        <v>127</v>
      </c>
      <c r="B47" s="7" t="s">
        <v>85</v>
      </c>
      <c r="C47" s="10" t="s">
        <v>92</v>
      </c>
      <c r="D47" s="10" t="s">
        <v>92</v>
      </c>
      <c r="E47" s="10" t="s">
        <v>92</v>
      </c>
      <c r="F47" s="9">
        <v>0</v>
      </c>
      <c r="G47" s="10" t="s">
        <v>92</v>
      </c>
      <c r="H47" s="9">
        <v>0</v>
      </c>
      <c r="I47" s="10" t="s">
        <v>92</v>
      </c>
      <c r="J47" s="9">
        <v>0</v>
      </c>
      <c r="K47" s="10" t="s">
        <v>92</v>
      </c>
    </row>
    <row r="48" spans="1:11" ht="28.5" customHeight="1" x14ac:dyDescent="0.3">
      <c r="A48" s="6" t="s">
        <v>128</v>
      </c>
      <c r="B48" s="7" t="s">
        <v>85</v>
      </c>
      <c r="C48" s="10" t="s">
        <v>92</v>
      </c>
      <c r="D48" s="10" t="s">
        <v>92</v>
      </c>
      <c r="E48" s="10" t="s">
        <v>92</v>
      </c>
      <c r="F48" s="9">
        <v>0</v>
      </c>
      <c r="G48" s="10" t="s">
        <v>92</v>
      </c>
      <c r="H48" s="9">
        <v>0</v>
      </c>
      <c r="I48" s="10" t="s">
        <v>92</v>
      </c>
      <c r="J48" s="9">
        <v>0</v>
      </c>
      <c r="K48" s="10" t="s">
        <v>92</v>
      </c>
    </row>
    <row r="49" spans="1:11" ht="28.5" customHeight="1" x14ac:dyDescent="0.3">
      <c r="A49" s="6" t="s">
        <v>129</v>
      </c>
      <c r="B49" s="7" t="s">
        <v>85</v>
      </c>
      <c r="C49" s="10" t="s">
        <v>92</v>
      </c>
      <c r="D49" s="10" t="s">
        <v>92</v>
      </c>
      <c r="E49" s="10" t="s">
        <v>92</v>
      </c>
      <c r="F49" s="9">
        <v>0</v>
      </c>
      <c r="G49" s="10" t="s">
        <v>92</v>
      </c>
      <c r="H49" s="9">
        <v>0</v>
      </c>
      <c r="I49" s="10" t="s">
        <v>92</v>
      </c>
      <c r="J49" s="9">
        <v>0</v>
      </c>
      <c r="K49" s="10" t="s">
        <v>92</v>
      </c>
    </row>
    <row r="50" spans="1:11" ht="28.5" customHeight="1" x14ac:dyDescent="0.3">
      <c r="A50" s="6" t="s">
        <v>130</v>
      </c>
      <c r="B50" s="7" t="s">
        <v>85</v>
      </c>
      <c r="C50" s="10" t="s">
        <v>92</v>
      </c>
      <c r="D50" s="10" t="s">
        <v>92</v>
      </c>
      <c r="E50" s="10" t="s">
        <v>92</v>
      </c>
      <c r="F50" s="9">
        <v>0</v>
      </c>
      <c r="G50" s="10" t="s">
        <v>92</v>
      </c>
      <c r="H50" s="9">
        <v>0</v>
      </c>
      <c r="I50" s="10" t="s">
        <v>92</v>
      </c>
      <c r="J50" s="9">
        <v>0</v>
      </c>
      <c r="K50" s="10" t="s">
        <v>92</v>
      </c>
    </row>
    <row r="51" spans="1:11" ht="28.5" customHeight="1" x14ac:dyDescent="0.3">
      <c r="A51" s="6" t="s">
        <v>131</v>
      </c>
      <c r="B51" s="7" t="s">
        <v>85</v>
      </c>
      <c r="C51" s="10" t="s">
        <v>92</v>
      </c>
      <c r="D51" s="10" t="s">
        <v>92</v>
      </c>
      <c r="E51" s="10" t="s">
        <v>92</v>
      </c>
      <c r="F51" s="9">
        <v>0</v>
      </c>
      <c r="G51" s="10" t="s">
        <v>92</v>
      </c>
      <c r="H51" s="9">
        <v>0</v>
      </c>
      <c r="I51" s="10" t="s">
        <v>92</v>
      </c>
      <c r="J51" s="9">
        <v>0</v>
      </c>
      <c r="K51" s="10" t="s">
        <v>92</v>
      </c>
    </row>
    <row r="52" spans="1:11" ht="28.5" customHeight="1" x14ac:dyDescent="0.3">
      <c r="A52" s="6" t="s">
        <v>132</v>
      </c>
      <c r="B52" s="7" t="s">
        <v>85</v>
      </c>
      <c r="C52" s="10" t="s">
        <v>92</v>
      </c>
      <c r="D52" s="10" t="s">
        <v>92</v>
      </c>
      <c r="E52" s="10" t="s">
        <v>92</v>
      </c>
      <c r="F52" s="9">
        <v>0</v>
      </c>
      <c r="G52" s="10" t="s">
        <v>92</v>
      </c>
      <c r="H52" s="9">
        <v>0</v>
      </c>
      <c r="I52" s="10" t="s">
        <v>92</v>
      </c>
      <c r="J52" s="9">
        <v>0</v>
      </c>
      <c r="K52" s="10" t="s">
        <v>92</v>
      </c>
    </row>
    <row r="53" spans="1:11" ht="28.5" customHeight="1" x14ac:dyDescent="0.3">
      <c r="A53" s="6" t="s">
        <v>133</v>
      </c>
      <c r="B53" s="7" t="s">
        <v>85</v>
      </c>
      <c r="C53" s="10" t="s">
        <v>92</v>
      </c>
      <c r="D53" s="10" t="s">
        <v>92</v>
      </c>
      <c r="E53" s="10" t="s">
        <v>92</v>
      </c>
      <c r="F53" s="9">
        <v>0</v>
      </c>
      <c r="G53" s="10" t="s">
        <v>92</v>
      </c>
      <c r="H53" s="9">
        <v>0</v>
      </c>
      <c r="I53" s="10" t="s">
        <v>92</v>
      </c>
      <c r="J53" s="9">
        <v>0</v>
      </c>
      <c r="K53" s="10" t="s">
        <v>92</v>
      </c>
    </row>
    <row r="54" spans="1:11" ht="28.5" customHeight="1" x14ac:dyDescent="0.3">
      <c r="A54" s="6" t="s">
        <v>134</v>
      </c>
      <c r="B54" s="7" t="s">
        <v>85</v>
      </c>
      <c r="C54" s="10" t="s">
        <v>92</v>
      </c>
      <c r="D54" s="10" t="s">
        <v>92</v>
      </c>
      <c r="E54" s="10" t="s">
        <v>92</v>
      </c>
      <c r="F54" s="9">
        <v>0</v>
      </c>
      <c r="G54" s="10" t="s">
        <v>92</v>
      </c>
      <c r="H54" s="9">
        <v>0</v>
      </c>
      <c r="I54" s="10" t="s">
        <v>92</v>
      </c>
      <c r="J54" s="9">
        <v>0</v>
      </c>
      <c r="K54" s="10" t="s">
        <v>92</v>
      </c>
    </row>
    <row r="55" spans="1:11" ht="28.5" customHeight="1" x14ac:dyDescent="0.3">
      <c r="A55" s="6" t="s">
        <v>135</v>
      </c>
      <c r="B55" s="7" t="s">
        <v>85</v>
      </c>
      <c r="C55" s="10" t="s">
        <v>92</v>
      </c>
      <c r="D55" s="10" t="s">
        <v>92</v>
      </c>
      <c r="E55" s="10" t="s">
        <v>92</v>
      </c>
      <c r="F55" s="9">
        <v>0</v>
      </c>
      <c r="G55" s="10" t="s">
        <v>92</v>
      </c>
      <c r="H55" s="9">
        <v>0</v>
      </c>
      <c r="I55" s="10" t="s">
        <v>92</v>
      </c>
      <c r="J55" s="9">
        <v>0</v>
      </c>
      <c r="K55" s="10" t="s">
        <v>92</v>
      </c>
    </row>
    <row r="56" spans="1:11" ht="28.5" customHeight="1" x14ac:dyDescent="0.3">
      <c r="A56" s="6" t="s">
        <v>136</v>
      </c>
      <c r="B56" s="7" t="s">
        <v>85</v>
      </c>
      <c r="C56" s="10" t="s">
        <v>92</v>
      </c>
      <c r="D56" s="10" t="s">
        <v>92</v>
      </c>
      <c r="E56" s="10" t="s">
        <v>92</v>
      </c>
      <c r="F56" s="9">
        <v>0</v>
      </c>
      <c r="G56" s="10" t="s">
        <v>92</v>
      </c>
      <c r="H56" s="9">
        <v>0</v>
      </c>
      <c r="I56" s="10" t="s">
        <v>92</v>
      </c>
      <c r="J56" s="9">
        <v>0</v>
      </c>
      <c r="K56" s="10" t="s">
        <v>92</v>
      </c>
    </row>
    <row r="57" spans="1:11" ht="42.75" customHeight="1" x14ac:dyDescent="0.3">
      <c r="A57" s="6" t="s">
        <v>137</v>
      </c>
      <c r="B57" s="7" t="s">
        <v>85</v>
      </c>
      <c r="C57" s="10" t="s">
        <v>92</v>
      </c>
      <c r="D57" s="10" t="s">
        <v>92</v>
      </c>
      <c r="E57" s="10" t="s">
        <v>92</v>
      </c>
      <c r="F57" s="9">
        <v>0</v>
      </c>
      <c r="G57" s="10" t="s">
        <v>92</v>
      </c>
      <c r="H57" s="9">
        <v>0</v>
      </c>
      <c r="I57" s="10" t="s">
        <v>92</v>
      </c>
      <c r="J57" s="9">
        <v>0</v>
      </c>
      <c r="K57" s="10" t="s">
        <v>92</v>
      </c>
    </row>
    <row r="58" spans="1:11" ht="42.75" customHeight="1" x14ac:dyDescent="0.3">
      <c r="A58" s="6" t="s">
        <v>138</v>
      </c>
      <c r="B58" s="7" t="s">
        <v>85</v>
      </c>
      <c r="C58" s="10" t="s">
        <v>92</v>
      </c>
      <c r="D58" s="10" t="s">
        <v>92</v>
      </c>
      <c r="E58" s="10" t="s">
        <v>92</v>
      </c>
      <c r="F58" s="9">
        <v>0</v>
      </c>
      <c r="G58" s="10" t="s">
        <v>92</v>
      </c>
      <c r="H58" s="9">
        <v>0</v>
      </c>
      <c r="I58" s="10" t="s">
        <v>92</v>
      </c>
      <c r="J58" s="9">
        <v>0</v>
      </c>
      <c r="K58" s="10" t="s">
        <v>92</v>
      </c>
    </row>
    <row r="59" spans="1:11" ht="28.5" customHeight="1" x14ac:dyDescent="0.3">
      <c r="A59" s="6" t="s">
        <v>139</v>
      </c>
      <c r="B59" s="7" t="s">
        <v>85</v>
      </c>
      <c r="C59" s="10" t="s">
        <v>92</v>
      </c>
      <c r="D59" s="10" t="s">
        <v>92</v>
      </c>
      <c r="E59" s="10" t="s">
        <v>92</v>
      </c>
      <c r="F59" s="9">
        <v>0</v>
      </c>
      <c r="G59" s="10" t="s">
        <v>92</v>
      </c>
      <c r="H59" s="9">
        <v>0</v>
      </c>
      <c r="I59" s="10" t="s">
        <v>92</v>
      </c>
      <c r="J59" s="9">
        <v>0</v>
      </c>
      <c r="K59" s="10" t="s">
        <v>92</v>
      </c>
    </row>
    <row r="60" spans="1:11" ht="28.5" customHeight="1" x14ac:dyDescent="0.3">
      <c r="A60" s="6" t="s">
        <v>140</v>
      </c>
      <c r="B60" s="7" t="s">
        <v>85</v>
      </c>
      <c r="C60" s="10" t="s">
        <v>92</v>
      </c>
      <c r="D60" s="10" t="s">
        <v>92</v>
      </c>
      <c r="E60" s="10" t="s">
        <v>92</v>
      </c>
      <c r="F60" s="9">
        <v>0</v>
      </c>
      <c r="G60" s="10" t="s">
        <v>92</v>
      </c>
      <c r="H60" s="9">
        <v>0</v>
      </c>
      <c r="I60" s="10" t="s">
        <v>92</v>
      </c>
      <c r="J60" s="9">
        <v>0</v>
      </c>
      <c r="K60" s="10" t="s">
        <v>92</v>
      </c>
    </row>
    <row r="61" spans="1:11" ht="28.5" customHeight="1" x14ac:dyDescent="0.3">
      <c r="A61" s="6" t="s">
        <v>141</v>
      </c>
      <c r="B61" s="7" t="s">
        <v>85</v>
      </c>
      <c r="C61" s="10" t="s">
        <v>92</v>
      </c>
      <c r="D61" s="8" t="s">
        <v>92</v>
      </c>
      <c r="E61" s="8" t="s">
        <v>92</v>
      </c>
      <c r="F61" s="9">
        <v>0</v>
      </c>
      <c r="G61" s="8" t="s">
        <v>92</v>
      </c>
      <c r="H61" s="9">
        <v>0</v>
      </c>
      <c r="I61" s="8" t="s">
        <v>92</v>
      </c>
      <c r="J61" s="9">
        <v>0</v>
      </c>
      <c r="K61" s="8" t="s">
        <v>92</v>
      </c>
    </row>
    <row r="62" spans="1:11" ht="14.25" customHeight="1" x14ac:dyDescent="0.3">
      <c r="A62" s="316" t="s">
        <v>142</v>
      </c>
      <c r="B62" s="332"/>
      <c r="C62" s="317">
        <v>12</v>
      </c>
      <c r="D62" s="317">
        <v>1833635385</v>
      </c>
      <c r="E62" s="317">
        <v>1833635385</v>
      </c>
      <c r="F62" s="318">
        <v>74.08</v>
      </c>
      <c r="G62" s="317">
        <v>1833635385</v>
      </c>
      <c r="H62" s="318">
        <v>74.08</v>
      </c>
      <c r="I62" s="317">
        <v>1833635385</v>
      </c>
      <c r="J62" s="318">
        <v>74.08</v>
      </c>
      <c r="K62" s="317">
        <v>1833635385</v>
      </c>
    </row>
    <row r="63" spans="1:11" ht="14.25" customHeight="1" x14ac:dyDescent="0.3">
      <c r="A63" s="320" t="s">
        <v>143</v>
      </c>
      <c r="B63" s="321"/>
      <c r="C63" s="321"/>
      <c r="D63" s="321"/>
      <c r="E63" s="321"/>
      <c r="F63" s="321"/>
      <c r="G63" s="321"/>
      <c r="H63" s="321"/>
      <c r="I63" s="321"/>
      <c r="J63" s="321"/>
      <c r="K63" s="322"/>
    </row>
    <row r="64" spans="1:11" ht="14.25" customHeight="1" x14ac:dyDescent="0.3">
      <c r="A64" s="2" t="s">
        <v>144</v>
      </c>
      <c r="B64" s="3"/>
      <c r="C64" s="4">
        <v>1</v>
      </c>
      <c r="D64" s="4">
        <v>1000</v>
      </c>
      <c r="E64" s="4">
        <v>1000</v>
      </c>
      <c r="F64" s="5">
        <v>0</v>
      </c>
      <c r="G64" s="4">
        <v>1000</v>
      </c>
      <c r="H64" s="5">
        <v>0</v>
      </c>
      <c r="I64" s="4">
        <v>1000</v>
      </c>
      <c r="J64" s="5">
        <v>0</v>
      </c>
      <c r="K64" s="4">
        <v>1000</v>
      </c>
    </row>
    <row r="65" spans="1:11" ht="14.25" customHeight="1" x14ac:dyDescent="0.3">
      <c r="A65" s="6" t="s">
        <v>145</v>
      </c>
      <c r="B65" s="7" t="s">
        <v>88</v>
      </c>
      <c r="C65" s="10" t="s">
        <v>92</v>
      </c>
      <c r="D65" s="8" t="s">
        <v>92</v>
      </c>
      <c r="E65" s="8" t="s">
        <v>92</v>
      </c>
      <c r="F65" s="9">
        <v>0</v>
      </c>
      <c r="G65" s="8" t="s">
        <v>92</v>
      </c>
      <c r="H65" s="9">
        <v>0</v>
      </c>
      <c r="I65" s="8" t="s">
        <v>92</v>
      </c>
      <c r="J65" s="9">
        <v>0</v>
      </c>
      <c r="K65" s="8" t="s">
        <v>92</v>
      </c>
    </row>
    <row r="66" spans="1:11" ht="28.5" customHeight="1" x14ac:dyDescent="0.3">
      <c r="A66" s="6" t="s">
        <v>146</v>
      </c>
      <c r="B66" s="7" t="s">
        <v>85</v>
      </c>
      <c r="C66" s="8">
        <v>1</v>
      </c>
      <c r="D66" s="8">
        <v>1000</v>
      </c>
      <c r="E66" s="8">
        <v>1000</v>
      </c>
      <c r="F66" s="9">
        <v>0</v>
      </c>
      <c r="G66" s="8">
        <v>1000</v>
      </c>
      <c r="H66" s="9">
        <v>0</v>
      </c>
      <c r="I66" s="8">
        <v>1000</v>
      </c>
      <c r="J66" s="9">
        <v>0</v>
      </c>
      <c r="K66" s="8">
        <v>1000</v>
      </c>
    </row>
    <row r="67" spans="1:11" ht="14.25" customHeight="1" x14ac:dyDescent="0.3">
      <c r="A67" s="2" t="s">
        <v>93</v>
      </c>
      <c r="B67" s="3"/>
      <c r="C67" s="11" t="s">
        <v>92</v>
      </c>
      <c r="D67" s="11" t="s">
        <v>92</v>
      </c>
      <c r="E67" s="11" t="s">
        <v>92</v>
      </c>
      <c r="F67" s="5">
        <v>0</v>
      </c>
      <c r="G67" s="11" t="s">
        <v>92</v>
      </c>
      <c r="H67" s="5">
        <v>0</v>
      </c>
      <c r="I67" s="11" t="s">
        <v>92</v>
      </c>
      <c r="J67" s="5">
        <v>0</v>
      </c>
      <c r="K67" s="11" t="s">
        <v>92</v>
      </c>
    </row>
    <row r="68" spans="1:11" ht="28.5" customHeight="1" x14ac:dyDescent="0.3">
      <c r="A68" s="6" t="s">
        <v>147</v>
      </c>
      <c r="B68" s="7" t="s">
        <v>85</v>
      </c>
      <c r="C68" s="10" t="s">
        <v>92</v>
      </c>
      <c r="D68" s="10" t="s">
        <v>92</v>
      </c>
      <c r="E68" s="10" t="s">
        <v>92</v>
      </c>
      <c r="F68" s="9">
        <v>0</v>
      </c>
      <c r="G68" s="10" t="s">
        <v>92</v>
      </c>
      <c r="H68" s="9">
        <v>0</v>
      </c>
      <c r="I68" s="10" t="s">
        <v>92</v>
      </c>
      <c r="J68" s="9">
        <v>0</v>
      </c>
      <c r="K68" s="10" t="s">
        <v>92</v>
      </c>
    </row>
    <row r="69" spans="1:11" ht="28.5" customHeight="1" x14ac:dyDescent="0.3">
      <c r="A69" s="6" t="s">
        <v>148</v>
      </c>
      <c r="B69" s="7" t="s">
        <v>85</v>
      </c>
      <c r="C69" s="10" t="s">
        <v>92</v>
      </c>
      <c r="D69" s="10" t="s">
        <v>92</v>
      </c>
      <c r="E69" s="10" t="s">
        <v>92</v>
      </c>
      <c r="F69" s="9">
        <v>0</v>
      </c>
      <c r="G69" s="10" t="s">
        <v>92</v>
      </c>
      <c r="H69" s="9">
        <v>0</v>
      </c>
      <c r="I69" s="10" t="s">
        <v>92</v>
      </c>
      <c r="J69" s="9">
        <v>0</v>
      </c>
      <c r="K69" s="10" t="s">
        <v>92</v>
      </c>
    </row>
    <row r="70" spans="1:11" ht="28.5" customHeight="1" x14ac:dyDescent="0.3">
      <c r="A70" s="6" t="s">
        <v>149</v>
      </c>
      <c r="B70" s="7" t="s">
        <v>85</v>
      </c>
      <c r="C70" s="10" t="s">
        <v>92</v>
      </c>
      <c r="D70" s="10" t="s">
        <v>92</v>
      </c>
      <c r="E70" s="10" t="s">
        <v>92</v>
      </c>
      <c r="F70" s="9">
        <v>0</v>
      </c>
      <c r="G70" s="10" t="s">
        <v>92</v>
      </c>
      <c r="H70" s="9">
        <v>0</v>
      </c>
      <c r="I70" s="10" t="s">
        <v>92</v>
      </c>
      <c r="J70" s="9">
        <v>0</v>
      </c>
      <c r="K70" s="10" t="s">
        <v>92</v>
      </c>
    </row>
    <row r="71" spans="1:11" ht="28.5" customHeight="1" x14ac:dyDescent="0.3">
      <c r="A71" s="6" t="s">
        <v>150</v>
      </c>
      <c r="B71" s="7" t="s">
        <v>85</v>
      </c>
      <c r="C71" s="10" t="s">
        <v>92</v>
      </c>
      <c r="D71" s="10" t="s">
        <v>92</v>
      </c>
      <c r="E71" s="10" t="s">
        <v>92</v>
      </c>
      <c r="F71" s="9">
        <v>0</v>
      </c>
      <c r="G71" s="10" t="s">
        <v>92</v>
      </c>
      <c r="H71" s="9">
        <v>0</v>
      </c>
      <c r="I71" s="10" t="s">
        <v>92</v>
      </c>
      <c r="J71" s="9">
        <v>0</v>
      </c>
      <c r="K71" s="10" t="s">
        <v>92</v>
      </c>
    </row>
    <row r="72" spans="1:11" ht="28.5" customHeight="1" x14ac:dyDescent="0.3">
      <c r="A72" s="6" t="s">
        <v>151</v>
      </c>
      <c r="B72" s="7" t="s">
        <v>85</v>
      </c>
      <c r="C72" s="10" t="s">
        <v>92</v>
      </c>
      <c r="D72" s="10" t="s">
        <v>92</v>
      </c>
      <c r="E72" s="10" t="s">
        <v>92</v>
      </c>
      <c r="F72" s="9">
        <v>0</v>
      </c>
      <c r="G72" s="10" t="s">
        <v>92</v>
      </c>
      <c r="H72" s="9">
        <v>0</v>
      </c>
      <c r="I72" s="10" t="s">
        <v>92</v>
      </c>
      <c r="J72" s="9">
        <v>0</v>
      </c>
      <c r="K72" s="10" t="s">
        <v>92</v>
      </c>
    </row>
    <row r="73" spans="1:11" ht="28.5" customHeight="1" x14ac:dyDescent="0.3">
      <c r="A73" s="6" t="s">
        <v>152</v>
      </c>
      <c r="B73" s="7" t="s">
        <v>85</v>
      </c>
      <c r="C73" s="10" t="s">
        <v>92</v>
      </c>
      <c r="D73" s="10" t="s">
        <v>92</v>
      </c>
      <c r="E73" s="10" t="s">
        <v>92</v>
      </c>
      <c r="F73" s="9">
        <v>0</v>
      </c>
      <c r="G73" s="10" t="s">
        <v>92</v>
      </c>
      <c r="H73" s="9">
        <v>0</v>
      </c>
      <c r="I73" s="10" t="s">
        <v>92</v>
      </c>
      <c r="J73" s="9">
        <v>0</v>
      </c>
      <c r="K73" s="10" t="s">
        <v>92</v>
      </c>
    </row>
    <row r="74" spans="1:11" ht="28.5" customHeight="1" x14ac:dyDescent="0.3">
      <c r="A74" s="6" t="s">
        <v>153</v>
      </c>
      <c r="B74" s="7" t="s">
        <v>85</v>
      </c>
      <c r="C74" s="10" t="s">
        <v>92</v>
      </c>
      <c r="D74" s="10" t="s">
        <v>92</v>
      </c>
      <c r="E74" s="10" t="s">
        <v>92</v>
      </c>
      <c r="F74" s="9">
        <v>0</v>
      </c>
      <c r="G74" s="10" t="s">
        <v>92</v>
      </c>
      <c r="H74" s="9">
        <v>0</v>
      </c>
      <c r="I74" s="10" t="s">
        <v>92</v>
      </c>
      <c r="J74" s="9">
        <v>0</v>
      </c>
      <c r="K74" s="10" t="s">
        <v>92</v>
      </c>
    </row>
    <row r="75" spans="1:11" ht="28.5" customHeight="1" x14ac:dyDescent="0.3">
      <c r="A75" s="6" t="s">
        <v>154</v>
      </c>
      <c r="B75" s="7" t="s">
        <v>85</v>
      </c>
      <c r="C75" s="10" t="s">
        <v>92</v>
      </c>
      <c r="D75" s="10" t="s">
        <v>92</v>
      </c>
      <c r="E75" s="10" t="s">
        <v>92</v>
      </c>
      <c r="F75" s="9">
        <v>0</v>
      </c>
      <c r="G75" s="10" t="s">
        <v>92</v>
      </c>
      <c r="H75" s="9">
        <v>0</v>
      </c>
      <c r="I75" s="10" t="s">
        <v>92</v>
      </c>
      <c r="J75" s="9">
        <v>0</v>
      </c>
      <c r="K75" s="10" t="s">
        <v>92</v>
      </c>
    </row>
    <row r="76" spans="1:11" ht="28.5" customHeight="1" x14ac:dyDescent="0.3">
      <c r="A76" s="6" t="s">
        <v>155</v>
      </c>
      <c r="B76" s="7" t="s">
        <v>85</v>
      </c>
      <c r="C76" s="10" t="s">
        <v>92</v>
      </c>
      <c r="D76" s="10" t="s">
        <v>92</v>
      </c>
      <c r="E76" s="10" t="s">
        <v>92</v>
      </c>
      <c r="F76" s="9">
        <v>0</v>
      </c>
      <c r="G76" s="10" t="s">
        <v>92</v>
      </c>
      <c r="H76" s="9">
        <v>0</v>
      </c>
      <c r="I76" s="10" t="s">
        <v>92</v>
      </c>
      <c r="J76" s="9">
        <v>0</v>
      </c>
      <c r="K76" s="10" t="s">
        <v>92</v>
      </c>
    </row>
    <row r="77" spans="1:11" ht="28.5" customHeight="1" x14ac:dyDescent="0.3">
      <c r="A77" s="6" t="s">
        <v>156</v>
      </c>
      <c r="B77" s="7" t="s">
        <v>85</v>
      </c>
      <c r="C77" s="10" t="s">
        <v>92</v>
      </c>
      <c r="D77" s="8" t="s">
        <v>92</v>
      </c>
      <c r="E77" s="8" t="s">
        <v>92</v>
      </c>
      <c r="F77" s="9">
        <v>0</v>
      </c>
      <c r="G77" s="8" t="s">
        <v>92</v>
      </c>
      <c r="H77" s="9">
        <v>0</v>
      </c>
      <c r="I77" s="8" t="s">
        <v>92</v>
      </c>
      <c r="J77" s="9">
        <v>0</v>
      </c>
      <c r="K77" s="8" t="s">
        <v>92</v>
      </c>
    </row>
    <row r="78" spans="1:11" ht="14.25" customHeight="1" x14ac:dyDescent="0.3">
      <c r="A78" s="323" t="s">
        <v>157</v>
      </c>
      <c r="B78" s="333"/>
      <c r="C78" s="324">
        <v>1</v>
      </c>
      <c r="D78" s="324">
        <v>1000</v>
      </c>
      <c r="E78" s="324">
        <v>1000</v>
      </c>
      <c r="F78" s="325">
        <v>0</v>
      </c>
      <c r="G78" s="324">
        <v>1000</v>
      </c>
      <c r="H78" s="325">
        <v>0</v>
      </c>
      <c r="I78" s="324">
        <v>1000</v>
      </c>
      <c r="J78" s="325">
        <v>0</v>
      </c>
      <c r="K78" s="324">
        <v>1000</v>
      </c>
    </row>
    <row r="79" spans="1:11" ht="14.25" customHeight="1" x14ac:dyDescent="0.3">
      <c r="A79" s="327" t="s">
        <v>158</v>
      </c>
      <c r="B79" s="334"/>
      <c r="C79" s="328">
        <v>13</v>
      </c>
      <c r="D79" s="328">
        <v>1833636385</v>
      </c>
      <c r="E79" s="328">
        <v>1833636385</v>
      </c>
      <c r="F79" s="329">
        <v>74.08</v>
      </c>
      <c r="G79" s="328">
        <v>1833636385</v>
      </c>
      <c r="H79" s="329">
        <v>74.08</v>
      </c>
      <c r="I79" s="328">
        <v>1833636385</v>
      </c>
      <c r="J79" s="329">
        <v>74.08</v>
      </c>
      <c r="K79" s="328">
        <v>1833636385</v>
      </c>
    </row>
    <row r="81" spans="1:11" ht="14.25" customHeight="1" x14ac:dyDescent="0.3">
      <c r="A81" s="216"/>
      <c r="B81" s="204"/>
      <c r="C81" s="204"/>
      <c r="D81" s="204"/>
      <c r="E81" s="204"/>
      <c r="F81" s="204"/>
      <c r="G81" s="204"/>
      <c r="H81" s="204"/>
      <c r="I81" s="204"/>
      <c r="J81" s="204"/>
      <c r="K81" s="204"/>
    </row>
  </sheetData>
  <mergeCells count="5">
    <mergeCell ref="A81:K81"/>
    <mergeCell ref="A2:K2"/>
    <mergeCell ref="A63:K63"/>
    <mergeCell ref="A1:K1"/>
    <mergeCell ref="A5:K5"/>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56"/>
  <sheetViews>
    <sheetView showGridLines="0" zoomScaleNormal="100" workbookViewId="0">
      <selection activeCell="A53" sqref="A53:M54"/>
    </sheetView>
  </sheetViews>
  <sheetFormatPr defaultColWidth="8.6640625" defaultRowHeight="14.4" x14ac:dyDescent="0.3"/>
  <cols>
    <col min="1" max="1" width="79.5546875" style="180" customWidth="1"/>
    <col min="2" max="2" width="11.33203125" style="180" customWidth="1"/>
    <col min="3" max="3" width="15.77734375" style="180" customWidth="1"/>
    <col min="4" max="4" width="11.6640625" style="180" customWidth="1"/>
    <col min="5" max="5" width="11.21875" style="180" customWidth="1"/>
    <col min="6" max="6" width="11.6640625" style="180" customWidth="1"/>
    <col min="7" max="7" width="11.44140625" style="180" customWidth="1"/>
    <col min="8" max="8" width="12.77734375" style="180" customWidth="1"/>
    <col min="9" max="10" width="13.109375" style="180" customWidth="1"/>
    <col min="11" max="11" width="12.44140625" style="180" customWidth="1"/>
    <col min="12" max="13" width="12.5546875" style="180" customWidth="1"/>
  </cols>
  <sheetData>
    <row r="1" spans="1:13" ht="19.350000000000001" customHeight="1" x14ac:dyDescent="0.3">
      <c r="A1" s="219" t="s">
        <v>159</v>
      </c>
      <c r="B1" s="204"/>
      <c r="C1" s="204"/>
      <c r="D1" s="204"/>
      <c r="E1" s="204"/>
      <c r="F1" s="204"/>
      <c r="G1" s="204"/>
      <c r="H1" s="204"/>
      <c r="I1" s="204"/>
      <c r="J1" s="204"/>
      <c r="K1" s="204"/>
      <c r="L1" s="204"/>
      <c r="M1" s="204"/>
    </row>
    <row r="2" spans="1:13" ht="14.25" customHeight="1" x14ac:dyDescent="0.3">
      <c r="A2" s="220" t="s">
        <v>70</v>
      </c>
      <c r="B2" s="204"/>
      <c r="C2" s="204"/>
      <c r="D2" s="204"/>
      <c r="E2" s="204"/>
      <c r="F2" s="204"/>
      <c r="G2" s="204"/>
      <c r="H2" s="204"/>
      <c r="I2" s="204"/>
      <c r="J2" s="204"/>
      <c r="K2" s="204"/>
      <c r="L2" s="204"/>
      <c r="M2" s="204"/>
    </row>
    <row r="3" spans="1:13" ht="14.25" customHeight="1" x14ac:dyDescent="0.3">
      <c r="A3" s="1"/>
      <c r="B3" s="1"/>
      <c r="C3" s="1"/>
      <c r="D3" s="1"/>
      <c r="E3" s="1"/>
      <c r="F3" s="1"/>
      <c r="G3" s="1"/>
      <c r="H3" s="1"/>
      <c r="I3" s="1"/>
      <c r="J3" s="1"/>
      <c r="K3" s="1"/>
      <c r="L3" s="1"/>
      <c r="M3" s="1"/>
    </row>
    <row r="4" spans="1:13" ht="57" customHeight="1" x14ac:dyDescent="0.3">
      <c r="A4" s="312" t="s">
        <v>160</v>
      </c>
      <c r="B4" s="312" t="s">
        <v>73</v>
      </c>
      <c r="C4" s="312" t="s">
        <v>74</v>
      </c>
      <c r="D4" s="312" t="s">
        <v>75</v>
      </c>
      <c r="E4" s="312" t="s">
        <v>76</v>
      </c>
      <c r="F4" s="312" t="s">
        <v>161</v>
      </c>
      <c r="G4" s="312" t="s">
        <v>78</v>
      </c>
      <c r="H4" s="312" t="s">
        <v>79</v>
      </c>
      <c r="I4" s="312" t="s">
        <v>80</v>
      </c>
      <c r="J4" s="312" t="s">
        <v>81</v>
      </c>
      <c r="K4" s="312" t="s">
        <v>162</v>
      </c>
      <c r="L4" s="312" t="s">
        <v>163</v>
      </c>
      <c r="M4" s="312" t="s">
        <v>164</v>
      </c>
    </row>
    <row r="5" spans="1:13" ht="14.25" customHeight="1" x14ac:dyDescent="0.3">
      <c r="A5" s="313" t="s">
        <v>165</v>
      </c>
      <c r="B5" s="314"/>
      <c r="C5" s="314"/>
      <c r="D5" s="314"/>
      <c r="E5" s="314"/>
      <c r="F5" s="314"/>
      <c r="G5" s="314"/>
      <c r="H5" s="314"/>
      <c r="I5" s="314"/>
      <c r="J5" s="314"/>
      <c r="K5" s="314"/>
      <c r="L5" s="314"/>
      <c r="M5" s="315"/>
    </row>
    <row r="6" spans="1:13" ht="14.25" customHeight="1" x14ac:dyDescent="0.3">
      <c r="A6" s="12" t="s">
        <v>166</v>
      </c>
      <c r="B6" s="4">
        <v>0</v>
      </c>
      <c r="C6" s="4">
        <v>0</v>
      </c>
      <c r="D6" s="4" t="s">
        <v>92</v>
      </c>
      <c r="E6" s="5">
        <v>0</v>
      </c>
      <c r="F6" s="4" t="s">
        <v>92</v>
      </c>
      <c r="G6" s="5">
        <v>0</v>
      </c>
      <c r="H6" s="4" t="s">
        <v>92</v>
      </c>
      <c r="I6" s="5">
        <v>0</v>
      </c>
      <c r="J6" s="4" t="s">
        <v>92</v>
      </c>
      <c r="K6" s="11" t="s">
        <v>92</v>
      </c>
      <c r="L6" s="11" t="s">
        <v>92</v>
      </c>
      <c r="M6" s="11" t="s">
        <v>92</v>
      </c>
    </row>
    <row r="7" spans="1:13" ht="14.25" customHeight="1" x14ac:dyDescent="0.3">
      <c r="A7" s="6" t="s">
        <v>167</v>
      </c>
      <c r="B7" s="8">
        <v>42</v>
      </c>
      <c r="C7" s="8">
        <v>127406762</v>
      </c>
      <c r="D7" s="8">
        <v>127406762</v>
      </c>
      <c r="E7" s="9">
        <v>5.15</v>
      </c>
      <c r="F7" s="8">
        <v>127406762</v>
      </c>
      <c r="G7" s="9">
        <v>5.15</v>
      </c>
      <c r="H7" s="8">
        <v>127406762</v>
      </c>
      <c r="I7" s="9">
        <v>5.15</v>
      </c>
      <c r="J7" s="8">
        <v>127406762</v>
      </c>
      <c r="K7" s="10" t="s">
        <v>92</v>
      </c>
      <c r="L7" s="10" t="s">
        <v>92</v>
      </c>
      <c r="M7" s="10" t="s">
        <v>92</v>
      </c>
    </row>
    <row r="8" spans="1:13" ht="14.25" customHeight="1" x14ac:dyDescent="0.3">
      <c r="A8" s="13" t="s">
        <v>168</v>
      </c>
      <c r="B8" s="14">
        <v>1</v>
      </c>
      <c r="C8" s="14">
        <v>26622038</v>
      </c>
      <c r="D8" s="14">
        <v>26622038</v>
      </c>
      <c r="E8" s="15">
        <v>1.08</v>
      </c>
      <c r="F8" s="14">
        <v>26622038</v>
      </c>
      <c r="G8" s="15">
        <v>1.08</v>
      </c>
      <c r="H8" s="14">
        <v>26622038</v>
      </c>
      <c r="I8" s="15">
        <v>1.08</v>
      </c>
      <c r="J8" s="14">
        <v>26622038</v>
      </c>
      <c r="K8" s="16" t="s">
        <v>92</v>
      </c>
      <c r="L8" s="16" t="s">
        <v>92</v>
      </c>
      <c r="M8" s="16" t="s">
        <v>92</v>
      </c>
    </row>
    <row r="9" spans="1:13" ht="14.25" customHeight="1" x14ac:dyDescent="0.3">
      <c r="A9" s="13" t="s">
        <v>169</v>
      </c>
      <c r="B9" s="14">
        <v>1</v>
      </c>
      <c r="C9" s="14">
        <v>35900187</v>
      </c>
      <c r="D9" s="14">
        <v>35900187</v>
      </c>
      <c r="E9" s="15">
        <v>1.45</v>
      </c>
      <c r="F9" s="14">
        <v>35900187</v>
      </c>
      <c r="G9" s="15">
        <v>1.45</v>
      </c>
      <c r="H9" s="14">
        <v>35900187</v>
      </c>
      <c r="I9" s="15">
        <v>1.45</v>
      </c>
      <c r="J9" s="14">
        <v>35900187</v>
      </c>
      <c r="K9" s="16" t="s">
        <v>92</v>
      </c>
      <c r="L9" s="16" t="s">
        <v>92</v>
      </c>
      <c r="M9" s="16" t="s">
        <v>92</v>
      </c>
    </row>
    <row r="10" spans="1:13" ht="14.25" customHeight="1" x14ac:dyDescent="0.3">
      <c r="A10" s="6" t="s">
        <v>170</v>
      </c>
      <c r="B10" s="8">
        <v>0</v>
      </c>
      <c r="C10" s="8">
        <v>0</v>
      </c>
      <c r="D10" s="8" t="s">
        <v>92</v>
      </c>
      <c r="E10" s="9">
        <v>0</v>
      </c>
      <c r="F10" s="8" t="s">
        <v>92</v>
      </c>
      <c r="G10" s="9">
        <v>0</v>
      </c>
      <c r="H10" s="8" t="s">
        <v>92</v>
      </c>
      <c r="I10" s="9">
        <v>0</v>
      </c>
      <c r="J10" s="8" t="s">
        <v>92</v>
      </c>
      <c r="K10" s="10" t="s">
        <v>92</v>
      </c>
      <c r="L10" s="10" t="s">
        <v>92</v>
      </c>
      <c r="M10" s="10" t="s">
        <v>92</v>
      </c>
    </row>
    <row r="11" spans="1:13" ht="14.25" customHeight="1" x14ac:dyDescent="0.3">
      <c r="A11" s="6" t="s">
        <v>171</v>
      </c>
      <c r="B11" s="8">
        <v>15</v>
      </c>
      <c r="C11" s="8">
        <v>2032639</v>
      </c>
      <c r="D11" s="8">
        <v>2032639</v>
      </c>
      <c r="E11" s="9">
        <v>0.08</v>
      </c>
      <c r="F11" s="8">
        <v>2032639</v>
      </c>
      <c r="G11" s="9">
        <v>0.08</v>
      </c>
      <c r="H11" s="8">
        <v>2032639</v>
      </c>
      <c r="I11" s="9">
        <v>0.08</v>
      </c>
      <c r="J11" s="8">
        <v>2032639</v>
      </c>
      <c r="K11" s="10" t="s">
        <v>92</v>
      </c>
      <c r="L11" s="10" t="s">
        <v>92</v>
      </c>
      <c r="M11" s="10" t="s">
        <v>92</v>
      </c>
    </row>
    <row r="12" spans="1:13" ht="14.25" customHeight="1" x14ac:dyDescent="0.3">
      <c r="A12" s="6" t="s">
        <v>172</v>
      </c>
      <c r="B12" s="8">
        <v>2</v>
      </c>
      <c r="C12" s="8">
        <v>465931</v>
      </c>
      <c r="D12" s="8">
        <v>465931</v>
      </c>
      <c r="E12" s="9">
        <v>0.02</v>
      </c>
      <c r="F12" s="8">
        <v>465931</v>
      </c>
      <c r="G12" s="9">
        <v>0.02</v>
      </c>
      <c r="H12" s="8">
        <v>465931</v>
      </c>
      <c r="I12" s="9">
        <v>0.02</v>
      </c>
      <c r="J12" s="8">
        <v>465931</v>
      </c>
      <c r="K12" s="10" t="s">
        <v>92</v>
      </c>
      <c r="L12" s="10" t="s">
        <v>92</v>
      </c>
      <c r="M12" s="10" t="s">
        <v>92</v>
      </c>
    </row>
    <row r="13" spans="1:13" ht="14.25" customHeight="1" x14ac:dyDescent="0.3">
      <c r="A13" s="6" t="s">
        <v>173</v>
      </c>
      <c r="B13" s="8">
        <v>15</v>
      </c>
      <c r="C13" s="8">
        <v>22533357</v>
      </c>
      <c r="D13" s="8">
        <v>22533357</v>
      </c>
      <c r="E13" s="9">
        <v>0.91</v>
      </c>
      <c r="F13" s="8">
        <v>22533357</v>
      </c>
      <c r="G13" s="9">
        <v>0.91</v>
      </c>
      <c r="H13" s="8">
        <v>22533357</v>
      </c>
      <c r="I13" s="9">
        <v>0.91</v>
      </c>
      <c r="J13" s="8">
        <v>22533357</v>
      </c>
      <c r="K13" s="10" t="s">
        <v>92</v>
      </c>
      <c r="L13" s="10" t="s">
        <v>92</v>
      </c>
      <c r="M13" s="10" t="s">
        <v>92</v>
      </c>
    </row>
    <row r="14" spans="1:13" ht="14.25" customHeight="1" x14ac:dyDescent="0.3">
      <c r="A14" s="6" t="s">
        <v>174</v>
      </c>
      <c r="B14" s="8">
        <v>1</v>
      </c>
      <c r="C14" s="8">
        <v>18967466</v>
      </c>
      <c r="D14" s="8">
        <v>18967466</v>
      </c>
      <c r="E14" s="9">
        <v>0.77</v>
      </c>
      <c r="F14" s="8">
        <v>18967466</v>
      </c>
      <c r="G14" s="9">
        <v>0.77</v>
      </c>
      <c r="H14" s="8">
        <v>18967466</v>
      </c>
      <c r="I14" s="9">
        <v>0.77</v>
      </c>
      <c r="J14" s="8">
        <v>18967466</v>
      </c>
      <c r="K14" s="10" t="s">
        <v>92</v>
      </c>
      <c r="L14" s="10" t="s">
        <v>92</v>
      </c>
      <c r="M14" s="10" t="s">
        <v>92</v>
      </c>
    </row>
    <row r="15" spans="1:13" ht="14.25" customHeight="1" x14ac:dyDescent="0.3">
      <c r="A15" s="6" t="s">
        <v>175</v>
      </c>
      <c r="B15" s="8">
        <v>0</v>
      </c>
      <c r="C15" s="8">
        <v>0</v>
      </c>
      <c r="D15" s="10" t="s">
        <v>92</v>
      </c>
      <c r="E15" s="9">
        <v>0</v>
      </c>
      <c r="F15" s="10" t="s">
        <v>92</v>
      </c>
      <c r="G15" s="9">
        <v>0</v>
      </c>
      <c r="H15" s="10" t="s">
        <v>92</v>
      </c>
      <c r="I15" s="9">
        <v>0</v>
      </c>
      <c r="J15" s="10" t="s">
        <v>92</v>
      </c>
      <c r="K15" s="10" t="s">
        <v>92</v>
      </c>
      <c r="L15" s="10" t="s">
        <v>92</v>
      </c>
      <c r="M15" s="10" t="s">
        <v>92</v>
      </c>
    </row>
    <row r="16" spans="1:13" ht="14.25" customHeight="1" x14ac:dyDescent="0.3">
      <c r="A16" s="6" t="s">
        <v>176</v>
      </c>
      <c r="B16" s="8">
        <v>0</v>
      </c>
      <c r="C16" s="8">
        <v>0</v>
      </c>
      <c r="D16" s="8" t="s">
        <v>92</v>
      </c>
      <c r="E16" s="9">
        <v>0</v>
      </c>
      <c r="F16" s="8" t="s">
        <v>92</v>
      </c>
      <c r="G16" s="9">
        <v>0</v>
      </c>
      <c r="H16" s="8" t="s">
        <v>92</v>
      </c>
      <c r="I16" s="9">
        <v>0</v>
      </c>
      <c r="J16" s="8" t="s">
        <v>92</v>
      </c>
      <c r="K16" s="10" t="s">
        <v>92</v>
      </c>
      <c r="L16" s="10" t="s">
        <v>92</v>
      </c>
      <c r="M16" s="10" t="s">
        <v>92</v>
      </c>
    </row>
    <row r="17" spans="1:13" ht="14.25" customHeight="1" x14ac:dyDescent="0.3">
      <c r="A17" s="6" t="s">
        <v>177</v>
      </c>
      <c r="B17" s="8">
        <v>2</v>
      </c>
      <c r="C17" s="8">
        <v>367540</v>
      </c>
      <c r="D17" s="8">
        <v>367540</v>
      </c>
      <c r="E17" s="9">
        <v>0.01</v>
      </c>
      <c r="F17" s="8">
        <v>367540</v>
      </c>
      <c r="G17" s="9">
        <v>0.01</v>
      </c>
      <c r="H17" s="8">
        <v>367540</v>
      </c>
      <c r="I17" s="9">
        <v>0.01</v>
      </c>
      <c r="J17" s="8">
        <v>367540</v>
      </c>
      <c r="K17" s="10" t="s">
        <v>92</v>
      </c>
      <c r="L17" s="10" t="s">
        <v>92</v>
      </c>
      <c r="M17" s="10" t="s">
        <v>92</v>
      </c>
    </row>
    <row r="18" spans="1:13" ht="14.25" customHeight="1" x14ac:dyDescent="0.3">
      <c r="A18" s="6" t="s">
        <v>178</v>
      </c>
      <c r="B18" s="8">
        <v>0</v>
      </c>
      <c r="C18" s="8">
        <v>0</v>
      </c>
      <c r="D18" s="10" t="s">
        <v>92</v>
      </c>
      <c r="E18" s="9">
        <v>0</v>
      </c>
      <c r="F18" s="10" t="s">
        <v>92</v>
      </c>
      <c r="G18" s="9">
        <v>0</v>
      </c>
      <c r="H18" s="10" t="s">
        <v>92</v>
      </c>
      <c r="I18" s="9">
        <v>0</v>
      </c>
      <c r="J18" s="10" t="s">
        <v>92</v>
      </c>
      <c r="K18" s="10" t="s">
        <v>92</v>
      </c>
      <c r="L18" s="10" t="s">
        <v>92</v>
      </c>
      <c r="M18" s="10" t="s">
        <v>92</v>
      </c>
    </row>
    <row r="19" spans="1:13" ht="14.25" customHeight="1" x14ac:dyDescent="0.3">
      <c r="A19" s="6" t="s">
        <v>179</v>
      </c>
      <c r="B19" s="8">
        <v>0</v>
      </c>
      <c r="C19" s="8">
        <v>0</v>
      </c>
      <c r="D19" s="8" t="s">
        <v>92</v>
      </c>
      <c r="E19" s="9">
        <v>0</v>
      </c>
      <c r="F19" s="8" t="s">
        <v>92</v>
      </c>
      <c r="G19" s="9">
        <v>0</v>
      </c>
      <c r="H19" s="8" t="s">
        <v>92</v>
      </c>
      <c r="I19" s="9">
        <v>0</v>
      </c>
      <c r="J19" s="8" t="s">
        <v>92</v>
      </c>
      <c r="K19" s="10" t="s">
        <v>92</v>
      </c>
      <c r="L19" s="10" t="s">
        <v>92</v>
      </c>
      <c r="M19" s="10" t="s">
        <v>92</v>
      </c>
    </row>
    <row r="20" spans="1:13" ht="14.25" customHeight="1" x14ac:dyDescent="0.3">
      <c r="A20" s="316" t="s">
        <v>180</v>
      </c>
      <c r="B20" s="317">
        <v>77</v>
      </c>
      <c r="C20" s="317">
        <v>171773695</v>
      </c>
      <c r="D20" s="317">
        <v>171773695</v>
      </c>
      <c r="E20" s="318">
        <v>6.94</v>
      </c>
      <c r="F20" s="317">
        <v>171773695</v>
      </c>
      <c r="G20" s="318">
        <v>6.94</v>
      </c>
      <c r="H20" s="317">
        <v>171773695</v>
      </c>
      <c r="I20" s="318">
        <v>6.94</v>
      </c>
      <c r="J20" s="317">
        <v>171773695</v>
      </c>
      <c r="K20" s="319" t="s">
        <v>92</v>
      </c>
      <c r="L20" s="319" t="s">
        <v>92</v>
      </c>
      <c r="M20" s="319" t="s">
        <v>92</v>
      </c>
    </row>
    <row r="21" spans="1:13" ht="14.25" customHeight="1" x14ac:dyDescent="0.3">
      <c r="A21" s="320" t="s">
        <v>181</v>
      </c>
      <c r="B21" s="321"/>
      <c r="C21" s="321"/>
      <c r="D21" s="321"/>
      <c r="E21" s="321"/>
      <c r="F21" s="321"/>
      <c r="G21" s="321"/>
      <c r="H21" s="321"/>
      <c r="I21" s="321"/>
      <c r="J21" s="321"/>
      <c r="K21" s="321"/>
      <c r="L21" s="321"/>
      <c r="M21" s="322"/>
    </row>
    <row r="22" spans="1:13" ht="14.25" customHeight="1" x14ac:dyDescent="0.3">
      <c r="A22" s="6" t="s">
        <v>182</v>
      </c>
      <c r="B22" s="8">
        <v>0</v>
      </c>
      <c r="C22" s="8">
        <v>0</v>
      </c>
      <c r="D22" s="10" t="s">
        <v>92</v>
      </c>
      <c r="E22" s="9">
        <v>0</v>
      </c>
      <c r="F22" s="10" t="s">
        <v>92</v>
      </c>
      <c r="G22" s="9">
        <v>0</v>
      </c>
      <c r="H22" s="10" t="s">
        <v>92</v>
      </c>
      <c r="I22" s="9">
        <v>0</v>
      </c>
      <c r="J22" s="10" t="s">
        <v>92</v>
      </c>
      <c r="K22" s="10" t="s">
        <v>92</v>
      </c>
      <c r="L22" s="10" t="s">
        <v>92</v>
      </c>
      <c r="M22" s="10" t="s">
        <v>92</v>
      </c>
    </row>
    <row r="23" spans="1:13" ht="14.25" customHeight="1" x14ac:dyDescent="0.3">
      <c r="A23" s="6" t="s">
        <v>183</v>
      </c>
      <c r="B23" s="8">
        <v>0</v>
      </c>
      <c r="C23" s="8">
        <v>0</v>
      </c>
      <c r="D23" s="10" t="s">
        <v>92</v>
      </c>
      <c r="E23" s="9">
        <v>0</v>
      </c>
      <c r="F23" s="10" t="s">
        <v>92</v>
      </c>
      <c r="G23" s="9">
        <v>0</v>
      </c>
      <c r="H23" s="10" t="s">
        <v>92</v>
      </c>
      <c r="I23" s="9">
        <v>0</v>
      </c>
      <c r="J23" s="10" t="s">
        <v>92</v>
      </c>
      <c r="K23" s="10" t="s">
        <v>92</v>
      </c>
      <c r="L23" s="10" t="s">
        <v>92</v>
      </c>
      <c r="M23" s="10" t="s">
        <v>92</v>
      </c>
    </row>
    <row r="24" spans="1:13" ht="14.25" customHeight="1" x14ac:dyDescent="0.3">
      <c r="A24" s="6" t="s">
        <v>176</v>
      </c>
      <c r="B24" s="8">
        <v>0</v>
      </c>
      <c r="C24" s="8">
        <v>0</v>
      </c>
      <c r="D24" s="8" t="s">
        <v>92</v>
      </c>
      <c r="E24" s="9">
        <v>0</v>
      </c>
      <c r="F24" s="8" t="s">
        <v>92</v>
      </c>
      <c r="G24" s="9">
        <v>0</v>
      </c>
      <c r="H24" s="8" t="s">
        <v>92</v>
      </c>
      <c r="I24" s="9">
        <v>0</v>
      </c>
      <c r="J24" s="8" t="s">
        <v>92</v>
      </c>
      <c r="K24" s="10" t="s">
        <v>92</v>
      </c>
      <c r="L24" s="10" t="s">
        <v>92</v>
      </c>
      <c r="M24" s="10" t="s">
        <v>92</v>
      </c>
    </row>
    <row r="25" spans="1:13" ht="14.25" customHeight="1" x14ac:dyDescent="0.3">
      <c r="A25" s="6" t="s">
        <v>184</v>
      </c>
      <c r="B25" s="8">
        <v>689</v>
      </c>
      <c r="C25" s="8">
        <v>326976953</v>
      </c>
      <c r="D25" s="8">
        <v>326976953</v>
      </c>
      <c r="E25" s="9">
        <v>13.21</v>
      </c>
      <c r="F25" s="8">
        <v>326976953</v>
      </c>
      <c r="G25" s="9">
        <v>13.21</v>
      </c>
      <c r="H25" s="8">
        <v>326976953</v>
      </c>
      <c r="I25" s="9">
        <v>13.21</v>
      </c>
      <c r="J25" s="8">
        <v>326976953</v>
      </c>
      <c r="K25" s="10" t="s">
        <v>92</v>
      </c>
      <c r="L25" s="10" t="s">
        <v>92</v>
      </c>
      <c r="M25" s="10" t="s">
        <v>92</v>
      </c>
    </row>
    <row r="26" spans="1:13" ht="14.25" customHeight="1" x14ac:dyDescent="0.3">
      <c r="A26" s="13" t="s">
        <v>185</v>
      </c>
      <c r="B26" s="14">
        <v>1</v>
      </c>
      <c r="C26" s="14">
        <v>32185164</v>
      </c>
      <c r="D26" s="14">
        <v>32185164</v>
      </c>
      <c r="E26" s="15">
        <v>1.3</v>
      </c>
      <c r="F26" s="14">
        <v>32185164</v>
      </c>
      <c r="G26" s="15">
        <v>1.3</v>
      </c>
      <c r="H26" s="14">
        <v>32185164</v>
      </c>
      <c r="I26" s="15">
        <v>1.3</v>
      </c>
      <c r="J26" s="14">
        <v>32185164</v>
      </c>
      <c r="K26" s="16" t="s">
        <v>92</v>
      </c>
      <c r="L26" s="16" t="s">
        <v>92</v>
      </c>
      <c r="M26" s="16" t="s">
        <v>92</v>
      </c>
    </row>
    <row r="27" spans="1:13" ht="14.25" customHeight="1" x14ac:dyDescent="0.3">
      <c r="A27" s="6" t="s">
        <v>186</v>
      </c>
      <c r="B27" s="8">
        <v>37</v>
      </c>
      <c r="C27" s="8">
        <v>8194544</v>
      </c>
      <c r="D27" s="8">
        <v>8194544</v>
      </c>
      <c r="E27" s="9">
        <v>0.33</v>
      </c>
      <c r="F27" s="8">
        <v>8194544</v>
      </c>
      <c r="G27" s="9">
        <v>0.33</v>
      </c>
      <c r="H27" s="8">
        <v>8194544</v>
      </c>
      <c r="I27" s="9">
        <v>0.33</v>
      </c>
      <c r="J27" s="8">
        <v>8194544</v>
      </c>
      <c r="K27" s="10" t="s">
        <v>92</v>
      </c>
      <c r="L27" s="10" t="s">
        <v>92</v>
      </c>
      <c r="M27" s="10" t="s">
        <v>92</v>
      </c>
    </row>
    <row r="28" spans="1:13" ht="14.25" customHeight="1" x14ac:dyDescent="0.3">
      <c r="A28" s="6" t="s">
        <v>187</v>
      </c>
      <c r="B28" s="8">
        <v>0</v>
      </c>
      <c r="C28" s="8">
        <v>0</v>
      </c>
      <c r="D28" s="10" t="s">
        <v>92</v>
      </c>
      <c r="E28" s="9">
        <v>0</v>
      </c>
      <c r="F28" s="10" t="s">
        <v>92</v>
      </c>
      <c r="G28" s="9">
        <v>0</v>
      </c>
      <c r="H28" s="10" t="s">
        <v>92</v>
      </c>
      <c r="I28" s="9">
        <v>0</v>
      </c>
      <c r="J28" s="10" t="s">
        <v>92</v>
      </c>
      <c r="K28" s="10" t="s">
        <v>92</v>
      </c>
      <c r="L28" s="10" t="s">
        <v>92</v>
      </c>
      <c r="M28" s="10" t="s">
        <v>92</v>
      </c>
    </row>
    <row r="29" spans="1:13" ht="14.25" customHeight="1" x14ac:dyDescent="0.3">
      <c r="A29" s="6" t="s">
        <v>188</v>
      </c>
      <c r="B29" s="8">
        <v>0</v>
      </c>
      <c r="C29" s="8">
        <v>0</v>
      </c>
      <c r="D29" s="8" t="s">
        <v>92</v>
      </c>
      <c r="E29" s="9">
        <v>0</v>
      </c>
      <c r="F29" s="8" t="s">
        <v>92</v>
      </c>
      <c r="G29" s="9">
        <v>0</v>
      </c>
      <c r="H29" s="8" t="s">
        <v>92</v>
      </c>
      <c r="I29" s="9">
        <v>0</v>
      </c>
      <c r="J29" s="8" t="s">
        <v>92</v>
      </c>
      <c r="K29" s="10" t="s">
        <v>92</v>
      </c>
      <c r="L29" s="10" t="s">
        <v>92</v>
      </c>
      <c r="M29" s="10" t="s">
        <v>92</v>
      </c>
    </row>
    <row r="30" spans="1:13" ht="14.25" customHeight="1" x14ac:dyDescent="0.3">
      <c r="A30" s="316" t="s">
        <v>189</v>
      </c>
      <c r="B30" s="317">
        <v>726</v>
      </c>
      <c r="C30" s="317">
        <v>335171497</v>
      </c>
      <c r="D30" s="317">
        <v>335171497</v>
      </c>
      <c r="E30" s="318">
        <v>13.54</v>
      </c>
      <c r="F30" s="317">
        <v>335171497</v>
      </c>
      <c r="G30" s="318">
        <v>13.54</v>
      </c>
      <c r="H30" s="317">
        <v>335171497</v>
      </c>
      <c r="I30" s="318">
        <v>13.54</v>
      </c>
      <c r="J30" s="317">
        <v>335171497</v>
      </c>
      <c r="K30" s="319" t="s">
        <v>92</v>
      </c>
      <c r="L30" s="319" t="s">
        <v>92</v>
      </c>
      <c r="M30" s="319" t="s">
        <v>92</v>
      </c>
    </row>
    <row r="31" spans="1:13" ht="14.25" customHeight="1" x14ac:dyDescent="0.3">
      <c r="A31" s="320" t="s">
        <v>190</v>
      </c>
      <c r="B31" s="321"/>
      <c r="C31" s="321"/>
      <c r="D31" s="321"/>
      <c r="E31" s="321"/>
      <c r="F31" s="321"/>
      <c r="G31" s="321"/>
      <c r="H31" s="321"/>
      <c r="I31" s="321"/>
      <c r="J31" s="321"/>
      <c r="K31" s="321"/>
      <c r="L31" s="321"/>
      <c r="M31" s="322"/>
    </row>
    <row r="32" spans="1:13" ht="14.25" customHeight="1" x14ac:dyDescent="0.3">
      <c r="A32" s="6" t="s">
        <v>191</v>
      </c>
      <c r="B32" s="8">
        <v>0</v>
      </c>
      <c r="C32" s="8">
        <v>0</v>
      </c>
      <c r="D32" s="10" t="s">
        <v>92</v>
      </c>
      <c r="E32" s="9">
        <v>0</v>
      </c>
      <c r="F32" s="10" t="s">
        <v>92</v>
      </c>
      <c r="G32" s="9">
        <v>0</v>
      </c>
      <c r="H32" s="10" t="s">
        <v>92</v>
      </c>
      <c r="I32" s="9">
        <v>0</v>
      </c>
      <c r="J32" s="10" t="s">
        <v>92</v>
      </c>
      <c r="K32" s="10" t="s">
        <v>92</v>
      </c>
      <c r="L32" s="10" t="s">
        <v>92</v>
      </c>
      <c r="M32" s="10" t="s">
        <v>92</v>
      </c>
    </row>
    <row r="33" spans="1:13" ht="14.25" customHeight="1" x14ac:dyDescent="0.3">
      <c r="A33" s="6" t="s">
        <v>192</v>
      </c>
      <c r="B33" s="8">
        <v>0</v>
      </c>
      <c r="C33" s="8">
        <v>0</v>
      </c>
      <c r="D33" s="8" t="s">
        <v>92</v>
      </c>
      <c r="E33" s="9">
        <v>0</v>
      </c>
      <c r="F33" s="8" t="s">
        <v>92</v>
      </c>
      <c r="G33" s="9">
        <v>0</v>
      </c>
      <c r="H33" s="8" t="s">
        <v>92</v>
      </c>
      <c r="I33" s="9">
        <v>0</v>
      </c>
      <c r="J33" s="8" t="s">
        <v>92</v>
      </c>
      <c r="K33" s="10" t="s">
        <v>92</v>
      </c>
      <c r="L33" s="10" t="s">
        <v>92</v>
      </c>
      <c r="M33" s="10" t="s">
        <v>92</v>
      </c>
    </row>
    <row r="34" spans="1:13" ht="28.5" customHeight="1" x14ac:dyDescent="0.3">
      <c r="A34" s="6" t="s">
        <v>193</v>
      </c>
      <c r="B34" s="8">
        <v>3</v>
      </c>
      <c r="C34" s="8">
        <v>2883</v>
      </c>
      <c r="D34" s="8">
        <v>2883</v>
      </c>
      <c r="E34" s="9">
        <v>0</v>
      </c>
      <c r="F34" s="8">
        <v>2883</v>
      </c>
      <c r="G34" s="9">
        <v>0</v>
      </c>
      <c r="H34" s="8">
        <v>2883</v>
      </c>
      <c r="I34" s="9">
        <v>0</v>
      </c>
      <c r="J34" s="8">
        <v>2883</v>
      </c>
      <c r="K34" s="10" t="s">
        <v>92</v>
      </c>
      <c r="L34" s="10" t="s">
        <v>92</v>
      </c>
      <c r="M34" s="10" t="s">
        <v>92</v>
      </c>
    </row>
    <row r="35" spans="1:13" ht="14.25" customHeight="1" x14ac:dyDescent="0.3">
      <c r="A35" s="316" t="s">
        <v>194</v>
      </c>
      <c r="B35" s="317">
        <v>3</v>
      </c>
      <c r="C35" s="317">
        <v>2883</v>
      </c>
      <c r="D35" s="317">
        <v>2883</v>
      </c>
      <c r="E35" s="318">
        <v>0</v>
      </c>
      <c r="F35" s="317">
        <v>2883</v>
      </c>
      <c r="G35" s="318">
        <v>0</v>
      </c>
      <c r="H35" s="317">
        <v>2883</v>
      </c>
      <c r="I35" s="318">
        <v>0</v>
      </c>
      <c r="J35" s="317">
        <v>2883</v>
      </c>
      <c r="K35" s="319" t="s">
        <v>92</v>
      </c>
      <c r="L35" s="319" t="s">
        <v>92</v>
      </c>
      <c r="M35" s="319" t="s">
        <v>92</v>
      </c>
    </row>
    <row r="36" spans="1:13" ht="14.25" customHeight="1" x14ac:dyDescent="0.3">
      <c r="A36" s="320" t="s">
        <v>195</v>
      </c>
      <c r="B36" s="321"/>
      <c r="C36" s="321"/>
      <c r="D36" s="321"/>
      <c r="E36" s="321"/>
      <c r="F36" s="321"/>
      <c r="G36" s="321"/>
      <c r="H36" s="321"/>
      <c r="I36" s="321"/>
      <c r="J36" s="321"/>
      <c r="K36" s="321"/>
      <c r="L36" s="321"/>
      <c r="M36" s="322"/>
    </row>
    <row r="37" spans="1:13" ht="14.25" customHeight="1" x14ac:dyDescent="0.3">
      <c r="A37" s="6" t="s">
        <v>196</v>
      </c>
      <c r="B37" s="8">
        <v>0</v>
      </c>
      <c r="C37" s="8">
        <v>0</v>
      </c>
      <c r="D37" s="8" t="s">
        <v>92</v>
      </c>
      <c r="E37" s="9">
        <v>0</v>
      </c>
      <c r="F37" s="8" t="s">
        <v>92</v>
      </c>
      <c r="G37" s="9">
        <v>0</v>
      </c>
      <c r="H37" s="8" t="s">
        <v>92</v>
      </c>
      <c r="I37" s="9">
        <v>0</v>
      </c>
      <c r="J37" s="8" t="s">
        <v>92</v>
      </c>
      <c r="K37" s="10" t="s">
        <v>92</v>
      </c>
      <c r="L37" s="10" t="s">
        <v>92</v>
      </c>
      <c r="M37" s="10" t="s">
        <v>92</v>
      </c>
    </row>
    <row r="38" spans="1:13" ht="14.25" customHeight="1" x14ac:dyDescent="0.3">
      <c r="A38" s="6" t="s">
        <v>197</v>
      </c>
      <c r="B38" s="8">
        <v>2</v>
      </c>
      <c r="C38" s="8">
        <v>357453</v>
      </c>
      <c r="D38" s="8">
        <v>357453</v>
      </c>
      <c r="E38" s="9">
        <v>0.01</v>
      </c>
      <c r="F38" s="8">
        <v>357453</v>
      </c>
      <c r="G38" s="9">
        <v>0.01</v>
      </c>
      <c r="H38" s="8">
        <v>357453</v>
      </c>
      <c r="I38" s="9">
        <v>0.01</v>
      </c>
      <c r="J38" s="8">
        <v>357453</v>
      </c>
      <c r="K38" s="10" t="s">
        <v>92</v>
      </c>
      <c r="L38" s="10" t="s">
        <v>92</v>
      </c>
      <c r="M38" s="10" t="s">
        <v>92</v>
      </c>
    </row>
    <row r="39" spans="1:13" ht="14.25" customHeight="1" x14ac:dyDescent="0.3">
      <c r="A39" s="6" t="s">
        <v>198</v>
      </c>
      <c r="B39" s="8">
        <v>1</v>
      </c>
      <c r="C39" s="8">
        <v>10254</v>
      </c>
      <c r="D39" s="8">
        <v>10254</v>
      </c>
      <c r="E39" s="9">
        <v>0</v>
      </c>
      <c r="F39" s="8">
        <v>10254</v>
      </c>
      <c r="G39" s="9">
        <v>0</v>
      </c>
      <c r="H39" s="8">
        <v>10254</v>
      </c>
      <c r="I39" s="9">
        <v>0</v>
      </c>
      <c r="J39" s="8">
        <v>10254</v>
      </c>
      <c r="K39" s="10" t="s">
        <v>92</v>
      </c>
      <c r="L39" s="10" t="s">
        <v>92</v>
      </c>
      <c r="M39" s="10" t="s">
        <v>92</v>
      </c>
    </row>
    <row r="40" spans="1:13" ht="28.5" customHeight="1" x14ac:dyDescent="0.3">
      <c r="A40" s="6" t="s">
        <v>199</v>
      </c>
      <c r="B40" s="8">
        <v>0</v>
      </c>
      <c r="C40" s="8">
        <v>0</v>
      </c>
      <c r="D40" s="10" t="s">
        <v>92</v>
      </c>
      <c r="E40" s="9">
        <v>0</v>
      </c>
      <c r="F40" s="10" t="s">
        <v>92</v>
      </c>
      <c r="G40" s="9">
        <v>0</v>
      </c>
      <c r="H40" s="10" t="s">
        <v>92</v>
      </c>
      <c r="I40" s="9">
        <v>0</v>
      </c>
      <c r="J40" s="10" t="s">
        <v>92</v>
      </c>
      <c r="K40" s="10" t="s">
        <v>92</v>
      </c>
      <c r="L40" s="10" t="s">
        <v>92</v>
      </c>
      <c r="M40" s="10" t="s">
        <v>92</v>
      </c>
    </row>
    <row r="41" spans="1:13" ht="28.5" customHeight="1" x14ac:dyDescent="0.3">
      <c r="A41" s="6" t="s">
        <v>200</v>
      </c>
      <c r="B41" s="8">
        <v>0</v>
      </c>
      <c r="C41" s="8">
        <v>0</v>
      </c>
      <c r="D41" s="8" t="s">
        <v>92</v>
      </c>
      <c r="E41" s="9">
        <v>0</v>
      </c>
      <c r="F41" s="8" t="s">
        <v>92</v>
      </c>
      <c r="G41" s="9">
        <v>0</v>
      </c>
      <c r="H41" s="8" t="s">
        <v>92</v>
      </c>
      <c r="I41" s="9">
        <v>0</v>
      </c>
      <c r="J41" s="8" t="s">
        <v>92</v>
      </c>
      <c r="K41" s="10" t="s">
        <v>92</v>
      </c>
      <c r="L41" s="10" t="s">
        <v>92</v>
      </c>
      <c r="M41" s="10" t="s">
        <v>92</v>
      </c>
    </row>
    <row r="42" spans="1:13" ht="14.25" customHeight="1" x14ac:dyDescent="0.3">
      <c r="A42" s="6" t="s">
        <v>201</v>
      </c>
      <c r="B42" s="8">
        <v>1</v>
      </c>
      <c r="C42" s="8">
        <v>1583035</v>
      </c>
      <c r="D42" s="8">
        <v>1583035</v>
      </c>
      <c r="E42" s="9">
        <v>0.06</v>
      </c>
      <c r="F42" s="8">
        <v>1583035</v>
      </c>
      <c r="G42" s="9">
        <v>0.06</v>
      </c>
      <c r="H42" s="8">
        <v>1583035</v>
      </c>
      <c r="I42" s="9">
        <v>0.06</v>
      </c>
      <c r="J42" s="8">
        <v>1583035</v>
      </c>
      <c r="K42" s="10" t="s">
        <v>92</v>
      </c>
      <c r="L42" s="10" t="s">
        <v>92</v>
      </c>
      <c r="M42" s="10" t="s">
        <v>92</v>
      </c>
    </row>
    <row r="43" spans="1:13" ht="14.25" customHeight="1" x14ac:dyDescent="0.3">
      <c r="A43" s="6" t="s">
        <v>202</v>
      </c>
      <c r="B43" s="8">
        <v>487283</v>
      </c>
      <c r="C43" s="8">
        <v>63592078</v>
      </c>
      <c r="D43" s="8">
        <v>63592078</v>
      </c>
      <c r="E43" s="9">
        <v>2.57</v>
      </c>
      <c r="F43" s="8">
        <v>63592078</v>
      </c>
      <c r="G43" s="9">
        <v>2.57</v>
      </c>
      <c r="H43" s="8">
        <v>63592078</v>
      </c>
      <c r="I43" s="9">
        <v>2.57</v>
      </c>
      <c r="J43" s="8">
        <v>63420567</v>
      </c>
      <c r="K43" s="10" t="s">
        <v>92</v>
      </c>
      <c r="L43" s="10" t="s">
        <v>92</v>
      </c>
      <c r="M43" s="10" t="s">
        <v>92</v>
      </c>
    </row>
    <row r="44" spans="1:13" ht="14.25" customHeight="1" x14ac:dyDescent="0.3">
      <c r="A44" s="6" t="s">
        <v>203</v>
      </c>
      <c r="B44" s="8">
        <v>80</v>
      </c>
      <c r="C44" s="8">
        <v>49284296</v>
      </c>
      <c r="D44" s="8">
        <v>49284296</v>
      </c>
      <c r="E44" s="9">
        <v>1.99</v>
      </c>
      <c r="F44" s="8">
        <v>49284296</v>
      </c>
      <c r="G44" s="9">
        <v>1.99</v>
      </c>
      <c r="H44" s="8">
        <v>49284296</v>
      </c>
      <c r="I44" s="9">
        <v>1.99</v>
      </c>
      <c r="J44" s="8">
        <v>49284296</v>
      </c>
      <c r="K44" s="10" t="s">
        <v>92</v>
      </c>
      <c r="L44" s="10" t="s">
        <v>92</v>
      </c>
      <c r="M44" s="10" t="s">
        <v>92</v>
      </c>
    </row>
    <row r="45" spans="1:13" ht="14.25" customHeight="1" x14ac:dyDescent="0.3">
      <c r="A45" s="6" t="s">
        <v>204</v>
      </c>
      <c r="B45" s="8">
        <v>9273</v>
      </c>
      <c r="C45" s="8">
        <v>4759734</v>
      </c>
      <c r="D45" s="8">
        <v>4759734</v>
      </c>
      <c r="E45" s="9">
        <v>0.19</v>
      </c>
      <c r="F45" s="8">
        <v>4759734</v>
      </c>
      <c r="G45" s="9">
        <v>0.19</v>
      </c>
      <c r="H45" s="8">
        <v>4759734</v>
      </c>
      <c r="I45" s="9">
        <v>0.19</v>
      </c>
      <c r="J45" s="8">
        <v>4759734</v>
      </c>
      <c r="K45" s="10" t="s">
        <v>92</v>
      </c>
      <c r="L45" s="10" t="s">
        <v>92</v>
      </c>
      <c r="M45" s="10" t="s">
        <v>92</v>
      </c>
    </row>
    <row r="46" spans="1:13" ht="14.25" customHeight="1" x14ac:dyDescent="0.3">
      <c r="A46" s="6" t="s">
        <v>205</v>
      </c>
      <c r="B46" s="8">
        <v>1</v>
      </c>
      <c r="C46" s="8">
        <v>16000</v>
      </c>
      <c r="D46" s="8">
        <v>16000</v>
      </c>
      <c r="E46" s="9">
        <v>0</v>
      </c>
      <c r="F46" s="8">
        <v>16000</v>
      </c>
      <c r="G46" s="9">
        <v>0</v>
      </c>
      <c r="H46" s="8">
        <v>16000</v>
      </c>
      <c r="I46" s="9">
        <v>0</v>
      </c>
      <c r="J46" s="10" t="s">
        <v>92</v>
      </c>
      <c r="K46" s="10" t="s">
        <v>92</v>
      </c>
      <c r="L46" s="10" t="s">
        <v>92</v>
      </c>
      <c r="M46" s="10" t="s">
        <v>92</v>
      </c>
    </row>
    <row r="47" spans="1:13" ht="14.25" customHeight="1" x14ac:dyDescent="0.3">
      <c r="A47" s="6" t="s">
        <v>206</v>
      </c>
      <c r="B47" s="8">
        <v>1</v>
      </c>
      <c r="C47" s="8">
        <v>10</v>
      </c>
      <c r="D47" s="8">
        <v>10</v>
      </c>
      <c r="E47" s="9">
        <v>0</v>
      </c>
      <c r="F47" s="8">
        <v>10</v>
      </c>
      <c r="G47" s="9">
        <v>0</v>
      </c>
      <c r="H47" s="8">
        <v>10</v>
      </c>
      <c r="I47" s="9">
        <v>0</v>
      </c>
      <c r="J47" s="8">
        <v>10</v>
      </c>
      <c r="K47" s="10" t="s">
        <v>92</v>
      </c>
      <c r="L47" s="10" t="s">
        <v>92</v>
      </c>
      <c r="M47" s="10" t="s">
        <v>92</v>
      </c>
    </row>
    <row r="48" spans="1:13" ht="14.25" customHeight="1" x14ac:dyDescent="0.3">
      <c r="A48" s="6" t="s">
        <v>207</v>
      </c>
      <c r="B48" s="8">
        <v>2303</v>
      </c>
      <c r="C48" s="8">
        <v>11262273</v>
      </c>
      <c r="D48" s="8">
        <v>11262273</v>
      </c>
      <c r="E48" s="9">
        <v>0.45</v>
      </c>
      <c r="F48" s="8">
        <v>11262273</v>
      </c>
      <c r="G48" s="9">
        <v>0.45</v>
      </c>
      <c r="H48" s="8">
        <v>11262273</v>
      </c>
      <c r="I48" s="9">
        <v>0.45</v>
      </c>
      <c r="J48" s="8">
        <v>11260273</v>
      </c>
      <c r="K48" s="10" t="s">
        <v>92</v>
      </c>
      <c r="L48" s="10" t="s">
        <v>92</v>
      </c>
      <c r="M48" s="10" t="s">
        <v>92</v>
      </c>
    </row>
    <row r="49" spans="1:13" ht="14.25" customHeight="1" x14ac:dyDescent="0.3">
      <c r="A49" s="6" t="s">
        <v>93</v>
      </c>
      <c r="B49" s="8">
        <v>6808</v>
      </c>
      <c r="C49" s="8">
        <v>3862113</v>
      </c>
      <c r="D49" s="8">
        <v>3862113</v>
      </c>
      <c r="E49" s="9">
        <v>0.16</v>
      </c>
      <c r="F49" s="8">
        <v>3862113</v>
      </c>
      <c r="G49" s="9">
        <v>0.16</v>
      </c>
      <c r="H49" s="8">
        <v>3862113</v>
      </c>
      <c r="I49" s="9">
        <v>0.16</v>
      </c>
      <c r="J49" s="8">
        <v>3862113</v>
      </c>
      <c r="K49" s="10" t="s">
        <v>92</v>
      </c>
      <c r="L49" s="10" t="s">
        <v>92</v>
      </c>
      <c r="M49" s="10" t="s">
        <v>92</v>
      </c>
    </row>
    <row r="50" spans="1:13" ht="14.25" customHeight="1" x14ac:dyDescent="0.3">
      <c r="A50" s="6" t="s">
        <v>208</v>
      </c>
      <c r="B50" s="8">
        <v>5</v>
      </c>
      <c r="C50" s="8">
        <v>2235</v>
      </c>
      <c r="D50" s="8">
        <v>2235</v>
      </c>
      <c r="E50" s="9">
        <v>0</v>
      </c>
      <c r="F50" s="8">
        <v>2235</v>
      </c>
      <c r="G50" s="9">
        <v>0</v>
      </c>
      <c r="H50" s="8">
        <v>2235</v>
      </c>
      <c r="I50" s="9">
        <v>0</v>
      </c>
      <c r="J50" s="8">
        <v>2235</v>
      </c>
      <c r="K50" s="10" t="s">
        <v>92</v>
      </c>
      <c r="L50" s="10" t="s">
        <v>92</v>
      </c>
      <c r="M50" s="10" t="s">
        <v>92</v>
      </c>
    </row>
    <row r="51" spans="1:13" ht="14.25" customHeight="1" x14ac:dyDescent="0.3">
      <c r="A51" s="6" t="s">
        <v>209</v>
      </c>
      <c r="B51" s="8">
        <v>6781</v>
      </c>
      <c r="C51" s="8">
        <v>3837451</v>
      </c>
      <c r="D51" s="8">
        <v>3837451</v>
      </c>
      <c r="E51" s="9">
        <v>0.16</v>
      </c>
      <c r="F51" s="8">
        <v>3837451</v>
      </c>
      <c r="G51" s="9">
        <v>0.16</v>
      </c>
      <c r="H51" s="8">
        <v>3837451</v>
      </c>
      <c r="I51" s="9">
        <v>0.16</v>
      </c>
      <c r="J51" s="8">
        <v>3837451</v>
      </c>
      <c r="K51" s="10" t="s">
        <v>92</v>
      </c>
      <c r="L51" s="10" t="s">
        <v>92</v>
      </c>
      <c r="M51" s="10" t="s">
        <v>92</v>
      </c>
    </row>
    <row r="52" spans="1:13" ht="14.25" customHeight="1" x14ac:dyDescent="0.3">
      <c r="A52" s="6" t="s">
        <v>210</v>
      </c>
      <c r="B52" s="8">
        <v>22</v>
      </c>
      <c r="C52" s="8">
        <v>22427</v>
      </c>
      <c r="D52" s="8">
        <v>22427</v>
      </c>
      <c r="E52" s="9">
        <v>0</v>
      </c>
      <c r="F52" s="8">
        <v>22427</v>
      </c>
      <c r="G52" s="9">
        <v>0</v>
      </c>
      <c r="H52" s="8">
        <v>22427</v>
      </c>
      <c r="I52" s="9">
        <v>0</v>
      </c>
      <c r="J52" s="8">
        <v>22427</v>
      </c>
      <c r="K52" s="10" t="s">
        <v>92</v>
      </c>
      <c r="L52" s="10" t="s">
        <v>92</v>
      </c>
      <c r="M52" s="10" t="s">
        <v>92</v>
      </c>
    </row>
    <row r="53" spans="1:13" ht="14.25" customHeight="1" x14ac:dyDescent="0.3">
      <c r="A53" s="323" t="s">
        <v>211</v>
      </c>
      <c r="B53" s="324">
        <v>505753</v>
      </c>
      <c r="C53" s="324">
        <v>134727246</v>
      </c>
      <c r="D53" s="324">
        <v>134727246</v>
      </c>
      <c r="E53" s="325">
        <v>5.44</v>
      </c>
      <c r="F53" s="324">
        <v>134727246</v>
      </c>
      <c r="G53" s="325">
        <v>5.44</v>
      </c>
      <c r="H53" s="324">
        <v>134727246</v>
      </c>
      <c r="I53" s="325">
        <v>5.44</v>
      </c>
      <c r="J53" s="324">
        <v>134537735</v>
      </c>
      <c r="K53" s="326" t="s">
        <v>92</v>
      </c>
      <c r="L53" s="326" t="s">
        <v>92</v>
      </c>
      <c r="M53" s="326" t="s">
        <v>92</v>
      </c>
    </row>
    <row r="54" spans="1:13" ht="14.25" customHeight="1" x14ac:dyDescent="0.3">
      <c r="A54" s="327" t="s">
        <v>212</v>
      </c>
      <c r="B54" s="328">
        <v>506559</v>
      </c>
      <c r="C54" s="328">
        <v>641675321</v>
      </c>
      <c r="D54" s="328">
        <v>641675321</v>
      </c>
      <c r="E54" s="329">
        <v>25.92</v>
      </c>
      <c r="F54" s="328">
        <v>641675321</v>
      </c>
      <c r="G54" s="329">
        <v>25.92</v>
      </c>
      <c r="H54" s="328">
        <v>641675321</v>
      </c>
      <c r="I54" s="329">
        <v>25.92</v>
      </c>
      <c r="J54" s="328">
        <v>641485810</v>
      </c>
      <c r="K54" s="330" t="s">
        <v>92</v>
      </c>
      <c r="L54" s="330" t="s">
        <v>92</v>
      </c>
      <c r="M54" s="330"/>
    </row>
    <row r="56" spans="1:13" ht="14.25" customHeight="1" x14ac:dyDescent="0.3">
      <c r="A56" s="216" t="s">
        <v>213</v>
      </c>
      <c r="B56" s="204"/>
      <c r="C56" s="204"/>
      <c r="D56" s="204"/>
      <c r="E56" s="204"/>
      <c r="F56" s="204"/>
      <c r="G56" s="204"/>
      <c r="H56" s="204"/>
      <c r="I56" s="204"/>
      <c r="J56" s="204"/>
      <c r="K56" s="204"/>
      <c r="L56" s="204"/>
      <c r="M56" s="204"/>
    </row>
  </sheetData>
  <mergeCells count="7">
    <mergeCell ref="A36:M36"/>
    <mergeCell ref="A1:M1"/>
    <mergeCell ref="A5:M5"/>
    <mergeCell ref="A31:M31"/>
    <mergeCell ref="A56:M56"/>
    <mergeCell ref="A21:M21"/>
    <mergeCell ref="A2:M2"/>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6"/>
  <sheetViews>
    <sheetView showGridLines="0" zoomScaleNormal="100" workbookViewId="0">
      <selection sqref="A1:F2"/>
    </sheetView>
  </sheetViews>
  <sheetFormatPr defaultColWidth="8.6640625" defaultRowHeight="14.4" x14ac:dyDescent="0.3"/>
  <cols>
    <col min="1" max="1" width="50.88671875" style="180" customWidth="1"/>
    <col min="2" max="4" width="8" style="180" customWidth="1"/>
    <col min="6" max="6" width="8" style="180" customWidth="1"/>
  </cols>
  <sheetData>
    <row r="1" spans="1:6" ht="14.25" customHeight="1" x14ac:dyDescent="0.3">
      <c r="A1" s="307" t="s">
        <v>214</v>
      </c>
      <c r="B1" s="308"/>
      <c r="C1" s="308"/>
      <c r="D1" s="308"/>
      <c r="E1" s="308"/>
      <c r="F1" s="309"/>
    </row>
    <row r="2" spans="1:6" ht="14.25" customHeight="1" x14ac:dyDescent="0.3">
      <c r="A2" s="310" t="s">
        <v>215</v>
      </c>
      <c r="B2" s="306" t="s">
        <v>216</v>
      </c>
      <c r="C2" s="306" t="s">
        <v>217</v>
      </c>
      <c r="D2" s="306" t="s">
        <v>218</v>
      </c>
      <c r="E2" s="306" t="s">
        <v>219</v>
      </c>
      <c r="F2" s="311" t="s">
        <v>220</v>
      </c>
    </row>
    <row r="3" spans="1:6" ht="14.25" customHeight="1" x14ac:dyDescent="0.3">
      <c r="A3" s="18" t="s">
        <v>221</v>
      </c>
      <c r="B3" s="19"/>
      <c r="C3" s="19"/>
      <c r="D3" s="19"/>
      <c r="E3" s="19"/>
      <c r="F3" s="20"/>
    </row>
    <row r="4" spans="1:6" ht="14.25" customHeight="1" x14ac:dyDescent="0.3">
      <c r="A4" s="18" t="s">
        <v>222</v>
      </c>
      <c r="B4" s="19">
        <v>5708.99</v>
      </c>
      <c r="C4" s="19">
        <v>5681.97</v>
      </c>
      <c r="D4" s="19">
        <v>6249.21</v>
      </c>
      <c r="E4" s="19">
        <v>7946.6</v>
      </c>
      <c r="F4" s="20">
        <v>8194.02</v>
      </c>
    </row>
    <row r="5" spans="1:6" ht="14.25" customHeight="1" x14ac:dyDescent="0.3">
      <c r="A5" s="18" t="s">
        <v>223</v>
      </c>
      <c r="B5" s="19">
        <v>5708.99</v>
      </c>
      <c r="C5" s="19">
        <v>5681.97</v>
      </c>
      <c r="D5" s="19">
        <v>6249.21</v>
      </c>
      <c r="E5" s="19">
        <v>7946.6</v>
      </c>
      <c r="F5" s="20">
        <v>8194.02</v>
      </c>
    </row>
    <row r="6" spans="1:6" ht="14.25" customHeight="1" x14ac:dyDescent="0.3">
      <c r="A6" s="18" t="s">
        <v>224</v>
      </c>
      <c r="B6" s="19">
        <v>8.4</v>
      </c>
      <c r="C6" s="19">
        <v>12.86</v>
      </c>
      <c r="D6" s="19">
        <v>177.79</v>
      </c>
      <c r="E6" s="19">
        <v>47.06</v>
      </c>
      <c r="F6" s="20">
        <v>0</v>
      </c>
    </row>
    <row r="7" spans="1:6" ht="14.25" customHeight="1" x14ac:dyDescent="0.3">
      <c r="A7" s="18" t="s">
        <v>225</v>
      </c>
      <c r="B7" s="19">
        <v>5717.39</v>
      </c>
      <c r="C7" s="19">
        <v>5694.83</v>
      </c>
      <c r="D7" s="19">
        <v>6427</v>
      </c>
      <c r="E7" s="19">
        <v>7993.66</v>
      </c>
      <c r="F7" s="20">
        <v>8194.02</v>
      </c>
    </row>
    <row r="8" spans="1:6" ht="14.25" customHeight="1" x14ac:dyDescent="0.3">
      <c r="A8" s="18" t="s">
        <v>226</v>
      </c>
      <c r="B8" s="19">
        <v>420.46</v>
      </c>
      <c r="C8" s="19">
        <v>317.31</v>
      </c>
      <c r="D8" s="19">
        <v>531.34</v>
      </c>
      <c r="E8" s="19">
        <v>1002.23</v>
      </c>
      <c r="F8" s="20">
        <v>1622.02</v>
      </c>
    </row>
    <row r="9" spans="1:6" ht="14.25" customHeight="1" x14ac:dyDescent="0.3">
      <c r="A9" s="18" t="s">
        <v>227</v>
      </c>
      <c r="B9" s="19">
        <v>6137.84</v>
      </c>
      <c r="C9" s="19">
        <v>6012.14</v>
      </c>
      <c r="D9" s="19">
        <v>6958.34</v>
      </c>
      <c r="E9" s="19">
        <v>8995.89</v>
      </c>
      <c r="F9" s="20">
        <v>9816.0400000000009</v>
      </c>
    </row>
    <row r="10" spans="1:6" ht="14.25" customHeight="1" x14ac:dyDescent="0.3">
      <c r="A10" s="18" t="s">
        <v>228</v>
      </c>
      <c r="B10" s="19"/>
      <c r="C10" s="19"/>
      <c r="D10" s="19"/>
      <c r="E10" s="19"/>
      <c r="F10" s="20"/>
    </row>
    <row r="11" spans="1:6" ht="14.25" customHeight="1" x14ac:dyDescent="0.3">
      <c r="A11" s="18" t="s">
        <v>229</v>
      </c>
      <c r="B11" s="19">
        <v>0</v>
      </c>
      <c r="C11" s="19">
        <v>0</v>
      </c>
      <c r="D11" s="19">
        <v>0</v>
      </c>
      <c r="E11" s="19">
        <v>0</v>
      </c>
      <c r="F11" s="20">
        <v>4848.57</v>
      </c>
    </row>
    <row r="12" spans="1:6" ht="14.25" customHeight="1" x14ac:dyDescent="0.3">
      <c r="A12" s="18" t="s">
        <v>230</v>
      </c>
      <c r="B12" s="19">
        <v>2744.96</v>
      </c>
      <c r="C12" s="19">
        <v>2433.96</v>
      </c>
      <c r="D12" s="19">
        <v>2793.76</v>
      </c>
      <c r="E12" s="19">
        <v>4131.58</v>
      </c>
      <c r="F12" s="20">
        <v>0</v>
      </c>
    </row>
    <row r="13" spans="1:6" ht="14.25" customHeight="1" x14ac:dyDescent="0.3">
      <c r="A13" s="18" t="s">
        <v>231</v>
      </c>
      <c r="B13" s="19">
        <v>353.99</v>
      </c>
      <c r="C13" s="19">
        <v>547.88</v>
      </c>
      <c r="D13" s="19">
        <v>545.95000000000005</v>
      </c>
      <c r="E13" s="19">
        <v>591.96</v>
      </c>
      <c r="F13" s="20">
        <v>640.29999999999995</v>
      </c>
    </row>
    <row r="14" spans="1:6" ht="14.25" customHeight="1" x14ac:dyDescent="0.3">
      <c r="A14" s="18" t="s">
        <v>232</v>
      </c>
      <c r="B14" s="19">
        <v>624.54999999999995</v>
      </c>
      <c r="C14" s="19">
        <v>392.14</v>
      </c>
      <c r="D14" s="19">
        <v>356.45</v>
      </c>
      <c r="E14" s="19">
        <v>397.2</v>
      </c>
      <c r="F14" s="20">
        <v>199.07</v>
      </c>
    </row>
    <row r="15" spans="1:6" ht="14.25" customHeight="1" x14ac:dyDescent="0.3">
      <c r="A15" s="18" t="s">
        <v>233</v>
      </c>
      <c r="B15" s="19">
        <v>149.44</v>
      </c>
      <c r="C15" s="19">
        <v>148.63</v>
      </c>
      <c r="D15" s="19">
        <v>147.94999999999999</v>
      </c>
      <c r="E15" s="19">
        <v>150.66</v>
      </c>
      <c r="F15" s="20">
        <v>142.41</v>
      </c>
    </row>
    <row r="16" spans="1:6" ht="14.25" customHeight="1" x14ac:dyDescent="0.3">
      <c r="A16" s="18" t="s">
        <v>234</v>
      </c>
      <c r="B16" s="19">
        <v>875.88</v>
      </c>
      <c r="C16" s="19">
        <v>987.11</v>
      </c>
      <c r="D16" s="19">
        <v>963.69</v>
      </c>
      <c r="E16" s="19">
        <v>1161.48</v>
      </c>
      <c r="F16" s="20">
        <v>1256.79</v>
      </c>
    </row>
    <row r="17" spans="1:6" ht="14.25" customHeight="1" x14ac:dyDescent="0.3">
      <c r="A17" s="18" t="s">
        <v>235</v>
      </c>
      <c r="B17" s="19">
        <v>4748.82</v>
      </c>
      <c r="C17" s="19">
        <v>4509.72</v>
      </c>
      <c r="D17" s="19">
        <v>4807.8</v>
      </c>
      <c r="E17" s="19">
        <v>6432.88</v>
      </c>
      <c r="F17" s="20">
        <v>7087.14</v>
      </c>
    </row>
    <row r="18" spans="1:6" ht="14.25" customHeight="1" x14ac:dyDescent="0.3">
      <c r="A18" s="18" t="s">
        <v>236</v>
      </c>
      <c r="B18" s="19">
        <v>1389.03</v>
      </c>
      <c r="C18" s="19">
        <v>1502.42</v>
      </c>
      <c r="D18" s="19">
        <v>2150.5500000000002</v>
      </c>
      <c r="E18" s="19">
        <v>2563.0100000000002</v>
      </c>
      <c r="F18" s="20">
        <v>2728.9</v>
      </c>
    </row>
    <row r="19" spans="1:6" ht="14.25" customHeight="1" x14ac:dyDescent="0.3">
      <c r="A19" s="18" t="s">
        <v>237</v>
      </c>
      <c r="B19" s="19">
        <v>-224.43</v>
      </c>
      <c r="C19" s="19">
        <v>0</v>
      </c>
      <c r="D19" s="19">
        <v>0</v>
      </c>
      <c r="E19" s="19">
        <v>-302.39</v>
      </c>
      <c r="F19" s="20">
        <v>202.92</v>
      </c>
    </row>
    <row r="20" spans="1:6" ht="14.25" customHeight="1" x14ac:dyDescent="0.3">
      <c r="A20" s="18" t="s">
        <v>238</v>
      </c>
      <c r="B20" s="19">
        <v>1164.5899999999999</v>
      </c>
      <c r="C20" s="19">
        <v>1502.42</v>
      </c>
      <c r="D20" s="19">
        <v>2150.5500000000002</v>
      </c>
      <c r="E20" s="19">
        <v>2260.62</v>
      </c>
      <c r="F20" s="20">
        <v>2931.82</v>
      </c>
    </row>
    <row r="21" spans="1:6" ht="14.25" customHeight="1" x14ac:dyDescent="0.3">
      <c r="A21" s="18" t="s">
        <v>239</v>
      </c>
      <c r="B21" s="19"/>
      <c r="C21" s="19"/>
      <c r="D21" s="19"/>
      <c r="E21" s="19"/>
      <c r="F21" s="20"/>
    </row>
    <row r="22" spans="1:6" ht="14.25" customHeight="1" x14ac:dyDescent="0.3">
      <c r="A22" s="18" t="s">
        <v>240</v>
      </c>
      <c r="B22" s="19">
        <v>59.48</v>
      </c>
      <c r="C22" s="19">
        <v>56.88</v>
      </c>
      <c r="D22" s="19">
        <v>124.67</v>
      </c>
      <c r="E22" s="19">
        <v>89.45</v>
      </c>
      <c r="F22" s="20">
        <v>309.97000000000003</v>
      </c>
    </row>
    <row r="23" spans="1:6" ht="14.25" customHeight="1" x14ac:dyDescent="0.3">
      <c r="A23" s="18" t="s">
        <v>241</v>
      </c>
      <c r="B23" s="19">
        <v>261.5</v>
      </c>
      <c r="C23" s="19">
        <v>407.23</v>
      </c>
      <c r="D23" s="19">
        <v>384.05</v>
      </c>
      <c r="E23" s="19">
        <v>-1110.8900000000001</v>
      </c>
      <c r="F23" s="20">
        <v>0</v>
      </c>
    </row>
    <row r="24" spans="1:6" ht="14.25" customHeight="1" x14ac:dyDescent="0.3">
      <c r="A24" s="18" t="s">
        <v>242</v>
      </c>
      <c r="B24" s="19">
        <v>0</v>
      </c>
      <c r="C24" s="19">
        <v>-62.61</v>
      </c>
      <c r="D24" s="19">
        <v>11.42</v>
      </c>
      <c r="E24" s="19">
        <v>587.54999999999995</v>
      </c>
      <c r="F24" s="20">
        <v>0</v>
      </c>
    </row>
    <row r="25" spans="1:6" ht="14.25" customHeight="1" x14ac:dyDescent="0.3">
      <c r="A25" s="18" t="s">
        <v>243</v>
      </c>
      <c r="B25" s="19">
        <v>320.97000000000003</v>
      </c>
      <c r="C25" s="19">
        <v>401.5</v>
      </c>
      <c r="D25" s="19">
        <v>520.13</v>
      </c>
      <c r="E25" s="19">
        <v>-433.89</v>
      </c>
      <c r="F25" s="20">
        <v>309.97000000000003</v>
      </c>
    </row>
    <row r="26" spans="1:6" ht="14.25" customHeight="1" x14ac:dyDescent="0.3">
      <c r="A26" s="18" t="s">
        <v>244</v>
      </c>
      <c r="B26" s="19">
        <v>843.62</v>
      </c>
      <c r="C26" s="19">
        <v>1100.92</v>
      </c>
      <c r="D26" s="19">
        <v>1630.42</v>
      </c>
      <c r="E26" s="19">
        <v>2694.51</v>
      </c>
      <c r="F26" s="20">
        <v>2621.85</v>
      </c>
    </row>
    <row r="27" spans="1:6" ht="14.25" customHeight="1" x14ac:dyDescent="0.3">
      <c r="A27" s="18" t="s">
        <v>245</v>
      </c>
      <c r="B27" s="19">
        <v>843.62</v>
      </c>
      <c r="C27" s="19">
        <v>1100.92</v>
      </c>
      <c r="D27" s="19">
        <v>1630.42</v>
      </c>
      <c r="E27" s="19">
        <v>2694.51</v>
      </c>
      <c r="F27" s="20">
        <v>2621.85</v>
      </c>
    </row>
    <row r="28" spans="1:6" ht="14.25" customHeight="1" x14ac:dyDescent="0.3">
      <c r="A28" s="18" t="s">
        <v>246</v>
      </c>
      <c r="B28" s="19">
        <v>843.62</v>
      </c>
      <c r="C28" s="19">
        <v>1100.92</v>
      </c>
      <c r="D28" s="19">
        <v>1630.42</v>
      </c>
      <c r="E28" s="19">
        <v>2694.51</v>
      </c>
      <c r="F28" s="20">
        <v>2621.85</v>
      </c>
    </row>
    <row r="29" spans="1:6" ht="14.25" customHeight="1" x14ac:dyDescent="0.3">
      <c r="A29" s="18" t="s">
        <v>247</v>
      </c>
      <c r="B29" s="19">
        <v>0.54</v>
      </c>
      <c r="C29" s="19">
        <v>1.88</v>
      </c>
      <c r="D29" s="19">
        <v>3.56</v>
      </c>
      <c r="E29" s="19">
        <v>0.8</v>
      </c>
      <c r="F29" s="20">
        <v>0</v>
      </c>
    </row>
    <row r="30" spans="1:6" ht="14.25" customHeight="1" x14ac:dyDescent="0.3">
      <c r="A30" s="18" t="s">
        <v>248</v>
      </c>
      <c r="B30" s="19">
        <v>656.7</v>
      </c>
      <c r="C30" s="19">
        <v>933.03</v>
      </c>
      <c r="D30" s="19">
        <v>1093.1300000000001</v>
      </c>
      <c r="E30" s="19">
        <v>1672.31</v>
      </c>
      <c r="F30" s="20">
        <v>1792.83</v>
      </c>
    </row>
    <row r="31" spans="1:6" ht="14.25" customHeight="1" x14ac:dyDescent="0.3">
      <c r="A31" s="18" t="s">
        <v>249</v>
      </c>
      <c r="B31" s="19">
        <v>1500.85</v>
      </c>
      <c r="C31" s="19">
        <v>2035.83</v>
      </c>
      <c r="D31" s="19">
        <v>2727.11</v>
      </c>
      <c r="E31" s="19">
        <v>4367.62</v>
      </c>
      <c r="F31" s="20">
        <v>4414.68</v>
      </c>
    </row>
    <row r="32" spans="1:6" ht="14.25" customHeight="1" x14ac:dyDescent="0.3">
      <c r="A32" s="18" t="s">
        <v>250</v>
      </c>
      <c r="B32" s="19"/>
      <c r="C32" s="19"/>
      <c r="D32" s="19"/>
      <c r="E32" s="19"/>
      <c r="F32" s="20"/>
    </row>
    <row r="33" spans="1:6" ht="14.25" customHeight="1" x14ac:dyDescent="0.3">
      <c r="A33" s="18" t="s">
        <v>251</v>
      </c>
      <c r="B33" s="19">
        <v>6</v>
      </c>
      <c r="C33" s="19">
        <v>8</v>
      </c>
      <c r="D33" s="19">
        <v>11</v>
      </c>
      <c r="E33" s="19">
        <v>18</v>
      </c>
      <c r="F33" s="20">
        <v>18</v>
      </c>
    </row>
    <row r="34" spans="1:6" ht="14.25" customHeight="1" x14ac:dyDescent="0.3">
      <c r="A34" s="18" t="s">
        <v>252</v>
      </c>
      <c r="B34" s="19">
        <v>6</v>
      </c>
      <c r="C34" s="19">
        <v>8</v>
      </c>
      <c r="D34" s="19">
        <v>11</v>
      </c>
      <c r="E34" s="19">
        <v>18</v>
      </c>
      <c r="F34" s="20">
        <v>18</v>
      </c>
    </row>
    <row r="35" spans="1:6" ht="14.25" customHeight="1" x14ac:dyDescent="0.3">
      <c r="A35" s="18" t="s">
        <v>253</v>
      </c>
      <c r="B35" s="19"/>
      <c r="C35" s="19"/>
      <c r="D35" s="19"/>
      <c r="E35" s="19"/>
      <c r="F35" s="20"/>
    </row>
    <row r="36" spans="1:6" ht="15" customHeight="1" x14ac:dyDescent="0.3">
      <c r="A36" s="21" t="s">
        <v>254</v>
      </c>
      <c r="B36" s="22">
        <v>495.06</v>
      </c>
      <c r="C36" s="22">
        <v>742.59</v>
      </c>
      <c r="D36" s="22">
        <v>990.12</v>
      </c>
      <c r="E36" s="22">
        <v>1237.6600000000001</v>
      </c>
      <c r="F36" s="23">
        <v>0</v>
      </c>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4"/>
  <sheetViews>
    <sheetView showGridLines="0" zoomScaleNormal="100" workbookViewId="0">
      <selection sqref="A1:F2"/>
    </sheetView>
  </sheetViews>
  <sheetFormatPr defaultColWidth="8.6640625" defaultRowHeight="14.4" x14ac:dyDescent="0.3"/>
  <cols>
    <col min="1" max="1" width="40.5546875" style="180" customWidth="1"/>
    <col min="2" max="6" width="9" style="180" customWidth="1"/>
  </cols>
  <sheetData>
    <row r="1" spans="1:6" ht="14.25" customHeight="1" x14ac:dyDescent="0.3">
      <c r="A1" s="307" t="s">
        <v>255</v>
      </c>
      <c r="B1" s="308"/>
      <c r="C1" s="308"/>
      <c r="D1" s="308"/>
      <c r="E1" s="308"/>
      <c r="F1" s="309"/>
    </row>
    <row r="2" spans="1:6" ht="14.25" customHeight="1" x14ac:dyDescent="0.3">
      <c r="A2" s="310" t="s">
        <v>215</v>
      </c>
      <c r="B2" s="306" t="s">
        <v>216</v>
      </c>
      <c r="C2" s="306" t="s">
        <v>217</v>
      </c>
      <c r="D2" s="306" t="s">
        <v>218</v>
      </c>
      <c r="E2" s="306" t="s">
        <v>219</v>
      </c>
      <c r="F2" s="311" t="s">
        <v>220</v>
      </c>
    </row>
    <row r="3" spans="1:6" ht="14.25" customHeight="1" x14ac:dyDescent="0.3">
      <c r="A3" s="18" t="s">
        <v>256</v>
      </c>
      <c r="B3" s="19"/>
      <c r="C3" s="19"/>
      <c r="D3" s="19"/>
      <c r="E3" s="19"/>
      <c r="F3" s="20"/>
    </row>
    <row r="4" spans="1:6" ht="14.25" customHeight="1" x14ac:dyDescent="0.3">
      <c r="A4" s="18" t="s">
        <v>257</v>
      </c>
      <c r="B4" s="19"/>
      <c r="C4" s="19"/>
      <c r="D4" s="19"/>
      <c r="E4" s="19"/>
      <c r="F4" s="20"/>
    </row>
    <row r="5" spans="1:6" ht="14.25" customHeight="1" x14ac:dyDescent="0.3">
      <c r="A5" s="18" t="s">
        <v>258</v>
      </c>
      <c r="B5" s="19">
        <v>495.06</v>
      </c>
      <c r="C5" s="19">
        <v>495.06</v>
      </c>
      <c r="D5" s="19">
        <v>495.06</v>
      </c>
      <c r="E5" s="19">
        <v>495.06</v>
      </c>
      <c r="F5" s="20">
        <v>495.06</v>
      </c>
    </row>
    <row r="6" spans="1:6" ht="14.25" customHeight="1" x14ac:dyDescent="0.3">
      <c r="A6" s="18" t="s">
        <v>259</v>
      </c>
      <c r="B6" s="19">
        <v>495.06</v>
      </c>
      <c r="C6" s="19">
        <v>495.06</v>
      </c>
      <c r="D6" s="19">
        <v>495.06</v>
      </c>
      <c r="E6" s="19">
        <v>495.06</v>
      </c>
      <c r="F6" s="20">
        <v>495.06</v>
      </c>
    </row>
    <row r="7" spans="1:6" ht="14.25" customHeight="1" x14ac:dyDescent="0.3">
      <c r="A7" s="18" t="s">
        <v>260</v>
      </c>
      <c r="B7" s="19">
        <v>35867.22</v>
      </c>
      <c r="C7" s="19">
        <v>37192.47</v>
      </c>
      <c r="D7" s="19">
        <v>38935.75</v>
      </c>
      <c r="E7" s="19">
        <v>42055.16</v>
      </c>
      <c r="F7" s="20">
        <v>44978.31</v>
      </c>
    </row>
    <row r="8" spans="1:6" ht="14.25" customHeight="1" x14ac:dyDescent="0.3">
      <c r="A8" s="18" t="s">
        <v>261</v>
      </c>
      <c r="B8" s="19">
        <v>35867.22</v>
      </c>
      <c r="C8" s="19">
        <v>37192.47</v>
      </c>
      <c r="D8" s="19">
        <v>38935.75</v>
      </c>
      <c r="E8" s="19">
        <v>42055.16</v>
      </c>
      <c r="F8" s="20">
        <v>44978.31</v>
      </c>
    </row>
    <row r="9" spans="1:6" ht="14.25" customHeight="1" x14ac:dyDescent="0.3">
      <c r="A9" s="18" t="s">
        <v>262</v>
      </c>
      <c r="B9" s="19">
        <v>36362.28</v>
      </c>
      <c r="C9" s="19">
        <v>37687.53</v>
      </c>
      <c r="D9" s="19">
        <v>39430.81</v>
      </c>
      <c r="E9" s="19">
        <v>42550.22</v>
      </c>
      <c r="F9" s="20">
        <v>45473.37</v>
      </c>
    </row>
    <row r="10" spans="1:6" ht="14.25" customHeight="1" x14ac:dyDescent="0.3">
      <c r="A10" s="18" t="s">
        <v>247</v>
      </c>
      <c r="B10" s="19">
        <v>19.47</v>
      </c>
      <c r="C10" s="19">
        <v>4.3600000000000003</v>
      </c>
      <c r="D10" s="19">
        <v>0.8</v>
      </c>
      <c r="E10" s="19">
        <v>0</v>
      </c>
      <c r="F10" s="20">
        <v>0</v>
      </c>
    </row>
    <row r="11" spans="1:6" ht="14.25" customHeight="1" x14ac:dyDescent="0.3">
      <c r="A11" s="18" t="s">
        <v>263</v>
      </c>
      <c r="B11" s="19"/>
      <c r="C11" s="19"/>
      <c r="D11" s="19"/>
      <c r="E11" s="19"/>
      <c r="F11" s="20"/>
    </row>
    <row r="12" spans="1:6" ht="14.25" customHeight="1" x14ac:dyDescent="0.3">
      <c r="A12" s="18" t="s">
        <v>264</v>
      </c>
      <c r="B12" s="19">
        <v>2189.46</v>
      </c>
      <c r="C12" s="19">
        <v>1049.6600000000001</v>
      </c>
      <c r="D12" s="19">
        <v>2438.9899999999998</v>
      </c>
      <c r="E12" s="19">
        <v>1672.07</v>
      </c>
      <c r="F12" s="20">
        <v>0</v>
      </c>
    </row>
    <row r="13" spans="1:6" ht="14.25" customHeight="1" x14ac:dyDescent="0.3">
      <c r="A13" s="18" t="s">
        <v>265</v>
      </c>
      <c r="B13" s="19">
        <v>2141.56</v>
      </c>
      <c r="C13" s="19">
        <v>2574.33</v>
      </c>
      <c r="D13" s="19">
        <v>2790.19</v>
      </c>
      <c r="E13" s="19">
        <v>1514.78</v>
      </c>
      <c r="F13" s="20">
        <v>2143.1799999999998</v>
      </c>
    </row>
    <row r="14" spans="1:6" ht="14.25" customHeight="1" x14ac:dyDescent="0.3">
      <c r="A14" s="18" t="s">
        <v>266</v>
      </c>
      <c r="B14" s="19">
        <v>1337.89</v>
      </c>
      <c r="C14" s="19">
        <v>1377.33</v>
      </c>
      <c r="D14" s="19">
        <v>1406.56</v>
      </c>
      <c r="E14" s="19">
        <v>1452.41</v>
      </c>
      <c r="F14" s="20">
        <v>1549.48</v>
      </c>
    </row>
    <row r="15" spans="1:6" ht="14.25" customHeight="1" x14ac:dyDescent="0.3">
      <c r="A15" s="18" t="s">
        <v>267</v>
      </c>
      <c r="B15" s="19">
        <v>48.88</v>
      </c>
      <c r="C15" s="19">
        <v>50.01</v>
      </c>
      <c r="D15" s="19">
        <v>54</v>
      </c>
      <c r="E15" s="19">
        <v>52.89</v>
      </c>
      <c r="F15" s="20">
        <v>107.75</v>
      </c>
    </row>
    <row r="16" spans="1:6" ht="14.25" customHeight="1" x14ac:dyDescent="0.3">
      <c r="A16" s="18" t="s">
        <v>268</v>
      </c>
      <c r="B16" s="19">
        <v>5717.79</v>
      </c>
      <c r="C16" s="19">
        <v>5051.33</v>
      </c>
      <c r="D16" s="19">
        <v>6689.73</v>
      </c>
      <c r="E16" s="19">
        <v>4692.16</v>
      </c>
      <c r="F16" s="20">
        <v>3800.41</v>
      </c>
    </row>
    <row r="17" spans="1:6" ht="14.25" customHeight="1" x14ac:dyDescent="0.3">
      <c r="A17" s="18" t="s">
        <v>269</v>
      </c>
      <c r="B17" s="19"/>
      <c r="C17" s="19"/>
      <c r="D17" s="19"/>
      <c r="E17" s="19"/>
      <c r="F17" s="20"/>
    </row>
    <row r="18" spans="1:6" ht="14.25" customHeight="1" x14ac:dyDescent="0.3">
      <c r="A18" s="18" t="s">
        <v>270</v>
      </c>
      <c r="B18" s="19">
        <v>1770.54</v>
      </c>
      <c r="C18" s="19">
        <v>2053.4299999999998</v>
      </c>
      <c r="D18" s="19">
        <v>2159.73</v>
      </c>
      <c r="E18" s="19">
        <v>2181.96</v>
      </c>
      <c r="F18" s="20">
        <v>44.95</v>
      </c>
    </row>
    <row r="19" spans="1:6" ht="14.25" customHeight="1" x14ac:dyDescent="0.3">
      <c r="A19" s="18" t="s">
        <v>271</v>
      </c>
      <c r="B19" s="19">
        <v>1528.73</v>
      </c>
      <c r="C19" s="19">
        <v>1643.7</v>
      </c>
      <c r="D19" s="19">
        <v>1787.82</v>
      </c>
      <c r="E19" s="19">
        <v>2261.0300000000002</v>
      </c>
      <c r="F19" s="20">
        <v>1719.59</v>
      </c>
    </row>
    <row r="20" spans="1:6" ht="14.25" customHeight="1" x14ac:dyDescent="0.3">
      <c r="A20" s="18" t="s">
        <v>272</v>
      </c>
      <c r="B20" s="19">
        <v>7059.5</v>
      </c>
      <c r="C20" s="19">
        <v>7451.88</v>
      </c>
      <c r="D20" s="19">
        <v>10118.82</v>
      </c>
      <c r="E20" s="19">
        <v>17748.64</v>
      </c>
      <c r="F20" s="20">
        <v>23757.07</v>
      </c>
    </row>
    <row r="21" spans="1:6" ht="14.25" customHeight="1" x14ac:dyDescent="0.3">
      <c r="A21" s="18" t="s">
        <v>273</v>
      </c>
      <c r="B21" s="19">
        <v>45.09</v>
      </c>
      <c r="C21" s="19">
        <v>35.76</v>
      </c>
      <c r="D21" s="19">
        <v>74.680000000000007</v>
      </c>
      <c r="E21" s="19">
        <v>41.37</v>
      </c>
      <c r="F21" s="20">
        <v>79.38</v>
      </c>
    </row>
    <row r="22" spans="1:6" ht="14.25" customHeight="1" x14ac:dyDescent="0.3">
      <c r="A22" s="18" t="s">
        <v>274</v>
      </c>
      <c r="B22" s="19">
        <v>10403.85</v>
      </c>
      <c r="C22" s="19">
        <v>11184.76</v>
      </c>
      <c r="D22" s="19">
        <v>14141.05</v>
      </c>
      <c r="E22" s="19">
        <v>22233</v>
      </c>
      <c r="F22" s="20">
        <v>25600.99</v>
      </c>
    </row>
    <row r="23" spans="1:6" ht="14.25" customHeight="1" x14ac:dyDescent="0.3">
      <c r="A23" s="18" t="s">
        <v>275</v>
      </c>
      <c r="B23" s="19">
        <v>52503.4</v>
      </c>
      <c r="C23" s="19">
        <v>53927.99</v>
      </c>
      <c r="D23" s="19">
        <v>60262.400000000001</v>
      </c>
      <c r="E23" s="19">
        <v>69475.37</v>
      </c>
      <c r="F23" s="20">
        <v>74874.77</v>
      </c>
    </row>
    <row r="24" spans="1:6" ht="14.25" customHeight="1" x14ac:dyDescent="0.3">
      <c r="A24" s="18" t="s">
        <v>276</v>
      </c>
      <c r="B24" s="19"/>
      <c r="C24" s="19"/>
      <c r="D24" s="19"/>
      <c r="E24" s="19"/>
      <c r="F24" s="20"/>
    </row>
    <row r="25" spans="1:6" ht="14.25" customHeight="1" x14ac:dyDescent="0.3">
      <c r="A25" s="18" t="s">
        <v>277</v>
      </c>
      <c r="B25" s="19"/>
      <c r="C25" s="19"/>
      <c r="D25" s="19"/>
      <c r="E25" s="19"/>
      <c r="F25" s="20"/>
    </row>
    <row r="26" spans="1:6" ht="14.25" customHeight="1" x14ac:dyDescent="0.3">
      <c r="A26" s="18" t="s">
        <v>278</v>
      </c>
      <c r="B26" s="19">
        <v>3771.75</v>
      </c>
      <c r="C26" s="19">
        <v>3699.49</v>
      </c>
      <c r="D26" s="19">
        <v>2799.41</v>
      </c>
      <c r="E26" s="19">
        <v>2427.8000000000002</v>
      </c>
      <c r="F26" s="20">
        <v>2955.79</v>
      </c>
    </row>
    <row r="27" spans="1:6" ht="14.25" customHeight="1" x14ac:dyDescent="0.3">
      <c r="A27" s="18" t="s">
        <v>279</v>
      </c>
      <c r="B27" s="19">
        <v>146.38999999999999</v>
      </c>
      <c r="C27" s="19">
        <v>141.65</v>
      </c>
      <c r="D27" s="19">
        <v>136.35</v>
      </c>
      <c r="E27" s="19">
        <v>130.22999999999999</v>
      </c>
      <c r="F27" s="20">
        <v>216.78</v>
      </c>
    </row>
    <row r="28" spans="1:6" ht="14.25" customHeight="1" x14ac:dyDescent="0.3">
      <c r="A28" s="18" t="s">
        <v>280</v>
      </c>
      <c r="B28" s="19">
        <v>81.05</v>
      </c>
      <c r="C28" s="19">
        <v>61.12</v>
      </c>
      <c r="D28" s="19">
        <v>68.099999999999994</v>
      </c>
      <c r="E28" s="19">
        <v>77.14</v>
      </c>
      <c r="F28" s="20">
        <v>158.72</v>
      </c>
    </row>
    <row r="29" spans="1:6" ht="14.25" customHeight="1" x14ac:dyDescent="0.3">
      <c r="A29" s="18" t="s">
        <v>281</v>
      </c>
      <c r="B29" s="19">
        <v>0</v>
      </c>
      <c r="C29" s="19">
        <v>0</v>
      </c>
      <c r="D29" s="19">
        <v>2.6</v>
      </c>
      <c r="E29" s="19">
        <v>8.5500000000000007</v>
      </c>
      <c r="F29" s="20">
        <v>0</v>
      </c>
    </row>
    <row r="30" spans="1:6" ht="14.25" customHeight="1" x14ac:dyDescent="0.3">
      <c r="A30" s="18" t="s">
        <v>282</v>
      </c>
      <c r="B30" s="19">
        <v>3999.19</v>
      </c>
      <c r="C30" s="19">
        <v>3902.25</v>
      </c>
      <c r="D30" s="19">
        <v>3006.46</v>
      </c>
      <c r="E30" s="19">
        <v>2643.73</v>
      </c>
      <c r="F30" s="20">
        <v>3331.29</v>
      </c>
    </row>
    <row r="31" spans="1:6" ht="14.25" customHeight="1" x14ac:dyDescent="0.3">
      <c r="A31" s="18" t="s">
        <v>283</v>
      </c>
      <c r="B31" s="19">
        <v>19536.419999999998</v>
      </c>
      <c r="C31" s="19">
        <v>19010.41</v>
      </c>
      <c r="D31" s="19">
        <v>19756.88</v>
      </c>
      <c r="E31" s="19">
        <v>20980.61</v>
      </c>
      <c r="F31" s="20">
        <v>21119.22</v>
      </c>
    </row>
    <row r="32" spans="1:6" ht="14.25" customHeight="1" x14ac:dyDescent="0.3">
      <c r="A32" s="18" t="s">
        <v>284</v>
      </c>
      <c r="B32" s="19">
        <v>1336.54</v>
      </c>
      <c r="C32" s="19">
        <v>1355.76</v>
      </c>
      <c r="D32" s="19">
        <v>1193.47</v>
      </c>
      <c r="E32" s="19">
        <v>1002.97</v>
      </c>
      <c r="F32" s="20">
        <v>1410.15</v>
      </c>
    </row>
    <row r="33" spans="1:6" ht="14.25" customHeight="1" x14ac:dyDescent="0.3">
      <c r="A33" s="18" t="s">
        <v>285</v>
      </c>
      <c r="B33" s="19">
        <v>229.92</v>
      </c>
      <c r="C33" s="19">
        <v>205.65</v>
      </c>
      <c r="D33" s="19">
        <v>204.67</v>
      </c>
      <c r="E33" s="19">
        <v>190.14</v>
      </c>
      <c r="F33" s="20">
        <v>663.31</v>
      </c>
    </row>
    <row r="34" spans="1:6" ht="14.25" customHeight="1" x14ac:dyDescent="0.3">
      <c r="A34" s="18" t="s">
        <v>286</v>
      </c>
      <c r="B34" s="19">
        <v>2366.19</v>
      </c>
      <c r="C34" s="19">
        <v>2738.97</v>
      </c>
      <c r="D34" s="19">
        <v>2599.92</v>
      </c>
      <c r="E34" s="19">
        <v>2508.39</v>
      </c>
      <c r="F34" s="20">
        <v>6686.14</v>
      </c>
    </row>
    <row r="35" spans="1:6" ht="14.25" customHeight="1" x14ac:dyDescent="0.3">
      <c r="A35" s="18" t="s">
        <v>287</v>
      </c>
      <c r="B35" s="19">
        <v>28412.52</v>
      </c>
      <c r="C35" s="19">
        <v>28157.3</v>
      </c>
      <c r="D35" s="19">
        <v>27705.66</v>
      </c>
      <c r="E35" s="19">
        <v>28270.080000000002</v>
      </c>
      <c r="F35" s="20">
        <v>34154.36</v>
      </c>
    </row>
    <row r="36" spans="1:6" ht="14.25" customHeight="1" x14ac:dyDescent="0.3">
      <c r="A36" s="18" t="s">
        <v>288</v>
      </c>
      <c r="B36" s="19"/>
      <c r="C36" s="19"/>
      <c r="D36" s="19"/>
      <c r="E36" s="19"/>
      <c r="F36" s="20"/>
    </row>
    <row r="37" spans="1:6" ht="14.25" customHeight="1" x14ac:dyDescent="0.3">
      <c r="A37" s="18" t="s">
        <v>289</v>
      </c>
      <c r="B37" s="19">
        <v>243.06</v>
      </c>
      <c r="C37" s="19">
        <v>470.72</v>
      </c>
      <c r="D37" s="19">
        <v>380.81</v>
      </c>
      <c r="E37" s="19">
        <v>355</v>
      </c>
      <c r="F37" s="20">
        <v>572.97</v>
      </c>
    </row>
    <row r="38" spans="1:6" ht="14.25" customHeight="1" x14ac:dyDescent="0.3">
      <c r="A38" s="18" t="s">
        <v>290</v>
      </c>
      <c r="B38" s="19">
        <v>20106.990000000002</v>
      </c>
      <c r="C38" s="19">
        <v>19361.23</v>
      </c>
      <c r="D38" s="19">
        <v>21154.13</v>
      </c>
      <c r="E38" s="19">
        <v>24621.48</v>
      </c>
      <c r="F38" s="20">
        <v>24717.48</v>
      </c>
    </row>
    <row r="39" spans="1:6" ht="14.25" customHeight="1" x14ac:dyDescent="0.3">
      <c r="A39" s="18" t="s">
        <v>291</v>
      </c>
      <c r="B39" s="19">
        <v>563.6</v>
      </c>
      <c r="C39" s="19">
        <v>549.23</v>
      </c>
      <c r="D39" s="19">
        <v>538.07000000000005</v>
      </c>
      <c r="E39" s="19">
        <v>802.21</v>
      </c>
      <c r="F39" s="20">
        <v>847.38</v>
      </c>
    </row>
    <row r="40" spans="1:6" ht="14.25" customHeight="1" x14ac:dyDescent="0.3">
      <c r="A40" s="18" t="s">
        <v>292</v>
      </c>
      <c r="B40" s="19">
        <v>931.62</v>
      </c>
      <c r="C40" s="19">
        <v>2274.7199999999998</v>
      </c>
      <c r="D40" s="19">
        <v>4384.3500000000004</v>
      </c>
      <c r="E40" s="19">
        <v>4338.08</v>
      </c>
      <c r="F40" s="20">
        <v>7746.4</v>
      </c>
    </row>
    <row r="41" spans="1:6" ht="14.25" customHeight="1" x14ac:dyDescent="0.3">
      <c r="A41" s="18" t="s">
        <v>293</v>
      </c>
      <c r="B41" s="19">
        <v>687.86</v>
      </c>
      <c r="C41" s="19">
        <v>816.71</v>
      </c>
      <c r="D41" s="19">
        <v>957.58</v>
      </c>
      <c r="E41" s="19">
        <v>676.69</v>
      </c>
      <c r="F41" s="20">
        <v>448.39</v>
      </c>
    </row>
    <row r="42" spans="1:6" ht="14.25" customHeight="1" x14ac:dyDescent="0.3">
      <c r="A42" s="18" t="s">
        <v>294</v>
      </c>
      <c r="B42" s="19">
        <v>1557.74</v>
      </c>
      <c r="C42" s="19">
        <v>2298.08</v>
      </c>
      <c r="D42" s="19">
        <v>5141.79</v>
      </c>
      <c r="E42" s="19">
        <v>10411.82</v>
      </c>
      <c r="F42" s="20">
        <v>6387.79</v>
      </c>
    </row>
    <row r="43" spans="1:6" ht="14.25" customHeight="1" x14ac:dyDescent="0.3">
      <c r="A43" s="18" t="s">
        <v>295</v>
      </c>
      <c r="B43" s="19">
        <v>24090.880000000001</v>
      </c>
      <c r="C43" s="19">
        <v>25770.69</v>
      </c>
      <c r="D43" s="19">
        <v>32556.73</v>
      </c>
      <c r="E43" s="19">
        <v>41205.29</v>
      </c>
      <c r="F43" s="20">
        <v>40720.410000000003</v>
      </c>
    </row>
    <row r="44" spans="1:6" ht="14.25" customHeight="1" x14ac:dyDescent="0.3">
      <c r="A44" s="18" t="s">
        <v>296</v>
      </c>
      <c r="B44" s="19">
        <v>52503.4</v>
      </c>
      <c r="C44" s="19">
        <v>53927.99</v>
      </c>
      <c r="D44" s="19">
        <v>60262.400000000001</v>
      </c>
      <c r="E44" s="19">
        <v>69475.37</v>
      </c>
      <c r="F44" s="20">
        <v>74874.77</v>
      </c>
    </row>
    <row r="45" spans="1:6" ht="14.25" customHeight="1" x14ac:dyDescent="0.3">
      <c r="A45" s="18" t="s">
        <v>297</v>
      </c>
      <c r="B45" s="19"/>
      <c r="C45" s="19"/>
      <c r="D45" s="19"/>
      <c r="E45" s="19"/>
      <c r="F45" s="20"/>
    </row>
    <row r="46" spans="1:6" ht="14.25" customHeight="1" x14ac:dyDescent="0.3">
      <c r="A46" s="18" t="s">
        <v>298</v>
      </c>
      <c r="B46" s="19"/>
      <c r="C46" s="19"/>
      <c r="D46" s="19"/>
      <c r="E46" s="19"/>
      <c r="F46" s="20"/>
    </row>
    <row r="47" spans="1:6" ht="14.25" customHeight="1" x14ac:dyDescent="0.3">
      <c r="A47" s="18" t="s">
        <v>299</v>
      </c>
      <c r="B47" s="19">
        <v>9816.77</v>
      </c>
      <c r="C47" s="19">
        <v>9526.19</v>
      </c>
      <c r="D47" s="19">
        <v>14123.09</v>
      </c>
      <c r="E47" s="19">
        <v>9972.19</v>
      </c>
      <c r="F47" s="20">
        <v>0</v>
      </c>
    </row>
    <row r="48" spans="1:6" ht="14.25" customHeight="1" x14ac:dyDescent="0.3">
      <c r="A48" s="18" t="s">
        <v>300</v>
      </c>
      <c r="B48" s="19"/>
      <c r="C48" s="19"/>
      <c r="D48" s="19"/>
      <c r="E48" s="19"/>
      <c r="F48" s="20"/>
    </row>
    <row r="49" spans="1:6" ht="14.25" customHeight="1" x14ac:dyDescent="0.3">
      <c r="A49" s="18" t="s">
        <v>301</v>
      </c>
      <c r="B49" s="19">
        <v>267.72000000000003</v>
      </c>
      <c r="C49" s="19">
        <v>267.72000000000003</v>
      </c>
      <c r="D49" s="19">
        <v>267.72000000000003</v>
      </c>
      <c r="E49" s="19">
        <v>267.72000000000003</v>
      </c>
      <c r="F49" s="20">
        <v>0</v>
      </c>
    </row>
    <row r="50" spans="1:6" ht="14.25" customHeight="1" x14ac:dyDescent="0.3">
      <c r="A50" s="18" t="s">
        <v>302</v>
      </c>
      <c r="B50" s="19"/>
      <c r="C50" s="19"/>
      <c r="D50" s="19"/>
      <c r="E50" s="19"/>
      <c r="F50" s="20"/>
    </row>
    <row r="51" spans="1:6" ht="14.25" customHeight="1" x14ac:dyDescent="0.3">
      <c r="A51" s="18" t="s">
        <v>303</v>
      </c>
      <c r="B51" s="19">
        <v>0</v>
      </c>
      <c r="C51" s="19">
        <v>0</v>
      </c>
      <c r="D51" s="19">
        <v>34.9</v>
      </c>
      <c r="E51" s="19">
        <v>41.89</v>
      </c>
      <c r="F51" s="20">
        <v>0</v>
      </c>
    </row>
    <row r="52" spans="1:6" ht="14.25" customHeight="1" x14ac:dyDescent="0.3">
      <c r="A52" s="18" t="s">
        <v>304</v>
      </c>
      <c r="B52" s="19">
        <v>0</v>
      </c>
      <c r="C52" s="19">
        <v>0</v>
      </c>
      <c r="D52" s="19">
        <v>408.91</v>
      </c>
      <c r="E52" s="19">
        <v>872.57</v>
      </c>
      <c r="F52" s="20">
        <v>0</v>
      </c>
    </row>
    <row r="53" spans="1:6" ht="14.25" customHeight="1" x14ac:dyDescent="0.3">
      <c r="A53" s="18" t="s">
        <v>305</v>
      </c>
      <c r="B53" s="19"/>
      <c r="C53" s="19"/>
      <c r="D53" s="19"/>
      <c r="E53" s="19"/>
      <c r="F53" s="20"/>
    </row>
    <row r="54" spans="1:6" ht="15" customHeight="1" x14ac:dyDescent="0.3">
      <c r="A54" s="21" t="s">
        <v>306</v>
      </c>
      <c r="B54" s="22">
        <v>0</v>
      </c>
      <c r="C54" s="22">
        <v>0</v>
      </c>
      <c r="D54" s="22">
        <v>380.81</v>
      </c>
      <c r="E54" s="22">
        <v>355</v>
      </c>
      <c r="F54" s="23">
        <v>0</v>
      </c>
    </row>
  </sheetData>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9"/>
  <sheetViews>
    <sheetView showGridLines="0" zoomScaleNormal="100" workbookViewId="0">
      <selection sqref="A1:F2"/>
    </sheetView>
  </sheetViews>
  <sheetFormatPr defaultColWidth="8.6640625" defaultRowHeight="14.4" x14ac:dyDescent="0.3"/>
  <cols>
    <col min="1" max="1" width="45.109375" style="180" customWidth="1"/>
  </cols>
  <sheetData>
    <row r="1" spans="1:6" ht="14.25" customHeight="1" x14ac:dyDescent="0.3">
      <c r="A1" s="306" t="s">
        <v>307</v>
      </c>
      <c r="B1" s="293"/>
      <c r="C1" s="293"/>
      <c r="D1" s="293"/>
      <c r="E1" s="293"/>
      <c r="F1" s="293"/>
    </row>
    <row r="2" spans="1:6" ht="14.25" customHeight="1" x14ac:dyDescent="0.3">
      <c r="A2" s="306" t="s">
        <v>215</v>
      </c>
      <c r="B2" s="306" t="s">
        <v>216</v>
      </c>
      <c r="C2" s="306" t="s">
        <v>217</v>
      </c>
      <c r="D2" s="306" t="s">
        <v>218</v>
      </c>
      <c r="E2" s="306" t="s">
        <v>219</v>
      </c>
      <c r="F2" s="306" t="s">
        <v>220</v>
      </c>
    </row>
    <row r="3" spans="1:6" ht="14.25" customHeight="1" x14ac:dyDescent="0.3">
      <c r="A3" s="19" t="s">
        <v>308</v>
      </c>
      <c r="B3" s="19">
        <v>1164.5899999999999</v>
      </c>
      <c r="C3" s="19">
        <v>1502.42</v>
      </c>
      <c r="D3" s="19">
        <v>2150.5500000000002</v>
      </c>
      <c r="E3" s="19">
        <v>2260.62</v>
      </c>
      <c r="F3" s="19">
        <v>2931.82</v>
      </c>
    </row>
    <row r="4" spans="1:6" ht="14.25" customHeight="1" x14ac:dyDescent="0.3">
      <c r="A4" s="19" t="s">
        <v>309</v>
      </c>
      <c r="B4" s="19">
        <v>2831.82</v>
      </c>
      <c r="C4" s="19">
        <v>2375.2600000000002</v>
      </c>
      <c r="D4" s="19">
        <v>2538.81</v>
      </c>
      <c r="E4" s="19">
        <v>5235.22</v>
      </c>
      <c r="F4" s="19">
        <v>6347.37</v>
      </c>
    </row>
    <row r="5" spans="1:6" ht="14.25" customHeight="1" x14ac:dyDescent="0.3">
      <c r="A5" s="19" t="s">
        <v>310</v>
      </c>
      <c r="B5" s="19">
        <v>262.97000000000003</v>
      </c>
      <c r="C5" s="19">
        <v>-462.62</v>
      </c>
      <c r="D5" s="19">
        <v>-1528.67</v>
      </c>
      <c r="E5" s="19">
        <v>-3543.05</v>
      </c>
      <c r="F5" s="19">
        <v>721.1</v>
      </c>
    </row>
    <row r="6" spans="1:6" ht="14.25" customHeight="1" x14ac:dyDescent="0.3">
      <c r="A6" s="19" t="s">
        <v>311</v>
      </c>
      <c r="B6" s="19">
        <v>-3828.19</v>
      </c>
      <c r="C6" s="19">
        <v>-2013.15</v>
      </c>
      <c r="D6" s="19">
        <v>176.61</v>
      </c>
      <c r="E6" s="19">
        <v>-2402.56</v>
      </c>
      <c r="F6" s="19">
        <v>-5546.76</v>
      </c>
    </row>
    <row r="7" spans="1:6" ht="14.25" customHeight="1" x14ac:dyDescent="0.3">
      <c r="A7" s="19" t="s">
        <v>312</v>
      </c>
      <c r="B7" s="19">
        <v>-733.4</v>
      </c>
      <c r="C7" s="19">
        <v>-100.51</v>
      </c>
      <c r="D7" s="19">
        <v>1186.75</v>
      </c>
      <c r="E7" s="19">
        <v>-710.38</v>
      </c>
      <c r="F7" s="19">
        <v>1521.71</v>
      </c>
    </row>
    <row r="8" spans="1:6" ht="14.25" customHeight="1" x14ac:dyDescent="0.3">
      <c r="A8" s="19" t="s">
        <v>313</v>
      </c>
      <c r="B8" s="19">
        <v>1039.25</v>
      </c>
      <c r="C8" s="19">
        <v>307.86</v>
      </c>
      <c r="D8" s="19">
        <v>207.08</v>
      </c>
      <c r="E8" s="19">
        <v>1461.89</v>
      </c>
      <c r="F8" s="19">
        <v>751.51</v>
      </c>
    </row>
    <row r="9" spans="1:6" ht="14.25" customHeight="1" x14ac:dyDescent="0.3">
      <c r="A9" s="19" t="s">
        <v>314</v>
      </c>
      <c r="B9" s="19">
        <v>305.85000000000002</v>
      </c>
      <c r="C9" s="19">
        <v>207.35</v>
      </c>
      <c r="D9" s="19">
        <v>1393.83</v>
      </c>
      <c r="E9" s="19">
        <v>751.51</v>
      </c>
      <c r="F9" s="19">
        <v>2273.2199999999998</v>
      </c>
    </row>
  </sheetData>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532"/>
  <sheetViews>
    <sheetView zoomScaleNormal="100" workbookViewId="0">
      <selection sqref="A1:H1532"/>
    </sheetView>
  </sheetViews>
  <sheetFormatPr defaultColWidth="8.6640625" defaultRowHeight="14.4" x14ac:dyDescent="0.3"/>
  <cols>
    <col min="1" max="1" width="10.33203125" style="180" customWidth="1"/>
    <col min="2" max="2" width="13.33203125" style="180" customWidth="1"/>
    <col min="3" max="3" width="9.44140625" style="180" customWidth="1"/>
    <col min="8" max="8" width="9.88671875" style="180" customWidth="1"/>
    <col min="9" max="9" width="17.44140625" style="180" customWidth="1"/>
    <col min="10" max="10" width="12" style="180" customWidth="1"/>
    <col min="11" max="11" width="13.44140625" style="180" customWidth="1"/>
    <col min="14" max="14" width="12.6640625" style="180" customWidth="1"/>
    <col min="15" max="15" width="12" style="180" customWidth="1"/>
    <col min="16" max="16" width="12.6640625" style="180" customWidth="1"/>
    <col min="17" max="17" width="12.109375" style="180" customWidth="1"/>
  </cols>
  <sheetData>
    <row r="1" spans="1:14" ht="14.25" customHeight="1" x14ac:dyDescent="0.3">
      <c r="A1" s="24" t="s">
        <v>315</v>
      </c>
      <c r="B1" s="24" t="s">
        <v>316</v>
      </c>
      <c r="C1" s="24" t="s">
        <v>317</v>
      </c>
      <c r="D1" s="19"/>
      <c r="E1" s="303" t="s">
        <v>318</v>
      </c>
      <c r="F1" s="303" t="s">
        <v>319</v>
      </c>
      <c r="G1" s="303" t="s">
        <v>320</v>
      </c>
      <c r="H1" s="303" t="s">
        <v>321</v>
      </c>
    </row>
    <row r="2" spans="1:14" ht="14.25" customHeight="1" x14ac:dyDescent="0.3">
      <c r="A2" s="304">
        <v>43922</v>
      </c>
      <c r="B2" s="305">
        <v>8253.7998046875</v>
      </c>
      <c r="C2" s="305">
        <v>132.55000305175801</v>
      </c>
      <c r="D2" s="19"/>
      <c r="E2" s="19"/>
      <c r="F2" s="19"/>
      <c r="G2" s="19"/>
      <c r="H2" s="19"/>
    </row>
    <row r="3" spans="1:14" ht="14.25" customHeight="1" x14ac:dyDescent="0.3">
      <c r="A3" s="304">
        <v>43924</v>
      </c>
      <c r="B3" s="305">
        <v>8083.7998046875</v>
      </c>
      <c r="C3" s="305">
        <v>132.10000610351599</v>
      </c>
      <c r="D3" s="19"/>
      <c r="E3" s="19">
        <f t="shared" ref="E3:E66" si="0">(B3-B2)/B2</f>
        <v>-2.0596574186770748E-2</v>
      </c>
      <c r="F3" s="19">
        <f t="shared" ref="F3:F66" si="1">(C3-C2)/C2</f>
        <v>-3.3949222020485548E-3</v>
      </c>
      <c r="G3" s="19">
        <f>SLOPE(F3:F1532,E3:E1532)</f>
        <v>1.56612339706217</v>
      </c>
      <c r="H3" s="19">
        <f>_xlfn.COVARIANCE.S(F3:F1532,E3:E1532)/_xlfn.VAR.S(E3:E1532)</f>
        <v>1.5661233970621706</v>
      </c>
      <c r="I3" t="s">
        <v>322</v>
      </c>
    </row>
    <row r="4" spans="1:14" ht="15" customHeight="1" x14ac:dyDescent="0.3">
      <c r="A4" s="304">
        <v>43928</v>
      </c>
      <c r="B4" s="305">
        <v>8792.2001953125</v>
      </c>
      <c r="C4" s="305">
        <v>141.55000305175801</v>
      </c>
      <c r="D4" s="19"/>
      <c r="E4" s="19">
        <f t="shared" si="0"/>
        <v>8.7632104671150374E-2</v>
      </c>
      <c r="F4" s="19">
        <f t="shared" si="1"/>
        <v>7.1536688203003004E-2</v>
      </c>
      <c r="G4" s="19"/>
      <c r="H4" s="19"/>
    </row>
    <row r="5" spans="1:14" ht="14.25" customHeight="1" x14ac:dyDescent="0.3">
      <c r="A5" s="304">
        <v>43929</v>
      </c>
      <c r="B5" s="305">
        <v>8748.75</v>
      </c>
      <c r="C5" s="305">
        <v>138</v>
      </c>
      <c r="D5" s="19"/>
      <c r="E5" s="19">
        <f t="shared" si="0"/>
        <v>-4.9419024075071866E-3</v>
      </c>
      <c r="F5" s="19">
        <f t="shared" si="1"/>
        <v>-2.5079498235404112E-2</v>
      </c>
      <c r="G5" s="19"/>
      <c r="H5" s="19"/>
      <c r="I5" s="221" t="s">
        <v>323</v>
      </c>
      <c r="J5" s="222"/>
    </row>
    <row r="6" spans="1:14" ht="14.25" customHeight="1" x14ac:dyDescent="0.3">
      <c r="A6" s="304">
        <v>43930</v>
      </c>
      <c r="B6" s="305">
        <v>9111.900390625</v>
      </c>
      <c r="C6" s="305">
        <v>149.10000610351599</v>
      </c>
      <c r="D6" s="19"/>
      <c r="E6" s="19">
        <f t="shared" si="0"/>
        <v>4.1508831618802686E-2</v>
      </c>
      <c r="F6" s="19">
        <f t="shared" si="1"/>
        <v>8.0434826837072426E-2</v>
      </c>
      <c r="G6" s="19"/>
      <c r="H6" s="19"/>
      <c r="I6" t="s">
        <v>324</v>
      </c>
      <c r="J6">
        <v>0.66199222260544599</v>
      </c>
    </row>
    <row r="7" spans="1:14" ht="14.25" customHeight="1" x14ac:dyDescent="0.3">
      <c r="A7" s="304">
        <v>43934</v>
      </c>
      <c r="B7" s="305">
        <v>8993.849609375</v>
      </c>
      <c r="C7" s="305">
        <v>139.75</v>
      </c>
      <c r="D7" s="19"/>
      <c r="E7" s="19">
        <f t="shared" si="0"/>
        <v>-1.2955670737079107E-2</v>
      </c>
      <c r="F7" s="19">
        <f t="shared" si="1"/>
        <v>-6.2709629247262033E-2</v>
      </c>
      <c r="G7" s="19"/>
      <c r="H7" s="19"/>
      <c r="I7" t="s">
        <v>325</v>
      </c>
      <c r="J7">
        <v>0.43823370279009799</v>
      </c>
    </row>
    <row r="8" spans="1:14" ht="14.25" customHeight="1" x14ac:dyDescent="0.3">
      <c r="A8" s="304">
        <v>43936</v>
      </c>
      <c r="B8" s="305">
        <v>8925.2998046875</v>
      </c>
      <c r="C8" s="305">
        <v>140.30000305175801</v>
      </c>
      <c r="D8" s="19"/>
      <c r="E8" s="19">
        <f t="shared" si="0"/>
        <v>-7.6218535626885646E-3</v>
      </c>
      <c r="F8" s="19">
        <f t="shared" si="1"/>
        <v>3.9356211217031227E-3</v>
      </c>
      <c r="G8" s="19"/>
      <c r="H8" s="19"/>
      <c r="I8" t="s">
        <v>326</v>
      </c>
      <c r="J8">
        <v>0.43786605468982998</v>
      </c>
    </row>
    <row r="9" spans="1:14" ht="14.25" customHeight="1" x14ac:dyDescent="0.3">
      <c r="A9" s="304">
        <v>43937</v>
      </c>
      <c r="B9" s="305">
        <v>8992.7998046875</v>
      </c>
      <c r="C9" s="305">
        <v>134</v>
      </c>
      <c r="D9" s="19"/>
      <c r="E9" s="19">
        <f t="shared" si="0"/>
        <v>7.5627711647903986E-3</v>
      </c>
      <c r="F9" s="19">
        <f t="shared" si="1"/>
        <v>-4.4903798394315644E-2</v>
      </c>
      <c r="G9" s="19"/>
      <c r="H9" s="19"/>
      <c r="I9" t="s">
        <v>327</v>
      </c>
      <c r="J9">
        <v>1.7391265162441601E-2</v>
      </c>
    </row>
    <row r="10" spans="1:14" ht="15" customHeight="1" x14ac:dyDescent="0.3">
      <c r="A10" s="304">
        <v>43938</v>
      </c>
      <c r="B10" s="305">
        <v>9266.75</v>
      </c>
      <c r="C10" s="305">
        <v>136.89999389648401</v>
      </c>
      <c r="D10" s="19"/>
      <c r="E10" s="19">
        <f t="shared" si="0"/>
        <v>3.0463281876874804E-2</v>
      </c>
      <c r="F10" s="19">
        <f t="shared" si="1"/>
        <v>2.1641745496149296E-2</v>
      </c>
      <c r="G10" s="19"/>
      <c r="H10" s="19"/>
      <c r="I10" s="27" t="s">
        <v>328</v>
      </c>
      <c r="J10" s="27">
        <v>1530</v>
      </c>
    </row>
    <row r="11" spans="1:14" ht="14.25" customHeight="1" x14ac:dyDescent="0.3">
      <c r="A11" s="304">
        <v>43941</v>
      </c>
      <c r="B11" s="305">
        <v>9261.849609375</v>
      </c>
      <c r="C11" s="305">
        <v>134.39999389648401</v>
      </c>
      <c r="D11" s="19"/>
      <c r="E11" s="19">
        <f t="shared" si="0"/>
        <v>-5.2881437666927461E-4</v>
      </c>
      <c r="F11" s="19">
        <f t="shared" si="1"/>
        <v>-1.8261505562157717E-2</v>
      </c>
      <c r="G11" s="19"/>
      <c r="H11" s="19"/>
    </row>
    <row r="12" spans="1:14" ht="15" customHeight="1" x14ac:dyDescent="0.3">
      <c r="A12" s="304">
        <v>43942</v>
      </c>
      <c r="B12" s="305">
        <v>8981.4501953125</v>
      </c>
      <c r="C12" s="305">
        <v>132.64999389648401</v>
      </c>
      <c r="D12" s="19"/>
      <c r="E12" s="19">
        <f t="shared" si="0"/>
        <v>-3.0274667144095602E-2</v>
      </c>
      <c r="F12" s="19">
        <f t="shared" si="1"/>
        <v>-1.3020833924649316E-2</v>
      </c>
      <c r="G12" s="19"/>
      <c r="H12" s="19"/>
      <c r="I12" t="s">
        <v>329</v>
      </c>
    </row>
    <row r="13" spans="1:14" ht="14.25" customHeight="1" x14ac:dyDescent="0.3">
      <c r="A13" s="304">
        <v>43943</v>
      </c>
      <c r="B13" s="305">
        <v>9187.2998046875</v>
      </c>
      <c r="C13" s="305">
        <v>133.55000305175801</v>
      </c>
      <c r="D13" s="19"/>
      <c r="E13" s="19">
        <f t="shared" si="0"/>
        <v>2.2919417788725787E-2</v>
      </c>
      <c r="F13" s="19">
        <f t="shared" si="1"/>
        <v>6.7848412867349663E-3</v>
      </c>
      <c r="G13" s="19"/>
      <c r="H13" s="19"/>
      <c r="I13" s="182"/>
      <c r="J13" s="182" t="s">
        <v>330</v>
      </c>
      <c r="K13" s="182" t="s">
        <v>331</v>
      </c>
      <c r="L13" s="182" t="s">
        <v>332</v>
      </c>
      <c r="M13" s="182" t="s">
        <v>333</v>
      </c>
      <c r="N13" s="182" t="s">
        <v>334</v>
      </c>
    </row>
    <row r="14" spans="1:14" ht="14.25" customHeight="1" x14ac:dyDescent="0.3">
      <c r="A14" s="304">
        <v>43944</v>
      </c>
      <c r="B14" s="305">
        <v>9313.900390625</v>
      </c>
      <c r="C14" s="305">
        <v>137</v>
      </c>
      <c r="D14" s="19"/>
      <c r="E14" s="19">
        <f t="shared" si="0"/>
        <v>1.3779955877014752E-2</v>
      </c>
      <c r="F14" s="19">
        <f t="shared" si="1"/>
        <v>2.5832997898958668E-2</v>
      </c>
      <c r="G14" s="19"/>
      <c r="H14" s="19"/>
      <c r="I14" t="s">
        <v>335</v>
      </c>
      <c r="J14">
        <v>1</v>
      </c>
      <c r="K14">
        <v>0.36052534548367199</v>
      </c>
      <c r="L14">
        <v>0.36052534548367199</v>
      </c>
      <c r="M14">
        <v>1191.9922949971301</v>
      </c>
      <c r="N14">
        <v>1.4097145753906499E-193</v>
      </c>
    </row>
    <row r="15" spans="1:14" ht="14.25" customHeight="1" x14ac:dyDescent="0.3">
      <c r="A15" s="304">
        <v>43945</v>
      </c>
      <c r="B15" s="305">
        <v>9154.400390625</v>
      </c>
      <c r="C15" s="305">
        <v>128.19999694824199</v>
      </c>
      <c r="D15" s="19"/>
      <c r="E15" s="19">
        <f t="shared" si="0"/>
        <v>-1.7124941572334865E-2</v>
      </c>
      <c r="F15" s="19">
        <f t="shared" si="1"/>
        <v>-6.4233598917941684E-2</v>
      </c>
      <c r="G15" s="19"/>
      <c r="H15" s="19"/>
      <c r="I15" t="s">
        <v>336</v>
      </c>
      <c r="J15">
        <v>1528</v>
      </c>
      <c r="K15">
        <v>0.46215292683614001</v>
      </c>
      <c r="L15">
        <v>3.0245610395035401E-4</v>
      </c>
    </row>
    <row r="16" spans="1:14" ht="15" customHeight="1" x14ac:dyDescent="0.3">
      <c r="A16" s="304">
        <v>43948</v>
      </c>
      <c r="B16" s="305">
        <v>9282.2998046875</v>
      </c>
      <c r="C16" s="305">
        <v>133</v>
      </c>
      <c r="D16" s="19"/>
      <c r="E16" s="19">
        <f t="shared" si="0"/>
        <v>1.3971358975458566E-2</v>
      </c>
      <c r="F16" s="19">
        <f t="shared" si="1"/>
        <v>3.7441522355853955E-2</v>
      </c>
      <c r="G16" s="19"/>
      <c r="H16" s="19"/>
      <c r="I16" s="27" t="s">
        <v>337</v>
      </c>
      <c r="J16" s="27">
        <v>1529</v>
      </c>
      <c r="K16" s="27">
        <v>0.82267827231981205</v>
      </c>
      <c r="L16" s="27"/>
      <c r="M16" s="27"/>
      <c r="N16" s="27"/>
    </row>
    <row r="17" spans="1:17" ht="15" customHeight="1" x14ac:dyDescent="0.3">
      <c r="A17" s="304">
        <v>43949</v>
      </c>
      <c r="B17" s="305">
        <v>9380.900390625</v>
      </c>
      <c r="C17" s="305">
        <v>138</v>
      </c>
      <c r="D17" s="19"/>
      <c r="E17" s="19">
        <f t="shared" si="0"/>
        <v>1.0622430648890199E-2</v>
      </c>
      <c r="F17" s="19">
        <f t="shared" si="1"/>
        <v>3.7593984962406013E-2</v>
      </c>
      <c r="G17" s="19"/>
      <c r="H17" s="19"/>
    </row>
    <row r="18" spans="1:17" ht="14.25" customHeight="1" x14ac:dyDescent="0.3">
      <c r="A18" s="304">
        <v>43950</v>
      </c>
      <c r="B18" s="305">
        <v>9553.349609375</v>
      </c>
      <c r="C18" s="305">
        <v>141.64999389648401</v>
      </c>
      <c r="D18" s="19"/>
      <c r="E18" s="19">
        <f t="shared" si="0"/>
        <v>1.838301352419654E-2</v>
      </c>
      <c r="F18" s="19">
        <f t="shared" si="1"/>
        <v>2.6449231133942069E-2</v>
      </c>
      <c r="G18" s="19"/>
      <c r="H18" s="19"/>
      <c r="I18" s="182"/>
      <c r="J18" s="182" t="s">
        <v>338</v>
      </c>
      <c r="K18" s="182" t="s">
        <v>327</v>
      </c>
      <c r="L18" s="182" t="s">
        <v>339</v>
      </c>
      <c r="M18" s="182" t="s">
        <v>340</v>
      </c>
      <c r="N18" s="182" t="s">
        <v>341</v>
      </c>
      <c r="O18" s="182" t="s">
        <v>342</v>
      </c>
      <c r="P18" s="182" t="s">
        <v>343</v>
      </c>
      <c r="Q18" s="182" t="s">
        <v>344</v>
      </c>
    </row>
    <row r="19" spans="1:17" ht="14.25" customHeight="1" x14ac:dyDescent="0.3">
      <c r="A19" s="304">
        <v>43951</v>
      </c>
      <c r="B19" s="305">
        <v>9859.900390625</v>
      </c>
      <c r="C19" s="305">
        <v>146.85000610351599</v>
      </c>
      <c r="D19" s="19"/>
      <c r="E19" s="19">
        <f t="shared" si="0"/>
        <v>3.2088303452139151E-2</v>
      </c>
      <c r="F19" s="19">
        <f t="shared" si="1"/>
        <v>3.6710288959363395E-2</v>
      </c>
      <c r="G19" s="19"/>
      <c r="H19" s="19"/>
      <c r="I19" t="s">
        <v>345</v>
      </c>
      <c r="J19">
        <v>8.9787125309228705E-5</v>
      </c>
      <c r="K19">
        <v>4.4586647164221899E-4</v>
      </c>
      <c r="L19">
        <v>0.20137671482344099</v>
      </c>
      <c r="M19">
        <v>0.84043082438664496</v>
      </c>
      <c r="N19">
        <v>-7.84787862992941E-4</v>
      </c>
      <c r="O19">
        <v>9.6436211361139803E-4</v>
      </c>
      <c r="P19">
        <v>-7.84787862992941E-4</v>
      </c>
      <c r="Q19">
        <v>9.6436211361139803E-4</v>
      </c>
    </row>
    <row r="20" spans="1:17" ht="15" customHeight="1" x14ac:dyDescent="0.3">
      <c r="A20" s="304">
        <v>43955</v>
      </c>
      <c r="B20" s="305">
        <v>9293.5</v>
      </c>
      <c r="C20" s="305">
        <v>133.05000305175801</v>
      </c>
      <c r="D20" s="19"/>
      <c r="E20" s="19">
        <f t="shared" si="0"/>
        <v>-5.7444839013134998E-2</v>
      </c>
      <c r="F20" s="19">
        <f t="shared" si="1"/>
        <v>-9.3973459163700868E-2</v>
      </c>
      <c r="G20" s="19"/>
      <c r="H20" s="19"/>
      <c r="I20" s="27" t="s">
        <v>346</v>
      </c>
      <c r="J20" s="27">
        <v>1.56612339706217</v>
      </c>
      <c r="K20" s="27">
        <v>4.5361692857811997E-2</v>
      </c>
      <c r="L20" s="27">
        <v>34.525241418375799</v>
      </c>
      <c r="M20" s="27">
        <v>1.4097145753883299E-193</v>
      </c>
      <c r="N20" s="27">
        <v>1.47714563236422</v>
      </c>
      <c r="O20" s="27">
        <v>1.6551011617601299</v>
      </c>
      <c r="P20" s="27">
        <v>1.47714563236422</v>
      </c>
      <c r="Q20" s="27">
        <v>1.6551011617601299</v>
      </c>
    </row>
    <row r="21" spans="1:17" ht="14.25" customHeight="1" x14ac:dyDescent="0.3">
      <c r="A21" s="304">
        <v>43956</v>
      </c>
      <c r="B21" s="305">
        <v>9205.599609375</v>
      </c>
      <c r="C21" s="305">
        <v>126.800003051758</v>
      </c>
      <c r="D21" s="19"/>
      <c r="E21" s="19">
        <f t="shared" si="0"/>
        <v>-9.4582655216011186E-3</v>
      </c>
      <c r="F21" s="19">
        <f t="shared" si="1"/>
        <v>-4.6974820418220438E-2</v>
      </c>
      <c r="G21" s="19"/>
      <c r="H21" s="19"/>
    </row>
    <row r="22" spans="1:17" ht="14.25" customHeight="1" x14ac:dyDescent="0.3">
      <c r="A22" s="304">
        <v>43957</v>
      </c>
      <c r="B22" s="305">
        <v>9270.900390625</v>
      </c>
      <c r="C22" s="305">
        <v>129.89999389648401</v>
      </c>
      <c r="D22" s="19"/>
      <c r="E22" s="19">
        <f t="shared" si="0"/>
        <v>7.0935934671216378E-3</v>
      </c>
      <c r="F22" s="19">
        <f t="shared" si="1"/>
        <v>2.4447876735938526E-2</v>
      </c>
      <c r="G22" s="19"/>
      <c r="H22" s="19"/>
    </row>
    <row r="23" spans="1:17" ht="14.25" customHeight="1" x14ac:dyDescent="0.3">
      <c r="A23" s="304">
        <v>43958</v>
      </c>
      <c r="B23" s="305">
        <v>9199.0498046875</v>
      </c>
      <c r="C23" s="305">
        <v>129.14999389648401</v>
      </c>
      <c r="D23" s="19"/>
      <c r="E23" s="19">
        <f t="shared" si="0"/>
        <v>-7.7501195040513404E-3</v>
      </c>
      <c r="F23" s="19">
        <f t="shared" si="1"/>
        <v>-5.7736723267105576E-3</v>
      </c>
      <c r="G23" s="19"/>
      <c r="H23" s="19"/>
    </row>
    <row r="24" spans="1:17" ht="14.25" customHeight="1" x14ac:dyDescent="0.3">
      <c r="A24" s="304">
        <v>43959</v>
      </c>
      <c r="B24" s="305">
        <v>9251.5</v>
      </c>
      <c r="C24" s="305">
        <v>130.14999389648401</v>
      </c>
      <c r="D24" s="19"/>
      <c r="E24" s="19">
        <f t="shared" si="0"/>
        <v>5.7016970693835461E-3</v>
      </c>
      <c r="F24" s="19">
        <f t="shared" si="1"/>
        <v>7.7429349381271948E-3</v>
      </c>
      <c r="G24" s="19"/>
      <c r="H24" s="19"/>
    </row>
    <row r="25" spans="1:17" ht="14.25" customHeight="1" x14ac:dyDescent="0.3">
      <c r="A25" s="304">
        <v>43962</v>
      </c>
      <c r="B25" s="305">
        <v>9239.2001953125</v>
      </c>
      <c r="C25" s="305">
        <v>133.35000610351599</v>
      </c>
      <c r="D25" s="19"/>
      <c r="E25" s="19">
        <f t="shared" si="0"/>
        <v>-1.3294930214019349E-3</v>
      </c>
      <c r="F25" s="19">
        <f t="shared" si="1"/>
        <v>2.4587109927774166E-2</v>
      </c>
      <c r="G25" s="19"/>
      <c r="H25" s="19"/>
    </row>
    <row r="26" spans="1:17" ht="14.25" customHeight="1" x14ac:dyDescent="0.3">
      <c r="A26" s="304">
        <v>43963</v>
      </c>
      <c r="B26" s="305">
        <v>9196.5498046875</v>
      </c>
      <c r="C26" s="305">
        <v>136.94999694824199</v>
      </c>
      <c r="D26" s="19"/>
      <c r="E26" s="19">
        <f t="shared" si="0"/>
        <v>-4.6162427183511663E-3</v>
      </c>
      <c r="F26" s="19">
        <f t="shared" si="1"/>
        <v>2.6996555530199366E-2</v>
      </c>
      <c r="G26" s="19"/>
      <c r="H26" s="19"/>
    </row>
    <row r="27" spans="1:17" ht="14.25" customHeight="1" x14ac:dyDescent="0.3">
      <c r="A27" s="304">
        <v>43964</v>
      </c>
      <c r="B27" s="305">
        <v>9383.5498046875</v>
      </c>
      <c r="C27" s="305">
        <v>141.10000610351599</v>
      </c>
      <c r="D27" s="19"/>
      <c r="E27" s="19">
        <f t="shared" si="0"/>
        <v>2.0333712530397619E-2</v>
      </c>
      <c r="F27" s="19">
        <f t="shared" si="1"/>
        <v>3.0303097829512432E-2</v>
      </c>
      <c r="G27" s="19"/>
      <c r="H27" s="19"/>
    </row>
    <row r="28" spans="1:17" ht="14.25" customHeight="1" x14ac:dyDescent="0.3">
      <c r="A28" s="304">
        <v>43965</v>
      </c>
      <c r="B28" s="305">
        <v>9142.75</v>
      </c>
      <c r="C28" s="305">
        <v>137.05000305175801</v>
      </c>
      <c r="D28" s="19"/>
      <c r="E28" s="19">
        <f t="shared" si="0"/>
        <v>-2.5661909373274686E-2</v>
      </c>
      <c r="F28" s="19">
        <f t="shared" si="1"/>
        <v>-2.8703067870789151E-2</v>
      </c>
      <c r="G28" s="19"/>
      <c r="H28" s="19"/>
    </row>
    <row r="29" spans="1:17" ht="14.25" customHeight="1" x14ac:dyDescent="0.3">
      <c r="A29" s="304">
        <v>43966</v>
      </c>
      <c r="B29" s="305">
        <v>9136.849609375</v>
      </c>
      <c r="C29" s="305">
        <v>138.80000305175801</v>
      </c>
      <c r="D29" s="19"/>
      <c r="E29" s="19">
        <f t="shared" si="0"/>
        <v>-6.453627874545405E-4</v>
      </c>
      <c r="F29" s="19">
        <f t="shared" si="1"/>
        <v>1.276906210165569E-2</v>
      </c>
      <c r="G29" s="19"/>
      <c r="H29" s="19"/>
    </row>
    <row r="30" spans="1:17" ht="14.25" customHeight="1" x14ac:dyDescent="0.3">
      <c r="A30" s="304">
        <v>43969</v>
      </c>
      <c r="B30" s="305">
        <v>8823.25</v>
      </c>
      <c r="C30" s="305">
        <v>132.44999694824199</v>
      </c>
      <c r="D30" s="19"/>
      <c r="E30" s="19">
        <f t="shared" si="0"/>
        <v>-3.4322509703259917E-2</v>
      </c>
      <c r="F30" s="19">
        <f t="shared" si="1"/>
        <v>-4.5749322506485314E-2</v>
      </c>
      <c r="G30" s="19"/>
      <c r="H30" s="19"/>
    </row>
    <row r="31" spans="1:17" ht="14.25" customHeight="1" x14ac:dyDescent="0.3">
      <c r="A31" s="304">
        <v>43970</v>
      </c>
      <c r="B31" s="305">
        <v>8879.099609375</v>
      </c>
      <c r="C31" s="305">
        <v>131.44999694824199</v>
      </c>
      <c r="D31" s="19"/>
      <c r="E31" s="19">
        <f t="shared" si="0"/>
        <v>6.3298228402232735E-3</v>
      </c>
      <c r="F31" s="19">
        <f t="shared" si="1"/>
        <v>-7.5500190490058973E-3</v>
      </c>
      <c r="G31" s="19"/>
      <c r="H31" s="19"/>
    </row>
    <row r="32" spans="1:17" ht="14.25" customHeight="1" x14ac:dyDescent="0.3">
      <c r="A32" s="304">
        <v>43971</v>
      </c>
      <c r="B32" s="305">
        <v>9066.5498046875</v>
      </c>
      <c r="C32" s="305">
        <v>139.25</v>
      </c>
      <c r="D32" s="19"/>
      <c r="E32" s="19">
        <f t="shared" si="0"/>
        <v>2.1111396826157987E-2</v>
      </c>
      <c r="F32" s="19">
        <f t="shared" si="1"/>
        <v>5.9338175982075053E-2</v>
      </c>
      <c r="G32" s="19"/>
      <c r="H32" s="19"/>
    </row>
    <row r="33" spans="1:8" ht="14.25" customHeight="1" x14ac:dyDescent="0.3">
      <c r="A33" s="304">
        <v>43972</v>
      </c>
      <c r="B33" s="305">
        <v>9106.25</v>
      </c>
      <c r="C33" s="305">
        <v>138.60000610351599</v>
      </c>
      <c r="D33" s="19"/>
      <c r="E33" s="19">
        <f t="shared" si="0"/>
        <v>4.378754451001261E-3</v>
      </c>
      <c r="F33" s="19">
        <f t="shared" si="1"/>
        <v>-4.6678197234039896E-3</v>
      </c>
      <c r="G33" s="19"/>
      <c r="H33" s="19"/>
    </row>
    <row r="34" spans="1:8" ht="14.25" customHeight="1" x14ac:dyDescent="0.3">
      <c r="A34" s="304">
        <v>43973</v>
      </c>
      <c r="B34" s="305">
        <v>9039.25</v>
      </c>
      <c r="C34" s="305">
        <v>135.14999389648401</v>
      </c>
      <c r="D34" s="19"/>
      <c r="E34" s="19">
        <f t="shared" si="0"/>
        <v>-7.3575840768702813E-3</v>
      </c>
      <c r="F34" s="19">
        <f t="shared" si="1"/>
        <v>-2.4891861869438037E-2</v>
      </c>
      <c r="G34" s="19"/>
      <c r="H34" s="19"/>
    </row>
    <row r="35" spans="1:8" ht="14.25" customHeight="1" x14ac:dyDescent="0.3">
      <c r="A35" s="304">
        <v>43977</v>
      </c>
      <c r="B35" s="305">
        <v>9029.0498046875</v>
      </c>
      <c r="C35" s="305">
        <v>136.75</v>
      </c>
      <c r="D35" s="19"/>
      <c r="E35" s="19">
        <f t="shared" si="0"/>
        <v>-1.1284338094974694E-3</v>
      </c>
      <c r="F35" s="19">
        <f t="shared" si="1"/>
        <v>1.1838743438948978E-2</v>
      </c>
      <c r="G35" s="19"/>
      <c r="H35" s="19"/>
    </row>
    <row r="36" spans="1:8" ht="14.25" customHeight="1" x14ac:dyDescent="0.3">
      <c r="A36" s="304">
        <v>43978</v>
      </c>
      <c r="B36" s="305">
        <v>9314.9501953125</v>
      </c>
      <c r="C36" s="305">
        <v>137.64999389648401</v>
      </c>
      <c r="D36" s="19"/>
      <c r="E36" s="19">
        <f t="shared" si="0"/>
        <v>3.1664504771761547E-2</v>
      </c>
      <c r="F36" s="19">
        <f t="shared" si="1"/>
        <v>6.5813082009799307E-3</v>
      </c>
      <c r="G36" s="19"/>
      <c r="H36" s="19"/>
    </row>
    <row r="37" spans="1:8" ht="14.25" customHeight="1" x14ac:dyDescent="0.3">
      <c r="A37" s="304">
        <v>43979</v>
      </c>
      <c r="B37" s="305">
        <v>9490.099609375</v>
      </c>
      <c r="C37" s="305">
        <v>144.05000305175801</v>
      </c>
      <c r="D37" s="19"/>
      <c r="E37" s="19">
        <f t="shared" si="0"/>
        <v>1.8803043536468854E-2</v>
      </c>
      <c r="F37" s="19">
        <f t="shared" si="1"/>
        <v>4.6494801591396809E-2</v>
      </c>
      <c r="G37" s="19"/>
      <c r="H37" s="19"/>
    </row>
    <row r="38" spans="1:8" ht="14.25" customHeight="1" x14ac:dyDescent="0.3">
      <c r="A38" s="304">
        <v>43980</v>
      </c>
      <c r="B38" s="305">
        <v>9580.2998046875</v>
      </c>
      <c r="C38" s="305">
        <v>150.64999389648401</v>
      </c>
      <c r="D38" s="19"/>
      <c r="E38" s="19">
        <f t="shared" si="0"/>
        <v>9.5046626511057671E-3</v>
      </c>
      <c r="F38" s="19">
        <f t="shared" si="1"/>
        <v>4.5817359978497042E-2</v>
      </c>
      <c r="G38" s="19"/>
      <c r="H38" s="19"/>
    </row>
    <row r="39" spans="1:8" ht="14.25" customHeight="1" x14ac:dyDescent="0.3">
      <c r="A39" s="304">
        <v>43983</v>
      </c>
      <c r="B39" s="305">
        <v>9826.150390625</v>
      </c>
      <c r="C39" s="305">
        <v>152.19999694824199</v>
      </c>
      <c r="D39" s="19"/>
      <c r="E39" s="19">
        <f t="shared" si="0"/>
        <v>2.5662097319460599E-2</v>
      </c>
      <c r="F39" s="19">
        <f t="shared" si="1"/>
        <v>1.0288769429509802E-2</v>
      </c>
      <c r="G39" s="19"/>
      <c r="H39" s="19"/>
    </row>
    <row r="40" spans="1:8" ht="14.25" customHeight="1" x14ac:dyDescent="0.3">
      <c r="A40" s="304">
        <v>43984</v>
      </c>
      <c r="B40" s="305">
        <v>9979.099609375</v>
      </c>
      <c r="C40" s="305">
        <v>157.19999694824199</v>
      </c>
      <c r="D40" s="19"/>
      <c r="E40" s="19">
        <f t="shared" si="0"/>
        <v>1.556552797074293E-2</v>
      </c>
      <c r="F40" s="19">
        <f t="shared" si="1"/>
        <v>3.2851511828218556E-2</v>
      </c>
      <c r="G40" s="19"/>
      <c r="H40" s="19"/>
    </row>
    <row r="41" spans="1:8" ht="14.25" customHeight="1" x14ac:dyDescent="0.3">
      <c r="A41" s="304">
        <v>43985</v>
      </c>
      <c r="B41" s="305">
        <v>10061.5498046875</v>
      </c>
      <c r="C41" s="305">
        <v>156</v>
      </c>
      <c r="D41" s="19"/>
      <c r="E41" s="19">
        <f t="shared" si="0"/>
        <v>8.262288035990847E-3</v>
      </c>
      <c r="F41" s="19">
        <f t="shared" si="1"/>
        <v>-7.633568521232776E-3</v>
      </c>
      <c r="G41" s="19"/>
      <c r="H41" s="19"/>
    </row>
    <row r="42" spans="1:8" ht="14.25" customHeight="1" x14ac:dyDescent="0.3">
      <c r="A42" s="304">
        <v>43986</v>
      </c>
      <c r="B42" s="305">
        <v>10029.099609375</v>
      </c>
      <c r="C42" s="305">
        <v>156.35000610351599</v>
      </c>
      <c r="D42" s="19"/>
      <c r="E42" s="19">
        <f t="shared" si="0"/>
        <v>-3.2251686810099594E-3</v>
      </c>
      <c r="F42" s="19">
        <f t="shared" si="1"/>
        <v>2.2436288686922723E-3</v>
      </c>
      <c r="G42" s="19"/>
      <c r="H42" s="19"/>
    </row>
    <row r="43" spans="1:8" ht="14.25" customHeight="1" x14ac:dyDescent="0.3">
      <c r="A43" s="304">
        <v>43987</v>
      </c>
      <c r="B43" s="305">
        <v>10142.150390625</v>
      </c>
      <c r="C43" s="305">
        <v>157.19999694824199</v>
      </c>
      <c r="D43" s="19"/>
      <c r="E43" s="19">
        <f t="shared" si="0"/>
        <v>1.1272276241460641E-2</v>
      </c>
      <c r="F43" s="19">
        <f t="shared" si="1"/>
        <v>5.4364618582952492E-3</v>
      </c>
      <c r="G43" s="19"/>
      <c r="H43" s="19"/>
    </row>
    <row r="44" spans="1:8" ht="14.25" customHeight="1" x14ac:dyDescent="0.3">
      <c r="A44" s="304">
        <v>43990</v>
      </c>
      <c r="B44" s="305">
        <v>10167.4501953125</v>
      </c>
      <c r="C44" s="305">
        <v>152.94999694824199</v>
      </c>
      <c r="D44" s="19"/>
      <c r="E44" s="19">
        <f t="shared" si="0"/>
        <v>2.4945207587225419E-3</v>
      </c>
      <c r="F44" s="19">
        <f t="shared" si="1"/>
        <v>-2.7035623934517698E-2</v>
      </c>
      <c r="G44" s="19"/>
      <c r="H44" s="19"/>
    </row>
    <row r="45" spans="1:8" ht="14.25" customHeight="1" x14ac:dyDescent="0.3">
      <c r="A45" s="304">
        <v>43991</v>
      </c>
      <c r="B45" s="305">
        <v>10046.650390625</v>
      </c>
      <c r="C45" s="305">
        <v>153.35000610351599</v>
      </c>
      <c r="D45" s="19"/>
      <c r="E45" s="19">
        <f t="shared" si="0"/>
        <v>-1.1881032349997872E-2</v>
      </c>
      <c r="F45" s="19">
        <f t="shared" si="1"/>
        <v>2.6152936466508616E-3</v>
      </c>
      <c r="G45" s="19"/>
      <c r="H45" s="19"/>
    </row>
    <row r="46" spans="1:8" ht="14.25" customHeight="1" x14ac:dyDescent="0.3">
      <c r="A46" s="304">
        <v>43992</v>
      </c>
      <c r="B46" s="305">
        <v>10116.150390625</v>
      </c>
      <c r="C46" s="305">
        <v>156.80000305175801</v>
      </c>
      <c r="D46" s="19"/>
      <c r="E46" s="19">
        <f t="shared" si="0"/>
        <v>6.9177285262014996E-3</v>
      </c>
      <c r="F46" s="19">
        <f t="shared" si="1"/>
        <v>2.2497533817593476E-2</v>
      </c>
      <c r="G46" s="19"/>
      <c r="H46" s="19"/>
    </row>
    <row r="47" spans="1:8" ht="14.25" customHeight="1" x14ac:dyDescent="0.3">
      <c r="A47" s="304">
        <v>43993</v>
      </c>
      <c r="B47" s="305">
        <v>9902</v>
      </c>
      <c r="C47" s="305">
        <v>150.75</v>
      </c>
      <c r="D47" s="19"/>
      <c r="E47" s="19">
        <f t="shared" si="0"/>
        <v>-2.1169158460066079E-2</v>
      </c>
      <c r="F47" s="19">
        <f t="shared" si="1"/>
        <v>-3.8584202385257414E-2</v>
      </c>
      <c r="G47" s="19"/>
      <c r="H47" s="19"/>
    </row>
    <row r="48" spans="1:8" ht="14.25" customHeight="1" x14ac:dyDescent="0.3">
      <c r="A48" s="304">
        <v>43994</v>
      </c>
      <c r="B48" s="305">
        <v>9972.900390625</v>
      </c>
      <c r="C48" s="305">
        <v>154.05000305175801</v>
      </c>
      <c r="D48" s="19"/>
      <c r="E48" s="19">
        <f t="shared" si="0"/>
        <v>7.1602091117955969E-3</v>
      </c>
      <c r="F48" s="19">
        <f t="shared" si="1"/>
        <v>2.1890567507515831E-2</v>
      </c>
      <c r="G48" s="19"/>
      <c r="H48" s="19"/>
    </row>
    <row r="49" spans="1:8" ht="14.25" customHeight="1" x14ac:dyDescent="0.3">
      <c r="A49" s="304">
        <v>43997</v>
      </c>
      <c r="B49" s="305">
        <v>9813.7001953125</v>
      </c>
      <c r="C49" s="305">
        <v>145.89999389648401</v>
      </c>
      <c r="D49" s="19"/>
      <c r="E49" s="19">
        <f t="shared" si="0"/>
        <v>-1.5963279394844428E-2</v>
      </c>
      <c r="F49" s="19">
        <f t="shared" si="1"/>
        <v>-5.2904959388645714E-2</v>
      </c>
      <c r="G49" s="19"/>
      <c r="H49" s="19"/>
    </row>
    <row r="50" spans="1:8" ht="14.25" customHeight="1" x14ac:dyDescent="0.3">
      <c r="A50" s="304">
        <v>43998</v>
      </c>
      <c r="B50" s="305">
        <v>9914</v>
      </c>
      <c r="C50" s="305">
        <v>146.60000610351599</v>
      </c>
      <c r="D50" s="19"/>
      <c r="E50" s="19">
        <f t="shared" si="0"/>
        <v>1.0220386061458048E-2</v>
      </c>
      <c r="F50" s="19">
        <f t="shared" si="1"/>
        <v>4.7978905847566198E-3</v>
      </c>
      <c r="G50" s="19"/>
      <c r="H50" s="19"/>
    </row>
    <row r="51" spans="1:8" ht="14.25" customHeight="1" x14ac:dyDescent="0.3">
      <c r="A51" s="304">
        <v>43999</v>
      </c>
      <c r="B51" s="305">
        <v>9881.150390625</v>
      </c>
      <c r="C51" s="305">
        <v>150.05000305175801</v>
      </c>
      <c r="D51" s="19"/>
      <c r="E51" s="19">
        <f t="shared" si="0"/>
        <v>-3.3134566648174301E-3</v>
      </c>
      <c r="F51" s="19">
        <f t="shared" si="1"/>
        <v>2.3533402487077207E-2</v>
      </c>
      <c r="G51" s="19"/>
      <c r="H51" s="19"/>
    </row>
    <row r="52" spans="1:8" ht="14.25" customHeight="1" x14ac:dyDescent="0.3">
      <c r="A52" s="304">
        <v>44000</v>
      </c>
      <c r="B52" s="305">
        <v>10091.650390625</v>
      </c>
      <c r="C52" s="305">
        <v>147.69999694824199</v>
      </c>
      <c r="D52" s="19"/>
      <c r="E52" s="19">
        <f t="shared" si="0"/>
        <v>2.1303187551898549E-2</v>
      </c>
      <c r="F52" s="19">
        <f t="shared" si="1"/>
        <v>-1.5661486542625499E-2</v>
      </c>
      <c r="G52" s="19"/>
      <c r="H52" s="19"/>
    </row>
    <row r="53" spans="1:8" ht="14.25" customHeight="1" x14ac:dyDescent="0.3">
      <c r="A53" s="304">
        <v>44001</v>
      </c>
      <c r="B53" s="305">
        <v>10244.400390625</v>
      </c>
      <c r="C53" s="305">
        <v>161.80000305175801</v>
      </c>
      <c r="D53" s="19"/>
      <c r="E53" s="19">
        <f t="shared" si="0"/>
        <v>1.5136275444292302E-2</v>
      </c>
      <c r="F53" s="19">
        <f t="shared" si="1"/>
        <v>9.5463821224431311E-2</v>
      </c>
      <c r="G53" s="19"/>
      <c r="H53" s="19"/>
    </row>
    <row r="54" spans="1:8" ht="14.25" customHeight="1" x14ac:dyDescent="0.3">
      <c r="A54" s="304">
        <v>44004</v>
      </c>
      <c r="B54" s="305">
        <v>10311.2001953125</v>
      </c>
      <c r="C54" s="305">
        <v>159.94999694824199</v>
      </c>
      <c r="D54" s="19"/>
      <c r="E54" s="19">
        <f t="shared" si="0"/>
        <v>6.5206163504338216E-3</v>
      </c>
      <c r="F54" s="19">
        <f t="shared" si="1"/>
        <v>-1.1433906480979649E-2</v>
      </c>
      <c r="G54" s="19"/>
      <c r="H54" s="19"/>
    </row>
    <row r="55" spans="1:8" ht="14.25" customHeight="1" x14ac:dyDescent="0.3">
      <c r="A55" s="304">
        <v>44005</v>
      </c>
      <c r="B55" s="305">
        <v>10471</v>
      </c>
      <c r="C55" s="305">
        <v>168.64999389648401</v>
      </c>
      <c r="D55" s="19"/>
      <c r="E55" s="19">
        <f t="shared" si="0"/>
        <v>1.5497691991291706E-2</v>
      </c>
      <c r="F55" s="19">
        <f t="shared" si="1"/>
        <v>5.4391979457537834E-2</v>
      </c>
      <c r="G55" s="19"/>
      <c r="H55" s="19"/>
    </row>
    <row r="56" spans="1:8" ht="14.25" customHeight="1" x14ac:dyDescent="0.3">
      <c r="A56" s="304">
        <v>44006</v>
      </c>
      <c r="B56" s="305">
        <v>10305.2998046875</v>
      </c>
      <c r="C56" s="305">
        <v>160.05000305175801</v>
      </c>
      <c r="D56" s="19"/>
      <c r="E56" s="19">
        <f t="shared" si="0"/>
        <v>-1.5824677233549803E-2</v>
      </c>
      <c r="F56" s="19">
        <f t="shared" si="1"/>
        <v>-5.0993128704200238E-2</v>
      </c>
      <c r="G56" s="19"/>
      <c r="H56" s="19"/>
    </row>
    <row r="57" spans="1:8" ht="14.25" customHeight="1" x14ac:dyDescent="0.3">
      <c r="A57" s="304">
        <v>44007</v>
      </c>
      <c r="B57" s="305">
        <v>10288.900390625</v>
      </c>
      <c r="C57" s="305">
        <v>157.25</v>
      </c>
      <c r="D57" s="19"/>
      <c r="E57" s="19">
        <f t="shared" si="0"/>
        <v>-1.5913572989929427E-3</v>
      </c>
      <c r="F57" s="19">
        <f t="shared" si="1"/>
        <v>-1.7494551692401581E-2</v>
      </c>
      <c r="G57" s="19"/>
      <c r="H57" s="19"/>
    </row>
    <row r="58" spans="1:8" ht="14.25" customHeight="1" x14ac:dyDescent="0.3">
      <c r="A58" s="304">
        <v>44008</v>
      </c>
      <c r="B58" s="305">
        <v>10383</v>
      </c>
      <c r="C58" s="305">
        <v>154.39999389648401</v>
      </c>
      <c r="D58" s="19"/>
      <c r="E58" s="19">
        <f t="shared" si="0"/>
        <v>9.1457401473865295E-3</v>
      </c>
      <c r="F58" s="19">
        <f t="shared" si="1"/>
        <v>-1.8124045173392653E-2</v>
      </c>
      <c r="G58" s="19"/>
      <c r="H58" s="19"/>
    </row>
    <row r="59" spans="1:8" ht="14.25" customHeight="1" x14ac:dyDescent="0.3">
      <c r="A59" s="304">
        <v>44011</v>
      </c>
      <c r="B59" s="305">
        <v>10312.400390625</v>
      </c>
      <c r="C59" s="305">
        <v>151.5</v>
      </c>
      <c r="D59" s="19"/>
      <c r="E59" s="19">
        <f t="shared" si="0"/>
        <v>-6.7995386087835886E-3</v>
      </c>
      <c r="F59" s="19">
        <f t="shared" si="1"/>
        <v>-1.8782344631621414E-2</v>
      </c>
      <c r="G59" s="19"/>
      <c r="H59" s="19"/>
    </row>
    <row r="60" spans="1:8" ht="14.25" customHeight="1" x14ac:dyDescent="0.3">
      <c r="A60" s="304">
        <v>44012</v>
      </c>
      <c r="B60" s="305">
        <v>10302.099609375</v>
      </c>
      <c r="C60" s="305">
        <v>148.05000305175801</v>
      </c>
      <c r="D60" s="19"/>
      <c r="E60" s="19">
        <f t="shared" si="0"/>
        <v>-9.9887328457149869E-4</v>
      </c>
      <c r="F60" s="19">
        <f t="shared" si="1"/>
        <v>-2.2772257084105536E-2</v>
      </c>
      <c r="G60" s="19"/>
      <c r="H60" s="19"/>
    </row>
    <row r="61" spans="1:8" ht="14.25" customHeight="1" x14ac:dyDescent="0.3">
      <c r="A61" s="304">
        <v>44013</v>
      </c>
      <c r="B61" s="305">
        <v>10430.0498046875</v>
      </c>
      <c r="C61" s="305">
        <v>150.25</v>
      </c>
      <c r="D61" s="19"/>
      <c r="E61" s="19">
        <f t="shared" si="0"/>
        <v>1.2419817334717306E-2</v>
      </c>
      <c r="F61" s="19">
        <f t="shared" si="1"/>
        <v>1.4859823727750101E-2</v>
      </c>
      <c r="G61" s="19"/>
      <c r="H61" s="19"/>
    </row>
    <row r="62" spans="1:8" ht="14.25" customHeight="1" x14ac:dyDescent="0.3">
      <c r="A62" s="304">
        <v>44014</v>
      </c>
      <c r="B62" s="305">
        <v>10551.7001953125</v>
      </c>
      <c r="C62" s="305">
        <v>152.85000610351599</v>
      </c>
      <c r="D62" s="19"/>
      <c r="E62" s="19">
        <f t="shared" si="0"/>
        <v>1.1663452514898594E-2</v>
      </c>
      <c r="F62" s="19">
        <f t="shared" si="1"/>
        <v>1.7304533134881828E-2</v>
      </c>
      <c r="G62" s="19"/>
      <c r="H62" s="19"/>
    </row>
    <row r="63" spans="1:8" ht="14.25" customHeight="1" x14ac:dyDescent="0.3">
      <c r="A63" s="304">
        <v>44015</v>
      </c>
      <c r="B63" s="305">
        <v>10607.349609375</v>
      </c>
      <c r="C63" s="305">
        <v>151.25</v>
      </c>
      <c r="D63" s="19"/>
      <c r="E63" s="19">
        <f t="shared" si="0"/>
        <v>5.2739760448483703E-3</v>
      </c>
      <c r="F63" s="19">
        <f t="shared" si="1"/>
        <v>-1.0467818381586507E-2</v>
      </c>
      <c r="G63" s="19"/>
      <c r="H63" s="19"/>
    </row>
    <row r="64" spans="1:8" ht="14.25" customHeight="1" x14ac:dyDescent="0.3">
      <c r="A64" s="304">
        <v>44018</v>
      </c>
      <c r="B64" s="305">
        <v>10763.650390625</v>
      </c>
      <c r="C64" s="305">
        <v>154.85000610351599</v>
      </c>
      <c r="D64" s="19"/>
      <c r="E64" s="19">
        <f t="shared" si="0"/>
        <v>1.4735139974255027E-2</v>
      </c>
      <c r="F64" s="19">
        <f t="shared" si="1"/>
        <v>2.380169324638674E-2</v>
      </c>
      <c r="G64" s="19"/>
      <c r="H64" s="19"/>
    </row>
    <row r="65" spans="1:8" ht="14.25" customHeight="1" x14ac:dyDescent="0.3">
      <c r="A65" s="304">
        <v>44019</v>
      </c>
      <c r="B65" s="305">
        <v>10799.650390625</v>
      </c>
      <c r="C65" s="305">
        <v>153.05000305175801</v>
      </c>
      <c r="D65" s="19"/>
      <c r="E65" s="19">
        <f t="shared" si="0"/>
        <v>3.3445902359812369E-3</v>
      </c>
      <c r="F65" s="19">
        <f t="shared" si="1"/>
        <v>-1.1624171655212564E-2</v>
      </c>
      <c r="G65" s="19"/>
      <c r="H65" s="19"/>
    </row>
    <row r="66" spans="1:8" ht="14.25" customHeight="1" x14ac:dyDescent="0.3">
      <c r="A66" s="304">
        <v>44020</v>
      </c>
      <c r="B66" s="305">
        <v>10705.75</v>
      </c>
      <c r="C66" s="305">
        <v>146.39999389648401</v>
      </c>
      <c r="D66" s="19"/>
      <c r="E66" s="19">
        <f t="shared" si="0"/>
        <v>-8.6947620736420681E-3</v>
      </c>
      <c r="F66" s="19">
        <f t="shared" si="1"/>
        <v>-4.3449911941688263E-2</v>
      </c>
      <c r="G66" s="19"/>
      <c r="H66" s="19"/>
    </row>
    <row r="67" spans="1:8" ht="14.25" customHeight="1" x14ac:dyDescent="0.3">
      <c r="A67" s="304">
        <v>44021</v>
      </c>
      <c r="B67" s="305">
        <v>10813.4501953125</v>
      </c>
      <c r="C67" s="305">
        <v>146</v>
      </c>
      <c r="D67" s="19"/>
      <c r="E67" s="19">
        <f t="shared" ref="E67:E130" si="2">(B67-B66)/B66</f>
        <v>1.0060032721901781E-2</v>
      </c>
      <c r="F67" s="19">
        <f t="shared" ref="F67:F130" si="3">(C67-C66)/C66</f>
        <v>-2.7321988603826843E-3</v>
      </c>
      <c r="G67" s="19"/>
      <c r="H67" s="19"/>
    </row>
    <row r="68" spans="1:8" ht="14.25" customHeight="1" x14ac:dyDescent="0.3">
      <c r="A68" s="304">
        <v>44022</v>
      </c>
      <c r="B68" s="305">
        <v>10768.0498046875</v>
      </c>
      <c r="C68" s="305">
        <v>147.75</v>
      </c>
      <c r="D68" s="19"/>
      <c r="E68" s="19">
        <f t="shared" si="2"/>
        <v>-4.198511095439319E-3</v>
      </c>
      <c r="F68" s="19">
        <f t="shared" si="3"/>
        <v>1.1986301369863013E-2</v>
      </c>
      <c r="G68" s="19"/>
      <c r="H68" s="19"/>
    </row>
    <row r="69" spans="1:8" ht="14.25" customHeight="1" x14ac:dyDescent="0.3">
      <c r="A69" s="304">
        <v>44025</v>
      </c>
      <c r="B69" s="305">
        <v>10802.7001953125</v>
      </c>
      <c r="C69" s="305">
        <v>142.89999389648401</v>
      </c>
      <c r="D69" s="19"/>
      <c r="E69" s="19">
        <f t="shared" si="2"/>
        <v>3.2178891492418752E-3</v>
      </c>
      <c r="F69" s="19">
        <f t="shared" si="3"/>
        <v>-3.2825760429888287E-2</v>
      </c>
      <c r="G69" s="19"/>
      <c r="H69" s="19"/>
    </row>
    <row r="70" spans="1:8" ht="14.25" customHeight="1" x14ac:dyDescent="0.3">
      <c r="A70" s="304">
        <v>44026</v>
      </c>
      <c r="B70" s="305">
        <v>10607.349609375</v>
      </c>
      <c r="C70" s="305">
        <v>139.89999389648401</v>
      </c>
      <c r="D70" s="19"/>
      <c r="E70" s="19">
        <f t="shared" si="2"/>
        <v>-1.8083496015400519E-2</v>
      </c>
      <c r="F70" s="19">
        <f t="shared" si="3"/>
        <v>-2.099370278611197E-2</v>
      </c>
      <c r="G70" s="19"/>
      <c r="H70" s="19"/>
    </row>
    <row r="71" spans="1:8" ht="14.25" customHeight="1" x14ac:dyDescent="0.3">
      <c r="A71" s="304">
        <v>44027</v>
      </c>
      <c r="B71" s="305">
        <v>10618.2001953125</v>
      </c>
      <c r="C71" s="305">
        <v>137.10000610351599</v>
      </c>
      <c r="D71" s="19"/>
      <c r="E71" s="19">
        <f t="shared" si="2"/>
        <v>1.0229309240368605E-3</v>
      </c>
      <c r="F71" s="19">
        <f t="shared" si="3"/>
        <v>-2.0014209543424297E-2</v>
      </c>
      <c r="G71" s="19"/>
      <c r="H71" s="19"/>
    </row>
    <row r="72" spans="1:8" ht="14.25" customHeight="1" x14ac:dyDescent="0.3">
      <c r="A72" s="304">
        <v>44028</v>
      </c>
      <c r="B72" s="305">
        <v>10739.9501953125</v>
      </c>
      <c r="C72" s="305">
        <v>138.55000305175801</v>
      </c>
      <c r="D72" s="19"/>
      <c r="E72" s="19">
        <f t="shared" si="2"/>
        <v>1.1466161662100478E-2</v>
      </c>
      <c r="F72" s="19">
        <f t="shared" si="3"/>
        <v>1.0576199005762343E-2</v>
      </c>
      <c r="G72" s="19"/>
      <c r="H72" s="19"/>
    </row>
    <row r="73" spans="1:8" ht="14.25" customHeight="1" x14ac:dyDescent="0.3">
      <c r="A73" s="304">
        <v>44029</v>
      </c>
      <c r="B73" s="305">
        <v>10901.7001953125</v>
      </c>
      <c r="C73" s="305">
        <v>140.75</v>
      </c>
      <c r="D73" s="19"/>
      <c r="E73" s="19">
        <f t="shared" si="2"/>
        <v>1.5060591255869745E-2</v>
      </c>
      <c r="F73" s="19">
        <f t="shared" si="3"/>
        <v>1.5878721759537872E-2</v>
      </c>
      <c r="G73" s="19"/>
      <c r="H73" s="19"/>
    </row>
    <row r="74" spans="1:8" ht="14.25" customHeight="1" x14ac:dyDescent="0.3">
      <c r="A74" s="304">
        <v>44032</v>
      </c>
      <c r="B74" s="305">
        <v>11022.2001953125</v>
      </c>
      <c r="C74" s="305">
        <v>140.94999694824199</v>
      </c>
      <c r="D74" s="19"/>
      <c r="E74" s="19">
        <f t="shared" si="2"/>
        <v>1.1053321760931606E-2</v>
      </c>
      <c r="F74" s="19">
        <f t="shared" si="3"/>
        <v>1.4209374653072011E-3</v>
      </c>
      <c r="G74" s="19"/>
      <c r="H74" s="19"/>
    </row>
    <row r="75" spans="1:8" ht="14.25" customHeight="1" x14ac:dyDescent="0.3">
      <c r="A75" s="304">
        <v>44033</v>
      </c>
      <c r="B75" s="305">
        <v>11162.25</v>
      </c>
      <c r="C75" s="305">
        <v>143.30000305175801</v>
      </c>
      <c r="D75" s="19"/>
      <c r="E75" s="19">
        <f t="shared" si="2"/>
        <v>1.2706156865764434E-2</v>
      </c>
      <c r="F75" s="19">
        <f t="shared" si="3"/>
        <v>1.6672622592386183E-2</v>
      </c>
      <c r="G75" s="19"/>
      <c r="H75" s="19"/>
    </row>
    <row r="76" spans="1:8" ht="14.25" customHeight="1" x14ac:dyDescent="0.3">
      <c r="A76" s="304">
        <v>44034</v>
      </c>
      <c r="B76" s="305">
        <v>11132.599609375</v>
      </c>
      <c r="C76" s="305">
        <v>142.69999694824199</v>
      </c>
      <c r="D76" s="19"/>
      <c r="E76" s="19">
        <f t="shared" si="2"/>
        <v>-2.6563094918139263E-3</v>
      </c>
      <c r="F76" s="19">
        <f t="shared" si="3"/>
        <v>-4.1870627406707652E-3</v>
      </c>
      <c r="G76" s="19"/>
      <c r="H76" s="19"/>
    </row>
    <row r="77" spans="1:8" ht="14.25" customHeight="1" x14ac:dyDescent="0.3">
      <c r="A77" s="304">
        <v>44035</v>
      </c>
      <c r="B77" s="305">
        <v>11215.4501953125</v>
      </c>
      <c r="C77" s="305">
        <v>142.75</v>
      </c>
      <c r="D77" s="19"/>
      <c r="E77" s="19">
        <f t="shared" si="2"/>
        <v>7.4421598588464239E-3</v>
      </c>
      <c r="F77" s="19">
        <f t="shared" si="3"/>
        <v>3.504068172905975E-4</v>
      </c>
      <c r="G77" s="19"/>
      <c r="H77" s="19"/>
    </row>
    <row r="78" spans="1:8" ht="14.25" customHeight="1" x14ac:dyDescent="0.3">
      <c r="A78" s="304">
        <v>44036</v>
      </c>
      <c r="B78" s="305">
        <v>11194.150390625</v>
      </c>
      <c r="C78" s="305">
        <v>138.89999389648401</v>
      </c>
      <c r="D78" s="19"/>
      <c r="E78" s="19">
        <f t="shared" si="2"/>
        <v>-1.8991484351116158E-3</v>
      </c>
      <c r="F78" s="19">
        <f t="shared" si="3"/>
        <v>-2.6970270427432535E-2</v>
      </c>
      <c r="G78" s="19"/>
      <c r="H78" s="19"/>
    </row>
    <row r="79" spans="1:8" ht="14.25" customHeight="1" x14ac:dyDescent="0.3">
      <c r="A79" s="304">
        <v>44039</v>
      </c>
      <c r="B79" s="305">
        <v>11131.7998046875</v>
      </c>
      <c r="C79" s="305">
        <v>136.19999694824199</v>
      </c>
      <c r="D79" s="19"/>
      <c r="E79" s="19">
        <f t="shared" si="2"/>
        <v>-5.5699256988469672E-3</v>
      </c>
      <c r="F79" s="19">
        <f t="shared" si="3"/>
        <v>-1.943842380766557E-2</v>
      </c>
      <c r="G79" s="19"/>
      <c r="H79" s="19"/>
    </row>
    <row r="80" spans="1:8" ht="14.25" customHeight="1" x14ac:dyDescent="0.3">
      <c r="A80" s="304">
        <v>44040</v>
      </c>
      <c r="B80" s="305">
        <v>11300.5498046875</v>
      </c>
      <c r="C80" s="305">
        <v>141.14999389648401</v>
      </c>
      <c r="D80" s="19"/>
      <c r="E80" s="19">
        <f t="shared" si="2"/>
        <v>1.515927369884436E-2</v>
      </c>
      <c r="F80" s="19">
        <f t="shared" si="3"/>
        <v>3.6343590742686206E-2</v>
      </c>
      <c r="G80" s="19"/>
      <c r="H80" s="19"/>
    </row>
    <row r="81" spans="1:8" ht="14.25" customHeight="1" x14ac:dyDescent="0.3">
      <c r="A81" s="304">
        <v>44041</v>
      </c>
      <c r="B81" s="305">
        <v>11202.849609375</v>
      </c>
      <c r="C81" s="305">
        <v>139.85000610351599</v>
      </c>
      <c r="D81" s="19"/>
      <c r="E81" s="19">
        <f t="shared" si="2"/>
        <v>-8.6456143286031701E-3</v>
      </c>
      <c r="F81" s="19">
        <f t="shared" si="3"/>
        <v>-9.2099741351840975E-3</v>
      </c>
      <c r="G81" s="19"/>
      <c r="H81" s="19"/>
    </row>
    <row r="82" spans="1:8" ht="14.25" customHeight="1" x14ac:dyDescent="0.3">
      <c r="A82" s="304">
        <v>44042</v>
      </c>
      <c r="B82" s="305">
        <v>11102.150390625</v>
      </c>
      <c r="C82" s="305">
        <v>140.10000610351599</v>
      </c>
      <c r="D82" s="19"/>
      <c r="E82" s="19">
        <f t="shared" si="2"/>
        <v>-8.988714680747906E-3</v>
      </c>
      <c r="F82" s="19">
        <f t="shared" si="3"/>
        <v>1.7876295251281701E-3</v>
      </c>
      <c r="G82" s="19"/>
      <c r="H82" s="19"/>
    </row>
    <row r="83" spans="1:8" ht="14.25" customHeight="1" x14ac:dyDescent="0.3">
      <c r="A83" s="304">
        <v>44043</v>
      </c>
      <c r="B83" s="305">
        <v>11073.4501953125</v>
      </c>
      <c r="C83" s="305">
        <v>141.14999389648401</v>
      </c>
      <c r="D83" s="19"/>
      <c r="E83" s="19">
        <f t="shared" si="2"/>
        <v>-2.5851023723057593E-3</v>
      </c>
      <c r="F83" s="19">
        <f t="shared" si="3"/>
        <v>7.4945592235892144E-3</v>
      </c>
      <c r="G83" s="19"/>
      <c r="H83" s="19"/>
    </row>
    <row r="84" spans="1:8" ht="14.25" customHeight="1" x14ac:dyDescent="0.3">
      <c r="A84" s="304">
        <v>44046</v>
      </c>
      <c r="B84" s="305">
        <v>10891.599609375</v>
      </c>
      <c r="C84" s="305">
        <v>138.5</v>
      </c>
      <c r="D84" s="19"/>
      <c r="E84" s="19">
        <f t="shared" si="2"/>
        <v>-1.6422215545294015E-2</v>
      </c>
      <c r="F84" s="19">
        <f t="shared" si="3"/>
        <v>-1.8774311095099635E-2</v>
      </c>
      <c r="G84" s="19"/>
      <c r="H84" s="19"/>
    </row>
    <row r="85" spans="1:8" ht="14.25" customHeight="1" x14ac:dyDescent="0.3">
      <c r="A85" s="304">
        <v>44047</v>
      </c>
      <c r="B85" s="305">
        <v>11095.25</v>
      </c>
      <c r="C85" s="305">
        <v>142.60000610351599</v>
      </c>
      <c r="D85" s="19"/>
      <c r="E85" s="19">
        <f t="shared" si="2"/>
        <v>1.8697932161379389E-2</v>
      </c>
      <c r="F85" s="19">
        <f t="shared" si="3"/>
        <v>2.9602932155350141E-2</v>
      </c>
      <c r="G85" s="19"/>
      <c r="H85" s="19"/>
    </row>
    <row r="86" spans="1:8" ht="14.25" customHeight="1" x14ac:dyDescent="0.3">
      <c r="A86" s="304">
        <v>44048</v>
      </c>
      <c r="B86" s="305">
        <v>11101.650390625</v>
      </c>
      <c r="C86" s="305">
        <v>142.55000305175801</v>
      </c>
      <c r="D86" s="19"/>
      <c r="E86" s="19">
        <f t="shared" si="2"/>
        <v>5.7685862193280904E-4</v>
      </c>
      <c r="F86" s="19">
        <f t="shared" si="3"/>
        <v>-3.5065252186374305E-4</v>
      </c>
      <c r="G86" s="19"/>
      <c r="H86" s="19"/>
    </row>
    <row r="87" spans="1:8" ht="14.25" customHeight="1" x14ac:dyDescent="0.3">
      <c r="A87" s="304">
        <v>44049</v>
      </c>
      <c r="B87" s="305">
        <v>11200.150390625</v>
      </c>
      <c r="C87" s="305">
        <v>142.64999389648401</v>
      </c>
      <c r="D87" s="19"/>
      <c r="E87" s="19">
        <f t="shared" si="2"/>
        <v>8.872554668374371E-3</v>
      </c>
      <c r="F87" s="19">
        <f t="shared" si="3"/>
        <v>7.0144400270330911E-4</v>
      </c>
      <c r="G87" s="19"/>
      <c r="H87" s="19"/>
    </row>
    <row r="88" spans="1:8" ht="14.25" customHeight="1" x14ac:dyDescent="0.3">
      <c r="A88" s="304">
        <v>44050</v>
      </c>
      <c r="B88" s="305">
        <v>11214.0498046875</v>
      </c>
      <c r="C88" s="305">
        <v>141.85000610351599</v>
      </c>
      <c r="D88" s="19"/>
      <c r="E88" s="19">
        <f t="shared" si="2"/>
        <v>1.2410024488719721E-3</v>
      </c>
      <c r="F88" s="19">
        <f t="shared" si="3"/>
        <v>-5.608046457741411E-3</v>
      </c>
      <c r="G88" s="19"/>
      <c r="H88" s="19"/>
    </row>
    <row r="89" spans="1:8" ht="14.25" customHeight="1" x14ac:dyDescent="0.3">
      <c r="A89" s="304">
        <v>44053</v>
      </c>
      <c r="B89" s="305">
        <v>11270.150390625</v>
      </c>
      <c r="C89" s="305">
        <v>148.64999389648401</v>
      </c>
      <c r="D89" s="19"/>
      <c r="E89" s="19">
        <f t="shared" si="2"/>
        <v>5.0027052594371233E-3</v>
      </c>
      <c r="F89" s="19">
        <f t="shared" si="3"/>
        <v>4.7937874518000897E-2</v>
      </c>
      <c r="G89" s="19"/>
      <c r="H89" s="19"/>
    </row>
    <row r="90" spans="1:8" ht="14.25" customHeight="1" x14ac:dyDescent="0.3">
      <c r="A90" s="304">
        <v>44054</v>
      </c>
      <c r="B90" s="305">
        <v>11322.5</v>
      </c>
      <c r="C90" s="305">
        <v>146.55000305175801</v>
      </c>
      <c r="D90" s="19"/>
      <c r="E90" s="19">
        <f t="shared" si="2"/>
        <v>4.6449787767292505E-3</v>
      </c>
      <c r="F90" s="19">
        <f t="shared" si="3"/>
        <v>-1.412708328927597E-2</v>
      </c>
      <c r="G90" s="19"/>
      <c r="H90" s="19"/>
    </row>
    <row r="91" spans="1:8" ht="14.25" customHeight="1" x14ac:dyDescent="0.3">
      <c r="A91" s="304">
        <v>44055</v>
      </c>
      <c r="B91" s="305">
        <v>11308.400390625</v>
      </c>
      <c r="C91" s="305">
        <v>146.55000305175801</v>
      </c>
      <c r="D91" s="19"/>
      <c r="E91" s="19">
        <f t="shared" si="2"/>
        <v>-1.2452735151247515E-3</v>
      </c>
      <c r="F91" s="19">
        <f t="shared" si="3"/>
        <v>0</v>
      </c>
      <c r="G91" s="19"/>
      <c r="H91" s="19"/>
    </row>
    <row r="92" spans="1:8" ht="14.25" customHeight="1" x14ac:dyDescent="0.3">
      <c r="A92" s="304">
        <v>44056</v>
      </c>
      <c r="B92" s="305">
        <v>11300.4501953125</v>
      </c>
      <c r="C92" s="305">
        <v>147.75</v>
      </c>
      <c r="D92" s="19"/>
      <c r="E92" s="19">
        <f t="shared" si="2"/>
        <v>-7.0303447330101151E-4</v>
      </c>
      <c r="F92" s="19">
        <f t="shared" si="3"/>
        <v>8.1883106329119475E-3</v>
      </c>
      <c r="G92" s="19"/>
      <c r="H92" s="19"/>
    </row>
    <row r="93" spans="1:8" ht="14.25" customHeight="1" x14ac:dyDescent="0.3">
      <c r="A93" s="304">
        <v>44057</v>
      </c>
      <c r="B93" s="305">
        <v>11178.400390625</v>
      </c>
      <c r="C93" s="305">
        <v>142.44999694824199</v>
      </c>
      <c r="D93" s="19"/>
      <c r="E93" s="19">
        <f t="shared" si="2"/>
        <v>-1.0800437378868946E-2</v>
      </c>
      <c r="F93" s="19">
        <f t="shared" si="3"/>
        <v>-3.587142505419974E-2</v>
      </c>
      <c r="G93" s="19"/>
      <c r="H93" s="19"/>
    </row>
    <row r="94" spans="1:8" ht="14.25" customHeight="1" x14ac:dyDescent="0.3">
      <c r="A94" s="304">
        <v>44060</v>
      </c>
      <c r="B94" s="305">
        <v>11247.099609375</v>
      </c>
      <c r="C94" s="305">
        <v>147.14999389648401</v>
      </c>
      <c r="D94" s="19"/>
      <c r="E94" s="19">
        <f t="shared" si="2"/>
        <v>6.1457110453492112E-3</v>
      </c>
      <c r="F94" s="19">
        <f t="shared" si="3"/>
        <v>3.2994012277513224E-2</v>
      </c>
      <c r="G94" s="19"/>
      <c r="H94" s="19"/>
    </row>
    <row r="95" spans="1:8" ht="14.25" customHeight="1" x14ac:dyDescent="0.3">
      <c r="A95" s="304">
        <v>44061</v>
      </c>
      <c r="B95" s="305">
        <v>11385.349609375</v>
      </c>
      <c r="C95" s="305">
        <v>157.14999389648401</v>
      </c>
      <c r="D95" s="19"/>
      <c r="E95" s="19">
        <f t="shared" si="2"/>
        <v>1.2292057935075276E-2</v>
      </c>
      <c r="F95" s="19">
        <f t="shared" si="3"/>
        <v>6.7957868941773289E-2</v>
      </c>
      <c r="G95" s="19"/>
      <c r="H95" s="19"/>
    </row>
    <row r="96" spans="1:8" ht="14.25" customHeight="1" x14ac:dyDescent="0.3">
      <c r="A96" s="304">
        <v>44062</v>
      </c>
      <c r="B96" s="305">
        <v>11408.400390625</v>
      </c>
      <c r="C96" s="305">
        <v>157.55000305175801</v>
      </c>
      <c r="D96" s="19"/>
      <c r="E96" s="19">
        <f t="shared" si="2"/>
        <v>2.0246002135076617E-3</v>
      </c>
      <c r="F96" s="19">
        <f t="shared" si="3"/>
        <v>2.545397205280805E-3</v>
      </c>
      <c r="G96" s="19"/>
      <c r="H96" s="19"/>
    </row>
    <row r="97" spans="1:8" ht="14.25" customHeight="1" x14ac:dyDescent="0.3">
      <c r="A97" s="304">
        <v>44063</v>
      </c>
      <c r="B97" s="305">
        <v>11312.2001953125</v>
      </c>
      <c r="C97" s="305">
        <v>160.89999389648401</v>
      </c>
      <c r="D97" s="19"/>
      <c r="E97" s="19">
        <f t="shared" si="2"/>
        <v>-8.432399987605076E-3</v>
      </c>
      <c r="F97" s="19">
        <f t="shared" si="3"/>
        <v>2.1263032560053088E-2</v>
      </c>
      <c r="G97" s="19"/>
      <c r="H97" s="19"/>
    </row>
    <row r="98" spans="1:8" ht="14.25" customHeight="1" x14ac:dyDescent="0.3">
      <c r="A98" s="304">
        <v>44064</v>
      </c>
      <c r="B98" s="305">
        <v>11371.599609375</v>
      </c>
      <c r="C98" s="305">
        <v>161.69999694824199</v>
      </c>
      <c r="D98" s="19"/>
      <c r="E98" s="19">
        <f t="shared" si="2"/>
        <v>5.2509160938571144E-3</v>
      </c>
      <c r="F98" s="19">
        <f t="shared" si="3"/>
        <v>4.9720514736170214E-3</v>
      </c>
      <c r="G98" s="19"/>
      <c r="H98" s="19"/>
    </row>
    <row r="99" spans="1:8" ht="14.25" customHeight="1" x14ac:dyDescent="0.3">
      <c r="A99" s="304">
        <v>44067</v>
      </c>
      <c r="B99" s="305">
        <v>11466.4501953125</v>
      </c>
      <c r="C99" s="305">
        <v>157.69999694824199</v>
      </c>
      <c r="D99" s="19"/>
      <c r="E99" s="19">
        <f t="shared" si="2"/>
        <v>8.341006471886599E-3</v>
      </c>
      <c r="F99" s="19">
        <f t="shared" si="3"/>
        <v>-2.4737168061174094E-2</v>
      </c>
      <c r="G99" s="19"/>
      <c r="H99" s="19"/>
    </row>
    <row r="100" spans="1:8" ht="14.25" customHeight="1" x14ac:dyDescent="0.3">
      <c r="A100" s="304">
        <v>44068</v>
      </c>
      <c r="B100" s="305">
        <v>11472.25</v>
      </c>
      <c r="C100" s="305">
        <v>156.39999389648401</v>
      </c>
      <c r="D100" s="19"/>
      <c r="E100" s="19">
        <f t="shared" si="2"/>
        <v>5.0580646919575584E-4</v>
      </c>
      <c r="F100" s="19">
        <f t="shared" si="3"/>
        <v>-8.2435198282511772E-3</v>
      </c>
      <c r="G100" s="19"/>
      <c r="H100" s="19"/>
    </row>
    <row r="101" spans="1:8" ht="14.25" customHeight="1" x14ac:dyDescent="0.3">
      <c r="A101" s="304">
        <v>44069</v>
      </c>
      <c r="B101" s="305">
        <v>11549.599609375</v>
      </c>
      <c r="C101" s="305">
        <v>160</v>
      </c>
      <c r="D101" s="19"/>
      <c r="E101" s="19">
        <f t="shared" si="2"/>
        <v>6.7423225064830354E-3</v>
      </c>
      <c r="F101" s="19">
        <f t="shared" si="3"/>
        <v>2.3017942736613659E-2</v>
      </c>
      <c r="G101" s="19"/>
      <c r="H101" s="19"/>
    </row>
    <row r="102" spans="1:8" ht="14.25" customHeight="1" x14ac:dyDescent="0.3">
      <c r="A102" s="304">
        <v>44070</v>
      </c>
      <c r="B102" s="305">
        <v>11559.25</v>
      </c>
      <c r="C102" s="305">
        <v>175.89999389648401</v>
      </c>
      <c r="D102" s="19"/>
      <c r="E102" s="19">
        <f t="shared" si="2"/>
        <v>8.3556062126747827E-4</v>
      </c>
      <c r="F102" s="19">
        <f t="shared" si="3"/>
        <v>9.9374961853025037E-2</v>
      </c>
      <c r="G102" s="19"/>
      <c r="H102" s="19"/>
    </row>
    <row r="103" spans="1:8" ht="14.25" customHeight="1" x14ac:dyDescent="0.3">
      <c r="A103" s="304">
        <v>44071</v>
      </c>
      <c r="B103" s="305">
        <v>11647.599609375</v>
      </c>
      <c r="C103" s="305">
        <v>173.05000305175801</v>
      </c>
      <c r="D103" s="19"/>
      <c r="E103" s="19">
        <f t="shared" si="2"/>
        <v>7.6431956549949179E-3</v>
      </c>
      <c r="F103" s="19">
        <f t="shared" si="3"/>
        <v>-1.6202336234321844E-2</v>
      </c>
      <c r="G103" s="19"/>
      <c r="H103" s="19"/>
    </row>
    <row r="104" spans="1:8" ht="14.25" customHeight="1" x14ac:dyDescent="0.3">
      <c r="A104" s="304">
        <v>44074</v>
      </c>
      <c r="B104" s="305">
        <v>11387.5</v>
      </c>
      <c r="C104" s="305">
        <v>158.35000610351599</v>
      </c>
      <c r="D104" s="19"/>
      <c r="E104" s="19">
        <f t="shared" si="2"/>
        <v>-2.2330747801946185E-2</v>
      </c>
      <c r="F104" s="19">
        <f t="shared" si="3"/>
        <v>-8.4946528107516725E-2</v>
      </c>
      <c r="G104" s="19"/>
      <c r="H104" s="19"/>
    </row>
    <row r="105" spans="1:8" ht="14.25" customHeight="1" x14ac:dyDescent="0.3">
      <c r="A105" s="304">
        <v>44075</v>
      </c>
      <c r="B105" s="305">
        <v>11470.25</v>
      </c>
      <c r="C105" s="305">
        <v>160.89999389648401</v>
      </c>
      <c r="D105" s="19"/>
      <c r="E105" s="19">
        <f t="shared" si="2"/>
        <v>7.2667398463227223E-3</v>
      </c>
      <c r="F105" s="19">
        <f t="shared" si="3"/>
        <v>1.6103490335838966E-2</v>
      </c>
      <c r="G105" s="19"/>
      <c r="H105" s="19"/>
    </row>
    <row r="106" spans="1:8" ht="14.25" customHeight="1" x14ac:dyDescent="0.3">
      <c r="A106" s="304">
        <v>44076</v>
      </c>
      <c r="B106" s="305">
        <v>11535</v>
      </c>
      <c r="C106" s="305">
        <v>161.10000610351599</v>
      </c>
      <c r="D106" s="19"/>
      <c r="E106" s="19">
        <f t="shared" si="2"/>
        <v>5.6450382511279177E-3</v>
      </c>
      <c r="F106" s="19">
        <f t="shared" si="3"/>
        <v>1.2430839939041145E-3</v>
      </c>
      <c r="G106" s="19"/>
      <c r="H106" s="19"/>
    </row>
    <row r="107" spans="1:8" ht="14.25" customHeight="1" x14ac:dyDescent="0.3">
      <c r="A107" s="304">
        <v>44077</v>
      </c>
      <c r="B107" s="305">
        <v>11527.4501953125</v>
      </c>
      <c r="C107" s="305">
        <v>158.64999389648401</v>
      </c>
      <c r="D107" s="19"/>
      <c r="E107" s="19">
        <f t="shared" si="2"/>
        <v>-6.5451276007802341E-4</v>
      </c>
      <c r="F107" s="19">
        <f t="shared" si="3"/>
        <v>-1.5208020572374874E-2</v>
      </c>
      <c r="G107" s="19"/>
      <c r="H107" s="19"/>
    </row>
    <row r="108" spans="1:8" ht="14.25" customHeight="1" x14ac:dyDescent="0.3">
      <c r="A108" s="304">
        <v>44078</v>
      </c>
      <c r="B108" s="305">
        <v>11333.849609375</v>
      </c>
      <c r="C108" s="305">
        <v>154.85000610351599</v>
      </c>
      <c r="D108" s="19"/>
      <c r="E108" s="19">
        <f t="shared" si="2"/>
        <v>-1.6794744948559863E-2</v>
      </c>
      <c r="F108" s="19">
        <f t="shared" si="3"/>
        <v>-2.3952019786697427E-2</v>
      </c>
      <c r="G108" s="19"/>
      <c r="H108" s="19"/>
    </row>
    <row r="109" spans="1:8" ht="14.25" customHeight="1" x14ac:dyDescent="0.3">
      <c r="A109" s="304">
        <v>44081</v>
      </c>
      <c r="B109" s="305">
        <v>11355.0498046875</v>
      </c>
      <c r="C109" s="305">
        <v>152.14999389648401</v>
      </c>
      <c r="D109" s="19"/>
      <c r="E109" s="19">
        <f t="shared" si="2"/>
        <v>1.870520259503344E-3</v>
      </c>
      <c r="F109" s="19">
        <f t="shared" si="3"/>
        <v>-1.7436306752400463E-2</v>
      </c>
      <c r="G109" s="19"/>
      <c r="H109" s="19"/>
    </row>
    <row r="110" spans="1:8" ht="14.25" customHeight="1" x14ac:dyDescent="0.3">
      <c r="A110" s="304">
        <v>44082</v>
      </c>
      <c r="B110" s="305">
        <v>11317.349609375</v>
      </c>
      <c r="C110" s="305">
        <v>150.25</v>
      </c>
      <c r="D110" s="19"/>
      <c r="E110" s="19">
        <f t="shared" si="2"/>
        <v>-3.3201259317186711E-3</v>
      </c>
      <c r="F110" s="19">
        <f t="shared" si="3"/>
        <v>-1.248763702071967E-2</v>
      </c>
      <c r="G110" s="19"/>
      <c r="H110" s="19"/>
    </row>
    <row r="111" spans="1:8" ht="14.25" customHeight="1" x14ac:dyDescent="0.3">
      <c r="A111" s="304">
        <v>44083</v>
      </c>
      <c r="B111" s="305">
        <v>11278</v>
      </c>
      <c r="C111" s="305">
        <v>150.10000610351599</v>
      </c>
      <c r="D111" s="19"/>
      <c r="E111" s="19">
        <f t="shared" si="2"/>
        <v>-3.4769279675166877E-3</v>
      </c>
      <c r="F111" s="19">
        <f t="shared" si="3"/>
        <v>-9.982954840865592E-4</v>
      </c>
      <c r="G111" s="19"/>
      <c r="H111" s="19"/>
    </row>
    <row r="112" spans="1:8" ht="14.25" customHeight="1" x14ac:dyDescent="0.3">
      <c r="A112" s="304">
        <v>44084</v>
      </c>
      <c r="B112" s="305">
        <v>11449.25</v>
      </c>
      <c r="C112" s="305">
        <v>150.19999694824199</v>
      </c>
      <c r="D112" s="19"/>
      <c r="E112" s="19">
        <f t="shared" si="2"/>
        <v>1.5184429863450966E-2</v>
      </c>
      <c r="F112" s="19">
        <f t="shared" si="3"/>
        <v>6.6616149673595409E-4</v>
      </c>
      <c r="G112" s="19"/>
      <c r="H112" s="19"/>
    </row>
    <row r="113" spans="1:8" ht="14.25" customHeight="1" x14ac:dyDescent="0.3">
      <c r="A113" s="304">
        <v>44085</v>
      </c>
      <c r="B113" s="305">
        <v>11464.4501953125</v>
      </c>
      <c r="C113" s="305">
        <v>154.30000305175801</v>
      </c>
      <c r="D113" s="19"/>
      <c r="E113" s="19">
        <f t="shared" si="2"/>
        <v>1.3276149365678974E-3</v>
      </c>
      <c r="F113" s="19">
        <f t="shared" si="3"/>
        <v>2.7296978607322209E-2</v>
      </c>
      <c r="G113" s="19"/>
      <c r="H113" s="19"/>
    </row>
    <row r="114" spans="1:8" ht="14.25" customHeight="1" x14ac:dyDescent="0.3">
      <c r="A114" s="304">
        <v>44088</v>
      </c>
      <c r="B114" s="305">
        <v>11440.0498046875</v>
      </c>
      <c r="C114" s="305">
        <v>155.69999694824199</v>
      </c>
      <c r="D114" s="19"/>
      <c r="E114" s="19">
        <f t="shared" si="2"/>
        <v>-2.1283524468514552E-3</v>
      </c>
      <c r="F114" s="19">
        <f t="shared" si="3"/>
        <v>9.073194224204691E-3</v>
      </c>
      <c r="G114" s="19"/>
      <c r="H114" s="19"/>
    </row>
    <row r="115" spans="1:8" ht="14.25" customHeight="1" x14ac:dyDescent="0.3">
      <c r="A115" s="304">
        <v>44089</v>
      </c>
      <c r="B115" s="305">
        <v>11521.7998046875</v>
      </c>
      <c r="C115" s="305">
        <v>155.55000305175801</v>
      </c>
      <c r="D115" s="19"/>
      <c r="E115" s="19">
        <f t="shared" si="2"/>
        <v>7.1459479106903336E-3</v>
      </c>
      <c r="F115" s="19">
        <f t="shared" si="3"/>
        <v>-9.633519551952097E-4</v>
      </c>
      <c r="G115" s="19"/>
      <c r="H115" s="19"/>
    </row>
    <row r="116" spans="1:8" ht="14.25" customHeight="1" x14ac:dyDescent="0.3">
      <c r="A116" s="304">
        <v>44090</v>
      </c>
      <c r="B116" s="305">
        <v>11604.5498046875</v>
      </c>
      <c r="C116" s="305">
        <v>163.35000610351599</v>
      </c>
      <c r="D116" s="19"/>
      <c r="E116" s="19">
        <f t="shared" si="2"/>
        <v>7.1820376506050903E-3</v>
      </c>
      <c r="F116" s="19">
        <f t="shared" si="3"/>
        <v>5.0144666658493056E-2</v>
      </c>
      <c r="G116" s="19"/>
      <c r="H116" s="19"/>
    </row>
    <row r="117" spans="1:8" ht="14.25" customHeight="1" x14ac:dyDescent="0.3">
      <c r="A117" s="304">
        <v>44091</v>
      </c>
      <c r="B117" s="305">
        <v>11516.099609375</v>
      </c>
      <c r="C117" s="305">
        <v>156.85000610351599</v>
      </c>
      <c r="D117" s="19"/>
      <c r="E117" s="19">
        <f t="shared" si="2"/>
        <v>-7.6220272911209138E-3</v>
      </c>
      <c r="F117" s="19">
        <f t="shared" si="3"/>
        <v>-3.9791856486867262E-2</v>
      </c>
      <c r="G117" s="19"/>
      <c r="H117" s="19"/>
    </row>
    <row r="118" spans="1:8" ht="14.25" customHeight="1" x14ac:dyDescent="0.3">
      <c r="A118" s="304">
        <v>44092</v>
      </c>
      <c r="B118" s="305">
        <v>11504.9501953125</v>
      </c>
      <c r="C118" s="305">
        <v>161.25</v>
      </c>
      <c r="D118" s="19"/>
      <c r="E118" s="19">
        <f t="shared" si="2"/>
        <v>-9.6815887676271147E-4</v>
      </c>
      <c r="F118" s="19">
        <f t="shared" si="3"/>
        <v>2.80522392430138E-2</v>
      </c>
      <c r="G118" s="19"/>
      <c r="H118" s="19"/>
    </row>
    <row r="119" spans="1:8" ht="14.25" customHeight="1" x14ac:dyDescent="0.3">
      <c r="A119" s="304">
        <v>44095</v>
      </c>
      <c r="B119" s="305">
        <v>11250.5498046875</v>
      </c>
      <c r="C119" s="305">
        <v>151.89999389648401</v>
      </c>
      <c r="D119" s="19"/>
      <c r="E119" s="19">
        <f t="shared" si="2"/>
        <v>-2.2112254838673809E-2</v>
      </c>
      <c r="F119" s="19">
        <f t="shared" si="3"/>
        <v>-5.798453397529299E-2</v>
      </c>
      <c r="G119" s="19"/>
      <c r="H119" s="19"/>
    </row>
    <row r="120" spans="1:8" ht="14.25" customHeight="1" x14ac:dyDescent="0.3">
      <c r="A120" s="304">
        <v>44096</v>
      </c>
      <c r="B120" s="305">
        <v>11153.650390625</v>
      </c>
      <c r="C120" s="305">
        <v>148.94999694824199</v>
      </c>
      <c r="D120" s="19"/>
      <c r="E120" s="19">
        <f t="shared" si="2"/>
        <v>-8.6128603263573144E-3</v>
      </c>
      <c r="F120" s="19">
        <f t="shared" si="3"/>
        <v>-1.942065218417563E-2</v>
      </c>
      <c r="G120" s="19"/>
      <c r="H120" s="19"/>
    </row>
    <row r="121" spans="1:8" ht="14.25" customHeight="1" x14ac:dyDescent="0.3">
      <c r="A121" s="304">
        <v>44097</v>
      </c>
      <c r="B121" s="305">
        <v>11131.849609375</v>
      </c>
      <c r="C121" s="305">
        <v>150.44999694824199</v>
      </c>
      <c r="D121" s="19"/>
      <c r="E121" s="19">
        <f t="shared" si="2"/>
        <v>-1.9545871070447262E-3</v>
      </c>
      <c r="F121" s="19">
        <f t="shared" si="3"/>
        <v>1.007049366050829E-2</v>
      </c>
      <c r="G121" s="19"/>
      <c r="H121" s="19"/>
    </row>
    <row r="122" spans="1:8" ht="14.25" customHeight="1" x14ac:dyDescent="0.3">
      <c r="A122" s="304">
        <v>44098</v>
      </c>
      <c r="B122" s="305">
        <v>10805.5498046875</v>
      </c>
      <c r="C122" s="305">
        <v>146.25</v>
      </c>
      <c r="D122" s="19"/>
      <c r="E122" s="19">
        <f t="shared" si="2"/>
        <v>-2.9312272096516417E-2</v>
      </c>
      <c r="F122" s="19">
        <f t="shared" si="3"/>
        <v>-2.7916231528318854E-2</v>
      </c>
      <c r="G122" s="19"/>
      <c r="H122" s="19"/>
    </row>
    <row r="123" spans="1:8" ht="14.25" customHeight="1" x14ac:dyDescent="0.3">
      <c r="A123" s="304">
        <v>44099</v>
      </c>
      <c r="B123" s="305">
        <v>11050.25</v>
      </c>
      <c r="C123" s="305">
        <v>151.35000610351599</v>
      </c>
      <c r="D123" s="19"/>
      <c r="E123" s="19">
        <f t="shared" si="2"/>
        <v>2.264578848235449E-2</v>
      </c>
      <c r="F123" s="19">
        <f t="shared" si="3"/>
        <v>3.4871836605237572E-2</v>
      </c>
      <c r="G123" s="19"/>
      <c r="H123" s="19"/>
    </row>
    <row r="124" spans="1:8" ht="14.25" customHeight="1" x14ac:dyDescent="0.3">
      <c r="A124" s="304">
        <v>44102</v>
      </c>
      <c r="B124" s="305">
        <v>11227.5498046875</v>
      </c>
      <c r="C124" s="305">
        <v>157.69999694824199</v>
      </c>
      <c r="D124" s="19"/>
      <c r="E124" s="19">
        <f t="shared" si="2"/>
        <v>1.6044868187371327E-2</v>
      </c>
      <c r="F124" s="19">
        <f t="shared" si="3"/>
        <v>4.1955669564908447E-2</v>
      </c>
      <c r="G124" s="19"/>
      <c r="H124" s="19"/>
    </row>
    <row r="125" spans="1:8" ht="14.25" customHeight="1" x14ac:dyDescent="0.3">
      <c r="A125" s="304">
        <v>44103</v>
      </c>
      <c r="B125" s="305">
        <v>11222.400390625</v>
      </c>
      <c r="C125" s="305">
        <v>154.85000610351599</v>
      </c>
      <c r="D125" s="19"/>
      <c r="E125" s="19">
        <f t="shared" si="2"/>
        <v>-4.5864094589454597E-4</v>
      </c>
      <c r="F125" s="19">
        <f t="shared" si="3"/>
        <v>-1.8072231451351117E-2</v>
      </c>
      <c r="G125" s="19"/>
      <c r="H125" s="19"/>
    </row>
    <row r="126" spans="1:8" ht="14.25" customHeight="1" x14ac:dyDescent="0.3">
      <c r="A126" s="304">
        <v>44104</v>
      </c>
      <c r="B126" s="305">
        <v>11247.5498046875</v>
      </c>
      <c r="C126" s="305">
        <v>152.64999389648401</v>
      </c>
      <c r="D126" s="19"/>
      <c r="E126" s="19">
        <f t="shared" si="2"/>
        <v>2.2410013176422921E-3</v>
      </c>
      <c r="F126" s="19">
        <f t="shared" si="3"/>
        <v>-1.4207375655906003E-2</v>
      </c>
      <c r="G126" s="19"/>
      <c r="H126" s="19"/>
    </row>
    <row r="127" spans="1:8" ht="14.25" customHeight="1" x14ac:dyDescent="0.3">
      <c r="A127" s="304">
        <v>44105</v>
      </c>
      <c r="B127" s="305">
        <v>11416.9501953125</v>
      </c>
      <c r="C127" s="305">
        <v>155.89999389648401</v>
      </c>
      <c r="D127" s="19"/>
      <c r="E127" s="19">
        <f t="shared" si="2"/>
        <v>1.5061092732783554E-2</v>
      </c>
      <c r="F127" s="19">
        <f t="shared" si="3"/>
        <v>2.1290534752355844E-2</v>
      </c>
      <c r="G127" s="19"/>
      <c r="H127" s="19"/>
    </row>
    <row r="128" spans="1:8" ht="14.25" customHeight="1" x14ac:dyDescent="0.3">
      <c r="A128" s="304">
        <v>44109</v>
      </c>
      <c r="B128" s="305">
        <v>11503.349609375</v>
      </c>
      <c r="C128" s="305">
        <v>159.25</v>
      </c>
      <c r="D128" s="19"/>
      <c r="E128" s="19">
        <f t="shared" si="2"/>
        <v>7.5676439490796176E-3</v>
      </c>
      <c r="F128" s="19">
        <f t="shared" si="3"/>
        <v>2.1488173410323313E-2</v>
      </c>
      <c r="G128" s="19"/>
      <c r="H128" s="19"/>
    </row>
    <row r="129" spans="1:8" ht="14.25" customHeight="1" x14ac:dyDescent="0.3">
      <c r="A129" s="304">
        <v>44110</v>
      </c>
      <c r="B129" s="305">
        <v>11662.400390625</v>
      </c>
      <c r="C129" s="305">
        <v>162.89999389648401</v>
      </c>
      <c r="D129" s="19"/>
      <c r="E129" s="19">
        <f t="shared" si="2"/>
        <v>1.3826475474619739E-2</v>
      </c>
      <c r="F129" s="19">
        <f t="shared" si="3"/>
        <v>2.2919898879020444E-2</v>
      </c>
      <c r="G129" s="19"/>
      <c r="H129" s="19"/>
    </row>
    <row r="130" spans="1:8" ht="14.25" customHeight="1" x14ac:dyDescent="0.3">
      <c r="A130" s="304">
        <v>44111</v>
      </c>
      <c r="B130" s="305">
        <v>11738.849609375</v>
      </c>
      <c r="C130" s="305">
        <v>158.69999694824199</v>
      </c>
      <c r="D130" s="19"/>
      <c r="E130" s="19">
        <f t="shared" si="2"/>
        <v>6.5551872847252682E-3</v>
      </c>
      <c r="F130" s="19">
        <f t="shared" si="3"/>
        <v>-2.5782670998201116E-2</v>
      </c>
      <c r="G130" s="19"/>
      <c r="H130" s="19"/>
    </row>
    <row r="131" spans="1:8" ht="14.25" customHeight="1" x14ac:dyDescent="0.3">
      <c r="A131" s="304">
        <v>44112</v>
      </c>
      <c r="B131" s="305">
        <v>11834.599609375</v>
      </c>
      <c r="C131" s="305">
        <v>159.80000305175801</v>
      </c>
      <c r="D131" s="19"/>
      <c r="E131" s="19">
        <f t="shared" ref="E131:E194" si="4">(B131-B130)/B130</f>
        <v>8.1566766068398352E-3</v>
      </c>
      <c r="F131" s="19">
        <f t="shared" ref="F131:F194" si="5">(C131-C130)/C130</f>
        <v>6.931355542966873E-3</v>
      </c>
      <c r="G131" s="19"/>
      <c r="H131" s="19"/>
    </row>
    <row r="132" spans="1:8" ht="14.25" customHeight="1" x14ac:dyDescent="0.3">
      <c r="A132" s="304">
        <v>44113</v>
      </c>
      <c r="B132" s="305">
        <v>11914.2001953125</v>
      </c>
      <c r="C132" s="305">
        <v>157</v>
      </c>
      <c r="D132" s="19"/>
      <c r="E132" s="19">
        <f t="shared" si="4"/>
        <v>6.7260903253915667E-3</v>
      </c>
      <c r="F132" s="19">
        <f t="shared" si="5"/>
        <v>-1.7521921140709312E-2</v>
      </c>
      <c r="G132" s="19"/>
      <c r="H132" s="19"/>
    </row>
    <row r="133" spans="1:8" ht="14.25" customHeight="1" x14ac:dyDescent="0.3">
      <c r="A133" s="304">
        <v>44116</v>
      </c>
      <c r="B133" s="305">
        <v>11930.9501953125</v>
      </c>
      <c r="C133" s="305">
        <v>155.85000610351599</v>
      </c>
      <c r="D133" s="19"/>
      <c r="E133" s="19">
        <f t="shared" si="4"/>
        <v>1.4058853909967107E-3</v>
      </c>
      <c r="F133" s="19">
        <f t="shared" si="5"/>
        <v>-7.3248018884331557E-3</v>
      </c>
      <c r="G133" s="19"/>
      <c r="H133" s="19"/>
    </row>
    <row r="134" spans="1:8" ht="14.25" customHeight="1" x14ac:dyDescent="0.3">
      <c r="A134" s="304">
        <v>44117</v>
      </c>
      <c r="B134" s="305">
        <v>11934.5</v>
      </c>
      <c r="C134" s="305">
        <v>155.10000610351599</v>
      </c>
      <c r="D134" s="19"/>
      <c r="E134" s="19">
        <f t="shared" si="4"/>
        <v>2.9752908438882491E-4</v>
      </c>
      <c r="F134" s="19">
        <f t="shared" si="5"/>
        <v>-4.8123193495536211E-3</v>
      </c>
      <c r="G134" s="19"/>
      <c r="H134" s="19"/>
    </row>
    <row r="135" spans="1:8" ht="14.25" customHeight="1" x14ac:dyDescent="0.3">
      <c r="A135" s="304">
        <v>44118</v>
      </c>
      <c r="B135" s="305">
        <v>11971.0498046875</v>
      </c>
      <c r="C135" s="305">
        <v>159.10000610351599</v>
      </c>
      <c r="D135" s="19"/>
      <c r="E135" s="19">
        <f t="shared" si="4"/>
        <v>3.0625333853533873E-3</v>
      </c>
      <c r="F135" s="19">
        <f t="shared" si="5"/>
        <v>2.5789812008971437E-2</v>
      </c>
      <c r="G135" s="19"/>
      <c r="H135" s="19"/>
    </row>
    <row r="136" spans="1:8" ht="14.25" customHeight="1" x14ac:dyDescent="0.3">
      <c r="A136" s="304">
        <v>44119</v>
      </c>
      <c r="B136" s="305">
        <v>11680.349609375</v>
      </c>
      <c r="C136" s="305">
        <v>155.44999694824199</v>
      </c>
      <c r="D136" s="19"/>
      <c r="E136" s="19">
        <f t="shared" si="4"/>
        <v>-2.4283600858353342E-2</v>
      </c>
      <c r="F136" s="19">
        <f t="shared" si="5"/>
        <v>-2.2941602861405192E-2</v>
      </c>
      <c r="G136" s="19"/>
      <c r="H136" s="19"/>
    </row>
    <row r="137" spans="1:8" ht="14.25" customHeight="1" x14ac:dyDescent="0.3">
      <c r="A137" s="304">
        <v>44120</v>
      </c>
      <c r="B137" s="305">
        <v>11762.4501953125</v>
      </c>
      <c r="C137" s="305">
        <v>162.55000305175801</v>
      </c>
      <c r="D137" s="19"/>
      <c r="E137" s="19">
        <f t="shared" si="4"/>
        <v>7.0289493622351512E-3</v>
      </c>
      <c r="F137" s="19">
        <f t="shared" si="5"/>
        <v>4.5673890272767345E-2</v>
      </c>
      <c r="G137" s="19"/>
      <c r="H137" s="19"/>
    </row>
    <row r="138" spans="1:8" ht="14.25" customHeight="1" x14ac:dyDescent="0.3">
      <c r="A138" s="304">
        <v>44123</v>
      </c>
      <c r="B138" s="305">
        <v>11873.0498046875</v>
      </c>
      <c r="C138" s="305">
        <v>164.69999694824199</v>
      </c>
      <c r="D138" s="19"/>
      <c r="E138" s="19">
        <f t="shared" si="4"/>
        <v>9.4027696218493221E-3</v>
      </c>
      <c r="F138" s="19">
        <f t="shared" si="5"/>
        <v>1.3226661680217819E-2</v>
      </c>
      <c r="G138" s="19"/>
      <c r="H138" s="19"/>
    </row>
    <row r="139" spans="1:8" ht="14.25" customHeight="1" x14ac:dyDescent="0.3">
      <c r="A139" s="304">
        <v>44124</v>
      </c>
      <c r="B139" s="305">
        <v>11896.7998046875</v>
      </c>
      <c r="C139" s="305">
        <v>167.44999694824199</v>
      </c>
      <c r="D139" s="19"/>
      <c r="E139" s="19">
        <f t="shared" si="4"/>
        <v>2.000328507897226E-3</v>
      </c>
      <c r="F139" s="19">
        <f t="shared" si="5"/>
        <v>1.6697025203128602E-2</v>
      </c>
      <c r="G139" s="19"/>
      <c r="H139" s="19"/>
    </row>
    <row r="140" spans="1:8" ht="14.25" customHeight="1" x14ac:dyDescent="0.3">
      <c r="A140" s="304">
        <v>44125</v>
      </c>
      <c r="B140" s="305">
        <v>11937.650390625</v>
      </c>
      <c r="C140" s="305">
        <v>172.10000610351599</v>
      </c>
      <c r="D140" s="19"/>
      <c r="E140" s="19">
        <f t="shared" si="4"/>
        <v>3.4337457642520234E-3</v>
      </c>
      <c r="F140" s="19">
        <f t="shared" si="5"/>
        <v>2.7769538608658811E-2</v>
      </c>
      <c r="G140" s="19"/>
      <c r="H140" s="19"/>
    </row>
    <row r="141" spans="1:8" ht="14.25" customHeight="1" x14ac:dyDescent="0.3">
      <c r="A141" s="304">
        <v>44126</v>
      </c>
      <c r="B141" s="305">
        <v>11896.4501953125</v>
      </c>
      <c r="C141" s="305">
        <v>172.5</v>
      </c>
      <c r="D141" s="19"/>
      <c r="E141" s="19">
        <f t="shared" si="4"/>
        <v>-3.4512817819539903E-3</v>
      </c>
      <c r="F141" s="19">
        <f t="shared" si="5"/>
        <v>2.3241945514134044E-3</v>
      </c>
      <c r="G141" s="19"/>
      <c r="H141" s="19"/>
    </row>
    <row r="142" spans="1:8" ht="14.25" customHeight="1" x14ac:dyDescent="0.3">
      <c r="A142" s="304">
        <v>44127</v>
      </c>
      <c r="B142" s="305">
        <v>11930.349609375</v>
      </c>
      <c r="C142" s="305">
        <v>171.30000305175801</v>
      </c>
      <c r="D142" s="19"/>
      <c r="E142" s="19">
        <f t="shared" si="4"/>
        <v>2.8495402835256875E-3</v>
      </c>
      <c r="F142" s="19">
        <f t="shared" si="5"/>
        <v>-6.9565040477796436E-3</v>
      </c>
      <c r="G142" s="19"/>
      <c r="H142" s="19"/>
    </row>
    <row r="143" spans="1:8" ht="14.25" customHeight="1" x14ac:dyDescent="0.3">
      <c r="A143" s="304">
        <v>44130</v>
      </c>
      <c r="B143" s="305">
        <v>11767.75</v>
      </c>
      <c r="C143" s="305">
        <v>166.19999694824199</v>
      </c>
      <c r="D143" s="19"/>
      <c r="E143" s="19">
        <f t="shared" si="4"/>
        <v>-1.3629073304543183E-2</v>
      </c>
      <c r="F143" s="19">
        <f t="shared" si="5"/>
        <v>-2.9772364347098491E-2</v>
      </c>
      <c r="G143" s="19"/>
      <c r="H143" s="19"/>
    </row>
    <row r="144" spans="1:8" ht="14.25" customHeight="1" x14ac:dyDescent="0.3">
      <c r="A144" s="304">
        <v>44131</v>
      </c>
      <c r="B144" s="305">
        <v>11889.400390625</v>
      </c>
      <c r="C144" s="305">
        <v>165.10000610351599</v>
      </c>
      <c r="D144" s="19"/>
      <c r="E144" s="19">
        <f t="shared" si="4"/>
        <v>1.0337608346965222E-2</v>
      </c>
      <c r="F144" s="19">
        <f t="shared" si="5"/>
        <v>-6.6184769249337189E-3</v>
      </c>
      <c r="G144" s="19"/>
      <c r="H144" s="19"/>
    </row>
    <row r="145" spans="1:8" ht="14.25" customHeight="1" x14ac:dyDescent="0.3">
      <c r="A145" s="304">
        <v>44132</v>
      </c>
      <c r="B145" s="305">
        <v>11729.599609375</v>
      </c>
      <c r="C145" s="305">
        <v>156</v>
      </c>
      <c r="D145" s="19"/>
      <c r="E145" s="19">
        <f t="shared" si="4"/>
        <v>-1.3440608945763632E-2</v>
      </c>
      <c r="F145" s="19">
        <f t="shared" si="5"/>
        <v>-5.5118145167180582E-2</v>
      </c>
      <c r="G145" s="19"/>
      <c r="H145" s="19"/>
    </row>
    <row r="146" spans="1:8" ht="14.25" customHeight="1" x14ac:dyDescent="0.3">
      <c r="A146" s="304">
        <v>44133</v>
      </c>
      <c r="B146" s="305">
        <v>11670.7998046875</v>
      </c>
      <c r="C146" s="305">
        <v>153.10000610351599</v>
      </c>
      <c r="D146" s="19"/>
      <c r="E146" s="19">
        <f t="shared" si="4"/>
        <v>-5.012942184360979E-3</v>
      </c>
      <c r="F146" s="19">
        <f t="shared" si="5"/>
        <v>-1.858970446464106E-2</v>
      </c>
      <c r="G146" s="19"/>
      <c r="H146" s="19"/>
    </row>
    <row r="147" spans="1:8" ht="14.25" customHeight="1" x14ac:dyDescent="0.3">
      <c r="A147" s="304">
        <v>44134</v>
      </c>
      <c r="B147" s="305">
        <v>11642.400390625</v>
      </c>
      <c r="C147" s="305">
        <v>158.30000305175801</v>
      </c>
      <c r="D147" s="19"/>
      <c r="E147" s="19">
        <f t="shared" si="4"/>
        <v>-2.4333734223676395E-3</v>
      </c>
      <c r="F147" s="19">
        <f t="shared" si="5"/>
        <v>3.3964707648189943E-2</v>
      </c>
      <c r="G147" s="19"/>
      <c r="H147" s="19"/>
    </row>
    <row r="148" spans="1:8" ht="14.25" customHeight="1" x14ac:dyDescent="0.3">
      <c r="A148" s="304">
        <v>44137</v>
      </c>
      <c r="B148" s="305">
        <v>11669.150390625</v>
      </c>
      <c r="C148" s="305">
        <v>164.80000305175801</v>
      </c>
      <c r="D148" s="19"/>
      <c r="E148" s="19">
        <f t="shared" si="4"/>
        <v>2.2976361491175257E-3</v>
      </c>
      <c r="F148" s="19">
        <f t="shared" si="5"/>
        <v>4.1061275266525109E-2</v>
      </c>
      <c r="G148" s="19"/>
      <c r="H148" s="19"/>
    </row>
    <row r="149" spans="1:8" ht="14.25" customHeight="1" x14ac:dyDescent="0.3">
      <c r="A149" s="304">
        <v>44138</v>
      </c>
      <c r="B149" s="305">
        <v>11813.5</v>
      </c>
      <c r="C149" s="305">
        <v>163.64999389648401</v>
      </c>
      <c r="D149" s="19"/>
      <c r="E149" s="19">
        <f t="shared" si="4"/>
        <v>1.2370190163199074E-2</v>
      </c>
      <c r="F149" s="19">
        <f t="shared" si="5"/>
        <v>-6.9782107644307968E-3</v>
      </c>
      <c r="G149" s="19"/>
      <c r="H149" s="19"/>
    </row>
    <row r="150" spans="1:8" ht="14.25" customHeight="1" x14ac:dyDescent="0.3">
      <c r="A150" s="304">
        <v>44139</v>
      </c>
      <c r="B150" s="305">
        <v>11908.5</v>
      </c>
      <c r="C150" s="305">
        <v>162.80000305175801</v>
      </c>
      <c r="D150" s="19"/>
      <c r="E150" s="19">
        <f t="shared" si="4"/>
        <v>8.041647267956151E-3</v>
      </c>
      <c r="F150" s="19">
        <f t="shared" si="5"/>
        <v>-5.1939558596235062E-3</v>
      </c>
      <c r="G150" s="19"/>
      <c r="H150" s="19"/>
    </row>
    <row r="151" spans="1:8" ht="14.25" customHeight="1" x14ac:dyDescent="0.3">
      <c r="A151" s="304">
        <v>44140</v>
      </c>
      <c r="B151" s="305">
        <v>12120.2998046875</v>
      </c>
      <c r="C151" s="305">
        <v>165.80000305175801</v>
      </c>
      <c r="D151" s="19"/>
      <c r="E151" s="19">
        <f t="shared" si="4"/>
        <v>1.7785598915690475E-2</v>
      </c>
      <c r="F151" s="19">
        <f t="shared" si="5"/>
        <v>1.8427518082086449E-2</v>
      </c>
      <c r="G151" s="19"/>
      <c r="H151" s="19"/>
    </row>
    <row r="152" spans="1:8" ht="14.25" customHeight="1" x14ac:dyDescent="0.3">
      <c r="A152" s="304">
        <v>44141</v>
      </c>
      <c r="B152" s="305">
        <v>12263.5498046875</v>
      </c>
      <c r="C152" s="305">
        <v>167.89999389648401</v>
      </c>
      <c r="D152" s="19"/>
      <c r="E152" s="19">
        <f t="shared" si="4"/>
        <v>1.1819014571289595E-2</v>
      </c>
      <c r="F152" s="19">
        <f t="shared" si="5"/>
        <v>1.2665807033009747E-2</v>
      </c>
      <c r="G152" s="19"/>
      <c r="H152" s="19"/>
    </row>
    <row r="153" spans="1:8" ht="14.25" customHeight="1" x14ac:dyDescent="0.3">
      <c r="A153" s="304">
        <v>44144</v>
      </c>
      <c r="B153" s="305">
        <v>12461.0498046875</v>
      </c>
      <c r="C153" s="305">
        <v>172.80000305175801</v>
      </c>
      <c r="D153" s="19"/>
      <c r="E153" s="19">
        <f t="shared" si="4"/>
        <v>1.6104635537461554E-2</v>
      </c>
      <c r="F153" s="19">
        <f t="shared" si="5"/>
        <v>2.9184093706965984E-2</v>
      </c>
      <c r="G153" s="19"/>
      <c r="H153" s="19"/>
    </row>
    <row r="154" spans="1:8" ht="14.25" customHeight="1" x14ac:dyDescent="0.3">
      <c r="A154" s="304">
        <v>44145</v>
      </c>
      <c r="B154" s="305">
        <v>12631.099609375</v>
      </c>
      <c r="C154" s="305">
        <v>180.5</v>
      </c>
      <c r="D154" s="19"/>
      <c r="E154" s="19">
        <f t="shared" si="4"/>
        <v>1.3646507104363872E-2</v>
      </c>
      <c r="F154" s="19">
        <f t="shared" si="5"/>
        <v>4.4560166737587628E-2</v>
      </c>
      <c r="G154" s="19"/>
      <c r="H154" s="19"/>
    </row>
    <row r="155" spans="1:8" ht="14.25" customHeight="1" x14ac:dyDescent="0.3">
      <c r="A155" s="304">
        <v>44146</v>
      </c>
      <c r="B155" s="305">
        <v>12749.150390625</v>
      </c>
      <c r="C155" s="305">
        <v>182.89999389648401</v>
      </c>
      <c r="D155" s="19"/>
      <c r="E155" s="19">
        <f t="shared" si="4"/>
        <v>9.3460415087203378E-3</v>
      </c>
      <c r="F155" s="19">
        <f t="shared" si="5"/>
        <v>1.3296365077473714E-2</v>
      </c>
      <c r="G155" s="19"/>
      <c r="H155" s="19"/>
    </row>
    <row r="156" spans="1:8" ht="14.25" customHeight="1" x14ac:dyDescent="0.3">
      <c r="A156" s="304">
        <v>44147</v>
      </c>
      <c r="B156" s="305">
        <v>12690.7998046875</v>
      </c>
      <c r="C156" s="305">
        <v>182.64999389648401</v>
      </c>
      <c r="D156" s="19"/>
      <c r="E156" s="19">
        <f t="shared" si="4"/>
        <v>-4.5768215253314216E-3</v>
      </c>
      <c r="F156" s="19">
        <f t="shared" si="5"/>
        <v>-1.3668671861273686E-3</v>
      </c>
      <c r="G156" s="19"/>
      <c r="H156" s="19"/>
    </row>
    <row r="157" spans="1:8" ht="14.25" customHeight="1" x14ac:dyDescent="0.3">
      <c r="A157" s="304">
        <v>44148</v>
      </c>
      <c r="B157" s="305">
        <v>12719.9501953125</v>
      </c>
      <c r="C157" s="305">
        <v>184.64999389648401</v>
      </c>
      <c r="D157" s="19"/>
      <c r="E157" s="19">
        <f t="shared" si="4"/>
        <v>2.2969703307614193E-3</v>
      </c>
      <c r="F157" s="19">
        <f t="shared" si="5"/>
        <v>1.0949904554245373E-2</v>
      </c>
      <c r="G157" s="19"/>
      <c r="H157" s="19"/>
    </row>
    <row r="158" spans="1:8" ht="14.25" customHeight="1" x14ac:dyDescent="0.3">
      <c r="A158" s="304">
        <v>44152</v>
      </c>
      <c r="B158" s="305">
        <v>12874.2001953125</v>
      </c>
      <c r="C158" s="305">
        <v>188.35000610351599</v>
      </c>
      <c r="D158" s="19"/>
      <c r="E158" s="19">
        <f t="shared" si="4"/>
        <v>1.2126619808373427E-2</v>
      </c>
      <c r="F158" s="19">
        <f t="shared" si="5"/>
        <v>2.0037976329997823E-2</v>
      </c>
      <c r="G158" s="19"/>
      <c r="H158" s="19"/>
    </row>
    <row r="159" spans="1:8" ht="14.25" customHeight="1" x14ac:dyDescent="0.3">
      <c r="A159" s="304">
        <v>44153</v>
      </c>
      <c r="B159" s="305">
        <v>12938.25</v>
      </c>
      <c r="C159" s="305">
        <v>190.75</v>
      </c>
      <c r="D159" s="19"/>
      <c r="E159" s="19">
        <f t="shared" si="4"/>
        <v>4.9750511655722541E-3</v>
      </c>
      <c r="F159" s="19">
        <f t="shared" si="5"/>
        <v>1.2742202382329544E-2</v>
      </c>
      <c r="G159" s="19"/>
      <c r="H159" s="19"/>
    </row>
    <row r="160" spans="1:8" ht="14.25" customHeight="1" x14ac:dyDescent="0.3">
      <c r="A160" s="304">
        <v>44154</v>
      </c>
      <c r="B160" s="305">
        <v>12771.7001953125</v>
      </c>
      <c r="C160" s="305">
        <v>184.89999389648401</v>
      </c>
      <c r="D160" s="19"/>
      <c r="E160" s="19">
        <f t="shared" si="4"/>
        <v>-1.2872668613413716E-2</v>
      </c>
      <c r="F160" s="19">
        <f t="shared" si="5"/>
        <v>-3.0668446152115305E-2</v>
      </c>
      <c r="G160" s="19"/>
      <c r="H160" s="19"/>
    </row>
    <row r="161" spans="1:8" ht="14.25" customHeight="1" x14ac:dyDescent="0.3">
      <c r="A161" s="304">
        <v>44155</v>
      </c>
      <c r="B161" s="305">
        <v>12859.0498046875</v>
      </c>
      <c r="C161" s="305">
        <v>181.94999694824199</v>
      </c>
      <c r="D161" s="19"/>
      <c r="E161" s="19">
        <f t="shared" si="4"/>
        <v>6.83930941371919E-3</v>
      </c>
      <c r="F161" s="19">
        <f t="shared" si="5"/>
        <v>-1.5954554059604612E-2</v>
      </c>
      <c r="G161" s="19"/>
      <c r="H161" s="19"/>
    </row>
    <row r="162" spans="1:8" ht="14.25" customHeight="1" x14ac:dyDescent="0.3">
      <c r="A162" s="304">
        <v>44158</v>
      </c>
      <c r="B162" s="305">
        <v>12926.4501953125</v>
      </c>
      <c r="C162" s="305">
        <v>186.10000610351599</v>
      </c>
      <c r="D162" s="19"/>
      <c r="E162" s="19">
        <f t="shared" si="4"/>
        <v>5.241475198302023E-3</v>
      </c>
      <c r="F162" s="19">
        <f t="shared" si="5"/>
        <v>2.2808514563781659E-2</v>
      </c>
      <c r="G162" s="19"/>
      <c r="H162" s="19"/>
    </row>
    <row r="163" spans="1:8" ht="14.25" customHeight="1" x14ac:dyDescent="0.3">
      <c r="A163" s="304">
        <v>44159</v>
      </c>
      <c r="B163" s="305">
        <v>13055.150390625</v>
      </c>
      <c r="C163" s="305">
        <v>189.5</v>
      </c>
      <c r="D163" s="19"/>
      <c r="E163" s="19">
        <f t="shared" si="4"/>
        <v>9.9563448098976444E-3</v>
      </c>
      <c r="F163" s="19">
        <f t="shared" si="5"/>
        <v>1.826971405144822E-2</v>
      </c>
      <c r="G163" s="19"/>
      <c r="H163" s="19"/>
    </row>
    <row r="164" spans="1:8" ht="14.25" customHeight="1" x14ac:dyDescent="0.3">
      <c r="A164" s="304">
        <v>44160</v>
      </c>
      <c r="B164" s="305">
        <v>12858.400390625</v>
      </c>
      <c r="C164" s="305">
        <v>182.85000610351599</v>
      </c>
      <c r="D164" s="19"/>
      <c r="E164" s="19">
        <f t="shared" si="4"/>
        <v>-1.507068046809232E-2</v>
      </c>
      <c r="F164" s="19">
        <f t="shared" si="5"/>
        <v>-3.5092316076432747E-2</v>
      </c>
      <c r="G164" s="19"/>
      <c r="H164" s="19"/>
    </row>
    <row r="165" spans="1:8" ht="14.25" customHeight="1" x14ac:dyDescent="0.3">
      <c r="A165" s="304">
        <v>44161</v>
      </c>
      <c r="B165" s="305">
        <v>12987</v>
      </c>
      <c r="C165" s="305">
        <v>184.44999694824199</v>
      </c>
      <c r="D165" s="19"/>
      <c r="E165" s="19">
        <f t="shared" si="4"/>
        <v>1.0001213639976662E-2</v>
      </c>
      <c r="F165" s="19">
        <f t="shared" si="5"/>
        <v>8.750291448282474E-3</v>
      </c>
      <c r="G165" s="19"/>
      <c r="H165" s="19"/>
    </row>
    <row r="166" spans="1:8" ht="14.25" customHeight="1" x14ac:dyDescent="0.3">
      <c r="A166" s="304">
        <v>44162</v>
      </c>
      <c r="B166" s="305">
        <v>12968.9501953125</v>
      </c>
      <c r="C166" s="305">
        <v>187.19999694824199</v>
      </c>
      <c r="D166" s="19"/>
      <c r="E166" s="19">
        <f t="shared" si="4"/>
        <v>-1.3898363507738507E-3</v>
      </c>
      <c r="F166" s="19">
        <f t="shared" si="5"/>
        <v>1.4909189728919702E-2</v>
      </c>
      <c r="G166" s="19"/>
      <c r="H166" s="19"/>
    </row>
    <row r="167" spans="1:8" ht="14.25" customHeight="1" x14ac:dyDescent="0.3">
      <c r="A167" s="304">
        <v>44166</v>
      </c>
      <c r="B167" s="305">
        <v>13109.0498046875</v>
      </c>
      <c r="C167" s="305">
        <v>195.10000610351599</v>
      </c>
      <c r="D167" s="19"/>
      <c r="E167" s="19">
        <f t="shared" si="4"/>
        <v>1.0802694687318455E-2</v>
      </c>
      <c r="F167" s="19">
        <f t="shared" si="5"/>
        <v>4.2200904295197406E-2</v>
      </c>
      <c r="G167" s="19"/>
      <c r="H167" s="19"/>
    </row>
    <row r="168" spans="1:8" ht="14.25" customHeight="1" x14ac:dyDescent="0.3">
      <c r="A168" s="304">
        <v>44167</v>
      </c>
      <c r="B168" s="305">
        <v>13113.75</v>
      </c>
      <c r="C168" s="305">
        <v>200.85000610351599</v>
      </c>
      <c r="D168" s="19"/>
      <c r="E168" s="19">
        <f t="shared" si="4"/>
        <v>3.5854584295036521E-4</v>
      </c>
      <c r="F168" s="19">
        <f t="shared" si="5"/>
        <v>2.9472064685375613E-2</v>
      </c>
      <c r="G168" s="19"/>
      <c r="H168" s="19"/>
    </row>
    <row r="169" spans="1:8" ht="14.25" customHeight="1" x14ac:dyDescent="0.3">
      <c r="A169" s="304">
        <v>44168</v>
      </c>
      <c r="B169" s="305">
        <v>13133.900390625</v>
      </c>
      <c r="C169" s="305">
        <v>203</v>
      </c>
      <c r="D169" s="19"/>
      <c r="E169" s="19">
        <f t="shared" si="4"/>
        <v>1.5365849299399485E-3</v>
      </c>
      <c r="F169" s="19">
        <f t="shared" si="5"/>
        <v>1.0704475136415585E-2</v>
      </c>
      <c r="G169" s="19"/>
      <c r="H169" s="19"/>
    </row>
    <row r="170" spans="1:8" ht="14.25" customHeight="1" x14ac:dyDescent="0.3">
      <c r="A170" s="304">
        <v>44169</v>
      </c>
      <c r="B170" s="305">
        <v>13258.5498046875</v>
      </c>
      <c r="C170" s="305">
        <v>211.30000305175801</v>
      </c>
      <c r="D170" s="19"/>
      <c r="E170" s="19">
        <f t="shared" si="4"/>
        <v>9.4906623588736031E-3</v>
      </c>
      <c r="F170" s="19">
        <f t="shared" si="5"/>
        <v>4.088671454067986E-2</v>
      </c>
      <c r="G170" s="19"/>
      <c r="H170" s="19"/>
    </row>
    <row r="171" spans="1:8" ht="14.25" customHeight="1" x14ac:dyDescent="0.3">
      <c r="A171" s="304">
        <v>44172</v>
      </c>
      <c r="B171" s="305">
        <v>13355.75</v>
      </c>
      <c r="C171" s="305">
        <v>208.14999389648401</v>
      </c>
      <c r="D171" s="19"/>
      <c r="E171" s="19">
        <f t="shared" si="4"/>
        <v>7.3311332494399436E-3</v>
      </c>
      <c r="F171" s="19">
        <f t="shared" si="5"/>
        <v>-1.4907757263507517E-2</v>
      </c>
      <c r="G171" s="19"/>
      <c r="H171" s="19"/>
    </row>
    <row r="172" spans="1:8" ht="14.25" customHeight="1" x14ac:dyDescent="0.3">
      <c r="A172" s="304">
        <v>44173</v>
      </c>
      <c r="B172" s="305">
        <v>13392.9501953125</v>
      </c>
      <c r="C172" s="305">
        <v>206.5</v>
      </c>
      <c r="D172" s="19"/>
      <c r="E172" s="19">
        <f t="shared" si="4"/>
        <v>2.7853318093330587E-3</v>
      </c>
      <c r="F172" s="19">
        <f t="shared" si="5"/>
        <v>-7.9269466484086053E-3</v>
      </c>
      <c r="G172" s="19"/>
      <c r="H172" s="19"/>
    </row>
    <row r="173" spans="1:8" ht="14.25" customHeight="1" x14ac:dyDescent="0.3">
      <c r="A173" s="304">
        <v>44174</v>
      </c>
      <c r="B173" s="305">
        <v>13529.099609375</v>
      </c>
      <c r="C173" s="305">
        <v>212.19999694824199</v>
      </c>
      <c r="D173" s="19"/>
      <c r="E173" s="19">
        <f t="shared" si="4"/>
        <v>1.0165752285866931E-2</v>
      </c>
      <c r="F173" s="19">
        <f t="shared" si="5"/>
        <v>2.7602890790518104E-2</v>
      </c>
      <c r="G173" s="19"/>
      <c r="H173" s="19"/>
    </row>
    <row r="174" spans="1:8" ht="14.25" customHeight="1" x14ac:dyDescent="0.3">
      <c r="A174" s="304">
        <v>44175</v>
      </c>
      <c r="B174" s="305">
        <v>13478.2998046875</v>
      </c>
      <c r="C174" s="305">
        <v>217.89999389648401</v>
      </c>
      <c r="D174" s="19"/>
      <c r="E174" s="19">
        <f t="shared" si="4"/>
        <v>-3.7548548058806688E-3</v>
      </c>
      <c r="F174" s="19">
        <f t="shared" si="5"/>
        <v>2.6861437465676832E-2</v>
      </c>
      <c r="G174" s="19"/>
      <c r="H174" s="19"/>
    </row>
    <row r="175" spans="1:8" ht="14.25" customHeight="1" x14ac:dyDescent="0.3">
      <c r="A175" s="304">
        <v>44176</v>
      </c>
      <c r="B175" s="305">
        <v>13513.849609375</v>
      </c>
      <c r="C175" s="305">
        <v>218.80000305175801</v>
      </c>
      <c r="D175" s="19"/>
      <c r="E175" s="19">
        <f t="shared" si="4"/>
        <v>2.6375585350265351E-3</v>
      </c>
      <c r="F175" s="19">
        <f t="shared" si="5"/>
        <v>4.1303771476999948E-3</v>
      </c>
      <c r="G175" s="19"/>
      <c r="H175" s="19"/>
    </row>
    <row r="176" spans="1:8" ht="14.25" customHeight="1" x14ac:dyDescent="0.3">
      <c r="A176" s="304">
        <v>44179</v>
      </c>
      <c r="B176" s="305">
        <v>13558.150390625</v>
      </c>
      <c r="C176" s="305">
        <v>213.5</v>
      </c>
      <c r="D176" s="19"/>
      <c r="E176" s="19">
        <f t="shared" si="4"/>
        <v>3.2781762806703943E-3</v>
      </c>
      <c r="F176" s="19">
        <f t="shared" si="5"/>
        <v>-2.4223048344767503E-2</v>
      </c>
      <c r="G176" s="19"/>
      <c r="H176" s="19"/>
    </row>
    <row r="177" spans="1:8" ht="14.25" customHeight="1" x14ac:dyDescent="0.3">
      <c r="A177" s="304">
        <v>44180</v>
      </c>
      <c r="B177" s="305">
        <v>13567.849609375</v>
      </c>
      <c r="C177" s="305">
        <v>214.55000305175801</v>
      </c>
      <c r="D177" s="19"/>
      <c r="E177" s="19">
        <f t="shared" si="4"/>
        <v>7.1537919779284052E-4</v>
      </c>
      <c r="F177" s="19">
        <f t="shared" si="5"/>
        <v>4.9180470808337772E-3</v>
      </c>
      <c r="G177" s="19"/>
      <c r="H177" s="19"/>
    </row>
    <row r="178" spans="1:8" ht="14.25" customHeight="1" x14ac:dyDescent="0.3">
      <c r="A178" s="304">
        <v>44181</v>
      </c>
      <c r="B178" s="305">
        <v>13682.7001953125</v>
      </c>
      <c r="C178" s="305">
        <v>235.39999389648401</v>
      </c>
      <c r="D178" s="19"/>
      <c r="E178" s="19">
        <f t="shared" si="4"/>
        <v>8.4649070592691042E-3</v>
      </c>
      <c r="F178" s="19">
        <f t="shared" si="5"/>
        <v>9.7180100434191771E-2</v>
      </c>
      <c r="G178" s="19"/>
      <c r="H178" s="19"/>
    </row>
    <row r="179" spans="1:8" ht="14.25" customHeight="1" x14ac:dyDescent="0.3">
      <c r="A179" s="304">
        <v>44182</v>
      </c>
      <c r="B179" s="305">
        <v>13740.7001953125</v>
      </c>
      <c r="C179" s="305">
        <v>234.30000305175801</v>
      </c>
      <c r="D179" s="19"/>
      <c r="E179" s="19">
        <f t="shared" si="4"/>
        <v>4.2389293905504104E-3</v>
      </c>
      <c r="F179" s="19">
        <f t="shared" si="5"/>
        <v>-4.6728584250079024E-3</v>
      </c>
      <c r="G179" s="19"/>
      <c r="H179" s="19"/>
    </row>
    <row r="180" spans="1:8" ht="14.25" customHeight="1" x14ac:dyDescent="0.3">
      <c r="A180" s="304">
        <v>44183</v>
      </c>
      <c r="B180" s="305">
        <v>13760.5498046875</v>
      </c>
      <c r="C180" s="305">
        <v>231.39999389648401</v>
      </c>
      <c r="D180" s="19"/>
      <c r="E180" s="19">
        <f t="shared" si="4"/>
        <v>1.4445849987885983E-3</v>
      </c>
      <c r="F180" s="19">
        <f t="shared" si="5"/>
        <v>-1.2377332981226551E-2</v>
      </c>
      <c r="G180" s="19"/>
      <c r="H180" s="19"/>
    </row>
    <row r="181" spans="1:8" ht="14.25" customHeight="1" x14ac:dyDescent="0.3">
      <c r="A181" s="304">
        <v>44186</v>
      </c>
      <c r="B181" s="305">
        <v>13328.400390625</v>
      </c>
      <c r="C181" s="305">
        <v>214.80000305175801</v>
      </c>
      <c r="D181" s="19"/>
      <c r="E181" s="19">
        <f t="shared" si="4"/>
        <v>-3.1404952577933277E-2</v>
      </c>
      <c r="F181" s="19">
        <f t="shared" si="5"/>
        <v>-7.173721383999665E-2</v>
      </c>
      <c r="G181" s="19"/>
      <c r="H181" s="19"/>
    </row>
    <row r="182" spans="1:8" ht="14.25" customHeight="1" x14ac:dyDescent="0.3">
      <c r="A182" s="304">
        <v>44187</v>
      </c>
      <c r="B182" s="305">
        <v>13466.2998046875</v>
      </c>
      <c r="C182" s="305">
        <v>219.35000610351599</v>
      </c>
      <c r="D182" s="19"/>
      <c r="E182" s="19">
        <f t="shared" si="4"/>
        <v>1.034628387660806E-2</v>
      </c>
      <c r="F182" s="19">
        <f t="shared" si="5"/>
        <v>2.1182509250996698E-2</v>
      </c>
      <c r="G182" s="19"/>
      <c r="H182" s="19"/>
    </row>
    <row r="183" spans="1:8" ht="14.25" customHeight="1" x14ac:dyDescent="0.3">
      <c r="A183" s="304">
        <v>44188</v>
      </c>
      <c r="B183" s="305">
        <v>13601.099609375</v>
      </c>
      <c r="C183" s="305">
        <v>228.85000610351599</v>
      </c>
      <c r="D183" s="19"/>
      <c r="E183" s="19">
        <f t="shared" si="4"/>
        <v>1.0010159185716136E-2</v>
      </c>
      <c r="F183" s="19">
        <f t="shared" si="5"/>
        <v>4.3309777687066696E-2</v>
      </c>
      <c r="G183" s="19"/>
      <c r="H183" s="19"/>
    </row>
    <row r="184" spans="1:8" ht="14.25" customHeight="1" x14ac:dyDescent="0.3">
      <c r="A184" s="304">
        <v>44189</v>
      </c>
      <c r="B184" s="305">
        <v>13749.25</v>
      </c>
      <c r="C184" s="305">
        <v>226.10000610351599</v>
      </c>
      <c r="D184" s="19"/>
      <c r="E184" s="19">
        <f t="shared" si="4"/>
        <v>1.0892530374741357E-2</v>
      </c>
      <c r="F184" s="19">
        <f t="shared" si="5"/>
        <v>-1.2016604442457779E-2</v>
      </c>
      <c r="G184" s="19"/>
      <c r="H184" s="19"/>
    </row>
    <row r="185" spans="1:8" ht="14.25" customHeight="1" x14ac:dyDescent="0.3">
      <c r="A185" s="304">
        <v>44193</v>
      </c>
      <c r="B185" s="305">
        <v>13873.2001953125</v>
      </c>
      <c r="C185" s="305">
        <v>233.19999694824199</v>
      </c>
      <c r="D185" s="19"/>
      <c r="E185" s="19">
        <f t="shared" si="4"/>
        <v>9.0150513891666811E-3</v>
      </c>
      <c r="F185" s="19">
        <f t="shared" si="5"/>
        <v>3.1401993158175261E-2</v>
      </c>
      <c r="G185" s="19"/>
      <c r="H185" s="19"/>
    </row>
    <row r="186" spans="1:8" ht="14.25" customHeight="1" x14ac:dyDescent="0.3">
      <c r="A186" s="304">
        <v>44194</v>
      </c>
      <c r="B186" s="305">
        <v>13932.599609375</v>
      </c>
      <c r="C186" s="305">
        <v>231.44999694824199</v>
      </c>
      <c r="D186" s="19"/>
      <c r="E186" s="19">
        <f t="shared" si="4"/>
        <v>4.281594241144878E-3</v>
      </c>
      <c r="F186" s="19">
        <f t="shared" si="5"/>
        <v>-7.5042882628699476E-3</v>
      </c>
      <c r="G186" s="19"/>
      <c r="H186" s="19"/>
    </row>
    <row r="187" spans="1:8" ht="14.25" customHeight="1" x14ac:dyDescent="0.3">
      <c r="A187" s="304">
        <v>44195</v>
      </c>
      <c r="B187" s="305">
        <v>13981.9501953125</v>
      </c>
      <c r="C187" s="305">
        <v>235.94999694824199</v>
      </c>
      <c r="D187" s="19"/>
      <c r="E187" s="19">
        <f t="shared" si="4"/>
        <v>3.542094606974341E-3</v>
      </c>
      <c r="F187" s="19">
        <f t="shared" si="5"/>
        <v>1.9442644455969955E-2</v>
      </c>
      <c r="G187" s="19"/>
      <c r="H187" s="19"/>
    </row>
    <row r="188" spans="1:8" ht="14.25" customHeight="1" x14ac:dyDescent="0.3">
      <c r="A188" s="304">
        <v>44196</v>
      </c>
      <c r="B188" s="305">
        <v>13981.75</v>
      </c>
      <c r="C188" s="305">
        <v>232.85000610351599</v>
      </c>
      <c r="D188" s="19"/>
      <c r="E188" s="19">
        <f t="shared" si="4"/>
        <v>-1.4318125133010144E-5</v>
      </c>
      <c r="F188" s="19">
        <f t="shared" si="5"/>
        <v>-1.3138338142915968E-2</v>
      </c>
      <c r="G188" s="19"/>
      <c r="H188" s="19"/>
    </row>
    <row r="189" spans="1:8" ht="14.25" customHeight="1" x14ac:dyDescent="0.3">
      <c r="A189" s="304">
        <v>44197</v>
      </c>
      <c r="B189" s="305">
        <v>14018.5</v>
      </c>
      <c r="C189" s="305">
        <v>238.35000610351599</v>
      </c>
      <c r="D189" s="19"/>
      <c r="E189" s="19">
        <f t="shared" si="4"/>
        <v>2.6284263414808589E-3</v>
      </c>
      <c r="F189" s="19">
        <f t="shared" si="5"/>
        <v>2.3620355833509899E-2</v>
      </c>
      <c r="G189" s="19"/>
      <c r="H189" s="19"/>
    </row>
    <row r="190" spans="1:8" ht="14.25" customHeight="1" x14ac:dyDescent="0.3">
      <c r="A190" s="304">
        <v>44200</v>
      </c>
      <c r="B190" s="305">
        <v>14132.900390625</v>
      </c>
      <c r="C190" s="305">
        <v>244.30000305175801</v>
      </c>
      <c r="D190" s="19"/>
      <c r="E190" s="19">
        <f t="shared" si="4"/>
        <v>8.1606727271106034E-3</v>
      </c>
      <c r="F190" s="19">
        <f t="shared" si="5"/>
        <v>2.4963275837542535E-2</v>
      </c>
      <c r="G190" s="19"/>
      <c r="H190" s="19"/>
    </row>
    <row r="191" spans="1:8" ht="14.25" customHeight="1" x14ac:dyDescent="0.3">
      <c r="A191" s="304">
        <v>44201</v>
      </c>
      <c r="B191" s="305">
        <v>14199.5</v>
      </c>
      <c r="C191" s="305">
        <v>241.75</v>
      </c>
      <c r="D191" s="19"/>
      <c r="E191" s="19">
        <f t="shared" si="4"/>
        <v>4.7123808655142414E-3</v>
      </c>
      <c r="F191" s="19">
        <f t="shared" si="5"/>
        <v>-1.043799844414149E-2</v>
      </c>
      <c r="G191" s="19"/>
      <c r="H191" s="19"/>
    </row>
    <row r="192" spans="1:8" ht="14.25" customHeight="1" x14ac:dyDescent="0.3">
      <c r="A192" s="304">
        <v>44202</v>
      </c>
      <c r="B192" s="305">
        <v>14146.25</v>
      </c>
      <c r="C192" s="305">
        <v>241.05000305175801</v>
      </c>
      <c r="D192" s="19"/>
      <c r="E192" s="19">
        <f t="shared" si="4"/>
        <v>-3.7501320469030598E-3</v>
      </c>
      <c r="F192" s="19">
        <f t="shared" si="5"/>
        <v>-2.8955406338861986E-3</v>
      </c>
      <c r="G192" s="19"/>
      <c r="H192" s="19"/>
    </row>
    <row r="193" spans="1:8" ht="14.25" customHeight="1" x14ac:dyDescent="0.3">
      <c r="A193" s="304">
        <v>44203</v>
      </c>
      <c r="B193" s="305">
        <v>14137.349609375</v>
      </c>
      <c r="C193" s="305">
        <v>245.39999389648401</v>
      </c>
      <c r="D193" s="19"/>
      <c r="E193" s="19">
        <f t="shared" si="4"/>
        <v>-6.2916961208800914E-4</v>
      </c>
      <c r="F193" s="19">
        <f t="shared" si="5"/>
        <v>1.8046010328371449E-2</v>
      </c>
      <c r="G193" s="19"/>
      <c r="H193" s="19"/>
    </row>
    <row r="194" spans="1:8" ht="14.25" customHeight="1" x14ac:dyDescent="0.3">
      <c r="A194" s="304">
        <v>44204</v>
      </c>
      <c r="B194" s="305">
        <v>14347.25</v>
      </c>
      <c r="C194" s="305">
        <v>248.30000305175801</v>
      </c>
      <c r="D194" s="19"/>
      <c r="E194" s="19">
        <f t="shared" si="4"/>
        <v>1.4847223590326102E-2</v>
      </c>
      <c r="F194" s="19">
        <f t="shared" si="5"/>
        <v>1.1817478514271292E-2</v>
      </c>
      <c r="G194" s="19"/>
      <c r="H194" s="19"/>
    </row>
    <row r="195" spans="1:8" ht="14.25" customHeight="1" x14ac:dyDescent="0.3">
      <c r="A195" s="304">
        <v>44207</v>
      </c>
      <c r="B195" s="305">
        <v>14484.75</v>
      </c>
      <c r="C195" s="305">
        <v>246.94999694824199</v>
      </c>
      <c r="D195" s="19"/>
      <c r="E195" s="19">
        <f t="shared" ref="E195:E258" si="6">(B195-B194)/B194</f>
        <v>9.5837181341372046E-3</v>
      </c>
      <c r="F195" s="19">
        <f t="shared" ref="F195:F258" si="7">(C195-C194)/C194</f>
        <v>-5.436995919950169E-3</v>
      </c>
      <c r="G195" s="19"/>
      <c r="H195" s="19"/>
    </row>
    <row r="196" spans="1:8" ht="14.25" customHeight="1" x14ac:dyDescent="0.3">
      <c r="A196" s="304">
        <v>44208</v>
      </c>
      <c r="B196" s="305">
        <v>14563.4501953125</v>
      </c>
      <c r="C196" s="305">
        <v>267.54998779296898</v>
      </c>
      <c r="D196" s="19"/>
      <c r="E196" s="19">
        <f t="shared" si="6"/>
        <v>5.4333140242323824E-3</v>
      </c>
      <c r="F196" s="19">
        <f t="shared" si="7"/>
        <v>8.3417659847327394E-2</v>
      </c>
      <c r="G196" s="19"/>
      <c r="H196" s="19"/>
    </row>
    <row r="197" spans="1:8" ht="14.25" customHeight="1" x14ac:dyDescent="0.3">
      <c r="A197" s="304">
        <v>44209</v>
      </c>
      <c r="B197" s="305">
        <v>14564.849609375</v>
      </c>
      <c r="C197" s="305">
        <v>280.45001220703102</v>
      </c>
      <c r="D197" s="19"/>
      <c r="E197" s="19">
        <f t="shared" si="6"/>
        <v>9.6090833128981056E-5</v>
      </c>
      <c r="F197" s="19">
        <f t="shared" si="7"/>
        <v>4.8215380312572186E-2</v>
      </c>
      <c r="G197" s="19"/>
      <c r="H197" s="19"/>
    </row>
    <row r="198" spans="1:8" ht="14.25" customHeight="1" x14ac:dyDescent="0.3">
      <c r="A198" s="304">
        <v>44210</v>
      </c>
      <c r="B198" s="305">
        <v>14595.599609375</v>
      </c>
      <c r="C198" s="305">
        <v>281.60000610351602</v>
      </c>
      <c r="D198" s="19"/>
      <c r="E198" s="19">
        <f t="shared" si="6"/>
        <v>2.1112473403231747E-3</v>
      </c>
      <c r="F198" s="19">
        <f t="shared" si="7"/>
        <v>4.1005307414144921E-3</v>
      </c>
      <c r="G198" s="19"/>
      <c r="H198" s="19"/>
    </row>
    <row r="199" spans="1:8" ht="14.25" customHeight="1" x14ac:dyDescent="0.3">
      <c r="A199" s="304">
        <v>44211</v>
      </c>
      <c r="B199" s="305">
        <v>14433.7001953125</v>
      </c>
      <c r="C199" s="305">
        <v>279.45001220703102</v>
      </c>
      <c r="D199" s="19"/>
      <c r="E199" s="19">
        <f t="shared" si="6"/>
        <v>-1.1092344158201577E-2</v>
      </c>
      <c r="F199" s="19">
        <f t="shared" si="7"/>
        <v>-7.6349213419216458E-3</v>
      </c>
      <c r="G199" s="19"/>
      <c r="H199" s="19"/>
    </row>
    <row r="200" spans="1:8" ht="14.25" customHeight="1" x14ac:dyDescent="0.3">
      <c r="A200" s="304">
        <v>44214</v>
      </c>
      <c r="B200" s="305">
        <v>14281.2998046875</v>
      </c>
      <c r="C200" s="305">
        <v>277.14999389648398</v>
      </c>
      <c r="D200" s="19"/>
      <c r="E200" s="19">
        <f t="shared" si="6"/>
        <v>-1.0558650142566607E-2</v>
      </c>
      <c r="F200" s="19">
        <f t="shared" si="7"/>
        <v>-8.2305178388865953E-3</v>
      </c>
      <c r="G200" s="19"/>
      <c r="H200" s="19"/>
    </row>
    <row r="201" spans="1:8" ht="14.25" customHeight="1" x14ac:dyDescent="0.3">
      <c r="A201" s="304">
        <v>44215</v>
      </c>
      <c r="B201" s="305">
        <v>14521.150390625</v>
      </c>
      <c r="C201" s="305">
        <v>289</v>
      </c>
      <c r="D201" s="19"/>
      <c r="E201" s="19">
        <f t="shared" si="6"/>
        <v>1.6794730817062932E-2</v>
      </c>
      <c r="F201" s="19">
        <f t="shared" si="7"/>
        <v>4.2756652947797E-2</v>
      </c>
      <c r="G201" s="19"/>
      <c r="H201" s="19"/>
    </row>
    <row r="202" spans="1:8" ht="14.25" customHeight="1" x14ac:dyDescent="0.3">
      <c r="A202" s="304">
        <v>44216</v>
      </c>
      <c r="B202" s="305">
        <v>14644.7001953125</v>
      </c>
      <c r="C202" s="305">
        <v>290.45001220703102</v>
      </c>
      <c r="D202" s="19"/>
      <c r="E202" s="19">
        <f t="shared" si="6"/>
        <v>8.5082656238630369E-3</v>
      </c>
      <c r="F202" s="19">
        <f t="shared" si="7"/>
        <v>5.0173432769239539E-3</v>
      </c>
      <c r="G202" s="19"/>
      <c r="H202" s="19"/>
    </row>
    <row r="203" spans="1:8" ht="14.25" customHeight="1" x14ac:dyDescent="0.3">
      <c r="A203" s="304">
        <v>44217</v>
      </c>
      <c r="B203" s="305">
        <v>14590.349609375</v>
      </c>
      <c r="C203" s="305">
        <v>282.70001220703102</v>
      </c>
      <c r="D203" s="19"/>
      <c r="E203" s="19">
        <f t="shared" si="6"/>
        <v>-3.7112802046228729E-3</v>
      </c>
      <c r="F203" s="19">
        <f t="shared" si="7"/>
        <v>-2.6682732567681375E-2</v>
      </c>
      <c r="G203" s="19"/>
      <c r="H203" s="19"/>
    </row>
    <row r="204" spans="1:8" ht="14.25" customHeight="1" x14ac:dyDescent="0.3">
      <c r="A204" s="304">
        <v>44218</v>
      </c>
      <c r="B204" s="305">
        <v>14371.900390625</v>
      </c>
      <c r="C204" s="305">
        <v>269.39999389648398</v>
      </c>
      <c r="D204" s="19"/>
      <c r="E204" s="19">
        <f t="shared" si="6"/>
        <v>-1.4972171647596155E-2</v>
      </c>
      <c r="F204" s="19">
        <f t="shared" si="7"/>
        <v>-4.7046401613902236E-2</v>
      </c>
      <c r="G204" s="19"/>
      <c r="H204" s="19"/>
    </row>
    <row r="205" spans="1:8" ht="14.25" customHeight="1" x14ac:dyDescent="0.3">
      <c r="A205" s="304">
        <v>44221</v>
      </c>
      <c r="B205" s="305">
        <v>14238.900390625</v>
      </c>
      <c r="C205" s="305">
        <v>269.95001220703102</v>
      </c>
      <c r="D205" s="19"/>
      <c r="E205" s="19">
        <f t="shared" si="6"/>
        <v>-9.2541693433081298E-3</v>
      </c>
      <c r="F205" s="19">
        <f t="shared" si="7"/>
        <v>2.0416418819904953E-3</v>
      </c>
      <c r="G205" s="19"/>
      <c r="H205" s="19"/>
    </row>
    <row r="206" spans="1:8" ht="14.25" customHeight="1" x14ac:dyDescent="0.3">
      <c r="A206" s="304">
        <v>44223</v>
      </c>
      <c r="B206" s="305">
        <v>13967.5</v>
      </c>
      <c r="C206" s="305">
        <v>258.75</v>
      </c>
      <c r="D206" s="19"/>
      <c r="E206" s="19">
        <f t="shared" si="6"/>
        <v>-1.9060488041878015E-2</v>
      </c>
      <c r="F206" s="19">
        <f t="shared" si="7"/>
        <v>-4.1489208003596866E-2</v>
      </c>
      <c r="G206" s="19"/>
      <c r="H206" s="19"/>
    </row>
    <row r="207" spans="1:8" ht="14.25" customHeight="1" x14ac:dyDescent="0.3">
      <c r="A207" s="304">
        <v>44224</v>
      </c>
      <c r="B207" s="305">
        <v>13817.5498046875</v>
      </c>
      <c r="C207" s="305">
        <v>261</v>
      </c>
      <c r="D207" s="19"/>
      <c r="E207" s="19">
        <f t="shared" si="6"/>
        <v>-1.0735650281904421E-2</v>
      </c>
      <c r="F207" s="19">
        <f t="shared" si="7"/>
        <v>8.6956521739130436E-3</v>
      </c>
      <c r="G207" s="19"/>
      <c r="H207" s="19"/>
    </row>
    <row r="208" spans="1:8" ht="14.25" customHeight="1" x14ac:dyDescent="0.3">
      <c r="A208" s="304">
        <v>44225</v>
      </c>
      <c r="B208" s="305">
        <v>13634.599609375</v>
      </c>
      <c r="C208" s="305">
        <v>255.44999694824199</v>
      </c>
      <c r="D208" s="19"/>
      <c r="E208" s="19">
        <f t="shared" si="6"/>
        <v>-1.3240422354072899E-2</v>
      </c>
      <c r="F208" s="19">
        <f t="shared" si="7"/>
        <v>-2.1264379508651385E-2</v>
      </c>
      <c r="G208" s="19"/>
      <c r="H208" s="19"/>
    </row>
    <row r="209" spans="1:8" ht="14.25" customHeight="1" x14ac:dyDescent="0.3">
      <c r="A209" s="304">
        <v>44228</v>
      </c>
      <c r="B209" s="305">
        <v>14281.2001953125</v>
      </c>
      <c r="C209" s="305">
        <v>281.64999389648398</v>
      </c>
      <c r="D209" s="19"/>
      <c r="E209" s="19">
        <f t="shared" si="6"/>
        <v>4.7423511101338432E-2</v>
      </c>
      <c r="F209" s="19">
        <f t="shared" si="7"/>
        <v>0.10256409184279811</v>
      </c>
      <c r="G209" s="19"/>
      <c r="H209" s="19"/>
    </row>
    <row r="210" spans="1:8" ht="14.25" customHeight="1" x14ac:dyDescent="0.3">
      <c r="A210" s="304">
        <v>44229</v>
      </c>
      <c r="B210" s="305">
        <v>14647.849609375</v>
      </c>
      <c r="C210" s="305">
        <v>294.5</v>
      </c>
      <c r="D210" s="19"/>
      <c r="E210" s="19">
        <f t="shared" si="6"/>
        <v>2.5673571481957438E-2</v>
      </c>
      <c r="F210" s="19">
        <f t="shared" si="7"/>
        <v>4.5624024079470922E-2</v>
      </c>
      <c r="G210" s="19"/>
      <c r="H210" s="19"/>
    </row>
    <row r="211" spans="1:8" ht="14.25" customHeight="1" x14ac:dyDescent="0.3">
      <c r="A211" s="304">
        <v>44230</v>
      </c>
      <c r="B211" s="305">
        <v>14789.9501953125</v>
      </c>
      <c r="C211" s="305">
        <v>289.95001220703102</v>
      </c>
      <c r="D211" s="19"/>
      <c r="E211" s="19">
        <f t="shared" si="6"/>
        <v>9.7011226717232252E-3</v>
      </c>
      <c r="F211" s="19">
        <f t="shared" si="7"/>
        <v>-1.5449873660336086E-2</v>
      </c>
      <c r="G211" s="19"/>
      <c r="H211" s="19"/>
    </row>
    <row r="212" spans="1:8" ht="14.25" customHeight="1" x14ac:dyDescent="0.3">
      <c r="A212" s="304">
        <v>44231</v>
      </c>
      <c r="B212" s="305">
        <v>14895.650390625</v>
      </c>
      <c r="C212" s="305">
        <v>304.75</v>
      </c>
      <c r="D212" s="19"/>
      <c r="E212" s="19">
        <f t="shared" si="6"/>
        <v>7.146758029381358E-3</v>
      </c>
      <c r="F212" s="19">
        <f t="shared" si="7"/>
        <v>5.1043239075297724E-2</v>
      </c>
      <c r="G212" s="19"/>
      <c r="H212" s="19"/>
    </row>
    <row r="213" spans="1:8" ht="14.25" customHeight="1" x14ac:dyDescent="0.3">
      <c r="A213" s="304">
        <v>44232</v>
      </c>
      <c r="B213" s="305">
        <v>14924.25</v>
      </c>
      <c r="C213" s="305">
        <v>305.29998779296898</v>
      </c>
      <c r="D213" s="19"/>
      <c r="E213" s="19">
        <f t="shared" si="6"/>
        <v>1.919997356610892E-3</v>
      </c>
      <c r="F213" s="19">
        <f t="shared" si="7"/>
        <v>1.8047179424740848E-3</v>
      </c>
      <c r="G213" s="19"/>
      <c r="H213" s="19"/>
    </row>
    <row r="214" spans="1:8" ht="14.25" customHeight="1" x14ac:dyDescent="0.3">
      <c r="A214" s="304">
        <v>44235</v>
      </c>
      <c r="B214" s="305">
        <v>15115.7998046875</v>
      </c>
      <c r="C214" s="305">
        <v>313.04998779296898</v>
      </c>
      <c r="D214" s="19"/>
      <c r="E214" s="19">
        <f t="shared" si="6"/>
        <v>1.2834802732968156E-2</v>
      </c>
      <c r="F214" s="19">
        <f t="shared" si="7"/>
        <v>2.538486835857804E-2</v>
      </c>
      <c r="G214" s="19"/>
      <c r="H214" s="19"/>
    </row>
    <row r="215" spans="1:8" ht="14.25" customHeight="1" x14ac:dyDescent="0.3">
      <c r="A215" s="304">
        <v>44236</v>
      </c>
      <c r="B215" s="305">
        <v>15109.2998046875</v>
      </c>
      <c r="C215" s="305">
        <v>307</v>
      </c>
      <c r="D215" s="19"/>
      <c r="E215" s="19">
        <f t="shared" si="6"/>
        <v>-4.3001363368045607E-4</v>
      </c>
      <c r="F215" s="19">
        <f t="shared" si="7"/>
        <v>-1.9325948023898497E-2</v>
      </c>
      <c r="G215" s="19"/>
      <c r="H215" s="19"/>
    </row>
    <row r="216" spans="1:8" ht="14.25" customHeight="1" x14ac:dyDescent="0.3">
      <c r="A216" s="304">
        <v>44237</v>
      </c>
      <c r="B216" s="305">
        <v>15106.5</v>
      </c>
      <c r="C216" s="305">
        <v>311.39999389648398</v>
      </c>
      <c r="D216" s="19"/>
      <c r="E216" s="19">
        <f t="shared" si="6"/>
        <v>-1.8530340410820298E-4</v>
      </c>
      <c r="F216" s="19">
        <f t="shared" si="7"/>
        <v>1.4332227675843573E-2</v>
      </c>
      <c r="G216" s="19"/>
      <c r="H216" s="19"/>
    </row>
    <row r="217" spans="1:8" ht="14.25" customHeight="1" x14ac:dyDescent="0.3">
      <c r="A217" s="304">
        <v>44238</v>
      </c>
      <c r="B217" s="305">
        <v>15173.2998046875</v>
      </c>
      <c r="C217" s="305">
        <v>309.64999389648398</v>
      </c>
      <c r="D217" s="19"/>
      <c r="E217" s="19">
        <f t="shared" si="6"/>
        <v>4.4219246475027309E-3</v>
      </c>
      <c r="F217" s="19">
        <f t="shared" si="7"/>
        <v>-5.6197817414914194E-3</v>
      </c>
      <c r="G217" s="19"/>
      <c r="H217" s="19"/>
    </row>
    <row r="218" spans="1:8" ht="14.25" customHeight="1" x14ac:dyDescent="0.3">
      <c r="A218" s="304">
        <v>44239</v>
      </c>
      <c r="B218" s="305">
        <v>15163.2998046875</v>
      </c>
      <c r="C218" s="305">
        <v>311.75</v>
      </c>
      <c r="D218" s="19"/>
      <c r="E218" s="19">
        <f t="shared" si="6"/>
        <v>-6.590524229219205E-4</v>
      </c>
      <c r="F218" s="19">
        <f t="shared" si="7"/>
        <v>6.7818703210375487E-3</v>
      </c>
      <c r="G218" s="19"/>
      <c r="H218" s="19"/>
    </row>
    <row r="219" spans="1:8" ht="14.25" customHeight="1" x14ac:dyDescent="0.3">
      <c r="A219" s="304">
        <v>44242</v>
      </c>
      <c r="B219" s="305">
        <v>15314.7001953125</v>
      </c>
      <c r="C219" s="305">
        <v>317.25</v>
      </c>
      <c r="D219" s="19"/>
      <c r="E219" s="19">
        <f t="shared" si="6"/>
        <v>9.984659841533761E-3</v>
      </c>
      <c r="F219" s="19">
        <f t="shared" si="7"/>
        <v>1.764234161988773E-2</v>
      </c>
      <c r="G219" s="19"/>
      <c r="H219" s="19"/>
    </row>
    <row r="220" spans="1:8" ht="14.25" customHeight="1" x14ac:dyDescent="0.3">
      <c r="A220" s="304">
        <v>44243</v>
      </c>
      <c r="B220" s="305">
        <v>15313.4501953125</v>
      </c>
      <c r="C220" s="305">
        <v>319</v>
      </c>
      <c r="D220" s="19"/>
      <c r="E220" s="19">
        <f t="shared" si="6"/>
        <v>-8.1620925258634719E-5</v>
      </c>
      <c r="F220" s="19">
        <f t="shared" si="7"/>
        <v>5.5161544523246652E-3</v>
      </c>
      <c r="G220" s="19"/>
      <c r="H220" s="19"/>
    </row>
    <row r="221" spans="1:8" ht="14.25" customHeight="1" x14ac:dyDescent="0.3">
      <c r="A221" s="304">
        <v>44244</v>
      </c>
      <c r="B221" s="305">
        <v>15208.900390625</v>
      </c>
      <c r="C221" s="305">
        <v>314.89999389648398</v>
      </c>
      <c r="D221" s="19"/>
      <c r="E221" s="19">
        <f t="shared" si="6"/>
        <v>-6.8273186874309392E-3</v>
      </c>
      <c r="F221" s="19">
        <f t="shared" si="7"/>
        <v>-1.2852683710081577E-2</v>
      </c>
      <c r="G221" s="19"/>
      <c r="H221" s="19"/>
    </row>
    <row r="222" spans="1:8" ht="14.25" customHeight="1" x14ac:dyDescent="0.3">
      <c r="A222" s="304">
        <v>44245</v>
      </c>
      <c r="B222" s="305">
        <v>15118.9501953125</v>
      </c>
      <c r="C222" s="305">
        <v>306.25</v>
      </c>
      <c r="D222" s="19"/>
      <c r="E222" s="19">
        <f t="shared" si="6"/>
        <v>-5.9143128695843573E-3</v>
      </c>
      <c r="F222" s="19">
        <f t="shared" si="7"/>
        <v>-2.7469018939795409E-2</v>
      </c>
      <c r="G222" s="19"/>
      <c r="H222" s="19"/>
    </row>
    <row r="223" spans="1:8" ht="14.25" customHeight="1" x14ac:dyDescent="0.3">
      <c r="A223" s="304">
        <v>44246</v>
      </c>
      <c r="B223" s="305">
        <v>14981.75</v>
      </c>
      <c r="C223" s="305">
        <v>300.60000610351602</v>
      </c>
      <c r="D223" s="19"/>
      <c r="E223" s="19">
        <f t="shared" si="6"/>
        <v>-9.0747170630297962E-3</v>
      </c>
      <c r="F223" s="19">
        <f t="shared" si="7"/>
        <v>-1.8448959661988496E-2</v>
      </c>
      <c r="G223" s="19"/>
      <c r="H223" s="19"/>
    </row>
    <row r="224" spans="1:8" ht="14.25" customHeight="1" x14ac:dyDescent="0.3">
      <c r="A224" s="304">
        <v>44249</v>
      </c>
      <c r="B224" s="305">
        <v>14675.7001953125</v>
      </c>
      <c r="C224" s="305">
        <v>294.10000610351602</v>
      </c>
      <c r="D224" s="19"/>
      <c r="E224" s="19">
        <f t="shared" si="6"/>
        <v>-2.0428174591586429E-2</v>
      </c>
      <c r="F224" s="19">
        <f t="shared" si="7"/>
        <v>-2.1623419387961123E-2</v>
      </c>
      <c r="G224" s="19"/>
      <c r="H224" s="19"/>
    </row>
    <row r="225" spans="1:8" ht="14.25" customHeight="1" x14ac:dyDescent="0.3">
      <c r="A225" s="304">
        <v>44250</v>
      </c>
      <c r="B225" s="305">
        <v>14707.7998046875</v>
      </c>
      <c r="C225" s="305">
        <v>305.39999389648398</v>
      </c>
      <c r="D225" s="19"/>
      <c r="E225" s="19">
        <f t="shared" si="6"/>
        <v>2.1872625461000351E-3</v>
      </c>
      <c r="F225" s="19">
        <f t="shared" si="7"/>
        <v>3.842226303453606E-2</v>
      </c>
      <c r="G225" s="19"/>
      <c r="H225" s="19"/>
    </row>
    <row r="226" spans="1:8" ht="14.25" customHeight="1" x14ac:dyDescent="0.3">
      <c r="A226" s="304">
        <v>44251</v>
      </c>
      <c r="B226" s="305">
        <v>14982</v>
      </c>
      <c r="C226" s="305">
        <v>313.20001220703102</v>
      </c>
      <c r="D226" s="19"/>
      <c r="E226" s="19">
        <f t="shared" si="6"/>
        <v>1.8643182457862263E-2</v>
      </c>
      <c r="F226" s="19">
        <f t="shared" si="7"/>
        <v>2.5540335515497357E-2</v>
      </c>
      <c r="G226" s="19"/>
      <c r="H226" s="19"/>
    </row>
    <row r="227" spans="1:8" ht="14.25" customHeight="1" x14ac:dyDescent="0.3">
      <c r="A227" s="304">
        <v>44252</v>
      </c>
      <c r="B227" s="305">
        <v>15097.349609375</v>
      </c>
      <c r="C227" s="305">
        <v>314.70001220703102</v>
      </c>
      <c r="D227" s="19"/>
      <c r="E227" s="19">
        <f t="shared" si="6"/>
        <v>7.6992130139500736E-3</v>
      </c>
      <c r="F227" s="19">
        <f t="shared" si="7"/>
        <v>4.7892718439885374E-3</v>
      </c>
      <c r="G227" s="19"/>
      <c r="H227" s="19"/>
    </row>
    <row r="228" spans="1:8" ht="14.25" customHeight="1" x14ac:dyDescent="0.3">
      <c r="A228" s="304">
        <v>44253</v>
      </c>
      <c r="B228" s="305">
        <v>14529.150390625</v>
      </c>
      <c r="C228" s="305">
        <v>302.5</v>
      </c>
      <c r="D228" s="19"/>
      <c r="E228" s="19">
        <f t="shared" si="6"/>
        <v>-3.7635693247586012E-2</v>
      </c>
      <c r="F228" s="19">
        <f t="shared" si="7"/>
        <v>-3.8767117044167847E-2</v>
      </c>
      <c r="G228" s="19"/>
      <c r="H228" s="19"/>
    </row>
    <row r="229" spans="1:8" ht="14.25" customHeight="1" x14ac:dyDescent="0.3">
      <c r="A229" s="304">
        <v>44256</v>
      </c>
      <c r="B229" s="305">
        <v>14761.5498046875</v>
      </c>
      <c r="C229" s="305">
        <v>307.29998779296898</v>
      </c>
      <c r="D229" s="19"/>
      <c r="E229" s="19">
        <f t="shared" si="6"/>
        <v>1.5995389118723471E-2</v>
      </c>
      <c r="F229" s="19">
        <f t="shared" si="7"/>
        <v>1.5867728241219761E-2</v>
      </c>
      <c r="G229" s="19"/>
      <c r="H229" s="19"/>
    </row>
    <row r="230" spans="1:8" ht="14.25" customHeight="1" x14ac:dyDescent="0.3">
      <c r="A230" s="304">
        <v>44257</v>
      </c>
      <c r="B230" s="305">
        <v>14919.099609375</v>
      </c>
      <c r="C230" s="305">
        <v>313.60000610351602</v>
      </c>
      <c r="D230" s="19"/>
      <c r="E230" s="19">
        <f t="shared" si="6"/>
        <v>1.0672985341787783E-2</v>
      </c>
      <c r="F230" s="19">
        <f t="shared" si="7"/>
        <v>2.0501199351792457E-2</v>
      </c>
      <c r="G230" s="19"/>
      <c r="H230" s="19"/>
    </row>
    <row r="231" spans="1:8" ht="14.25" customHeight="1" x14ac:dyDescent="0.3">
      <c r="A231" s="304">
        <v>44258</v>
      </c>
      <c r="B231" s="305">
        <v>15245.599609375</v>
      </c>
      <c r="C231" s="305">
        <v>324.20001220703102</v>
      </c>
      <c r="D231" s="19"/>
      <c r="E231" s="19">
        <f t="shared" si="6"/>
        <v>2.1884698711632098E-2</v>
      </c>
      <c r="F231" s="19">
        <f t="shared" si="7"/>
        <v>3.3801039213041506E-2</v>
      </c>
      <c r="G231" s="19"/>
      <c r="H231" s="19"/>
    </row>
    <row r="232" spans="1:8" ht="14.25" customHeight="1" x14ac:dyDescent="0.3">
      <c r="A232" s="304">
        <v>44259</v>
      </c>
      <c r="B232" s="305">
        <v>15080.75</v>
      </c>
      <c r="C232" s="305">
        <v>326.39999389648398</v>
      </c>
      <c r="D232" s="19"/>
      <c r="E232" s="19">
        <f t="shared" si="6"/>
        <v>-1.0812930524138177E-2</v>
      </c>
      <c r="F232" s="19">
        <f t="shared" si="7"/>
        <v>6.7858778735889348E-3</v>
      </c>
      <c r="G232" s="19"/>
      <c r="H232" s="19"/>
    </row>
    <row r="233" spans="1:8" ht="14.25" customHeight="1" x14ac:dyDescent="0.3">
      <c r="A233" s="304">
        <v>44260</v>
      </c>
      <c r="B233" s="305">
        <v>14938.099609375</v>
      </c>
      <c r="C233" s="305">
        <v>318.10000610351602</v>
      </c>
      <c r="D233" s="19"/>
      <c r="E233" s="19">
        <f t="shared" si="6"/>
        <v>-9.4591045289524733E-3</v>
      </c>
      <c r="F233" s="19">
        <f t="shared" si="7"/>
        <v>-2.5428884645139579E-2</v>
      </c>
      <c r="G233" s="19"/>
      <c r="H233" s="19"/>
    </row>
    <row r="234" spans="1:8" ht="14.25" customHeight="1" x14ac:dyDescent="0.3">
      <c r="A234" s="304">
        <v>44263</v>
      </c>
      <c r="B234" s="305">
        <v>14956.2001953125</v>
      </c>
      <c r="C234" s="305">
        <v>316.25</v>
      </c>
      <c r="D234" s="19"/>
      <c r="E234" s="19">
        <f t="shared" si="6"/>
        <v>1.2117060677611399E-3</v>
      </c>
      <c r="F234" s="19">
        <f t="shared" si="7"/>
        <v>-5.8158002767029005E-3</v>
      </c>
      <c r="G234" s="19"/>
      <c r="H234" s="19"/>
    </row>
    <row r="235" spans="1:8" ht="14.25" customHeight="1" x14ac:dyDescent="0.3">
      <c r="A235" s="304">
        <v>44264</v>
      </c>
      <c r="B235" s="305">
        <v>15098.400390625</v>
      </c>
      <c r="C235" s="305">
        <v>311.39999389648398</v>
      </c>
      <c r="D235" s="19"/>
      <c r="E235" s="19">
        <f t="shared" si="6"/>
        <v>9.5077756017914027E-3</v>
      </c>
      <c r="F235" s="19">
        <f t="shared" si="7"/>
        <v>-1.5335987679102049E-2</v>
      </c>
      <c r="G235" s="19"/>
      <c r="H235" s="19"/>
    </row>
    <row r="236" spans="1:8" ht="14.25" customHeight="1" x14ac:dyDescent="0.3">
      <c r="A236" s="304">
        <v>44265</v>
      </c>
      <c r="B236" s="305">
        <v>15174.7998046875</v>
      </c>
      <c r="C236" s="305">
        <v>314.25</v>
      </c>
      <c r="D236" s="19"/>
      <c r="E236" s="19">
        <f t="shared" si="6"/>
        <v>5.0600998838220262E-3</v>
      </c>
      <c r="F236" s="19">
        <f t="shared" si="7"/>
        <v>9.1522355792448273E-3</v>
      </c>
      <c r="G236" s="19"/>
      <c r="H236" s="19"/>
    </row>
    <row r="237" spans="1:8" ht="14.25" customHeight="1" x14ac:dyDescent="0.3">
      <c r="A237" s="304">
        <v>44267</v>
      </c>
      <c r="B237" s="305">
        <v>15030.9501953125</v>
      </c>
      <c r="C237" s="305">
        <v>308.5</v>
      </c>
      <c r="D237" s="19"/>
      <c r="E237" s="19">
        <f t="shared" si="6"/>
        <v>-9.4795062357636382E-3</v>
      </c>
      <c r="F237" s="19">
        <f t="shared" si="7"/>
        <v>-1.8297533810660304E-2</v>
      </c>
      <c r="G237" s="19"/>
      <c r="H237" s="19"/>
    </row>
    <row r="238" spans="1:8" ht="14.25" customHeight="1" x14ac:dyDescent="0.3">
      <c r="A238" s="304">
        <v>44270</v>
      </c>
      <c r="B238" s="305">
        <v>14929.5</v>
      </c>
      <c r="C238" s="305">
        <v>304.25</v>
      </c>
      <c r="D238" s="19"/>
      <c r="E238" s="19">
        <f t="shared" si="6"/>
        <v>-6.7494199630930788E-3</v>
      </c>
      <c r="F238" s="19">
        <f t="shared" si="7"/>
        <v>-1.3776337115072933E-2</v>
      </c>
      <c r="G238" s="19"/>
      <c r="H238" s="19"/>
    </row>
    <row r="239" spans="1:8" ht="14.25" customHeight="1" x14ac:dyDescent="0.3">
      <c r="A239" s="304">
        <v>44271</v>
      </c>
      <c r="B239" s="305">
        <v>14910.4501953125</v>
      </c>
      <c r="C239" s="305">
        <v>304.20001220703102</v>
      </c>
      <c r="D239" s="19"/>
      <c r="E239" s="19">
        <f t="shared" si="6"/>
        <v>-1.2759841044576174E-3</v>
      </c>
      <c r="F239" s="19">
        <f t="shared" si="7"/>
        <v>-1.6429841567453532E-4</v>
      </c>
      <c r="G239" s="19"/>
      <c r="H239" s="19"/>
    </row>
    <row r="240" spans="1:8" ht="14.25" customHeight="1" x14ac:dyDescent="0.3">
      <c r="A240" s="304">
        <v>44272</v>
      </c>
      <c r="B240" s="305">
        <v>14721.2998046875</v>
      </c>
      <c r="C240" s="305">
        <v>291.14999389648398</v>
      </c>
      <c r="D240" s="19"/>
      <c r="E240" s="19">
        <f t="shared" si="6"/>
        <v>-1.2685759862868828E-2</v>
      </c>
      <c r="F240" s="19">
        <f t="shared" si="7"/>
        <v>-4.2899466755003036E-2</v>
      </c>
      <c r="G240" s="19"/>
      <c r="H240" s="19"/>
    </row>
    <row r="241" spans="1:8" ht="14.25" customHeight="1" x14ac:dyDescent="0.3">
      <c r="A241" s="304">
        <v>44273</v>
      </c>
      <c r="B241" s="305">
        <v>14557.849609375</v>
      </c>
      <c r="C241" s="305">
        <v>288.20001220703102</v>
      </c>
      <c r="D241" s="19"/>
      <c r="E241" s="19">
        <f t="shared" si="6"/>
        <v>-1.1102973071742945E-2</v>
      </c>
      <c r="F241" s="19">
        <f t="shared" si="7"/>
        <v>-1.0132171565498286E-2</v>
      </c>
      <c r="G241" s="19"/>
      <c r="H241" s="19"/>
    </row>
    <row r="242" spans="1:8" ht="14.25" customHeight="1" x14ac:dyDescent="0.3">
      <c r="A242" s="304">
        <v>44274</v>
      </c>
      <c r="B242" s="305">
        <v>14744</v>
      </c>
      <c r="C242" s="305">
        <v>287.39999389648398</v>
      </c>
      <c r="D242" s="19"/>
      <c r="E242" s="19">
        <f t="shared" si="6"/>
        <v>1.2786942826028538E-2</v>
      </c>
      <c r="F242" s="19">
        <f t="shared" si="7"/>
        <v>-2.7759135206848824E-3</v>
      </c>
      <c r="G242" s="19"/>
      <c r="H242" s="19"/>
    </row>
    <row r="243" spans="1:8" ht="14.25" customHeight="1" x14ac:dyDescent="0.3">
      <c r="A243" s="304">
        <v>44277</v>
      </c>
      <c r="B243" s="305">
        <v>14736.400390625</v>
      </c>
      <c r="C243" s="305">
        <v>292.29998779296898</v>
      </c>
      <c r="D243" s="19"/>
      <c r="E243" s="19">
        <f t="shared" si="6"/>
        <v>-5.1543742369777532E-4</v>
      </c>
      <c r="F243" s="19">
        <f t="shared" si="7"/>
        <v>1.7049387614983334E-2</v>
      </c>
      <c r="G243" s="19"/>
      <c r="H243" s="19"/>
    </row>
    <row r="244" spans="1:8" ht="14.25" customHeight="1" x14ac:dyDescent="0.3">
      <c r="A244" s="304">
        <v>44278</v>
      </c>
      <c r="B244" s="305">
        <v>14814.75</v>
      </c>
      <c r="C244" s="305">
        <v>297.95001220703102</v>
      </c>
      <c r="D244" s="19"/>
      <c r="E244" s="19">
        <f t="shared" si="6"/>
        <v>5.3167399974314239E-3</v>
      </c>
      <c r="F244" s="19">
        <f t="shared" si="7"/>
        <v>1.9329540369546167E-2</v>
      </c>
      <c r="G244" s="19"/>
      <c r="H244" s="19"/>
    </row>
    <row r="245" spans="1:8" ht="14.25" customHeight="1" x14ac:dyDescent="0.3">
      <c r="A245" s="304">
        <v>44279</v>
      </c>
      <c r="B245" s="305">
        <v>14549.400390625</v>
      </c>
      <c r="C245" s="305">
        <v>284.14999389648398</v>
      </c>
      <c r="D245" s="19"/>
      <c r="E245" s="19">
        <f t="shared" si="6"/>
        <v>-1.7911176994211849E-2</v>
      </c>
      <c r="F245" s="19">
        <f t="shared" si="7"/>
        <v>-4.631655561389298E-2</v>
      </c>
      <c r="G245" s="19"/>
      <c r="H245" s="19"/>
    </row>
    <row r="246" spans="1:8" ht="14.25" customHeight="1" x14ac:dyDescent="0.3">
      <c r="A246" s="304">
        <v>44280</v>
      </c>
      <c r="B246" s="305">
        <v>14324.900390625</v>
      </c>
      <c r="C246" s="305">
        <v>277</v>
      </c>
      <c r="D246" s="19"/>
      <c r="E246" s="19">
        <f t="shared" si="6"/>
        <v>-1.5430189146808966E-2</v>
      </c>
      <c r="F246" s="19">
        <f t="shared" si="7"/>
        <v>-2.5162745205226801E-2</v>
      </c>
      <c r="G246" s="19"/>
      <c r="H246" s="19"/>
    </row>
    <row r="247" spans="1:8" ht="14.25" customHeight="1" x14ac:dyDescent="0.3">
      <c r="A247" s="304">
        <v>44281</v>
      </c>
      <c r="B247" s="305">
        <v>14507.2998046875</v>
      </c>
      <c r="C247" s="305">
        <v>279.20001220703102</v>
      </c>
      <c r="D247" s="19"/>
      <c r="E247" s="19">
        <f t="shared" si="6"/>
        <v>1.2733031929623202E-2</v>
      </c>
      <c r="F247" s="19">
        <f t="shared" si="7"/>
        <v>7.9422823358520668E-3</v>
      </c>
      <c r="G247" s="19"/>
      <c r="H247" s="19"/>
    </row>
    <row r="248" spans="1:8" ht="14.25" customHeight="1" x14ac:dyDescent="0.3">
      <c r="A248" s="304">
        <v>44285</v>
      </c>
      <c r="B248" s="305">
        <v>14845.099609375</v>
      </c>
      <c r="C248" s="305">
        <v>279.29998779296898</v>
      </c>
      <c r="D248" s="19"/>
      <c r="E248" s="19">
        <f t="shared" si="6"/>
        <v>2.3284815867550514E-2</v>
      </c>
      <c r="F248" s="19">
        <f t="shared" si="7"/>
        <v>3.5807873054038888E-4</v>
      </c>
      <c r="G248" s="19"/>
      <c r="H248" s="19"/>
    </row>
    <row r="249" spans="1:8" ht="14.25" customHeight="1" x14ac:dyDescent="0.3">
      <c r="A249" s="304">
        <v>44286</v>
      </c>
      <c r="B249" s="305">
        <v>14690.7001953125</v>
      </c>
      <c r="C249" s="305">
        <v>287.04998779296898</v>
      </c>
      <c r="D249" s="19"/>
      <c r="E249" s="19">
        <f t="shared" si="6"/>
        <v>-1.0400699094332345E-2</v>
      </c>
      <c r="F249" s="19">
        <f t="shared" si="7"/>
        <v>2.7747942494522001E-2</v>
      </c>
      <c r="G249" s="19"/>
      <c r="H249" s="19"/>
    </row>
    <row r="250" spans="1:8" ht="14.25" customHeight="1" x14ac:dyDescent="0.3">
      <c r="A250" s="304">
        <v>44287</v>
      </c>
      <c r="B250" s="305">
        <v>14867.349609375</v>
      </c>
      <c r="C250" s="305">
        <v>291.79998779296898</v>
      </c>
      <c r="D250" s="19"/>
      <c r="E250" s="19">
        <f t="shared" si="6"/>
        <v>1.2024574166918552E-2</v>
      </c>
      <c r="F250" s="19">
        <f t="shared" si="7"/>
        <v>1.6547640487711412E-2</v>
      </c>
      <c r="G250" s="19"/>
      <c r="H250" s="19"/>
    </row>
    <row r="251" spans="1:8" ht="14.25" customHeight="1" x14ac:dyDescent="0.3">
      <c r="A251" s="304">
        <v>44291</v>
      </c>
      <c r="B251" s="305">
        <v>14637.7998046875</v>
      </c>
      <c r="C251" s="305">
        <v>276.75</v>
      </c>
      <c r="D251" s="19"/>
      <c r="E251" s="19">
        <f t="shared" si="6"/>
        <v>-1.5439860548026079E-2</v>
      </c>
      <c r="F251" s="19">
        <f t="shared" si="7"/>
        <v>-5.1576382531060588E-2</v>
      </c>
      <c r="G251" s="19"/>
      <c r="H251" s="19"/>
    </row>
    <row r="252" spans="1:8" ht="14.25" customHeight="1" x14ac:dyDescent="0.3">
      <c r="A252" s="304">
        <v>44292</v>
      </c>
      <c r="B252" s="305">
        <v>14683.5</v>
      </c>
      <c r="C252" s="305">
        <v>278.79998779296898</v>
      </c>
      <c r="D252" s="19"/>
      <c r="E252" s="19">
        <f t="shared" si="6"/>
        <v>3.1220672452334885E-3</v>
      </c>
      <c r="F252" s="19">
        <f t="shared" si="7"/>
        <v>7.4073632988942272E-3</v>
      </c>
      <c r="G252" s="19"/>
      <c r="H252" s="19"/>
    </row>
    <row r="253" spans="1:8" ht="14.25" customHeight="1" x14ac:dyDescent="0.3">
      <c r="A253" s="304">
        <v>44293</v>
      </c>
      <c r="B253" s="305">
        <v>14819.0498046875</v>
      </c>
      <c r="C253" s="305">
        <v>283.10000610351602</v>
      </c>
      <c r="D253" s="19"/>
      <c r="E253" s="19">
        <f t="shared" si="6"/>
        <v>9.231436965811966E-3</v>
      </c>
      <c r="F253" s="19">
        <f t="shared" si="7"/>
        <v>1.5423308819296466E-2</v>
      </c>
      <c r="G253" s="19"/>
      <c r="H253" s="19"/>
    </row>
    <row r="254" spans="1:8" ht="14.25" customHeight="1" x14ac:dyDescent="0.3">
      <c r="A254" s="304">
        <v>44294</v>
      </c>
      <c r="B254" s="305">
        <v>14873.7998046875</v>
      </c>
      <c r="C254" s="305">
        <v>280.45001220703102</v>
      </c>
      <c r="D254" s="19"/>
      <c r="E254" s="19">
        <f t="shared" si="6"/>
        <v>3.6945688638337464E-3</v>
      </c>
      <c r="F254" s="19">
        <f t="shared" si="7"/>
        <v>-9.3606281856314245E-3</v>
      </c>
      <c r="G254" s="19"/>
      <c r="H254" s="19"/>
    </row>
    <row r="255" spans="1:8" ht="14.25" customHeight="1" x14ac:dyDescent="0.3">
      <c r="A255" s="304">
        <v>44295</v>
      </c>
      <c r="B255" s="305">
        <v>14834.849609375</v>
      </c>
      <c r="C255" s="305">
        <v>279.54998779296898</v>
      </c>
      <c r="D255" s="19"/>
      <c r="E255" s="19">
        <f t="shared" si="6"/>
        <v>-2.6187118170183242E-3</v>
      </c>
      <c r="F255" s="19">
        <f t="shared" si="7"/>
        <v>-3.2092151003282475E-3</v>
      </c>
      <c r="G255" s="19"/>
      <c r="H255" s="19"/>
    </row>
    <row r="256" spans="1:8" ht="14.25" customHeight="1" x14ac:dyDescent="0.3">
      <c r="A256" s="304">
        <v>44298</v>
      </c>
      <c r="B256" s="305">
        <v>14310.7998046875</v>
      </c>
      <c r="C256" s="305">
        <v>246.60000610351599</v>
      </c>
      <c r="D256" s="19"/>
      <c r="E256" s="19">
        <f t="shared" si="6"/>
        <v>-3.5325589304007678E-2</v>
      </c>
      <c r="F256" s="19">
        <f t="shared" si="7"/>
        <v>-0.11786794179313398</v>
      </c>
      <c r="G256" s="19"/>
      <c r="H256" s="19"/>
    </row>
    <row r="257" spans="1:8" ht="14.25" customHeight="1" x14ac:dyDescent="0.3">
      <c r="A257" s="304">
        <v>44299</v>
      </c>
      <c r="B257" s="305">
        <v>14504.7998046875</v>
      </c>
      <c r="C257" s="305">
        <v>255.69999694824199</v>
      </c>
      <c r="D257" s="19"/>
      <c r="E257" s="19">
        <f t="shared" si="6"/>
        <v>1.3556195506030022E-2</v>
      </c>
      <c r="F257" s="19">
        <f t="shared" si="7"/>
        <v>3.6901827329663829E-2</v>
      </c>
      <c r="G257" s="19"/>
      <c r="H257" s="19"/>
    </row>
    <row r="258" spans="1:8" ht="14.25" customHeight="1" x14ac:dyDescent="0.3">
      <c r="A258" s="304">
        <v>44301</v>
      </c>
      <c r="B258" s="305">
        <v>14581.4501953125</v>
      </c>
      <c r="C258" s="305">
        <v>248</v>
      </c>
      <c r="D258" s="19"/>
      <c r="E258" s="19">
        <f t="shared" si="6"/>
        <v>5.2844845607747703E-3</v>
      </c>
      <c r="F258" s="19">
        <f t="shared" si="7"/>
        <v>-3.0113402581700453E-2</v>
      </c>
      <c r="G258" s="19"/>
      <c r="H258" s="19"/>
    </row>
    <row r="259" spans="1:8" ht="14.25" customHeight="1" x14ac:dyDescent="0.3">
      <c r="A259" s="304">
        <v>44302</v>
      </c>
      <c r="B259" s="305">
        <v>14617.849609375</v>
      </c>
      <c r="C259" s="305">
        <v>252.44999694824199</v>
      </c>
      <c r="D259" s="19"/>
      <c r="E259" s="19">
        <f t="shared" ref="E259:E322" si="8">(B259-B258)/B258</f>
        <v>2.4962821650072447E-3</v>
      </c>
      <c r="F259" s="19">
        <f t="shared" ref="F259:F322" si="9">(C259-C258)/C258</f>
        <v>1.7943536081620921E-2</v>
      </c>
      <c r="G259" s="19"/>
      <c r="H259" s="19"/>
    </row>
    <row r="260" spans="1:8" ht="14.25" customHeight="1" x14ac:dyDescent="0.3">
      <c r="A260" s="304">
        <v>44305</v>
      </c>
      <c r="B260" s="305">
        <v>14359.4501953125</v>
      </c>
      <c r="C260" s="305">
        <v>236.80000305175801</v>
      </c>
      <c r="D260" s="19"/>
      <c r="E260" s="19">
        <f t="shared" si="8"/>
        <v>-1.7676978554819603E-2</v>
      </c>
      <c r="F260" s="19">
        <f t="shared" si="9"/>
        <v>-6.1992450329451117E-2</v>
      </c>
      <c r="G260" s="19"/>
      <c r="H260" s="19"/>
    </row>
    <row r="261" spans="1:8" ht="14.25" customHeight="1" x14ac:dyDescent="0.3">
      <c r="A261" s="304">
        <v>44306</v>
      </c>
      <c r="B261" s="305">
        <v>14296.400390625</v>
      </c>
      <c r="C261" s="305">
        <v>234.39999389648401</v>
      </c>
      <c r="D261" s="19"/>
      <c r="E261" s="19">
        <f t="shared" si="8"/>
        <v>-4.390823034999069E-3</v>
      </c>
      <c r="F261" s="19">
        <f t="shared" si="9"/>
        <v>-1.0135173666992858E-2</v>
      </c>
      <c r="G261" s="19"/>
      <c r="H261" s="19"/>
    </row>
    <row r="262" spans="1:8" ht="14.25" customHeight="1" x14ac:dyDescent="0.3">
      <c r="A262" s="304">
        <v>44308</v>
      </c>
      <c r="B262" s="305">
        <v>14406.150390625</v>
      </c>
      <c r="C262" s="305">
        <v>247</v>
      </c>
      <c r="D262" s="19"/>
      <c r="E262" s="19">
        <f t="shared" si="8"/>
        <v>7.6767575754222439E-3</v>
      </c>
      <c r="F262" s="19">
        <f t="shared" si="9"/>
        <v>5.3754293650197037E-2</v>
      </c>
      <c r="G262" s="19"/>
      <c r="H262" s="19"/>
    </row>
    <row r="263" spans="1:8" ht="14.25" customHeight="1" x14ac:dyDescent="0.3">
      <c r="A263" s="304">
        <v>44309</v>
      </c>
      <c r="B263" s="305">
        <v>14341.349609375</v>
      </c>
      <c r="C263" s="305">
        <v>241.94999694824199</v>
      </c>
      <c r="D263" s="19"/>
      <c r="E263" s="19">
        <f t="shared" si="8"/>
        <v>-4.4981330537941623E-3</v>
      </c>
      <c r="F263" s="19">
        <f t="shared" si="9"/>
        <v>-2.0445356484850248E-2</v>
      </c>
      <c r="G263" s="19"/>
      <c r="H263" s="19"/>
    </row>
    <row r="264" spans="1:8" ht="14.25" customHeight="1" x14ac:dyDescent="0.3">
      <c r="A264" s="304">
        <v>44312</v>
      </c>
      <c r="B264" s="305">
        <v>14485</v>
      </c>
      <c r="C264" s="305">
        <v>246.80000305175801</v>
      </c>
      <c r="D264" s="19"/>
      <c r="E264" s="19">
        <f t="shared" si="8"/>
        <v>1.001651828716979E-2</v>
      </c>
      <c r="F264" s="19">
        <f t="shared" si="9"/>
        <v>2.0045489418020278E-2</v>
      </c>
      <c r="G264" s="19"/>
      <c r="H264" s="19"/>
    </row>
    <row r="265" spans="1:8" ht="14.25" customHeight="1" x14ac:dyDescent="0.3">
      <c r="A265" s="304">
        <v>44313</v>
      </c>
      <c r="B265" s="305">
        <v>14653.0498046875</v>
      </c>
      <c r="C265" s="305">
        <v>253.69999694824199</v>
      </c>
      <c r="D265" s="19"/>
      <c r="E265" s="19">
        <f t="shared" si="8"/>
        <v>1.1601643402657923E-2</v>
      </c>
      <c r="F265" s="19">
        <f t="shared" si="9"/>
        <v>2.7957835539560084E-2</v>
      </c>
      <c r="G265" s="19"/>
      <c r="H265" s="19"/>
    </row>
    <row r="266" spans="1:8" ht="14.25" customHeight="1" x14ac:dyDescent="0.3">
      <c r="A266" s="304">
        <v>44314</v>
      </c>
      <c r="B266" s="305">
        <v>14864.5498046875</v>
      </c>
      <c r="C266" s="305">
        <v>250.89999389648401</v>
      </c>
      <c r="D266" s="19"/>
      <c r="E266" s="19">
        <f t="shared" si="8"/>
        <v>1.4433855260107101E-2</v>
      </c>
      <c r="F266" s="19">
        <f t="shared" si="9"/>
        <v>-1.1036669631214932E-2</v>
      </c>
      <c r="G266" s="19"/>
      <c r="H266" s="19"/>
    </row>
    <row r="267" spans="1:8" ht="14.25" customHeight="1" x14ac:dyDescent="0.3">
      <c r="A267" s="304">
        <v>44315</v>
      </c>
      <c r="B267" s="305">
        <v>14894.900390625</v>
      </c>
      <c r="C267" s="305">
        <v>249.30000305175801</v>
      </c>
      <c r="D267" s="19"/>
      <c r="E267" s="19">
        <f t="shared" si="8"/>
        <v>2.0418099664161384E-3</v>
      </c>
      <c r="F267" s="19">
        <f t="shared" si="9"/>
        <v>-6.3770063118698851E-3</v>
      </c>
      <c r="G267" s="19"/>
      <c r="H267" s="19"/>
    </row>
    <row r="268" spans="1:8" ht="14.25" customHeight="1" x14ac:dyDescent="0.3">
      <c r="A268" s="304">
        <v>44316</v>
      </c>
      <c r="B268" s="305">
        <v>14631.099609375</v>
      </c>
      <c r="C268" s="305">
        <v>247.30000305175801</v>
      </c>
      <c r="D268" s="19"/>
      <c r="E268" s="19">
        <f t="shared" si="8"/>
        <v>-1.7710812045177479E-2</v>
      </c>
      <c r="F268" s="19">
        <f t="shared" si="9"/>
        <v>-8.0224627979036695E-3</v>
      </c>
      <c r="G268" s="19"/>
      <c r="H268" s="19"/>
    </row>
    <row r="269" spans="1:8" ht="14.25" customHeight="1" x14ac:dyDescent="0.3">
      <c r="A269" s="304">
        <v>44319</v>
      </c>
      <c r="B269" s="305">
        <v>14634.150390625</v>
      </c>
      <c r="C269" s="305">
        <v>247.85000610351599</v>
      </c>
      <c r="D269" s="19"/>
      <c r="E269" s="19">
        <f t="shared" si="8"/>
        <v>2.0851346320171222E-4</v>
      </c>
      <c r="F269" s="19">
        <f t="shared" si="9"/>
        <v>2.2240317224859539E-3</v>
      </c>
      <c r="G269" s="19"/>
      <c r="H269" s="19"/>
    </row>
    <row r="270" spans="1:8" ht="14.25" customHeight="1" x14ac:dyDescent="0.3">
      <c r="A270" s="304">
        <v>44320</v>
      </c>
      <c r="B270" s="305">
        <v>14496.5</v>
      </c>
      <c r="C270" s="305">
        <v>245.89999389648401</v>
      </c>
      <c r="D270" s="19"/>
      <c r="E270" s="19">
        <f t="shared" si="8"/>
        <v>-9.4061074234403283E-3</v>
      </c>
      <c r="F270" s="19">
        <f t="shared" si="9"/>
        <v>-7.8677109502170231E-3</v>
      </c>
      <c r="G270" s="19"/>
      <c r="H270" s="19"/>
    </row>
    <row r="271" spans="1:8" ht="14.25" customHeight="1" x14ac:dyDescent="0.3">
      <c r="A271" s="304">
        <v>44321</v>
      </c>
      <c r="B271" s="305">
        <v>14617.849609375</v>
      </c>
      <c r="C271" s="305">
        <v>248.44999694824199</v>
      </c>
      <c r="D271" s="19"/>
      <c r="E271" s="19">
        <f t="shared" si="8"/>
        <v>8.3709591539337085E-3</v>
      </c>
      <c r="F271" s="19">
        <f t="shared" si="9"/>
        <v>1.0370081801756581E-2</v>
      </c>
      <c r="G271" s="19"/>
      <c r="H271" s="19"/>
    </row>
    <row r="272" spans="1:8" ht="14.25" customHeight="1" x14ac:dyDescent="0.3">
      <c r="A272" s="304">
        <v>44322</v>
      </c>
      <c r="B272" s="305">
        <v>14724.7998046875</v>
      </c>
      <c r="C272" s="305">
        <v>250.5</v>
      </c>
      <c r="D272" s="19"/>
      <c r="E272" s="19">
        <f t="shared" si="8"/>
        <v>7.3164109749705355E-3</v>
      </c>
      <c r="F272" s="19">
        <f t="shared" si="9"/>
        <v>8.2511695590202633E-3</v>
      </c>
      <c r="G272" s="19"/>
      <c r="H272" s="19"/>
    </row>
    <row r="273" spans="1:8" ht="14.25" customHeight="1" x14ac:dyDescent="0.3">
      <c r="A273" s="304">
        <v>44323</v>
      </c>
      <c r="B273" s="305">
        <v>14823.150390625</v>
      </c>
      <c r="C273" s="305">
        <v>257.95001220703102</v>
      </c>
      <c r="D273" s="19"/>
      <c r="E273" s="19">
        <f t="shared" si="8"/>
        <v>6.6792477481555316E-3</v>
      </c>
      <c r="F273" s="19">
        <f t="shared" si="9"/>
        <v>2.9740567692738612E-2</v>
      </c>
      <c r="G273" s="19"/>
      <c r="H273" s="19"/>
    </row>
    <row r="274" spans="1:8" ht="14.25" customHeight="1" x14ac:dyDescent="0.3">
      <c r="A274" s="304">
        <v>44326</v>
      </c>
      <c r="B274" s="305">
        <v>14942.349609375</v>
      </c>
      <c r="C274" s="305">
        <v>266.10000610351602</v>
      </c>
      <c r="D274" s="19"/>
      <c r="E274" s="19">
        <f t="shared" si="8"/>
        <v>8.041422748121637E-3</v>
      </c>
      <c r="F274" s="19">
        <f t="shared" si="9"/>
        <v>3.1595245244430553E-2</v>
      </c>
      <c r="G274" s="19"/>
      <c r="H274" s="19"/>
    </row>
    <row r="275" spans="1:8" ht="14.25" customHeight="1" x14ac:dyDescent="0.3">
      <c r="A275" s="304">
        <v>44327</v>
      </c>
      <c r="B275" s="305">
        <v>14850.75</v>
      </c>
      <c r="C275" s="305">
        <v>265.5</v>
      </c>
      <c r="D275" s="19"/>
      <c r="E275" s="19">
        <f t="shared" si="8"/>
        <v>-6.1302011912189071E-3</v>
      </c>
      <c r="F275" s="19">
        <f t="shared" si="9"/>
        <v>-2.2548143170001036E-3</v>
      </c>
      <c r="G275" s="19"/>
      <c r="H275" s="19"/>
    </row>
    <row r="276" spans="1:8" ht="14.25" customHeight="1" x14ac:dyDescent="0.3">
      <c r="A276" s="304">
        <v>44328</v>
      </c>
      <c r="B276" s="305">
        <v>14696.5</v>
      </c>
      <c r="C276" s="305">
        <v>265.29998779296898</v>
      </c>
      <c r="D276" s="19"/>
      <c r="E276" s="19">
        <f t="shared" si="8"/>
        <v>-1.0386680807366631E-2</v>
      </c>
      <c r="F276" s="19">
        <f t="shared" si="9"/>
        <v>-7.5334164606788185E-4</v>
      </c>
      <c r="G276" s="19"/>
      <c r="H276" s="19"/>
    </row>
    <row r="277" spans="1:8" ht="14.25" customHeight="1" x14ac:dyDescent="0.3">
      <c r="A277" s="304">
        <v>44330</v>
      </c>
      <c r="B277" s="305">
        <v>14677.7998046875</v>
      </c>
      <c r="C277" s="305">
        <v>250.55000305175801</v>
      </c>
      <c r="D277" s="19"/>
      <c r="E277" s="19">
        <f t="shared" si="8"/>
        <v>-1.2724250884564353E-3</v>
      </c>
      <c r="F277" s="19">
        <f t="shared" si="9"/>
        <v>-5.5597381906859901E-2</v>
      </c>
      <c r="G277" s="19"/>
      <c r="H277" s="19"/>
    </row>
    <row r="278" spans="1:8" ht="14.25" customHeight="1" x14ac:dyDescent="0.3">
      <c r="A278" s="304">
        <v>44333</v>
      </c>
      <c r="B278" s="305">
        <v>14923.150390625</v>
      </c>
      <c r="C278" s="305">
        <v>259.25</v>
      </c>
      <c r="D278" s="19"/>
      <c r="E278" s="19">
        <f t="shared" si="8"/>
        <v>1.6715760481972569E-2</v>
      </c>
      <c r="F278" s="19">
        <f t="shared" si="9"/>
        <v>3.4723595459085925E-2</v>
      </c>
      <c r="G278" s="19"/>
      <c r="H278" s="19"/>
    </row>
    <row r="279" spans="1:8" ht="14.25" customHeight="1" x14ac:dyDescent="0.3">
      <c r="A279" s="304">
        <v>44334</v>
      </c>
      <c r="B279" s="305">
        <v>15108.099609375</v>
      </c>
      <c r="C279" s="305">
        <v>261.89999389648398</v>
      </c>
      <c r="D279" s="19"/>
      <c r="E279" s="19">
        <f t="shared" si="8"/>
        <v>1.239344333527514E-2</v>
      </c>
      <c r="F279" s="19">
        <f t="shared" si="9"/>
        <v>1.0221770092512929E-2</v>
      </c>
      <c r="G279" s="19"/>
      <c r="H279" s="19"/>
    </row>
    <row r="280" spans="1:8" ht="14.25" customHeight="1" x14ac:dyDescent="0.3">
      <c r="A280" s="304">
        <v>44335</v>
      </c>
      <c r="B280" s="305">
        <v>15030.150390625</v>
      </c>
      <c r="C280" s="305">
        <v>265.04998779296898</v>
      </c>
      <c r="D280" s="19"/>
      <c r="E280" s="19">
        <f t="shared" si="8"/>
        <v>-5.1594324081388979E-3</v>
      </c>
      <c r="F280" s="19">
        <f t="shared" si="9"/>
        <v>1.2027468384478221E-2</v>
      </c>
      <c r="G280" s="19"/>
      <c r="H280" s="19"/>
    </row>
    <row r="281" spans="1:8" ht="14.25" customHeight="1" x14ac:dyDescent="0.3">
      <c r="A281" s="304">
        <v>44336</v>
      </c>
      <c r="B281" s="305">
        <v>14906.0498046875</v>
      </c>
      <c r="C281" s="305">
        <v>267.35000610351602</v>
      </c>
      <c r="D281" s="19"/>
      <c r="E281" s="19">
        <f t="shared" si="8"/>
        <v>-8.2567760609306533E-3</v>
      </c>
      <c r="F281" s="19">
        <f t="shared" si="9"/>
        <v>8.677677481515652E-3</v>
      </c>
      <c r="G281" s="19"/>
      <c r="H281" s="19"/>
    </row>
    <row r="282" spans="1:8" ht="14.25" customHeight="1" x14ac:dyDescent="0.3">
      <c r="A282" s="304">
        <v>44337</v>
      </c>
      <c r="B282" s="305">
        <v>15175.2998046875</v>
      </c>
      <c r="C282" s="305">
        <v>268.39999389648398</v>
      </c>
      <c r="D282" s="19"/>
      <c r="E282" s="19">
        <f t="shared" si="8"/>
        <v>1.8063135674974671E-2</v>
      </c>
      <c r="F282" s="19">
        <f t="shared" si="9"/>
        <v>3.9273901963608202E-3</v>
      </c>
      <c r="G282" s="19"/>
      <c r="H282" s="19"/>
    </row>
    <row r="283" spans="1:8" ht="14.25" customHeight="1" x14ac:dyDescent="0.3">
      <c r="A283" s="304">
        <v>44340</v>
      </c>
      <c r="B283" s="305">
        <v>15197.7001953125</v>
      </c>
      <c r="C283" s="305">
        <v>277.04998779296898</v>
      </c>
      <c r="D283" s="19"/>
      <c r="E283" s="19">
        <f t="shared" si="8"/>
        <v>1.4761086049898495E-3</v>
      </c>
      <c r="F283" s="19">
        <f t="shared" si="9"/>
        <v>3.2227995876263377E-2</v>
      </c>
      <c r="G283" s="19"/>
      <c r="H283" s="19"/>
    </row>
    <row r="284" spans="1:8" ht="14.25" customHeight="1" x14ac:dyDescent="0.3">
      <c r="A284" s="304">
        <v>44341</v>
      </c>
      <c r="B284" s="305">
        <v>15208.4501953125</v>
      </c>
      <c r="C284" s="305">
        <v>279</v>
      </c>
      <c r="D284" s="19"/>
      <c r="E284" s="19">
        <f t="shared" si="8"/>
        <v>7.0734386531165255E-4</v>
      </c>
      <c r="F284" s="19">
        <f t="shared" si="9"/>
        <v>7.0384850855442285E-3</v>
      </c>
      <c r="G284" s="19"/>
      <c r="H284" s="19"/>
    </row>
    <row r="285" spans="1:8" ht="14.25" customHeight="1" x14ac:dyDescent="0.3">
      <c r="A285" s="304">
        <v>44342</v>
      </c>
      <c r="B285" s="305">
        <v>15301.4501953125</v>
      </c>
      <c r="C285" s="305">
        <v>291.20001220703102</v>
      </c>
      <c r="D285" s="19"/>
      <c r="E285" s="19">
        <f t="shared" si="8"/>
        <v>6.1150215048647203E-3</v>
      </c>
      <c r="F285" s="19">
        <f t="shared" si="9"/>
        <v>4.3727642319107606E-2</v>
      </c>
      <c r="G285" s="19"/>
      <c r="H285" s="19"/>
    </row>
    <row r="286" spans="1:8" ht="14.25" customHeight="1" x14ac:dyDescent="0.3">
      <c r="A286" s="304">
        <v>44343</v>
      </c>
      <c r="B286" s="305">
        <v>15337.849609375</v>
      </c>
      <c r="C286" s="305">
        <v>283.39999389648398</v>
      </c>
      <c r="D286" s="19"/>
      <c r="E286" s="19">
        <f t="shared" si="8"/>
        <v>2.3788211965458492E-3</v>
      </c>
      <c r="F286" s="19">
        <f t="shared" si="9"/>
        <v>-2.6785776042487108E-2</v>
      </c>
      <c r="G286" s="19"/>
      <c r="H286" s="19"/>
    </row>
    <row r="287" spans="1:8" ht="14.25" customHeight="1" x14ac:dyDescent="0.3">
      <c r="A287" s="304">
        <v>44344</v>
      </c>
      <c r="B287" s="305">
        <v>15435.650390625</v>
      </c>
      <c r="C287" s="305">
        <v>286.29998779296898</v>
      </c>
      <c r="D287" s="19"/>
      <c r="E287" s="19">
        <f t="shared" si="8"/>
        <v>6.3764337075140533E-3</v>
      </c>
      <c r="F287" s="19">
        <f t="shared" si="9"/>
        <v>1.0232865063307891E-2</v>
      </c>
      <c r="G287" s="19"/>
      <c r="H287" s="19"/>
    </row>
    <row r="288" spans="1:8" ht="14.25" customHeight="1" x14ac:dyDescent="0.3">
      <c r="A288" s="304">
        <v>44347</v>
      </c>
      <c r="B288" s="305">
        <v>15582.7998046875</v>
      </c>
      <c r="C288" s="305">
        <v>288.45001220703102</v>
      </c>
      <c r="D288" s="19"/>
      <c r="E288" s="19">
        <f t="shared" si="8"/>
        <v>9.5330880357249285E-3</v>
      </c>
      <c r="F288" s="19">
        <f t="shared" si="9"/>
        <v>7.5096909037131506E-3</v>
      </c>
      <c r="G288" s="19"/>
      <c r="H288" s="19"/>
    </row>
    <row r="289" spans="1:8" ht="14.25" customHeight="1" x14ac:dyDescent="0.3">
      <c r="A289" s="304">
        <v>44348</v>
      </c>
      <c r="B289" s="305">
        <v>15574.849609375</v>
      </c>
      <c r="C289" s="305">
        <v>287.29998779296898</v>
      </c>
      <c r="D289" s="19"/>
      <c r="E289" s="19">
        <f t="shared" si="8"/>
        <v>-5.1019042868717874E-4</v>
      </c>
      <c r="F289" s="19">
        <f t="shared" si="9"/>
        <v>-3.986910609789231E-3</v>
      </c>
      <c r="G289" s="19"/>
      <c r="H289" s="19"/>
    </row>
    <row r="290" spans="1:8" ht="14.25" customHeight="1" x14ac:dyDescent="0.3">
      <c r="A290" s="304">
        <v>44349</v>
      </c>
      <c r="B290" s="305">
        <v>15576.2001953125</v>
      </c>
      <c r="C290" s="305">
        <v>290.89999389648398</v>
      </c>
      <c r="D290" s="19"/>
      <c r="E290" s="19">
        <f t="shared" si="8"/>
        <v>8.6715825280716621E-5</v>
      </c>
      <c r="F290" s="19">
        <f t="shared" si="9"/>
        <v>1.2530477746171007E-2</v>
      </c>
      <c r="G290" s="19"/>
      <c r="H290" s="19"/>
    </row>
    <row r="291" spans="1:8" ht="14.25" customHeight="1" x14ac:dyDescent="0.3">
      <c r="A291" s="304">
        <v>44350</v>
      </c>
      <c r="B291" s="305">
        <v>15690.349609375</v>
      </c>
      <c r="C291" s="305">
        <v>297.64999389648398</v>
      </c>
      <c r="D291" s="19"/>
      <c r="E291" s="19">
        <f t="shared" si="8"/>
        <v>7.3284506253875779E-3</v>
      </c>
      <c r="F291" s="19">
        <f t="shared" si="9"/>
        <v>2.3203850607167665E-2</v>
      </c>
      <c r="G291" s="19"/>
      <c r="H291" s="19"/>
    </row>
    <row r="292" spans="1:8" ht="14.25" customHeight="1" x14ac:dyDescent="0.3">
      <c r="A292" s="304">
        <v>44351</v>
      </c>
      <c r="B292" s="305">
        <v>15670.25</v>
      </c>
      <c r="C292" s="305">
        <v>296.95001220703102</v>
      </c>
      <c r="D292" s="19"/>
      <c r="E292" s="19">
        <f t="shared" si="8"/>
        <v>-1.2810173052479636E-3</v>
      </c>
      <c r="F292" s="19">
        <f t="shared" si="9"/>
        <v>-2.3516939486193725E-3</v>
      </c>
      <c r="G292" s="19"/>
      <c r="H292" s="19"/>
    </row>
    <row r="293" spans="1:8" ht="14.25" customHeight="1" x14ac:dyDescent="0.3">
      <c r="A293" s="304">
        <v>44354</v>
      </c>
      <c r="B293" s="305">
        <v>15751.650390625</v>
      </c>
      <c r="C293" s="305">
        <v>298.64999389648398</v>
      </c>
      <c r="D293" s="19"/>
      <c r="E293" s="19">
        <f t="shared" si="8"/>
        <v>5.1945814919991708E-3</v>
      </c>
      <c r="F293" s="19">
        <f t="shared" si="9"/>
        <v>5.7248076092609882E-3</v>
      </c>
      <c r="G293" s="19"/>
      <c r="H293" s="19"/>
    </row>
    <row r="294" spans="1:8" ht="14.25" customHeight="1" x14ac:dyDescent="0.3">
      <c r="A294" s="304">
        <v>44355</v>
      </c>
      <c r="B294" s="305">
        <v>15740.099609375</v>
      </c>
      <c r="C294" s="305">
        <v>304.45001220703102</v>
      </c>
      <c r="D294" s="19"/>
      <c r="E294" s="19">
        <f t="shared" si="8"/>
        <v>-7.3330609577741419E-4</v>
      </c>
      <c r="F294" s="19">
        <f t="shared" si="9"/>
        <v>1.9420788311006656E-2</v>
      </c>
      <c r="G294" s="19"/>
      <c r="H294" s="19"/>
    </row>
    <row r="295" spans="1:8" ht="14.25" customHeight="1" x14ac:dyDescent="0.3">
      <c r="A295" s="304">
        <v>44356</v>
      </c>
      <c r="B295" s="305">
        <v>15635.349609375</v>
      </c>
      <c r="C295" s="305">
        <v>297.85000610351602</v>
      </c>
      <c r="D295" s="19"/>
      <c r="E295" s="19">
        <f t="shared" si="8"/>
        <v>-6.6549769442125761E-3</v>
      </c>
      <c r="F295" s="19">
        <f t="shared" si="9"/>
        <v>-2.1678455703351678E-2</v>
      </c>
      <c r="G295" s="19"/>
      <c r="H295" s="19"/>
    </row>
    <row r="296" spans="1:8" ht="14.25" customHeight="1" x14ac:dyDescent="0.3">
      <c r="A296" s="304">
        <v>44357</v>
      </c>
      <c r="B296" s="305">
        <v>15737.75</v>
      </c>
      <c r="C296" s="305">
        <v>313.64999389648398</v>
      </c>
      <c r="D296" s="19"/>
      <c r="E296" s="19">
        <f t="shared" si="8"/>
        <v>6.5492869160789623E-3</v>
      </c>
      <c r="F296" s="19">
        <f t="shared" si="9"/>
        <v>5.304679358467685E-2</v>
      </c>
      <c r="G296" s="19"/>
      <c r="H296" s="19"/>
    </row>
    <row r="297" spans="1:8" ht="14.25" customHeight="1" x14ac:dyDescent="0.3">
      <c r="A297" s="304">
        <v>44358</v>
      </c>
      <c r="B297" s="305">
        <v>15799.349609375</v>
      </c>
      <c r="C297" s="305">
        <v>310.04998779296898</v>
      </c>
      <c r="D297" s="19"/>
      <c r="E297" s="19">
        <f t="shared" si="8"/>
        <v>3.9141306333497486E-3</v>
      </c>
      <c r="F297" s="19">
        <f t="shared" si="9"/>
        <v>-1.1477781519431924E-2</v>
      </c>
      <c r="G297" s="19"/>
      <c r="H297" s="19"/>
    </row>
    <row r="298" spans="1:8" ht="14.25" customHeight="1" x14ac:dyDescent="0.3">
      <c r="A298" s="304">
        <v>44361</v>
      </c>
      <c r="B298" s="305">
        <v>15811.849609375</v>
      </c>
      <c r="C298" s="305">
        <v>299.20001220703102</v>
      </c>
      <c r="D298" s="19"/>
      <c r="E298" s="19">
        <f t="shared" si="8"/>
        <v>7.9117180827385227E-4</v>
      </c>
      <c r="F298" s="19">
        <f t="shared" si="9"/>
        <v>-3.4994278384499908E-2</v>
      </c>
      <c r="G298" s="19"/>
      <c r="H298" s="19"/>
    </row>
    <row r="299" spans="1:8" ht="14.25" customHeight="1" x14ac:dyDescent="0.3">
      <c r="A299" s="304">
        <v>44362</v>
      </c>
      <c r="B299" s="305">
        <v>15869.25</v>
      </c>
      <c r="C299" s="305">
        <v>308.79998779296898</v>
      </c>
      <c r="D299" s="19"/>
      <c r="E299" s="19">
        <f t="shared" si="8"/>
        <v>3.630213545097643E-3</v>
      </c>
      <c r="F299" s="19">
        <f t="shared" si="9"/>
        <v>3.2085478590473004E-2</v>
      </c>
      <c r="G299" s="19"/>
      <c r="H299" s="19"/>
    </row>
    <row r="300" spans="1:8" ht="14.25" customHeight="1" x14ac:dyDescent="0.3">
      <c r="A300" s="304">
        <v>44363</v>
      </c>
      <c r="B300" s="305">
        <v>15767.5498046875</v>
      </c>
      <c r="C300" s="305">
        <v>306.10000610351602</v>
      </c>
      <c r="D300" s="19"/>
      <c r="E300" s="19">
        <f t="shared" si="8"/>
        <v>-6.4086327528081041E-3</v>
      </c>
      <c r="F300" s="19">
        <f t="shared" si="9"/>
        <v>-8.7434643658830802E-3</v>
      </c>
      <c r="G300" s="19"/>
      <c r="H300" s="19"/>
    </row>
    <row r="301" spans="1:8" ht="14.25" customHeight="1" x14ac:dyDescent="0.3">
      <c r="A301" s="304">
        <v>44364</v>
      </c>
      <c r="B301" s="305">
        <v>15691.400390625</v>
      </c>
      <c r="C301" s="305">
        <v>296.89999389648398</v>
      </c>
      <c r="D301" s="19"/>
      <c r="E301" s="19">
        <f t="shared" si="8"/>
        <v>-4.829502047290931E-3</v>
      </c>
      <c r="F301" s="19">
        <f t="shared" si="9"/>
        <v>-3.005557668600899E-2</v>
      </c>
      <c r="G301" s="19"/>
      <c r="H301" s="19"/>
    </row>
    <row r="302" spans="1:8" ht="14.25" customHeight="1" x14ac:dyDescent="0.3">
      <c r="A302" s="304">
        <v>44365</v>
      </c>
      <c r="B302" s="305">
        <v>15683.349609375</v>
      </c>
      <c r="C302" s="305">
        <v>294.85000610351602</v>
      </c>
      <c r="D302" s="19"/>
      <c r="E302" s="19">
        <f t="shared" si="8"/>
        <v>-5.1306964640390079E-4</v>
      </c>
      <c r="F302" s="19">
        <f t="shared" si="9"/>
        <v>-6.9046407379944079E-3</v>
      </c>
      <c r="G302" s="19"/>
      <c r="H302" s="19"/>
    </row>
    <row r="303" spans="1:8" ht="14.25" customHeight="1" x14ac:dyDescent="0.3">
      <c r="A303" s="304">
        <v>44368</v>
      </c>
      <c r="B303" s="305">
        <v>15746.5</v>
      </c>
      <c r="C303" s="305">
        <v>302.60000610351602</v>
      </c>
      <c r="D303" s="19"/>
      <c r="E303" s="19">
        <f t="shared" si="8"/>
        <v>4.0265882096545708E-3</v>
      </c>
      <c r="F303" s="19">
        <f t="shared" si="9"/>
        <v>2.6284550922746557E-2</v>
      </c>
      <c r="G303" s="19"/>
      <c r="H303" s="19"/>
    </row>
    <row r="304" spans="1:8" ht="14.25" customHeight="1" x14ac:dyDescent="0.3">
      <c r="A304" s="304">
        <v>44369</v>
      </c>
      <c r="B304" s="305">
        <v>15772.75</v>
      </c>
      <c r="C304" s="305">
        <v>296.79998779296898</v>
      </c>
      <c r="D304" s="19"/>
      <c r="E304" s="19">
        <f t="shared" si="8"/>
        <v>1.6670371193598578E-3</v>
      </c>
      <c r="F304" s="19">
        <f t="shared" si="9"/>
        <v>-1.9167277572899075E-2</v>
      </c>
      <c r="G304" s="19"/>
      <c r="H304" s="19"/>
    </row>
    <row r="305" spans="1:8" ht="14.25" customHeight="1" x14ac:dyDescent="0.3">
      <c r="A305" s="304">
        <v>44370</v>
      </c>
      <c r="B305" s="305">
        <v>15686.9501953125</v>
      </c>
      <c r="C305" s="305">
        <v>293.04998779296898</v>
      </c>
      <c r="D305" s="19"/>
      <c r="E305" s="19">
        <f t="shared" si="8"/>
        <v>-5.4397492312691191E-3</v>
      </c>
      <c r="F305" s="19">
        <f t="shared" si="9"/>
        <v>-1.2634771409140993E-2</v>
      </c>
      <c r="G305" s="19"/>
      <c r="H305" s="19"/>
    </row>
    <row r="306" spans="1:8" ht="14.25" customHeight="1" x14ac:dyDescent="0.3">
      <c r="A306" s="304">
        <v>44371</v>
      </c>
      <c r="B306" s="305">
        <v>15790.4501953125</v>
      </c>
      <c r="C306" s="305">
        <v>290.25</v>
      </c>
      <c r="D306" s="19"/>
      <c r="E306" s="19">
        <f t="shared" si="8"/>
        <v>6.5978407983297719E-3</v>
      </c>
      <c r="F306" s="19">
        <f t="shared" si="9"/>
        <v>-9.5546422439951942E-3</v>
      </c>
      <c r="G306" s="19"/>
      <c r="H306" s="19"/>
    </row>
    <row r="307" spans="1:8" ht="14.25" customHeight="1" x14ac:dyDescent="0.3">
      <c r="A307" s="304">
        <v>44372</v>
      </c>
      <c r="B307" s="305">
        <v>15860.349609375</v>
      </c>
      <c r="C307" s="305">
        <v>293.89999389648398</v>
      </c>
      <c r="D307" s="19"/>
      <c r="E307" s="19">
        <f t="shared" si="8"/>
        <v>4.4266891189239247E-3</v>
      </c>
      <c r="F307" s="19">
        <f t="shared" si="9"/>
        <v>1.2575345035259181E-2</v>
      </c>
      <c r="G307" s="19"/>
      <c r="H307" s="19"/>
    </row>
    <row r="308" spans="1:8" ht="14.25" customHeight="1" x14ac:dyDescent="0.3">
      <c r="A308" s="304">
        <v>44375</v>
      </c>
      <c r="B308" s="305">
        <v>15814.7001953125</v>
      </c>
      <c r="C308" s="305">
        <v>293.54998779296898</v>
      </c>
      <c r="D308" s="19"/>
      <c r="E308" s="19">
        <f t="shared" si="8"/>
        <v>-2.8782098242977434E-3</v>
      </c>
      <c r="F308" s="19">
        <f t="shared" si="9"/>
        <v>-1.1909020441772352E-3</v>
      </c>
      <c r="G308" s="19"/>
      <c r="H308" s="19"/>
    </row>
    <row r="309" spans="1:8" ht="14.25" customHeight="1" x14ac:dyDescent="0.3">
      <c r="A309" s="304">
        <v>44376</v>
      </c>
      <c r="B309" s="305">
        <v>15748.4501953125</v>
      </c>
      <c r="C309" s="305">
        <v>287.20001220703102</v>
      </c>
      <c r="D309" s="19"/>
      <c r="E309" s="19">
        <f t="shared" si="8"/>
        <v>-4.1891404314851697E-3</v>
      </c>
      <c r="F309" s="19">
        <f t="shared" si="9"/>
        <v>-2.1631667007311822E-2</v>
      </c>
      <c r="G309" s="19"/>
      <c r="H309" s="19"/>
    </row>
    <row r="310" spans="1:8" ht="14.25" customHeight="1" x14ac:dyDescent="0.3">
      <c r="A310" s="304">
        <v>44377</v>
      </c>
      <c r="B310" s="305">
        <v>15721.5</v>
      </c>
      <c r="C310" s="305">
        <v>281.10000610351602</v>
      </c>
      <c r="D310" s="19"/>
      <c r="E310" s="19">
        <f t="shared" si="8"/>
        <v>-1.7112919035373831E-3</v>
      </c>
      <c r="F310" s="19">
        <f t="shared" si="9"/>
        <v>-2.1239574666583751E-2</v>
      </c>
      <c r="G310" s="19"/>
      <c r="H310" s="19"/>
    </row>
    <row r="311" spans="1:8" ht="14.25" customHeight="1" x14ac:dyDescent="0.3">
      <c r="A311" s="304">
        <v>44378</v>
      </c>
      <c r="B311" s="305">
        <v>15680</v>
      </c>
      <c r="C311" s="305">
        <v>280.25</v>
      </c>
      <c r="D311" s="19"/>
      <c r="E311" s="19">
        <f t="shared" si="8"/>
        <v>-2.6396972299080877E-3</v>
      </c>
      <c r="F311" s="19">
        <f t="shared" si="9"/>
        <v>-3.0238565815007678E-3</v>
      </c>
      <c r="G311" s="19"/>
      <c r="H311" s="19"/>
    </row>
    <row r="312" spans="1:8" ht="14.25" customHeight="1" x14ac:dyDescent="0.3">
      <c r="A312" s="304">
        <v>44379</v>
      </c>
      <c r="B312" s="305">
        <v>15722.2001953125</v>
      </c>
      <c r="C312" s="305">
        <v>283.85000610351602</v>
      </c>
      <c r="D312" s="19"/>
      <c r="E312" s="19">
        <f t="shared" si="8"/>
        <v>2.6913389867665818E-3</v>
      </c>
      <c r="F312" s="19">
        <f t="shared" si="9"/>
        <v>1.2845695284624524E-2</v>
      </c>
      <c r="G312" s="19"/>
      <c r="H312" s="19"/>
    </row>
    <row r="313" spans="1:8" ht="14.25" customHeight="1" x14ac:dyDescent="0.3">
      <c r="A313" s="304">
        <v>44382</v>
      </c>
      <c r="B313" s="305">
        <v>15834.349609375</v>
      </c>
      <c r="C313" s="305">
        <v>293.70001220703102</v>
      </c>
      <c r="D313" s="19"/>
      <c r="E313" s="19">
        <f t="shared" si="8"/>
        <v>7.1331882732250679E-3</v>
      </c>
      <c r="F313" s="19">
        <f t="shared" si="9"/>
        <v>3.4701447566370121E-2</v>
      </c>
      <c r="G313" s="19"/>
      <c r="H313" s="19"/>
    </row>
    <row r="314" spans="1:8" ht="14.25" customHeight="1" x14ac:dyDescent="0.3">
      <c r="A314" s="304">
        <v>44383</v>
      </c>
      <c r="B314" s="305">
        <v>15818.25</v>
      </c>
      <c r="C314" s="305">
        <v>290.89999389648398</v>
      </c>
      <c r="D314" s="19"/>
      <c r="E314" s="19">
        <f t="shared" si="8"/>
        <v>-1.016752173102705E-3</v>
      </c>
      <c r="F314" s="19">
        <f t="shared" si="9"/>
        <v>-9.5335995715699687E-3</v>
      </c>
      <c r="G314" s="19"/>
      <c r="H314" s="19"/>
    </row>
    <row r="315" spans="1:8" ht="14.25" customHeight="1" x14ac:dyDescent="0.3">
      <c r="A315" s="304">
        <v>44384</v>
      </c>
      <c r="B315" s="305">
        <v>15879.650390625</v>
      </c>
      <c r="C315" s="305">
        <v>294.89999389648398</v>
      </c>
      <c r="D315" s="19"/>
      <c r="E315" s="19">
        <f t="shared" si="8"/>
        <v>3.8816171589777632E-3</v>
      </c>
      <c r="F315" s="19">
        <f t="shared" si="9"/>
        <v>1.375042998943269E-2</v>
      </c>
      <c r="G315" s="19"/>
      <c r="H315" s="19"/>
    </row>
    <row r="316" spans="1:8" ht="14.25" customHeight="1" x14ac:dyDescent="0.3">
      <c r="A316" s="304">
        <v>44385</v>
      </c>
      <c r="B316" s="305">
        <v>15727.900390625</v>
      </c>
      <c r="C316" s="305">
        <v>287.85000610351602</v>
      </c>
      <c r="D316" s="19"/>
      <c r="E316" s="19">
        <f t="shared" si="8"/>
        <v>-9.5562557277451086E-3</v>
      </c>
      <c r="F316" s="19">
        <f t="shared" si="9"/>
        <v>-2.3906368053173463E-2</v>
      </c>
      <c r="G316" s="19"/>
      <c r="H316" s="19"/>
    </row>
    <row r="317" spans="1:8" ht="14.25" customHeight="1" x14ac:dyDescent="0.3">
      <c r="A317" s="304">
        <v>44386</v>
      </c>
      <c r="B317" s="305">
        <v>15689.7998046875</v>
      </c>
      <c r="C317" s="305">
        <v>300.35000610351602</v>
      </c>
      <c r="D317" s="19"/>
      <c r="E317" s="19">
        <f t="shared" si="8"/>
        <v>-2.4224839292732799E-3</v>
      </c>
      <c r="F317" s="19">
        <f t="shared" si="9"/>
        <v>4.3425394250312353E-2</v>
      </c>
      <c r="G317" s="19"/>
      <c r="H317" s="19"/>
    </row>
    <row r="318" spans="1:8" ht="14.25" customHeight="1" x14ac:dyDescent="0.3">
      <c r="A318" s="304">
        <v>44389</v>
      </c>
      <c r="B318" s="305">
        <v>15692.599609375</v>
      </c>
      <c r="C318" s="305">
        <v>310.95001220703102</v>
      </c>
      <c r="D318" s="19"/>
      <c r="E318" s="19">
        <f t="shared" si="8"/>
        <v>1.7844744498674405E-4</v>
      </c>
      <c r="F318" s="19">
        <f t="shared" si="9"/>
        <v>3.5292178751818282E-2</v>
      </c>
      <c r="G318" s="19"/>
      <c r="H318" s="19"/>
    </row>
    <row r="319" spans="1:8" ht="14.25" customHeight="1" x14ac:dyDescent="0.3">
      <c r="A319" s="304">
        <v>44390</v>
      </c>
      <c r="B319" s="305">
        <v>15812.349609375</v>
      </c>
      <c r="C319" s="305">
        <v>314.20001220703102</v>
      </c>
      <c r="D319" s="19"/>
      <c r="E319" s="19">
        <f t="shared" si="8"/>
        <v>7.6309854951285136E-3</v>
      </c>
      <c r="F319" s="19">
        <f t="shared" si="9"/>
        <v>1.0451840721704634E-2</v>
      </c>
      <c r="G319" s="19"/>
      <c r="H319" s="19"/>
    </row>
    <row r="320" spans="1:8" ht="14.25" customHeight="1" x14ac:dyDescent="0.3">
      <c r="A320" s="304">
        <v>44391</v>
      </c>
      <c r="B320" s="305">
        <v>15853.9501953125</v>
      </c>
      <c r="C320" s="305">
        <v>311.79998779296898</v>
      </c>
      <c r="D320" s="19"/>
      <c r="E320" s="19">
        <f t="shared" si="8"/>
        <v>2.6308921169334244E-3</v>
      </c>
      <c r="F320" s="19">
        <f t="shared" si="9"/>
        <v>-7.6385242546732736E-3</v>
      </c>
      <c r="G320" s="19"/>
      <c r="H320" s="19"/>
    </row>
    <row r="321" spans="1:8" ht="14.25" customHeight="1" x14ac:dyDescent="0.3">
      <c r="A321" s="304">
        <v>44392</v>
      </c>
      <c r="B321" s="305">
        <v>15924.2001953125</v>
      </c>
      <c r="C321" s="305">
        <v>322.60000610351602</v>
      </c>
      <c r="D321" s="19"/>
      <c r="E321" s="19">
        <f t="shared" si="8"/>
        <v>4.4310723280038215E-3</v>
      </c>
      <c r="F321" s="19">
        <f t="shared" si="9"/>
        <v>3.4637648278928457E-2</v>
      </c>
      <c r="G321" s="19"/>
      <c r="H321" s="19"/>
    </row>
    <row r="322" spans="1:8" ht="14.25" customHeight="1" x14ac:dyDescent="0.3">
      <c r="A322" s="304">
        <v>44393</v>
      </c>
      <c r="B322" s="305">
        <v>15923.400390625</v>
      </c>
      <c r="C322" s="305">
        <v>330.79998779296898</v>
      </c>
      <c r="D322" s="19"/>
      <c r="E322" s="19">
        <f t="shared" si="8"/>
        <v>-5.0225736783655429E-5</v>
      </c>
      <c r="F322" s="19">
        <f t="shared" si="9"/>
        <v>2.5418417651305751E-2</v>
      </c>
      <c r="G322" s="19"/>
      <c r="H322" s="19"/>
    </row>
    <row r="323" spans="1:8" ht="14.25" customHeight="1" x14ac:dyDescent="0.3">
      <c r="A323" s="304">
        <v>44396</v>
      </c>
      <c r="B323" s="305">
        <v>15752.400390625</v>
      </c>
      <c r="C323" s="305">
        <v>331.25</v>
      </c>
      <c r="D323" s="19"/>
      <c r="E323" s="19">
        <f t="shared" ref="E323:E386" si="10">(B323-B322)/B322</f>
        <v>-1.0738912280361756E-2</v>
      </c>
      <c r="F323" s="19">
        <f t="shared" ref="F323:F386" si="11">(C323-C322)/C322</f>
        <v>1.3603755249007522E-3</v>
      </c>
      <c r="G323" s="19"/>
      <c r="H323" s="19"/>
    </row>
    <row r="324" spans="1:8" ht="14.25" customHeight="1" x14ac:dyDescent="0.3">
      <c r="A324" s="304">
        <v>44397</v>
      </c>
      <c r="B324" s="305">
        <v>15632.099609375</v>
      </c>
      <c r="C324" s="305">
        <v>322.39999389648398</v>
      </c>
      <c r="D324" s="19"/>
      <c r="E324" s="19">
        <f t="shared" si="10"/>
        <v>-7.6369809214344685E-3</v>
      </c>
      <c r="F324" s="19">
        <f t="shared" si="11"/>
        <v>-2.671699955778422E-2</v>
      </c>
      <c r="G324" s="19"/>
      <c r="H324" s="19"/>
    </row>
    <row r="325" spans="1:8" ht="14.25" customHeight="1" x14ac:dyDescent="0.3">
      <c r="A325" s="304">
        <v>44399</v>
      </c>
      <c r="B325" s="305">
        <v>15824.0498046875</v>
      </c>
      <c r="C325" s="305">
        <v>330.5</v>
      </c>
      <c r="D325" s="19"/>
      <c r="E325" s="19">
        <f t="shared" si="10"/>
        <v>1.2279233123449532E-2</v>
      </c>
      <c r="F325" s="19">
        <f t="shared" si="11"/>
        <v>2.5124088886046222E-2</v>
      </c>
      <c r="G325" s="19"/>
      <c r="H325" s="19"/>
    </row>
    <row r="326" spans="1:8" ht="14.25" customHeight="1" x14ac:dyDescent="0.3">
      <c r="A326" s="304">
        <v>44400</v>
      </c>
      <c r="B326" s="305">
        <v>15856.0498046875</v>
      </c>
      <c r="C326" s="305">
        <v>334.14999389648398</v>
      </c>
      <c r="D326" s="19"/>
      <c r="E326" s="19">
        <f t="shared" si="10"/>
        <v>2.0222383267853947E-3</v>
      </c>
      <c r="F326" s="19">
        <f t="shared" si="11"/>
        <v>1.1043854452296451E-2</v>
      </c>
      <c r="G326" s="19"/>
      <c r="H326" s="19"/>
    </row>
    <row r="327" spans="1:8" ht="14.25" customHeight="1" x14ac:dyDescent="0.3">
      <c r="A327" s="304">
        <v>44403</v>
      </c>
      <c r="B327" s="305">
        <v>15824.4501953125</v>
      </c>
      <c r="C327" s="305">
        <v>333.95001220703102</v>
      </c>
      <c r="D327" s="19"/>
      <c r="E327" s="19">
        <f t="shared" si="10"/>
        <v>-1.9929055322251985E-3</v>
      </c>
      <c r="F327" s="19">
        <f t="shared" si="11"/>
        <v>-5.984788062420454E-4</v>
      </c>
      <c r="G327" s="19"/>
      <c r="H327" s="19"/>
    </row>
    <row r="328" spans="1:8" ht="14.25" customHeight="1" x14ac:dyDescent="0.3">
      <c r="A328" s="304">
        <v>44404</v>
      </c>
      <c r="B328" s="305">
        <v>15746.4501953125</v>
      </c>
      <c r="C328" s="305">
        <v>337</v>
      </c>
      <c r="D328" s="19"/>
      <c r="E328" s="19">
        <f t="shared" si="10"/>
        <v>-4.9290812026508866E-3</v>
      </c>
      <c r="F328" s="19">
        <f t="shared" si="11"/>
        <v>9.1330668707331839E-3</v>
      </c>
      <c r="G328" s="19"/>
      <c r="H328" s="19"/>
    </row>
    <row r="329" spans="1:8" ht="14.25" customHeight="1" x14ac:dyDescent="0.3">
      <c r="A329" s="304">
        <v>44405</v>
      </c>
      <c r="B329" s="305">
        <v>15709.400390625</v>
      </c>
      <c r="C329" s="305">
        <v>332.04998779296898</v>
      </c>
      <c r="D329" s="19"/>
      <c r="E329" s="19">
        <f t="shared" si="10"/>
        <v>-2.3528988583426387E-3</v>
      </c>
      <c r="F329" s="19">
        <f t="shared" si="11"/>
        <v>-1.4688463522347248E-2</v>
      </c>
      <c r="G329" s="19"/>
      <c r="H329" s="19"/>
    </row>
    <row r="330" spans="1:8" ht="14.25" customHeight="1" x14ac:dyDescent="0.3">
      <c r="A330" s="304">
        <v>44406</v>
      </c>
      <c r="B330" s="305">
        <v>15778.4501953125</v>
      </c>
      <c r="C330" s="305">
        <v>340.04998779296898</v>
      </c>
      <c r="D330" s="19"/>
      <c r="E330" s="19">
        <f t="shared" si="10"/>
        <v>4.3954449546468556E-3</v>
      </c>
      <c r="F330" s="19">
        <f t="shared" si="11"/>
        <v>2.4092758000605462E-2</v>
      </c>
      <c r="G330" s="19"/>
      <c r="H330" s="19"/>
    </row>
    <row r="331" spans="1:8" ht="14.25" customHeight="1" x14ac:dyDescent="0.3">
      <c r="A331" s="304">
        <v>44407</v>
      </c>
      <c r="B331" s="305">
        <v>15763.0498046875</v>
      </c>
      <c r="C331" s="305">
        <v>337.64999389648398</v>
      </c>
      <c r="D331" s="19"/>
      <c r="E331" s="19">
        <f t="shared" si="10"/>
        <v>-9.7603949908687388E-4</v>
      </c>
      <c r="F331" s="19">
        <f t="shared" si="11"/>
        <v>-7.0577679242446473E-3</v>
      </c>
      <c r="G331" s="19"/>
      <c r="H331" s="19"/>
    </row>
    <row r="332" spans="1:8" ht="14.25" customHeight="1" x14ac:dyDescent="0.3">
      <c r="A332" s="304">
        <v>44410</v>
      </c>
      <c r="B332" s="305">
        <v>15885.150390625</v>
      </c>
      <c r="C332" s="305">
        <v>351.85000610351602</v>
      </c>
      <c r="D332" s="19"/>
      <c r="E332" s="19">
        <f t="shared" si="10"/>
        <v>7.7460001364197065E-3</v>
      </c>
      <c r="F332" s="19">
        <f t="shared" si="11"/>
        <v>4.2055419705961716E-2</v>
      </c>
      <c r="G332" s="19"/>
      <c r="H332" s="19"/>
    </row>
    <row r="333" spans="1:8" ht="14.25" customHeight="1" x14ac:dyDescent="0.3">
      <c r="A333" s="304">
        <v>44411</v>
      </c>
      <c r="B333" s="305">
        <v>16130.75</v>
      </c>
      <c r="C333" s="305">
        <v>355.14999389648398</v>
      </c>
      <c r="D333" s="19"/>
      <c r="E333" s="19">
        <f t="shared" si="10"/>
        <v>1.5460955882416225E-2</v>
      </c>
      <c r="F333" s="19">
        <f t="shared" si="11"/>
        <v>9.3789618750129596E-3</v>
      </c>
      <c r="G333" s="19"/>
      <c r="H333" s="19"/>
    </row>
    <row r="334" spans="1:8" ht="14.25" customHeight="1" x14ac:dyDescent="0.3">
      <c r="A334" s="304">
        <v>44412</v>
      </c>
      <c r="B334" s="305">
        <v>16258.7998046875</v>
      </c>
      <c r="C334" s="305">
        <v>350.45001220703102</v>
      </c>
      <c r="D334" s="19"/>
      <c r="E334" s="19">
        <f t="shared" si="10"/>
        <v>7.9382424678021788E-3</v>
      </c>
      <c r="F334" s="19">
        <f t="shared" si="11"/>
        <v>-1.3233793524498452E-2</v>
      </c>
      <c r="G334" s="19"/>
      <c r="H334" s="19"/>
    </row>
    <row r="335" spans="1:8" ht="14.25" customHeight="1" x14ac:dyDescent="0.3">
      <c r="A335" s="304">
        <v>44413</v>
      </c>
      <c r="B335" s="305">
        <v>16294.599609375</v>
      </c>
      <c r="C335" s="305">
        <v>351.04998779296898</v>
      </c>
      <c r="D335" s="19"/>
      <c r="E335" s="19">
        <f t="shared" si="10"/>
        <v>2.2018725316476757E-3</v>
      </c>
      <c r="F335" s="19">
        <f t="shared" si="11"/>
        <v>1.7120147383060001E-3</v>
      </c>
      <c r="G335" s="19"/>
      <c r="H335" s="19"/>
    </row>
    <row r="336" spans="1:8" ht="14.25" customHeight="1" x14ac:dyDescent="0.3">
      <c r="A336" s="304">
        <v>44414</v>
      </c>
      <c r="B336" s="305">
        <v>16238.2001953125</v>
      </c>
      <c r="C336" s="305">
        <v>342.79998779296898</v>
      </c>
      <c r="D336" s="19"/>
      <c r="E336" s="19">
        <f t="shared" si="10"/>
        <v>-3.4612335015615195E-3</v>
      </c>
      <c r="F336" s="19">
        <f t="shared" si="11"/>
        <v>-2.3500926611242104E-2</v>
      </c>
      <c r="G336" s="19"/>
      <c r="H336" s="19"/>
    </row>
    <row r="337" spans="1:8" ht="14.25" customHeight="1" x14ac:dyDescent="0.3">
      <c r="A337" s="304">
        <v>44417</v>
      </c>
      <c r="B337" s="305">
        <v>16258.25</v>
      </c>
      <c r="C337" s="305">
        <v>342.25</v>
      </c>
      <c r="D337" s="19"/>
      <c r="E337" s="19">
        <f t="shared" si="10"/>
        <v>1.2347307242392418E-3</v>
      </c>
      <c r="F337" s="19">
        <f t="shared" si="11"/>
        <v>-1.6043985197022167E-3</v>
      </c>
      <c r="G337" s="19"/>
      <c r="H337" s="19"/>
    </row>
    <row r="338" spans="1:8" ht="14.25" customHeight="1" x14ac:dyDescent="0.3">
      <c r="A338" s="304">
        <v>44418</v>
      </c>
      <c r="B338" s="305">
        <v>16280.099609375</v>
      </c>
      <c r="C338" s="305">
        <v>334.25</v>
      </c>
      <c r="D338" s="19"/>
      <c r="E338" s="19">
        <f t="shared" si="10"/>
        <v>1.3439090538649608E-3</v>
      </c>
      <c r="F338" s="19">
        <f t="shared" si="11"/>
        <v>-2.3374726077428781E-2</v>
      </c>
      <c r="G338" s="19"/>
      <c r="H338" s="19"/>
    </row>
    <row r="339" spans="1:8" ht="14.25" customHeight="1" x14ac:dyDescent="0.3">
      <c r="A339" s="304">
        <v>44419</v>
      </c>
      <c r="B339" s="305">
        <v>16282.25</v>
      </c>
      <c r="C339" s="305">
        <v>331.54998779296898</v>
      </c>
      <c r="D339" s="19"/>
      <c r="E339" s="19">
        <f t="shared" si="10"/>
        <v>1.3208706805219322E-4</v>
      </c>
      <c r="F339" s="19">
        <f t="shared" si="11"/>
        <v>-8.0778226089185425E-3</v>
      </c>
      <c r="G339" s="19"/>
      <c r="H339" s="19"/>
    </row>
    <row r="340" spans="1:8" ht="14.25" customHeight="1" x14ac:dyDescent="0.3">
      <c r="A340" s="304">
        <v>44420</v>
      </c>
      <c r="B340" s="305">
        <v>16364.400390625</v>
      </c>
      <c r="C340" s="305">
        <v>334.04998779296898</v>
      </c>
      <c r="D340" s="19"/>
      <c r="E340" s="19">
        <f t="shared" si="10"/>
        <v>5.0453954843464512E-3</v>
      </c>
      <c r="F340" s="19">
        <f t="shared" si="11"/>
        <v>7.5403411010260225E-3</v>
      </c>
      <c r="G340" s="19"/>
      <c r="H340" s="19"/>
    </row>
    <row r="341" spans="1:8" ht="14.25" customHeight="1" x14ac:dyDescent="0.3">
      <c r="A341" s="304">
        <v>44421</v>
      </c>
      <c r="B341" s="305">
        <v>16529.099609375</v>
      </c>
      <c r="C341" s="305">
        <v>332.60000610351602</v>
      </c>
      <c r="D341" s="19"/>
      <c r="E341" s="19">
        <f t="shared" si="10"/>
        <v>1.0064482340847301E-2</v>
      </c>
      <c r="F341" s="19">
        <f t="shared" si="11"/>
        <v>-4.3406129095612958E-3</v>
      </c>
      <c r="G341" s="19"/>
      <c r="H341" s="19"/>
    </row>
    <row r="342" spans="1:8" ht="14.25" customHeight="1" x14ac:dyDescent="0.3">
      <c r="A342" s="304">
        <v>44424</v>
      </c>
      <c r="B342" s="305">
        <v>16563.05078125</v>
      </c>
      <c r="C342" s="305">
        <v>329.64999389648398</v>
      </c>
      <c r="D342" s="19"/>
      <c r="E342" s="19">
        <f t="shared" si="10"/>
        <v>2.0540242770237479E-3</v>
      </c>
      <c r="F342" s="19">
        <f t="shared" si="11"/>
        <v>-8.8695494675183652E-3</v>
      </c>
      <c r="G342" s="19"/>
      <c r="H342" s="19"/>
    </row>
    <row r="343" spans="1:8" ht="14.25" customHeight="1" x14ac:dyDescent="0.3">
      <c r="A343" s="304">
        <v>44425</v>
      </c>
      <c r="B343" s="305">
        <v>16614.599609375</v>
      </c>
      <c r="C343" s="305">
        <v>325.35000610351602</v>
      </c>
      <c r="D343" s="19"/>
      <c r="E343" s="19">
        <f t="shared" si="10"/>
        <v>3.1122785775284361E-3</v>
      </c>
      <c r="F343" s="19">
        <f t="shared" si="11"/>
        <v>-1.30441009330588E-2</v>
      </c>
      <c r="G343" s="19"/>
      <c r="H343" s="19"/>
    </row>
    <row r="344" spans="1:8" ht="14.25" customHeight="1" x14ac:dyDescent="0.3">
      <c r="A344" s="304">
        <v>44426</v>
      </c>
      <c r="B344" s="305">
        <v>16568.849609375</v>
      </c>
      <c r="C344" s="305">
        <v>327.10000610351602</v>
      </c>
      <c r="D344" s="19"/>
      <c r="E344" s="19">
        <f t="shared" si="10"/>
        <v>-2.7536023181795473E-3</v>
      </c>
      <c r="F344" s="19">
        <f t="shared" si="11"/>
        <v>5.3788227053028102E-3</v>
      </c>
      <c r="G344" s="19"/>
      <c r="H344" s="19"/>
    </row>
    <row r="345" spans="1:8" ht="14.25" customHeight="1" x14ac:dyDescent="0.3">
      <c r="A345" s="304">
        <v>44428</v>
      </c>
      <c r="B345" s="305">
        <v>16450.5</v>
      </c>
      <c r="C345" s="305">
        <v>309</v>
      </c>
      <c r="D345" s="19"/>
      <c r="E345" s="19">
        <f t="shared" si="10"/>
        <v>-7.142898400624949E-3</v>
      </c>
      <c r="F345" s="19">
        <f t="shared" si="11"/>
        <v>-5.5334777639190834E-2</v>
      </c>
      <c r="G345" s="19"/>
      <c r="H345" s="19"/>
    </row>
    <row r="346" spans="1:8" ht="14.25" customHeight="1" x14ac:dyDescent="0.3">
      <c r="A346" s="304">
        <v>44431</v>
      </c>
      <c r="B346" s="305">
        <v>16496.44921875</v>
      </c>
      <c r="C346" s="305">
        <v>306.60000610351602</v>
      </c>
      <c r="D346" s="19"/>
      <c r="E346" s="19">
        <f t="shared" si="10"/>
        <v>2.7931806783988329E-3</v>
      </c>
      <c r="F346" s="19">
        <f t="shared" si="11"/>
        <v>-7.7669705387830978E-3</v>
      </c>
      <c r="G346" s="19"/>
      <c r="H346" s="19"/>
    </row>
    <row r="347" spans="1:8" ht="14.25" customHeight="1" x14ac:dyDescent="0.3">
      <c r="A347" s="304">
        <v>44432</v>
      </c>
      <c r="B347" s="305">
        <v>16624.599609375</v>
      </c>
      <c r="C347" s="305">
        <v>315.20001220703102</v>
      </c>
      <c r="D347" s="19"/>
      <c r="E347" s="19">
        <f t="shared" si="10"/>
        <v>7.7683620836017982E-3</v>
      </c>
      <c r="F347" s="19">
        <f t="shared" si="11"/>
        <v>2.8049595343489383E-2</v>
      </c>
      <c r="G347" s="19"/>
      <c r="H347" s="19"/>
    </row>
    <row r="348" spans="1:8" ht="14.25" customHeight="1" x14ac:dyDescent="0.3">
      <c r="A348" s="304">
        <v>44433</v>
      </c>
      <c r="B348" s="305">
        <v>16634.650390625</v>
      </c>
      <c r="C348" s="305">
        <v>307.29998779296898</v>
      </c>
      <c r="D348" s="19"/>
      <c r="E348" s="19">
        <f t="shared" si="10"/>
        <v>6.0457283099510741E-4</v>
      </c>
      <c r="F348" s="19">
        <f t="shared" si="11"/>
        <v>-2.5063528261772775E-2</v>
      </c>
      <c r="G348" s="19"/>
      <c r="H348" s="19"/>
    </row>
    <row r="349" spans="1:8" ht="14.25" customHeight="1" x14ac:dyDescent="0.3">
      <c r="A349" s="304">
        <v>44434</v>
      </c>
      <c r="B349" s="305">
        <v>16636.900390625</v>
      </c>
      <c r="C349" s="305">
        <v>307.54998779296898</v>
      </c>
      <c r="D349" s="19"/>
      <c r="E349" s="19">
        <f t="shared" si="10"/>
        <v>1.3525983096513173E-4</v>
      </c>
      <c r="F349" s="19">
        <f t="shared" si="11"/>
        <v>8.1353729232305555E-4</v>
      </c>
      <c r="G349" s="19"/>
      <c r="H349" s="19"/>
    </row>
    <row r="350" spans="1:8" ht="14.25" customHeight="1" x14ac:dyDescent="0.3">
      <c r="A350" s="304">
        <v>44435</v>
      </c>
      <c r="B350" s="305">
        <v>16705.19921875</v>
      </c>
      <c r="C350" s="305">
        <v>311.79998779296898</v>
      </c>
      <c r="D350" s="19"/>
      <c r="E350" s="19">
        <f t="shared" si="10"/>
        <v>4.1052615884799564E-3</v>
      </c>
      <c r="F350" s="19">
        <f t="shared" si="11"/>
        <v>1.3818891785685712E-2</v>
      </c>
      <c r="G350" s="19"/>
      <c r="H350" s="19"/>
    </row>
    <row r="351" spans="1:8" ht="14.25" customHeight="1" x14ac:dyDescent="0.3">
      <c r="A351" s="304">
        <v>44438</v>
      </c>
      <c r="B351" s="305">
        <v>16931.05078125</v>
      </c>
      <c r="C351" s="305">
        <v>319.79998779296898</v>
      </c>
      <c r="D351" s="19"/>
      <c r="E351" s="19">
        <f t="shared" si="10"/>
        <v>1.3519836521704158E-2</v>
      </c>
      <c r="F351" s="19">
        <f t="shared" si="11"/>
        <v>2.5657473743430335E-2</v>
      </c>
      <c r="G351" s="19"/>
      <c r="H351" s="19"/>
    </row>
    <row r="352" spans="1:8" ht="14.25" customHeight="1" x14ac:dyDescent="0.3">
      <c r="A352" s="304">
        <v>44439</v>
      </c>
      <c r="B352" s="305">
        <v>17132.19921875</v>
      </c>
      <c r="C352" s="305">
        <v>320.54998779296898</v>
      </c>
      <c r="D352" s="19"/>
      <c r="E352" s="19">
        <f t="shared" si="10"/>
        <v>1.1880446175423345E-2</v>
      </c>
      <c r="F352" s="19">
        <f t="shared" si="11"/>
        <v>2.3452158493687389E-3</v>
      </c>
      <c r="G352" s="19"/>
      <c r="H352" s="19"/>
    </row>
    <row r="353" spans="1:8" ht="14.25" customHeight="1" x14ac:dyDescent="0.3">
      <c r="A353" s="304">
        <v>44440</v>
      </c>
      <c r="B353" s="305">
        <v>17076.25</v>
      </c>
      <c r="C353" s="305">
        <v>332.85000610351602</v>
      </c>
      <c r="D353" s="19"/>
      <c r="E353" s="19">
        <f t="shared" si="10"/>
        <v>-3.2657347743637881E-3</v>
      </c>
      <c r="F353" s="19">
        <f t="shared" si="11"/>
        <v>3.8371607483857269E-2</v>
      </c>
      <c r="G353" s="19"/>
      <c r="H353" s="19"/>
    </row>
    <row r="354" spans="1:8" ht="14.25" customHeight="1" x14ac:dyDescent="0.3">
      <c r="A354" s="304">
        <v>44441</v>
      </c>
      <c r="B354" s="305">
        <v>17234.150390625</v>
      </c>
      <c r="C354" s="305">
        <v>338.89999389648398</v>
      </c>
      <c r="D354" s="19"/>
      <c r="E354" s="19">
        <f t="shared" si="10"/>
        <v>9.2467837273991649E-3</v>
      </c>
      <c r="F354" s="19">
        <f t="shared" si="11"/>
        <v>1.8176318708212413E-2</v>
      </c>
      <c r="G354" s="19"/>
      <c r="H354" s="19"/>
    </row>
    <row r="355" spans="1:8" ht="14.25" customHeight="1" x14ac:dyDescent="0.3">
      <c r="A355" s="304">
        <v>44442</v>
      </c>
      <c r="B355" s="305">
        <v>17323.599609375</v>
      </c>
      <c r="C355" s="305">
        <v>343.70001220703102</v>
      </c>
      <c r="D355" s="19"/>
      <c r="E355" s="19">
        <f t="shared" si="10"/>
        <v>5.1902308336974016E-3</v>
      </c>
      <c r="F355" s="19">
        <f t="shared" si="11"/>
        <v>1.4163524334595289E-2</v>
      </c>
      <c r="G355" s="19"/>
      <c r="H355" s="19"/>
    </row>
    <row r="356" spans="1:8" ht="14.25" customHeight="1" x14ac:dyDescent="0.3">
      <c r="A356" s="304">
        <v>44445</v>
      </c>
      <c r="B356" s="305">
        <v>17377.80078125</v>
      </c>
      <c r="C356" s="305">
        <v>345.5</v>
      </c>
      <c r="D356" s="19"/>
      <c r="E356" s="19">
        <f t="shared" si="10"/>
        <v>3.1287476677576867E-3</v>
      </c>
      <c r="F356" s="19">
        <f t="shared" si="11"/>
        <v>5.2370896975259262E-3</v>
      </c>
      <c r="G356" s="19"/>
      <c r="H356" s="19"/>
    </row>
    <row r="357" spans="1:8" ht="14.25" customHeight="1" x14ac:dyDescent="0.3">
      <c r="A357" s="304">
        <v>44446</v>
      </c>
      <c r="B357" s="305">
        <v>17362.099609375</v>
      </c>
      <c r="C357" s="305">
        <v>336.04998779296898</v>
      </c>
      <c r="D357" s="19"/>
      <c r="E357" s="19">
        <f t="shared" si="10"/>
        <v>-9.0351892466974189E-4</v>
      </c>
      <c r="F357" s="19">
        <f t="shared" si="11"/>
        <v>-2.7351699586196883E-2</v>
      </c>
      <c r="G357" s="19"/>
      <c r="H357" s="19"/>
    </row>
    <row r="358" spans="1:8" ht="14.25" customHeight="1" x14ac:dyDescent="0.3">
      <c r="A358" s="304">
        <v>44447</v>
      </c>
      <c r="B358" s="305">
        <v>17353.5</v>
      </c>
      <c r="C358" s="305">
        <v>334.70001220703102</v>
      </c>
      <c r="D358" s="19"/>
      <c r="E358" s="19">
        <f t="shared" si="10"/>
        <v>-4.9530929832682655E-4</v>
      </c>
      <c r="F358" s="19">
        <f t="shared" si="11"/>
        <v>-4.0171868322448415E-3</v>
      </c>
      <c r="G358" s="19"/>
      <c r="H358" s="19"/>
    </row>
    <row r="359" spans="1:8" ht="14.25" customHeight="1" x14ac:dyDescent="0.3">
      <c r="A359" s="304">
        <v>44448</v>
      </c>
      <c r="B359" s="305">
        <v>17369.25</v>
      </c>
      <c r="C359" s="305">
        <v>332.95001220703102</v>
      </c>
      <c r="D359" s="19"/>
      <c r="E359" s="19">
        <f t="shared" si="10"/>
        <v>9.0759789091537728E-4</v>
      </c>
      <c r="F359" s="19">
        <f t="shared" si="11"/>
        <v>-5.2285627014483802E-3</v>
      </c>
      <c r="G359" s="19"/>
      <c r="H359" s="19"/>
    </row>
    <row r="360" spans="1:8" ht="14.25" customHeight="1" x14ac:dyDescent="0.3">
      <c r="A360" s="304">
        <v>44452</v>
      </c>
      <c r="B360" s="305">
        <v>17355.30078125</v>
      </c>
      <c r="C360" s="305">
        <v>339.64999389648398</v>
      </c>
      <c r="D360" s="19"/>
      <c r="E360" s="19">
        <f t="shared" si="10"/>
        <v>-8.0309850741972161E-4</v>
      </c>
      <c r="F360" s="19">
        <f t="shared" si="11"/>
        <v>2.0123085880191682E-2</v>
      </c>
      <c r="G360" s="19"/>
      <c r="H360" s="19"/>
    </row>
    <row r="361" spans="1:8" ht="14.25" customHeight="1" x14ac:dyDescent="0.3">
      <c r="A361" s="304">
        <v>44453</v>
      </c>
      <c r="B361" s="305">
        <v>17380</v>
      </c>
      <c r="C361" s="305">
        <v>342.29998779296898</v>
      </c>
      <c r="D361" s="19"/>
      <c r="E361" s="19">
        <f t="shared" si="10"/>
        <v>1.4231512931590379E-3</v>
      </c>
      <c r="F361" s="19">
        <f t="shared" si="11"/>
        <v>7.8021314414998813E-3</v>
      </c>
      <c r="G361" s="19"/>
      <c r="H361" s="19"/>
    </row>
    <row r="362" spans="1:8" ht="14.25" customHeight="1" x14ac:dyDescent="0.3">
      <c r="A362" s="304">
        <v>44454</v>
      </c>
      <c r="B362" s="305">
        <v>17519.44921875</v>
      </c>
      <c r="C362" s="305">
        <v>342.45001220703102</v>
      </c>
      <c r="D362" s="19"/>
      <c r="E362" s="19">
        <f t="shared" si="10"/>
        <v>8.0235453826237053E-3</v>
      </c>
      <c r="F362" s="19">
        <f t="shared" si="11"/>
        <v>4.3828343386557035E-4</v>
      </c>
      <c r="G362" s="19"/>
      <c r="H362" s="19"/>
    </row>
    <row r="363" spans="1:8" ht="14.25" customHeight="1" x14ac:dyDescent="0.3">
      <c r="A363" s="304">
        <v>44455</v>
      </c>
      <c r="B363" s="305">
        <v>17629.5</v>
      </c>
      <c r="C363" s="305">
        <v>342.39999389648398</v>
      </c>
      <c r="D363" s="19"/>
      <c r="E363" s="19">
        <f t="shared" si="10"/>
        <v>6.2816347635072543E-3</v>
      </c>
      <c r="F363" s="19">
        <f t="shared" si="11"/>
        <v>-1.4606018035942292E-4</v>
      </c>
      <c r="G363" s="19"/>
      <c r="H363" s="19"/>
    </row>
    <row r="364" spans="1:8" ht="14.25" customHeight="1" x14ac:dyDescent="0.3">
      <c r="A364" s="304">
        <v>44456</v>
      </c>
      <c r="B364" s="305">
        <v>17585.150390625</v>
      </c>
      <c r="C364" s="305">
        <v>334.75</v>
      </c>
      <c r="D364" s="19"/>
      <c r="E364" s="19">
        <f t="shared" si="10"/>
        <v>-2.5156476006126098E-3</v>
      </c>
      <c r="F364" s="19">
        <f t="shared" si="11"/>
        <v>-2.2342272292203254E-2</v>
      </c>
      <c r="G364" s="19"/>
      <c r="H364" s="19"/>
    </row>
    <row r="365" spans="1:8" ht="14.25" customHeight="1" x14ac:dyDescent="0.3">
      <c r="A365" s="304">
        <v>44459</v>
      </c>
      <c r="B365" s="305">
        <v>17396.900390625</v>
      </c>
      <c r="C365" s="305">
        <v>323</v>
      </c>
      <c r="D365" s="19"/>
      <c r="E365" s="19">
        <f t="shared" si="10"/>
        <v>-1.0705054879733066E-2</v>
      </c>
      <c r="F365" s="19">
        <f t="shared" si="11"/>
        <v>-3.5100821508588502E-2</v>
      </c>
      <c r="G365" s="19"/>
      <c r="H365" s="19"/>
    </row>
    <row r="366" spans="1:8" ht="14.25" customHeight="1" x14ac:dyDescent="0.3">
      <c r="A366" s="304">
        <v>44460</v>
      </c>
      <c r="B366" s="305">
        <v>17562</v>
      </c>
      <c r="C366" s="305">
        <v>330.70001220703102</v>
      </c>
      <c r="D366" s="19"/>
      <c r="E366" s="19">
        <f t="shared" si="10"/>
        <v>9.4901738624640509E-3</v>
      </c>
      <c r="F366" s="19">
        <f t="shared" si="11"/>
        <v>2.38390470805914E-2</v>
      </c>
      <c r="G366" s="19"/>
      <c r="H366" s="19"/>
    </row>
    <row r="367" spans="1:8" ht="14.25" customHeight="1" x14ac:dyDescent="0.3">
      <c r="A367" s="304">
        <v>44461</v>
      </c>
      <c r="B367" s="305">
        <v>17546.650390625</v>
      </c>
      <c r="C367" s="305">
        <v>369.04998779296898</v>
      </c>
      <c r="D367" s="19"/>
      <c r="E367" s="19">
        <f t="shared" si="10"/>
        <v>-8.7402399356565307E-4</v>
      </c>
      <c r="F367" s="19">
        <f t="shared" si="11"/>
        <v>0.11596605434029855</v>
      </c>
      <c r="G367" s="19"/>
      <c r="H367" s="19"/>
    </row>
    <row r="368" spans="1:8" ht="14.25" customHeight="1" x14ac:dyDescent="0.3">
      <c r="A368" s="304">
        <v>44462</v>
      </c>
      <c r="B368" s="305">
        <v>17822.94921875</v>
      </c>
      <c r="C368" s="305">
        <v>401.85000610351602</v>
      </c>
      <c r="D368" s="19"/>
      <c r="E368" s="19">
        <f t="shared" si="10"/>
        <v>1.5746528367181906E-2</v>
      </c>
      <c r="F368" s="19">
        <f t="shared" si="11"/>
        <v>8.8876898510960853E-2</v>
      </c>
      <c r="G368" s="19"/>
      <c r="H368" s="19"/>
    </row>
    <row r="369" spans="1:8" ht="14.25" customHeight="1" x14ac:dyDescent="0.3">
      <c r="A369" s="304">
        <v>44463</v>
      </c>
      <c r="B369" s="305">
        <v>17853.19921875</v>
      </c>
      <c r="C369" s="305">
        <v>410.45001220703102</v>
      </c>
      <c r="D369" s="19"/>
      <c r="E369" s="19">
        <f t="shared" si="10"/>
        <v>1.6972499684943592E-3</v>
      </c>
      <c r="F369" s="19">
        <f t="shared" si="11"/>
        <v>2.1401035144689409E-2</v>
      </c>
      <c r="G369" s="19"/>
      <c r="H369" s="19"/>
    </row>
    <row r="370" spans="1:8" ht="14.25" customHeight="1" x14ac:dyDescent="0.3">
      <c r="A370" s="304">
        <v>44466</v>
      </c>
      <c r="B370" s="305">
        <v>17855.099609375</v>
      </c>
      <c r="C370" s="305">
        <v>420</v>
      </c>
      <c r="D370" s="19"/>
      <c r="E370" s="19">
        <f t="shared" si="10"/>
        <v>1.0644538279750718E-4</v>
      </c>
      <c r="F370" s="19">
        <f t="shared" si="11"/>
        <v>2.3267115382985936E-2</v>
      </c>
      <c r="G370" s="19"/>
      <c r="H370" s="19"/>
    </row>
    <row r="371" spans="1:8" ht="14.25" customHeight="1" x14ac:dyDescent="0.3">
      <c r="A371" s="304">
        <v>44467</v>
      </c>
      <c r="B371" s="305">
        <v>17748.599609375</v>
      </c>
      <c r="C371" s="305">
        <v>410.04998779296898</v>
      </c>
      <c r="D371" s="19"/>
      <c r="E371" s="19">
        <f t="shared" si="10"/>
        <v>-5.9646824901543032E-3</v>
      </c>
      <c r="F371" s="19">
        <f t="shared" si="11"/>
        <v>-2.3690505254835768E-2</v>
      </c>
      <c r="G371" s="19"/>
      <c r="H371" s="19"/>
    </row>
    <row r="372" spans="1:8" ht="14.25" customHeight="1" x14ac:dyDescent="0.3">
      <c r="A372" s="304">
        <v>44468</v>
      </c>
      <c r="B372" s="305">
        <v>17711.30078125</v>
      </c>
      <c r="C372" s="305">
        <v>410.85000610351602</v>
      </c>
      <c r="D372" s="19"/>
      <c r="E372" s="19">
        <f t="shared" si="10"/>
        <v>-2.1015082285871364E-3</v>
      </c>
      <c r="F372" s="19">
        <f t="shared" si="11"/>
        <v>1.9510263001177518E-3</v>
      </c>
      <c r="G372" s="19"/>
      <c r="H372" s="19"/>
    </row>
    <row r="373" spans="1:8" ht="14.25" customHeight="1" x14ac:dyDescent="0.3">
      <c r="A373" s="304">
        <v>44469</v>
      </c>
      <c r="B373" s="305">
        <v>17618.150390625</v>
      </c>
      <c r="C373" s="305">
        <v>417.20001220703102</v>
      </c>
      <c r="D373" s="19"/>
      <c r="E373" s="19">
        <f t="shared" si="10"/>
        <v>-5.2593760207388773E-3</v>
      </c>
      <c r="F373" s="19">
        <f t="shared" si="11"/>
        <v>1.5455777069929212E-2</v>
      </c>
      <c r="G373" s="19"/>
      <c r="H373" s="19"/>
    </row>
    <row r="374" spans="1:8" ht="14.25" customHeight="1" x14ac:dyDescent="0.3">
      <c r="A374" s="304">
        <v>44470</v>
      </c>
      <c r="B374" s="305">
        <v>17532.05078125</v>
      </c>
      <c r="C374" s="305">
        <v>417.20001220703102</v>
      </c>
      <c r="D374" s="19"/>
      <c r="E374" s="19">
        <f t="shared" si="10"/>
        <v>-4.8869834497959255E-3</v>
      </c>
      <c r="F374" s="19">
        <f t="shared" si="11"/>
        <v>0</v>
      </c>
      <c r="G374" s="19"/>
      <c r="H374" s="19"/>
    </row>
    <row r="375" spans="1:8" ht="14.25" customHeight="1" x14ac:dyDescent="0.3">
      <c r="A375" s="304">
        <v>44473</v>
      </c>
      <c r="B375" s="305">
        <v>17691.25</v>
      </c>
      <c r="C375" s="305">
        <v>424.39999389648398</v>
      </c>
      <c r="D375" s="19"/>
      <c r="E375" s="19">
        <f t="shared" si="10"/>
        <v>9.080467581137671E-3</v>
      </c>
      <c r="F375" s="19">
        <f t="shared" si="11"/>
        <v>1.7257865481269546E-2</v>
      </c>
      <c r="G375" s="19"/>
      <c r="H375" s="19"/>
    </row>
    <row r="376" spans="1:8" ht="14.25" customHeight="1" x14ac:dyDescent="0.3">
      <c r="A376" s="304">
        <v>44474</v>
      </c>
      <c r="B376" s="305">
        <v>17822.30078125</v>
      </c>
      <c r="C376" s="305">
        <v>415.64999389648398</v>
      </c>
      <c r="D376" s="19"/>
      <c r="E376" s="19">
        <f t="shared" si="10"/>
        <v>7.4076609199463014E-3</v>
      </c>
      <c r="F376" s="19">
        <f t="shared" si="11"/>
        <v>-2.0617342426574647E-2</v>
      </c>
      <c r="G376" s="19"/>
      <c r="H376" s="19"/>
    </row>
    <row r="377" spans="1:8" ht="14.25" customHeight="1" x14ac:dyDescent="0.3">
      <c r="A377" s="304">
        <v>44475</v>
      </c>
      <c r="B377" s="305">
        <v>17646</v>
      </c>
      <c r="C377" s="305">
        <v>408.10000610351602</v>
      </c>
      <c r="D377" s="19"/>
      <c r="E377" s="19">
        <f t="shared" si="10"/>
        <v>-9.8921448702895716E-3</v>
      </c>
      <c r="F377" s="19">
        <f t="shared" si="11"/>
        <v>-1.816429184129436E-2</v>
      </c>
      <c r="G377" s="19"/>
      <c r="H377" s="19"/>
    </row>
    <row r="378" spans="1:8" ht="14.25" customHeight="1" x14ac:dyDescent="0.3">
      <c r="A378" s="304">
        <v>44476</v>
      </c>
      <c r="B378" s="305">
        <v>17790.349609375</v>
      </c>
      <c r="C378" s="305">
        <v>422.60000610351602</v>
      </c>
      <c r="D378" s="19"/>
      <c r="E378" s="19">
        <f t="shared" si="10"/>
        <v>8.1803020160376282E-3</v>
      </c>
      <c r="F378" s="19">
        <f t="shared" si="11"/>
        <v>3.5530506697228577E-2</v>
      </c>
      <c r="G378" s="19"/>
      <c r="H378" s="19"/>
    </row>
    <row r="379" spans="1:8" ht="14.25" customHeight="1" x14ac:dyDescent="0.3">
      <c r="A379" s="304">
        <v>44477</v>
      </c>
      <c r="B379" s="305">
        <v>17895.19921875</v>
      </c>
      <c r="C379" s="305">
        <v>415.85000610351602</v>
      </c>
      <c r="D379" s="19"/>
      <c r="E379" s="19">
        <f t="shared" si="10"/>
        <v>5.8936227604963589E-3</v>
      </c>
      <c r="F379" s="19">
        <f t="shared" si="11"/>
        <v>-1.5972550644844489E-2</v>
      </c>
      <c r="G379" s="19"/>
      <c r="H379" s="19"/>
    </row>
    <row r="380" spans="1:8" ht="14.25" customHeight="1" x14ac:dyDescent="0.3">
      <c r="A380" s="304">
        <v>44480</v>
      </c>
      <c r="B380" s="305">
        <v>17945.94921875</v>
      </c>
      <c r="C380" s="305">
        <v>424.85000610351602</v>
      </c>
      <c r="D380" s="19"/>
      <c r="E380" s="19">
        <f t="shared" si="10"/>
        <v>2.8359561343595336E-3</v>
      </c>
      <c r="F380" s="19">
        <f t="shared" si="11"/>
        <v>2.1642418823867138E-2</v>
      </c>
      <c r="G380" s="19"/>
      <c r="H380" s="19"/>
    </row>
    <row r="381" spans="1:8" ht="14.25" customHeight="1" x14ac:dyDescent="0.3">
      <c r="A381" s="304">
        <v>44481</v>
      </c>
      <c r="B381" s="305">
        <v>17991.94921875</v>
      </c>
      <c r="C381" s="305">
        <v>429</v>
      </c>
      <c r="D381" s="19"/>
      <c r="E381" s="19">
        <f t="shared" si="10"/>
        <v>2.5632525445875558E-3</v>
      </c>
      <c r="F381" s="19">
        <f t="shared" si="11"/>
        <v>9.7681389593126614E-3</v>
      </c>
      <c r="G381" s="19"/>
      <c r="H381" s="19"/>
    </row>
    <row r="382" spans="1:8" ht="14.25" customHeight="1" x14ac:dyDescent="0.3">
      <c r="A382" s="304">
        <v>44482</v>
      </c>
      <c r="B382" s="305">
        <v>18161.75</v>
      </c>
      <c r="C382" s="305">
        <v>427.5</v>
      </c>
      <c r="D382" s="19"/>
      <c r="E382" s="19">
        <f t="shared" si="10"/>
        <v>9.4375978492116375E-3</v>
      </c>
      <c r="F382" s="19">
        <f t="shared" si="11"/>
        <v>-3.4965034965034965E-3</v>
      </c>
      <c r="G382" s="19"/>
      <c r="H382" s="19"/>
    </row>
    <row r="383" spans="1:8" ht="14.25" customHeight="1" x14ac:dyDescent="0.3">
      <c r="A383" s="304">
        <v>44483</v>
      </c>
      <c r="B383" s="305">
        <v>18338.55078125</v>
      </c>
      <c r="C383" s="305">
        <v>434.89999389648398</v>
      </c>
      <c r="D383" s="19"/>
      <c r="E383" s="19">
        <f t="shared" si="10"/>
        <v>9.7347877407188178E-3</v>
      </c>
      <c r="F383" s="19">
        <f t="shared" si="11"/>
        <v>1.7309927243237374E-2</v>
      </c>
      <c r="G383" s="19"/>
      <c r="H383" s="19"/>
    </row>
    <row r="384" spans="1:8" ht="14.25" customHeight="1" x14ac:dyDescent="0.3">
      <c r="A384" s="304">
        <v>44487</v>
      </c>
      <c r="B384" s="305">
        <v>18477.05078125</v>
      </c>
      <c r="C384" s="305">
        <v>441.75</v>
      </c>
      <c r="D384" s="19"/>
      <c r="E384" s="19">
        <f t="shared" si="10"/>
        <v>7.5523961327198996E-3</v>
      </c>
      <c r="F384" s="19">
        <f t="shared" si="11"/>
        <v>1.5750761553577946E-2</v>
      </c>
      <c r="G384" s="19"/>
      <c r="H384" s="19"/>
    </row>
    <row r="385" spans="1:8" ht="14.25" customHeight="1" x14ac:dyDescent="0.3">
      <c r="A385" s="304">
        <v>44488</v>
      </c>
      <c r="B385" s="305">
        <v>18418.75</v>
      </c>
      <c r="C385" s="305">
        <v>414.45001220703102</v>
      </c>
      <c r="D385" s="19"/>
      <c r="E385" s="19">
        <f t="shared" si="10"/>
        <v>-3.1553077349964326E-3</v>
      </c>
      <c r="F385" s="19">
        <f t="shared" si="11"/>
        <v>-6.179963280807918E-2</v>
      </c>
      <c r="G385" s="19"/>
      <c r="H385" s="19"/>
    </row>
    <row r="386" spans="1:8" ht="14.25" customHeight="1" x14ac:dyDescent="0.3">
      <c r="A386" s="304">
        <v>44489</v>
      </c>
      <c r="B386" s="305">
        <v>18266.599609375</v>
      </c>
      <c r="C386" s="305">
        <v>412.95001220703102</v>
      </c>
      <c r="D386" s="19"/>
      <c r="E386" s="19">
        <f t="shared" si="10"/>
        <v>-8.2606252120800815E-3</v>
      </c>
      <c r="F386" s="19">
        <f t="shared" si="11"/>
        <v>-3.6192543269867299E-3</v>
      </c>
      <c r="G386" s="19"/>
      <c r="H386" s="19"/>
    </row>
    <row r="387" spans="1:8" ht="14.25" customHeight="1" x14ac:dyDescent="0.3">
      <c r="A387" s="304">
        <v>44490</v>
      </c>
      <c r="B387" s="305">
        <v>18178.099609375</v>
      </c>
      <c r="C387" s="305">
        <v>407.10000610351602</v>
      </c>
      <c r="D387" s="19"/>
      <c r="E387" s="19">
        <f t="shared" ref="E387:E450" si="12">(B387-B386)/B386</f>
        <v>-4.8449082967023036E-3</v>
      </c>
      <c r="F387" s="19">
        <f t="shared" ref="F387:F450" si="13">(C387-C386)/C386</f>
        <v>-1.4166378328091972E-2</v>
      </c>
      <c r="G387" s="19"/>
      <c r="H387" s="19"/>
    </row>
    <row r="388" spans="1:8" ht="14.25" customHeight="1" x14ac:dyDescent="0.3">
      <c r="A388" s="304">
        <v>44491</v>
      </c>
      <c r="B388" s="305">
        <v>18114.900390625</v>
      </c>
      <c r="C388" s="305">
        <v>413.64999389648398</v>
      </c>
      <c r="D388" s="19"/>
      <c r="E388" s="19">
        <f t="shared" si="12"/>
        <v>-3.4766680845673349E-3</v>
      </c>
      <c r="F388" s="19">
        <f t="shared" si="13"/>
        <v>1.6089382694095183E-2</v>
      </c>
      <c r="G388" s="19"/>
      <c r="H388" s="19"/>
    </row>
    <row r="389" spans="1:8" ht="14.25" customHeight="1" x14ac:dyDescent="0.3">
      <c r="A389" s="304">
        <v>44494</v>
      </c>
      <c r="B389" s="305">
        <v>18125.400390625</v>
      </c>
      <c r="C389" s="305">
        <v>401.14999389648398</v>
      </c>
      <c r="D389" s="19"/>
      <c r="E389" s="19">
        <f t="shared" si="12"/>
        <v>5.7963332801068358E-4</v>
      </c>
      <c r="F389" s="19">
        <f t="shared" si="13"/>
        <v>-3.0218784442018216E-2</v>
      </c>
      <c r="G389" s="19"/>
      <c r="H389" s="19"/>
    </row>
    <row r="390" spans="1:8" ht="14.25" customHeight="1" x14ac:dyDescent="0.3">
      <c r="A390" s="304">
        <v>44495</v>
      </c>
      <c r="B390" s="305">
        <v>18268.400390625</v>
      </c>
      <c r="C390" s="305">
        <v>415.85000610351602</v>
      </c>
      <c r="D390" s="19"/>
      <c r="E390" s="19">
        <f t="shared" si="12"/>
        <v>7.8894808897001737E-3</v>
      </c>
      <c r="F390" s="19">
        <f t="shared" si="13"/>
        <v>3.6644677628551468E-2</v>
      </c>
      <c r="G390" s="19"/>
      <c r="H390" s="19"/>
    </row>
    <row r="391" spans="1:8" ht="14.25" customHeight="1" x14ac:dyDescent="0.3">
      <c r="A391" s="304">
        <v>44496</v>
      </c>
      <c r="B391" s="305">
        <v>18210.94921875</v>
      </c>
      <c r="C391" s="305">
        <v>414.39999389648398</v>
      </c>
      <c r="D391" s="19"/>
      <c r="E391" s="19">
        <f t="shared" si="12"/>
        <v>-3.144838663842887E-3</v>
      </c>
      <c r="F391" s="19">
        <f t="shared" si="13"/>
        <v>-3.4868634982563873E-3</v>
      </c>
      <c r="G391" s="19"/>
      <c r="H391" s="19"/>
    </row>
    <row r="392" spans="1:8" ht="14.25" customHeight="1" x14ac:dyDescent="0.3">
      <c r="A392" s="304">
        <v>44497</v>
      </c>
      <c r="B392" s="305">
        <v>17857.25</v>
      </c>
      <c r="C392" s="305">
        <v>396.54998779296898</v>
      </c>
      <c r="D392" s="19"/>
      <c r="E392" s="19">
        <f t="shared" si="12"/>
        <v>-1.942233842406365E-2</v>
      </c>
      <c r="F392" s="19">
        <f t="shared" si="13"/>
        <v>-4.3074339687306763E-2</v>
      </c>
      <c r="G392" s="19"/>
      <c r="H392" s="19"/>
    </row>
    <row r="393" spans="1:8" ht="14.25" customHeight="1" x14ac:dyDescent="0.3">
      <c r="A393" s="304">
        <v>44498</v>
      </c>
      <c r="B393" s="305">
        <v>17671.650390625</v>
      </c>
      <c r="C393" s="305">
        <v>398.60000610351602</v>
      </c>
      <c r="D393" s="19"/>
      <c r="E393" s="19">
        <f t="shared" si="12"/>
        <v>-1.0393515763905417E-2</v>
      </c>
      <c r="F393" s="19">
        <f t="shared" si="13"/>
        <v>5.1696340276205484E-3</v>
      </c>
      <c r="G393" s="19"/>
      <c r="H393" s="19"/>
    </row>
    <row r="394" spans="1:8" ht="14.25" customHeight="1" x14ac:dyDescent="0.3">
      <c r="A394" s="304">
        <v>44501</v>
      </c>
      <c r="B394" s="305">
        <v>17929.650390625</v>
      </c>
      <c r="C394" s="305">
        <v>408.85000610351602</v>
      </c>
      <c r="D394" s="19"/>
      <c r="E394" s="19">
        <f t="shared" si="12"/>
        <v>1.4599655057507915E-2</v>
      </c>
      <c r="F394" s="19">
        <f t="shared" si="13"/>
        <v>2.5715002115022759E-2</v>
      </c>
      <c r="G394" s="19"/>
      <c r="H394" s="19"/>
    </row>
    <row r="395" spans="1:8" ht="14.25" customHeight="1" x14ac:dyDescent="0.3">
      <c r="A395" s="304">
        <v>44502</v>
      </c>
      <c r="B395" s="305">
        <v>17888.94921875</v>
      </c>
      <c r="C395" s="305">
        <v>430.04998779296898</v>
      </c>
      <c r="D395" s="19"/>
      <c r="E395" s="19">
        <f t="shared" si="12"/>
        <v>-2.2700482713417379E-3</v>
      </c>
      <c r="F395" s="19">
        <f t="shared" si="13"/>
        <v>5.185271217553894E-2</v>
      </c>
      <c r="G395" s="19"/>
      <c r="H395" s="19"/>
    </row>
    <row r="396" spans="1:8" ht="14.25" customHeight="1" x14ac:dyDescent="0.3">
      <c r="A396" s="304">
        <v>44503</v>
      </c>
      <c r="B396" s="305">
        <v>17829.19921875</v>
      </c>
      <c r="C396" s="305">
        <v>429.64999389648398</v>
      </c>
      <c r="D396" s="19"/>
      <c r="E396" s="19">
        <f t="shared" si="12"/>
        <v>-3.3400508475575552E-3</v>
      </c>
      <c r="F396" s="19">
        <f t="shared" si="13"/>
        <v>-9.3011023796973566E-4</v>
      </c>
      <c r="G396" s="19"/>
      <c r="H396" s="19"/>
    </row>
    <row r="397" spans="1:8" ht="14.25" customHeight="1" x14ac:dyDescent="0.3">
      <c r="A397" s="304">
        <v>44504</v>
      </c>
      <c r="B397" s="305">
        <v>17916.80078125</v>
      </c>
      <c r="C397" s="305">
        <v>429.64999389648398</v>
      </c>
      <c r="D397" s="19"/>
      <c r="E397" s="19">
        <f t="shared" si="12"/>
        <v>4.9133761659847404E-3</v>
      </c>
      <c r="F397" s="19">
        <f t="shared" si="13"/>
        <v>0</v>
      </c>
      <c r="G397" s="19"/>
      <c r="H397" s="19"/>
    </row>
    <row r="398" spans="1:8" ht="14.25" customHeight="1" x14ac:dyDescent="0.3">
      <c r="A398" s="304">
        <v>44508</v>
      </c>
      <c r="B398" s="305">
        <v>18068.55078125</v>
      </c>
      <c r="C398" s="305">
        <v>442.20001220703102</v>
      </c>
      <c r="D398" s="19"/>
      <c r="E398" s="19">
        <f t="shared" si="12"/>
        <v>8.4697040421863115E-3</v>
      </c>
      <c r="F398" s="19">
        <f t="shared" si="13"/>
        <v>2.9209864980402477E-2</v>
      </c>
      <c r="G398" s="19"/>
      <c r="H398" s="19"/>
    </row>
    <row r="399" spans="1:8" ht="14.25" customHeight="1" x14ac:dyDescent="0.3">
      <c r="A399" s="304">
        <v>44509</v>
      </c>
      <c r="B399" s="305">
        <v>18044.25</v>
      </c>
      <c r="C399" s="305">
        <v>437.39999389648398</v>
      </c>
      <c r="D399" s="19"/>
      <c r="E399" s="19">
        <f t="shared" si="12"/>
        <v>-1.3449214352717915E-3</v>
      </c>
      <c r="F399" s="19">
        <f t="shared" si="13"/>
        <v>-1.0854857933155717E-2</v>
      </c>
      <c r="G399" s="19"/>
      <c r="H399" s="19"/>
    </row>
    <row r="400" spans="1:8" ht="14.25" customHeight="1" x14ac:dyDescent="0.3">
      <c r="A400" s="304">
        <v>44510</v>
      </c>
      <c r="B400" s="305">
        <v>18017.19921875</v>
      </c>
      <c r="C400" s="305">
        <v>434.5</v>
      </c>
      <c r="D400" s="19"/>
      <c r="E400" s="19">
        <f t="shared" si="12"/>
        <v>-1.499135805034845E-3</v>
      </c>
      <c r="F400" s="19">
        <f t="shared" si="13"/>
        <v>-6.6300730154337769E-3</v>
      </c>
      <c r="G400" s="19"/>
      <c r="H400" s="19"/>
    </row>
    <row r="401" spans="1:8" ht="14.25" customHeight="1" x14ac:dyDescent="0.3">
      <c r="A401" s="304">
        <v>44511</v>
      </c>
      <c r="B401" s="305">
        <v>17873.599609375</v>
      </c>
      <c r="C401" s="305">
        <v>416</v>
      </c>
      <c r="D401" s="19"/>
      <c r="E401" s="19">
        <f t="shared" si="12"/>
        <v>-7.970140510271978E-3</v>
      </c>
      <c r="F401" s="19">
        <f t="shared" si="13"/>
        <v>-4.2577675489067893E-2</v>
      </c>
      <c r="G401" s="19"/>
      <c r="H401" s="19"/>
    </row>
    <row r="402" spans="1:8" ht="14.25" customHeight="1" x14ac:dyDescent="0.3">
      <c r="A402" s="304">
        <v>44512</v>
      </c>
      <c r="B402" s="305">
        <v>18102.75</v>
      </c>
      <c r="C402" s="305">
        <v>428.35000610351602</v>
      </c>
      <c r="D402" s="19"/>
      <c r="E402" s="19">
        <f t="shared" si="12"/>
        <v>1.2820606684330492E-2</v>
      </c>
      <c r="F402" s="19">
        <f t="shared" si="13"/>
        <v>2.9687514671913516E-2</v>
      </c>
      <c r="G402" s="19"/>
      <c r="H402" s="19"/>
    </row>
    <row r="403" spans="1:8" ht="14.25" customHeight="1" x14ac:dyDescent="0.3">
      <c r="A403" s="304">
        <v>44515</v>
      </c>
      <c r="B403" s="305">
        <v>18109.44921875</v>
      </c>
      <c r="C403" s="305">
        <v>424.04998779296898</v>
      </c>
      <c r="D403" s="19"/>
      <c r="E403" s="19">
        <f t="shared" si="12"/>
        <v>3.7006635732140142E-4</v>
      </c>
      <c r="F403" s="19">
        <f t="shared" si="13"/>
        <v>-1.003856250560644E-2</v>
      </c>
      <c r="G403" s="19"/>
      <c r="H403" s="19"/>
    </row>
    <row r="404" spans="1:8" ht="14.25" customHeight="1" x14ac:dyDescent="0.3">
      <c r="A404" s="304">
        <v>44516</v>
      </c>
      <c r="B404" s="305">
        <v>17999.19921875</v>
      </c>
      <c r="C404" s="305">
        <v>423.79998779296898</v>
      </c>
      <c r="D404" s="19"/>
      <c r="E404" s="19">
        <f t="shared" si="12"/>
        <v>-6.0879819517564533E-3</v>
      </c>
      <c r="F404" s="19">
        <f t="shared" si="13"/>
        <v>-5.8955313570733029E-4</v>
      </c>
      <c r="G404" s="19"/>
      <c r="H404" s="19"/>
    </row>
    <row r="405" spans="1:8" ht="14.25" customHeight="1" x14ac:dyDescent="0.3">
      <c r="A405" s="304">
        <v>44517</v>
      </c>
      <c r="B405" s="305">
        <v>17898.650390625</v>
      </c>
      <c r="C405" s="305">
        <v>417.95001220703102</v>
      </c>
      <c r="D405" s="19"/>
      <c r="E405" s="19">
        <f t="shared" si="12"/>
        <v>-5.5862945291619958E-3</v>
      </c>
      <c r="F405" s="19">
        <f t="shared" si="13"/>
        <v>-1.3803623771682913E-2</v>
      </c>
      <c r="G405" s="19"/>
      <c r="H405" s="19"/>
    </row>
    <row r="406" spans="1:8" ht="14.25" customHeight="1" x14ac:dyDescent="0.3">
      <c r="A406" s="304">
        <v>44518</v>
      </c>
      <c r="B406" s="305">
        <v>17764.80078125</v>
      </c>
      <c r="C406" s="305">
        <v>415.89999389648398</v>
      </c>
      <c r="D406" s="19"/>
      <c r="E406" s="19">
        <f t="shared" si="12"/>
        <v>-7.4781956434608098E-3</v>
      </c>
      <c r="F406" s="19">
        <f t="shared" si="13"/>
        <v>-4.9049365968951604E-3</v>
      </c>
      <c r="G406" s="19"/>
      <c r="H406" s="19"/>
    </row>
    <row r="407" spans="1:8" ht="14.25" customHeight="1" x14ac:dyDescent="0.3">
      <c r="A407" s="304">
        <v>44522</v>
      </c>
      <c r="B407" s="305">
        <v>17416.55078125</v>
      </c>
      <c r="C407" s="305">
        <v>400.45001220703102</v>
      </c>
      <c r="D407" s="19"/>
      <c r="E407" s="19">
        <f t="shared" si="12"/>
        <v>-1.96033721001568E-2</v>
      </c>
      <c r="F407" s="19">
        <f t="shared" si="13"/>
        <v>-3.7148309488310306E-2</v>
      </c>
      <c r="G407" s="19"/>
      <c r="H407" s="19"/>
    </row>
    <row r="408" spans="1:8" ht="14.25" customHeight="1" x14ac:dyDescent="0.3">
      <c r="A408" s="304">
        <v>44523</v>
      </c>
      <c r="B408" s="305">
        <v>17503.349609375</v>
      </c>
      <c r="C408" s="305">
        <v>407.95001220703102</v>
      </c>
      <c r="D408" s="19"/>
      <c r="E408" s="19">
        <f t="shared" si="12"/>
        <v>4.9836979327987458E-3</v>
      </c>
      <c r="F408" s="19">
        <f t="shared" si="13"/>
        <v>1.8728929382882703E-2</v>
      </c>
      <c r="G408" s="19"/>
      <c r="H408" s="19"/>
    </row>
    <row r="409" spans="1:8" ht="14.25" customHeight="1" x14ac:dyDescent="0.3">
      <c r="A409" s="304">
        <v>44524</v>
      </c>
      <c r="B409" s="305">
        <v>17415.05078125</v>
      </c>
      <c r="C409" s="305">
        <v>403.5</v>
      </c>
      <c r="D409" s="19"/>
      <c r="E409" s="19">
        <f t="shared" si="12"/>
        <v>-5.0446817378146927E-3</v>
      </c>
      <c r="F409" s="19">
        <f t="shared" si="13"/>
        <v>-1.0908229130711929E-2</v>
      </c>
      <c r="G409" s="19"/>
      <c r="H409" s="19"/>
    </row>
    <row r="410" spans="1:8" ht="14.25" customHeight="1" x14ac:dyDescent="0.3">
      <c r="A410" s="304">
        <v>44525</v>
      </c>
      <c r="B410" s="305">
        <v>17536.25</v>
      </c>
      <c r="C410" s="305">
        <v>407.25</v>
      </c>
      <c r="D410" s="19"/>
      <c r="E410" s="19">
        <f t="shared" si="12"/>
        <v>6.9594525030320176E-3</v>
      </c>
      <c r="F410" s="19">
        <f t="shared" si="13"/>
        <v>9.2936802973977699E-3</v>
      </c>
      <c r="G410" s="19"/>
      <c r="H410" s="19"/>
    </row>
    <row r="411" spans="1:8" ht="14.25" customHeight="1" x14ac:dyDescent="0.3">
      <c r="A411" s="304">
        <v>44526</v>
      </c>
      <c r="B411" s="305">
        <v>17026.44921875</v>
      </c>
      <c r="C411" s="305">
        <v>376.85000610351602</v>
      </c>
      <c r="D411" s="19"/>
      <c r="E411" s="19">
        <f t="shared" si="12"/>
        <v>-2.9071254187753939E-2</v>
      </c>
      <c r="F411" s="19">
        <f t="shared" si="13"/>
        <v>-7.4647007726173054E-2</v>
      </c>
      <c r="G411" s="19"/>
      <c r="H411" s="19"/>
    </row>
    <row r="412" spans="1:8" ht="14.25" customHeight="1" x14ac:dyDescent="0.3">
      <c r="A412" s="304">
        <v>44529</v>
      </c>
      <c r="B412" s="305">
        <v>17053.94921875</v>
      </c>
      <c r="C412" s="305">
        <v>374.85000610351602</v>
      </c>
      <c r="D412" s="19"/>
      <c r="E412" s="19">
        <f t="shared" si="12"/>
        <v>1.615134174289037E-3</v>
      </c>
      <c r="F412" s="19">
        <f t="shared" si="13"/>
        <v>-5.3071513005379248E-3</v>
      </c>
      <c r="G412" s="19"/>
      <c r="H412" s="19"/>
    </row>
    <row r="413" spans="1:8" ht="14.25" customHeight="1" x14ac:dyDescent="0.3">
      <c r="A413" s="304">
        <v>44530</v>
      </c>
      <c r="B413" s="305">
        <v>16983.19921875</v>
      </c>
      <c r="C413" s="305">
        <v>374.79998779296898</v>
      </c>
      <c r="D413" s="19"/>
      <c r="E413" s="19">
        <f t="shared" si="12"/>
        <v>-4.1485991949720222E-3</v>
      </c>
      <c r="F413" s="19">
        <f t="shared" si="13"/>
        <v>-1.3343553350038579E-4</v>
      </c>
      <c r="G413" s="19"/>
      <c r="H413" s="19"/>
    </row>
    <row r="414" spans="1:8" ht="14.25" customHeight="1" x14ac:dyDescent="0.3">
      <c r="A414" s="304">
        <v>44531</v>
      </c>
      <c r="B414" s="305">
        <v>17166.900390625</v>
      </c>
      <c r="C414" s="305">
        <v>383.10000610351602</v>
      </c>
      <c r="D414" s="19"/>
      <c r="E414" s="19">
        <f t="shared" si="12"/>
        <v>1.0816641170421411E-2</v>
      </c>
      <c r="F414" s="19">
        <f t="shared" si="13"/>
        <v>2.2145193652278846E-2</v>
      </c>
      <c r="G414" s="19"/>
      <c r="H414" s="19"/>
    </row>
    <row r="415" spans="1:8" ht="14.25" customHeight="1" x14ac:dyDescent="0.3">
      <c r="A415" s="304">
        <v>44532</v>
      </c>
      <c r="B415" s="305">
        <v>17401.650390625</v>
      </c>
      <c r="C415" s="305">
        <v>385.04998779296898</v>
      </c>
      <c r="D415" s="19"/>
      <c r="E415" s="19">
        <f t="shared" si="12"/>
        <v>1.3674571102433792E-2</v>
      </c>
      <c r="F415" s="19">
        <f t="shared" si="13"/>
        <v>5.0900069391438671E-3</v>
      </c>
      <c r="G415" s="19"/>
      <c r="H415" s="19"/>
    </row>
    <row r="416" spans="1:8" ht="14.25" customHeight="1" x14ac:dyDescent="0.3">
      <c r="A416" s="304">
        <v>44533</v>
      </c>
      <c r="B416" s="305">
        <v>17196.69921875</v>
      </c>
      <c r="C416" s="305">
        <v>386.20001220703102</v>
      </c>
      <c r="D416" s="19"/>
      <c r="E416" s="19">
        <f t="shared" si="12"/>
        <v>-1.1777685867394267E-2</v>
      </c>
      <c r="F416" s="19">
        <f t="shared" si="13"/>
        <v>2.9866886132207397E-3</v>
      </c>
      <c r="G416" s="19"/>
      <c r="H416" s="19"/>
    </row>
    <row r="417" spans="1:8" ht="14.25" customHeight="1" x14ac:dyDescent="0.3">
      <c r="A417" s="304">
        <v>44536</v>
      </c>
      <c r="B417" s="305">
        <v>16912.25</v>
      </c>
      <c r="C417" s="305">
        <v>376.5</v>
      </c>
      <c r="D417" s="19"/>
      <c r="E417" s="19">
        <f t="shared" si="12"/>
        <v>-1.6540919575999662E-2</v>
      </c>
      <c r="F417" s="19">
        <f t="shared" si="13"/>
        <v>-2.5116550752026175E-2</v>
      </c>
      <c r="G417" s="19"/>
      <c r="H417" s="19"/>
    </row>
    <row r="418" spans="1:8" ht="14.25" customHeight="1" x14ac:dyDescent="0.3">
      <c r="A418" s="304">
        <v>44537</v>
      </c>
      <c r="B418" s="305">
        <v>17176.69921875</v>
      </c>
      <c r="C418" s="305">
        <v>391.20001220703102</v>
      </c>
      <c r="D418" s="19"/>
      <c r="E418" s="19">
        <f t="shared" si="12"/>
        <v>1.5636548581649395E-2</v>
      </c>
      <c r="F418" s="19">
        <f t="shared" si="13"/>
        <v>3.9043857123588377E-2</v>
      </c>
      <c r="G418" s="19"/>
      <c r="H418" s="19"/>
    </row>
    <row r="419" spans="1:8" ht="14.25" customHeight="1" x14ac:dyDescent="0.3">
      <c r="A419" s="304">
        <v>44538</v>
      </c>
      <c r="B419" s="305">
        <v>17469.75</v>
      </c>
      <c r="C419" s="305">
        <v>397.70001220703102</v>
      </c>
      <c r="D419" s="19"/>
      <c r="E419" s="19">
        <f t="shared" si="12"/>
        <v>1.7060948527881727E-2</v>
      </c>
      <c r="F419" s="19">
        <f t="shared" si="13"/>
        <v>1.6615541403817921E-2</v>
      </c>
      <c r="G419" s="19"/>
      <c r="H419" s="19"/>
    </row>
    <row r="420" spans="1:8" ht="14.25" customHeight="1" x14ac:dyDescent="0.3">
      <c r="A420" s="304">
        <v>44539</v>
      </c>
      <c r="B420" s="305">
        <v>17516.849609375</v>
      </c>
      <c r="C420" s="305">
        <v>398.60000610351602</v>
      </c>
      <c r="D420" s="19"/>
      <c r="E420" s="19">
        <f t="shared" si="12"/>
        <v>2.6960665936833668E-3</v>
      </c>
      <c r="F420" s="19">
        <f t="shared" si="13"/>
        <v>2.2629969043513375E-3</v>
      </c>
      <c r="G420" s="19"/>
      <c r="H420" s="19"/>
    </row>
    <row r="421" spans="1:8" ht="14.25" customHeight="1" x14ac:dyDescent="0.3">
      <c r="A421" s="304">
        <v>44540</v>
      </c>
      <c r="B421" s="305">
        <v>17511.30078125</v>
      </c>
      <c r="C421" s="305">
        <v>419.10000610351602</v>
      </c>
      <c r="D421" s="19"/>
      <c r="E421" s="19">
        <f t="shared" si="12"/>
        <v>-3.1677089480920548E-4</v>
      </c>
      <c r="F421" s="19">
        <f t="shared" si="13"/>
        <v>5.1430004230045519E-2</v>
      </c>
      <c r="G421" s="19"/>
      <c r="H421" s="19"/>
    </row>
    <row r="422" spans="1:8" ht="14.25" customHeight="1" x14ac:dyDescent="0.3">
      <c r="A422" s="304">
        <v>44543</v>
      </c>
      <c r="B422" s="305">
        <v>17368.25</v>
      </c>
      <c r="C422" s="305">
        <v>414.20001220703102</v>
      </c>
      <c r="D422" s="19"/>
      <c r="E422" s="19">
        <f t="shared" si="12"/>
        <v>-8.1690551168631508E-3</v>
      </c>
      <c r="F422" s="19">
        <f t="shared" si="13"/>
        <v>-1.1691705619481001E-2</v>
      </c>
      <c r="G422" s="19"/>
      <c r="H422" s="19"/>
    </row>
    <row r="423" spans="1:8" ht="14.25" customHeight="1" x14ac:dyDescent="0.3">
      <c r="A423" s="304">
        <v>44544</v>
      </c>
      <c r="B423" s="305">
        <v>17324.900390625</v>
      </c>
      <c r="C423" s="305">
        <v>417</v>
      </c>
      <c r="D423" s="19"/>
      <c r="E423" s="19">
        <f t="shared" si="12"/>
        <v>-2.4959111813222402E-3</v>
      </c>
      <c r="F423" s="19">
        <f t="shared" si="13"/>
        <v>6.7599896437700964E-3</v>
      </c>
      <c r="G423" s="19"/>
      <c r="H423" s="19"/>
    </row>
    <row r="424" spans="1:8" ht="14.25" customHeight="1" x14ac:dyDescent="0.3">
      <c r="A424" s="304">
        <v>44545</v>
      </c>
      <c r="B424" s="305">
        <v>17221.400390625</v>
      </c>
      <c r="C424" s="305">
        <v>411</v>
      </c>
      <c r="D424" s="19"/>
      <c r="E424" s="19">
        <f t="shared" si="12"/>
        <v>-5.9740603216401067E-3</v>
      </c>
      <c r="F424" s="19">
        <f t="shared" si="13"/>
        <v>-1.4388489208633094E-2</v>
      </c>
      <c r="G424" s="19"/>
      <c r="H424" s="19"/>
    </row>
    <row r="425" spans="1:8" ht="14.25" customHeight="1" x14ac:dyDescent="0.3">
      <c r="A425" s="304">
        <v>44546</v>
      </c>
      <c r="B425" s="305">
        <v>17248.400390625</v>
      </c>
      <c r="C425" s="305">
        <v>405.14999389648398</v>
      </c>
      <c r="D425" s="19"/>
      <c r="E425" s="19">
        <f t="shared" si="12"/>
        <v>1.5678167505296654E-3</v>
      </c>
      <c r="F425" s="19">
        <f t="shared" si="13"/>
        <v>-1.4233591492739716E-2</v>
      </c>
      <c r="G425" s="19"/>
      <c r="H425" s="19"/>
    </row>
    <row r="426" spans="1:8" ht="14.25" customHeight="1" x14ac:dyDescent="0.3">
      <c r="A426" s="304">
        <v>44547</v>
      </c>
      <c r="B426" s="305">
        <v>16985.19921875</v>
      </c>
      <c r="C426" s="305">
        <v>390.20001220703102</v>
      </c>
      <c r="D426" s="19"/>
      <c r="E426" s="19">
        <f t="shared" si="12"/>
        <v>-1.525945397337004E-2</v>
      </c>
      <c r="F426" s="19">
        <f t="shared" si="13"/>
        <v>-3.689986897364407E-2</v>
      </c>
      <c r="G426" s="19"/>
      <c r="H426" s="19"/>
    </row>
    <row r="427" spans="1:8" ht="14.25" customHeight="1" x14ac:dyDescent="0.3">
      <c r="A427" s="304">
        <v>44550</v>
      </c>
      <c r="B427" s="305">
        <v>16614.19921875</v>
      </c>
      <c r="C427" s="305">
        <v>366.70001220703102</v>
      </c>
      <c r="D427" s="19"/>
      <c r="E427" s="19">
        <f t="shared" si="12"/>
        <v>-2.1842546279377886E-2</v>
      </c>
      <c r="F427" s="19">
        <f t="shared" si="13"/>
        <v>-6.0225523487506837E-2</v>
      </c>
      <c r="G427" s="19"/>
      <c r="H427" s="19"/>
    </row>
    <row r="428" spans="1:8" ht="14.25" customHeight="1" x14ac:dyDescent="0.3">
      <c r="A428" s="304">
        <v>44551</v>
      </c>
      <c r="B428" s="305">
        <v>16770.849609375</v>
      </c>
      <c r="C428" s="305">
        <v>372.89999389648398</v>
      </c>
      <c r="D428" s="19"/>
      <c r="E428" s="19">
        <f t="shared" si="12"/>
        <v>9.4287054442089378E-3</v>
      </c>
      <c r="F428" s="19">
        <f t="shared" si="13"/>
        <v>1.6907503362592138E-2</v>
      </c>
      <c r="G428" s="19"/>
      <c r="H428" s="19"/>
    </row>
    <row r="429" spans="1:8" ht="14.25" customHeight="1" x14ac:dyDescent="0.3">
      <c r="A429" s="304">
        <v>44552</v>
      </c>
      <c r="B429" s="305">
        <v>16955.44921875</v>
      </c>
      <c r="C429" s="305">
        <v>377.25</v>
      </c>
      <c r="D429" s="19"/>
      <c r="E429" s="19">
        <f t="shared" si="12"/>
        <v>1.1007170994593368E-2</v>
      </c>
      <c r="F429" s="19">
        <f t="shared" si="13"/>
        <v>1.1665342383254564E-2</v>
      </c>
      <c r="G429" s="19"/>
      <c r="H429" s="19"/>
    </row>
    <row r="430" spans="1:8" ht="14.25" customHeight="1" x14ac:dyDescent="0.3">
      <c r="A430" s="304">
        <v>44553</v>
      </c>
      <c r="B430" s="305">
        <v>17072.599609375</v>
      </c>
      <c r="C430" s="305">
        <v>383.70001220703102</v>
      </c>
      <c r="D430" s="19"/>
      <c r="E430" s="19">
        <f t="shared" si="12"/>
        <v>6.9093062126275315E-3</v>
      </c>
      <c r="F430" s="19">
        <f t="shared" si="13"/>
        <v>1.7097447864893367E-2</v>
      </c>
      <c r="G430" s="19"/>
      <c r="H430" s="19"/>
    </row>
    <row r="431" spans="1:8" ht="14.25" customHeight="1" x14ac:dyDescent="0.3">
      <c r="A431" s="304">
        <v>44554</v>
      </c>
      <c r="B431" s="305">
        <v>17003.75</v>
      </c>
      <c r="C431" s="305">
        <v>379.60000610351602</v>
      </c>
      <c r="D431" s="19"/>
      <c r="E431" s="19">
        <f t="shared" si="12"/>
        <v>-4.0327548791803756E-3</v>
      </c>
      <c r="F431" s="19">
        <f t="shared" si="13"/>
        <v>-1.0685446893608074E-2</v>
      </c>
      <c r="G431" s="19"/>
      <c r="H431" s="19"/>
    </row>
    <row r="432" spans="1:8" ht="14.25" customHeight="1" x14ac:dyDescent="0.3">
      <c r="A432" s="304">
        <v>44557</v>
      </c>
      <c r="B432" s="305">
        <v>17086.25</v>
      </c>
      <c r="C432" s="305">
        <v>382.60000610351602</v>
      </c>
      <c r="D432" s="19"/>
      <c r="E432" s="19">
        <f t="shared" si="12"/>
        <v>4.8518709108284937E-3</v>
      </c>
      <c r="F432" s="19">
        <f t="shared" si="13"/>
        <v>7.9030557211896019E-3</v>
      </c>
      <c r="G432" s="19"/>
      <c r="H432" s="19"/>
    </row>
    <row r="433" spans="1:8" ht="14.25" customHeight="1" x14ac:dyDescent="0.3">
      <c r="A433" s="304">
        <v>44558</v>
      </c>
      <c r="B433" s="305">
        <v>17233.25</v>
      </c>
      <c r="C433" s="305">
        <v>385.79998779296898</v>
      </c>
      <c r="D433" s="19"/>
      <c r="E433" s="19">
        <f t="shared" si="12"/>
        <v>8.6034091740434561E-3</v>
      </c>
      <c r="F433" s="19">
        <f t="shared" si="13"/>
        <v>8.3637784589767339E-3</v>
      </c>
      <c r="G433" s="19"/>
      <c r="H433" s="19"/>
    </row>
    <row r="434" spans="1:8" ht="14.25" customHeight="1" x14ac:dyDescent="0.3">
      <c r="A434" s="304">
        <v>44559</v>
      </c>
      <c r="B434" s="305">
        <v>17213.599609375</v>
      </c>
      <c r="C434" s="305">
        <v>385.70001220703102</v>
      </c>
      <c r="D434" s="19"/>
      <c r="E434" s="19">
        <f t="shared" si="12"/>
        <v>-1.1402602889762524E-3</v>
      </c>
      <c r="F434" s="19">
        <f t="shared" si="13"/>
        <v>-2.5913838543614579E-4</v>
      </c>
      <c r="G434" s="19"/>
      <c r="H434" s="19"/>
    </row>
    <row r="435" spans="1:8" ht="14.25" customHeight="1" x14ac:dyDescent="0.3">
      <c r="A435" s="304">
        <v>44560</v>
      </c>
      <c r="B435" s="305">
        <v>17203.94921875</v>
      </c>
      <c r="C435" s="305">
        <v>379.20001220703102</v>
      </c>
      <c r="D435" s="19"/>
      <c r="E435" s="19">
        <f t="shared" si="12"/>
        <v>-5.606259494814862E-4</v>
      </c>
      <c r="F435" s="19">
        <f t="shared" si="13"/>
        <v>-1.6852475484265775E-2</v>
      </c>
      <c r="G435" s="19"/>
      <c r="H435" s="19"/>
    </row>
    <row r="436" spans="1:8" ht="14.25" customHeight="1" x14ac:dyDescent="0.3">
      <c r="A436" s="304">
        <v>44561</v>
      </c>
      <c r="B436" s="305">
        <v>17354.05078125</v>
      </c>
      <c r="C436" s="305">
        <v>390.45001220703102</v>
      </c>
      <c r="D436" s="19"/>
      <c r="E436" s="19">
        <f t="shared" si="12"/>
        <v>8.7248317576065267E-3</v>
      </c>
      <c r="F436" s="19">
        <f t="shared" si="13"/>
        <v>2.9667720563937801E-2</v>
      </c>
      <c r="G436" s="19"/>
      <c r="H436" s="19"/>
    </row>
    <row r="437" spans="1:8" ht="14.25" customHeight="1" x14ac:dyDescent="0.3">
      <c r="A437" s="304">
        <v>44564</v>
      </c>
      <c r="B437" s="305">
        <v>17625.69921875</v>
      </c>
      <c r="C437" s="305">
        <v>394.75</v>
      </c>
      <c r="D437" s="19"/>
      <c r="E437" s="19">
        <f t="shared" si="12"/>
        <v>1.565331581220793E-2</v>
      </c>
      <c r="F437" s="19">
        <f t="shared" si="13"/>
        <v>1.1012902186026735E-2</v>
      </c>
      <c r="G437" s="19"/>
      <c r="H437" s="19"/>
    </row>
    <row r="438" spans="1:8" ht="14.25" customHeight="1" x14ac:dyDescent="0.3">
      <c r="A438" s="304">
        <v>44565</v>
      </c>
      <c r="B438" s="305">
        <v>17805.25</v>
      </c>
      <c r="C438" s="305">
        <v>394.45001220703102</v>
      </c>
      <c r="D438" s="19"/>
      <c r="E438" s="19">
        <f t="shared" si="12"/>
        <v>1.0186874235264159E-2</v>
      </c>
      <c r="F438" s="19">
        <f t="shared" si="13"/>
        <v>-7.599437440632739E-4</v>
      </c>
      <c r="G438" s="19"/>
      <c r="H438" s="19"/>
    </row>
    <row r="439" spans="1:8" ht="14.25" customHeight="1" x14ac:dyDescent="0.3">
      <c r="A439" s="304">
        <v>44566</v>
      </c>
      <c r="B439" s="305">
        <v>17925.25</v>
      </c>
      <c r="C439" s="305">
        <v>402.04998779296898</v>
      </c>
      <c r="D439" s="19"/>
      <c r="E439" s="19">
        <f t="shared" si="12"/>
        <v>6.7395852346920151E-3</v>
      </c>
      <c r="F439" s="19">
        <f t="shared" si="13"/>
        <v>1.9267271772700649E-2</v>
      </c>
      <c r="G439" s="19"/>
      <c r="H439" s="19"/>
    </row>
    <row r="440" spans="1:8" ht="14.25" customHeight="1" x14ac:dyDescent="0.3">
      <c r="A440" s="304">
        <v>44567</v>
      </c>
      <c r="B440" s="305">
        <v>17745.900390625</v>
      </c>
      <c r="C440" s="305">
        <v>398.95001220703102</v>
      </c>
      <c r="D440" s="19"/>
      <c r="E440" s="19">
        <f t="shared" si="12"/>
        <v>-1.0005417462796892E-2</v>
      </c>
      <c r="F440" s="19">
        <f t="shared" si="13"/>
        <v>-7.7104232808340532E-3</v>
      </c>
      <c r="G440" s="19"/>
      <c r="H440" s="19"/>
    </row>
    <row r="441" spans="1:8" ht="14.25" customHeight="1" x14ac:dyDescent="0.3">
      <c r="A441" s="304">
        <v>44568</v>
      </c>
      <c r="B441" s="305">
        <v>17812.69921875</v>
      </c>
      <c r="C441" s="305">
        <v>400.60000610351602</v>
      </c>
      <c r="D441" s="19"/>
      <c r="E441" s="19">
        <f t="shared" si="12"/>
        <v>3.7641836511315718E-3</v>
      </c>
      <c r="F441" s="19">
        <f t="shared" si="13"/>
        <v>4.1358411981417681E-3</v>
      </c>
      <c r="G441" s="19"/>
      <c r="H441" s="19"/>
    </row>
    <row r="442" spans="1:8" ht="14.25" customHeight="1" x14ac:dyDescent="0.3">
      <c r="A442" s="304">
        <v>44571</v>
      </c>
      <c r="B442" s="305">
        <v>18003.30078125</v>
      </c>
      <c r="C442" s="305">
        <v>407.95001220703102</v>
      </c>
      <c r="D442" s="19"/>
      <c r="E442" s="19">
        <f t="shared" si="12"/>
        <v>1.0700318921871708E-2</v>
      </c>
      <c r="F442" s="19">
        <f t="shared" si="13"/>
        <v>1.8347493738219613E-2</v>
      </c>
      <c r="G442" s="19"/>
      <c r="H442" s="19"/>
    </row>
    <row r="443" spans="1:8" ht="14.25" customHeight="1" x14ac:dyDescent="0.3">
      <c r="A443" s="304">
        <v>44572</v>
      </c>
      <c r="B443" s="305">
        <v>18055.75</v>
      </c>
      <c r="C443" s="305">
        <v>408.85000610351602</v>
      </c>
      <c r="D443" s="19"/>
      <c r="E443" s="19">
        <f t="shared" si="12"/>
        <v>2.9133112526023332E-3</v>
      </c>
      <c r="F443" s="19">
        <f t="shared" si="13"/>
        <v>2.206137687350433E-3</v>
      </c>
      <c r="G443" s="19"/>
      <c r="H443" s="19"/>
    </row>
    <row r="444" spans="1:8" ht="14.25" customHeight="1" x14ac:dyDescent="0.3">
      <c r="A444" s="304">
        <v>44573</v>
      </c>
      <c r="B444" s="305">
        <v>18212.349609375</v>
      </c>
      <c r="C444" s="305">
        <v>417.54998779296898</v>
      </c>
      <c r="D444" s="19"/>
      <c r="E444" s="19">
        <f t="shared" si="12"/>
        <v>8.6731157318305808E-3</v>
      </c>
      <c r="F444" s="19">
        <f t="shared" si="13"/>
        <v>2.1279152646631539E-2</v>
      </c>
      <c r="G444" s="19"/>
      <c r="H444" s="19"/>
    </row>
    <row r="445" spans="1:8" ht="14.25" customHeight="1" x14ac:dyDescent="0.3">
      <c r="A445" s="304">
        <v>44574</v>
      </c>
      <c r="B445" s="305">
        <v>18257.80078125</v>
      </c>
      <c r="C445" s="305">
        <v>410.79998779296898</v>
      </c>
      <c r="D445" s="19"/>
      <c r="E445" s="19">
        <f t="shared" si="12"/>
        <v>2.495623730592319E-3</v>
      </c>
      <c r="F445" s="19">
        <f t="shared" si="13"/>
        <v>-1.6165729127854286E-2</v>
      </c>
      <c r="G445" s="19"/>
      <c r="H445" s="19"/>
    </row>
    <row r="446" spans="1:8" ht="14.25" customHeight="1" x14ac:dyDescent="0.3">
      <c r="A446" s="304">
        <v>44575</v>
      </c>
      <c r="B446" s="305">
        <v>18255.75</v>
      </c>
      <c r="C446" s="305">
        <v>417.35000610351602</v>
      </c>
      <c r="D446" s="19"/>
      <c r="E446" s="19">
        <f t="shared" si="12"/>
        <v>-1.1232356375068276E-4</v>
      </c>
      <c r="F446" s="19">
        <f t="shared" si="13"/>
        <v>1.5944543586130924E-2</v>
      </c>
      <c r="G446" s="19"/>
      <c r="H446" s="19"/>
    </row>
    <row r="447" spans="1:8" ht="14.25" customHeight="1" x14ac:dyDescent="0.3">
      <c r="A447" s="304">
        <v>44578</v>
      </c>
      <c r="B447" s="305">
        <v>18308.099609375</v>
      </c>
      <c r="C447" s="305">
        <v>423.79998779296898</v>
      </c>
      <c r="D447" s="19"/>
      <c r="E447" s="19">
        <f t="shared" si="12"/>
        <v>2.867568266162716E-3</v>
      </c>
      <c r="F447" s="19">
        <f t="shared" si="13"/>
        <v>1.5454610267462544E-2</v>
      </c>
      <c r="G447" s="19"/>
      <c r="H447" s="19"/>
    </row>
    <row r="448" spans="1:8" ht="14.25" customHeight="1" x14ac:dyDescent="0.3">
      <c r="A448" s="304">
        <v>44579</v>
      </c>
      <c r="B448" s="305">
        <v>18113.05078125</v>
      </c>
      <c r="C448" s="305">
        <v>403.89999389648398</v>
      </c>
      <c r="D448" s="19"/>
      <c r="E448" s="19">
        <f t="shared" si="12"/>
        <v>-1.0653690567923372E-2</v>
      </c>
      <c r="F448" s="19">
        <f t="shared" si="13"/>
        <v>-4.6956098323925319E-2</v>
      </c>
      <c r="G448" s="19"/>
      <c r="H448" s="19"/>
    </row>
    <row r="449" spans="1:8" ht="14.25" customHeight="1" x14ac:dyDescent="0.3">
      <c r="A449" s="304">
        <v>44580</v>
      </c>
      <c r="B449" s="305">
        <v>17938.400390625</v>
      </c>
      <c r="C449" s="305">
        <v>408.25</v>
      </c>
      <c r="D449" s="19"/>
      <c r="E449" s="19">
        <f t="shared" si="12"/>
        <v>-9.642240433941256E-3</v>
      </c>
      <c r="F449" s="19">
        <f t="shared" si="13"/>
        <v>1.0770007846622773E-2</v>
      </c>
      <c r="G449" s="19"/>
      <c r="H449" s="19"/>
    </row>
    <row r="450" spans="1:8" ht="14.25" customHeight="1" x14ac:dyDescent="0.3">
      <c r="A450" s="304">
        <v>44581</v>
      </c>
      <c r="B450" s="305">
        <v>17757</v>
      </c>
      <c r="C450" s="305">
        <v>407.85000610351602</v>
      </c>
      <c r="D450" s="19"/>
      <c r="E450" s="19">
        <f t="shared" si="12"/>
        <v>-1.0112406160797024E-2</v>
      </c>
      <c r="F450" s="19">
        <f t="shared" si="13"/>
        <v>-9.7977684380643501E-4</v>
      </c>
      <c r="G450" s="19"/>
      <c r="H450" s="19"/>
    </row>
    <row r="451" spans="1:8" ht="14.25" customHeight="1" x14ac:dyDescent="0.3">
      <c r="A451" s="304">
        <v>44582</v>
      </c>
      <c r="B451" s="305">
        <v>17617.150390625</v>
      </c>
      <c r="C451" s="305">
        <v>395.10000610351602</v>
      </c>
      <c r="D451" s="19"/>
      <c r="E451" s="19">
        <f t="shared" ref="E451:E514" si="14">(B451-B450)/B450</f>
        <v>-7.875745304668582E-3</v>
      </c>
      <c r="F451" s="19">
        <f t="shared" ref="F451:F514" si="15">(C451-C450)/C450</f>
        <v>-3.1261492728196588E-2</v>
      </c>
      <c r="G451" s="19"/>
      <c r="H451" s="19"/>
    </row>
    <row r="452" spans="1:8" ht="14.25" customHeight="1" x14ac:dyDescent="0.3">
      <c r="A452" s="304">
        <v>44585</v>
      </c>
      <c r="B452" s="305">
        <v>17149.099609375</v>
      </c>
      <c r="C452" s="305">
        <v>372</v>
      </c>
      <c r="D452" s="19"/>
      <c r="E452" s="19">
        <f t="shared" si="14"/>
        <v>-2.6567905187383431E-2</v>
      </c>
      <c r="F452" s="19">
        <f t="shared" si="15"/>
        <v>-5.8466225630641556E-2</v>
      </c>
      <c r="G452" s="19"/>
      <c r="H452" s="19"/>
    </row>
    <row r="453" spans="1:8" ht="14.25" customHeight="1" x14ac:dyDescent="0.3">
      <c r="A453" s="304">
        <v>44586</v>
      </c>
      <c r="B453" s="305">
        <v>17277.94921875</v>
      </c>
      <c r="C453" s="305">
        <v>380.25</v>
      </c>
      <c r="D453" s="19"/>
      <c r="E453" s="19">
        <f t="shared" si="14"/>
        <v>7.5134912216942877E-3</v>
      </c>
      <c r="F453" s="19">
        <f t="shared" si="15"/>
        <v>2.2177419354838711E-2</v>
      </c>
      <c r="G453" s="19"/>
      <c r="H453" s="19"/>
    </row>
    <row r="454" spans="1:8" ht="14.25" customHeight="1" x14ac:dyDescent="0.3">
      <c r="A454" s="304">
        <v>44588</v>
      </c>
      <c r="B454" s="305">
        <v>17110.150390625</v>
      </c>
      <c r="C454" s="305">
        <v>374.14999389648398</v>
      </c>
      <c r="D454" s="19"/>
      <c r="E454" s="19">
        <f t="shared" si="14"/>
        <v>-9.7117329146276816E-3</v>
      </c>
      <c r="F454" s="19">
        <f t="shared" si="15"/>
        <v>-1.6042093631863309E-2</v>
      </c>
      <c r="G454" s="19"/>
      <c r="H454" s="19"/>
    </row>
    <row r="455" spans="1:8" ht="14.25" customHeight="1" x14ac:dyDescent="0.3">
      <c r="A455" s="304">
        <v>44589</v>
      </c>
      <c r="B455" s="305">
        <v>17101.94921875</v>
      </c>
      <c r="C455" s="305">
        <v>378.35000610351602</v>
      </c>
      <c r="D455" s="19"/>
      <c r="E455" s="19">
        <f t="shared" si="14"/>
        <v>-4.7931617710932507E-4</v>
      </c>
      <c r="F455" s="19">
        <f t="shared" si="15"/>
        <v>1.1225477149664374E-2</v>
      </c>
      <c r="G455" s="19"/>
      <c r="H455" s="19"/>
    </row>
    <row r="456" spans="1:8" ht="14.25" customHeight="1" x14ac:dyDescent="0.3">
      <c r="A456" s="304">
        <v>44592</v>
      </c>
      <c r="B456" s="305">
        <v>17339.849609375</v>
      </c>
      <c r="C456" s="305">
        <v>390.89999389648398</v>
      </c>
      <c r="D456" s="19"/>
      <c r="E456" s="19">
        <f t="shared" si="14"/>
        <v>1.3910717870929826E-2</v>
      </c>
      <c r="F456" s="19">
        <f t="shared" si="15"/>
        <v>3.3170312119763241E-2</v>
      </c>
      <c r="G456" s="19"/>
      <c r="H456" s="19"/>
    </row>
    <row r="457" spans="1:8" ht="14.25" customHeight="1" x14ac:dyDescent="0.3">
      <c r="A457" s="304">
        <v>44593</v>
      </c>
      <c r="B457" s="305">
        <v>17576.849609375</v>
      </c>
      <c r="C457" s="305">
        <v>404.79998779296898</v>
      </c>
      <c r="D457" s="19"/>
      <c r="E457" s="19">
        <f t="shared" si="14"/>
        <v>1.366793861187026E-2</v>
      </c>
      <c r="F457" s="19">
        <f t="shared" si="15"/>
        <v>3.5558951428804372E-2</v>
      </c>
      <c r="G457" s="19"/>
      <c r="H457" s="19"/>
    </row>
    <row r="458" spans="1:8" ht="14.25" customHeight="1" x14ac:dyDescent="0.3">
      <c r="A458" s="304">
        <v>44594</v>
      </c>
      <c r="B458" s="305">
        <v>17780</v>
      </c>
      <c r="C458" s="305">
        <v>399.54998779296898</v>
      </c>
      <c r="D458" s="19"/>
      <c r="E458" s="19">
        <f t="shared" si="14"/>
        <v>1.1557838585399586E-2</v>
      </c>
      <c r="F458" s="19">
        <f t="shared" si="15"/>
        <v>-1.2969367980033293E-2</v>
      </c>
      <c r="G458" s="19"/>
      <c r="H458" s="19"/>
    </row>
    <row r="459" spans="1:8" ht="14.25" customHeight="1" x14ac:dyDescent="0.3">
      <c r="A459" s="304">
        <v>44595</v>
      </c>
      <c r="B459" s="305">
        <v>17560.19921875</v>
      </c>
      <c r="C459" s="305">
        <v>403.25</v>
      </c>
      <c r="D459" s="19"/>
      <c r="E459" s="19">
        <f t="shared" si="14"/>
        <v>-1.2362248664229471E-2</v>
      </c>
      <c r="F459" s="19">
        <f t="shared" si="15"/>
        <v>9.2604488050897476E-3</v>
      </c>
      <c r="G459" s="19"/>
      <c r="H459" s="19"/>
    </row>
    <row r="460" spans="1:8" ht="14.25" customHeight="1" x14ac:dyDescent="0.3">
      <c r="A460" s="304">
        <v>44596</v>
      </c>
      <c r="B460" s="305">
        <v>17516.30078125</v>
      </c>
      <c r="C460" s="305">
        <v>399.5</v>
      </c>
      <c r="D460" s="19"/>
      <c r="E460" s="19">
        <f t="shared" si="14"/>
        <v>-2.4998826581151311E-3</v>
      </c>
      <c r="F460" s="19">
        <f t="shared" si="15"/>
        <v>-9.299442033477991E-3</v>
      </c>
      <c r="G460" s="19"/>
      <c r="H460" s="19"/>
    </row>
    <row r="461" spans="1:8" ht="14.25" customHeight="1" x14ac:dyDescent="0.3">
      <c r="A461" s="304">
        <v>44599</v>
      </c>
      <c r="B461" s="305">
        <v>17213.599609375</v>
      </c>
      <c r="C461" s="305">
        <v>387.14999389648398</v>
      </c>
      <c r="D461" s="19"/>
      <c r="E461" s="19">
        <f t="shared" si="14"/>
        <v>-1.7281112927623445E-2</v>
      </c>
      <c r="F461" s="19">
        <f t="shared" si="15"/>
        <v>-3.0913657330453124E-2</v>
      </c>
      <c r="G461" s="19"/>
      <c r="H461" s="19"/>
    </row>
    <row r="462" spans="1:8" ht="14.25" customHeight="1" x14ac:dyDescent="0.3">
      <c r="A462" s="304">
        <v>44600</v>
      </c>
      <c r="B462" s="305">
        <v>17266.75</v>
      </c>
      <c r="C462" s="305">
        <v>384.54998779296898</v>
      </c>
      <c r="D462" s="19"/>
      <c r="E462" s="19">
        <f t="shared" si="14"/>
        <v>3.0876976246184346E-3</v>
      </c>
      <c r="F462" s="19">
        <f t="shared" si="15"/>
        <v>-6.7157591230911614E-3</v>
      </c>
      <c r="G462" s="19"/>
      <c r="H462" s="19"/>
    </row>
    <row r="463" spans="1:8" ht="14.25" customHeight="1" x14ac:dyDescent="0.3">
      <c r="A463" s="304">
        <v>44601</v>
      </c>
      <c r="B463" s="305">
        <v>17463.80078125</v>
      </c>
      <c r="C463" s="305">
        <v>386.35000610351602</v>
      </c>
      <c r="D463" s="19"/>
      <c r="E463" s="19">
        <f t="shared" si="14"/>
        <v>1.1412152330345897E-2</v>
      </c>
      <c r="F463" s="19">
        <f t="shared" si="15"/>
        <v>4.6808434993791375E-3</v>
      </c>
      <c r="G463" s="19"/>
      <c r="H463" s="19"/>
    </row>
    <row r="464" spans="1:8" ht="14.25" customHeight="1" x14ac:dyDescent="0.3">
      <c r="A464" s="304">
        <v>44602</v>
      </c>
      <c r="B464" s="305">
        <v>17605.849609375</v>
      </c>
      <c r="C464" s="305">
        <v>391.14999389648398</v>
      </c>
      <c r="D464" s="19"/>
      <c r="E464" s="19">
        <f t="shared" si="14"/>
        <v>8.1339010851240717E-3</v>
      </c>
      <c r="F464" s="19">
        <f t="shared" si="15"/>
        <v>1.2423936112691242E-2</v>
      </c>
      <c r="G464" s="19"/>
      <c r="H464" s="19"/>
    </row>
    <row r="465" spans="1:8" ht="14.25" customHeight="1" x14ac:dyDescent="0.3">
      <c r="A465" s="304">
        <v>44603</v>
      </c>
      <c r="B465" s="305">
        <v>17374.75</v>
      </c>
      <c r="C465" s="305">
        <v>378.60000610351602</v>
      </c>
      <c r="D465" s="19"/>
      <c r="E465" s="19">
        <f t="shared" si="14"/>
        <v>-1.3126296912813624E-2</v>
      </c>
      <c r="F465" s="19">
        <f t="shared" si="15"/>
        <v>-3.2084847216664533E-2</v>
      </c>
      <c r="G465" s="19"/>
      <c r="H465" s="19"/>
    </row>
    <row r="466" spans="1:8" ht="14.25" customHeight="1" x14ac:dyDescent="0.3">
      <c r="A466" s="304">
        <v>44606</v>
      </c>
      <c r="B466" s="305">
        <v>16842.80078125</v>
      </c>
      <c r="C466" s="305">
        <v>355.04998779296898</v>
      </c>
      <c r="D466" s="19"/>
      <c r="E466" s="19">
        <f t="shared" si="14"/>
        <v>-3.0616222895293456E-2</v>
      </c>
      <c r="F466" s="19">
        <f t="shared" si="15"/>
        <v>-6.2202899975939377E-2</v>
      </c>
      <c r="G466" s="19"/>
      <c r="H466" s="19"/>
    </row>
    <row r="467" spans="1:8" ht="14.25" customHeight="1" x14ac:dyDescent="0.3">
      <c r="A467" s="304">
        <v>44607</v>
      </c>
      <c r="B467" s="305">
        <v>17352.44921875</v>
      </c>
      <c r="C467" s="305">
        <v>371.54998779296898</v>
      </c>
      <c r="D467" s="19"/>
      <c r="E467" s="19">
        <f t="shared" si="14"/>
        <v>3.0259126383977576E-2</v>
      </c>
      <c r="F467" s="19">
        <f t="shared" si="15"/>
        <v>4.6472329438921753E-2</v>
      </c>
      <c r="G467" s="19"/>
      <c r="H467" s="19"/>
    </row>
    <row r="468" spans="1:8" ht="14.25" customHeight="1" x14ac:dyDescent="0.3">
      <c r="A468" s="304">
        <v>44608</v>
      </c>
      <c r="B468" s="305">
        <v>17322.19921875</v>
      </c>
      <c r="C468" s="305">
        <v>367.85000610351602</v>
      </c>
      <c r="D468" s="19"/>
      <c r="E468" s="19">
        <f t="shared" si="14"/>
        <v>-1.7432697608654399E-3</v>
      </c>
      <c r="F468" s="19">
        <f t="shared" si="15"/>
        <v>-9.9582339147178713E-3</v>
      </c>
      <c r="G468" s="19"/>
      <c r="H468" s="19"/>
    </row>
    <row r="469" spans="1:8" ht="14.25" customHeight="1" x14ac:dyDescent="0.3">
      <c r="A469" s="304">
        <v>44609</v>
      </c>
      <c r="B469" s="305">
        <v>17304.599609375</v>
      </c>
      <c r="C469" s="305">
        <v>365.60000610351602</v>
      </c>
      <c r="D469" s="19"/>
      <c r="E469" s="19">
        <f t="shared" si="14"/>
        <v>-1.0160147191904897E-3</v>
      </c>
      <c r="F469" s="19">
        <f t="shared" si="15"/>
        <v>-6.1166235222701922E-3</v>
      </c>
      <c r="G469" s="19"/>
      <c r="H469" s="19"/>
    </row>
    <row r="470" spans="1:8" ht="14.25" customHeight="1" x14ac:dyDescent="0.3">
      <c r="A470" s="304">
        <v>44610</v>
      </c>
      <c r="B470" s="305">
        <v>17276.30078125</v>
      </c>
      <c r="C470" s="305">
        <v>359.64999389648398</v>
      </c>
      <c r="D470" s="19"/>
      <c r="E470" s="19">
        <f t="shared" si="14"/>
        <v>-1.6353356196504385E-3</v>
      </c>
      <c r="F470" s="19">
        <f t="shared" si="15"/>
        <v>-1.6274650185173573E-2</v>
      </c>
      <c r="G470" s="19"/>
      <c r="H470" s="19"/>
    </row>
    <row r="471" spans="1:8" ht="14.25" customHeight="1" x14ac:dyDescent="0.3">
      <c r="A471" s="304">
        <v>44613</v>
      </c>
      <c r="B471" s="305">
        <v>17206.650390625</v>
      </c>
      <c r="C471" s="305">
        <v>346.5</v>
      </c>
      <c r="D471" s="19"/>
      <c r="E471" s="19">
        <f t="shared" si="14"/>
        <v>-4.0315569581071253E-3</v>
      </c>
      <c r="F471" s="19">
        <f t="shared" si="15"/>
        <v>-3.6563309105098626E-2</v>
      </c>
      <c r="G471" s="19"/>
      <c r="H471" s="19"/>
    </row>
    <row r="472" spans="1:8" ht="14.25" customHeight="1" x14ac:dyDescent="0.3">
      <c r="A472" s="304">
        <v>44614</v>
      </c>
      <c r="B472" s="305">
        <v>17092.19921875</v>
      </c>
      <c r="C472" s="305">
        <v>324.35000610351602</v>
      </c>
      <c r="D472" s="19"/>
      <c r="E472" s="19">
        <f t="shared" si="14"/>
        <v>-6.6515660675803834E-3</v>
      </c>
      <c r="F472" s="19">
        <f t="shared" si="15"/>
        <v>-6.3924946310199071E-2</v>
      </c>
      <c r="G472" s="19"/>
      <c r="H472" s="19"/>
    </row>
    <row r="473" spans="1:8" ht="14.25" customHeight="1" x14ac:dyDescent="0.3">
      <c r="A473" s="304">
        <v>44615</v>
      </c>
      <c r="B473" s="305">
        <v>17063.25</v>
      </c>
      <c r="C473" s="305">
        <v>344.20001220703102</v>
      </c>
      <c r="D473" s="19"/>
      <c r="E473" s="19">
        <f t="shared" si="14"/>
        <v>-1.6937094155936908E-3</v>
      </c>
      <c r="F473" s="19">
        <f t="shared" si="15"/>
        <v>6.1199339386415447E-2</v>
      </c>
      <c r="G473" s="19"/>
      <c r="H473" s="19"/>
    </row>
    <row r="474" spans="1:8" ht="14.25" customHeight="1" x14ac:dyDescent="0.3">
      <c r="A474" s="304">
        <v>44616</v>
      </c>
      <c r="B474" s="305">
        <v>16247.9501953125</v>
      </c>
      <c r="C474" s="305">
        <v>320.5</v>
      </c>
      <c r="D474" s="19"/>
      <c r="E474" s="19">
        <f t="shared" si="14"/>
        <v>-4.7781038470836444E-2</v>
      </c>
      <c r="F474" s="19">
        <f t="shared" si="15"/>
        <v>-6.8855349699336529E-2</v>
      </c>
      <c r="G474" s="19"/>
      <c r="H474" s="19"/>
    </row>
    <row r="475" spans="1:8" ht="14.25" customHeight="1" x14ac:dyDescent="0.3">
      <c r="A475" s="304">
        <v>44617</v>
      </c>
      <c r="B475" s="305">
        <v>16658.400390625</v>
      </c>
      <c r="C475" s="305">
        <v>348.79998779296898</v>
      </c>
      <c r="D475" s="19"/>
      <c r="E475" s="19">
        <f t="shared" si="14"/>
        <v>2.5261660109649649E-2</v>
      </c>
      <c r="F475" s="19">
        <f t="shared" si="15"/>
        <v>8.8299493893818956E-2</v>
      </c>
      <c r="G475" s="19"/>
      <c r="H475" s="19"/>
    </row>
    <row r="476" spans="1:8" ht="14.25" customHeight="1" x14ac:dyDescent="0.3">
      <c r="A476" s="304">
        <v>44620</v>
      </c>
      <c r="B476" s="305">
        <v>16793.900390625</v>
      </c>
      <c r="C476" s="305">
        <v>350.75</v>
      </c>
      <c r="D476" s="19"/>
      <c r="E476" s="19">
        <f t="shared" si="14"/>
        <v>8.1340342903665937E-3</v>
      </c>
      <c r="F476" s="19">
        <f t="shared" si="15"/>
        <v>5.5906315231537699E-3</v>
      </c>
      <c r="G476" s="19"/>
      <c r="H476" s="19"/>
    </row>
    <row r="477" spans="1:8" ht="14.25" customHeight="1" x14ac:dyDescent="0.3">
      <c r="A477" s="304">
        <v>44622</v>
      </c>
      <c r="B477" s="305">
        <v>16605.94921875</v>
      </c>
      <c r="C477" s="305">
        <v>346.85000610351602</v>
      </c>
      <c r="D477" s="19"/>
      <c r="E477" s="19">
        <f t="shared" si="14"/>
        <v>-1.1191633122935609E-2</v>
      </c>
      <c r="F477" s="19">
        <f t="shared" si="15"/>
        <v>-1.1119013247281474E-2</v>
      </c>
      <c r="G477" s="19"/>
      <c r="H477" s="19"/>
    </row>
    <row r="478" spans="1:8" ht="14.25" customHeight="1" x14ac:dyDescent="0.3">
      <c r="A478" s="304">
        <v>44623</v>
      </c>
      <c r="B478" s="305">
        <v>16498.05078125</v>
      </c>
      <c r="C478" s="305">
        <v>339.04998779296898</v>
      </c>
      <c r="D478" s="19"/>
      <c r="E478" s="19">
        <f t="shared" si="14"/>
        <v>-6.4975772284170561E-3</v>
      </c>
      <c r="F478" s="19">
        <f t="shared" si="15"/>
        <v>-2.2488159646216529E-2</v>
      </c>
      <c r="G478" s="19"/>
      <c r="H478" s="19"/>
    </row>
    <row r="479" spans="1:8" ht="14.25" customHeight="1" x14ac:dyDescent="0.3">
      <c r="A479" s="304">
        <v>44624</v>
      </c>
      <c r="B479" s="305">
        <v>16245.349609375</v>
      </c>
      <c r="C479" s="305">
        <v>327.60000610351602</v>
      </c>
      <c r="D479" s="19"/>
      <c r="E479" s="19">
        <f t="shared" si="14"/>
        <v>-1.5317032007332306E-2</v>
      </c>
      <c r="F479" s="19">
        <f t="shared" si="15"/>
        <v>-3.3770777471446342E-2</v>
      </c>
      <c r="G479" s="19"/>
      <c r="H479" s="19"/>
    </row>
    <row r="480" spans="1:8" ht="14.25" customHeight="1" x14ac:dyDescent="0.3">
      <c r="A480" s="304">
        <v>44627</v>
      </c>
      <c r="B480" s="305">
        <v>15863.150390625</v>
      </c>
      <c r="C480" s="305">
        <v>313.60000610351602</v>
      </c>
      <c r="D480" s="19"/>
      <c r="E480" s="19">
        <f t="shared" si="14"/>
        <v>-2.3526684739947814E-2</v>
      </c>
      <c r="F480" s="19">
        <f t="shared" si="15"/>
        <v>-4.2735041938846113E-2</v>
      </c>
      <c r="G480" s="19"/>
      <c r="H480" s="19"/>
    </row>
    <row r="481" spans="1:8" ht="14.25" customHeight="1" x14ac:dyDescent="0.3">
      <c r="A481" s="304">
        <v>44628</v>
      </c>
      <c r="B481" s="305">
        <v>16013.4501953125</v>
      </c>
      <c r="C481" s="305">
        <v>329.60000610351602</v>
      </c>
      <c r="D481" s="19"/>
      <c r="E481" s="19">
        <f t="shared" si="14"/>
        <v>9.4747765094836418E-3</v>
      </c>
      <c r="F481" s="19">
        <f t="shared" si="15"/>
        <v>5.1020407170268262E-2</v>
      </c>
      <c r="G481" s="19"/>
      <c r="H481" s="19"/>
    </row>
    <row r="482" spans="1:8" ht="14.25" customHeight="1" x14ac:dyDescent="0.3">
      <c r="A482" s="304">
        <v>44629</v>
      </c>
      <c r="B482" s="305">
        <v>16345.349609375</v>
      </c>
      <c r="C482" s="305">
        <v>339.20001220703102</v>
      </c>
      <c r="D482" s="19"/>
      <c r="E482" s="19">
        <f t="shared" si="14"/>
        <v>2.0726290088294307E-2</v>
      </c>
      <c r="F482" s="19">
        <f t="shared" si="15"/>
        <v>2.9126231570820931E-2</v>
      </c>
      <c r="G482" s="19"/>
      <c r="H482" s="19"/>
    </row>
    <row r="483" spans="1:8" ht="14.25" customHeight="1" x14ac:dyDescent="0.3">
      <c r="A483" s="304">
        <v>44630</v>
      </c>
      <c r="B483" s="305">
        <v>16594.900390625</v>
      </c>
      <c r="C483" s="305">
        <v>354.64999389648398</v>
      </c>
      <c r="D483" s="19"/>
      <c r="E483" s="19">
        <f t="shared" si="14"/>
        <v>1.5267387190474546E-2</v>
      </c>
      <c r="F483" s="19">
        <f t="shared" si="15"/>
        <v>4.5548293435859442E-2</v>
      </c>
      <c r="G483" s="19"/>
      <c r="H483" s="19"/>
    </row>
    <row r="484" spans="1:8" ht="14.25" customHeight="1" x14ac:dyDescent="0.3">
      <c r="A484" s="304">
        <v>44631</v>
      </c>
      <c r="B484" s="305">
        <v>16630.44921875</v>
      </c>
      <c r="C484" s="305">
        <v>353.75</v>
      </c>
      <c r="D484" s="19"/>
      <c r="E484" s="19">
        <f t="shared" si="14"/>
        <v>2.14215375134657E-3</v>
      </c>
      <c r="F484" s="19">
        <f t="shared" si="15"/>
        <v>-2.5376960721072771E-3</v>
      </c>
      <c r="G484" s="19"/>
      <c r="H484" s="19"/>
    </row>
    <row r="485" spans="1:8" ht="14.25" customHeight="1" x14ac:dyDescent="0.3">
      <c r="A485" s="304">
        <v>44634</v>
      </c>
      <c r="B485" s="305">
        <v>16871.30078125</v>
      </c>
      <c r="C485" s="305">
        <v>343.39999389648398</v>
      </c>
      <c r="D485" s="19"/>
      <c r="E485" s="19">
        <f t="shared" si="14"/>
        <v>1.4482565042708041E-2</v>
      </c>
      <c r="F485" s="19">
        <f t="shared" si="15"/>
        <v>-2.9257967783790879E-2</v>
      </c>
      <c r="G485" s="19"/>
      <c r="H485" s="19"/>
    </row>
    <row r="486" spans="1:8" ht="14.25" customHeight="1" x14ac:dyDescent="0.3">
      <c r="A486" s="304">
        <v>44635</v>
      </c>
      <c r="B486" s="305">
        <v>16663</v>
      </c>
      <c r="C486" s="305">
        <v>341.14999389648398</v>
      </c>
      <c r="D486" s="19"/>
      <c r="E486" s="19">
        <f t="shared" si="14"/>
        <v>-1.2346456503312184E-2</v>
      </c>
      <c r="F486" s="19">
        <f t="shared" si="15"/>
        <v>-6.5521259172714201E-3</v>
      </c>
      <c r="G486" s="19"/>
      <c r="H486" s="19"/>
    </row>
    <row r="487" spans="1:8" ht="14.25" customHeight="1" x14ac:dyDescent="0.3">
      <c r="A487" s="304">
        <v>44636</v>
      </c>
      <c r="B487" s="305">
        <v>16975.349609375</v>
      </c>
      <c r="C487" s="305">
        <v>355.5</v>
      </c>
      <c r="D487" s="19"/>
      <c r="E487" s="19">
        <f t="shared" si="14"/>
        <v>1.8745100484606612E-2</v>
      </c>
      <c r="F487" s="19">
        <f t="shared" si="15"/>
        <v>4.2063627026973603E-2</v>
      </c>
      <c r="G487" s="19"/>
      <c r="H487" s="19"/>
    </row>
    <row r="488" spans="1:8" ht="14.25" customHeight="1" x14ac:dyDescent="0.3">
      <c r="A488" s="304">
        <v>44637</v>
      </c>
      <c r="B488" s="305">
        <v>17287.05078125</v>
      </c>
      <c r="C488" s="305">
        <v>363.04998779296898</v>
      </c>
      <c r="D488" s="19"/>
      <c r="E488" s="19">
        <f t="shared" si="14"/>
        <v>1.8361988356508215E-2</v>
      </c>
      <c r="F488" s="19">
        <f t="shared" si="15"/>
        <v>2.1237659051952115E-2</v>
      </c>
      <c r="G488" s="19"/>
      <c r="H488" s="19"/>
    </row>
    <row r="489" spans="1:8" ht="14.25" customHeight="1" x14ac:dyDescent="0.3">
      <c r="A489" s="304">
        <v>44641</v>
      </c>
      <c r="B489" s="305">
        <v>17117.599609375</v>
      </c>
      <c r="C489" s="305">
        <v>353.89999389648398</v>
      </c>
      <c r="D489" s="19"/>
      <c r="E489" s="19">
        <f t="shared" si="14"/>
        <v>-9.80220247046369E-3</v>
      </c>
      <c r="F489" s="19">
        <f t="shared" si="15"/>
        <v>-2.5203124098995503E-2</v>
      </c>
      <c r="G489" s="19"/>
      <c r="H489" s="19"/>
    </row>
    <row r="490" spans="1:8" ht="14.25" customHeight="1" x14ac:dyDescent="0.3">
      <c r="A490" s="304">
        <v>44642</v>
      </c>
      <c r="B490" s="305">
        <v>17315.5</v>
      </c>
      <c r="C490" s="305">
        <v>358.64999389648398</v>
      </c>
      <c r="D490" s="19"/>
      <c r="E490" s="19">
        <f t="shared" si="14"/>
        <v>1.1561223252155842E-2</v>
      </c>
      <c r="F490" s="19">
        <f t="shared" si="15"/>
        <v>1.3421870816390517E-2</v>
      </c>
      <c r="G490" s="19"/>
      <c r="H490" s="19"/>
    </row>
    <row r="491" spans="1:8" ht="14.25" customHeight="1" x14ac:dyDescent="0.3">
      <c r="A491" s="304">
        <v>44643</v>
      </c>
      <c r="B491" s="305">
        <v>17245.650390625</v>
      </c>
      <c r="C491" s="305">
        <v>356.95001220703102</v>
      </c>
      <c r="D491" s="19"/>
      <c r="E491" s="19">
        <f t="shared" si="14"/>
        <v>-4.0339354552279749E-3</v>
      </c>
      <c r="F491" s="19">
        <f t="shared" si="15"/>
        <v>-4.7399462383473923E-3</v>
      </c>
      <c r="G491" s="19"/>
      <c r="H491" s="19"/>
    </row>
    <row r="492" spans="1:8" ht="14.25" customHeight="1" x14ac:dyDescent="0.3">
      <c r="A492" s="304">
        <v>44644</v>
      </c>
      <c r="B492" s="305">
        <v>17222.75</v>
      </c>
      <c r="C492" s="305">
        <v>356.60000610351602</v>
      </c>
      <c r="D492" s="19"/>
      <c r="E492" s="19">
        <f t="shared" si="14"/>
        <v>-1.3278937068937106E-3</v>
      </c>
      <c r="F492" s="19">
        <f t="shared" si="15"/>
        <v>-9.8054655146501634E-4</v>
      </c>
      <c r="G492" s="19"/>
      <c r="H492" s="19"/>
    </row>
    <row r="493" spans="1:8" ht="14.25" customHeight="1" x14ac:dyDescent="0.3">
      <c r="A493" s="304">
        <v>44645</v>
      </c>
      <c r="B493" s="305">
        <v>17153</v>
      </c>
      <c r="C493" s="305">
        <v>365.10000610351602</v>
      </c>
      <c r="D493" s="19"/>
      <c r="E493" s="19">
        <f t="shared" si="14"/>
        <v>-4.0498758909001172E-3</v>
      </c>
      <c r="F493" s="19">
        <f t="shared" si="15"/>
        <v>2.3836230663250656E-2</v>
      </c>
      <c r="G493" s="19"/>
      <c r="H493" s="19"/>
    </row>
    <row r="494" spans="1:8" ht="14.25" customHeight="1" x14ac:dyDescent="0.3">
      <c r="A494" s="304">
        <v>44648</v>
      </c>
      <c r="B494" s="305">
        <v>17222</v>
      </c>
      <c r="C494" s="305">
        <v>363.79998779296898</v>
      </c>
      <c r="D494" s="19"/>
      <c r="E494" s="19">
        <f t="shared" si="14"/>
        <v>4.022619949862998E-3</v>
      </c>
      <c r="F494" s="19">
        <f t="shared" si="15"/>
        <v>-3.5607184026681558E-3</v>
      </c>
      <c r="G494" s="19"/>
      <c r="H494" s="19"/>
    </row>
    <row r="495" spans="1:8" ht="14.25" customHeight="1" x14ac:dyDescent="0.3">
      <c r="A495" s="304">
        <v>44649</v>
      </c>
      <c r="B495" s="305">
        <v>17325.30078125</v>
      </c>
      <c r="C495" s="305">
        <v>372.95001220703102</v>
      </c>
      <c r="D495" s="19"/>
      <c r="E495" s="19">
        <f t="shared" si="14"/>
        <v>5.9981872749970966E-3</v>
      </c>
      <c r="F495" s="19">
        <f t="shared" si="15"/>
        <v>2.5151249920517135E-2</v>
      </c>
      <c r="G495" s="19"/>
      <c r="H495" s="19"/>
    </row>
    <row r="496" spans="1:8" ht="14.25" customHeight="1" x14ac:dyDescent="0.3">
      <c r="A496" s="304">
        <v>44650</v>
      </c>
      <c r="B496" s="305">
        <v>17498.25</v>
      </c>
      <c r="C496" s="305">
        <v>382.85000610351602</v>
      </c>
      <c r="D496" s="19"/>
      <c r="E496" s="19">
        <f t="shared" si="14"/>
        <v>9.9824655821947536E-3</v>
      </c>
      <c r="F496" s="19">
        <f t="shared" si="15"/>
        <v>2.6545096051610644E-2</v>
      </c>
      <c r="G496" s="19"/>
      <c r="H496" s="19"/>
    </row>
    <row r="497" spans="1:8" ht="14.25" customHeight="1" x14ac:dyDescent="0.3">
      <c r="A497" s="304">
        <v>44651</v>
      </c>
      <c r="B497" s="305">
        <v>17464.75</v>
      </c>
      <c r="C497" s="305">
        <v>380.45001220703102</v>
      </c>
      <c r="D497" s="19"/>
      <c r="E497" s="19">
        <f t="shared" si="14"/>
        <v>-1.9144771620019144E-3</v>
      </c>
      <c r="F497" s="19">
        <f t="shared" si="15"/>
        <v>-6.268757628897839E-3</v>
      </c>
      <c r="G497" s="19"/>
      <c r="H497" s="19"/>
    </row>
    <row r="498" spans="1:8" ht="14.25" customHeight="1" x14ac:dyDescent="0.3">
      <c r="A498" s="304">
        <v>44652</v>
      </c>
      <c r="B498" s="305">
        <v>17670.44921875</v>
      </c>
      <c r="C498" s="305">
        <v>385.95001220703102</v>
      </c>
      <c r="D498" s="19"/>
      <c r="E498" s="19">
        <f t="shared" si="14"/>
        <v>1.1777965258592307E-2</v>
      </c>
      <c r="F498" s="19">
        <f t="shared" si="15"/>
        <v>1.4456564130709089E-2</v>
      </c>
      <c r="G498" s="19"/>
      <c r="H498" s="19"/>
    </row>
    <row r="499" spans="1:8" ht="14.25" customHeight="1" x14ac:dyDescent="0.3">
      <c r="A499" s="304">
        <v>44655</v>
      </c>
      <c r="B499" s="305">
        <v>18053.400390625</v>
      </c>
      <c r="C499" s="305">
        <v>387.29998779296898</v>
      </c>
      <c r="D499" s="19"/>
      <c r="E499" s="19">
        <f t="shared" si="14"/>
        <v>2.1671841339984326E-2</v>
      </c>
      <c r="F499" s="19">
        <f t="shared" si="15"/>
        <v>3.4977990497220188E-3</v>
      </c>
      <c r="G499" s="19"/>
      <c r="H499" s="19"/>
    </row>
    <row r="500" spans="1:8" ht="14.25" customHeight="1" x14ac:dyDescent="0.3">
      <c r="A500" s="304">
        <v>44656</v>
      </c>
      <c r="B500" s="305">
        <v>17957.400390625</v>
      </c>
      <c r="C500" s="305">
        <v>394.20001220703102</v>
      </c>
      <c r="D500" s="19"/>
      <c r="E500" s="19">
        <f t="shared" si="14"/>
        <v>-5.3175577964720763E-3</v>
      </c>
      <c r="F500" s="19">
        <f t="shared" si="15"/>
        <v>1.7815710383524336E-2</v>
      </c>
      <c r="G500" s="19"/>
      <c r="H500" s="19"/>
    </row>
    <row r="501" spans="1:8" ht="14.25" customHeight="1" x14ac:dyDescent="0.3">
      <c r="A501" s="304">
        <v>44657</v>
      </c>
      <c r="B501" s="305">
        <v>17807.650390625</v>
      </c>
      <c r="C501" s="305">
        <v>398.04998779296898</v>
      </c>
      <c r="D501" s="19"/>
      <c r="E501" s="19">
        <f t="shared" si="14"/>
        <v>-8.3391803235717699E-3</v>
      </c>
      <c r="F501" s="19">
        <f t="shared" si="15"/>
        <v>9.7665536953762833E-3</v>
      </c>
      <c r="G501" s="19"/>
      <c r="H501" s="19"/>
    </row>
    <row r="502" spans="1:8" ht="14.25" customHeight="1" x14ac:dyDescent="0.3">
      <c r="A502" s="304">
        <v>44658</v>
      </c>
      <c r="B502" s="305">
        <v>17639.55078125</v>
      </c>
      <c r="C502" s="305">
        <v>401.25</v>
      </c>
      <c r="D502" s="19"/>
      <c r="E502" s="19">
        <f t="shared" si="14"/>
        <v>-9.4397411049521492E-3</v>
      </c>
      <c r="F502" s="19">
        <f t="shared" si="15"/>
        <v>8.0392219700189792E-3</v>
      </c>
      <c r="G502" s="19"/>
      <c r="H502" s="19"/>
    </row>
    <row r="503" spans="1:8" ht="14.25" customHeight="1" x14ac:dyDescent="0.3">
      <c r="A503" s="304">
        <v>44659</v>
      </c>
      <c r="B503" s="305">
        <v>17784.349609375</v>
      </c>
      <c r="C503" s="305">
        <v>396.10000610351602</v>
      </c>
      <c r="D503" s="19"/>
      <c r="E503" s="19">
        <f t="shared" si="14"/>
        <v>8.2087593907954979E-3</v>
      </c>
      <c r="F503" s="19">
        <f t="shared" si="15"/>
        <v>-1.2834875754477202E-2</v>
      </c>
      <c r="G503" s="19"/>
      <c r="H503" s="19"/>
    </row>
    <row r="504" spans="1:8" ht="14.25" customHeight="1" x14ac:dyDescent="0.3">
      <c r="A504" s="304">
        <v>44662</v>
      </c>
      <c r="B504" s="305">
        <v>17674.94921875</v>
      </c>
      <c r="C504" s="305">
        <v>403.20001220703102</v>
      </c>
      <c r="D504" s="19"/>
      <c r="E504" s="19">
        <f t="shared" si="14"/>
        <v>-6.1514979759130298E-3</v>
      </c>
      <c r="F504" s="19">
        <f t="shared" si="15"/>
        <v>1.7924781605934886E-2</v>
      </c>
      <c r="G504" s="19"/>
      <c r="H504" s="19"/>
    </row>
    <row r="505" spans="1:8" ht="14.25" customHeight="1" x14ac:dyDescent="0.3">
      <c r="A505" s="304">
        <v>44663</v>
      </c>
      <c r="B505" s="305">
        <v>17530.30078125</v>
      </c>
      <c r="C505" s="305">
        <v>393.54998779296898</v>
      </c>
      <c r="D505" s="19"/>
      <c r="E505" s="19">
        <f t="shared" si="14"/>
        <v>-8.1838106412522836E-3</v>
      </c>
      <c r="F505" s="19">
        <f t="shared" si="15"/>
        <v>-2.3933591572182417E-2</v>
      </c>
      <c r="G505" s="19"/>
      <c r="H505" s="19"/>
    </row>
    <row r="506" spans="1:8" ht="14.25" customHeight="1" x14ac:dyDescent="0.3">
      <c r="A506" s="304">
        <v>44664</v>
      </c>
      <c r="B506" s="305">
        <v>17475.650390625</v>
      </c>
      <c r="C506" s="305">
        <v>391.29998779296898</v>
      </c>
      <c r="D506" s="19"/>
      <c r="E506" s="19">
        <f t="shared" si="14"/>
        <v>-3.1174816283501979E-3</v>
      </c>
      <c r="F506" s="19">
        <f t="shared" si="15"/>
        <v>-5.7171898609831382E-3</v>
      </c>
      <c r="G506" s="19"/>
      <c r="H506" s="19"/>
    </row>
    <row r="507" spans="1:8" ht="14.25" customHeight="1" x14ac:dyDescent="0.3">
      <c r="A507" s="304">
        <v>44669</v>
      </c>
      <c r="B507" s="305">
        <v>17173.650390625</v>
      </c>
      <c r="C507" s="305">
        <v>388.85000610351602</v>
      </c>
      <c r="D507" s="19"/>
      <c r="E507" s="19">
        <f t="shared" si="14"/>
        <v>-1.7281188010147601E-2</v>
      </c>
      <c r="F507" s="19">
        <f t="shared" si="15"/>
        <v>-6.2611340809680871E-3</v>
      </c>
      <c r="G507" s="19"/>
      <c r="H507" s="19"/>
    </row>
    <row r="508" spans="1:8" ht="14.25" customHeight="1" x14ac:dyDescent="0.3">
      <c r="A508" s="304">
        <v>44670</v>
      </c>
      <c r="B508" s="305">
        <v>16958.650390625</v>
      </c>
      <c r="C508" s="305">
        <v>377.79998779296898</v>
      </c>
      <c r="D508" s="19"/>
      <c r="E508" s="19">
        <f t="shared" si="14"/>
        <v>-1.2519178806467803E-2</v>
      </c>
      <c r="F508" s="19">
        <f t="shared" si="15"/>
        <v>-2.8417174069955944E-2</v>
      </c>
      <c r="G508" s="19"/>
      <c r="H508" s="19"/>
    </row>
    <row r="509" spans="1:8" ht="14.25" customHeight="1" x14ac:dyDescent="0.3">
      <c r="A509" s="304">
        <v>44671</v>
      </c>
      <c r="B509" s="305">
        <v>17136.55078125</v>
      </c>
      <c r="C509" s="305">
        <v>377.70001220703102</v>
      </c>
      <c r="D509" s="19"/>
      <c r="E509" s="19">
        <f t="shared" si="14"/>
        <v>1.0490244596547968E-2</v>
      </c>
      <c r="F509" s="19">
        <f t="shared" si="15"/>
        <v>-2.6462569922776303E-4</v>
      </c>
      <c r="G509" s="19"/>
      <c r="H509" s="19"/>
    </row>
    <row r="510" spans="1:8" ht="14.25" customHeight="1" x14ac:dyDescent="0.3">
      <c r="A510" s="304">
        <v>44672</v>
      </c>
      <c r="B510" s="305">
        <v>17392.599609375</v>
      </c>
      <c r="C510" s="305">
        <v>389.85000610351602</v>
      </c>
      <c r="D510" s="19"/>
      <c r="E510" s="19">
        <f t="shared" si="14"/>
        <v>1.4941678252146078E-2</v>
      </c>
      <c r="F510" s="19">
        <f t="shared" si="15"/>
        <v>3.2168370409861542E-2</v>
      </c>
      <c r="G510" s="19"/>
      <c r="H510" s="19"/>
    </row>
    <row r="511" spans="1:8" ht="14.25" customHeight="1" x14ac:dyDescent="0.3">
      <c r="A511" s="304">
        <v>44673</v>
      </c>
      <c r="B511" s="305">
        <v>17171.94921875</v>
      </c>
      <c r="C511" s="305">
        <v>379.70001220703102</v>
      </c>
      <c r="D511" s="19"/>
      <c r="E511" s="19">
        <f t="shared" si="14"/>
        <v>-1.2686452605168035E-2</v>
      </c>
      <c r="F511" s="19">
        <f t="shared" si="15"/>
        <v>-2.6035638675326569E-2</v>
      </c>
      <c r="G511" s="19"/>
      <c r="H511" s="19"/>
    </row>
    <row r="512" spans="1:8" ht="14.25" customHeight="1" x14ac:dyDescent="0.3">
      <c r="A512" s="304">
        <v>44676</v>
      </c>
      <c r="B512" s="305">
        <v>16953.94921875</v>
      </c>
      <c r="C512" s="305">
        <v>364</v>
      </c>
      <c r="D512" s="19"/>
      <c r="E512" s="19">
        <f t="shared" si="14"/>
        <v>-1.2695122564301929E-2</v>
      </c>
      <c r="F512" s="19">
        <f t="shared" si="15"/>
        <v>-4.1348463793228978E-2</v>
      </c>
      <c r="G512" s="19"/>
      <c r="H512" s="19"/>
    </row>
    <row r="513" spans="1:8" ht="14.25" customHeight="1" x14ac:dyDescent="0.3">
      <c r="A513" s="304">
        <v>44677</v>
      </c>
      <c r="B513" s="305">
        <v>17200.80078125</v>
      </c>
      <c r="C513" s="305">
        <v>378.79998779296898</v>
      </c>
      <c r="D513" s="19"/>
      <c r="E513" s="19">
        <f t="shared" si="14"/>
        <v>1.4560121616207138E-2</v>
      </c>
      <c r="F513" s="19">
        <f t="shared" si="15"/>
        <v>4.0659307123541148E-2</v>
      </c>
      <c r="G513" s="19"/>
      <c r="H513" s="19"/>
    </row>
    <row r="514" spans="1:8" ht="14.25" customHeight="1" x14ac:dyDescent="0.3">
      <c r="A514" s="304">
        <v>44678</v>
      </c>
      <c r="B514" s="305">
        <v>17038.400390625</v>
      </c>
      <c r="C514" s="305">
        <v>375.75</v>
      </c>
      <c r="D514" s="19"/>
      <c r="E514" s="19">
        <f t="shared" si="14"/>
        <v>-9.4414436101153531E-3</v>
      </c>
      <c r="F514" s="19">
        <f t="shared" si="15"/>
        <v>-8.0517103781849418E-3</v>
      </c>
      <c r="G514" s="19"/>
      <c r="H514" s="19"/>
    </row>
    <row r="515" spans="1:8" ht="14.25" customHeight="1" x14ac:dyDescent="0.3">
      <c r="A515" s="304">
        <v>44679</v>
      </c>
      <c r="B515" s="305">
        <v>17245.05078125</v>
      </c>
      <c r="C515" s="305">
        <v>379.64999389648398</v>
      </c>
      <c r="D515" s="19"/>
      <c r="E515" s="19">
        <f t="shared" ref="E515:E578" si="16">(B515-B514)/B514</f>
        <v>1.2128508890934666E-2</v>
      </c>
      <c r="F515" s="19">
        <f t="shared" ref="F515:F578" si="17">(C515-C514)/C514</f>
        <v>1.0379225273410451E-2</v>
      </c>
      <c r="G515" s="19"/>
      <c r="H515" s="19"/>
    </row>
    <row r="516" spans="1:8" ht="14.25" customHeight="1" x14ac:dyDescent="0.3">
      <c r="A516" s="304">
        <v>44680</v>
      </c>
      <c r="B516" s="305">
        <v>17102.55078125</v>
      </c>
      <c r="C516" s="305">
        <v>371.85000610351602</v>
      </c>
      <c r="D516" s="19"/>
      <c r="E516" s="19">
        <f t="shared" si="16"/>
        <v>-8.2632403816946566E-3</v>
      </c>
      <c r="F516" s="19">
        <f t="shared" si="17"/>
        <v>-2.0545207212869631E-2</v>
      </c>
      <c r="G516" s="19"/>
      <c r="H516" s="19"/>
    </row>
    <row r="517" spans="1:8" ht="14.25" customHeight="1" x14ac:dyDescent="0.3">
      <c r="A517" s="304">
        <v>44683</v>
      </c>
      <c r="B517" s="305">
        <v>17069.099609375</v>
      </c>
      <c r="C517" s="305">
        <v>367.54998779296898</v>
      </c>
      <c r="D517" s="19"/>
      <c r="E517" s="19">
        <f t="shared" si="16"/>
        <v>-1.9559171203674158E-3</v>
      </c>
      <c r="F517" s="19">
        <f t="shared" si="17"/>
        <v>-1.1563851660526803E-2</v>
      </c>
      <c r="G517" s="19"/>
      <c r="H517" s="19"/>
    </row>
    <row r="518" spans="1:8" ht="14.25" customHeight="1" x14ac:dyDescent="0.3">
      <c r="A518" s="304">
        <v>44685</v>
      </c>
      <c r="B518" s="305">
        <v>16677.599609375</v>
      </c>
      <c r="C518" s="305">
        <v>348.39999389648398</v>
      </c>
      <c r="D518" s="19"/>
      <c r="E518" s="19">
        <f t="shared" si="16"/>
        <v>-2.2936183451936345E-2</v>
      </c>
      <c r="F518" s="19">
        <f t="shared" si="17"/>
        <v>-5.2101739987736519E-2</v>
      </c>
      <c r="G518" s="19"/>
      <c r="H518" s="19"/>
    </row>
    <row r="519" spans="1:8" ht="14.25" customHeight="1" x14ac:dyDescent="0.3">
      <c r="A519" s="304">
        <v>44686</v>
      </c>
      <c r="B519" s="305">
        <v>16682.650390625</v>
      </c>
      <c r="C519" s="305">
        <v>340</v>
      </c>
      <c r="D519" s="19"/>
      <c r="E519" s="19">
        <f t="shared" si="16"/>
        <v>3.0284821366983761E-4</v>
      </c>
      <c r="F519" s="19">
        <f t="shared" si="17"/>
        <v>-2.4110201043745623E-2</v>
      </c>
      <c r="G519" s="19"/>
      <c r="H519" s="19"/>
    </row>
    <row r="520" spans="1:8" ht="14.25" customHeight="1" x14ac:dyDescent="0.3">
      <c r="A520" s="304">
        <v>44687</v>
      </c>
      <c r="B520" s="305">
        <v>16411.25</v>
      </c>
      <c r="C520" s="305">
        <v>329.14999389648398</v>
      </c>
      <c r="D520" s="19"/>
      <c r="E520" s="19">
        <f t="shared" si="16"/>
        <v>-1.6268421639856246E-2</v>
      </c>
      <c r="F520" s="19">
        <f t="shared" si="17"/>
        <v>-3.1911782657400065E-2</v>
      </c>
      <c r="G520" s="19"/>
      <c r="H520" s="19"/>
    </row>
    <row r="521" spans="1:8" ht="14.25" customHeight="1" x14ac:dyDescent="0.3">
      <c r="A521" s="304">
        <v>44690</v>
      </c>
      <c r="B521" s="305">
        <v>16301.849609375</v>
      </c>
      <c r="C521" s="305">
        <v>327.20001220703102</v>
      </c>
      <c r="D521" s="19"/>
      <c r="E521" s="19">
        <f t="shared" si="16"/>
        <v>-6.6661826871810496E-3</v>
      </c>
      <c r="F521" s="19">
        <f t="shared" si="17"/>
        <v>-5.9242950800910965E-3</v>
      </c>
      <c r="G521" s="19"/>
      <c r="H521" s="19"/>
    </row>
    <row r="522" spans="1:8" ht="14.25" customHeight="1" x14ac:dyDescent="0.3">
      <c r="A522" s="304">
        <v>44691</v>
      </c>
      <c r="B522" s="305">
        <v>16240.0498046875</v>
      </c>
      <c r="C522" s="305">
        <v>318.20001220703102</v>
      </c>
      <c r="D522" s="19"/>
      <c r="E522" s="19">
        <f t="shared" si="16"/>
        <v>-3.7909688880922855E-3</v>
      </c>
      <c r="F522" s="19">
        <f t="shared" si="17"/>
        <v>-2.750611144325197E-2</v>
      </c>
      <c r="G522" s="19"/>
      <c r="H522" s="19"/>
    </row>
    <row r="523" spans="1:8" ht="14.25" customHeight="1" x14ac:dyDescent="0.3">
      <c r="A523" s="304">
        <v>44692</v>
      </c>
      <c r="B523" s="305">
        <v>16167.099609375</v>
      </c>
      <c r="C523" s="305">
        <v>326.25</v>
      </c>
      <c r="D523" s="19"/>
      <c r="E523" s="19">
        <f t="shared" si="16"/>
        <v>-4.4919933245182401E-3</v>
      </c>
      <c r="F523" s="19">
        <f t="shared" si="17"/>
        <v>2.5298515035038403E-2</v>
      </c>
      <c r="G523" s="19"/>
      <c r="H523" s="19"/>
    </row>
    <row r="524" spans="1:8" ht="14.25" customHeight="1" x14ac:dyDescent="0.3">
      <c r="A524" s="304">
        <v>44693</v>
      </c>
      <c r="B524" s="305">
        <v>15808</v>
      </c>
      <c r="C524" s="305">
        <v>322.20001220703102</v>
      </c>
      <c r="D524" s="19"/>
      <c r="E524" s="19">
        <f t="shared" si="16"/>
        <v>-2.2211752141785831E-2</v>
      </c>
      <c r="F524" s="19">
        <f t="shared" si="17"/>
        <v>-1.2413755687261233E-2</v>
      </c>
      <c r="G524" s="19"/>
      <c r="H524" s="19"/>
    </row>
    <row r="525" spans="1:8" ht="14.25" customHeight="1" x14ac:dyDescent="0.3">
      <c r="A525" s="304">
        <v>44694</v>
      </c>
      <c r="B525" s="305">
        <v>15782.150390625</v>
      </c>
      <c r="C525" s="305">
        <v>318.89999389648398</v>
      </c>
      <c r="D525" s="19"/>
      <c r="E525" s="19">
        <f t="shared" si="16"/>
        <v>-1.6352232651189271E-3</v>
      </c>
      <c r="F525" s="19">
        <f t="shared" si="17"/>
        <v>-1.0242142102796087E-2</v>
      </c>
      <c r="G525" s="19"/>
      <c r="H525" s="19"/>
    </row>
    <row r="526" spans="1:8" ht="14.25" customHeight="1" x14ac:dyDescent="0.3">
      <c r="A526" s="304">
        <v>44697</v>
      </c>
      <c r="B526" s="305">
        <v>15842.2998046875</v>
      </c>
      <c r="C526" s="305">
        <v>327.35000610351602</v>
      </c>
      <c r="D526" s="19"/>
      <c r="E526" s="19">
        <f t="shared" si="16"/>
        <v>3.8112305721171107E-3</v>
      </c>
      <c r="F526" s="19">
        <f t="shared" si="17"/>
        <v>2.6497373373343333E-2</v>
      </c>
      <c r="G526" s="19"/>
      <c r="H526" s="19"/>
    </row>
    <row r="527" spans="1:8" ht="14.25" customHeight="1" x14ac:dyDescent="0.3">
      <c r="A527" s="304">
        <v>44698</v>
      </c>
      <c r="B527" s="305">
        <v>16259.2998046875</v>
      </c>
      <c r="C527" s="305">
        <v>334.10000610351602</v>
      </c>
      <c r="D527" s="19"/>
      <c r="E527" s="19">
        <f t="shared" si="16"/>
        <v>2.6321935902047247E-2</v>
      </c>
      <c r="F527" s="19">
        <f t="shared" si="17"/>
        <v>2.0620130973406751E-2</v>
      </c>
      <c r="G527" s="19"/>
      <c r="H527" s="19"/>
    </row>
    <row r="528" spans="1:8" ht="14.25" customHeight="1" x14ac:dyDescent="0.3">
      <c r="A528" s="304">
        <v>44699</v>
      </c>
      <c r="B528" s="305">
        <v>16240.2998046875</v>
      </c>
      <c r="C528" s="305">
        <v>324.95001220703102</v>
      </c>
      <c r="D528" s="19"/>
      <c r="E528" s="19">
        <f t="shared" si="16"/>
        <v>-1.1685620062508698E-3</v>
      </c>
      <c r="F528" s="19">
        <f t="shared" si="17"/>
        <v>-2.7386991108434785E-2</v>
      </c>
      <c r="G528" s="19"/>
      <c r="H528" s="19"/>
    </row>
    <row r="529" spans="1:8" ht="14.25" customHeight="1" x14ac:dyDescent="0.3">
      <c r="A529" s="304">
        <v>44700</v>
      </c>
      <c r="B529" s="305">
        <v>15809.400390625</v>
      </c>
      <c r="C529" s="305">
        <v>320.60000610351602</v>
      </c>
      <c r="D529" s="19"/>
      <c r="E529" s="19">
        <f t="shared" si="16"/>
        <v>-2.6532725334179351E-2</v>
      </c>
      <c r="F529" s="19">
        <f t="shared" si="17"/>
        <v>-1.3386693153110389E-2</v>
      </c>
      <c r="G529" s="19"/>
      <c r="H529" s="19"/>
    </row>
    <row r="530" spans="1:8" ht="14.25" customHeight="1" x14ac:dyDescent="0.3">
      <c r="A530" s="304">
        <v>44701</v>
      </c>
      <c r="B530" s="305">
        <v>16266.150390625</v>
      </c>
      <c r="C530" s="305">
        <v>331.5</v>
      </c>
      <c r="D530" s="19"/>
      <c r="E530" s="19">
        <f t="shared" si="16"/>
        <v>2.8891038794289343E-2</v>
      </c>
      <c r="F530" s="19">
        <f t="shared" si="17"/>
        <v>3.3998732654311192E-2</v>
      </c>
      <c r="G530" s="19"/>
      <c r="H530" s="19"/>
    </row>
    <row r="531" spans="1:8" ht="14.25" customHeight="1" x14ac:dyDescent="0.3">
      <c r="A531" s="304">
        <v>44704</v>
      </c>
      <c r="B531" s="305">
        <v>16214.7001953125</v>
      </c>
      <c r="C531" s="305">
        <v>330.89999389648398</v>
      </c>
      <c r="D531" s="19"/>
      <c r="E531" s="19">
        <f t="shared" si="16"/>
        <v>-3.1630222318707523E-3</v>
      </c>
      <c r="F531" s="19">
        <f t="shared" si="17"/>
        <v>-1.8099731629442621E-3</v>
      </c>
      <c r="G531" s="19"/>
      <c r="H531" s="19"/>
    </row>
    <row r="532" spans="1:8" ht="14.25" customHeight="1" x14ac:dyDescent="0.3">
      <c r="A532" s="304">
        <v>44705</v>
      </c>
      <c r="B532" s="305">
        <v>16125.150390625</v>
      </c>
      <c r="C532" s="305">
        <v>324.5</v>
      </c>
      <c r="D532" s="19"/>
      <c r="E532" s="19">
        <f t="shared" si="16"/>
        <v>-5.5227542667355585E-3</v>
      </c>
      <c r="F532" s="19">
        <f t="shared" si="17"/>
        <v>-1.9341172603605725E-2</v>
      </c>
      <c r="G532" s="19"/>
      <c r="H532" s="19"/>
    </row>
    <row r="533" spans="1:8" ht="14.25" customHeight="1" x14ac:dyDescent="0.3">
      <c r="A533" s="304">
        <v>44706</v>
      </c>
      <c r="B533" s="305">
        <v>16025.7998046875</v>
      </c>
      <c r="C533" s="305">
        <v>312</v>
      </c>
      <c r="D533" s="19"/>
      <c r="E533" s="19">
        <f t="shared" si="16"/>
        <v>-6.1612191843656494E-3</v>
      </c>
      <c r="F533" s="19">
        <f t="shared" si="17"/>
        <v>-3.8520801232665637E-2</v>
      </c>
      <c r="G533" s="19"/>
      <c r="H533" s="19"/>
    </row>
    <row r="534" spans="1:8" ht="14.25" customHeight="1" x14ac:dyDescent="0.3">
      <c r="A534" s="304">
        <v>44707</v>
      </c>
      <c r="B534" s="305">
        <v>16170.150390625</v>
      </c>
      <c r="C534" s="305">
        <v>319.85000610351602</v>
      </c>
      <c r="D534" s="19"/>
      <c r="E534" s="19">
        <f t="shared" si="16"/>
        <v>9.0073873189953288E-3</v>
      </c>
      <c r="F534" s="19">
        <f t="shared" si="17"/>
        <v>2.5160275972807764E-2</v>
      </c>
      <c r="G534" s="19"/>
      <c r="H534" s="19"/>
    </row>
    <row r="535" spans="1:8" ht="14.25" customHeight="1" x14ac:dyDescent="0.3">
      <c r="A535" s="304">
        <v>44708</v>
      </c>
      <c r="B535" s="305">
        <v>16352.4501953125</v>
      </c>
      <c r="C535" s="305">
        <v>324.54998779296898</v>
      </c>
      <c r="D535" s="19"/>
      <c r="E535" s="19">
        <f t="shared" si="16"/>
        <v>1.1273847198922301E-2</v>
      </c>
      <c r="F535" s="19">
        <f t="shared" si="17"/>
        <v>1.4694330466674607E-2</v>
      </c>
      <c r="G535" s="19"/>
      <c r="H535" s="19"/>
    </row>
    <row r="536" spans="1:8" ht="14.25" customHeight="1" x14ac:dyDescent="0.3">
      <c r="A536" s="304">
        <v>44711</v>
      </c>
      <c r="B536" s="305">
        <v>16661.400390625</v>
      </c>
      <c r="C536" s="305">
        <v>346.85000610351602</v>
      </c>
      <c r="D536" s="19"/>
      <c r="E536" s="19">
        <f t="shared" si="16"/>
        <v>1.8893205092962884E-2</v>
      </c>
      <c r="F536" s="19">
        <f t="shared" si="17"/>
        <v>6.8710581264209647E-2</v>
      </c>
      <c r="G536" s="19"/>
      <c r="H536" s="19"/>
    </row>
    <row r="537" spans="1:8" ht="14.25" customHeight="1" x14ac:dyDescent="0.3">
      <c r="A537" s="304">
        <v>44712</v>
      </c>
      <c r="B537" s="305">
        <v>16584.55078125</v>
      </c>
      <c r="C537" s="305">
        <v>345.54998779296898</v>
      </c>
      <c r="D537" s="19"/>
      <c r="E537" s="19">
        <f t="shared" si="16"/>
        <v>-4.6124339835348759E-3</v>
      </c>
      <c r="F537" s="19">
        <f t="shared" si="17"/>
        <v>-3.7480706001748209E-3</v>
      </c>
      <c r="G537" s="19"/>
      <c r="H537" s="19"/>
    </row>
    <row r="538" spans="1:8" ht="14.25" customHeight="1" x14ac:dyDescent="0.3">
      <c r="A538" s="304">
        <v>44713</v>
      </c>
      <c r="B538" s="305">
        <v>16522.75</v>
      </c>
      <c r="C538" s="305">
        <v>337</v>
      </c>
      <c r="D538" s="19"/>
      <c r="E538" s="19">
        <f t="shared" si="16"/>
        <v>-3.7264067061659654E-3</v>
      </c>
      <c r="F538" s="19">
        <f t="shared" si="17"/>
        <v>-2.4743128621065303E-2</v>
      </c>
      <c r="G538" s="19"/>
      <c r="H538" s="19"/>
    </row>
    <row r="539" spans="1:8" ht="14.25" customHeight="1" x14ac:dyDescent="0.3">
      <c r="A539" s="304">
        <v>44714</v>
      </c>
      <c r="B539" s="305">
        <v>16628</v>
      </c>
      <c r="C539" s="305">
        <v>340.25</v>
      </c>
      <c r="D539" s="19"/>
      <c r="E539" s="19">
        <f t="shared" si="16"/>
        <v>6.3700049931155528E-3</v>
      </c>
      <c r="F539" s="19">
        <f t="shared" si="17"/>
        <v>9.6439169139465875E-3</v>
      </c>
      <c r="G539" s="19"/>
      <c r="H539" s="19"/>
    </row>
    <row r="540" spans="1:8" ht="14.25" customHeight="1" x14ac:dyDescent="0.3">
      <c r="A540" s="304">
        <v>44715</v>
      </c>
      <c r="B540" s="305">
        <v>16584.30078125</v>
      </c>
      <c r="C540" s="305">
        <v>330.64999389648398</v>
      </c>
      <c r="D540" s="19"/>
      <c r="E540" s="19">
        <f t="shared" si="16"/>
        <v>-2.6280502014674042E-3</v>
      </c>
      <c r="F540" s="19">
        <f t="shared" si="17"/>
        <v>-2.8214566064705432E-2</v>
      </c>
      <c r="G540" s="19"/>
      <c r="H540" s="19"/>
    </row>
    <row r="541" spans="1:8" ht="14.25" customHeight="1" x14ac:dyDescent="0.3">
      <c r="A541" s="304">
        <v>44718</v>
      </c>
      <c r="B541" s="305">
        <v>16569.55078125</v>
      </c>
      <c r="C541" s="305">
        <v>326.85000610351602</v>
      </c>
      <c r="D541" s="19"/>
      <c r="E541" s="19">
        <f t="shared" si="16"/>
        <v>-8.893953501299351E-4</v>
      </c>
      <c r="F541" s="19">
        <f t="shared" si="17"/>
        <v>-1.1492478037539628E-2</v>
      </c>
      <c r="G541" s="19"/>
      <c r="H541" s="19"/>
    </row>
    <row r="542" spans="1:8" ht="14.25" customHeight="1" x14ac:dyDescent="0.3">
      <c r="A542" s="304">
        <v>44719</v>
      </c>
      <c r="B542" s="305">
        <v>16416.349609375</v>
      </c>
      <c r="C542" s="305">
        <v>318.75</v>
      </c>
      <c r="D542" s="19"/>
      <c r="E542" s="19">
        <f t="shared" si="16"/>
        <v>-9.2459460064760173E-3</v>
      </c>
      <c r="F542" s="19">
        <f t="shared" si="17"/>
        <v>-2.4782028307353574E-2</v>
      </c>
      <c r="G542" s="19"/>
      <c r="H542" s="19"/>
    </row>
    <row r="543" spans="1:8" ht="14.25" customHeight="1" x14ac:dyDescent="0.3">
      <c r="A543" s="304">
        <v>44720</v>
      </c>
      <c r="B543" s="305">
        <v>16356.25</v>
      </c>
      <c r="C543" s="305">
        <v>326.20001220703102</v>
      </c>
      <c r="D543" s="19"/>
      <c r="E543" s="19">
        <f t="shared" si="16"/>
        <v>-3.6609606157923498E-3</v>
      </c>
      <c r="F543" s="19">
        <f t="shared" si="17"/>
        <v>2.3372587316175756E-2</v>
      </c>
      <c r="G543" s="19"/>
      <c r="H543" s="19"/>
    </row>
    <row r="544" spans="1:8" ht="14.25" customHeight="1" x14ac:dyDescent="0.3">
      <c r="A544" s="304">
        <v>44721</v>
      </c>
      <c r="B544" s="305">
        <v>16478.099609375</v>
      </c>
      <c r="C544" s="305">
        <v>324.85000610351602</v>
      </c>
      <c r="D544" s="19"/>
      <c r="E544" s="19">
        <f t="shared" si="16"/>
        <v>7.4497277416889565E-3</v>
      </c>
      <c r="F544" s="19">
        <f t="shared" si="17"/>
        <v>-4.1385838534493506E-3</v>
      </c>
      <c r="G544" s="19"/>
      <c r="H544" s="19"/>
    </row>
    <row r="545" spans="1:8" ht="14.25" customHeight="1" x14ac:dyDescent="0.3">
      <c r="A545" s="304">
        <v>44722</v>
      </c>
      <c r="B545" s="305">
        <v>16201.7998046875</v>
      </c>
      <c r="C545" s="305">
        <v>322.10000610351602</v>
      </c>
      <c r="D545" s="19"/>
      <c r="E545" s="19">
        <f t="shared" si="16"/>
        <v>-1.6767698414100061E-2</v>
      </c>
      <c r="F545" s="19">
        <f t="shared" si="17"/>
        <v>-8.4654454312175411E-3</v>
      </c>
      <c r="G545" s="19"/>
      <c r="H545" s="19"/>
    </row>
    <row r="546" spans="1:8" ht="14.25" customHeight="1" x14ac:dyDescent="0.3">
      <c r="A546" s="304">
        <v>44725</v>
      </c>
      <c r="B546" s="305">
        <v>15774.400390625</v>
      </c>
      <c r="C546" s="305">
        <v>307.70001220703102</v>
      </c>
      <c r="D546" s="19"/>
      <c r="E546" s="19">
        <f t="shared" si="16"/>
        <v>-2.6379749115209097E-2</v>
      </c>
      <c r="F546" s="19">
        <f t="shared" si="17"/>
        <v>-4.4706593056869276E-2</v>
      </c>
      <c r="G546" s="19"/>
      <c r="H546" s="19"/>
    </row>
    <row r="547" spans="1:8" ht="14.25" customHeight="1" x14ac:dyDescent="0.3">
      <c r="A547" s="304">
        <v>44726</v>
      </c>
      <c r="B547" s="305">
        <v>15732.099609375</v>
      </c>
      <c r="C547" s="305">
        <v>313.85000610351602</v>
      </c>
      <c r="D547" s="19"/>
      <c r="E547" s="19">
        <f t="shared" si="16"/>
        <v>-2.6816094559854137E-3</v>
      </c>
      <c r="F547" s="19">
        <f t="shared" si="17"/>
        <v>1.9986979696143384E-2</v>
      </c>
      <c r="G547" s="19"/>
      <c r="H547" s="19"/>
    </row>
    <row r="548" spans="1:8" ht="14.25" customHeight="1" x14ac:dyDescent="0.3">
      <c r="A548" s="304">
        <v>44727</v>
      </c>
      <c r="B548" s="305">
        <v>15692.150390625</v>
      </c>
      <c r="C548" s="305">
        <v>317.14999389648398</v>
      </c>
      <c r="D548" s="19"/>
      <c r="E548" s="19">
        <f t="shared" si="16"/>
        <v>-2.5393443813560425E-3</v>
      </c>
      <c r="F548" s="19">
        <f t="shared" si="17"/>
        <v>1.0514537928285179E-2</v>
      </c>
      <c r="G548" s="19"/>
      <c r="H548" s="19"/>
    </row>
    <row r="549" spans="1:8" ht="14.25" customHeight="1" x14ac:dyDescent="0.3">
      <c r="A549" s="304">
        <v>44728</v>
      </c>
      <c r="B549" s="305">
        <v>15360.599609375</v>
      </c>
      <c r="C549" s="305">
        <v>304.04998779296898</v>
      </c>
      <c r="D549" s="19"/>
      <c r="E549" s="19">
        <f t="shared" si="16"/>
        <v>-2.1128447854290206E-2</v>
      </c>
      <c r="F549" s="19">
        <f t="shared" si="17"/>
        <v>-4.1305396044846746E-2</v>
      </c>
      <c r="G549" s="19"/>
      <c r="H549" s="19"/>
    </row>
    <row r="550" spans="1:8" ht="14.25" customHeight="1" x14ac:dyDescent="0.3">
      <c r="A550" s="304">
        <v>44729</v>
      </c>
      <c r="B550" s="305">
        <v>15293.5</v>
      </c>
      <c r="C550" s="305">
        <v>302</v>
      </c>
      <c r="D550" s="19"/>
      <c r="E550" s="19">
        <f t="shared" si="16"/>
        <v>-4.3682936266398898E-3</v>
      </c>
      <c r="F550" s="19">
        <f t="shared" si="17"/>
        <v>-6.7422722423025943E-3</v>
      </c>
      <c r="G550" s="19"/>
      <c r="H550" s="19"/>
    </row>
    <row r="551" spans="1:8" ht="14.25" customHeight="1" x14ac:dyDescent="0.3">
      <c r="A551" s="304">
        <v>44732</v>
      </c>
      <c r="B551" s="305">
        <v>15350.150390625</v>
      </c>
      <c r="C551" s="305">
        <v>298.5</v>
      </c>
      <c r="D551" s="19"/>
      <c r="E551" s="19">
        <f t="shared" si="16"/>
        <v>3.7042135956452085E-3</v>
      </c>
      <c r="F551" s="19">
        <f t="shared" si="17"/>
        <v>-1.1589403973509934E-2</v>
      </c>
      <c r="G551" s="19"/>
      <c r="H551" s="19"/>
    </row>
    <row r="552" spans="1:8" ht="14.25" customHeight="1" x14ac:dyDescent="0.3">
      <c r="A552" s="304">
        <v>44733</v>
      </c>
      <c r="B552" s="305">
        <v>15638.7998046875</v>
      </c>
      <c r="C552" s="305">
        <v>315.10000610351602</v>
      </c>
      <c r="D552" s="19"/>
      <c r="E552" s="19">
        <f t="shared" si="16"/>
        <v>1.8804337854487124E-2</v>
      </c>
      <c r="F552" s="19">
        <f t="shared" si="17"/>
        <v>5.5611410732046979E-2</v>
      </c>
      <c r="G552" s="19"/>
      <c r="H552" s="19"/>
    </row>
    <row r="553" spans="1:8" ht="14.25" customHeight="1" x14ac:dyDescent="0.3">
      <c r="A553" s="304">
        <v>44734</v>
      </c>
      <c r="B553" s="305">
        <v>15413.2998046875</v>
      </c>
      <c r="C553" s="305">
        <v>304.29998779296898</v>
      </c>
      <c r="D553" s="19"/>
      <c r="E553" s="19">
        <f t="shared" si="16"/>
        <v>-1.4419265085317462E-2</v>
      </c>
      <c r="F553" s="19">
        <f t="shared" si="17"/>
        <v>-3.4274890832591873E-2</v>
      </c>
      <c r="G553" s="19"/>
      <c r="H553" s="19"/>
    </row>
    <row r="554" spans="1:8" ht="14.25" customHeight="1" x14ac:dyDescent="0.3">
      <c r="A554" s="304">
        <v>44735</v>
      </c>
      <c r="B554" s="305">
        <v>15556.650390625</v>
      </c>
      <c r="C554" s="305">
        <v>313.39999389648398</v>
      </c>
      <c r="D554" s="19"/>
      <c r="E554" s="19">
        <f t="shared" si="16"/>
        <v>9.3004475196092756E-3</v>
      </c>
      <c r="F554" s="19">
        <f t="shared" si="17"/>
        <v>2.9904720567081339E-2</v>
      </c>
      <c r="G554" s="19"/>
      <c r="H554" s="19"/>
    </row>
    <row r="555" spans="1:8" ht="14.25" customHeight="1" x14ac:dyDescent="0.3">
      <c r="A555" s="304">
        <v>44736</v>
      </c>
      <c r="B555" s="305">
        <v>15699.25</v>
      </c>
      <c r="C555" s="305">
        <v>315.79998779296898</v>
      </c>
      <c r="D555" s="19"/>
      <c r="E555" s="19">
        <f t="shared" si="16"/>
        <v>9.1664725885294493E-3</v>
      </c>
      <c r="F555" s="19">
        <f t="shared" si="17"/>
        <v>7.6579257920397995E-3</v>
      </c>
      <c r="G555" s="19"/>
      <c r="H555" s="19"/>
    </row>
    <row r="556" spans="1:8" ht="14.25" customHeight="1" x14ac:dyDescent="0.3">
      <c r="A556" s="304">
        <v>44739</v>
      </c>
      <c r="B556" s="305">
        <v>15832.0498046875</v>
      </c>
      <c r="C556" s="305">
        <v>318.04998779296898</v>
      </c>
      <c r="D556" s="19"/>
      <c r="E556" s="19">
        <f t="shared" si="16"/>
        <v>8.4589903777250505E-3</v>
      </c>
      <c r="F556" s="19">
        <f t="shared" si="17"/>
        <v>7.1247627833191905E-3</v>
      </c>
      <c r="G556" s="19"/>
      <c r="H556" s="19"/>
    </row>
    <row r="557" spans="1:8" ht="14.25" customHeight="1" x14ac:dyDescent="0.3">
      <c r="A557" s="304">
        <v>44740</v>
      </c>
      <c r="B557" s="305">
        <v>15850.2001953125</v>
      </c>
      <c r="C557" s="305">
        <v>319.39999389648398</v>
      </c>
      <c r="D557" s="19"/>
      <c r="E557" s="19">
        <f t="shared" si="16"/>
        <v>1.14643339611186E-3</v>
      </c>
      <c r="F557" s="19">
        <f t="shared" si="17"/>
        <v>4.2446349798125789E-3</v>
      </c>
      <c r="G557" s="19"/>
      <c r="H557" s="19"/>
    </row>
    <row r="558" spans="1:8" ht="14.25" customHeight="1" x14ac:dyDescent="0.3">
      <c r="A558" s="304">
        <v>44741</v>
      </c>
      <c r="B558" s="305">
        <v>15799.099609375</v>
      </c>
      <c r="C558" s="305">
        <v>318.54998779296898</v>
      </c>
      <c r="D558" s="19"/>
      <c r="E558" s="19">
        <f t="shared" si="16"/>
        <v>-3.2239710103227821E-3</v>
      </c>
      <c r="F558" s="19">
        <f t="shared" si="17"/>
        <v>-2.6612589848404402E-3</v>
      </c>
      <c r="G558" s="19"/>
      <c r="H558" s="19"/>
    </row>
    <row r="559" spans="1:8" ht="14.25" customHeight="1" x14ac:dyDescent="0.3">
      <c r="A559" s="304">
        <v>44742</v>
      </c>
      <c r="B559" s="305">
        <v>15780.25</v>
      </c>
      <c r="C559" s="305">
        <v>312.70001220703102</v>
      </c>
      <c r="D559" s="19"/>
      <c r="E559" s="19">
        <f t="shared" si="16"/>
        <v>-1.1930812414028243E-3</v>
      </c>
      <c r="F559" s="19">
        <f t="shared" si="17"/>
        <v>-1.8364388039907736E-2</v>
      </c>
      <c r="G559" s="19"/>
      <c r="H559" s="19"/>
    </row>
    <row r="560" spans="1:8" ht="14.25" customHeight="1" x14ac:dyDescent="0.3">
      <c r="A560" s="304">
        <v>44743</v>
      </c>
      <c r="B560" s="305">
        <v>15752.0498046875</v>
      </c>
      <c r="C560" s="305">
        <v>323.14999389648398</v>
      </c>
      <c r="D560" s="19"/>
      <c r="E560" s="19">
        <f t="shared" si="16"/>
        <v>-1.7870563085185596E-3</v>
      </c>
      <c r="F560" s="19">
        <f t="shared" si="17"/>
        <v>3.3418552227411739E-2</v>
      </c>
      <c r="G560" s="19"/>
      <c r="H560" s="19"/>
    </row>
    <row r="561" spans="1:8" ht="14.25" customHeight="1" x14ac:dyDescent="0.3">
      <c r="A561" s="304">
        <v>44746</v>
      </c>
      <c r="B561" s="305">
        <v>15835.349609375</v>
      </c>
      <c r="C561" s="305">
        <v>324.75</v>
      </c>
      <c r="D561" s="19"/>
      <c r="E561" s="19">
        <f t="shared" si="16"/>
        <v>5.288188249805534E-3</v>
      </c>
      <c r="F561" s="19">
        <f t="shared" si="17"/>
        <v>4.9512800053728599E-3</v>
      </c>
      <c r="G561" s="19"/>
      <c r="H561" s="19"/>
    </row>
    <row r="562" spans="1:8" ht="14.25" customHeight="1" x14ac:dyDescent="0.3">
      <c r="A562" s="304">
        <v>44747</v>
      </c>
      <c r="B562" s="305">
        <v>15810.849609375</v>
      </c>
      <c r="C562" s="305">
        <v>322.10000610351602</v>
      </c>
      <c r="D562" s="19"/>
      <c r="E562" s="19">
        <f t="shared" si="16"/>
        <v>-1.5471713984448608E-3</v>
      </c>
      <c r="F562" s="19">
        <f t="shared" si="17"/>
        <v>-8.1601043771639022E-3</v>
      </c>
      <c r="G562" s="19"/>
      <c r="H562" s="19"/>
    </row>
    <row r="563" spans="1:8" ht="14.25" customHeight="1" x14ac:dyDescent="0.3">
      <c r="A563" s="304">
        <v>44748</v>
      </c>
      <c r="B563" s="305">
        <v>15989.7998046875</v>
      </c>
      <c r="C563" s="305">
        <v>329.60000610351602</v>
      </c>
      <c r="D563" s="19"/>
      <c r="E563" s="19">
        <f t="shared" si="16"/>
        <v>1.1318189707300232E-2</v>
      </c>
      <c r="F563" s="19">
        <f t="shared" si="17"/>
        <v>2.3284693753124801E-2</v>
      </c>
      <c r="G563" s="19"/>
      <c r="H563" s="19"/>
    </row>
    <row r="564" spans="1:8" ht="14.25" customHeight="1" x14ac:dyDescent="0.3">
      <c r="A564" s="304">
        <v>44749</v>
      </c>
      <c r="B564" s="305">
        <v>16132.900390625</v>
      </c>
      <c r="C564" s="305">
        <v>336.89999389648398</v>
      </c>
      <c r="D564" s="19"/>
      <c r="E564" s="19">
        <f t="shared" si="16"/>
        <v>8.9494920315105666E-3</v>
      </c>
      <c r="F564" s="19">
        <f t="shared" si="17"/>
        <v>2.2148020806393064E-2</v>
      </c>
      <c r="G564" s="19"/>
      <c r="H564" s="19"/>
    </row>
    <row r="565" spans="1:8" ht="14.25" customHeight="1" x14ac:dyDescent="0.3">
      <c r="A565" s="304">
        <v>44750</v>
      </c>
      <c r="B565" s="305">
        <v>16220.599609375</v>
      </c>
      <c r="C565" s="305">
        <v>340.39999389648398</v>
      </c>
      <c r="D565" s="19"/>
      <c r="E565" s="19">
        <f t="shared" si="16"/>
        <v>5.436047866567313E-3</v>
      </c>
      <c r="F565" s="19">
        <f t="shared" si="17"/>
        <v>1.0388839606436476E-2</v>
      </c>
      <c r="G565" s="19"/>
      <c r="H565" s="19"/>
    </row>
    <row r="566" spans="1:8" ht="14.25" customHeight="1" x14ac:dyDescent="0.3">
      <c r="A566" s="304">
        <v>44753</v>
      </c>
      <c r="B566" s="305">
        <v>16216</v>
      </c>
      <c r="C566" s="305">
        <v>346.14999389648398</v>
      </c>
      <c r="D566" s="19"/>
      <c r="E566" s="19">
        <f t="shared" si="16"/>
        <v>-2.8356592763325282E-4</v>
      </c>
      <c r="F566" s="19">
        <f t="shared" si="17"/>
        <v>1.6891892194770667E-2</v>
      </c>
      <c r="G566" s="19"/>
      <c r="H566" s="19"/>
    </row>
    <row r="567" spans="1:8" ht="14.25" customHeight="1" x14ac:dyDescent="0.3">
      <c r="A567" s="304">
        <v>44754</v>
      </c>
      <c r="B567" s="305">
        <v>16058.2998046875</v>
      </c>
      <c r="C567" s="305">
        <v>346.79998779296898</v>
      </c>
      <c r="D567" s="19"/>
      <c r="E567" s="19">
        <f t="shared" si="16"/>
        <v>-9.7249750439380861E-3</v>
      </c>
      <c r="F567" s="19">
        <f t="shared" si="17"/>
        <v>1.8777810427446683E-3</v>
      </c>
      <c r="G567" s="19"/>
      <c r="H567" s="19"/>
    </row>
    <row r="568" spans="1:8" ht="14.25" customHeight="1" x14ac:dyDescent="0.3">
      <c r="A568" s="304">
        <v>44755</v>
      </c>
      <c r="B568" s="305">
        <v>15966.650390625</v>
      </c>
      <c r="C568" s="305">
        <v>347.45001220703102</v>
      </c>
      <c r="D568" s="19"/>
      <c r="E568" s="19">
        <f t="shared" si="16"/>
        <v>-5.707292501522924E-3</v>
      </c>
      <c r="F568" s="19">
        <f t="shared" si="17"/>
        <v>1.8743495874921823E-3</v>
      </c>
      <c r="G568" s="19"/>
      <c r="H568" s="19"/>
    </row>
    <row r="569" spans="1:8" ht="14.25" customHeight="1" x14ac:dyDescent="0.3">
      <c r="A569" s="304">
        <v>44756</v>
      </c>
      <c r="B569" s="305">
        <v>15938.650390625</v>
      </c>
      <c r="C569" s="305">
        <v>348.54998779296898</v>
      </c>
      <c r="D569" s="19"/>
      <c r="E569" s="19">
        <f t="shared" si="16"/>
        <v>-1.7536552323109999E-3</v>
      </c>
      <c r="F569" s="19">
        <f t="shared" si="17"/>
        <v>3.1658527767802324E-3</v>
      </c>
      <c r="G569" s="19"/>
      <c r="H569" s="19"/>
    </row>
    <row r="570" spans="1:8" ht="14.25" customHeight="1" x14ac:dyDescent="0.3">
      <c r="A570" s="304">
        <v>44757</v>
      </c>
      <c r="B570" s="305">
        <v>16049.2001953125</v>
      </c>
      <c r="C570" s="305">
        <v>353.64999389648398</v>
      </c>
      <c r="D570" s="19"/>
      <c r="E570" s="19">
        <f t="shared" si="16"/>
        <v>6.9359576863875878E-3</v>
      </c>
      <c r="F570" s="19">
        <f t="shared" si="17"/>
        <v>1.4632065075682318E-2</v>
      </c>
      <c r="G570" s="19"/>
      <c r="H570" s="19"/>
    </row>
    <row r="571" spans="1:8" ht="14.25" customHeight="1" x14ac:dyDescent="0.3">
      <c r="A571" s="304">
        <v>44760</v>
      </c>
      <c r="B571" s="305">
        <v>16278.5</v>
      </c>
      <c r="C571" s="305">
        <v>353.20001220703102</v>
      </c>
      <c r="D571" s="19"/>
      <c r="E571" s="19">
        <f t="shared" si="16"/>
        <v>1.4287304158276481E-2</v>
      </c>
      <c r="F571" s="19">
        <f t="shared" si="17"/>
        <v>-1.2723927533409417E-3</v>
      </c>
      <c r="G571" s="19"/>
      <c r="H571" s="19"/>
    </row>
    <row r="572" spans="1:8" ht="14.25" customHeight="1" x14ac:dyDescent="0.3">
      <c r="A572" s="304">
        <v>44761</v>
      </c>
      <c r="B572" s="305">
        <v>16340.5498046875</v>
      </c>
      <c r="C572" s="305">
        <v>359.85000610351602</v>
      </c>
      <c r="D572" s="19"/>
      <c r="E572" s="19">
        <f t="shared" si="16"/>
        <v>3.8117642711244892E-3</v>
      </c>
      <c r="F572" s="19">
        <f t="shared" si="17"/>
        <v>1.882784163831527E-2</v>
      </c>
      <c r="G572" s="19"/>
      <c r="H572" s="19"/>
    </row>
    <row r="573" spans="1:8" ht="14.25" customHeight="1" x14ac:dyDescent="0.3">
      <c r="A573" s="304">
        <v>44762</v>
      </c>
      <c r="B573" s="305">
        <v>16520.849609375</v>
      </c>
      <c r="C573" s="305">
        <v>356.39999389648398</v>
      </c>
      <c r="D573" s="19"/>
      <c r="E573" s="19">
        <f t="shared" si="16"/>
        <v>1.1033888506969248E-2</v>
      </c>
      <c r="F573" s="19">
        <f t="shared" si="17"/>
        <v>-9.5873618132984E-3</v>
      </c>
      <c r="G573" s="19"/>
      <c r="H573" s="19"/>
    </row>
    <row r="574" spans="1:8" ht="14.25" customHeight="1" x14ac:dyDescent="0.3">
      <c r="A574" s="304">
        <v>44763</v>
      </c>
      <c r="B574" s="305">
        <v>16605.25</v>
      </c>
      <c r="C574" s="305">
        <v>360.60000610351602</v>
      </c>
      <c r="D574" s="19"/>
      <c r="E574" s="19">
        <f t="shared" si="16"/>
        <v>5.1087197462959628E-3</v>
      </c>
      <c r="F574" s="19">
        <f t="shared" si="17"/>
        <v>1.1784546237259294E-2</v>
      </c>
      <c r="G574" s="19"/>
      <c r="H574" s="19"/>
    </row>
    <row r="575" spans="1:8" ht="14.25" customHeight="1" x14ac:dyDescent="0.3">
      <c r="A575" s="304">
        <v>44764</v>
      </c>
      <c r="B575" s="305">
        <v>16719.44921875</v>
      </c>
      <c r="C575" s="305">
        <v>360.14999389648398</v>
      </c>
      <c r="D575" s="19"/>
      <c r="E575" s="19">
        <f t="shared" si="16"/>
        <v>6.8772959606148657E-3</v>
      </c>
      <c r="F575" s="19">
        <f t="shared" si="17"/>
        <v>-1.2479539639909561E-3</v>
      </c>
      <c r="G575" s="19"/>
      <c r="H575" s="19"/>
    </row>
    <row r="576" spans="1:8" ht="14.25" customHeight="1" x14ac:dyDescent="0.3">
      <c r="A576" s="304">
        <v>44767</v>
      </c>
      <c r="B576" s="305">
        <v>16631</v>
      </c>
      <c r="C576" s="305">
        <v>357.35000610351602</v>
      </c>
      <c r="D576" s="19"/>
      <c r="E576" s="19">
        <f t="shared" si="16"/>
        <v>-5.2901993117577557E-3</v>
      </c>
      <c r="F576" s="19">
        <f t="shared" si="17"/>
        <v>-7.7745046242392556E-3</v>
      </c>
      <c r="G576" s="19"/>
      <c r="H576" s="19"/>
    </row>
    <row r="577" spans="1:8" ht="14.25" customHeight="1" x14ac:dyDescent="0.3">
      <c r="A577" s="304">
        <v>44768</v>
      </c>
      <c r="B577" s="305">
        <v>16483.849609375</v>
      </c>
      <c r="C577" s="305">
        <v>360.79998779296898</v>
      </c>
      <c r="D577" s="19"/>
      <c r="E577" s="19">
        <f t="shared" si="16"/>
        <v>-8.8479580677650171E-3</v>
      </c>
      <c r="F577" s="19">
        <f t="shared" si="17"/>
        <v>9.6543490430319873E-3</v>
      </c>
      <c r="G577" s="19"/>
      <c r="H577" s="19"/>
    </row>
    <row r="578" spans="1:8" ht="14.25" customHeight="1" x14ac:dyDescent="0.3">
      <c r="A578" s="304">
        <v>44769</v>
      </c>
      <c r="B578" s="305">
        <v>16641.80078125</v>
      </c>
      <c r="C578" s="305">
        <v>368.64999389648398</v>
      </c>
      <c r="D578" s="19"/>
      <c r="E578" s="19">
        <f t="shared" si="16"/>
        <v>9.5821774414374099E-3</v>
      </c>
      <c r="F578" s="19">
        <f t="shared" si="17"/>
        <v>2.1757223861158831E-2</v>
      </c>
      <c r="G578" s="19"/>
      <c r="H578" s="19"/>
    </row>
    <row r="579" spans="1:8" ht="14.25" customHeight="1" x14ac:dyDescent="0.3">
      <c r="A579" s="304">
        <v>44770</v>
      </c>
      <c r="B579" s="305">
        <v>16929.599609375</v>
      </c>
      <c r="C579" s="305">
        <v>382</v>
      </c>
      <c r="D579" s="19"/>
      <c r="E579" s="19">
        <f t="shared" ref="E579:E642" si="18">(B579-B578)/B578</f>
        <v>1.7293731123692903E-2</v>
      </c>
      <c r="F579" s="19">
        <f t="shared" ref="F579:F642" si="19">(C579-C578)/C578</f>
        <v>3.6213227518090432E-2</v>
      </c>
      <c r="G579" s="19"/>
      <c r="H579" s="19"/>
    </row>
    <row r="580" spans="1:8" ht="14.25" customHeight="1" x14ac:dyDescent="0.3">
      <c r="A580" s="304">
        <v>44771</v>
      </c>
      <c r="B580" s="305">
        <v>17158.25</v>
      </c>
      <c r="C580" s="305">
        <v>385.95001220703102</v>
      </c>
      <c r="D580" s="19"/>
      <c r="E580" s="19">
        <f t="shared" si="18"/>
        <v>1.3505953826479256E-2</v>
      </c>
      <c r="F580" s="19">
        <f t="shared" si="19"/>
        <v>1.0340346091704247E-2</v>
      </c>
      <c r="G580" s="19"/>
      <c r="H580" s="19"/>
    </row>
    <row r="581" spans="1:8" ht="14.25" customHeight="1" x14ac:dyDescent="0.3">
      <c r="A581" s="304">
        <v>44774</v>
      </c>
      <c r="B581" s="305">
        <v>17340.05078125</v>
      </c>
      <c r="C581" s="305">
        <v>384.25</v>
      </c>
      <c r="D581" s="19"/>
      <c r="E581" s="19">
        <f t="shared" si="18"/>
        <v>1.059553166843938E-2</v>
      </c>
      <c r="F581" s="19">
        <f t="shared" si="19"/>
        <v>-4.4047471259544965E-3</v>
      </c>
      <c r="G581" s="19"/>
      <c r="H581" s="19"/>
    </row>
    <row r="582" spans="1:8" ht="14.25" customHeight="1" x14ac:dyDescent="0.3">
      <c r="A582" s="304">
        <v>44775</v>
      </c>
      <c r="B582" s="305">
        <v>17345.44921875</v>
      </c>
      <c r="C582" s="305">
        <v>376.64999389648398</v>
      </c>
      <c r="D582" s="19"/>
      <c r="E582" s="19">
        <f t="shared" si="18"/>
        <v>3.1132766380577117E-4</v>
      </c>
      <c r="F582" s="19">
        <f t="shared" si="19"/>
        <v>-1.9778805734589521E-2</v>
      </c>
      <c r="G582" s="19"/>
      <c r="H582" s="19"/>
    </row>
    <row r="583" spans="1:8" ht="14.25" customHeight="1" x14ac:dyDescent="0.3">
      <c r="A583" s="304">
        <v>44776</v>
      </c>
      <c r="B583" s="305">
        <v>17388.150390625</v>
      </c>
      <c r="C583" s="305">
        <v>372.20001220703102</v>
      </c>
      <c r="D583" s="19"/>
      <c r="E583" s="19">
        <f t="shared" si="18"/>
        <v>2.4618083588657416E-3</v>
      </c>
      <c r="F583" s="19">
        <f t="shared" si="19"/>
        <v>-1.1814633642808338E-2</v>
      </c>
      <c r="G583" s="19"/>
      <c r="H583" s="19"/>
    </row>
    <row r="584" spans="1:8" ht="14.25" customHeight="1" x14ac:dyDescent="0.3">
      <c r="A584" s="304">
        <v>44777</v>
      </c>
      <c r="B584" s="305">
        <v>17382</v>
      </c>
      <c r="C584" s="305">
        <v>367.60000610351602</v>
      </c>
      <c r="D584" s="19"/>
      <c r="E584" s="19">
        <f t="shared" si="18"/>
        <v>-3.537116074356043E-4</v>
      </c>
      <c r="F584" s="19">
        <f t="shared" si="19"/>
        <v>-1.2358962795939702E-2</v>
      </c>
      <c r="G584" s="19"/>
      <c r="H584" s="19"/>
    </row>
    <row r="585" spans="1:8" ht="14.25" customHeight="1" x14ac:dyDescent="0.3">
      <c r="A585" s="304">
        <v>44778</v>
      </c>
      <c r="B585" s="305">
        <v>17397.5</v>
      </c>
      <c r="C585" s="305">
        <v>367.79998779296898</v>
      </c>
      <c r="D585" s="19"/>
      <c r="E585" s="19">
        <f t="shared" si="18"/>
        <v>8.9172707398458174E-4</v>
      </c>
      <c r="F585" s="19">
        <f t="shared" si="19"/>
        <v>5.4401982081752113E-4</v>
      </c>
      <c r="G585" s="19"/>
      <c r="H585" s="19"/>
    </row>
    <row r="586" spans="1:8" ht="14.25" customHeight="1" x14ac:dyDescent="0.3">
      <c r="A586" s="304">
        <v>44781</v>
      </c>
      <c r="B586" s="305">
        <v>17525.099609375</v>
      </c>
      <c r="C586" s="305">
        <v>370.29998779296898</v>
      </c>
      <c r="D586" s="19"/>
      <c r="E586" s="19">
        <f t="shared" si="18"/>
        <v>7.3343646716482252E-3</v>
      </c>
      <c r="F586" s="19">
        <f t="shared" si="19"/>
        <v>6.7971726018849835E-3</v>
      </c>
      <c r="G586" s="19"/>
      <c r="H586" s="19"/>
    </row>
    <row r="587" spans="1:8" ht="14.25" customHeight="1" x14ac:dyDescent="0.3">
      <c r="A587" s="304">
        <v>44783</v>
      </c>
      <c r="B587" s="305">
        <v>17534.75</v>
      </c>
      <c r="C587" s="305">
        <v>368.5</v>
      </c>
      <c r="D587" s="19"/>
      <c r="E587" s="19">
        <f t="shared" si="18"/>
        <v>5.5066109979982946E-4</v>
      </c>
      <c r="F587" s="19">
        <f t="shared" si="19"/>
        <v>-4.8608907704726489E-3</v>
      </c>
      <c r="G587" s="19"/>
      <c r="H587" s="19"/>
    </row>
    <row r="588" spans="1:8" ht="14.25" customHeight="1" x14ac:dyDescent="0.3">
      <c r="A588" s="304">
        <v>44784</v>
      </c>
      <c r="B588" s="305">
        <v>17659</v>
      </c>
      <c r="C588" s="305">
        <v>372.54998779296898</v>
      </c>
      <c r="D588" s="19"/>
      <c r="E588" s="19">
        <f t="shared" si="18"/>
        <v>7.0859293688247619E-3</v>
      </c>
      <c r="F588" s="19">
        <f t="shared" si="19"/>
        <v>1.0990468909006722E-2</v>
      </c>
      <c r="G588" s="19"/>
      <c r="H588" s="19"/>
    </row>
    <row r="589" spans="1:8" ht="14.25" customHeight="1" x14ac:dyDescent="0.3">
      <c r="A589" s="304">
        <v>44785</v>
      </c>
      <c r="B589" s="305">
        <v>17698.150390625</v>
      </c>
      <c r="C589" s="305">
        <v>372.89999389648398</v>
      </c>
      <c r="D589" s="19"/>
      <c r="E589" s="19">
        <f t="shared" si="18"/>
        <v>2.2170219505634522E-3</v>
      </c>
      <c r="F589" s="19">
        <f t="shared" si="19"/>
        <v>9.3948762577735693E-4</v>
      </c>
      <c r="G589" s="19"/>
      <c r="H589" s="19"/>
    </row>
    <row r="590" spans="1:8" ht="14.25" customHeight="1" x14ac:dyDescent="0.3">
      <c r="A590" s="304">
        <v>44789</v>
      </c>
      <c r="B590" s="305">
        <v>17825.25</v>
      </c>
      <c r="C590" s="305">
        <v>379.14999389648398</v>
      </c>
      <c r="D590" s="19"/>
      <c r="E590" s="19">
        <f t="shared" si="18"/>
        <v>7.18151934353133E-3</v>
      </c>
      <c r="F590" s="19">
        <f t="shared" si="19"/>
        <v>1.6760525884414422E-2</v>
      </c>
      <c r="G590" s="19"/>
      <c r="H590" s="19"/>
    </row>
    <row r="591" spans="1:8" ht="14.25" customHeight="1" x14ac:dyDescent="0.3">
      <c r="A591" s="304">
        <v>44790</v>
      </c>
      <c r="B591" s="305">
        <v>17944.25</v>
      </c>
      <c r="C591" s="305">
        <v>380.35000610351602</v>
      </c>
      <c r="D591" s="19"/>
      <c r="E591" s="19">
        <f t="shared" si="18"/>
        <v>6.675923198833116E-3</v>
      </c>
      <c r="F591" s="19">
        <f t="shared" si="19"/>
        <v>3.1650065313193034E-3</v>
      </c>
      <c r="G591" s="19"/>
      <c r="H591" s="19"/>
    </row>
    <row r="592" spans="1:8" ht="14.25" customHeight="1" x14ac:dyDescent="0.3">
      <c r="A592" s="304">
        <v>44791</v>
      </c>
      <c r="B592" s="305">
        <v>17956.5</v>
      </c>
      <c r="C592" s="305">
        <v>389.14999389648398</v>
      </c>
      <c r="D592" s="19"/>
      <c r="E592" s="19">
        <f t="shared" si="18"/>
        <v>6.8266993605193866E-4</v>
      </c>
      <c r="F592" s="19">
        <f t="shared" si="19"/>
        <v>2.313655225911302E-2</v>
      </c>
      <c r="G592" s="19"/>
      <c r="H592" s="19"/>
    </row>
    <row r="593" spans="1:8" ht="14.25" customHeight="1" x14ac:dyDescent="0.3">
      <c r="A593" s="304">
        <v>44792</v>
      </c>
      <c r="B593" s="305">
        <v>17758.44921875</v>
      </c>
      <c r="C593" s="305">
        <v>373.70001220703102</v>
      </c>
      <c r="D593" s="19"/>
      <c r="E593" s="19">
        <f t="shared" si="18"/>
        <v>-1.1029475746944004E-2</v>
      </c>
      <c r="F593" s="19">
        <f t="shared" si="19"/>
        <v>-3.9701867998905155E-2</v>
      </c>
      <c r="G593" s="19"/>
      <c r="H593" s="19"/>
    </row>
    <row r="594" spans="1:8" ht="14.25" customHeight="1" x14ac:dyDescent="0.3">
      <c r="A594" s="304">
        <v>44795</v>
      </c>
      <c r="B594" s="305">
        <v>17490.69921875</v>
      </c>
      <c r="C594" s="305">
        <v>364.79998779296898</v>
      </c>
      <c r="D594" s="19"/>
      <c r="E594" s="19">
        <f t="shared" si="18"/>
        <v>-1.5077330047338822E-2</v>
      </c>
      <c r="F594" s="19">
        <f t="shared" si="19"/>
        <v>-2.3815959655712836E-2</v>
      </c>
      <c r="G594" s="19"/>
      <c r="H594" s="19"/>
    </row>
    <row r="595" spans="1:8" ht="14.25" customHeight="1" x14ac:dyDescent="0.3">
      <c r="A595" s="304">
        <v>44796</v>
      </c>
      <c r="B595" s="305">
        <v>17577.5</v>
      </c>
      <c r="C595" s="305">
        <v>368.20001220703102</v>
      </c>
      <c r="D595" s="19"/>
      <c r="E595" s="19">
        <f t="shared" si="18"/>
        <v>4.9626821755044369E-3</v>
      </c>
      <c r="F595" s="19">
        <f t="shared" si="19"/>
        <v>9.3202426749850239E-3</v>
      </c>
      <c r="G595" s="19"/>
      <c r="H595" s="19"/>
    </row>
    <row r="596" spans="1:8" ht="14.25" customHeight="1" x14ac:dyDescent="0.3">
      <c r="A596" s="304">
        <v>44797</v>
      </c>
      <c r="B596" s="305">
        <v>17604.94921875</v>
      </c>
      <c r="C596" s="305">
        <v>372.04998779296898</v>
      </c>
      <c r="D596" s="19"/>
      <c r="E596" s="19">
        <f t="shared" si="18"/>
        <v>1.5616110795050491E-3</v>
      </c>
      <c r="F596" s="19">
        <f t="shared" si="19"/>
        <v>1.0456207111077431E-2</v>
      </c>
      <c r="G596" s="19"/>
      <c r="H596" s="19"/>
    </row>
    <row r="597" spans="1:8" ht="14.25" customHeight="1" x14ac:dyDescent="0.3">
      <c r="A597" s="304">
        <v>44798</v>
      </c>
      <c r="B597" s="305">
        <v>17522.44921875</v>
      </c>
      <c r="C597" s="305">
        <v>376.70001220703102</v>
      </c>
      <c r="D597" s="19"/>
      <c r="E597" s="19">
        <f t="shared" si="18"/>
        <v>-4.686182219266732E-3</v>
      </c>
      <c r="F597" s="19">
        <f t="shared" si="19"/>
        <v>1.2498386148717195E-2</v>
      </c>
      <c r="G597" s="19"/>
      <c r="H597" s="19"/>
    </row>
    <row r="598" spans="1:8" ht="14.25" customHeight="1" x14ac:dyDescent="0.3">
      <c r="A598" s="304">
        <v>44799</v>
      </c>
      <c r="B598" s="305">
        <v>17558.900390625</v>
      </c>
      <c r="C598" s="305">
        <v>380</v>
      </c>
      <c r="D598" s="19"/>
      <c r="E598" s="19">
        <f t="shared" si="18"/>
        <v>2.0802555293466174E-3</v>
      </c>
      <c r="F598" s="19">
        <f t="shared" si="19"/>
        <v>8.7602540112351607E-3</v>
      </c>
      <c r="G598" s="19"/>
      <c r="H598" s="19"/>
    </row>
    <row r="599" spans="1:8" ht="14.25" customHeight="1" x14ac:dyDescent="0.3">
      <c r="A599" s="304">
        <v>44802</v>
      </c>
      <c r="B599" s="305">
        <v>17312.900390625</v>
      </c>
      <c r="C599" s="305">
        <v>369.89999389648398</v>
      </c>
      <c r="D599" s="19"/>
      <c r="E599" s="19">
        <f t="shared" si="18"/>
        <v>-1.400998892455382E-2</v>
      </c>
      <c r="F599" s="19">
        <f t="shared" si="19"/>
        <v>-2.6578963430305323E-2</v>
      </c>
      <c r="G599" s="19"/>
      <c r="H599" s="19"/>
    </row>
    <row r="600" spans="1:8" ht="14.25" customHeight="1" x14ac:dyDescent="0.3">
      <c r="A600" s="304">
        <v>44803</v>
      </c>
      <c r="B600" s="305">
        <v>17759.30078125</v>
      </c>
      <c r="C600" s="305">
        <v>390</v>
      </c>
      <c r="D600" s="19"/>
      <c r="E600" s="19">
        <f t="shared" si="18"/>
        <v>2.5784263789025638E-2</v>
      </c>
      <c r="F600" s="19">
        <f t="shared" si="19"/>
        <v>5.4339027940457287E-2</v>
      </c>
      <c r="G600" s="19"/>
      <c r="H600" s="19"/>
    </row>
    <row r="601" spans="1:8" ht="14.25" customHeight="1" x14ac:dyDescent="0.3">
      <c r="A601" s="304">
        <v>44805</v>
      </c>
      <c r="B601" s="305">
        <v>17542.80078125</v>
      </c>
      <c r="C601" s="305">
        <v>398.29998779296898</v>
      </c>
      <c r="D601" s="19"/>
      <c r="E601" s="19">
        <f t="shared" si="18"/>
        <v>-1.2190795272107639E-2</v>
      </c>
      <c r="F601" s="19">
        <f t="shared" si="19"/>
        <v>2.1282019981971736E-2</v>
      </c>
      <c r="G601" s="19"/>
      <c r="H601" s="19"/>
    </row>
    <row r="602" spans="1:8" ht="14.25" customHeight="1" x14ac:dyDescent="0.3">
      <c r="A602" s="304">
        <v>44806</v>
      </c>
      <c r="B602" s="305">
        <v>17539.44921875</v>
      </c>
      <c r="C602" s="305">
        <v>395</v>
      </c>
      <c r="D602" s="19"/>
      <c r="E602" s="19">
        <f t="shared" si="18"/>
        <v>-1.9105059344812252E-4</v>
      </c>
      <c r="F602" s="19">
        <f t="shared" si="19"/>
        <v>-8.2851817577365011E-3</v>
      </c>
      <c r="G602" s="19"/>
      <c r="H602" s="19"/>
    </row>
    <row r="603" spans="1:8" ht="14.25" customHeight="1" x14ac:dyDescent="0.3">
      <c r="A603" s="304">
        <v>44809</v>
      </c>
      <c r="B603" s="305">
        <v>17665.80078125</v>
      </c>
      <c r="C603" s="305">
        <v>394.10000610351602</v>
      </c>
      <c r="D603" s="19"/>
      <c r="E603" s="19">
        <f t="shared" si="18"/>
        <v>7.2038500710117975E-3</v>
      </c>
      <c r="F603" s="19">
        <f t="shared" si="19"/>
        <v>-2.2784655607189295E-3</v>
      </c>
      <c r="G603" s="19"/>
      <c r="H603" s="19"/>
    </row>
    <row r="604" spans="1:8" ht="14.25" customHeight="1" x14ac:dyDescent="0.3">
      <c r="A604" s="304">
        <v>44810</v>
      </c>
      <c r="B604" s="305">
        <v>17655.599609375</v>
      </c>
      <c r="C604" s="305">
        <v>395.25</v>
      </c>
      <c r="D604" s="19"/>
      <c r="E604" s="19">
        <f t="shared" si="18"/>
        <v>-5.7745312546642362E-4</v>
      </c>
      <c r="F604" s="19">
        <f t="shared" si="19"/>
        <v>2.9180255738994196E-3</v>
      </c>
      <c r="G604" s="19"/>
      <c r="H604" s="19"/>
    </row>
    <row r="605" spans="1:8" ht="14.25" customHeight="1" x14ac:dyDescent="0.3">
      <c r="A605" s="304">
        <v>44811</v>
      </c>
      <c r="B605" s="305">
        <v>17624.400390625</v>
      </c>
      <c r="C605" s="305">
        <v>399.39999389648398</v>
      </c>
      <c r="D605" s="19"/>
      <c r="E605" s="19">
        <f t="shared" si="18"/>
        <v>-1.7671004916442166E-3</v>
      </c>
      <c r="F605" s="19">
        <f t="shared" si="19"/>
        <v>1.0499668302299753E-2</v>
      </c>
      <c r="G605" s="19"/>
      <c r="H605" s="19"/>
    </row>
    <row r="606" spans="1:8" ht="14.25" customHeight="1" x14ac:dyDescent="0.3">
      <c r="A606" s="304">
        <v>44812</v>
      </c>
      <c r="B606" s="305">
        <v>17798.75</v>
      </c>
      <c r="C606" s="305">
        <v>397.20001220703102</v>
      </c>
      <c r="D606" s="19"/>
      <c r="E606" s="19">
        <f t="shared" si="18"/>
        <v>9.8925129655895866E-3</v>
      </c>
      <c r="F606" s="19">
        <f t="shared" si="19"/>
        <v>-5.5082166326300523E-3</v>
      </c>
      <c r="G606" s="19"/>
      <c r="H606" s="19"/>
    </row>
    <row r="607" spans="1:8" ht="14.25" customHeight="1" x14ac:dyDescent="0.3">
      <c r="A607" s="304">
        <v>44813</v>
      </c>
      <c r="B607" s="305">
        <v>17833.349609375</v>
      </c>
      <c r="C607" s="305">
        <v>396.89999389648398</v>
      </c>
      <c r="D607" s="19"/>
      <c r="E607" s="19">
        <f t="shared" si="18"/>
        <v>1.943934791769085E-3</v>
      </c>
      <c r="F607" s="19">
        <f t="shared" si="19"/>
        <v>-7.5533308491105525E-4</v>
      </c>
      <c r="G607" s="19"/>
      <c r="H607" s="19"/>
    </row>
    <row r="608" spans="1:8" ht="14.25" customHeight="1" x14ac:dyDescent="0.3">
      <c r="A608" s="304">
        <v>44816</v>
      </c>
      <c r="B608" s="305">
        <v>17936.349609375</v>
      </c>
      <c r="C608" s="305">
        <v>396.89999389648398</v>
      </c>
      <c r="D608" s="19"/>
      <c r="E608" s="19">
        <f t="shared" si="18"/>
        <v>5.77569566324505E-3</v>
      </c>
      <c r="F608" s="19">
        <f t="shared" si="19"/>
        <v>0</v>
      </c>
      <c r="G608" s="19"/>
      <c r="H608" s="19"/>
    </row>
    <row r="609" spans="1:8" ht="14.25" customHeight="1" x14ac:dyDescent="0.3">
      <c r="A609" s="304">
        <v>44817</v>
      </c>
      <c r="B609" s="305">
        <v>18070.05078125</v>
      </c>
      <c r="C609" s="305">
        <v>408.75</v>
      </c>
      <c r="D609" s="19"/>
      <c r="E609" s="19">
        <f t="shared" si="18"/>
        <v>7.4542019299800475E-3</v>
      </c>
      <c r="F609" s="19">
        <f t="shared" si="19"/>
        <v>2.9856402836344307E-2</v>
      </c>
      <c r="G609" s="19"/>
      <c r="H609" s="19"/>
    </row>
    <row r="610" spans="1:8" ht="14.25" customHeight="1" x14ac:dyDescent="0.3">
      <c r="A610" s="304">
        <v>44818</v>
      </c>
      <c r="B610" s="305">
        <v>18003.75</v>
      </c>
      <c r="C610" s="305">
        <v>407.20001220703102</v>
      </c>
      <c r="D610" s="19"/>
      <c r="E610" s="19">
        <f t="shared" si="18"/>
        <v>-3.6690976717561625E-3</v>
      </c>
      <c r="F610" s="19">
        <f t="shared" si="19"/>
        <v>-3.7920190653675289E-3</v>
      </c>
      <c r="G610" s="19"/>
      <c r="H610" s="19"/>
    </row>
    <row r="611" spans="1:8" ht="14.25" customHeight="1" x14ac:dyDescent="0.3">
      <c r="A611" s="304">
        <v>44819</v>
      </c>
      <c r="B611" s="305">
        <v>17877.400390625</v>
      </c>
      <c r="C611" s="305">
        <v>411</v>
      </c>
      <c r="D611" s="19"/>
      <c r="E611" s="19">
        <f t="shared" si="18"/>
        <v>-7.0179606679164064E-3</v>
      </c>
      <c r="F611" s="19">
        <f t="shared" si="19"/>
        <v>9.3319933179102296E-3</v>
      </c>
      <c r="G611" s="19"/>
      <c r="H611" s="19"/>
    </row>
    <row r="612" spans="1:8" ht="14.25" customHeight="1" x14ac:dyDescent="0.3">
      <c r="A612" s="304">
        <v>44820</v>
      </c>
      <c r="B612" s="305">
        <v>17530.849609375</v>
      </c>
      <c r="C612" s="305">
        <v>389.10000610351602</v>
      </c>
      <c r="D612" s="19"/>
      <c r="E612" s="19">
        <f t="shared" si="18"/>
        <v>-1.9384853148544628E-2</v>
      </c>
      <c r="F612" s="19">
        <f t="shared" si="19"/>
        <v>-5.3284656682442769E-2</v>
      </c>
      <c r="G612" s="19"/>
      <c r="H612" s="19"/>
    </row>
    <row r="613" spans="1:8" ht="14.25" customHeight="1" x14ac:dyDescent="0.3">
      <c r="A613" s="304">
        <v>44823</v>
      </c>
      <c r="B613" s="305">
        <v>17622.25</v>
      </c>
      <c r="C613" s="305">
        <v>385.14999389648398</v>
      </c>
      <c r="D613" s="19"/>
      <c r="E613" s="19">
        <f t="shared" si="18"/>
        <v>5.2136885924867933E-3</v>
      </c>
      <c r="F613" s="19">
        <f t="shared" si="19"/>
        <v>-1.01516631844544E-2</v>
      </c>
      <c r="G613" s="19"/>
      <c r="H613" s="19"/>
    </row>
    <row r="614" spans="1:8" ht="14.25" customHeight="1" x14ac:dyDescent="0.3">
      <c r="A614" s="304">
        <v>44824</v>
      </c>
      <c r="B614" s="305">
        <v>17816.25</v>
      </c>
      <c r="C614" s="305">
        <v>391.95001220703102</v>
      </c>
      <c r="D614" s="19"/>
      <c r="E614" s="19">
        <f t="shared" si="18"/>
        <v>1.1008809885230319E-2</v>
      </c>
      <c r="F614" s="19">
        <f t="shared" si="19"/>
        <v>1.7655506733240851E-2</v>
      </c>
      <c r="G614" s="19"/>
      <c r="H614" s="19"/>
    </row>
    <row r="615" spans="1:8" ht="14.25" customHeight="1" x14ac:dyDescent="0.3">
      <c r="A615" s="304">
        <v>44825</v>
      </c>
      <c r="B615" s="305">
        <v>17718.349609375</v>
      </c>
      <c r="C615" s="305">
        <v>379.75</v>
      </c>
      <c r="D615" s="19"/>
      <c r="E615" s="19">
        <f t="shared" si="18"/>
        <v>-5.4950054374517648E-3</v>
      </c>
      <c r="F615" s="19">
        <f t="shared" si="19"/>
        <v>-3.1126449361065161E-2</v>
      </c>
      <c r="G615" s="19"/>
      <c r="H615" s="19"/>
    </row>
    <row r="616" spans="1:8" ht="14.25" customHeight="1" x14ac:dyDescent="0.3">
      <c r="A616" s="304">
        <v>44826</v>
      </c>
      <c r="B616" s="305">
        <v>17629.80078125</v>
      </c>
      <c r="C616" s="305">
        <v>380.70001220703102</v>
      </c>
      <c r="D616" s="19"/>
      <c r="E616" s="19">
        <f t="shared" si="18"/>
        <v>-4.9975776569025207E-3</v>
      </c>
      <c r="F616" s="19">
        <f t="shared" si="19"/>
        <v>2.5016779645319885E-3</v>
      </c>
      <c r="G616" s="19"/>
      <c r="H616" s="19"/>
    </row>
    <row r="617" spans="1:8" ht="14.25" customHeight="1" x14ac:dyDescent="0.3">
      <c r="A617" s="304">
        <v>44827</v>
      </c>
      <c r="B617" s="305">
        <v>17327.349609375</v>
      </c>
      <c r="C617" s="305">
        <v>369.95001220703102</v>
      </c>
      <c r="D617" s="19"/>
      <c r="E617" s="19">
        <f t="shared" si="18"/>
        <v>-1.7155677232420515E-2</v>
      </c>
      <c r="F617" s="19">
        <f t="shared" si="19"/>
        <v>-2.823745641004595E-2</v>
      </c>
      <c r="G617" s="19"/>
      <c r="H617" s="19"/>
    </row>
    <row r="618" spans="1:8" ht="14.25" customHeight="1" x14ac:dyDescent="0.3">
      <c r="A618" s="304">
        <v>44830</v>
      </c>
      <c r="B618" s="305">
        <v>17016.30078125</v>
      </c>
      <c r="C618" s="305">
        <v>352.04998779296898</v>
      </c>
      <c r="D618" s="19"/>
      <c r="E618" s="19">
        <f t="shared" si="18"/>
        <v>-1.7951321762256493E-2</v>
      </c>
      <c r="F618" s="19">
        <f t="shared" si="19"/>
        <v>-4.8384981276997099E-2</v>
      </c>
      <c r="G618" s="19"/>
      <c r="H618" s="19"/>
    </row>
    <row r="619" spans="1:8" ht="14.25" customHeight="1" x14ac:dyDescent="0.3">
      <c r="A619" s="304">
        <v>44831</v>
      </c>
      <c r="B619" s="305">
        <v>17007.400390625</v>
      </c>
      <c r="C619" s="305">
        <v>350.75</v>
      </c>
      <c r="D619" s="19"/>
      <c r="E619" s="19">
        <f t="shared" si="18"/>
        <v>-5.2305085220444639E-4</v>
      </c>
      <c r="F619" s="19">
        <f t="shared" si="19"/>
        <v>-3.6926227468965711E-3</v>
      </c>
      <c r="G619" s="19"/>
      <c r="H619" s="19"/>
    </row>
    <row r="620" spans="1:8" ht="14.25" customHeight="1" x14ac:dyDescent="0.3">
      <c r="A620" s="304">
        <v>44832</v>
      </c>
      <c r="B620" s="305">
        <v>16858.599609375</v>
      </c>
      <c r="C620" s="305">
        <v>348.75</v>
      </c>
      <c r="D620" s="19"/>
      <c r="E620" s="19">
        <f t="shared" si="18"/>
        <v>-8.7491784653946029E-3</v>
      </c>
      <c r="F620" s="19">
        <f t="shared" si="19"/>
        <v>-5.7020669992872419E-3</v>
      </c>
      <c r="G620" s="19"/>
      <c r="H620" s="19"/>
    </row>
    <row r="621" spans="1:8" ht="14.25" customHeight="1" x14ac:dyDescent="0.3">
      <c r="A621" s="304">
        <v>44833</v>
      </c>
      <c r="B621" s="305">
        <v>16818.099609375</v>
      </c>
      <c r="C621" s="305">
        <v>350.60000610351602</v>
      </c>
      <c r="D621" s="19"/>
      <c r="E621" s="19">
        <f t="shared" si="18"/>
        <v>-2.4023347691037229E-3</v>
      </c>
      <c r="F621" s="19">
        <f t="shared" si="19"/>
        <v>5.3046769993290981E-3</v>
      </c>
      <c r="G621" s="19"/>
      <c r="H621" s="19"/>
    </row>
    <row r="622" spans="1:8" ht="14.25" customHeight="1" x14ac:dyDescent="0.3">
      <c r="A622" s="304">
        <v>44834</v>
      </c>
      <c r="B622" s="305">
        <v>17094.349609375</v>
      </c>
      <c r="C622" s="305">
        <v>356.70001220703102</v>
      </c>
      <c r="D622" s="19"/>
      <c r="E622" s="19">
        <f t="shared" si="18"/>
        <v>1.6425755966269134E-2</v>
      </c>
      <c r="F622" s="19">
        <f t="shared" si="19"/>
        <v>1.7398762114436327E-2</v>
      </c>
      <c r="G622" s="19"/>
      <c r="H622" s="19"/>
    </row>
    <row r="623" spans="1:8" ht="14.25" customHeight="1" x14ac:dyDescent="0.3">
      <c r="A623" s="304">
        <v>44837</v>
      </c>
      <c r="B623" s="305">
        <v>16887.349609375</v>
      </c>
      <c r="C623" s="305">
        <v>347.85000610351602</v>
      </c>
      <c r="D623" s="19"/>
      <c r="E623" s="19">
        <f t="shared" si="18"/>
        <v>-1.2109264448790473E-2</v>
      </c>
      <c r="F623" s="19">
        <f t="shared" si="19"/>
        <v>-2.4810781611014913E-2</v>
      </c>
      <c r="G623" s="19"/>
      <c r="H623" s="19"/>
    </row>
    <row r="624" spans="1:8" ht="14.25" customHeight="1" x14ac:dyDescent="0.3">
      <c r="A624" s="304">
        <v>44838</v>
      </c>
      <c r="B624" s="305">
        <v>17274.30078125</v>
      </c>
      <c r="C624" s="305">
        <v>359.10000610351602</v>
      </c>
      <c r="D624" s="19"/>
      <c r="E624" s="19">
        <f t="shared" si="18"/>
        <v>2.2913670932719031E-2</v>
      </c>
      <c r="F624" s="19">
        <f t="shared" si="19"/>
        <v>3.2341525952574321E-2</v>
      </c>
      <c r="G624" s="19"/>
      <c r="H624" s="19"/>
    </row>
    <row r="625" spans="1:8" ht="14.25" customHeight="1" x14ac:dyDescent="0.3">
      <c r="A625" s="304">
        <v>44840</v>
      </c>
      <c r="B625" s="305">
        <v>17331.80078125</v>
      </c>
      <c r="C625" s="305">
        <v>367.35000610351602</v>
      </c>
      <c r="D625" s="19"/>
      <c r="E625" s="19">
        <f t="shared" si="18"/>
        <v>3.3286441360574244E-3</v>
      </c>
      <c r="F625" s="19">
        <f t="shared" si="19"/>
        <v>2.2974101530986363E-2</v>
      </c>
      <c r="G625" s="19"/>
      <c r="H625" s="19"/>
    </row>
    <row r="626" spans="1:8" ht="14.25" customHeight="1" x14ac:dyDescent="0.3">
      <c r="A626" s="304">
        <v>44841</v>
      </c>
      <c r="B626" s="305">
        <v>17314.650390625</v>
      </c>
      <c r="C626" s="305">
        <v>368.89999389648398</v>
      </c>
      <c r="D626" s="19"/>
      <c r="E626" s="19">
        <f t="shared" si="18"/>
        <v>-9.8953310400115763E-4</v>
      </c>
      <c r="F626" s="19">
        <f t="shared" si="19"/>
        <v>4.2193759826185525E-3</v>
      </c>
      <c r="G626" s="19"/>
      <c r="H626" s="19"/>
    </row>
    <row r="627" spans="1:8" ht="14.25" customHeight="1" x14ac:dyDescent="0.3">
      <c r="A627" s="304">
        <v>44844</v>
      </c>
      <c r="B627" s="305">
        <v>17241</v>
      </c>
      <c r="C627" s="305">
        <v>366.25</v>
      </c>
      <c r="D627" s="19"/>
      <c r="E627" s="19">
        <f t="shared" si="18"/>
        <v>-4.253645841147213E-3</v>
      </c>
      <c r="F627" s="19">
        <f t="shared" si="19"/>
        <v>-7.1835021423925114E-3</v>
      </c>
      <c r="G627" s="19"/>
      <c r="H627" s="19"/>
    </row>
    <row r="628" spans="1:8" ht="14.25" customHeight="1" x14ac:dyDescent="0.3">
      <c r="A628" s="304">
        <v>44845</v>
      </c>
      <c r="B628" s="305">
        <v>16983.55078125</v>
      </c>
      <c r="C628" s="305">
        <v>358.5</v>
      </c>
      <c r="D628" s="19"/>
      <c r="E628" s="19">
        <f t="shared" si="18"/>
        <v>-1.4932383199930399E-2</v>
      </c>
      <c r="F628" s="19">
        <f t="shared" si="19"/>
        <v>-2.1160409556313993E-2</v>
      </c>
      <c r="G628" s="19"/>
      <c r="H628" s="19"/>
    </row>
    <row r="629" spans="1:8" ht="14.25" customHeight="1" x14ac:dyDescent="0.3">
      <c r="A629" s="304">
        <v>44846</v>
      </c>
      <c r="B629" s="305">
        <v>17123.599609375</v>
      </c>
      <c r="C629" s="305">
        <v>366.85000610351602</v>
      </c>
      <c r="D629" s="19"/>
      <c r="E629" s="19">
        <f t="shared" si="18"/>
        <v>8.2461453396197471E-3</v>
      </c>
      <c r="F629" s="19">
        <f t="shared" si="19"/>
        <v>2.329150935429853E-2</v>
      </c>
      <c r="G629" s="19"/>
      <c r="H629" s="19"/>
    </row>
    <row r="630" spans="1:8" ht="14.25" customHeight="1" x14ac:dyDescent="0.3">
      <c r="A630" s="304">
        <v>44847</v>
      </c>
      <c r="B630" s="305">
        <v>17014.349609375</v>
      </c>
      <c r="C630" s="305">
        <v>362.54998779296898</v>
      </c>
      <c r="D630" s="19"/>
      <c r="E630" s="19">
        <f t="shared" si="18"/>
        <v>-6.3800837728176449E-3</v>
      </c>
      <c r="F630" s="19">
        <f t="shared" si="19"/>
        <v>-1.1721461739143835E-2</v>
      </c>
      <c r="G630" s="19"/>
      <c r="H630" s="19"/>
    </row>
    <row r="631" spans="1:8" ht="14.25" customHeight="1" x14ac:dyDescent="0.3">
      <c r="A631" s="304">
        <v>44848</v>
      </c>
      <c r="B631" s="305">
        <v>17185.69921875</v>
      </c>
      <c r="C631" s="305">
        <v>358.70001220703102</v>
      </c>
      <c r="D631" s="19"/>
      <c r="E631" s="19">
        <f t="shared" si="18"/>
        <v>1.0070888003887344E-2</v>
      </c>
      <c r="F631" s="19">
        <f t="shared" si="19"/>
        <v>-1.0619157952189616E-2</v>
      </c>
      <c r="G631" s="19"/>
      <c r="H631" s="19"/>
    </row>
    <row r="632" spans="1:8" ht="14.25" customHeight="1" x14ac:dyDescent="0.3">
      <c r="A632" s="304">
        <v>44851</v>
      </c>
      <c r="B632" s="305">
        <v>17311.80078125</v>
      </c>
      <c r="C632" s="305">
        <v>359.39999389648398</v>
      </c>
      <c r="D632" s="19"/>
      <c r="E632" s="19">
        <f t="shared" si="18"/>
        <v>7.3375869608156676E-3</v>
      </c>
      <c r="F632" s="19">
        <f t="shared" si="19"/>
        <v>1.9514403836957378E-3</v>
      </c>
      <c r="G632" s="19"/>
      <c r="H632" s="19"/>
    </row>
    <row r="633" spans="1:8" ht="14.25" customHeight="1" x14ac:dyDescent="0.3">
      <c r="A633" s="304">
        <v>44852</v>
      </c>
      <c r="B633" s="305">
        <v>17486.94921875</v>
      </c>
      <c r="C633" s="305">
        <v>365.64999389648398</v>
      </c>
      <c r="D633" s="19"/>
      <c r="E633" s="19">
        <f t="shared" si="18"/>
        <v>1.0117285874136163E-2</v>
      </c>
      <c r="F633" s="19">
        <f t="shared" si="19"/>
        <v>1.7390094897442188E-2</v>
      </c>
      <c r="G633" s="19"/>
      <c r="H633" s="19"/>
    </row>
    <row r="634" spans="1:8" ht="14.25" customHeight="1" x14ac:dyDescent="0.3">
      <c r="A634" s="304">
        <v>44853</v>
      </c>
      <c r="B634" s="305">
        <v>17512.25</v>
      </c>
      <c r="C634" s="305">
        <v>370.29998779296898</v>
      </c>
      <c r="D634" s="19"/>
      <c r="E634" s="19">
        <f t="shared" si="18"/>
        <v>1.4468379208691124E-3</v>
      </c>
      <c r="F634" s="19">
        <f t="shared" si="19"/>
        <v>1.2717062694116769E-2</v>
      </c>
      <c r="G634" s="19"/>
      <c r="H634" s="19"/>
    </row>
    <row r="635" spans="1:8" ht="14.25" customHeight="1" x14ac:dyDescent="0.3">
      <c r="A635" s="304">
        <v>44854</v>
      </c>
      <c r="B635" s="305">
        <v>17563.94921875</v>
      </c>
      <c r="C635" s="305">
        <v>373.39999389648398</v>
      </c>
      <c r="D635" s="19"/>
      <c r="E635" s="19">
        <f t="shared" si="18"/>
        <v>2.9521745492441004E-3</v>
      </c>
      <c r="F635" s="19">
        <f t="shared" si="19"/>
        <v>8.3716073608087246E-3</v>
      </c>
      <c r="G635" s="19"/>
      <c r="H635" s="19"/>
    </row>
    <row r="636" spans="1:8" ht="14.25" customHeight="1" x14ac:dyDescent="0.3">
      <c r="A636" s="304">
        <v>44855</v>
      </c>
      <c r="B636" s="305">
        <v>17576.30078125</v>
      </c>
      <c r="C636" s="305">
        <v>369.79998779296898</v>
      </c>
      <c r="D636" s="19"/>
      <c r="E636" s="19">
        <f t="shared" si="18"/>
        <v>7.0323378564624668E-4</v>
      </c>
      <c r="F636" s="19">
        <f t="shared" si="19"/>
        <v>-9.641152014889999E-3</v>
      </c>
      <c r="G636" s="19"/>
      <c r="H636" s="19"/>
    </row>
    <row r="637" spans="1:8" ht="14.25" customHeight="1" x14ac:dyDescent="0.3">
      <c r="A637" s="304">
        <v>44858</v>
      </c>
      <c r="B637" s="305">
        <v>17730.75</v>
      </c>
      <c r="C637" s="305">
        <v>369.79998779296898</v>
      </c>
      <c r="D637" s="19"/>
      <c r="E637" s="19">
        <f t="shared" si="18"/>
        <v>8.7873563767617655E-3</v>
      </c>
      <c r="F637" s="19">
        <f t="shared" si="19"/>
        <v>0</v>
      </c>
      <c r="G637" s="19"/>
      <c r="H637" s="19"/>
    </row>
    <row r="638" spans="1:8" ht="14.25" customHeight="1" x14ac:dyDescent="0.3">
      <c r="A638" s="304">
        <v>44859</v>
      </c>
      <c r="B638" s="305">
        <v>17656.349609375</v>
      </c>
      <c r="C638" s="305">
        <v>369.75</v>
      </c>
      <c r="D638" s="19"/>
      <c r="E638" s="19">
        <f t="shared" si="18"/>
        <v>-4.1961220267050185E-3</v>
      </c>
      <c r="F638" s="19">
        <f t="shared" si="19"/>
        <v>-1.3517521530304332E-4</v>
      </c>
      <c r="G638" s="19"/>
      <c r="H638" s="19"/>
    </row>
    <row r="639" spans="1:8" ht="14.25" customHeight="1" x14ac:dyDescent="0.3">
      <c r="A639" s="304">
        <v>44861</v>
      </c>
      <c r="B639" s="305">
        <v>17736.94921875</v>
      </c>
      <c r="C639" s="305">
        <v>383.5</v>
      </c>
      <c r="D639" s="19"/>
      <c r="E639" s="19">
        <f t="shared" si="18"/>
        <v>4.5649078749666347E-3</v>
      </c>
      <c r="F639" s="19">
        <f t="shared" si="19"/>
        <v>3.7187288708586883E-2</v>
      </c>
      <c r="G639" s="19"/>
      <c r="H639" s="19"/>
    </row>
    <row r="640" spans="1:8" ht="14.25" customHeight="1" x14ac:dyDescent="0.3">
      <c r="A640" s="304">
        <v>44862</v>
      </c>
      <c r="B640" s="305">
        <v>17786.80078125</v>
      </c>
      <c r="C640" s="305">
        <v>384.60000610351602</v>
      </c>
      <c r="D640" s="19"/>
      <c r="E640" s="19">
        <f t="shared" si="18"/>
        <v>2.8106052447453111E-3</v>
      </c>
      <c r="F640" s="19">
        <f t="shared" si="19"/>
        <v>2.8683340378514287E-3</v>
      </c>
      <c r="G640" s="19"/>
      <c r="H640" s="19"/>
    </row>
    <row r="641" spans="1:8" ht="14.25" customHeight="1" x14ac:dyDescent="0.3">
      <c r="A641" s="304">
        <v>44865</v>
      </c>
      <c r="B641" s="305">
        <v>18012.19921875</v>
      </c>
      <c r="C641" s="305">
        <v>385.5</v>
      </c>
      <c r="D641" s="19"/>
      <c r="E641" s="19">
        <f t="shared" si="18"/>
        <v>1.2672230395564126E-2</v>
      </c>
      <c r="F641" s="19">
        <f t="shared" si="19"/>
        <v>2.3400776968311894E-3</v>
      </c>
      <c r="G641" s="19"/>
      <c r="H641" s="19"/>
    </row>
    <row r="642" spans="1:8" ht="14.25" customHeight="1" x14ac:dyDescent="0.3">
      <c r="A642" s="304">
        <v>44866</v>
      </c>
      <c r="B642" s="305">
        <v>18145.400390625</v>
      </c>
      <c r="C642" s="305">
        <v>389.64999389648398</v>
      </c>
      <c r="D642" s="19"/>
      <c r="E642" s="19">
        <f t="shared" si="18"/>
        <v>7.3950532223928962E-3</v>
      </c>
      <c r="F642" s="19">
        <f t="shared" si="19"/>
        <v>1.0765224115392937E-2</v>
      </c>
      <c r="G642" s="19"/>
      <c r="H642" s="19"/>
    </row>
    <row r="643" spans="1:8" ht="14.25" customHeight="1" x14ac:dyDescent="0.3">
      <c r="A643" s="304">
        <v>44867</v>
      </c>
      <c r="B643" s="305">
        <v>18082.849609375</v>
      </c>
      <c r="C643" s="305">
        <v>385.14999389648398</v>
      </c>
      <c r="D643" s="19"/>
      <c r="E643" s="19">
        <f t="shared" ref="E643:E706" si="20">(B643-B642)/B642</f>
        <v>-3.4471976315450983E-3</v>
      </c>
      <c r="F643" s="19">
        <f t="shared" ref="F643:F706" si="21">(C643-C642)/C642</f>
        <v>-1.1548826050271898E-2</v>
      </c>
      <c r="G643" s="19"/>
      <c r="H643" s="19"/>
    </row>
    <row r="644" spans="1:8" ht="14.25" customHeight="1" x14ac:dyDescent="0.3">
      <c r="A644" s="304">
        <v>44868</v>
      </c>
      <c r="B644" s="305">
        <v>18052.69921875</v>
      </c>
      <c r="C644" s="305">
        <v>384.75</v>
      </c>
      <c r="D644" s="19"/>
      <c r="E644" s="19">
        <f t="shared" si="20"/>
        <v>-1.6673473084335456E-3</v>
      </c>
      <c r="F644" s="19">
        <f t="shared" si="21"/>
        <v>-1.0385405759385333E-3</v>
      </c>
      <c r="G644" s="19"/>
      <c r="H644" s="19"/>
    </row>
    <row r="645" spans="1:8" ht="14.25" customHeight="1" x14ac:dyDescent="0.3">
      <c r="A645" s="304">
        <v>44869</v>
      </c>
      <c r="B645" s="305">
        <v>18117.150390625</v>
      </c>
      <c r="C645" s="305">
        <v>387.29998779296898</v>
      </c>
      <c r="D645" s="19"/>
      <c r="E645" s="19">
        <f t="shared" si="20"/>
        <v>3.5701681556882833E-3</v>
      </c>
      <c r="F645" s="19">
        <f t="shared" si="21"/>
        <v>6.6276485847146906E-3</v>
      </c>
      <c r="G645" s="19"/>
      <c r="H645" s="19"/>
    </row>
    <row r="646" spans="1:8" ht="14.25" customHeight="1" x14ac:dyDescent="0.3">
      <c r="A646" s="304">
        <v>44872</v>
      </c>
      <c r="B646" s="305">
        <v>18202.80078125</v>
      </c>
      <c r="C646" s="305">
        <v>397.79998779296898</v>
      </c>
      <c r="D646" s="19"/>
      <c r="E646" s="19">
        <f t="shared" si="20"/>
        <v>4.7275862251119315E-3</v>
      </c>
      <c r="F646" s="19">
        <f t="shared" si="21"/>
        <v>2.7110767701889964E-2</v>
      </c>
      <c r="G646" s="19"/>
      <c r="H646" s="19"/>
    </row>
    <row r="647" spans="1:8" ht="14.25" customHeight="1" x14ac:dyDescent="0.3">
      <c r="A647" s="304">
        <v>44874</v>
      </c>
      <c r="B647" s="305">
        <v>18157</v>
      </c>
      <c r="C647" s="305">
        <v>397.04998779296898</v>
      </c>
      <c r="D647" s="19"/>
      <c r="E647" s="19">
        <f t="shared" si="20"/>
        <v>-2.5161392359563488E-3</v>
      </c>
      <c r="F647" s="19">
        <f t="shared" si="21"/>
        <v>-1.8853695902834719E-3</v>
      </c>
      <c r="G647" s="19"/>
      <c r="H647" s="19"/>
    </row>
    <row r="648" spans="1:8" ht="14.25" customHeight="1" x14ac:dyDescent="0.3">
      <c r="A648" s="304">
        <v>44875</v>
      </c>
      <c r="B648" s="305">
        <v>18028.19921875</v>
      </c>
      <c r="C648" s="305">
        <v>391.14999389648398</v>
      </c>
      <c r="D648" s="19"/>
      <c r="E648" s="19">
        <f t="shared" si="20"/>
        <v>-7.093725904609792E-3</v>
      </c>
      <c r="F648" s="19">
        <f t="shared" si="21"/>
        <v>-1.4859574557048956E-2</v>
      </c>
      <c r="G648" s="19"/>
      <c r="H648" s="19"/>
    </row>
    <row r="649" spans="1:8" ht="14.25" customHeight="1" x14ac:dyDescent="0.3">
      <c r="A649" s="304">
        <v>44876</v>
      </c>
      <c r="B649" s="305">
        <v>18349.69921875</v>
      </c>
      <c r="C649" s="305">
        <v>400.54998779296898</v>
      </c>
      <c r="D649" s="19"/>
      <c r="E649" s="19">
        <f t="shared" si="20"/>
        <v>1.7833173247033349E-2</v>
      </c>
      <c r="F649" s="19">
        <f t="shared" si="21"/>
        <v>2.4031686164291913E-2</v>
      </c>
      <c r="G649" s="19"/>
      <c r="H649" s="19"/>
    </row>
    <row r="650" spans="1:8" ht="14.25" customHeight="1" x14ac:dyDescent="0.3">
      <c r="A650" s="304">
        <v>44879</v>
      </c>
      <c r="B650" s="305">
        <v>18329.150390625</v>
      </c>
      <c r="C650" s="305">
        <v>406.5</v>
      </c>
      <c r="D650" s="19"/>
      <c r="E650" s="19">
        <f t="shared" si="20"/>
        <v>-1.1198455015547556E-3</v>
      </c>
      <c r="F650" s="19">
        <f t="shared" si="21"/>
        <v>1.4854605887808407E-2</v>
      </c>
      <c r="G650" s="19"/>
      <c r="H650" s="19"/>
    </row>
    <row r="651" spans="1:8" ht="14.25" customHeight="1" x14ac:dyDescent="0.3">
      <c r="A651" s="304">
        <v>44880</v>
      </c>
      <c r="B651" s="305">
        <v>18403.400390625</v>
      </c>
      <c r="C651" s="305">
        <v>405.45001220703102</v>
      </c>
      <c r="D651" s="19"/>
      <c r="E651" s="19">
        <f t="shared" si="20"/>
        <v>4.0509242609508738E-3</v>
      </c>
      <c r="F651" s="19">
        <f t="shared" si="21"/>
        <v>-2.5829958006616908E-3</v>
      </c>
      <c r="G651" s="19"/>
      <c r="H651" s="19"/>
    </row>
    <row r="652" spans="1:8" ht="14.25" customHeight="1" x14ac:dyDescent="0.3">
      <c r="A652" s="304">
        <v>44881</v>
      </c>
      <c r="B652" s="305">
        <v>18409.650390625</v>
      </c>
      <c r="C652" s="305">
        <v>401.25</v>
      </c>
      <c r="D652" s="19"/>
      <c r="E652" s="19">
        <f t="shared" si="20"/>
        <v>3.3961115159912808E-4</v>
      </c>
      <c r="F652" s="19">
        <f t="shared" si="21"/>
        <v>-1.0358890320828035E-2</v>
      </c>
      <c r="G652" s="19"/>
      <c r="H652" s="19"/>
    </row>
    <row r="653" spans="1:8" ht="14.25" customHeight="1" x14ac:dyDescent="0.3">
      <c r="A653" s="304">
        <v>44882</v>
      </c>
      <c r="B653" s="305">
        <v>18343.900390625</v>
      </c>
      <c r="C653" s="305">
        <v>402.89999389648398</v>
      </c>
      <c r="D653" s="19"/>
      <c r="E653" s="19">
        <f t="shared" si="20"/>
        <v>-3.5714963948192506E-3</v>
      </c>
      <c r="F653" s="19">
        <f t="shared" si="21"/>
        <v>4.1121343214553943E-3</v>
      </c>
      <c r="G653" s="19"/>
      <c r="H653" s="19"/>
    </row>
    <row r="654" spans="1:8" ht="14.25" customHeight="1" x14ac:dyDescent="0.3">
      <c r="A654" s="304">
        <v>44883</v>
      </c>
      <c r="B654" s="305">
        <v>18307.650390625</v>
      </c>
      <c r="C654" s="305">
        <v>400.39999389648398</v>
      </c>
      <c r="D654" s="19"/>
      <c r="E654" s="19">
        <f t="shared" si="20"/>
        <v>-1.9761337135545203E-3</v>
      </c>
      <c r="F654" s="19">
        <f t="shared" si="21"/>
        <v>-6.2050137450295377E-3</v>
      </c>
      <c r="G654" s="19"/>
      <c r="H654" s="19"/>
    </row>
    <row r="655" spans="1:8" ht="14.25" customHeight="1" x14ac:dyDescent="0.3">
      <c r="A655" s="304">
        <v>44886</v>
      </c>
      <c r="B655" s="305">
        <v>18159.94921875</v>
      </c>
      <c r="C655" s="305">
        <v>394.70001220703102</v>
      </c>
      <c r="D655" s="19"/>
      <c r="E655" s="19">
        <f t="shared" si="20"/>
        <v>-8.0677295405769262E-3</v>
      </c>
      <c r="F655" s="19">
        <f t="shared" si="21"/>
        <v>-1.42357187221301E-2</v>
      </c>
      <c r="G655" s="19"/>
      <c r="H655" s="19"/>
    </row>
    <row r="656" spans="1:8" ht="14.25" customHeight="1" x14ac:dyDescent="0.3">
      <c r="A656" s="304">
        <v>44887</v>
      </c>
      <c r="B656" s="305">
        <v>18244.19921875</v>
      </c>
      <c r="C656" s="305">
        <v>390.70001220703102</v>
      </c>
      <c r="D656" s="19"/>
      <c r="E656" s="19">
        <f t="shared" si="20"/>
        <v>4.6393301536885668E-3</v>
      </c>
      <c r="F656" s="19">
        <f t="shared" si="21"/>
        <v>-1.01342788859654E-2</v>
      </c>
      <c r="G656" s="19"/>
      <c r="H656" s="19"/>
    </row>
    <row r="657" spans="1:8" ht="14.25" customHeight="1" x14ac:dyDescent="0.3">
      <c r="A657" s="304">
        <v>44888</v>
      </c>
      <c r="B657" s="305">
        <v>18267.25</v>
      </c>
      <c r="C657" s="305">
        <v>391.60000610351602</v>
      </c>
      <c r="D657" s="19"/>
      <c r="E657" s="19">
        <f t="shared" si="20"/>
        <v>1.2634580983039343E-3</v>
      </c>
      <c r="F657" s="19">
        <f t="shared" si="21"/>
        <v>2.303542022947508E-3</v>
      </c>
      <c r="G657" s="19"/>
      <c r="H657" s="19"/>
    </row>
    <row r="658" spans="1:8" ht="14.25" customHeight="1" x14ac:dyDescent="0.3">
      <c r="A658" s="304">
        <v>44889</v>
      </c>
      <c r="B658" s="305">
        <v>18484.099609375</v>
      </c>
      <c r="C658" s="305">
        <v>392.14999389648398</v>
      </c>
      <c r="D658" s="19"/>
      <c r="E658" s="19">
        <f t="shared" si="20"/>
        <v>1.1870949889830161E-2</v>
      </c>
      <c r="F658" s="19">
        <f t="shared" si="21"/>
        <v>1.4044631879361353E-3</v>
      </c>
      <c r="G658" s="19"/>
      <c r="H658" s="19"/>
    </row>
    <row r="659" spans="1:8" ht="14.25" customHeight="1" x14ac:dyDescent="0.3">
      <c r="A659" s="304">
        <v>44890</v>
      </c>
      <c r="B659" s="305">
        <v>18512.75</v>
      </c>
      <c r="C659" s="305">
        <v>396.60000610351602</v>
      </c>
      <c r="D659" s="19"/>
      <c r="E659" s="19">
        <f t="shared" si="20"/>
        <v>1.5500019600883741E-3</v>
      </c>
      <c r="F659" s="19">
        <f t="shared" si="21"/>
        <v>1.134772988982047E-2</v>
      </c>
      <c r="G659" s="19"/>
      <c r="H659" s="19"/>
    </row>
    <row r="660" spans="1:8" ht="14.25" customHeight="1" x14ac:dyDescent="0.3">
      <c r="A660" s="304">
        <v>44893</v>
      </c>
      <c r="B660" s="305">
        <v>18562.75</v>
      </c>
      <c r="C660" s="305">
        <v>395.20001220703102</v>
      </c>
      <c r="D660" s="19"/>
      <c r="E660" s="19">
        <f t="shared" si="20"/>
        <v>2.7008413120687092E-3</v>
      </c>
      <c r="F660" s="19">
        <f t="shared" si="21"/>
        <v>-3.5299895989401213E-3</v>
      </c>
      <c r="G660" s="19"/>
      <c r="H660" s="19"/>
    </row>
    <row r="661" spans="1:8" ht="14.25" customHeight="1" x14ac:dyDescent="0.3">
      <c r="A661" s="304">
        <v>44894</v>
      </c>
      <c r="B661" s="305">
        <v>18618.05078125</v>
      </c>
      <c r="C661" s="305">
        <v>392.54998779296898</v>
      </c>
      <c r="D661" s="19"/>
      <c r="E661" s="19">
        <f t="shared" si="20"/>
        <v>2.9791265437502526E-3</v>
      </c>
      <c r="F661" s="19">
        <f t="shared" si="21"/>
        <v>-6.7055271563954133E-3</v>
      </c>
      <c r="G661" s="19"/>
      <c r="H661" s="19"/>
    </row>
    <row r="662" spans="1:8" ht="14.25" customHeight="1" x14ac:dyDescent="0.3">
      <c r="A662" s="304">
        <v>44895</v>
      </c>
      <c r="B662" s="305">
        <v>18758.349609375</v>
      </c>
      <c r="C662" s="305">
        <v>402.64999389648398</v>
      </c>
      <c r="D662" s="19"/>
      <c r="E662" s="19">
        <f t="shared" si="20"/>
        <v>7.5356346254191742E-3</v>
      </c>
      <c r="F662" s="19">
        <f t="shared" si="21"/>
        <v>2.572922281898464E-2</v>
      </c>
      <c r="G662" s="19"/>
      <c r="H662" s="19"/>
    </row>
    <row r="663" spans="1:8" ht="14.25" customHeight="1" x14ac:dyDescent="0.3">
      <c r="A663" s="304">
        <v>44896</v>
      </c>
      <c r="B663" s="305">
        <v>18812.5</v>
      </c>
      <c r="C663" s="305">
        <v>412.70001220703102</v>
      </c>
      <c r="D663" s="19"/>
      <c r="E663" s="19">
        <f t="shared" si="20"/>
        <v>2.8867353340049093E-3</v>
      </c>
      <c r="F663" s="19">
        <f t="shared" si="21"/>
        <v>2.4959688222746561E-2</v>
      </c>
      <c r="G663" s="19"/>
      <c r="H663" s="19"/>
    </row>
    <row r="664" spans="1:8" ht="14.25" customHeight="1" x14ac:dyDescent="0.3">
      <c r="A664" s="304">
        <v>44897</v>
      </c>
      <c r="B664" s="305">
        <v>18696.099609375</v>
      </c>
      <c r="C664" s="305">
        <v>410.75</v>
      </c>
      <c r="D664" s="19"/>
      <c r="E664" s="19">
        <f t="shared" si="20"/>
        <v>-6.1873961794019936E-3</v>
      </c>
      <c r="F664" s="19">
        <f t="shared" si="21"/>
        <v>-4.7250112656958164E-3</v>
      </c>
      <c r="G664" s="19"/>
      <c r="H664" s="19"/>
    </row>
    <row r="665" spans="1:8" ht="14.25" customHeight="1" x14ac:dyDescent="0.3">
      <c r="A665" s="304">
        <v>44900</v>
      </c>
      <c r="B665" s="305">
        <v>18701.05078125</v>
      </c>
      <c r="C665" s="305">
        <v>417.25</v>
      </c>
      <c r="D665" s="19"/>
      <c r="E665" s="19">
        <f t="shared" si="20"/>
        <v>2.6482378562624241E-4</v>
      </c>
      <c r="F665" s="19">
        <f t="shared" si="21"/>
        <v>1.5824710894704809E-2</v>
      </c>
      <c r="G665" s="19"/>
      <c r="H665" s="19"/>
    </row>
    <row r="666" spans="1:8" ht="14.25" customHeight="1" x14ac:dyDescent="0.3">
      <c r="A666" s="304">
        <v>44901</v>
      </c>
      <c r="B666" s="305">
        <v>18642.75</v>
      </c>
      <c r="C666" s="305">
        <v>414.39999389648398</v>
      </c>
      <c r="D666" s="19"/>
      <c r="E666" s="19">
        <f t="shared" si="20"/>
        <v>-3.1175136590962781E-3</v>
      </c>
      <c r="F666" s="19">
        <f t="shared" si="21"/>
        <v>-6.8304520156165921E-3</v>
      </c>
      <c r="G666" s="19"/>
      <c r="H666" s="19"/>
    </row>
    <row r="667" spans="1:8" ht="14.25" customHeight="1" x14ac:dyDescent="0.3">
      <c r="A667" s="304">
        <v>44902</v>
      </c>
      <c r="B667" s="305">
        <v>18560.5</v>
      </c>
      <c r="C667" s="305">
        <v>408.5</v>
      </c>
      <c r="D667" s="19"/>
      <c r="E667" s="19">
        <f t="shared" si="20"/>
        <v>-4.4119027503989484E-3</v>
      </c>
      <c r="F667" s="19">
        <f t="shared" si="21"/>
        <v>-1.423743721858688E-2</v>
      </c>
      <c r="G667" s="19"/>
      <c r="H667" s="19"/>
    </row>
    <row r="668" spans="1:8" ht="14.25" customHeight="1" x14ac:dyDescent="0.3">
      <c r="A668" s="304">
        <v>44903</v>
      </c>
      <c r="B668" s="305">
        <v>18609.349609375</v>
      </c>
      <c r="C668" s="305">
        <v>404.95001220703102</v>
      </c>
      <c r="D668" s="19"/>
      <c r="E668" s="19">
        <f t="shared" si="20"/>
        <v>2.6319123609277765E-3</v>
      </c>
      <c r="F668" s="19">
        <f t="shared" si="21"/>
        <v>-8.6903005947832988E-3</v>
      </c>
      <c r="G668" s="19"/>
      <c r="H668" s="19"/>
    </row>
    <row r="669" spans="1:8" ht="14.25" customHeight="1" x14ac:dyDescent="0.3">
      <c r="A669" s="304">
        <v>44904</v>
      </c>
      <c r="B669" s="305">
        <v>18496.599609375</v>
      </c>
      <c r="C669" s="305">
        <v>402.25</v>
      </c>
      <c r="D669" s="19"/>
      <c r="E669" s="19">
        <f t="shared" si="20"/>
        <v>-6.058782405979353E-3</v>
      </c>
      <c r="F669" s="19">
        <f t="shared" si="21"/>
        <v>-6.6675197571068089E-3</v>
      </c>
      <c r="G669" s="19"/>
      <c r="H669" s="19"/>
    </row>
    <row r="670" spans="1:8" ht="14.25" customHeight="1" x14ac:dyDescent="0.3">
      <c r="A670" s="304">
        <v>44907</v>
      </c>
      <c r="B670" s="305">
        <v>18497.150390625</v>
      </c>
      <c r="C670" s="305">
        <v>402.70001220703102</v>
      </c>
      <c r="D670" s="19"/>
      <c r="E670" s="19">
        <f t="shared" si="20"/>
        <v>2.9777432697458433E-5</v>
      </c>
      <c r="F670" s="19">
        <f t="shared" si="21"/>
        <v>1.1187376184736424E-3</v>
      </c>
      <c r="G670" s="19"/>
      <c r="H670" s="19"/>
    </row>
    <row r="671" spans="1:8" ht="14.25" customHeight="1" x14ac:dyDescent="0.3">
      <c r="A671" s="304">
        <v>44908</v>
      </c>
      <c r="B671" s="305">
        <v>18608</v>
      </c>
      <c r="C671" s="305">
        <v>400.35000610351602</v>
      </c>
      <c r="D671" s="19"/>
      <c r="E671" s="19">
        <f t="shared" si="20"/>
        <v>5.9927938646799584E-3</v>
      </c>
      <c r="F671" s="19">
        <f t="shared" si="21"/>
        <v>-5.8356246145501592E-3</v>
      </c>
      <c r="G671" s="19"/>
      <c r="H671" s="19"/>
    </row>
    <row r="672" spans="1:8" ht="14.25" customHeight="1" x14ac:dyDescent="0.3">
      <c r="A672" s="304">
        <v>44909</v>
      </c>
      <c r="B672" s="305">
        <v>18660.30078125</v>
      </c>
      <c r="C672" s="305">
        <v>407.20001220703102</v>
      </c>
      <c r="D672" s="19"/>
      <c r="E672" s="19">
        <f t="shared" si="20"/>
        <v>2.8106610731943251E-3</v>
      </c>
      <c r="F672" s="19">
        <f t="shared" si="21"/>
        <v>1.7110043709463153E-2</v>
      </c>
      <c r="G672" s="19"/>
      <c r="H672" s="19"/>
    </row>
    <row r="673" spans="1:8" ht="14.25" customHeight="1" x14ac:dyDescent="0.3">
      <c r="A673" s="304">
        <v>44910</v>
      </c>
      <c r="B673" s="305">
        <v>18414.900390625</v>
      </c>
      <c r="C673" s="305">
        <v>399.70001220703102</v>
      </c>
      <c r="D673" s="19"/>
      <c r="E673" s="19">
        <f t="shared" si="20"/>
        <v>-1.3150934355333651E-2</v>
      </c>
      <c r="F673" s="19">
        <f t="shared" si="21"/>
        <v>-1.8418467031348727E-2</v>
      </c>
      <c r="G673" s="19"/>
      <c r="H673" s="19"/>
    </row>
    <row r="674" spans="1:8" ht="14.25" customHeight="1" x14ac:dyDescent="0.3">
      <c r="A674" s="304">
        <v>44911</v>
      </c>
      <c r="B674" s="305">
        <v>18269</v>
      </c>
      <c r="C674" s="305">
        <v>393.64999389648398</v>
      </c>
      <c r="D674" s="19"/>
      <c r="E674" s="19">
        <f t="shared" si="20"/>
        <v>-7.9229530179418008E-3</v>
      </c>
      <c r="F674" s="19">
        <f t="shared" si="21"/>
        <v>-1.5136397612650914E-2</v>
      </c>
      <c r="G674" s="19"/>
      <c r="H674" s="19"/>
    </row>
    <row r="675" spans="1:8" ht="14.25" customHeight="1" x14ac:dyDescent="0.3">
      <c r="A675" s="304">
        <v>44914</v>
      </c>
      <c r="B675" s="305">
        <v>18420.44921875</v>
      </c>
      <c r="C675" s="305">
        <v>396.60000610351602</v>
      </c>
      <c r="D675" s="19"/>
      <c r="E675" s="19">
        <f t="shared" si="20"/>
        <v>8.2899566889265974E-3</v>
      </c>
      <c r="F675" s="19">
        <f t="shared" si="21"/>
        <v>7.4939978477626869E-3</v>
      </c>
      <c r="G675" s="19"/>
      <c r="H675" s="19"/>
    </row>
    <row r="676" spans="1:8" ht="14.25" customHeight="1" x14ac:dyDescent="0.3">
      <c r="A676" s="304">
        <v>44915</v>
      </c>
      <c r="B676" s="305">
        <v>18385.30078125</v>
      </c>
      <c r="C676" s="305">
        <v>389.35000610351602</v>
      </c>
      <c r="D676" s="19"/>
      <c r="E676" s="19">
        <f t="shared" si="20"/>
        <v>-1.9081205394395452E-3</v>
      </c>
      <c r="F676" s="19">
        <f t="shared" si="21"/>
        <v>-1.8280382976362555E-2</v>
      </c>
      <c r="G676" s="19"/>
      <c r="H676" s="19"/>
    </row>
    <row r="677" spans="1:8" ht="14.25" customHeight="1" x14ac:dyDescent="0.3">
      <c r="A677" s="304">
        <v>44916</v>
      </c>
      <c r="B677" s="305">
        <v>18199.099609375</v>
      </c>
      <c r="C677" s="305">
        <v>380.45001220703102</v>
      </c>
      <c r="D677" s="19"/>
      <c r="E677" s="19">
        <f t="shared" si="20"/>
        <v>-1.012771964355866E-2</v>
      </c>
      <c r="F677" s="19">
        <f t="shared" si="21"/>
        <v>-2.2858594470186729E-2</v>
      </c>
      <c r="G677" s="19"/>
      <c r="H677" s="19"/>
    </row>
    <row r="678" spans="1:8" ht="14.25" customHeight="1" x14ac:dyDescent="0.3">
      <c r="A678" s="304">
        <v>44917</v>
      </c>
      <c r="B678" s="305">
        <v>18127.349609375</v>
      </c>
      <c r="C678" s="305">
        <v>377.85000610351602</v>
      </c>
      <c r="D678" s="19"/>
      <c r="E678" s="19">
        <f t="shared" si="20"/>
        <v>-3.9425027358517802E-3</v>
      </c>
      <c r="F678" s="19">
        <f t="shared" si="21"/>
        <v>-6.8340281773999366E-3</v>
      </c>
      <c r="G678" s="19"/>
      <c r="H678" s="19"/>
    </row>
    <row r="679" spans="1:8" ht="14.25" customHeight="1" x14ac:dyDescent="0.3">
      <c r="A679" s="304">
        <v>44918</v>
      </c>
      <c r="B679" s="305">
        <v>17806.80078125</v>
      </c>
      <c r="C679" s="305">
        <v>357</v>
      </c>
      <c r="D679" s="19"/>
      <c r="E679" s="19">
        <f t="shared" si="20"/>
        <v>-1.7683160254117921E-2</v>
      </c>
      <c r="F679" s="19">
        <f t="shared" si="21"/>
        <v>-5.5180642494958548E-2</v>
      </c>
      <c r="G679" s="19"/>
      <c r="H679" s="19"/>
    </row>
    <row r="680" spans="1:8" ht="14.25" customHeight="1" x14ac:dyDescent="0.3">
      <c r="A680" s="304">
        <v>44921</v>
      </c>
      <c r="B680" s="305">
        <v>18014.599609375</v>
      </c>
      <c r="C680" s="305">
        <v>370.75</v>
      </c>
      <c r="D680" s="19"/>
      <c r="E680" s="19">
        <f t="shared" si="20"/>
        <v>1.1669632893506936E-2</v>
      </c>
      <c r="F680" s="19">
        <f t="shared" si="21"/>
        <v>3.8515406162464988E-2</v>
      </c>
      <c r="G680" s="19"/>
      <c r="H680" s="19"/>
    </row>
    <row r="681" spans="1:8" ht="14.25" customHeight="1" x14ac:dyDescent="0.3">
      <c r="A681" s="304">
        <v>44922</v>
      </c>
      <c r="B681" s="305">
        <v>18132.30078125</v>
      </c>
      <c r="C681" s="305">
        <v>371.25</v>
      </c>
      <c r="D681" s="19"/>
      <c r="E681" s="19">
        <f t="shared" si="20"/>
        <v>6.533654614990554E-3</v>
      </c>
      <c r="F681" s="19">
        <f t="shared" si="21"/>
        <v>1.3486176668914363E-3</v>
      </c>
      <c r="G681" s="19"/>
      <c r="H681" s="19"/>
    </row>
    <row r="682" spans="1:8" ht="14.25" customHeight="1" x14ac:dyDescent="0.3">
      <c r="A682" s="304">
        <v>44923</v>
      </c>
      <c r="B682" s="305">
        <v>18122.5</v>
      </c>
      <c r="C682" s="305">
        <v>372.14999389648398</v>
      </c>
      <c r="D682" s="19"/>
      <c r="E682" s="19">
        <f t="shared" si="20"/>
        <v>-5.405150382313676E-4</v>
      </c>
      <c r="F682" s="19">
        <f t="shared" si="21"/>
        <v>2.4242259837952244E-3</v>
      </c>
      <c r="G682" s="19"/>
      <c r="H682" s="19"/>
    </row>
    <row r="683" spans="1:8" ht="14.25" customHeight="1" x14ac:dyDescent="0.3">
      <c r="A683" s="304">
        <v>44924</v>
      </c>
      <c r="B683" s="305">
        <v>18191</v>
      </c>
      <c r="C683" s="305">
        <v>373.45001220703102</v>
      </c>
      <c r="D683" s="19"/>
      <c r="E683" s="19">
        <f t="shared" si="20"/>
        <v>3.7798317009242652E-3</v>
      </c>
      <c r="F683" s="19">
        <f t="shared" si="21"/>
        <v>3.4932643607906502E-3</v>
      </c>
      <c r="G683" s="19"/>
      <c r="H683" s="19"/>
    </row>
    <row r="684" spans="1:8" ht="14.25" customHeight="1" x14ac:dyDescent="0.3">
      <c r="A684" s="304">
        <v>44925</v>
      </c>
      <c r="B684" s="305">
        <v>18105.30078125</v>
      </c>
      <c r="C684" s="305">
        <v>375</v>
      </c>
      <c r="D684" s="19"/>
      <c r="E684" s="19">
        <f t="shared" si="20"/>
        <v>-4.7110779368918698E-3</v>
      </c>
      <c r="F684" s="19">
        <f t="shared" si="21"/>
        <v>4.150455863714644E-3</v>
      </c>
      <c r="G684" s="19"/>
      <c r="H684" s="19"/>
    </row>
    <row r="685" spans="1:8" ht="14.25" customHeight="1" x14ac:dyDescent="0.3">
      <c r="A685" s="304">
        <v>44928</v>
      </c>
      <c r="B685" s="305">
        <v>18197.44921875</v>
      </c>
      <c r="C685" s="305">
        <v>380.14999389648398</v>
      </c>
      <c r="D685" s="19"/>
      <c r="E685" s="19">
        <f t="shared" si="20"/>
        <v>5.0895833553579895E-3</v>
      </c>
      <c r="F685" s="19">
        <f t="shared" si="21"/>
        <v>1.3733317057290606E-2</v>
      </c>
      <c r="G685" s="19"/>
      <c r="H685" s="19"/>
    </row>
    <row r="686" spans="1:8" ht="14.25" customHeight="1" x14ac:dyDescent="0.3">
      <c r="A686" s="304">
        <v>44929</v>
      </c>
      <c r="B686" s="305">
        <v>18232.55078125</v>
      </c>
      <c r="C686" s="305">
        <v>380.04998779296898</v>
      </c>
      <c r="D686" s="19"/>
      <c r="E686" s="19">
        <f t="shared" si="20"/>
        <v>1.928927624858137E-3</v>
      </c>
      <c r="F686" s="19">
        <f t="shared" si="21"/>
        <v>-2.6307011737643665E-4</v>
      </c>
      <c r="G686" s="19"/>
      <c r="H686" s="19"/>
    </row>
    <row r="687" spans="1:8" ht="14.25" customHeight="1" x14ac:dyDescent="0.3">
      <c r="A687" s="304">
        <v>44930</v>
      </c>
      <c r="B687" s="305">
        <v>18042.94921875</v>
      </c>
      <c r="C687" s="305">
        <v>371.85000610351602</v>
      </c>
      <c r="D687" s="19"/>
      <c r="E687" s="19">
        <f t="shared" si="20"/>
        <v>-1.0399069487028801E-2</v>
      </c>
      <c r="F687" s="19">
        <f t="shared" si="21"/>
        <v>-2.1576060920490987E-2</v>
      </c>
      <c r="G687" s="19"/>
      <c r="H687" s="19"/>
    </row>
    <row r="688" spans="1:8" ht="14.25" customHeight="1" x14ac:dyDescent="0.3">
      <c r="A688" s="304">
        <v>44931</v>
      </c>
      <c r="B688" s="305">
        <v>17992.150390625</v>
      </c>
      <c r="C688" s="305">
        <v>372.75</v>
      </c>
      <c r="D688" s="19"/>
      <c r="E688" s="19">
        <f t="shared" si="20"/>
        <v>-2.8154392892826255E-3</v>
      </c>
      <c r="F688" s="19">
        <f t="shared" si="21"/>
        <v>2.4203143248932362E-3</v>
      </c>
      <c r="G688" s="19"/>
      <c r="H688" s="19"/>
    </row>
    <row r="689" spans="1:8" ht="14.25" customHeight="1" x14ac:dyDescent="0.3">
      <c r="A689" s="304">
        <v>44932</v>
      </c>
      <c r="B689" s="305">
        <v>17859.44921875</v>
      </c>
      <c r="C689" s="305">
        <v>369.75</v>
      </c>
      <c r="D689" s="19"/>
      <c r="E689" s="19">
        <f t="shared" si="20"/>
        <v>-7.3755037054462009E-3</v>
      </c>
      <c r="F689" s="19">
        <f t="shared" si="21"/>
        <v>-8.0482897384305842E-3</v>
      </c>
      <c r="G689" s="19"/>
      <c r="H689" s="19"/>
    </row>
    <row r="690" spans="1:8" ht="14.25" customHeight="1" x14ac:dyDescent="0.3">
      <c r="A690" s="304">
        <v>44935</v>
      </c>
      <c r="B690" s="305">
        <v>18101.19921875</v>
      </c>
      <c r="C690" s="305">
        <v>373.95001220703102</v>
      </c>
      <c r="D690" s="19"/>
      <c r="E690" s="19">
        <f t="shared" si="20"/>
        <v>1.3536251708490276E-2</v>
      </c>
      <c r="F690" s="19">
        <f t="shared" si="21"/>
        <v>1.1359059383451041E-2</v>
      </c>
      <c r="G690" s="19"/>
      <c r="H690" s="19"/>
    </row>
    <row r="691" spans="1:8" ht="14.25" customHeight="1" x14ac:dyDescent="0.3">
      <c r="A691" s="304">
        <v>44936</v>
      </c>
      <c r="B691" s="305">
        <v>17914.150390625</v>
      </c>
      <c r="C691" s="305">
        <v>373.04998779296898</v>
      </c>
      <c r="D691" s="19"/>
      <c r="E691" s="19">
        <f t="shared" si="20"/>
        <v>-1.0333504750958532E-2</v>
      </c>
      <c r="F691" s="19">
        <f t="shared" si="21"/>
        <v>-2.4068040772352271E-3</v>
      </c>
      <c r="G691" s="19"/>
      <c r="H691" s="19"/>
    </row>
    <row r="692" spans="1:8" ht="14.25" customHeight="1" x14ac:dyDescent="0.3">
      <c r="A692" s="304">
        <v>44937</v>
      </c>
      <c r="B692" s="305">
        <v>17895.69921875</v>
      </c>
      <c r="C692" s="305">
        <v>372.10000610351602</v>
      </c>
      <c r="D692" s="19"/>
      <c r="E692" s="19">
        <f t="shared" si="20"/>
        <v>-1.0299775022909285E-3</v>
      </c>
      <c r="F692" s="19">
        <f t="shared" si="21"/>
        <v>-2.5465265260380186E-3</v>
      </c>
      <c r="G692" s="19"/>
      <c r="H692" s="19"/>
    </row>
    <row r="693" spans="1:8" ht="14.25" customHeight="1" x14ac:dyDescent="0.3">
      <c r="A693" s="304">
        <v>44938</v>
      </c>
      <c r="B693" s="305">
        <v>17858.19921875</v>
      </c>
      <c r="C693" s="305">
        <v>374.89999389648398</v>
      </c>
      <c r="D693" s="19"/>
      <c r="E693" s="19">
        <f t="shared" si="20"/>
        <v>-2.0954755408891671E-3</v>
      </c>
      <c r="F693" s="19">
        <f t="shared" si="21"/>
        <v>7.5248259796830376E-3</v>
      </c>
      <c r="G693" s="19"/>
      <c r="H693" s="19"/>
    </row>
    <row r="694" spans="1:8" ht="14.25" customHeight="1" x14ac:dyDescent="0.3">
      <c r="A694" s="304">
        <v>44939</v>
      </c>
      <c r="B694" s="305">
        <v>17956.599609375</v>
      </c>
      <c r="C694" s="305">
        <v>377.04998779296898</v>
      </c>
      <c r="D694" s="19"/>
      <c r="E694" s="19">
        <f t="shared" si="20"/>
        <v>5.5100959183883276E-3</v>
      </c>
      <c r="F694" s="19">
        <f t="shared" si="21"/>
        <v>5.734846443018745E-3</v>
      </c>
      <c r="G694" s="19"/>
      <c r="H694" s="19"/>
    </row>
    <row r="695" spans="1:8" ht="14.25" customHeight="1" x14ac:dyDescent="0.3">
      <c r="A695" s="304">
        <v>44942</v>
      </c>
      <c r="B695" s="305">
        <v>17894.849609375</v>
      </c>
      <c r="C695" s="305">
        <v>373.75</v>
      </c>
      <c r="D695" s="19"/>
      <c r="E695" s="19">
        <f t="shared" si="20"/>
        <v>-3.4388470725693972E-3</v>
      </c>
      <c r="F695" s="19">
        <f t="shared" si="21"/>
        <v>-8.7521227948717997E-3</v>
      </c>
      <c r="G695" s="19"/>
      <c r="H695" s="19"/>
    </row>
    <row r="696" spans="1:8" ht="14.25" customHeight="1" x14ac:dyDescent="0.3">
      <c r="A696" s="304">
        <v>44943</v>
      </c>
      <c r="B696" s="305">
        <v>18053.30078125</v>
      </c>
      <c r="C696" s="305">
        <v>375.39999389648398</v>
      </c>
      <c r="D696" s="19"/>
      <c r="E696" s="19">
        <f t="shared" si="20"/>
        <v>8.854568511824118E-3</v>
      </c>
      <c r="F696" s="19">
        <f t="shared" si="21"/>
        <v>4.414699388585892E-3</v>
      </c>
      <c r="G696" s="19"/>
      <c r="H696" s="19"/>
    </row>
    <row r="697" spans="1:8" ht="14.25" customHeight="1" x14ac:dyDescent="0.3">
      <c r="A697" s="304">
        <v>44944</v>
      </c>
      <c r="B697" s="305">
        <v>18165.349609375</v>
      </c>
      <c r="C697" s="305">
        <v>376.39999389648398</v>
      </c>
      <c r="D697" s="19"/>
      <c r="E697" s="19">
        <f t="shared" si="20"/>
        <v>6.2065563235601173E-3</v>
      </c>
      <c r="F697" s="19">
        <f t="shared" si="21"/>
        <v>2.6638252963737358E-3</v>
      </c>
      <c r="G697" s="19"/>
      <c r="H697" s="19"/>
    </row>
    <row r="698" spans="1:8" ht="14.25" customHeight="1" x14ac:dyDescent="0.3">
      <c r="A698" s="304">
        <v>44945</v>
      </c>
      <c r="B698" s="305">
        <v>18107.849609375</v>
      </c>
      <c r="C698" s="305">
        <v>375.39999389648398</v>
      </c>
      <c r="D698" s="19"/>
      <c r="E698" s="19">
        <f t="shared" si="20"/>
        <v>-3.1653670992560848E-3</v>
      </c>
      <c r="F698" s="19">
        <f t="shared" si="21"/>
        <v>-2.656748183356815E-3</v>
      </c>
      <c r="G698" s="19"/>
      <c r="H698" s="19"/>
    </row>
    <row r="699" spans="1:8" ht="14.25" customHeight="1" x14ac:dyDescent="0.3">
      <c r="A699" s="304">
        <v>44946</v>
      </c>
      <c r="B699" s="305">
        <v>18027.650390625</v>
      </c>
      <c r="C699" s="305">
        <v>369.29998779296898</v>
      </c>
      <c r="D699" s="19"/>
      <c r="E699" s="19">
        <f t="shared" si="20"/>
        <v>-4.4289753051891022E-3</v>
      </c>
      <c r="F699" s="19">
        <f t="shared" si="21"/>
        <v>-1.624935056657744E-2</v>
      </c>
      <c r="G699" s="19"/>
      <c r="H699" s="19"/>
    </row>
    <row r="700" spans="1:8" ht="14.25" customHeight="1" x14ac:dyDescent="0.3">
      <c r="A700" s="304">
        <v>44949</v>
      </c>
      <c r="B700" s="305">
        <v>18118.55078125</v>
      </c>
      <c r="C700" s="305">
        <v>369.54998779296898</v>
      </c>
      <c r="D700" s="19"/>
      <c r="E700" s="19">
        <f t="shared" si="20"/>
        <v>5.042276095628709E-3</v>
      </c>
      <c r="F700" s="19">
        <f t="shared" si="21"/>
        <v>6.7695642638404573E-4</v>
      </c>
      <c r="G700" s="19"/>
      <c r="H700" s="19"/>
    </row>
    <row r="701" spans="1:8" ht="14.25" customHeight="1" x14ac:dyDescent="0.3">
      <c r="A701" s="304">
        <v>44950</v>
      </c>
      <c r="B701" s="305">
        <v>18118.30078125</v>
      </c>
      <c r="C701" s="305">
        <v>364.89999389648398</v>
      </c>
      <c r="D701" s="19"/>
      <c r="E701" s="19">
        <f t="shared" si="20"/>
        <v>-1.3798013043003017E-5</v>
      </c>
      <c r="F701" s="19">
        <f t="shared" si="21"/>
        <v>-1.2582854958961713E-2</v>
      </c>
      <c r="G701" s="19"/>
      <c r="H701" s="19"/>
    </row>
    <row r="702" spans="1:8" ht="14.25" customHeight="1" x14ac:dyDescent="0.3">
      <c r="A702" s="304">
        <v>44951</v>
      </c>
      <c r="B702" s="305">
        <v>17891.94921875</v>
      </c>
      <c r="C702" s="305">
        <v>352.04998779296898</v>
      </c>
      <c r="D702" s="19"/>
      <c r="E702" s="19">
        <f t="shared" si="20"/>
        <v>-1.2492979625012262E-2</v>
      </c>
      <c r="F702" s="19">
        <f t="shared" si="21"/>
        <v>-3.5215144747742393E-2</v>
      </c>
      <c r="G702" s="19"/>
      <c r="H702" s="19"/>
    </row>
    <row r="703" spans="1:8" ht="14.25" customHeight="1" x14ac:dyDescent="0.3">
      <c r="A703" s="304">
        <v>44953</v>
      </c>
      <c r="B703" s="305">
        <v>17604.349609375</v>
      </c>
      <c r="C703" s="305">
        <v>355.95001220703102</v>
      </c>
      <c r="D703" s="19"/>
      <c r="E703" s="19">
        <f t="shared" si="20"/>
        <v>-1.6074246906178778E-2</v>
      </c>
      <c r="F703" s="19">
        <f t="shared" si="21"/>
        <v>1.1078041611396231E-2</v>
      </c>
      <c r="G703" s="19"/>
      <c r="H703" s="19"/>
    </row>
    <row r="704" spans="1:8" ht="14.25" customHeight="1" x14ac:dyDescent="0.3">
      <c r="A704" s="304">
        <v>44956</v>
      </c>
      <c r="B704" s="305">
        <v>17648.94921875</v>
      </c>
      <c r="C704" s="305">
        <v>353.14999389648398</v>
      </c>
      <c r="D704" s="19"/>
      <c r="E704" s="19">
        <f t="shared" si="20"/>
        <v>2.5334426073456854E-3</v>
      </c>
      <c r="F704" s="19">
        <f t="shared" si="21"/>
        <v>-7.8663245245753008E-3</v>
      </c>
      <c r="G704" s="19"/>
      <c r="H704" s="19"/>
    </row>
    <row r="705" spans="1:8" ht="14.25" customHeight="1" x14ac:dyDescent="0.3">
      <c r="A705" s="304">
        <v>44957</v>
      </c>
      <c r="B705" s="305">
        <v>17662.150390625</v>
      </c>
      <c r="C705" s="305">
        <v>356.04998779296898</v>
      </c>
      <c r="D705" s="19"/>
      <c r="E705" s="19">
        <f t="shared" si="20"/>
        <v>7.4798628016761802E-4</v>
      </c>
      <c r="F705" s="19">
        <f t="shared" si="21"/>
        <v>8.2117908724502267E-3</v>
      </c>
      <c r="G705" s="19"/>
      <c r="H705" s="19"/>
    </row>
    <row r="706" spans="1:8" ht="14.25" customHeight="1" x14ac:dyDescent="0.3">
      <c r="A706" s="304">
        <v>44958</v>
      </c>
      <c r="B706" s="305">
        <v>17616.30078125</v>
      </c>
      <c r="C706" s="305">
        <v>349</v>
      </c>
      <c r="D706" s="19"/>
      <c r="E706" s="19">
        <f t="shared" si="20"/>
        <v>-2.5959245256645981E-3</v>
      </c>
      <c r="F706" s="19">
        <f t="shared" si="21"/>
        <v>-1.9800556199059068E-2</v>
      </c>
      <c r="G706" s="19"/>
      <c r="H706" s="19"/>
    </row>
    <row r="707" spans="1:8" ht="14.25" customHeight="1" x14ac:dyDescent="0.3">
      <c r="A707" s="304">
        <v>44959</v>
      </c>
      <c r="B707" s="305">
        <v>17610.400390625</v>
      </c>
      <c r="C707" s="305">
        <v>354.5</v>
      </c>
      <c r="D707" s="19"/>
      <c r="E707" s="19">
        <f t="shared" ref="E707:E770" si="22">(B707-B706)/B706</f>
        <v>-3.3493925304000889E-4</v>
      </c>
      <c r="F707" s="19">
        <f t="shared" ref="F707:F770" si="23">(C707-C706)/C706</f>
        <v>1.5759312320916905E-2</v>
      </c>
      <c r="G707" s="19"/>
      <c r="H707" s="19"/>
    </row>
    <row r="708" spans="1:8" ht="14.25" customHeight="1" x14ac:dyDescent="0.3">
      <c r="A708" s="304">
        <v>44960</v>
      </c>
      <c r="B708" s="305">
        <v>17854.05078125</v>
      </c>
      <c r="C708" s="305">
        <v>353.5</v>
      </c>
      <c r="D708" s="19"/>
      <c r="E708" s="19">
        <f t="shared" si="22"/>
        <v>1.3835596307890234E-2</v>
      </c>
      <c r="F708" s="19">
        <f t="shared" si="23"/>
        <v>-2.8208744710860366E-3</v>
      </c>
      <c r="G708" s="19"/>
      <c r="H708" s="19"/>
    </row>
    <row r="709" spans="1:8" ht="14.25" customHeight="1" x14ac:dyDescent="0.3">
      <c r="A709" s="304">
        <v>44963</v>
      </c>
      <c r="B709" s="305">
        <v>17764.599609375</v>
      </c>
      <c r="C709" s="305">
        <v>353.89999389648398</v>
      </c>
      <c r="D709" s="19"/>
      <c r="E709" s="19">
        <f t="shared" si="22"/>
        <v>-5.0101331608701366E-3</v>
      </c>
      <c r="F709" s="19">
        <f t="shared" si="23"/>
        <v>1.1315244596434995E-3</v>
      </c>
      <c r="G709" s="19"/>
      <c r="H709" s="19"/>
    </row>
    <row r="710" spans="1:8" ht="14.25" customHeight="1" x14ac:dyDescent="0.3">
      <c r="A710" s="304">
        <v>44964</v>
      </c>
      <c r="B710" s="305">
        <v>17721.5</v>
      </c>
      <c r="C710" s="305">
        <v>357.14999389648398</v>
      </c>
      <c r="D710" s="19"/>
      <c r="E710" s="19">
        <f t="shared" si="22"/>
        <v>-2.4261514654264895E-3</v>
      </c>
      <c r="F710" s="19">
        <f t="shared" si="23"/>
        <v>9.1833852954250894E-3</v>
      </c>
      <c r="G710" s="19"/>
      <c r="H710" s="19"/>
    </row>
    <row r="711" spans="1:8" ht="14.25" customHeight="1" x14ac:dyDescent="0.3">
      <c r="A711" s="304">
        <v>44965</v>
      </c>
      <c r="B711" s="305">
        <v>17871.69921875</v>
      </c>
      <c r="C711" s="305">
        <v>360.29998779296898</v>
      </c>
      <c r="D711" s="19"/>
      <c r="E711" s="19">
        <f t="shared" si="22"/>
        <v>8.4755364246818839E-3</v>
      </c>
      <c r="F711" s="19">
        <f t="shared" si="23"/>
        <v>8.8198066647538331E-3</v>
      </c>
      <c r="G711" s="19"/>
      <c r="H711" s="19"/>
    </row>
    <row r="712" spans="1:8" ht="14.25" customHeight="1" x14ac:dyDescent="0.3">
      <c r="A712" s="304">
        <v>44966</v>
      </c>
      <c r="B712" s="305">
        <v>17893.44921875</v>
      </c>
      <c r="C712" s="305">
        <v>356.70001220703102</v>
      </c>
      <c r="D712" s="19"/>
      <c r="E712" s="19">
        <f t="shared" si="22"/>
        <v>1.2170079483645908E-3</v>
      </c>
      <c r="F712" s="19">
        <f t="shared" si="23"/>
        <v>-9.9916061834743313E-3</v>
      </c>
      <c r="G712" s="19"/>
      <c r="H712" s="19"/>
    </row>
    <row r="713" spans="1:8" ht="14.25" customHeight="1" x14ac:dyDescent="0.3">
      <c r="A713" s="304">
        <v>44967</v>
      </c>
      <c r="B713" s="305">
        <v>17856.5</v>
      </c>
      <c r="C713" s="305">
        <v>361.5</v>
      </c>
      <c r="D713" s="19"/>
      <c r="E713" s="19">
        <f t="shared" si="22"/>
        <v>-2.0649578680046795E-3</v>
      </c>
      <c r="F713" s="19">
        <f t="shared" si="23"/>
        <v>1.3456651608363368E-2</v>
      </c>
      <c r="G713" s="19"/>
      <c r="H713" s="19"/>
    </row>
    <row r="714" spans="1:8" ht="14.25" customHeight="1" x14ac:dyDescent="0.3">
      <c r="A714" s="304">
        <v>44970</v>
      </c>
      <c r="B714" s="305">
        <v>17770.900390625</v>
      </c>
      <c r="C714" s="305">
        <v>357.89999389648398</v>
      </c>
      <c r="D714" s="19"/>
      <c r="E714" s="19">
        <f t="shared" si="22"/>
        <v>-4.7937507000252013E-3</v>
      </c>
      <c r="F714" s="19">
        <f t="shared" si="23"/>
        <v>-9.9585231079281408E-3</v>
      </c>
      <c r="G714" s="19"/>
      <c r="H714" s="19"/>
    </row>
    <row r="715" spans="1:8" ht="14.25" customHeight="1" x14ac:dyDescent="0.3">
      <c r="A715" s="304">
        <v>44971</v>
      </c>
      <c r="B715" s="305">
        <v>17929.849609375</v>
      </c>
      <c r="C715" s="305">
        <v>353.95001220703102</v>
      </c>
      <c r="D715" s="19"/>
      <c r="E715" s="19">
        <f t="shared" si="22"/>
        <v>8.944353704995911E-3</v>
      </c>
      <c r="F715" s="19">
        <f t="shared" si="23"/>
        <v>-1.1036551430049519E-2</v>
      </c>
      <c r="G715" s="19"/>
      <c r="H715" s="19"/>
    </row>
    <row r="716" spans="1:8" ht="14.25" customHeight="1" x14ac:dyDescent="0.3">
      <c r="A716" s="304">
        <v>44972</v>
      </c>
      <c r="B716" s="305">
        <v>18015.849609375</v>
      </c>
      <c r="C716" s="305">
        <v>361</v>
      </c>
      <c r="D716" s="19"/>
      <c r="E716" s="19">
        <f t="shared" si="22"/>
        <v>4.796470794436172E-3</v>
      </c>
      <c r="F716" s="19">
        <f t="shared" si="23"/>
        <v>1.9918032348718574E-2</v>
      </c>
      <c r="G716" s="19"/>
      <c r="H716" s="19"/>
    </row>
    <row r="717" spans="1:8" ht="14.25" customHeight="1" x14ac:dyDescent="0.3">
      <c r="A717" s="304">
        <v>44973</v>
      </c>
      <c r="B717" s="305">
        <v>18035.849609375</v>
      </c>
      <c r="C717" s="305">
        <v>371.70001220703102</v>
      </c>
      <c r="D717" s="19"/>
      <c r="E717" s="19">
        <f t="shared" si="22"/>
        <v>1.110133600892877E-3</v>
      </c>
      <c r="F717" s="19">
        <f t="shared" si="23"/>
        <v>2.9639923011166268E-2</v>
      </c>
      <c r="G717" s="19"/>
      <c r="H717" s="19"/>
    </row>
    <row r="718" spans="1:8" ht="14.25" customHeight="1" x14ac:dyDescent="0.3">
      <c r="A718" s="304">
        <v>44974</v>
      </c>
      <c r="B718" s="305">
        <v>17944.19921875</v>
      </c>
      <c r="C718" s="305">
        <v>364.54998779296898</v>
      </c>
      <c r="D718" s="19"/>
      <c r="E718" s="19">
        <f t="shared" si="22"/>
        <v>-5.0815676893513411E-3</v>
      </c>
      <c r="F718" s="19">
        <f t="shared" si="23"/>
        <v>-1.9236008015193699E-2</v>
      </c>
      <c r="G718" s="19"/>
      <c r="H718" s="19"/>
    </row>
    <row r="719" spans="1:8" ht="14.25" customHeight="1" x14ac:dyDescent="0.3">
      <c r="A719" s="304">
        <v>44977</v>
      </c>
      <c r="B719" s="305">
        <v>17844.599609375</v>
      </c>
      <c r="C719" s="305">
        <v>364.60000610351602</v>
      </c>
      <c r="D719" s="19"/>
      <c r="E719" s="19">
        <f t="shared" si="22"/>
        <v>-5.5505184801408012E-3</v>
      </c>
      <c r="F719" s="19">
        <f t="shared" si="23"/>
        <v>1.3720562946624304E-4</v>
      </c>
      <c r="G719" s="19"/>
      <c r="H719" s="19"/>
    </row>
    <row r="720" spans="1:8" ht="14.25" customHeight="1" x14ac:dyDescent="0.3">
      <c r="A720" s="304">
        <v>44978</v>
      </c>
      <c r="B720" s="305">
        <v>17826.69921875</v>
      </c>
      <c r="C720" s="305">
        <v>357.5</v>
      </c>
      <c r="D720" s="19"/>
      <c r="E720" s="19">
        <f t="shared" si="22"/>
        <v>-1.0031264929920697E-3</v>
      </c>
      <c r="F720" s="19">
        <f t="shared" si="23"/>
        <v>-1.9473411916236263E-2</v>
      </c>
      <c r="G720" s="19"/>
      <c r="H720" s="19"/>
    </row>
    <row r="721" spans="1:8" ht="14.25" customHeight="1" x14ac:dyDescent="0.3">
      <c r="A721" s="304">
        <v>44979</v>
      </c>
      <c r="B721" s="305">
        <v>17554.30078125</v>
      </c>
      <c r="C721" s="305">
        <v>348.60000610351602</v>
      </c>
      <c r="D721" s="19"/>
      <c r="E721" s="19">
        <f t="shared" si="22"/>
        <v>-1.5280363131582609E-2</v>
      </c>
      <c r="F721" s="19">
        <f t="shared" si="23"/>
        <v>-2.4895087822332802E-2</v>
      </c>
      <c r="G721" s="19"/>
      <c r="H721" s="19"/>
    </row>
    <row r="722" spans="1:8" ht="14.25" customHeight="1" x14ac:dyDescent="0.3">
      <c r="A722" s="304">
        <v>44980</v>
      </c>
      <c r="B722" s="305">
        <v>17511.25</v>
      </c>
      <c r="C722" s="305">
        <v>342.89999389648398</v>
      </c>
      <c r="D722" s="19"/>
      <c r="E722" s="19">
        <f t="shared" si="22"/>
        <v>-2.4524349779846064E-3</v>
      </c>
      <c r="F722" s="19">
        <f t="shared" si="23"/>
        <v>-1.6351153491774292E-2</v>
      </c>
      <c r="G722" s="19"/>
      <c r="H722" s="19"/>
    </row>
    <row r="723" spans="1:8" ht="14.25" customHeight="1" x14ac:dyDescent="0.3">
      <c r="A723" s="304">
        <v>44981</v>
      </c>
      <c r="B723" s="305">
        <v>17465.80078125</v>
      </c>
      <c r="C723" s="305">
        <v>346.04998779296898</v>
      </c>
      <c r="D723" s="19"/>
      <c r="E723" s="19">
        <f t="shared" si="22"/>
        <v>-2.5954297237490184E-3</v>
      </c>
      <c r="F723" s="19">
        <f t="shared" si="23"/>
        <v>9.186334069856918E-3</v>
      </c>
      <c r="G723" s="19"/>
      <c r="H723" s="19"/>
    </row>
    <row r="724" spans="1:8" ht="14.25" customHeight="1" x14ac:dyDescent="0.3">
      <c r="A724" s="304">
        <v>44984</v>
      </c>
      <c r="B724" s="305">
        <v>17392.69921875</v>
      </c>
      <c r="C724" s="305">
        <v>349.95001220703102</v>
      </c>
      <c r="D724" s="19"/>
      <c r="E724" s="19">
        <f t="shared" si="22"/>
        <v>-4.1854114458053631E-3</v>
      </c>
      <c r="F724" s="19">
        <f t="shared" si="23"/>
        <v>1.127011862920599E-2</v>
      </c>
      <c r="G724" s="19"/>
      <c r="H724" s="19"/>
    </row>
    <row r="725" spans="1:8" ht="14.25" customHeight="1" x14ac:dyDescent="0.3">
      <c r="A725" s="304">
        <v>44985</v>
      </c>
      <c r="B725" s="305">
        <v>17303.94921875</v>
      </c>
      <c r="C725" s="305">
        <v>351.64999389648398</v>
      </c>
      <c r="D725" s="19"/>
      <c r="E725" s="19">
        <f t="shared" si="22"/>
        <v>-5.1027157362857215E-3</v>
      </c>
      <c r="F725" s="19">
        <f t="shared" si="23"/>
        <v>4.8577843410596662E-3</v>
      </c>
      <c r="G725" s="19"/>
      <c r="H725" s="19"/>
    </row>
    <row r="726" spans="1:8" ht="14.25" customHeight="1" x14ac:dyDescent="0.3">
      <c r="A726" s="304">
        <v>44986</v>
      </c>
      <c r="B726" s="305">
        <v>17450.900390625</v>
      </c>
      <c r="C726" s="305">
        <v>355.64999389648398</v>
      </c>
      <c r="D726" s="19"/>
      <c r="E726" s="19">
        <f t="shared" si="22"/>
        <v>8.4923487706360379E-3</v>
      </c>
      <c r="F726" s="19">
        <f t="shared" si="23"/>
        <v>1.1374946877370028E-2</v>
      </c>
      <c r="G726" s="19"/>
      <c r="H726" s="19"/>
    </row>
    <row r="727" spans="1:8" ht="14.25" customHeight="1" x14ac:dyDescent="0.3">
      <c r="A727" s="304">
        <v>44987</v>
      </c>
      <c r="B727" s="305">
        <v>17321.900390625</v>
      </c>
      <c r="C727" s="305">
        <v>355.29998779296898</v>
      </c>
      <c r="D727" s="19"/>
      <c r="E727" s="19">
        <f t="shared" si="22"/>
        <v>-7.3921687198043708E-3</v>
      </c>
      <c r="F727" s="19">
        <f t="shared" si="23"/>
        <v>-9.8413077329300618E-4</v>
      </c>
      <c r="G727" s="19"/>
      <c r="H727" s="19"/>
    </row>
    <row r="728" spans="1:8" ht="14.25" customHeight="1" x14ac:dyDescent="0.3">
      <c r="A728" s="304">
        <v>44988</v>
      </c>
      <c r="B728" s="305">
        <v>17594.349609375</v>
      </c>
      <c r="C728" s="305">
        <v>360.25</v>
      </c>
      <c r="D728" s="19"/>
      <c r="E728" s="19">
        <f t="shared" si="22"/>
        <v>1.5728598629827915E-2</v>
      </c>
      <c r="F728" s="19">
        <f t="shared" si="23"/>
        <v>1.393192338051912E-2</v>
      </c>
      <c r="G728" s="19"/>
      <c r="H728" s="19"/>
    </row>
    <row r="729" spans="1:8" ht="14.25" customHeight="1" x14ac:dyDescent="0.3">
      <c r="A729" s="304">
        <v>44991</v>
      </c>
      <c r="B729" s="305">
        <v>17711.44921875</v>
      </c>
      <c r="C729" s="305">
        <v>359.85000610351602</v>
      </c>
      <c r="D729" s="19"/>
      <c r="E729" s="19">
        <f t="shared" si="22"/>
        <v>6.6555236183669141E-3</v>
      </c>
      <c r="F729" s="19">
        <f t="shared" si="23"/>
        <v>-1.1103230991921641E-3</v>
      </c>
      <c r="G729" s="19"/>
      <c r="H729" s="19"/>
    </row>
    <row r="730" spans="1:8" ht="14.25" customHeight="1" x14ac:dyDescent="0.3">
      <c r="A730" s="304">
        <v>44993</v>
      </c>
      <c r="B730" s="305">
        <v>17754.400390625</v>
      </c>
      <c r="C730" s="305">
        <v>363.04998779296898</v>
      </c>
      <c r="D730" s="19"/>
      <c r="E730" s="19">
        <f t="shared" si="22"/>
        <v>2.4250512391459354E-3</v>
      </c>
      <c r="F730" s="19">
        <f t="shared" si="23"/>
        <v>8.8925431017845627E-3</v>
      </c>
      <c r="G730" s="19"/>
      <c r="H730" s="19"/>
    </row>
    <row r="731" spans="1:8" ht="14.25" customHeight="1" x14ac:dyDescent="0.3">
      <c r="A731" s="304">
        <v>44994</v>
      </c>
      <c r="B731" s="305">
        <v>17589.599609375</v>
      </c>
      <c r="C731" s="305">
        <v>357.10000610351602</v>
      </c>
      <c r="D731" s="19"/>
      <c r="E731" s="19">
        <f t="shared" si="22"/>
        <v>-9.2822498999752812E-3</v>
      </c>
      <c r="F731" s="19">
        <f t="shared" si="23"/>
        <v>-1.6388877260742288E-2</v>
      </c>
      <c r="G731" s="19"/>
      <c r="H731" s="19"/>
    </row>
    <row r="732" spans="1:8" ht="14.25" customHeight="1" x14ac:dyDescent="0.3">
      <c r="A732" s="304">
        <v>44995</v>
      </c>
      <c r="B732" s="305">
        <v>17412.900390625</v>
      </c>
      <c r="C732" s="305">
        <v>350.04998779296898</v>
      </c>
      <c r="D732" s="19"/>
      <c r="E732" s="19">
        <f t="shared" si="22"/>
        <v>-1.0045664635585105E-2</v>
      </c>
      <c r="F732" s="19">
        <f t="shared" si="23"/>
        <v>-1.9742420022539536E-2</v>
      </c>
      <c r="G732" s="19"/>
      <c r="H732" s="19"/>
    </row>
    <row r="733" spans="1:8" ht="14.25" customHeight="1" x14ac:dyDescent="0.3">
      <c r="A733" s="304">
        <v>44998</v>
      </c>
      <c r="B733" s="305">
        <v>17154.30078125</v>
      </c>
      <c r="C733" s="305">
        <v>342.70001220703102</v>
      </c>
      <c r="D733" s="19"/>
      <c r="E733" s="19">
        <f t="shared" si="22"/>
        <v>-1.4851035931626214E-2</v>
      </c>
      <c r="F733" s="19">
        <f t="shared" si="23"/>
        <v>-2.0996931416220964E-2</v>
      </c>
      <c r="G733" s="19"/>
      <c r="H733" s="19"/>
    </row>
    <row r="734" spans="1:8" ht="14.25" customHeight="1" x14ac:dyDescent="0.3">
      <c r="A734" s="304">
        <v>44999</v>
      </c>
      <c r="B734" s="305">
        <v>17043.30078125</v>
      </c>
      <c r="C734" s="305">
        <v>347.10000610351602</v>
      </c>
      <c r="D734" s="19"/>
      <c r="E734" s="19">
        <f t="shared" si="22"/>
        <v>-6.470680525861203E-3</v>
      </c>
      <c r="F734" s="19">
        <f t="shared" si="23"/>
        <v>1.2839199707489032E-2</v>
      </c>
      <c r="G734" s="19"/>
      <c r="H734" s="19"/>
    </row>
    <row r="735" spans="1:8" ht="14.25" customHeight="1" x14ac:dyDescent="0.3">
      <c r="A735" s="304">
        <v>45000</v>
      </c>
      <c r="B735" s="305">
        <v>16972.150390625</v>
      </c>
      <c r="C735" s="305">
        <v>345.45001220703102</v>
      </c>
      <c r="D735" s="19"/>
      <c r="E735" s="19">
        <f t="shared" si="22"/>
        <v>-4.1746837386848982E-3</v>
      </c>
      <c r="F735" s="19">
        <f t="shared" si="23"/>
        <v>-4.7536556250964762E-3</v>
      </c>
      <c r="G735" s="19"/>
      <c r="H735" s="19"/>
    </row>
    <row r="736" spans="1:8" ht="14.25" customHeight="1" x14ac:dyDescent="0.3">
      <c r="A736" s="304">
        <v>45001</v>
      </c>
      <c r="B736" s="305">
        <v>16985.599609375</v>
      </c>
      <c r="C736" s="305">
        <v>360.04998779296898</v>
      </c>
      <c r="D736" s="19"/>
      <c r="E736" s="19">
        <f t="shared" si="22"/>
        <v>7.9242868113100259E-4</v>
      </c>
      <c r="F736" s="19">
        <f t="shared" si="23"/>
        <v>4.2263641829568294E-2</v>
      </c>
      <c r="G736" s="19"/>
      <c r="H736" s="19"/>
    </row>
    <row r="737" spans="1:8" ht="14.25" customHeight="1" x14ac:dyDescent="0.3">
      <c r="A737" s="304">
        <v>45002</v>
      </c>
      <c r="B737" s="305">
        <v>17100.05078125</v>
      </c>
      <c r="C737" s="305">
        <v>375.25</v>
      </c>
      <c r="D737" s="19"/>
      <c r="E737" s="19">
        <f t="shared" si="22"/>
        <v>6.7381296219787279E-3</v>
      </c>
      <c r="F737" s="19">
        <f t="shared" si="23"/>
        <v>4.2216394174053207E-2</v>
      </c>
      <c r="G737" s="19"/>
      <c r="H737" s="19"/>
    </row>
    <row r="738" spans="1:8" ht="14.25" customHeight="1" x14ac:dyDescent="0.3">
      <c r="A738" s="304">
        <v>45005</v>
      </c>
      <c r="B738" s="305">
        <v>16988.400390625</v>
      </c>
      <c r="C738" s="305">
        <v>369.89999389648398</v>
      </c>
      <c r="D738" s="19"/>
      <c r="E738" s="19">
        <f t="shared" si="22"/>
        <v>-6.5292432199922654E-3</v>
      </c>
      <c r="F738" s="19">
        <f t="shared" si="23"/>
        <v>-1.4257178157271214E-2</v>
      </c>
      <c r="G738" s="19"/>
      <c r="H738" s="19"/>
    </row>
    <row r="739" spans="1:8" ht="14.25" customHeight="1" x14ac:dyDescent="0.3">
      <c r="A739" s="304">
        <v>45006</v>
      </c>
      <c r="B739" s="305">
        <v>17107.5</v>
      </c>
      <c r="C739" s="305">
        <v>367.45001220703102</v>
      </c>
      <c r="D739" s="19"/>
      <c r="E739" s="19">
        <f t="shared" si="22"/>
        <v>7.0106429467441077E-3</v>
      </c>
      <c r="F739" s="19">
        <f t="shared" si="23"/>
        <v>-6.6233623408455062E-3</v>
      </c>
      <c r="G739" s="19"/>
      <c r="H739" s="19"/>
    </row>
    <row r="740" spans="1:8" ht="14.25" customHeight="1" x14ac:dyDescent="0.3">
      <c r="A740" s="304">
        <v>45007</v>
      </c>
      <c r="B740" s="305">
        <v>17151.900390625</v>
      </c>
      <c r="C740" s="305">
        <v>368.75</v>
      </c>
      <c r="D740" s="19"/>
      <c r="E740" s="19">
        <f t="shared" si="22"/>
        <v>2.5953757489405233E-3</v>
      </c>
      <c r="F740" s="19">
        <f t="shared" si="23"/>
        <v>3.5378629739615574E-3</v>
      </c>
      <c r="G740" s="19"/>
      <c r="H740" s="19"/>
    </row>
    <row r="741" spans="1:8" ht="14.25" customHeight="1" x14ac:dyDescent="0.3">
      <c r="A741" s="304">
        <v>45008</v>
      </c>
      <c r="B741" s="305">
        <v>17076.900390625</v>
      </c>
      <c r="C741" s="305">
        <v>367.64999389648398</v>
      </c>
      <c r="D741" s="19"/>
      <c r="E741" s="19">
        <f t="shared" si="22"/>
        <v>-4.3726933046436068E-3</v>
      </c>
      <c r="F741" s="19">
        <f t="shared" si="23"/>
        <v>-2.9830673993654858E-3</v>
      </c>
      <c r="G741" s="19"/>
      <c r="H741" s="19"/>
    </row>
    <row r="742" spans="1:8" ht="14.25" customHeight="1" x14ac:dyDescent="0.3">
      <c r="A742" s="304">
        <v>45009</v>
      </c>
      <c r="B742" s="305">
        <v>16945.05078125</v>
      </c>
      <c r="C742" s="305">
        <v>354.25</v>
      </c>
      <c r="D742" s="19"/>
      <c r="E742" s="19">
        <f t="shared" si="22"/>
        <v>-7.7209333285906939E-3</v>
      </c>
      <c r="F742" s="19">
        <f t="shared" si="23"/>
        <v>-3.6447692421985728E-2</v>
      </c>
      <c r="G742" s="19"/>
      <c r="H742" s="19"/>
    </row>
    <row r="743" spans="1:8" ht="14.25" customHeight="1" x14ac:dyDescent="0.3">
      <c r="A743" s="304">
        <v>45012</v>
      </c>
      <c r="B743" s="305">
        <v>16985.69921875</v>
      </c>
      <c r="C743" s="305">
        <v>348.79998779296898</v>
      </c>
      <c r="D743" s="19"/>
      <c r="E743" s="19">
        <f t="shared" si="22"/>
        <v>2.3988383407489234E-3</v>
      </c>
      <c r="F743" s="19">
        <f t="shared" si="23"/>
        <v>-1.5384649843418554E-2</v>
      </c>
      <c r="G743" s="19"/>
      <c r="H743" s="19"/>
    </row>
    <row r="744" spans="1:8" ht="14.25" customHeight="1" x14ac:dyDescent="0.3">
      <c r="A744" s="304">
        <v>45013</v>
      </c>
      <c r="B744" s="305">
        <v>16951.69921875</v>
      </c>
      <c r="C744" s="305">
        <v>348.64999389648398</v>
      </c>
      <c r="D744" s="19"/>
      <c r="E744" s="19">
        <f t="shared" si="22"/>
        <v>-2.0016838613548761E-3</v>
      </c>
      <c r="F744" s="19">
        <f t="shared" si="23"/>
        <v>-4.3002838799991442E-4</v>
      </c>
      <c r="G744" s="19"/>
      <c r="H744" s="19"/>
    </row>
    <row r="745" spans="1:8" ht="14.25" customHeight="1" x14ac:dyDescent="0.3">
      <c r="A745" s="304">
        <v>45014</v>
      </c>
      <c r="B745" s="305">
        <v>17080.69921875</v>
      </c>
      <c r="C745" s="305">
        <v>352.54998779296898</v>
      </c>
      <c r="D745" s="19"/>
      <c r="E745" s="19">
        <f t="shared" si="22"/>
        <v>7.6098565893214518E-3</v>
      </c>
      <c r="F745" s="19">
        <f t="shared" si="23"/>
        <v>1.1185985844712015E-2</v>
      </c>
      <c r="G745" s="19"/>
      <c r="H745" s="19"/>
    </row>
    <row r="746" spans="1:8" ht="14.25" customHeight="1" x14ac:dyDescent="0.3">
      <c r="A746" s="304">
        <v>45016</v>
      </c>
      <c r="B746" s="305">
        <v>17359.75</v>
      </c>
      <c r="C746" s="305">
        <v>356.70001220703102</v>
      </c>
      <c r="D746" s="19"/>
      <c r="E746" s="19">
        <f t="shared" si="22"/>
        <v>1.6337198944623856E-2</v>
      </c>
      <c r="F746" s="19">
        <f t="shared" si="23"/>
        <v>1.177144960362075E-2</v>
      </c>
      <c r="G746" s="19"/>
      <c r="H746" s="19"/>
    </row>
    <row r="747" spans="1:8" ht="14.25" customHeight="1" x14ac:dyDescent="0.3">
      <c r="A747" s="304">
        <v>45019</v>
      </c>
      <c r="B747" s="305">
        <v>17398.05078125</v>
      </c>
      <c r="C747" s="305">
        <v>361.54998779296898</v>
      </c>
      <c r="D747" s="19"/>
      <c r="E747" s="19">
        <f t="shared" si="22"/>
        <v>2.2062979737611428E-3</v>
      </c>
      <c r="F747" s="19">
        <f t="shared" si="23"/>
        <v>1.3596791196976458E-2</v>
      </c>
      <c r="G747" s="19"/>
      <c r="H747" s="19"/>
    </row>
    <row r="748" spans="1:8" ht="14.25" customHeight="1" x14ac:dyDescent="0.3">
      <c r="A748" s="304">
        <v>45021</v>
      </c>
      <c r="B748" s="305">
        <v>17557.05078125</v>
      </c>
      <c r="C748" s="305">
        <v>367.04998779296898</v>
      </c>
      <c r="D748" s="19"/>
      <c r="E748" s="19">
        <f t="shared" si="22"/>
        <v>9.1389548173612303E-3</v>
      </c>
      <c r="F748" s="19">
        <f t="shared" si="23"/>
        <v>1.5212280972747299E-2</v>
      </c>
      <c r="G748" s="19"/>
      <c r="H748" s="19"/>
    </row>
    <row r="749" spans="1:8" ht="14.25" customHeight="1" x14ac:dyDescent="0.3">
      <c r="A749" s="304">
        <v>45022</v>
      </c>
      <c r="B749" s="305">
        <v>17599.150390625</v>
      </c>
      <c r="C749" s="305">
        <v>382.89999389648398</v>
      </c>
      <c r="D749" s="19"/>
      <c r="E749" s="19">
        <f t="shared" si="22"/>
        <v>2.3978747854372074E-3</v>
      </c>
      <c r="F749" s="19">
        <f t="shared" si="23"/>
        <v>4.3182145840187425E-2</v>
      </c>
      <c r="G749" s="19"/>
      <c r="H749" s="19"/>
    </row>
    <row r="750" spans="1:8" ht="14.25" customHeight="1" x14ac:dyDescent="0.3">
      <c r="A750" s="304">
        <v>45026</v>
      </c>
      <c r="B750" s="305">
        <v>17624.05078125</v>
      </c>
      <c r="C750" s="305">
        <v>405.5</v>
      </c>
      <c r="D750" s="19"/>
      <c r="E750" s="19">
        <f t="shared" si="22"/>
        <v>1.4148632219350965E-3</v>
      </c>
      <c r="F750" s="19">
        <f t="shared" si="23"/>
        <v>5.9023260547833481E-2</v>
      </c>
      <c r="G750" s="19"/>
      <c r="H750" s="19"/>
    </row>
    <row r="751" spans="1:8" ht="14.25" customHeight="1" x14ac:dyDescent="0.3">
      <c r="A751" s="304">
        <v>45027</v>
      </c>
      <c r="B751" s="305">
        <v>17722.30078125</v>
      </c>
      <c r="C751" s="305">
        <v>405.29998779296898</v>
      </c>
      <c r="D751" s="19"/>
      <c r="E751" s="19">
        <f t="shared" si="22"/>
        <v>5.574768321964148E-3</v>
      </c>
      <c r="F751" s="19">
        <f t="shared" si="23"/>
        <v>-4.9324835272755274E-4</v>
      </c>
      <c r="G751" s="19"/>
      <c r="H751" s="19"/>
    </row>
    <row r="752" spans="1:8" ht="14.25" customHeight="1" x14ac:dyDescent="0.3">
      <c r="A752" s="304">
        <v>45028</v>
      </c>
      <c r="B752" s="305">
        <v>17812.400390625</v>
      </c>
      <c r="C752" s="305">
        <v>406.54998779296898</v>
      </c>
      <c r="D752" s="19"/>
      <c r="E752" s="19">
        <f t="shared" si="22"/>
        <v>5.0839679614468796E-3</v>
      </c>
      <c r="F752" s="19">
        <f t="shared" si="23"/>
        <v>3.0841353013770917E-3</v>
      </c>
      <c r="G752" s="19"/>
      <c r="H752" s="19"/>
    </row>
    <row r="753" spans="1:8" ht="14.25" customHeight="1" x14ac:dyDescent="0.3">
      <c r="A753" s="304">
        <v>45029</v>
      </c>
      <c r="B753" s="305">
        <v>17828</v>
      </c>
      <c r="C753" s="305">
        <v>413.14999389648398</v>
      </c>
      <c r="D753" s="19"/>
      <c r="E753" s="19">
        <f t="shared" si="22"/>
        <v>8.7577244127132723E-4</v>
      </c>
      <c r="F753" s="19">
        <f t="shared" si="23"/>
        <v>1.6234181039690446E-2</v>
      </c>
      <c r="G753" s="19"/>
      <c r="H753" s="19"/>
    </row>
    <row r="754" spans="1:8" ht="14.25" customHeight="1" x14ac:dyDescent="0.3">
      <c r="A754" s="304">
        <v>45033</v>
      </c>
      <c r="B754" s="305">
        <v>17706.849609375</v>
      </c>
      <c r="C754" s="305">
        <v>415.35000610351602</v>
      </c>
      <c r="D754" s="19"/>
      <c r="E754" s="19">
        <f t="shared" si="22"/>
        <v>-6.7955121508301549E-3</v>
      </c>
      <c r="F754" s="19">
        <f t="shared" si="23"/>
        <v>5.3249721397388323E-3</v>
      </c>
      <c r="G754" s="19"/>
      <c r="H754" s="19"/>
    </row>
    <row r="755" spans="1:8" ht="14.25" customHeight="1" x14ac:dyDescent="0.3">
      <c r="A755" s="304">
        <v>45034</v>
      </c>
      <c r="B755" s="305">
        <v>17660.150390625</v>
      </c>
      <c r="C755" s="305">
        <v>423.85000610351602</v>
      </c>
      <c r="D755" s="19"/>
      <c r="E755" s="19">
        <f t="shared" si="22"/>
        <v>-2.6373533282439362E-3</v>
      </c>
      <c r="F755" s="19">
        <f t="shared" si="23"/>
        <v>2.0464668051266573E-2</v>
      </c>
      <c r="G755" s="19"/>
      <c r="H755" s="19"/>
    </row>
    <row r="756" spans="1:8" ht="14.25" customHeight="1" x14ac:dyDescent="0.3">
      <c r="A756" s="304">
        <v>45035</v>
      </c>
      <c r="B756" s="305">
        <v>17618.75</v>
      </c>
      <c r="C756" s="305">
        <v>421.70001220703102</v>
      </c>
      <c r="D756" s="19"/>
      <c r="E756" s="19">
        <f t="shared" si="22"/>
        <v>-2.3442830162407708E-3</v>
      </c>
      <c r="F756" s="19">
        <f t="shared" si="23"/>
        <v>-5.0725347776918788E-3</v>
      </c>
      <c r="G756" s="19"/>
      <c r="H756" s="19"/>
    </row>
    <row r="757" spans="1:8" ht="14.25" customHeight="1" x14ac:dyDescent="0.3">
      <c r="A757" s="304">
        <v>45036</v>
      </c>
      <c r="B757" s="305">
        <v>17624.44921875</v>
      </c>
      <c r="C757" s="305">
        <v>414.45001220703102</v>
      </c>
      <c r="D757" s="19"/>
      <c r="E757" s="19">
        <f t="shared" si="22"/>
        <v>3.2347463639588507E-4</v>
      </c>
      <c r="F757" s="19">
        <f t="shared" si="23"/>
        <v>-1.7192316315230879E-2</v>
      </c>
      <c r="G757" s="19"/>
      <c r="H757" s="19"/>
    </row>
    <row r="758" spans="1:8" ht="14.25" customHeight="1" x14ac:dyDescent="0.3">
      <c r="A758" s="304">
        <v>45037</v>
      </c>
      <c r="B758" s="305">
        <v>17624.05078125</v>
      </c>
      <c r="C758" s="305">
        <v>406.04998779296898</v>
      </c>
      <c r="D758" s="19"/>
      <c r="E758" s="19">
        <f t="shared" si="22"/>
        <v>-2.2607089450268724E-5</v>
      </c>
      <c r="F758" s="19">
        <f t="shared" si="23"/>
        <v>-2.0267883138258818E-2</v>
      </c>
      <c r="G758" s="19"/>
      <c r="H758" s="19"/>
    </row>
    <row r="759" spans="1:8" ht="14.25" customHeight="1" x14ac:dyDescent="0.3">
      <c r="A759" s="304">
        <v>45040</v>
      </c>
      <c r="B759" s="305">
        <v>17743.400390625</v>
      </c>
      <c r="C759" s="305">
        <v>411.14999389648398</v>
      </c>
      <c r="D759" s="19"/>
      <c r="E759" s="19">
        <f t="shared" si="22"/>
        <v>6.7719737565653465E-3</v>
      </c>
      <c r="F759" s="19">
        <f t="shared" si="23"/>
        <v>1.2560044962038809E-2</v>
      </c>
      <c r="G759" s="19"/>
      <c r="H759" s="19"/>
    </row>
    <row r="760" spans="1:8" ht="14.25" customHeight="1" x14ac:dyDescent="0.3">
      <c r="A760" s="304">
        <v>45041</v>
      </c>
      <c r="B760" s="305">
        <v>17769.25</v>
      </c>
      <c r="C760" s="305">
        <v>410.14999389648398</v>
      </c>
      <c r="D760" s="19"/>
      <c r="E760" s="19">
        <f t="shared" si="22"/>
        <v>1.4568576938982925E-3</v>
      </c>
      <c r="F760" s="19">
        <f t="shared" si="23"/>
        <v>-2.4322023953422993E-3</v>
      </c>
      <c r="G760" s="19"/>
      <c r="H760" s="19"/>
    </row>
    <row r="761" spans="1:8" ht="14.25" customHeight="1" x14ac:dyDescent="0.3">
      <c r="A761" s="304">
        <v>45042</v>
      </c>
      <c r="B761" s="305">
        <v>17813.599609375</v>
      </c>
      <c r="C761" s="305">
        <v>416.60000610351602</v>
      </c>
      <c r="D761" s="19"/>
      <c r="E761" s="19">
        <f t="shared" si="22"/>
        <v>2.495862761512163E-3</v>
      </c>
      <c r="F761" s="19">
        <f t="shared" si="23"/>
        <v>1.572598391567924E-2</v>
      </c>
      <c r="G761" s="19"/>
      <c r="H761" s="19"/>
    </row>
    <row r="762" spans="1:8" ht="14.25" customHeight="1" x14ac:dyDescent="0.3">
      <c r="A762" s="304">
        <v>45043</v>
      </c>
      <c r="B762" s="305">
        <v>17915.05078125</v>
      </c>
      <c r="C762" s="305">
        <v>421.64999389648398</v>
      </c>
      <c r="D762" s="19"/>
      <c r="E762" s="19">
        <f t="shared" si="22"/>
        <v>5.6951528101938445E-3</v>
      </c>
      <c r="F762" s="19">
        <f t="shared" si="23"/>
        <v>1.2121910031161023E-2</v>
      </c>
      <c r="G762" s="19"/>
      <c r="H762" s="19"/>
    </row>
    <row r="763" spans="1:8" ht="14.25" customHeight="1" x14ac:dyDescent="0.3">
      <c r="A763" s="304">
        <v>45044</v>
      </c>
      <c r="B763" s="305">
        <v>18065</v>
      </c>
      <c r="C763" s="305">
        <v>426.20001220703102</v>
      </c>
      <c r="D763" s="19"/>
      <c r="E763" s="19">
        <f t="shared" si="22"/>
        <v>8.3700136036978338E-3</v>
      </c>
      <c r="F763" s="19">
        <f t="shared" si="23"/>
        <v>1.0790983935515211E-2</v>
      </c>
      <c r="G763" s="19"/>
      <c r="H763" s="19"/>
    </row>
    <row r="764" spans="1:8" ht="14.25" customHeight="1" x14ac:dyDescent="0.3">
      <c r="A764" s="304">
        <v>45048</v>
      </c>
      <c r="B764" s="305">
        <v>18147.650390625</v>
      </c>
      <c r="C764" s="305">
        <v>424.25</v>
      </c>
      <c r="D764" s="19"/>
      <c r="E764" s="19">
        <f t="shared" si="22"/>
        <v>4.5751669319125379E-3</v>
      </c>
      <c r="F764" s="19">
        <f t="shared" si="23"/>
        <v>-4.5753452632089188E-3</v>
      </c>
      <c r="G764" s="19"/>
      <c r="H764" s="19"/>
    </row>
    <row r="765" spans="1:8" ht="14.25" customHeight="1" x14ac:dyDescent="0.3">
      <c r="A765" s="304">
        <v>45049</v>
      </c>
      <c r="B765" s="305">
        <v>18089.849609375</v>
      </c>
      <c r="C765" s="305">
        <v>427.54998779296898</v>
      </c>
      <c r="D765" s="19"/>
      <c r="E765" s="19">
        <f t="shared" si="22"/>
        <v>-3.18502836487635E-3</v>
      </c>
      <c r="F765" s="19">
        <f t="shared" si="23"/>
        <v>7.7784037547883973E-3</v>
      </c>
      <c r="G765" s="19"/>
      <c r="H765" s="19"/>
    </row>
    <row r="766" spans="1:8" ht="14.25" customHeight="1" x14ac:dyDescent="0.3">
      <c r="A766" s="304">
        <v>45050</v>
      </c>
      <c r="B766" s="305">
        <v>18255.80078125</v>
      </c>
      <c r="C766" s="305">
        <v>424.79998779296898</v>
      </c>
      <c r="D766" s="19"/>
      <c r="E766" s="19">
        <f t="shared" si="22"/>
        <v>9.173717607303733E-3</v>
      </c>
      <c r="F766" s="19">
        <f t="shared" si="23"/>
        <v>-6.4319964413883293E-3</v>
      </c>
      <c r="G766" s="19"/>
      <c r="H766" s="19"/>
    </row>
    <row r="767" spans="1:8" ht="14.25" customHeight="1" x14ac:dyDescent="0.3">
      <c r="A767" s="304">
        <v>45051</v>
      </c>
      <c r="B767" s="305">
        <v>18069</v>
      </c>
      <c r="C767" s="305">
        <v>427.20001220703102</v>
      </c>
      <c r="D767" s="19"/>
      <c r="E767" s="19">
        <f t="shared" si="22"/>
        <v>-1.0232406865540384E-2</v>
      </c>
      <c r="F767" s="19">
        <f t="shared" si="23"/>
        <v>5.6497751483734126E-3</v>
      </c>
      <c r="G767" s="19"/>
      <c r="H767" s="19"/>
    </row>
    <row r="768" spans="1:8" ht="14.25" customHeight="1" x14ac:dyDescent="0.3">
      <c r="A768" s="304">
        <v>45054</v>
      </c>
      <c r="B768" s="305">
        <v>18264.400390625</v>
      </c>
      <c r="C768" s="305">
        <v>436.35000610351602</v>
      </c>
      <c r="D768" s="19"/>
      <c r="E768" s="19">
        <f t="shared" si="22"/>
        <v>1.0814123118324201E-2</v>
      </c>
      <c r="F768" s="19">
        <f t="shared" si="23"/>
        <v>2.1418524426564625E-2</v>
      </c>
      <c r="G768" s="19"/>
      <c r="H768" s="19"/>
    </row>
    <row r="769" spans="1:8" ht="14.25" customHeight="1" x14ac:dyDescent="0.3">
      <c r="A769" s="304">
        <v>45055</v>
      </c>
      <c r="B769" s="305">
        <v>18265.94921875</v>
      </c>
      <c r="C769" s="305">
        <v>432</v>
      </c>
      <c r="D769" s="19"/>
      <c r="E769" s="19">
        <f t="shared" si="22"/>
        <v>8.4800381719347525E-5</v>
      </c>
      <c r="F769" s="19">
        <f t="shared" si="23"/>
        <v>-9.9690753813901946E-3</v>
      </c>
      <c r="G769" s="19"/>
      <c r="H769" s="19"/>
    </row>
    <row r="770" spans="1:8" ht="14.25" customHeight="1" x14ac:dyDescent="0.3">
      <c r="A770" s="304">
        <v>45056</v>
      </c>
      <c r="B770" s="305">
        <v>18315.099609375</v>
      </c>
      <c r="C770" s="305">
        <v>434.25</v>
      </c>
      <c r="D770" s="19"/>
      <c r="E770" s="19">
        <f t="shared" si="22"/>
        <v>2.6908205008337105E-3</v>
      </c>
      <c r="F770" s="19">
        <f t="shared" si="23"/>
        <v>5.208333333333333E-3</v>
      </c>
      <c r="G770" s="19"/>
      <c r="H770" s="19"/>
    </row>
    <row r="771" spans="1:8" ht="14.25" customHeight="1" x14ac:dyDescent="0.3">
      <c r="A771" s="304">
        <v>45057</v>
      </c>
      <c r="B771" s="305">
        <v>18297</v>
      </c>
      <c r="C771" s="305">
        <v>432.79998779296898</v>
      </c>
      <c r="D771" s="19"/>
      <c r="E771" s="19">
        <f t="shared" ref="E771:E834" si="24">(B771-B770)/B770</f>
        <v>-9.8823428542727139E-4</v>
      </c>
      <c r="F771" s="19">
        <f t="shared" ref="F771:F834" si="25">(C771-C770)/C770</f>
        <v>-3.3391184963293555E-3</v>
      </c>
      <c r="G771" s="19"/>
      <c r="H771" s="19"/>
    </row>
    <row r="772" spans="1:8" ht="14.25" customHeight="1" x14ac:dyDescent="0.3">
      <c r="A772" s="304">
        <v>45058</v>
      </c>
      <c r="B772" s="305">
        <v>18314.80078125</v>
      </c>
      <c r="C772" s="305">
        <v>435.95001220703102</v>
      </c>
      <c r="D772" s="19"/>
      <c r="E772" s="19">
        <f t="shared" si="24"/>
        <v>9.7287977537301195E-4</v>
      </c>
      <c r="F772" s="19">
        <f t="shared" si="25"/>
        <v>7.2782451545929062E-3</v>
      </c>
      <c r="G772" s="19"/>
      <c r="H772" s="19"/>
    </row>
    <row r="773" spans="1:8" ht="14.25" customHeight="1" x14ac:dyDescent="0.3">
      <c r="A773" s="304">
        <v>45061</v>
      </c>
      <c r="B773" s="305">
        <v>18398.849609375</v>
      </c>
      <c r="C773" s="305">
        <v>468.14999389648398</v>
      </c>
      <c r="D773" s="19"/>
      <c r="E773" s="19">
        <f t="shared" si="24"/>
        <v>4.589120522186952E-3</v>
      </c>
      <c r="F773" s="19">
        <f t="shared" si="25"/>
        <v>7.3861637315796896E-2</v>
      </c>
      <c r="G773" s="19"/>
      <c r="H773" s="19"/>
    </row>
    <row r="774" spans="1:8" ht="14.25" customHeight="1" x14ac:dyDescent="0.3">
      <c r="A774" s="304">
        <v>45062</v>
      </c>
      <c r="B774" s="305">
        <v>18286.5</v>
      </c>
      <c r="C774" s="305">
        <v>471.75</v>
      </c>
      <c r="D774" s="19"/>
      <c r="E774" s="19">
        <f t="shared" si="24"/>
        <v>-6.1063388070606911E-3</v>
      </c>
      <c r="F774" s="19">
        <f t="shared" si="25"/>
        <v>7.6898561368176502E-3</v>
      </c>
      <c r="G774" s="19"/>
      <c r="H774" s="19"/>
    </row>
    <row r="775" spans="1:8" ht="14.25" customHeight="1" x14ac:dyDescent="0.3">
      <c r="A775" s="304">
        <v>45063</v>
      </c>
      <c r="B775" s="305">
        <v>18181.75</v>
      </c>
      <c r="C775" s="305">
        <v>469.85000610351602</v>
      </c>
      <c r="D775" s="19"/>
      <c r="E775" s="19">
        <f t="shared" si="24"/>
        <v>-5.7282694884204198E-3</v>
      </c>
      <c r="F775" s="19">
        <f t="shared" si="25"/>
        <v>-4.0275440307026541E-3</v>
      </c>
      <c r="G775" s="19"/>
      <c r="H775" s="19"/>
    </row>
    <row r="776" spans="1:8" ht="14.25" customHeight="1" x14ac:dyDescent="0.3">
      <c r="A776" s="304">
        <v>45064</v>
      </c>
      <c r="B776" s="305">
        <v>18129.94921875</v>
      </c>
      <c r="C776" s="305">
        <v>459.95001220703102</v>
      </c>
      <c r="D776" s="19"/>
      <c r="E776" s="19">
        <f t="shared" si="24"/>
        <v>-2.8490536527011976E-3</v>
      </c>
      <c r="F776" s="19">
        <f t="shared" si="25"/>
        <v>-2.1070541168203925E-2</v>
      </c>
      <c r="G776" s="19"/>
      <c r="H776" s="19"/>
    </row>
    <row r="777" spans="1:8" ht="14.25" customHeight="1" x14ac:dyDescent="0.3">
      <c r="A777" s="304">
        <v>45065</v>
      </c>
      <c r="B777" s="305">
        <v>18203.400390625</v>
      </c>
      <c r="C777" s="305">
        <v>471.89999389648398</v>
      </c>
      <c r="D777" s="19"/>
      <c r="E777" s="19">
        <f t="shared" si="24"/>
        <v>4.051372179191587E-3</v>
      </c>
      <c r="F777" s="19">
        <f t="shared" si="25"/>
        <v>2.5981044401133906E-2</v>
      </c>
      <c r="G777" s="19"/>
      <c r="H777" s="19"/>
    </row>
    <row r="778" spans="1:8" ht="14.25" customHeight="1" x14ac:dyDescent="0.3">
      <c r="A778" s="304">
        <v>45068</v>
      </c>
      <c r="B778" s="305">
        <v>18314.400390625</v>
      </c>
      <c r="C778" s="305">
        <v>478.14999389648398</v>
      </c>
      <c r="D778" s="19"/>
      <c r="E778" s="19">
        <f t="shared" si="24"/>
        <v>6.0977618257062847E-3</v>
      </c>
      <c r="F778" s="19">
        <f t="shared" si="25"/>
        <v>1.324433159745071E-2</v>
      </c>
      <c r="G778" s="19"/>
      <c r="H778" s="19"/>
    </row>
    <row r="779" spans="1:8" ht="14.25" customHeight="1" x14ac:dyDescent="0.3">
      <c r="A779" s="304">
        <v>45069</v>
      </c>
      <c r="B779" s="305">
        <v>18348</v>
      </c>
      <c r="C779" s="305">
        <v>467.85000610351602</v>
      </c>
      <c r="D779" s="19"/>
      <c r="E779" s="19">
        <f t="shared" si="24"/>
        <v>1.8346005688616145E-3</v>
      </c>
      <c r="F779" s="19">
        <f t="shared" si="25"/>
        <v>-2.1541332059909692E-2</v>
      </c>
      <c r="G779" s="19"/>
      <c r="H779" s="19"/>
    </row>
    <row r="780" spans="1:8" ht="14.25" customHeight="1" x14ac:dyDescent="0.3">
      <c r="A780" s="304">
        <v>45070</v>
      </c>
      <c r="B780" s="305">
        <v>18285.400390625</v>
      </c>
      <c r="C780" s="305">
        <v>465.5</v>
      </c>
      <c r="D780" s="19"/>
      <c r="E780" s="19">
        <f t="shared" si="24"/>
        <v>-3.4117947119577064E-3</v>
      </c>
      <c r="F780" s="19">
        <f t="shared" si="25"/>
        <v>-5.0229904303903394E-3</v>
      </c>
      <c r="G780" s="19"/>
      <c r="H780" s="19"/>
    </row>
    <row r="781" spans="1:8" ht="14.25" customHeight="1" x14ac:dyDescent="0.3">
      <c r="A781" s="304">
        <v>45071</v>
      </c>
      <c r="B781" s="305">
        <v>18321.150390625</v>
      </c>
      <c r="C781" s="305">
        <v>477.25</v>
      </c>
      <c r="D781" s="19"/>
      <c r="E781" s="19">
        <f t="shared" si="24"/>
        <v>1.955111686716424E-3</v>
      </c>
      <c r="F781" s="19">
        <f t="shared" si="25"/>
        <v>2.5241675617615467E-2</v>
      </c>
      <c r="G781" s="19"/>
      <c r="H781" s="19"/>
    </row>
    <row r="782" spans="1:8" ht="14.25" customHeight="1" x14ac:dyDescent="0.3">
      <c r="A782" s="304">
        <v>45072</v>
      </c>
      <c r="B782" s="305">
        <v>18499.349609375</v>
      </c>
      <c r="C782" s="305">
        <v>478.10000610351602</v>
      </c>
      <c r="D782" s="19"/>
      <c r="E782" s="19">
        <f t="shared" si="24"/>
        <v>9.7264208278747162E-3</v>
      </c>
      <c r="F782" s="19">
        <f t="shared" si="25"/>
        <v>1.7810499811755326E-3</v>
      </c>
      <c r="G782" s="19"/>
      <c r="H782" s="19"/>
    </row>
    <row r="783" spans="1:8" ht="14.25" customHeight="1" x14ac:dyDescent="0.3">
      <c r="A783" s="304">
        <v>45075</v>
      </c>
      <c r="B783" s="305">
        <v>18598.650390625</v>
      </c>
      <c r="C783" s="305">
        <v>482.64999389648398</v>
      </c>
      <c r="D783" s="19"/>
      <c r="E783" s="19">
        <f t="shared" si="24"/>
        <v>5.3677985089636282E-3</v>
      </c>
      <c r="F783" s="19">
        <f t="shared" si="25"/>
        <v>9.5168118278225067E-3</v>
      </c>
      <c r="G783" s="19"/>
      <c r="H783" s="19"/>
    </row>
    <row r="784" spans="1:8" ht="14.25" customHeight="1" x14ac:dyDescent="0.3">
      <c r="A784" s="304">
        <v>45076</v>
      </c>
      <c r="B784" s="305">
        <v>18633.849609375</v>
      </c>
      <c r="C784" s="305">
        <v>474.60000610351602</v>
      </c>
      <c r="D784" s="19"/>
      <c r="E784" s="19">
        <f t="shared" si="24"/>
        <v>1.892568439683281E-3</v>
      </c>
      <c r="F784" s="19">
        <f t="shared" si="25"/>
        <v>-1.6678727638592843E-2</v>
      </c>
      <c r="G784" s="19"/>
      <c r="H784" s="19"/>
    </row>
    <row r="785" spans="1:8" ht="14.25" customHeight="1" x14ac:dyDescent="0.3">
      <c r="A785" s="304">
        <v>45077</v>
      </c>
      <c r="B785" s="305">
        <v>18534.400390625</v>
      </c>
      <c r="C785" s="305">
        <v>474.89999389648398</v>
      </c>
      <c r="D785" s="19"/>
      <c r="E785" s="19">
        <f t="shared" si="24"/>
        <v>-5.33701950132545E-3</v>
      </c>
      <c r="F785" s="19">
        <f t="shared" si="25"/>
        <v>6.3208552277709668E-4</v>
      </c>
      <c r="G785" s="19"/>
      <c r="H785" s="19"/>
    </row>
    <row r="786" spans="1:8" ht="14.25" customHeight="1" x14ac:dyDescent="0.3">
      <c r="A786" s="304">
        <v>45078</v>
      </c>
      <c r="B786" s="305">
        <v>18487.75</v>
      </c>
      <c r="C786" s="305">
        <v>477.20001220703102</v>
      </c>
      <c r="D786" s="19"/>
      <c r="E786" s="19">
        <f t="shared" si="24"/>
        <v>-2.5169624936232909E-3</v>
      </c>
      <c r="F786" s="19">
        <f t="shared" si="25"/>
        <v>4.8431634872759984E-3</v>
      </c>
      <c r="G786" s="19"/>
      <c r="H786" s="19"/>
    </row>
    <row r="787" spans="1:8" ht="14.25" customHeight="1" x14ac:dyDescent="0.3">
      <c r="A787" s="304">
        <v>45079</v>
      </c>
      <c r="B787" s="305">
        <v>18534.099609375</v>
      </c>
      <c r="C787" s="305">
        <v>489.29998779296898</v>
      </c>
      <c r="D787" s="19"/>
      <c r="E787" s="19">
        <f t="shared" si="24"/>
        <v>2.5070443604548959E-3</v>
      </c>
      <c r="F787" s="19">
        <f t="shared" si="25"/>
        <v>2.535619295141266E-2</v>
      </c>
      <c r="G787" s="19"/>
      <c r="H787" s="19"/>
    </row>
    <row r="788" spans="1:8" ht="14.25" customHeight="1" x14ac:dyDescent="0.3">
      <c r="A788" s="304">
        <v>45082</v>
      </c>
      <c r="B788" s="305">
        <v>18593.849609375</v>
      </c>
      <c r="C788" s="305">
        <v>489.25</v>
      </c>
      <c r="D788" s="19"/>
      <c r="E788" s="19">
        <f t="shared" si="24"/>
        <v>3.2237875731377309E-3</v>
      </c>
      <c r="F788" s="19">
        <f t="shared" si="25"/>
        <v>-1.0216185206636066E-4</v>
      </c>
      <c r="G788" s="19"/>
      <c r="H788" s="19"/>
    </row>
    <row r="789" spans="1:8" ht="14.25" customHeight="1" x14ac:dyDescent="0.3">
      <c r="A789" s="304">
        <v>45083</v>
      </c>
      <c r="B789" s="305">
        <v>18599</v>
      </c>
      <c r="C789" s="305">
        <v>494.64999389648398</v>
      </c>
      <c r="D789" s="19"/>
      <c r="E789" s="19">
        <f t="shared" si="24"/>
        <v>2.7699431442121478E-4</v>
      </c>
      <c r="F789" s="19">
        <f t="shared" si="25"/>
        <v>1.1037289517596274E-2</v>
      </c>
      <c r="G789" s="19"/>
      <c r="H789" s="19"/>
    </row>
    <row r="790" spans="1:8" ht="14.25" customHeight="1" x14ac:dyDescent="0.3">
      <c r="A790" s="304">
        <v>45084</v>
      </c>
      <c r="B790" s="305">
        <v>18726.400390625</v>
      </c>
      <c r="C790" s="305">
        <v>495.70001220703102</v>
      </c>
      <c r="D790" s="19"/>
      <c r="E790" s="19">
        <f t="shared" si="24"/>
        <v>6.8498516385289534E-3</v>
      </c>
      <c r="F790" s="19">
        <f t="shared" si="25"/>
        <v>2.1227500727853729E-3</v>
      </c>
      <c r="G790" s="19"/>
      <c r="H790" s="19"/>
    </row>
    <row r="791" spans="1:8" ht="14.25" customHeight="1" x14ac:dyDescent="0.3">
      <c r="A791" s="304">
        <v>45085</v>
      </c>
      <c r="B791" s="305">
        <v>18634.55078125</v>
      </c>
      <c r="C791" s="305">
        <v>484.75</v>
      </c>
      <c r="D791" s="19"/>
      <c r="E791" s="19">
        <f t="shared" si="24"/>
        <v>-4.904819263662796E-3</v>
      </c>
      <c r="F791" s="19">
        <f t="shared" si="25"/>
        <v>-2.2089997856319817E-2</v>
      </c>
      <c r="G791" s="19"/>
      <c r="H791" s="19"/>
    </row>
    <row r="792" spans="1:8" ht="14.25" customHeight="1" x14ac:dyDescent="0.3">
      <c r="A792" s="304">
        <v>45086</v>
      </c>
      <c r="B792" s="305">
        <v>18563.400390625</v>
      </c>
      <c r="C792" s="305">
        <v>485.20001220703102</v>
      </c>
      <c r="D792" s="19"/>
      <c r="E792" s="19">
        <f t="shared" si="24"/>
        <v>-3.8181972541345725E-3</v>
      </c>
      <c r="F792" s="19">
        <f t="shared" si="25"/>
        <v>9.2833874580922667E-4</v>
      </c>
      <c r="G792" s="19"/>
      <c r="H792" s="19"/>
    </row>
    <row r="793" spans="1:8" ht="14.25" customHeight="1" x14ac:dyDescent="0.3">
      <c r="A793" s="304">
        <v>45089</v>
      </c>
      <c r="B793" s="305">
        <v>18601.5</v>
      </c>
      <c r="C793" s="305">
        <v>490.60000610351602</v>
      </c>
      <c r="D793" s="19"/>
      <c r="E793" s="19">
        <f t="shared" si="24"/>
        <v>2.0524046550351462E-3</v>
      </c>
      <c r="F793" s="19">
        <f t="shared" si="25"/>
        <v>1.1129418303025239E-2</v>
      </c>
      <c r="G793" s="19"/>
      <c r="H793" s="19"/>
    </row>
    <row r="794" spans="1:8" ht="14.25" customHeight="1" x14ac:dyDescent="0.3">
      <c r="A794" s="304">
        <v>45090</v>
      </c>
      <c r="B794" s="305">
        <v>18716.150390625</v>
      </c>
      <c r="C794" s="305">
        <v>503.60000610351602</v>
      </c>
      <c r="D794" s="19"/>
      <c r="E794" s="19">
        <f t="shared" si="24"/>
        <v>6.1635024393194094E-3</v>
      </c>
      <c r="F794" s="19">
        <f t="shared" si="25"/>
        <v>2.6498165181956836E-2</v>
      </c>
      <c r="G794" s="19"/>
      <c r="H794" s="19"/>
    </row>
    <row r="795" spans="1:8" ht="14.25" customHeight="1" x14ac:dyDescent="0.3">
      <c r="A795" s="304">
        <v>45091</v>
      </c>
      <c r="B795" s="305">
        <v>18755.900390625</v>
      </c>
      <c r="C795" s="305">
        <v>503.70001220703102</v>
      </c>
      <c r="D795" s="19"/>
      <c r="E795" s="19">
        <f t="shared" si="24"/>
        <v>2.1238341844010264E-3</v>
      </c>
      <c r="F795" s="19">
        <f t="shared" si="25"/>
        <v>1.9858241124493407E-4</v>
      </c>
      <c r="G795" s="19"/>
      <c r="H795" s="19"/>
    </row>
    <row r="796" spans="1:8" ht="14.25" customHeight="1" x14ac:dyDescent="0.3">
      <c r="A796" s="304">
        <v>45092</v>
      </c>
      <c r="B796" s="305">
        <v>18688.099609375</v>
      </c>
      <c r="C796" s="305">
        <v>490.35000610351602</v>
      </c>
      <c r="D796" s="19"/>
      <c r="E796" s="19">
        <f t="shared" si="24"/>
        <v>-3.6149041015322157E-3</v>
      </c>
      <c r="F796" s="19">
        <f t="shared" si="25"/>
        <v>-2.6503882827042444E-2</v>
      </c>
      <c r="G796" s="19"/>
      <c r="H796" s="19"/>
    </row>
    <row r="797" spans="1:8" ht="14.25" customHeight="1" x14ac:dyDescent="0.3">
      <c r="A797" s="304">
        <v>45093</v>
      </c>
      <c r="B797" s="305">
        <v>18826</v>
      </c>
      <c r="C797" s="305">
        <v>496</v>
      </c>
      <c r="D797" s="19"/>
      <c r="E797" s="19">
        <f t="shared" si="24"/>
        <v>7.3790483520229863E-3</v>
      </c>
      <c r="F797" s="19">
        <f t="shared" si="25"/>
        <v>1.1522369381374551E-2</v>
      </c>
      <c r="G797" s="19"/>
      <c r="H797" s="19"/>
    </row>
    <row r="798" spans="1:8" ht="14.25" customHeight="1" x14ac:dyDescent="0.3">
      <c r="A798" s="304">
        <v>45096</v>
      </c>
      <c r="B798" s="305">
        <v>18755.44921875</v>
      </c>
      <c r="C798" s="305">
        <v>485.35000610351602</v>
      </c>
      <c r="D798" s="19"/>
      <c r="E798" s="19">
        <f t="shared" si="24"/>
        <v>-3.7475183921172844E-3</v>
      </c>
      <c r="F798" s="19">
        <f t="shared" si="25"/>
        <v>-2.1471761888072535E-2</v>
      </c>
      <c r="G798" s="19"/>
      <c r="H798" s="19"/>
    </row>
    <row r="799" spans="1:8" ht="14.25" customHeight="1" x14ac:dyDescent="0.3">
      <c r="A799" s="304">
        <v>45097</v>
      </c>
      <c r="B799" s="305">
        <v>18816.69921875</v>
      </c>
      <c r="C799" s="305">
        <v>489.20001220703102</v>
      </c>
      <c r="D799" s="19"/>
      <c r="E799" s="19">
        <f t="shared" si="24"/>
        <v>3.2657175674986124E-3</v>
      </c>
      <c r="F799" s="19">
        <f t="shared" si="25"/>
        <v>7.9324323789003223E-3</v>
      </c>
      <c r="G799" s="19"/>
      <c r="H799" s="19"/>
    </row>
    <row r="800" spans="1:8" ht="14.25" customHeight="1" x14ac:dyDescent="0.3">
      <c r="A800" s="304">
        <v>45098</v>
      </c>
      <c r="B800" s="305">
        <v>18856.849609375</v>
      </c>
      <c r="C800" s="305">
        <v>482.85000610351602</v>
      </c>
      <c r="D800" s="19"/>
      <c r="E800" s="19">
        <f t="shared" si="24"/>
        <v>2.133763746671995E-3</v>
      </c>
      <c r="F800" s="19">
        <f t="shared" si="25"/>
        <v>-1.2980388276907191E-2</v>
      </c>
      <c r="G800" s="19"/>
      <c r="H800" s="19"/>
    </row>
    <row r="801" spans="1:8" ht="14.25" customHeight="1" x14ac:dyDescent="0.3">
      <c r="A801" s="304">
        <v>45099</v>
      </c>
      <c r="B801" s="305">
        <v>18771.25</v>
      </c>
      <c r="C801" s="305">
        <v>481.25</v>
      </c>
      <c r="D801" s="19"/>
      <c r="E801" s="19">
        <f t="shared" si="24"/>
        <v>-4.5394438174042985E-3</v>
      </c>
      <c r="F801" s="19">
        <f t="shared" si="25"/>
        <v>-3.3136710847902627E-3</v>
      </c>
      <c r="G801" s="19"/>
      <c r="H801" s="19"/>
    </row>
    <row r="802" spans="1:8" ht="14.25" customHeight="1" x14ac:dyDescent="0.3">
      <c r="A802" s="304">
        <v>45100</v>
      </c>
      <c r="B802" s="305">
        <v>18665.5</v>
      </c>
      <c r="C802" s="305">
        <v>477.70001220703102</v>
      </c>
      <c r="D802" s="19"/>
      <c r="E802" s="19">
        <f t="shared" si="24"/>
        <v>-5.6336152360657917E-3</v>
      </c>
      <c r="F802" s="19">
        <f t="shared" si="25"/>
        <v>-7.3765980113641091E-3</v>
      </c>
      <c r="G802" s="19"/>
      <c r="H802" s="19"/>
    </row>
    <row r="803" spans="1:8" ht="14.25" customHeight="1" x14ac:dyDescent="0.3">
      <c r="A803" s="304">
        <v>45103</v>
      </c>
      <c r="B803" s="305">
        <v>18691.19921875</v>
      </c>
      <c r="C803" s="305">
        <v>477.14999389648398</v>
      </c>
      <c r="D803" s="19"/>
      <c r="E803" s="19">
        <f t="shared" si="24"/>
        <v>1.3768299134767352E-3</v>
      </c>
      <c r="F803" s="19">
        <f t="shared" si="25"/>
        <v>-1.1513885210215828E-3</v>
      </c>
      <c r="G803" s="19"/>
      <c r="H803" s="19"/>
    </row>
    <row r="804" spans="1:8" ht="14.25" customHeight="1" x14ac:dyDescent="0.3">
      <c r="A804" s="304">
        <v>45104</v>
      </c>
      <c r="B804" s="305">
        <v>18817.400390625</v>
      </c>
      <c r="C804" s="305">
        <v>483.85000610351602</v>
      </c>
      <c r="D804" s="19"/>
      <c r="E804" s="19">
        <f t="shared" si="24"/>
        <v>6.7519034171120394E-3</v>
      </c>
      <c r="F804" s="19">
        <f t="shared" si="25"/>
        <v>1.4041731725319041E-2</v>
      </c>
      <c r="G804" s="19"/>
      <c r="H804" s="19"/>
    </row>
    <row r="805" spans="1:8" ht="14.25" customHeight="1" x14ac:dyDescent="0.3">
      <c r="A805" s="304">
        <v>45105</v>
      </c>
      <c r="B805" s="305">
        <v>18972.099609375</v>
      </c>
      <c r="C805" s="305">
        <v>485.89999389648398</v>
      </c>
      <c r="D805" s="19"/>
      <c r="E805" s="19">
        <f t="shared" si="24"/>
        <v>8.2210728123249463E-3</v>
      </c>
      <c r="F805" s="19">
        <f t="shared" si="25"/>
        <v>4.2368249811065928E-3</v>
      </c>
      <c r="G805" s="19"/>
      <c r="H805" s="19"/>
    </row>
    <row r="806" spans="1:8" ht="14.25" customHeight="1" x14ac:dyDescent="0.3">
      <c r="A806" s="304">
        <v>45107</v>
      </c>
      <c r="B806" s="305">
        <v>19189.05078125</v>
      </c>
      <c r="C806" s="305">
        <v>490.54998779296898</v>
      </c>
      <c r="D806" s="19"/>
      <c r="E806" s="19">
        <f t="shared" si="24"/>
        <v>1.143527476356883E-2</v>
      </c>
      <c r="F806" s="19">
        <f t="shared" si="25"/>
        <v>9.5698579026441272E-3</v>
      </c>
      <c r="G806" s="19"/>
      <c r="H806" s="19"/>
    </row>
    <row r="807" spans="1:8" ht="14.25" customHeight="1" x14ac:dyDescent="0.3">
      <c r="A807" s="304">
        <v>45110</v>
      </c>
      <c r="B807" s="305">
        <v>19322.55078125</v>
      </c>
      <c r="C807" s="305">
        <v>493.14999389648398</v>
      </c>
      <c r="D807" s="19"/>
      <c r="E807" s="19">
        <f t="shared" si="24"/>
        <v>6.9570924336937751E-3</v>
      </c>
      <c r="F807" s="19">
        <f t="shared" si="25"/>
        <v>5.3001858489746872E-3</v>
      </c>
      <c r="G807" s="19"/>
      <c r="H807" s="19"/>
    </row>
    <row r="808" spans="1:8" ht="14.25" customHeight="1" x14ac:dyDescent="0.3">
      <c r="A808" s="304">
        <v>45111</v>
      </c>
      <c r="B808" s="305">
        <v>19389</v>
      </c>
      <c r="C808" s="305">
        <v>489.79998779296898</v>
      </c>
      <c r="D808" s="19"/>
      <c r="E808" s="19">
        <f t="shared" si="24"/>
        <v>3.4389465191355714E-3</v>
      </c>
      <c r="F808" s="19">
        <f t="shared" si="25"/>
        <v>-6.7930774510324586E-3</v>
      </c>
      <c r="G808" s="19"/>
      <c r="H808" s="19"/>
    </row>
    <row r="809" spans="1:8" ht="14.25" customHeight="1" x14ac:dyDescent="0.3">
      <c r="A809" s="304">
        <v>45112</v>
      </c>
      <c r="B809" s="305">
        <v>19398.5</v>
      </c>
      <c r="C809" s="305">
        <v>499.70001220703102</v>
      </c>
      <c r="D809" s="19"/>
      <c r="E809" s="19">
        <f t="shared" si="24"/>
        <v>4.8996853886224153E-4</v>
      </c>
      <c r="F809" s="19">
        <f t="shared" si="25"/>
        <v>2.0212381912607633E-2</v>
      </c>
      <c r="G809" s="19"/>
      <c r="H809" s="19"/>
    </row>
    <row r="810" spans="1:8" ht="14.25" customHeight="1" x14ac:dyDescent="0.3">
      <c r="A810" s="304">
        <v>45113</v>
      </c>
      <c r="B810" s="305">
        <v>19497.30078125</v>
      </c>
      <c r="C810" s="305">
        <v>513.59997558593795</v>
      </c>
      <c r="D810" s="19"/>
      <c r="E810" s="19">
        <f t="shared" si="24"/>
        <v>5.0932175812562824E-3</v>
      </c>
      <c r="F810" s="19">
        <f t="shared" si="25"/>
        <v>2.7816616048326269E-2</v>
      </c>
      <c r="G810" s="19"/>
      <c r="H810" s="19"/>
    </row>
    <row r="811" spans="1:8" ht="14.25" customHeight="1" x14ac:dyDescent="0.3">
      <c r="A811" s="304">
        <v>45114</v>
      </c>
      <c r="B811" s="305">
        <v>19331.80078125</v>
      </c>
      <c r="C811" s="305">
        <v>502.85000610351602</v>
      </c>
      <c r="D811" s="19"/>
      <c r="E811" s="19">
        <f t="shared" si="24"/>
        <v>-8.4883544577184066E-3</v>
      </c>
      <c r="F811" s="19">
        <f t="shared" si="25"/>
        <v>-2.0930626934235898E-2</v>
      </c>
      <c r="G811" s="19"/>
      <c r="H811" s="19"/>
    </row>
    <row r="812" spans="1:8" ht="14.25" customHeight="1" x14ac:dyDescent="0.3">
      <c r="A812" s="304">
        <v>45117</v>
      </c>
      <c r="B812" s="305">
        <v>19355.900390625</v>
      </c>
      <c r="C812" s="305">
        <v>501.54998779296898</v>
      </c>
      <c r="D812" s="19"/>
      <c r="E812" s="19">
        <f t="shared" si="24"/>
        <v>1.2466303397029789E-3</v>
      </c>
      <c r="F812" s="19">
        <f t="shared" si="25"/>
        <v>-2.5853003773841569E-3</v>
      </c>
      <c r="G812" s="19"/>
      <c r="H812" s="19"/>
    </row>
    <row r="813" spans="1:8" ht="14.25" customHeight="1" x14ac:dyDescent="0.3">
      <c r="A813" s="304">
        <v>45118</v>
      </c>
      <c r="B813" s="305">
        <v>19439.400390625</v>
      </c>
      <c r="C813" s="305">
        <v>499.64999389648398</v>
      </c>
      <c r="D813" s="19"/>
      <c r="E813" s="19">
        <f t="shared" si="24"/>
        <v>4.3139300324382271E-3</v>
      </c>
      <c r="F813" s="19">
        <f t="shared" si="25"/>
        <v>-3.7882443280395101E-3</v>
      </c>
      <c r="G813" s="19"/>
      <c r="H813" s="19"/>
    </row>
    <row r="814" spans="1:8" ht="14.25" customHeight="1" x14ac:dyDescent="0.3">
      <c r="A814" s="304">
        <v>45119</v>
      </c>
      <c r="B814" s="305">
        <v>19384.30078125</v>
      </c>
      <c r="C814" s="305">
        <v>492.39999389648398</v>
      </c>
      <c r="D814" s="19"/>
      <c r="E814" s="19">
        <f t="shared" si="24"/>
        <v>-2.8344294714755078E-3</v>
      </c>
      <c r="F814" s="19">
        <f t="shared" si="25"/>
        <v>-1.4510157287227014E-2</v>
      </c>
      <c r="G814" s="19"/>
      <c r="H814" s="19"/>
    </row>
    <row r="815" spans="1:8" ht="14.25" customHeight="1" x14ac:dyDescent="0.3">
      <c r="A815" s="304">
        <v>45120</v>
      </c>
      <c r="B815" s="305">
        <v>19413.75</v>
      </c>
      <c r="C815" s="305">
        <v>492.04998779296898</v>
      </c>
      <c r="D815" s="19"/>
      <c r="E815" s="19">
        <f t="shared" si="24"/>
        <v>1.5192303855749891E-3</v>
      </c>
      <c r="F815" s="19">
        <f t="shared" si="25"/>
        <v>-7.1081662845954587E-4</v>
      </c>
      <c r="G815" s="19"/>
      <c r="H815" s="19"/>
    </row>
    <row r="816" spans="1:8" ht="14.25" customHeight="1" x14ac:dyDescent="0.3">
      <c r="A816" s="304">
        <v>45121</v>
      </c>
      <c r="B816" s="305">
        <v>19564.5</v>
      </c>
      <c r="C816" s="305">
        <v>493.14999389648398</v>
      </c>
      <c r="D816" s="19"/>
      <c r="E816" s="19">
        <f t="shared" si="24"/>
        <v>7.7651149314274673E-3</v>
      </c>
      <c r="F816" s="19">
        <f t="shared" si="25"/>
        <v>2.2355576278925335E-3</v>
      </c>
      <c r="G816" s="19"/>
      <c r="H816" s="19"/>
    </row>
    <row r="817" spans="1:8" ht="14.25" customHeight="1" x14ac:dyDescent="0.3">
      <c r="A817" s="304">
        <v>45124</v>
      </c>
      <c r="B817" s="305">
        <v>19711.44921875</v>
      </c>
      <c r="C817" s="305">
        <v>498.04998779296898</v>
      </c>
      <c r="D817" s="19"/>
      <c r="E817" s="19">
        <f t="shared" si="24"/>
        <v>7.5110132510414268E-3</v>
      </c>
      <c r="F817" s="19">
        <f t="shared" si="25"/>
        <v>9.936112657670533E-3</v>
      </c>
      <c r="G817" s="19"/>
      <c r="H817" s="19"/>
    </row>
    <row r="818" spans="1:8" ht="14.25" customHeight="1" x14ac:dyDescent="0.3">
      <c r="A818" s="304">
        <v>45125</v>
      </c>
      <c r="B818" s="305">
        <v>19749.25</v>
      </c>
      <c r="C818" s="305">
        <v>494.79998779296898</v>
      </c>
      <c r="D818" s="19"/>
      <c r="E818" s="19">
        <f t="shared" si="24"/>
        <v>1.917706853032551E-3</v>
      </c>
      <c r="F818" s="19">
        <f t="shared" si="25"/>
        <v>-6.5254494120196033E-3</v>
      </c>
      <c r="G818" s="19"/>
      <c r="H818" s="19"/>
    </row>
    <row r="819" spans="1:8" ht="14.25" customHeight="1" x14ac:dyDescent="0.3">
      <c r="A819" s="304">
        <v>45126</v>
      </c>
      <c r="B819" s="305">
        <v>19833.150390625</v>
      </c>
      <c r="C819" s="305">
        <v>501</v>
      </c>
      <c r="D819" s="19"/>
      <c r="E819" s="19">
        <f t="shared" si="24"/>
        <v>4.248282371482461E-3</v>
      </c>
      <c r="F819" s="19">
        <f t="shared" si="25"/>
        <v>1.2530340258668704E-2</v>
      </c>
      <c r="G819" s="19"/>
      <c r="H819" s="19"/>
    </row>
    <row r="820" spans="1:8" ht="14.25" customHeight="1" x14ac:dyDescent="0.3">
      <c r="A820" s="304">
        <v>45127</v>
      </c>
      <c r="B820" s="305">
        <v>19979.150390625</v>
      </c>
      <c r="C820" s="305">
        <v>504.89999389648398</v>
      </c>
      <c r="D820" s="19"/>
      <c r="E820" s="19">
        <f t="shared" si="24"/>
        <v>7.3614124394989332E-3</v>
      </c>
      <c r="F820" s="19">
        <f t="shared" si="25"/>
        <v>7.7844189550578388E-3</v>
      </c>
      <c r="G820" s="19"/>
      <c r="H820" s="19"/>
    </row>
    <row r="821" spans="1:8" ht="14.25" customHeight="1" x14ac:dyDescent="0.3">
      <c r="A821" s="304">
        <v>45128</v>
      </c>
      <c r="B821" s="305">
        <v>19745</v>
      </c>
      <c r="C821" s="305">
        <v>500.60000610351602</v>
      </c>
      <c r="D821" s="19"/>
      <c r="E821" s="19">
        <f t="shared" si="24"/>
        <v>-1.1719737128305142E-2</v>
      </c>
      <c r="F821" s="19">
        <f t="shared" si="25"/>
        <v>-8.5165138541268229E-3</v>
      </c>
      <c r="G821" s="19"/>
      <c r="H821" s="19"/>
    </row>
    <row r="822" spans="1:8" ht="14.25" customHeight="1" x14ac:dyDescent="0.3">
      <c r="A822" s="304">
        <v>45131</v>
      </c>
      <c r="B822" s="305">
        <v>19672.349609375</v>
      </c>
      <c r="C822" s="305">
        <v>493.79998779296898</v>
      </c>
      <c r="D822" s="19"/>
      <c r="E822" s="19">
        <f t="shared" si="24"/>
        <v>-3.6794322929855658E-3</v>
      </c>
      <c r="F822" s="19">
        <f t="shared" si="25"/>
        <v>-1.3583735972110458E-2</v>
      </c>
      <c r="G822" s="19"/>
      <c r="H822" s="19"/>
    </row>
    <row r="823" spans="1:8" ht="14.25" customHeight="1" x14ac:dyDescent="0.3">
      <c r="A823" s="304">
        <v>45132</v>
      </c>
      <c r="B823" s="305">
        <v>19680.599609375</v>
      </c>
      <c r="C823" s="305">
        <v>480</v>
      </c>
      <c r="D823" s="19"/>
      <c r="E823" s="19">
        <f t="shared" si="24"/>
        <v>4.193703428322768E-4</v>
      </c>
      <c r="F823" s="19">
        <f t="shared" si="25"/>
        <v>-2.7946513029795318E-2</v>
      </c>
      <c r="G823" s="19"/>
      <c r="H823" s="19"/>
    </row>
    <row r="824" spans="1:8" ht="14.25" customHeight="1" x14ac:dyDescent="0.3">
      <c r="A824" s="304">
        <v>45133</v>
      </c>
      <c r="B824" s="305">
        <v>19778.30078125</v>
      </c>
      <c r="C824" s="305">
        <v>487.64999389648398</v>
      </c>
      <c r="D824" s="19"/>
      <c r="E824" s="19">
        <f t="shared" si="24"/>
        <v>4.9643391875346787E-3</v>
      </c>
      <c r="F824" s="19">
        <f t="shared" si="25"/>
        <v>1.593748728434162E-2</v>
      </c>
      <c r="G824" s="19"/>
      <c r="H824" s="19"/>
    </row>
    <row r="825" spans="1:8" ht="14.25" customHeight="1" x14ac:dyDescent="0.3">
      <c r="A825" s="304">
        <v>45134</v>
      </c>
      <c r="B825" s="305">
        <v>19659.900390625</v>
      </c>
      <c r="C825" s="305">
        <v>510.79998779296898</v>
      </c>
      <c r="D825" s="19"/>
      <c r="E825" s="19">
        <f t="shared" si="24"/>
        <v>-5.9863783008722669E-3</v>
      </c>
      <c r="F825" s="19">
        <f t="shared" si="25"/>
        <v>4.7472560619777573E-2</v>
      </c>
      <c r="G825" s="19"/>
      <c r="H825" s="19"/>
    </row>
    <row r="826" spans="1:8" ht="14.25" customHeight="1" x14ac:dyDescent="0.3">
      <c r="A826" s="304">
        <v>45135</v>
      </c>
      <c r="B826" s="305">
        <v>19646.05078125</v>
      </c>
      <c r="C826" s="305">
        <v>515.59997558593795</v>
      </c>
      <c r="D826" s="19"/>
      <c r="E826" s="19">
        <f t="shared" si="24"/>
        <v>-7.0445979378432207E-4</v>
      </c>
      <c r="F826" s="19">
        <f t="shared" si="25"/>
        <v>9.397000602346231E-3</v>
      </c>
      <c r="G826" s="19"/>
      <c r="H826" s="19"/>
    </row>
    <row r="827" spans="1:8" ht="14.25" customHeight="1" x14ac:dyDescent="0.3">
      <c r="A827" s="304">
        <v>45138</v>
      </c>
      <c r="B827" s="305">
        <v>19753.80078125</v>
      </c>
      <c r="C827" s="305">
        <v>518.75</v>
      </c>
      <c r="D827" s="19"/>
      <c r="E827" s="19">
        <f t="shared" si="24"/>
        <v>5.4845628365592716E-3</v>
      </c>
      <c r="F827" s="19">
        <f t="shared" si="25"/>
        <v>6.1094347618661071E-3</v>
      </c>
      <c r="G827" s="19"/>
      <c r="H827" s="19"/>
    </row>
    <row r="828" spans="1:8" ht="14.25" customHeight="1" x14ac:dyDescent="0.3">
      <c r="A828" s="304">
        <v>45139</v>
      </c>
      <c r="B828" s="305">
        <v>19733.55078125</v>
      </c>
      <c r="C828" s="305">
        <v>499.70001220703102</v>
      </c>
      <c r="D828" s="19"/>
      <c r="E828" s="19">
        <f t="shared" si="24"/>
        <v>-1.0251191770254656E-3</v>
      </c>
      <c r="F828" s="19">
        <f t="shared" si="25"/>
        <v>-3.6722868034638992E-2</v>
      </c>
      <c r="G828" s="19"/>
      <c r="H828" s="19"/>
    </row>
    <row r="829" spans="1:8" ht="14.25" customHeight="1" x14ac:dyDescent="0.3">
      <c r="A829" s="304">
        <v>45140</v>
      </c>
      <c r="B829" s="305">
        <v>19526.55078125</v>
      </c>
      <c r="C829" s="305">
        <v>493.60000610351602</v>
      </c>
      <c r="D829" s="19"/>
      <c r="E829" s="19">
        <f t="shared" si="24"/>
        <v>-1.0489749274959822E-2</v>
      </c>
      <c r="F829" s="19">
        <f t="shared" si="25"/>
        <v>-1.2207336310785804E-2</v>
      </c>
      <c r="G829" s="19"/>
      <c r="H829" s="19"/>
    </row>
    <row r="830" spans="1:8" ht="14.25" customHeight="1" x14ac:dyDescent="0.3">
      <c r="A830" s="304">
        <v>45141</v>
      </c>
      <c r="B830" s="305">
        <v>19381.650390625</v>
      </c>
      <c r="C830" s="305">
        <v>488.35000610351602</v>
      </c>
      <c r="D830" s="19"/>
      <c r="E830" s="19">
        <f t="shared" si="24"/>
        <v>-7.4206854169113091E-3</v>
      </c>
      <c r="F830" s="19">
        <f t="shared" si="25"/>
        <v>-1.0636142494088601E-2</v>
      </c>
      <c r="G830" s="19"/>
      <c r="H830" s="19"/>
    </row>
    <row r="831" spans="1:8" ht="14.25" customHeight="1" x14ac:dyDescent="0.3">
      <c r="A831" s="304">
        <v>45142</v>
      </c>
      <c r="B831" s="305">
        <v>19517</v>
      </c>
      <c r="C831" s="305">
        <v>489.64999389648398</v>
      </c>
      <c r="D831" s="19"/>
      <c r="E831" s="19">
        <f t="shared" si="24"/>
        <v>6.9833892701144417E-3</v>
      </c>
      <c r="F831" s="19">
        <f t="shared" si="25"/>
        <v>2.6620001571012464E-3</v>
      </c>
      <c r="G831" s="19"/>
      <c r="H831" s="19"/>
    </row>
    <row r="832" spans="1:8" ht="14.25" customHeight="1" x14ac:dyDescent="0.3">
      <c r="A832" s="304">
        <v>45145</v>
      </c>
      <c r="B832" s="305">
        <v>19597.30078125</v>
      </c>
      <c r="C832" s="305">
        <v>489.14999389648398</v>
      </c>
      <c r="D832" s="19"/>
      <c r="E832" s="19">
        <f t="shared" si="24"/>
        <v>4.1144018676026028E-3</v>
      </c>
      <c r="F832" s="19">
        <f t="shared" si="25"/>
        <v>-1.0211375599561512E-3</v>
      </c>
      <c r="G832" s="19"/>
      <c r="H832" s="19"/>
    </row>
    <row r="833" spans="1:8" ht="14.25" customHeight="1" x14ac:dyDescent="0.3">
      <c r="A833" s="304">
        <v>45146</v>
      </c>
      <c r="B833" s="305">
        <v>19570.849609375</v>
      </c>
      <c r="C833" s="305">
        <v>488.25</v>
      </c>
      <c r="D833" s="19"/>
      <c r="E833" s="19">
        <f t="shared" si="24"/>
        <v>-1.349735464605796E-3</v>
      </c>
      <c r="F833" s="19">
        <f t="shared" si="25"/>
        <v>-1.8399139481016485E-3</v>
      </c>
      <c r="G833" s="19"/>
      <c r="H833" s="19"/>
    </row>
    <row r="834" spans="1:8" ht="14.25" customHeight="1" x14ac:dyDescent="0.3">
      <c r="A834" s="304">
        <v>45147</v>
      </c>
      <c r="B834" s="305">
        <v>19632.55078125</v>
      </c>
      <c r="C834" s="305">
        <v>485.70001220703102</v>
      </c>
      <c r="D834" s="19"/>
      <c r="E834" s="19">
        <f t="shared" si="24"/>
        <v>3.1527078847636415E-3</v>
      </c>
      <c r="F834" s="19">
        <f t="shared" si="25"/>
        <v>-5.2227092533926826E-3</v>
      </c>
      <c r="G834" s="19"/>
      <c r="H834" s="19"/>
    </row>
    <row r="835" spans="1:8" ht="14.25" customHeight="1" x14ac:dyDescent="0.3">
      <c r="A835" s="304">
        <v>45148</v>
      </c>
      <c r="B835" s="305">
        <v>19543.099609375</v>
      </c>
      <c r="C835" s="305">
        <v>490.64999389648398</v>
      </c>
      <c r="D835" s="19"/>
      <c r="E835" s="19">
        <f t="shared" ref="E835:E898" si="26">(B835-B834)/B834</f>
        <v>-4.5562684580156563E-3</v>
      </c>
      <c r="F835" s="19">
        <f t="shared" ref="F835:F898" si="27">(C835-C834)/C834</f>
        <v>1.0191438264454913E-2</v>
      </c>
      <c r="G835" s="19"/>
      <c r="H835" s="19"/>
    </row>
    <row r="836" spans="1:8" ht="14.25" customHeight="1" x14ac:dyDescent="0.3">
      <c r="A836" s="304">
        <v>45149</v>
      </c>
      <c r="B836" s="305">
        <v>19428.30078125</v>
      </c>
      <c r="C836" s="305">
        <v>482</v>
      </c>
      <c r="D836" s="19"/>
      <c r="E836" s="19">
        <f t="shared" si="26"/>
        <v>-5.8741361615907628E-3</v>
      </c>
      <c r="F836" s="19">
        <f t="shared" si="27"/>
        <v>-1.7629662700676462E-2</v>
      </c>
      <c r="G836" s="19"/>
      <c r="H836" s="19"/>
    </row>
    <row r="837" spans="1:8" ht="14.25" customHeight="1" x14ac:dyDescent="0.3">
      <c r="A837" s="304">
        <v>45152</v>
      </c>
      <c r="B837" s="305">
        <v>19434.55078125</v>
      </c>
      <c r="C837" s="305">
        <v>470.95001220703102</v>
      </c>
      <c r="D837" s="19"/>
      <c r="E837" s="19">
        <f t="shared" si="26"/>
        <v>3.2169565781232879E-4</v>
      </c>
      <c r="F837" s="19">
        <f t="shared" si="27"/>
        <v>-2.2925285877528997E-2</v>
      </c>
      <c r="G837" s="19"/>
      <c r="H837" s="19"/>
    </row>
    <row r="838" spans="1:8" ht="14.25" customHeight="1" x14ac:dyDescent="0.3">
      <c r="A838" s="304">
        <v>45154</v>
      </c>
      <c r="B838" s="305">
        <v>19465</v>
      </c>
      <c r="C838" s="305">
        <v>478.04998779296898</v>
      </c>
      <c r="D838" s="19"/>
      <c r="E838" s="19">
        <f t="shared" si="26"/>
        <v>1.5667570139761961E-3</v>
      </c>
      <c r="F838" s="19">
        <f t="shared" si="27"/>
        <v>1.507585816308841E-2</v>
      </c>
      <c r="G838" s="19"/>
      <c r="H838" s="19"/>
    </row>
    <row r="839" spans="1:8" ht="14.25" customHeight="1" x14ac:dyDescent="0.3">
      <c r="A839" s="304">
        <v>45155</v>
      </c>
      <c r="B839" s="305">
        <v>19365.25</v>
      </c>
      <c r="C839" s="305">
        <v>477.70001220703102</v>
      </c>
      <c r="D839" s="19"/>
      <c r="E839" s="19">
        <f t="shared" si="26"/>
        <v>-5.124582584125353E-3</v>
      </c>
      <c r="F839" s="19">
        <f t="shared" si="27"/>
        <v>-7.3208993802865671E-4</v>
      </c>
      <c r="G839" s="19"/>
      <c r="H839" s="19"/>
    </row>
    <row r="840" spans="1:8" ht="14.25" customHeight="1" x14ac:dyDescent="0.3">
      <c r="A840" s="304">
        <v>45156</v>
      </c>
      <c r="B840" s="305">
        <v>19310.150390625</v>
      </c>
      <c r="C840" s="305">
        <v>474.04998779296898</v>
      </c>
      <c r="D840" s="19"/>
      <c r="E840" s="19">
        <f t="shared" si="26"/>
        <v>-2.8452826260957128E-3</v>
      </c>
      <c r="F840" s="19">
        <f t="shared" si="27"/>
        <v>-7.6408296436889277E-3</v>
      </c>
      <c r="G840" s="19"/>
      <c r="H840" s="19"/>
    </row>
    <row r="841" spans="1:8" ht="14.25" customHeight="1" x14ac:dyDescent="0.3">
      <c r="A841" s="304">
        <v>45159</v>
      </c>
      <c r="B841" s="305">
        <v>19393.599609375</v>
      </c>
      <c r="C841" s="305">
        <v>481.85000610351602</v>
      </c>
      <c r="D841" s="19"/>
      <c r="E841" s="19">
        <f t="shared" si="26"/>
        <v>4.3215209131936255E-3</v>
      </c>
      <c r="F841" s="19">
        <f t="shared" si="27"/>
        <v>1.6453999602154896E-2</v>
      </c>
      <c r="G841" s="19"/>
      <c r="H841" s="19"/>
    </row>
    <row r="842" spans="1:8" ht="14.25" customHeight="1" x14ac:dyDescent="0.3">
      <c r="A842" s="304">
        <v>45160</v>
      </c>
      <c r="B842" s="305">
        <v>19396.44921875</v>
      </c>
      <c r="C842" s="305">
        <v>480.35000610351602</v>
      </c>
      <c r="D842" s="19"/>
      <c r="E842" s="19">
        <f t="shared" si="26"/>
        <v>1.4693555773021523E-4</v>
      </c>
      <c r="F842" s="19">
        <f t="shared" si="27"/>
        <v>-3.1130019321360231E-3</v>
      </c>
      <c r="G842" s="19"/>
      <c r="H842" s="19"/>
    </row>
    <row r="843" spans="1:8" ht="14.25" customHeight="1" x14ac:dyDescent="0.3">
      <c r="A843" s="304">
        <v>45161</v>
      </c>
      <c r="B843" s="305">
        <v>19444</v>
      </c>
      <c r="C843" s="305">
        <v>480.70001220703102</v>
      </c>
      <c r="D843" s="19"/>
      <c r="E843" s="19">
        <f t="shared" si="26"/>
        <v>2.4515199000461384E-3</v>
      </c>
      <c r="F843" s="19">
        <f t="shared" si="27"/>
        <v>7.2864806717536079E-4</v>
      </c>
      <c r="G843" s="19"/>
      <c r="H843" s="19"/>
    </row>
    <row r="844" spans="1:8" ht="14.25" customHeight="1" x14ac:dyDescent="0.3">
      <c r="A844" s="304">
        <v>45162</v>
      </c>
      <c r="B844" s="305">
        <v>19386.69921875</v>
      </c>
      <c r="C844" s="305">
        <v>483.54998779296898</v>
      </c>
      <c r="D844" s="19"/>
      <c r="E844" s="19">
        <f t="shared" si="26"/>
        <v>-2.9469646806212714E-3</v>
      </c>
      <c r="F844" s="19">
        <f t="shared" si="27"/>
        <v>5.9288028158204177E-3</v>
      </c>
      <c r="G844" s="19"/>
      <c r="H844" s="19"/>
    </row>
    <row r="845" spans="1:8" ht="14.25" customHeight="1" x14ac:dyDescent="0.3">
      <c r="A845" s="304">
        <v>45163</v>
      </c>
      <c r="B845" s="305">
        <v>19265.80078125</v>
      </c>
      <c r="C845" s="305">
        <v>475.25</v>
      </c>
      <c r="D845" s="19"/>
      <c r="E845" s="19">
        <f t="shared" si="26"/>
        <v>-6.2361537740819812E-3</v>
      </c>
      <c r="F845" s="19">
        <f t="shared" si="27"/>
        <v>-1.7164694452484613E-2</v>
      </c>
      <c r="G845" s="19"/>
      <c r="H845" s="19"/>
    </row>
    <row r="846" spans="1:8" ht="14.25" customHeight="1" x14ac:dyDescent="0.3">
      <c r="A846" s="304">
        <v>45166</v>
      </c>
      <c r="B846" s="305">
        <v>19306.05078125</v>
      </c>
      <c r="C846" s="305">
        <v>482.39999389648398</v>
      </c>
      <c r="D846" s="19"/>
      <c r="E846" s="19">
        <f t="shared" si="26"/>
        <v>2.089194238900902E-3</v>
      </c>
      <c r="F846" s="19">
        <f t="shared" si="27"/>
        <v>1.5044700466036775E-2</v>
      </c>
      <c r="G846" s="19"/>
      <c r="H846" s="19"/>
    </row>
    <row r="847" spans="1:8" ht="14.25" customHeight="1" x14ac:dyDescent="0.3">
      <c r="A847" s="304">
        <v>45167</v>
      </c>
      <c r="B847" s="305">
        <v>19342.650390625</v>
      </c>
      <c r="C847" s="305">
        <v>494</v>
      </c>
      <c r="D847" s="19"/>
      <c r="E847" s="19">
        <f t="shared" si="26"/>
        <v>1.8957584743610782E-3</v>
      </c>
      <c r="F847" s="19">
        <f t="shared" si="27"/>
        <v>2.4046447450837272E-2</v>
      </c>
      <c r="G847" s="19"/>
      <c r="H847" s="19"/>
    </row>
    <row r="848" spans="1:8" ht="14.25" customHeight="1" x14ac:dyDescent="0.3">
      <c r="A848" s="304">
        <v>45168</v>
      </c>
      <c r="B848" s="305">
        <v>19347.44921875</v>
      </c>
      <c r="C848" s="305">
        <v>500.04998779296898</v>
      </c>
      <c r="D848" s="19"/>
      <c r="E848" s="19">
        <f t="shared" si="26"/>
        <v>2.4809568637635602E-4</v>
      </c>
      <c r="F848" s="19">
        <f t="shared" si="27"/>
        <v>1.2246938852163922E-2</v>
      </c>
      <c r="G848" s="19"/>
      <c r="H848" s="19"/>
    </row>
    <row r="849" spans="1:8" ht="14.25" customHeight="1" x14ac:dyDescent="0.3">
      <c r="A849" s="304">
        <v>45169</v>
      </c>
      <c r="B849" s="305">
        <v>19253.80078125</v>
      </c>
      <c r="C849" s="305">
        <v>504.10000610351602</v>
      </c>
      <c r="D849" s="19"/>
      <c r="E849" s="19">
        <f t="shared" si="26"/>
        <v>-4.8403506033882458E-3</v>
      </c>
      <c r="F849" s="19">
        <f t="shared" si="27"/>
        <v>8.0992268961395057E-3</v>
      </c>
      <c r="G849" s="19"/>
      <c r="H849" s="19"/>
    </row>
    <row r="850" spans="1:8" ht="14.25" customHeight="1" x14ac:dyDescent="0.3">
      <c r="A850" s="304">
        <v>45170</v>
      </c>
      <c r="B850" s="305">
        <v>19435.30078125</v>
      </c>
      <c r="C850" s="305">
        <v>503.25</v>
      </c>
      <c r="D850" s="19"/>
      <c r="E850" s="19">
        <f t="shared" si="26"/>
        <v>9.4267101889176502E-3</v>
      </c>
      <c r="F850" s="19">
        <f t="shared" si="27"/>
        <v>-1.6861854656305551E-3</v>
      </c>
      <c r="G850" s="19"/>
      <c r="H850" s="19"/>
    </row>
    <row r="851" spans="1:8" ht="14.25" customHeight="1" x14ac:dyDescent="0.3">
      <c r="A851" s="304">
        <v>45173</v>
      </c>
      <c r="B851" s="305">
        <v>19528.80078125</v>
      </c>
      <c r="C851" s="305">
        <v>513.90002441406295</v>
      </c>
      <c r="D851" s="19"/>
      <c r="E851" s="19">
        <f t="shared" si="26"/>
        <v>4.8108337016426897E-3</v>
      </c>
      <c r="F851" s="19">
        <f t="shared" si="27"/>
        <v>2.1162492626056541E-2</v>
      </c>
      <c r="G851" s="19"/>
      <c r="H851" s="19"/>
    </row>
    <row r="852" spans="1:8" ht="14.25" customHeight="1" x14ac:dyDescent="0.3">
      <c r="A852" s="304">
        <v>45174</v>
      </c>
      <c r="B852" s="305">
        <v>19574.900390625</v>
      </c>
      <c r="C852" s="305">
        <v>521.29998779296898</v>
      </c>
      <c r="D852" s="19"/>
      <c r="E852" s="19">
        <f t="shared" si="26"/>
        <v>2.3605960187407502E-3</v>
      </c>
      <c r="F852" s="19">
        <f t="shared" si="27"/>
        <v>1.439961671016321E-2</v>
      </c>
      <c r="G852" s="19"/>
      <c r="H852" s="19"/>
    </row>
    <row r="853" spans="1:8" ht="14.25" customHeight="1" x14ac:dyDescent="0.3">
      <c r="A853" s="304">
        <v>45175</v>
      </c>
      <c r="B853" s="305">
        <v>19611.05078125</v>
      </c>
      <c r="C853" s="305">
        <v>519</v>
      </c>
      <c r="D853" s="19"/>
      <c r="E853" s="19">
        <f t="shared" si="26"/>
        <v>1.8467726478094107E-3</v>
      </c>
      <c r="F853" s="19">
        <f t="shared" si="27"/>
        <v>-4.4120234928576351E-3</v>
      </c>
      <c r="G853" s="19"/>
      <c r="H853" s="19"/>
    </row>
    <row r="854" spans="1:8" ht="14.25" customHeight="1" x14ac:dyDescent="0.3">
      <c r="A854" s="304">
        <v>45176</v>
      </c>
      <c r="B854" s="305">
        <v>19727.05078125</v>
      </c>
      <c r="C854" s="305">
        <v>530.75</v>
      </c>
      <c r="D854" s="19"/>
      <c r="E854" s="19">
        <f t="shared" si="26"/>
        <v>5.9150323607803238E-3</v>
      </c>
      <c r="F854" s="19">
        <f t="shared" si="27"/>
        <v>2.2639691714836225E-2</v>
      </c>
      <c r="G854" s="19"/>
      <c r="H854" s="19"/>
    </row>
    <row r="855" spans="1:8" ht="14.25" customHeight="1" x14ac:dyDescent="0.3">
      <c r="A855" s="304">
        <v>45177</v>
      </c>
      <c r="B855" s="305">
        <v>19819.94921875</v>
      </c>
      <c r="C855" s="305">
        <v>540</v>
      </c>
      <c r="D855" s="19"/>
      <c r="E855" s="19">
        <f t="shared" si="26"/>
        <v>4.7091903665750848E-3</v>
      </c>
      <c r="F855" s="19">
        <f t="shared" si="27"/>
        <v>1.7428167687235045E-2</v>
      </c>
      <c r="G855" s="19"/>
      <c r="H855" s="19"/>
    </row>
    <row r="856" spans="1:8" ht="14.25" customHeight="1" x14ac:dyDescent="0.3">
      <c r="A856" s="304">
        <v>45180</v>
      </c>
      <c r="B856" s="305">
        <v>19996.349609375</v>
      </c>
      <c r="C856" s="305">
        <v>540.84997558593795</v>
      </c>
      <c r="D856" s="19"/>
      <c r="E856" s="19">
        <f t="shared" si="26"/>
        <v>8.9001434200508597E-3</v>
      </c>
      <c r="F856" s="19">
        <f t="shared" si="27"/>
        <v>1.5740288628480644E-3</v>
      </c>
      <c r="G856" s="19"/>
      <c r="H856" s="19"/>
    </row>
    <row r="857" spans="1:8" ht="14.25" customHeight="1" x14ac:dyDescent="0.3">
      <c r="A857" s="304">
        <v>45181</v>
      </c>
      <c r="B857" s="305">
        <v>19993.19921875</v>
      </c>
      <c r="C857" s="305">
        <v>524.5</v>
      </c>
      <c r="D857" s="19"/>
      <c r="E857" s="19">
        <f t="shared" si="26"/>
        <v>-1.5754828688947231E-4</v>
      </c>
      <c r="F857" s="19">
        <f t="shared" si="27"/>
        <v>-3.0230149438806874E-2</v>
      </c>
      <c r="G857" s="19"/>
      <c r="H857" s="19"/>
    </row>
    <row r="858" spans="1:8" ht="14.25" customHeight="1" x14ac:dyDescent="0.3">
      <c r="A858" s="304">
        <v>45182</v>
      </c>
      <c r="B858" s="305">
        <v>20070</v>
      </c>
      <c r="C858" s="305">
        <v>529</v>
      </c>
      <c r="D858" s="19"/>
      <c r="E858" s="19">
        <f t="shared" si="26"/>
        <v>3.8413452699443307E-3</v>
      </c>
      <c r="F858" s="19">
        <f t="shared" si="27"/>
        <v>8.5795996186844616E-3</v>
      </c>
      <c r="G858" s="19"/>
      <c r="H858" s="19"/>
    </row>
    <row r="859" spans="1:8" ht="14.25" customHeight="1" x14ac:dyDescent="0.3">
      <c r="A859" s="304">
        <v>45183</v>
      </c>
      <c r="B859" s="305">
        <v>20103.099609375</v>
      </c>
      <c r="C859" s="305">
        <v>537.34997558593795</v>
      </c>
      <c r="D859" s="19"/>
      <c r="E859" s="19">
        <f t="shared" si="26"/>
        <v>1.6492082399103139E-3</v>
      </c>
      <c r="F859" s="19">
        <f t="shared" si="27"/>
        <v>1.5784452903474393E-2</v>
      </c>
      <c r="G859" s="19"/>
      <c r="H859" s="19"/>
    </row>
    <row r="860" spans="1:8" ht="14.25" customHeight="1" x14ac:dyDescent="0.3">
      <c r="A860" s="304">
        <v>45184</v>
      </c>
      <c r="B860" s="305">
        <v>20192.349609375</v>
      </c>
      <c r="C860" s="305">
        <v>532.40002441406295</v>
      </c>
      <c r="D860" s="19"/>
      <c r="E860" s="19">
        <f t="shared" si="26"/>
        <v>4.439613877174375E-3</v>
      </c>
      <c r="F860" s="19">
        <f t="shared" si="27"/>
        <v>-9.2117826310077842E-3</v>
      </c>
      <c r="G860" s="19"/>
      <c r="H860" s="19"/>
    </row>
    <row r="861" spans="1:8" ht="14.25" customHeight="1" x14ac:dyDescent="0.3">
      <c r="A861" s="304">
        <v>45187</v>
      </c>
      <c r="B861" s="305">
        <v>20133.30078125</v>
      </c>
      <c r="C861" s="305">
        <v>529.40002441406295</v>
      </c>
      <c r="D861" s="19"/>
      <c r="E861" s="19">
        <f t="shared" si="26"/>
        <v>-2.9243168460982138E-3</v>
      </c>
      <c r="F861" s="19">
        <f t="shared" si="27"/>
        <v>-5.6348607483661817E-3</v>
      </c>
      <c r="G861" s="19"/>
      <c r="H861" s="19"/>
    </row>
    <row r="862" spans="1:8" ht="14.25" customHeight="1" x14ac:dyDescent="0.3">
      <c r="A862" s="304">
        <v>45189</v>
      </c>
      <c r="B862" s="305">
        <v>19901.400390625</v>
      </c>
      <c r="C862" s="305">
        <v>522.34997558593795</v>
      </c>
      <c r="D862" s="19"/>
      <c r="E862" s="19">
        <f t="shared" si="26"/>
        <v>-1.1518249945432057E-2</v>
      </c>
      <c r="F862" s="19">
        <f t="shared" si="27"/>
        <v>-1.3317054217985643E-2</v>
      </c>
      <c r="G862" s="19"/>
      <c r="H862" s="19"/>
    </row>
    <row r="863" spans="1:8" ht="14.25" customHeight="1" x14ac:dyDescent="0.3">
      <c r="A863" s="304">
        <v>45190</v>
      </c>
      <c r="B863" s="305">
        <v>19742.349609375</v>
      </c>
      <c r="C863" s="305">
        <v>516.90002441406295</v>
      </c>
      <c r="D863" s="19"/>
      <c r="E863" s="19">
        <f t="shared" si="26"/>
        <v>-7.9919391664982752E-3</v>
      </c>
      <c r="F863" s="19">
        <f t="shared" si="27"/>
        <v>-1.0433524316262486E-2</v>
      </c>
      <c r="G863" s="19"/>
      <c r="H863" s="19"/>
    </row>
    <row r="864" spans="1:8" ht="14.25" customHeight="1" x14ac:dyDescent="0.3">
      <c r="A864" s="304">
        <v>45191</v>
      </c>
      <c r="B864" s="305">
        <v>19674.25</v>
      </c>
      <c r="C864" s="305">
        <v>516.54998779296898</v>
      </c>
      <c r="D864" s="19"/>
      <c r="E864" s="19">
        <f t="shared" si="26"/>
        <v>-3.4494176591149876E-3</v>
      </c>
      <c r="F864" s="19">
        <f t="shared" si="27"/>
        <v>-6.7718437717383508E-4</v>
      </c>
      <c r="G864" s="19"/>
      <c r="H864" s="19"/>
    </row>
    <row r="865" spans="1:8" ht="14.25" customHeight="1" x14ac:dyDescent="0.3">
      <c r="A865" s="304">
        <v>45194</v>
      </c>
      <c r="B865" s="305">
        <v>19674.55078125</v>
      </c>
      <c r="C865" s="305">
        <v>522.09997558593795</v>
      </c>
      <c r="D865" s="19"/>
      <c r="E865" s="19">
        <f t="shared" si="26"/>
        <v>1.5288066889462116E-5</v>
      </c>
      <c r="F865" s="19">
        <f t="shared" si="27"/>
        <v>1.0744338252106181E-2</v>
      </c>
      <c r="G865" s="19"/>
      <c r="H865" s="19"/>
    </row>
    <row r="866" spans="1:8" ht="14.25" customHeight="1" x14ac:dyDescent="0.3">
      <c r="A866" s="304">
        <v>45195</v>
      </c>
      <c r="B866" s="305">
        <v>19664.69921875</v>
      </c>
      <c r="C866" s="305">
        <v>520.29998779296898</v>
      </c>
      <c r="D866" s="19"/>
      <c r="E866" s="19">
        <f t="shared" si="26"/>
        <v>-5.0072617207548218E-4</v>
      </c>
      <c r="F866" s="19">
        <f t="shared" si="27"/>
        <v>-3.4475921799247402E-3</v>
      </c>
      <c r="G866" s="19"/>
      <c r="H866" s="19"/>
    </row>
    <row r="867" spans="1:8" ht="14.25" customHeight="1" x14ac:dyDescent="0.3">
      <c r="A867" s="304">
        <v>45196</v>
      </c>
      <c r="B867" s="305">
        <v>19716.44921875</v>
      </c>
      <c r="C867" s="305">
        <v>528.70001220703102</v>
      </c>
      <c r="D867" s="19"/>
      <c r="E867" s="19">
        <f t="shared" si="26"/>
        <v>2.6316191986632139E-3</v>
      </c>
      <c r="F867" s="19">
        <f t="shared" si="27"/>
        <v>1.6144579302593554E-2</v>
      </c>
      <c r="G867" s="19"/>
      <c r="H867" s="19"/>
    </row>
    <row r="868" spans="1:8" ht="14.25" customHeight="1" x14ac:dyDescent="0.3">
      <c r="A868" s="304">
        <v>45197</v>
      </c>
      <c r="B868" s="305">
        <v>19523.55078125</v>
      </c>
      <c r="C868" s="305">
        <v>520.09997558593795</v>
      </c>
      <c r="D868" s="19"/>
      <c r="E868" s="19">
        <f t="shared" si="26"/>
        <v>-9.7836296667737181E-3</v>
      </c>
      <c r="F868" s="19">
        <f t="shared" si="27"/>
        <v>-1.6266382490124517E-2</v>
      </c>
      <c r="G868" s="19"/>
      <c r="H868" s="19"/>
    </row>
    <row r="869" spans="1:8" ht="14.25" customHeight="1" x14ac:dyDescent="0.3">
      <c r="A869" s="304">
        <v>45198</v>
      </c>
      <c r="B869" s="305">
        <v>19638.30078125</v>
      </c>
      <c r="C869" s="305">
        <v>530.90002441406295</v>
      </c>
      <c r="D869" s="19"/>
      <c r="E869" s="19">
        <f t="shared" si="26"/>
        <v>5.8775169171687482E-3</v>
      </c>
      <c r="F869" s="19">
        <f t="shared" si="27"/>
        <v>2.0765332311269202E-2</v>
      </c>
      <c r="G869" s="19"/>
      <c r="H869" s="19"/>
    </row>
    <row r="870" spans="1:8" ht="14.25" customHeight="1" x14ac:dyDescent="0.3">
      <c r="A870" s="304">
        <v>45202</v>
      </c>
      <c r="B870" s="305">
        <v>19528.75</v>
      </c>
      <c r="C870" s="305">
        <v>538.75</v>
      </c>
      <c r="D870" s="19"/>
      <c r="E870" s="19">
        <f t="shared" si="26"/>
        <v>-5.5784246544688561E-3</v>
      </c>
      <c r="F870" s="19">
        <f t="shared" si="27"/>
        <v>1.4786165426533569E-2</v>
      </c>
      <c r="G870" s="19"/>
      <c r="H870" s="19"/>
    </row>
    <row r="871" spans="1:8" ht="14.25" customHeight="1" x14ac:dyDescent="0.3">
      <c r="A871" s="304">
        <v>45203</v>
      </c>
      <c r="B871" s="305">
        <v>19436.099609375</v>
      </c>
      <c r="C871" s="305">
        <v>525.75</v>
      </c>
      <c r="D871" s="19"/>
      <c r="E871" s="19">
        <f t="shared" si="26"/>
        <v>-4.7443072713307301E-3</v>
      </c>
      <c r="F871" s="19">
        <f t="shared" si="27"/>
        <v>-2.4129930394431554E-2</v>
      </c>
      <c r="G871" s="19"/>
      <c r="H871" s="19"/>
    </row>
    <row r="872" spans="1:8" ht="14.25" customHeight="1" x14ac:dyDescent="0.3">
      <c r="A872" s="304">
        <v>45204</v>
      </c>
      <c r="B872" s="305">
        <v>19545.75</v>
      </c>
      <c r="C872" s="305">
        <v>525</v>
      </c>
      <c r="D872" s="19"/>
      <c r="E872" s="19">
        <f t="shared" si="26"/>
        <v>5.6415841052857201E-3</v>
      </c>
      <c r="F872" s="19">
        <f t="shared" si="27"/>
        <v>-1.4265335235378032E-3</v>
      </c>
      <c r="G872" s="19"/>
      <c r="H872" s="19"/>
    </row>
    <row r="873" spans="1:8" ht="14.25" customHeight="1" x14ac:dyDescent="0.3">
      <c r="A873" s="304">
        <v>45205</v>
      </c>
      <c r="B873" s="305">
        <v>19653.5</v>
      </c>
      <c r="C873" s="305">
        <v>548.70001220703102</v>
      </c>
      <c r="D873" s="19"/>
      <c r="E873" s="19">
        <f t="shared" si="26"/>
        <v>5.512707366051443E-3</v>
      </c>
      <c r="F873" s="19">
        <f t="shared" si="27"/>
        <v>4.5142880394344803E-2</v>
      </c>
      <c r="G873" s="19"/>
      <c r="H873" s="19"/>
    </row>
    <row r="874" spans="1:8" ht="14.25" customHeight="1" x14ac:dyDescent="0.3">
      <c r="A874" s="304">
        <v>45208</v>
      </c>
      <c r="B874" s="305">
        <v>19512.349609375</v>
      </c>
      <c r="C874" s="305">
        <v>540.84997558593795</v>
      </c>
      <c r="D874" s="19"/>
      <c r="E874" s="19">
        <f t="shared" si="26"/>
        <v>-7.181946758847025E-3</v>
      </c>
      <c r="F874" s="19">
        <f t="shared" si="27"/>
        <v>-1.4306609160655816E-2</v>
      </c>
      <c r="G874" s="19"/>
      <c r="H874" s="19"/>
    </row>
    <row r="875" spans="1:8" ht="14.25" customHeight="1" x14ac:dyDescent="0.3">
      <c r="A875" s="304">
        <v>45209</v>
      </c>
      <c r="B875" s="305">
        <v>19689.849609375</v>
      </c>
      <c r="C875" s="305">
        <v>561.75</v>
      </c>
      <c r="D875" s="19"/>
      <c r="E875" s="19">
        <f t="shared" si="26"/>
        <v>9.0968029762401072E-3</v>
      </c>
      <c r="F875" s="19">
        <f t="shared" si="27"/>
        <v>3.8642923837464704E-2</v>
      </c>
      <c r="G875" s="19"/>
      <c r="H875" s="19"/>
    </row>
    <row r="876" spans="1:8" ht="14.25" customHeight="1" x14ac:dyDescent="0.3">
      <c r="A876" s="304">
        <v>45210</v>
      </c>
      <c r="B876" s="305">
        <v>19811.349609375</v>
      </c>
      <c r="C876" s="305">
        <v>565.29998779296898</v>
      </c>
      <c r="D876" s="19"/>
      <c r="E876" s="19">
        <f t="shared" si="26"/>
        <v>6.1706921287072586E-3</v>
      </c>
      <c r="F876" s="19">
        <f t="shared" si="27"/>
        <v>6.3195154302963553E-3</v>
      </c>
      <c r="G876" s="19"/>
      <c r="H876" s="19"/>
    </row>
    <row r="877" spans="1:8" ht="14.25" customHeight="1" x14ac:dyDescent="0.3">
      <c r="A877" s="304">
        <v>45211</v>
      </c>
      <c r="B877" s="305">
        <v>19794</v>
      </c>
      <c r="C877" s="305">
        <v>567.04998779296898</v>
      </c>
      <c r="D877" s="19"/>
      <c r="E877" s="19">
        <f t="shared" si="26"/>
        <v>-8.7574091200681898E-4</v>
      </c>
      <c r="F877" s="19">
        <f t="shared" si="27"/>
        <v>3.0957014643363239E-3</v>
      </c>
      <c r="G877" s="19"/>
      <c r="H877" s="19"/>
    </row>
    <row r="878" spans="1:8" ht="14.25" customHeight="1" x14ac:dyDescent="0.3">
      <c r="A878" s="304">
        <v>45212</v>
      </c>
      <c r="B878" s="305">
        <v>19751.05078125</v>
      </c>
      <c r="C878" s="305">
        <v>568.40002441406295</v>
      </c>
      <c r="D878" s="19"/>
      <c r="E878" s="19">
        <f t="shared" si="26"/>
        <v>-2.1698099802970596E-3</v>
      </c>
      <c r="F878" s="19">
        <f t="shared" si="27"/>
        <v>2.3808070719629013E-3</v>
      </c>
      <c r="G878" s="19"/>
      <c r="H878" s="19"/>
    </row>
    <row r="879" spans="1:8" ht="14.25" customHeight="1" x14ac:dyDescent="0.3">
      <c r="A879" s="304">
        <v>45215</v>
      </c>
      <c r="B879" s="305">
        <v>19731.75</v>
      </c>
      <c r="C879" s="305">
        <v>567.09997558593795</v>
      </c>
      <c r="D879" s="19"/>
      <c r="E879" s="19">
        <f t="shared" si="26"/>
        <v>-9.7720275562870559E-4</v>
      </c>
      <c r="F879" s="19">
        <f t="shared" si="27"/>
        <v>-2.2872075515217643E-3</v>
      </c>
      <c r="G879" s="19"/>
      <c r="H879" s="19"/>
    </row>
    <row r="880" spans="1:8" ht="14.25" customHeight="1" x14ac:dyDescent="0.3">
      <c r="A880" s="304">
        <v>45216</v>
      </c>
      <c r="B880" s="305">
        <v>19811.5</v>
      </c>
      <c r="C880" s="305">
        <v>567.15002441406295</v>
      </c>
      <c r="D880" s="19"/>
      <c r="E880" s="19">
        <f t="shared" si="26"/>
        <v>4.0417094276990126E-3</v>
      </c>
      <c r="F880" s="19">
        <f t="shared" si="27"/>
        <v>8.8253976864112262E-5</v>
      </c>
      <c r="G880" s="19"/>
      <c r="H880" s="19"/>
    </row>
    <row r="881" spans="1:8" ht="14.25" customHeight="1" x14ac:dyDescent="0.3">
      <c r="A881" s="304">
        <v>45217</v>
      </c>
      <c r="B881" s="305">
        <v>19671.099609375</v>
      </c>
      <c r="C881" s="305">
        <v>567.34997558593795</v>
      </c>
      <c r="D881" s="19"/>
      <c r="E881" s="19">
        <f t="shared" si="26"/>
        <v>-7.0868127413371024E-3</v>
      </c>
      <c r="F881" s="19">
        <f t="shared" si="27"/>
        <v>3.5255428593443969E-4</v>
      </c>
      <c r="G881" s="19"/>
      <c r="H881" s="19"/>
    </row>
    <row r="882" spans="1:8" ht="14.25" customHeight="1" x14ac:dyDescent="0.3">
      <c r="A882" s="304">
        <v>45218</v>
      </c>
      <c r="B882" s="305">
        <v>19624.69921875</v>
      </c>
      <c r="C882" s="305">
        <v>560.09997558593795</v>
      </c>
      <c r="D882" s="19"/>
      <c r="E882" s="19">
        <f t="shared" si="26"/>
        <v>-2.3588102112444267E-3</v>
      </c>
      <c r="F882" s="19">
        <f t="shared" si="27"/>
        <v>-1.2778708578443966E-2</v>
      </c>
      <c r="G882" s="19"/>
      <c r="H882" s="19"/>
    </row>
    <row r="883" spans="1:8" ht="14.25" customHeight="1" x14ac:dyDescent="0.3">
      <c r="A883" s="304">
        <v>45219</v>
      </c>
      <c r="B883" s="305">
        <v>19542.650390625</v>
      </c>
      <c r="C883" s="305">
        <v>552.20001220703102</v>
      </c>
      <c r="D883" s="19"/>
      <c r="E883" s="19">
        <f t="shared" si="26"/>
        <v>-4.1808960845936532E-3</v>
      </c>
      <c r="F883" s="19">
        <f t="shared" si="27"/>
        <v>-1.4104559405921301E-2</v>
      </c>
      <c r="G883" s="19"/>
      <c r="H883" s="19"/>
    </row>
    <row r="884" spans="1:8" ht="14.25" customHeight="1" x14ac:dyDescent="0.3">
      <c r="A884" s="304">
        <v>45222</v>
      </c>
      <c r="B884" s="305">
        <v>19281.75</v>
      </c>
      <c r="C884" s="305">
        <v>532.95001220703102</v>
      </c>
      <c r="D884" s="19"/>
      <c r="E884" s="19">
        <f t="shared" si="26"/>
        <v>-1.3350307425555702E-2</v>
      </c>
      <c r="F884" s="19">
        <f t="shared" si="27"/>
        <v>-3.4860556998290652E-2</v>
      </c>
      <c r="G884" s="19"/>
      <c r="H884" s="19"/>
    </row>
    <row r="885" spans="1:8" ht="14.25" customHeight="1" x14ac:dyDescent="0.3">
      <c r="A885" s="304">
        <v>45224</v>
      </c>
      <c r="B885" s="305">
        <v>19122.150390625</v>
      </c>
      <c r="C885" s="305">
        <v>530.15002441406295</v>
      </c>
      <c r="D885" s="19"/>
      <c r="E885" s="19">
        <f t="shared" si="26"/>
        <v>-8.2772367329210263E-3</v>
      </c>
      <c r="F885" s="19">
        <f t="shared" si="27"/>
        <v>-5.2537531266260255E-3</v>
      </c>
      <c r="G885" s="19"/>
      <c r="H885" s="19"/>
    </row>
    <row r="886" spans="1:8" ht="14.25" customHeight="1" x14ac:dyDescent="0.3">
      <c r="A886" s="304">
        <v>45225</v>
      </c>
      <c r="B886" s="305">
        <v>18857.25</v>
      </c>
      <c r="C886" s="305">
        <v>522.29998779296898</v>
      </c>
      <c r="D886" s="19"/>
      <c r="E886" s="19">
        <f t="shared" si="26"/>
        <v>-1.385306491234754E-2</v>
      </c>
      <c r="F886" s="19">
        <f t="shared" si="27"/>
        <v>-1.480719845249477E-2</v>
      </c>
      <c r="G886" s="19"/>
      <c r="H886" s="19"/>
    </row>
    <row r="887" spans="1:8" ht="14.25" customHeight="1" x14ac:dyDescent="0.3">
      <c r="A887" s="304">
        <v>45226</v>
      </c>
      <c r="B887" s="305">
        <v>19047.25</v>
      </c>
      <c r="C887" s="305">
        <v>536.15002441406295</v>
      </c>
      <c r="D887" s="19"/>
      <c r="E887" s="19">
        <f t="shared" si="26"/>
        <v>1.007570032746026E-2</v>
      </c>
      <c r="F887" s="19">
        <f t="shared" si="27"/>
        <v>2.651739794139896E-2</v>
      </c>
      <c r="G887" s="19"/>
      <c r="H887" s="19"/>
    </row>
    <row r="888" spans="1:8" ht="14.25" customHeight="1" x14ac:dyDescent="0.3">
      <c r="A888" s="304">
        <v>45229</v>
      </c>
      <c r="B888" s="305">
        <v>19140.900390625</v>
      </c>
      <c r="C888" s="305">
        <v>554.45001220703102</v>
      </c>
      <c r="D888" s="19"/>
      <c r="E888" s="19">
        <f t="shared" si="26"/>
        <v>4.9167407696649118E-3</v>
      </c>
      <c r="F888" s="19">
        <f t="shared" si="27"/>
        <v>3.4132214790006582E-2</v>
      </c>
      <c r="G888" s="19"/>
      <c r="H888" s="19"/>
    </row>
    <row r="889" spans="1:8" ht="14.25" customHeight="1" x14ac:dyDescent="0.3">
      <c r="A889" s="304">
        <v>45230</v>
      </c>
      <c r="B889" s="305">
        <v>19079.599609375</v>
      </c>
      <c r="C889" s="305">
        <v>563.5</v>
      </c>
      <c r="D889" s="19"/>
      <c r="E889" s="19">
        <f t="shared" si="26"/>
        <v>-3.2026069828995319E-3</v>
      </c>
      <c r="F889" s="19">
        <f t="shared" si="27"/>
        <v>1.6322459362828407E-2</v>
      </c>
      <c r="G889" s="19"/>
      <c r="H889" s="19"/>
    </row>
    <row r="890" spans="1:8" ht="14.25" customHeight="1" x14ac:dyDescent="0.3">
      <c r="A890" s="304">
        <v>45231</v>
      </c>
      <c r="B890" s="305">
        <v>18989.150390625</v>
      </c>
      <c r="C890" s="305">
        <v>574.84997558593795</v>
      </c>
      <c r="D890" s="19"/>
      <c r="E890" s="19">
        <f t="shared" si="26"/>
        <v>-4.7406245729368791E-3</v>
      </c>
      <c r="F890" s="19">
        <f t="shared" si="27"/>
        <v>2.0141926505657416E-2</v>
      </c>
      <c r="G890" s="19"/>
      <c r="H890" s="19"/>
    </row>
    <row r="891" spans="1:8" ht="14.25" customHeight="1" x14ac:dyDescent="0.3">
      <c r="A891" s="304">
        <v>45232</v>
      </c>
      <c r="B891" s="305">
        <v>19133.25</v>
      </c>
      <c r="C891" s="305">
        <v>577.90002441406295</v>
      </c>
      <c r="D891" s="19"/>
      <c r="E891" s="19">
        <f t="shared" si="26"/>
        <v>7.5885232572670764E-3</v>
      </c>
      <c r="F891" s="19">
        <f t="shared" si="27"/>
        <v>5.305817096045138E-3</v>
      </c>
      <c r="G891" s="19"/>
      <c r="H891" s="19"/>
    </row>
    <row r="892" spans="1:8" ht="14.25" customHeight="1" x14ac:dyDescent="0.3">
      <c r="A892" s="304">
        <v>45233</v>
      </c>
      <c r="B892" s="305">
        <v>19230.599609375</v>
      </c>
      <c r="C892" s="305">
        <v>595.84997558593795</v>
      </c>
      <c r="D892" s="19"/>
      <c r="E892" s="19">
        <f t="shared" si="26"/>
        <v>5.0879808383311777E-3</v>
      </c>
      <c r="F892" s="19">
        <f t="shared" si="27"/>
        <v>3.1060651347219765E-2</v>
      </c>
      <c r="G892" s="19"/>
      <c r="H892" s="19"/>
    </row>
    <row r="893" spans="1:8" ht="14.25" customHeight="1" x14ac:dyDescent="0.3">
      <c r="A893" s="304">
        <v>45236</v>
      </c>
      <c r="B893" s="305">
        <v>19411.75</v>
      </c>
      <c r="C893" s="305">
        <v>592</v>
      </c>
      <c r="D893" s="19"/>
      <c r="E893" s="19">
        <f t="shared" si="26"/>
        <v>9.4199033989916994E-3</v>
      </c>
      <c r="F893" s="19">
        <f t="shared" si="27"/>
        <v>-6.4613170154987822E-3</v>
      </c>
      <c r="G893" s="19"/>
      <c r="H893" s="19"/>
    </row>
    <row r="894" spans="1:8" ht="14.25" customHeight="1" x14ac:dyDescent="0.3">
      <c r="A894" s="304">
        <v>45237</v>
      </c>
      <c r="B894" s="305">
        <v>19406.69921875</v>
      </c>
      <c r="C894" s="305">
        <v>592.45001220703102</v>
      </c>
      <c r="D894" s="19"/>
      <c r="E894" s="19">
        <f t="shared" si="26"/>
        <v>-2.6019195847875644E-4</v>
      </c>
      <c r="F894" s="19">
        <f t="shared" si="27"/>
        <v>7.6015575511997066E-4</v>
      </c>
      <c r="G894" s="19"/>
      <c r="H894" s="19"/>
    </row>
    <row r="895" spans="1:8" ht="14.25" customHeight="1" x14ac:dyDescent="0.3">
      <c r="A895" s="304">
        <v>45238</v>
      </c>
      <c r="B895" s="305">
        <v>19443.5</v>
      </c>
      <c r="C895" s="305">
        <v>595.90002441406295</v>
      </c>
      <c r="D895" s="19"/>
      <c r="E895" s="19">
        <f t="shared" si="26"/>
        <v>1.8962926582818634E-3</v>
      </c>
      <c r="F895" s="19">
        <f t="shared" si="27"/>
        <v>5.8232967101810593E-3</v>
      </c>
      <c r="G895" s="19"/>
      <c r="H895" s="19"/>
    </row>
    <row r="896" spans="1:8" ht="14.25" customHeight="1" x14ac:dyDescent="0.3">
      <c r="A896" s="304">
        <v>45239</v>
      </c>
      <c r="B896" s="305">
        <v>19395.30078125</v>
      </c>
      <c r="C896" s="305">
        <v>600.70001220703102</v>
      </c>
      <c r="D896" s="19"/>
      <c r="E896" s="19">
        <f t="shared" si="26"/>
        <v>-2.4789373698151053E-3</v>
      </c>
      <c r="F896" s="19">
        <f t="shared" si="27"/>
        <v>8.0550219773657568E-3</v>
      </c>
      <c r="G896" s="19"/>
      <c r="H896" s="19"/>
    </row>
    <row r="897" spans="1:8" ht="14.25" customHeight="1" x14ac:dyDescent="0.3">
      <c r="A897" s="304">
        <v>45240</v>
      </c>
      <c r="B897" s="305">
        <v>19425.349609375</v>
      </c>
      <c r="C897" s="305">
        <v>606.04998779296898</v>
      </c>
      <c r="D897" s="19"/>
      <c r="E897" s="19">
        <f t="shared" si="26"/>
        <v>1.5492839458333678E-3</v>
      </c>
      <c r="F897" s="19">
        <f t="shared" si="27"/>
        <v>8.9062351876465218E-3</v>
      </c>
      <c r="G897" s="19"/>
      <c r="H897" s="19"/>
    </row>
    <row r="898" spans="1:8" ht="14.25" customHeight="1" x14ac:dyDescent="0.3">
      <c r="A898" s="304">
        <v>45243</v>
      </c>
      <c r="B898" s="305">
        <v>19443.55078125</v>
      </c>
      <c r="C898" s="305">
        <v>608.40002441406295</v>
      </c>
      <c r="D898" s="19"/>
      <c r="E898" s="19">
        <f t="shared" si="26"/>
        <v>9.3698040143461864E-4</v>
      </c>
      <c r="F898" s="19">
        <f t="shared" si="27"/>
        <v>3.8776283614030314E-3</v>
      </c>
      <c r="G898" s="19"/>
      <c r="H898" s="19"/>
    </row>
    <row r="899" spans="1:8" ht="14.25" customHeight="1" x14ac:dyDescent="0.3">
      <c r="A899" s="304">
        <v>45245</v>
      </c>
      <c r="B899" s="305">
        <v>19675.44921875</v>
      </c>
      <c r="C899" s="305">
        <v>622.09997558593795</v>
      </c>
      <c r="D899" s="19"/>
      <c r="E899" s="19">
        <f t="shared" ref="E899:E962" si="28">(B899-B898)/B898</f>
        <v>1.1926753508604336E-2</v>
      </c>
      <c r="F899" s="19">
        <f t="shared" ref="F899:F962" si="29">(C899-C898)/C898</f>
        <v>2.2517999050162975E-2</v>
      </c>
      <c r="G899" s="19"/>
      <c r="H899" s="19"/>
    </row>
    <row r="900" spans="1:8" ht="14.25" customHeight="1" x14ac:dyDescent="0.3">
      <c r="A900" s="304">
        <v>45246</v>
      </c>
      <c r="B900" s="305">
        <v>19765.19921875</v>
      </c>
      <c r="C900" s="305">
        <v>630.25</v>
      </c>
      <c r="D900" s="19"/>
      <c r="E900" s="19">
        <f t="shared" si="28"/>
        <v>4.5615222809993819E-3</v>
      </c>
      <c r="F900" s="19">
        <f t="shared" si="29"/>
        <v>1.3100827413448736E-2</v>
      </c>
      <c r="G900" s="19"/>
      <c r="H900" s="19"/>
    </row>
    <row r="901" spans="1:8" ht="14.25" customHeight="1" x14ac:dyDescent="0.3">
      <c r="A901" s="304">
        <v>45247</v>
      </c>
      <c r="B901" s="305">
        <v>19731.80078125</v>
      </c>
      <c r="C901" s="305">
        <v>631.15002441406295</v>
      </c>
      <c r="D901" s="19"/>
      <c r="E901" s="19">
        <f t="shared" si="28"/>
        <v>-1.6897597201204532E-3</v>
      </c>
      <c r="F901" s="19">
        <f t="shared" si="29"/>
        <v>1.4280434971248785E-3</v>
      </c>
      <c r="G901" s="19"/>
      <c r="H901" s="19"/>
    </row>
    <row r="902" spans="1:8" ht="14.25" customHeight="1" x14ac:dyDescent="0.3">
      <c r="A902" s="304">
        <v>45250</v>
      </c>
      <c r="B902" s="305">
        <v>19694</v>
      </c>
      <c r="C902" s="305">
        <v>626.25</v>
      </c>
      <c r="D902" s="19"/>
      <c r="E902" s="19">
        <f t="shared" si="28"/>
        <v>-1.9157289123818803E-3</v>
      </c>
      <c r="F902" s="19">
        <f t="shared" si="29"/>
        <v>-7.7636444973791484E-3</v>
      </c>
      <c r="G902" s="19"/>
      <c r="H902" s="19"/>
    </row>
    <row r="903" spans="1:8" ht="14.25" customHeight="1" x14ac:dyDescent="0.3">
      <c r="A903" s="304">
        <v>45251</v>
      </c>
      <c r="B903" s="305">
        <v>19783.400390625</v>
      </c>
      <c r="C903" s="305">
        <v>634.45001220703102</v>
      </c>
      <c r="D903" s="19"/>
      <c r="E903" s="19">
        <f t="shared" si="28"/>
        <v>4.5394734754239871E-3</v>
      </c>
      <c r="F903" s="19">
        <f t="shared" si="29"/>
        <v>1.3093831867514607E-2</v>
      </c>
      <c r="G903" s="19"/>
      <c r="H903" s="19"/>
    </row>
    <row r="904" spans="1:8" ht="14.25" customHeight="1" x14ac:dyDescent="0.3">
      <c r="A904" s="304">
        <v>45252</v>
      </c>
      <c r="B904" s="305">
        <v>19811.849609375</v>
      </c>
      <c r="C904" s="305">
        <v>632.54998779296898</v>
      </c>
      <c r="D904" s="19"/>
      <c r="E904" s="19">
        <f t="shared" si="28"/>
        <v>1.438034826585301E-3</v>
      </c>
      <c r="F904" s="19">
        <f t="shared" si="29"/>
        <v>-2.9947582591298579E-3</v>
      </c>
      <c r="G904" s="19"/>
      <c r="H904" s="19"/>
    </row>
    <row r="905" spans="1:8" ht="14.25" customHeight="1" x14ac:dyDescent="0.3">
      <c r="A905" s="304">
        <v>45253</v>
      </c>
      <c r="B905" s="305">
        <v>19802</v>
      </c>
      <c r="C905" s="305">
        <v>636.15002441406295</v>
      </c>
      <c r="D905" s="19"/>
      <c r="E905" s="19">
        <f t="shared" si="28"/>
        <v>-4.9715748752398909E-4</v>
      </c>
      <c r="F905" s="19">
        <f t="shared" si="29"/>
        <v>5.6913077077985095E-3</v>
      </c>
      <c r="G905" s="19"/>
      <c r="H905" s="19"/>
    </row>
    <row r="906" spans="1:8" ht="14.25" customHeight="1" x14ac:dyDescent="0.3">
      <c r="A906" s="304">
        <v>45254</v>
      </c>
      <c r="B906" s="305">
        <v>19794.69921875</v>
      </c>
      <c r="C906" s="305">
        <v>629.34997558593795</v>
      </c>
      <c r="D906" s="19"/>
      <c r="E906" s="19">
        <f t="shared" si="28"/>
        <v>-3.6868908443591557E-4</v>
      </c>
      <c r="F906" s="19">
        <f t="shared" si="29"/>
        <v>-1.0689379182824529E-2</v>
      </c>
      <c r="G906" s="19"/>
      <c r="H906" s="19"/>
    </row>
    <row r="907" spans="1:8" ht="14.25" customHeight="1" x14ac:dyDescent="0.3">
      <c r="A907" s="304">
        <v>45258</v>
      </c>
      <c r="B907" s="305">
        <v>19889.69921875</v>
      </c>
      <c r="C907" s="305">
        <v>629.15002441406295</v>
      </c>
      <c r="D907" s="19"/>
      <c r="E907" s="19">
        <f t="shared" si="28"/>
        <v>4.7992646389905125E-3</v>
      </c>
      <c r="F907" s="19">
        <f t="shared" si="29"/>
        <v>-3.1771062148503506E-4</v>
      </c>
      <c r="G907" s="19"/>
      <c r="H907" s="19"/>
    </row>
    <row r="908" spans="1:8" ht="14.25" customHeight="1" x14ac:dyDescent="0.3">
      <c r="A908" s="304">
        <v>45259</v>
      </c>
      <c r="B908" s="305">
        <v>20096.599609375</v>
      </c>
      <c r="C908" s="305">
        <v>637.65002441406295</v>
      </c>
      <c r="D908" s="19"/>
      <c r="E908" s="19">
        <f t="shared" si="28"/>
        <v>1.0402389113554579E-2</v>
      </c>
      <c r="F908" s="19">
        <f t="shared" si="29"/>
        <v>1.3510291139090681E-2</v>
      </c>
      <c r="G908" s="19"/>
      <c r="H908" s="19"/>
    </row>
    <row r="909" spans="1:8" ht="14.25" customHeight="1" x14ac:dyDescent="0.3">
      <c r="A909" s="304">
        <v>45260</v>
      </c>
      <c r="B909" s="305">
        <v>20133.150390625</v>
      </c>
      <c r="C909" s="305">
        <v>625.84997558593795</v>
      </c>
      <c r="D909" s="19"/>
      <c r="E909" s="19">
        <f t="shared" si="28"/>
        <v>1.8187545137212753E-3</v>
      </c>
      <c r="F909" s="19">
        <f t="shared" si="29"/>
        <v>-1.8505525564698398E-2</v>
      </c>
      <c r="G909" s="19"/>
      <c r="H909" s="19"/>
    </row>
    <row r="910" spans="1:8" ht="14.25" customHeight="1" x14ac:dyDescent="0.3">
      <c r="A910" s="304">
        <v>45261</v>
      </c>
      <c r="B910" s="305">
        <v>20267.900390625</v>
      </c>
      <c r="C910" s="305">
        <v>629.25</v>
      </c>
      <c r="D910" s="19"/>
      <c r="E910" s="19">
        <f t="shared" si="28"/>
        <v>6.6929416105065368E-3</v>
      </c>
      <c r="F910" s="19">
        <f t="shared" si="29"/>
        <v>5.432650869529633E-3</v>
      </c>
      <c r="G910" s="19"/>
      <c r="H910" s="19"/>
    </row>
    <row r="911" spans="1:8" ht="14.25" customHeight="1" x14ac:dyDescent="0.3">
      <c r="A911" s="304">
        <v>45264</v>
      </c>
      <c r="B911" s="305">
        <v>20686.80078125</v>
      </c>
      <c r="C911" s="305">
        <v>649.25</v>
      </c>
      <c r="D911" s="19"/>
      <c r="E911" s="19">
        <f t="shared" si="28"/>
        <v>2.0668169003769332E-2</v>
      </c>
      <c r="F911" s="19">
        <f t="shared" si="29"/>
        <v>3.1783869686134288E-2</v>
      </c>
      <c r="G911" s="19"/>
      <c r="H911" s="19"/>
    </row>
    <row r="912" spans="1:8" ht="14.25" customHeight="1" x14ac:dyDescent="0.3">
      <c r="A912" s="304">
        <v>45265</v>
      </c>
      <c r="B912" s="305">
        <v>20855.099609375</v>
      </c>
      <c r="C912" s="305">
        <v>650.09997558593795</v>
      </c>
      <c r="D912" s="19"/>
      <c r="E912" s="19">
        <f t="shared" si="28"/>
        <v>8.1355657602475619E-3</v>
      </c>
      <c r="F912" s="19">
        <f t="shared" si="29"/>
        <v>1.3091653229695107E-3</v>
      </c>
      <c r="G912" s="19"/>
      <c r="H912" s="19"/>
    </row>
    <row r="913" spans="1:8" ht="14.25" customHeight="1" x14ac:dyDescent="0.3">
      <c r="A913" s="304">
        <v>45266</v>
      </c>
      <c r="B913" s="305">
        <v>20937.69921875</v>
      </c>
      <c r="C913" s="305">
        <v>652.95001220703102</v>
      </c>
      <c r="D913" s="19"/>
      <c r="E913" s="19">
        <f t="shared" si="28"/>
        <v>3.9606432442005199E-3</v>
      </c>
      <c r="F913" s="19">
        <f t="shared" si="29"/>
        <v>4.3839974282791159E-3</v>
      </c>
      <c r="G913" s="19"/>
      <c r="H913" s="19"/>
    </row>
    <row r="914" spans="1:8" ht="14.25" customHeight="1" x14ac:dyDescent="0.3">
      <c r="A914" s="304">
        <v>45267</v>
      </c>
      <c r="B914" s="305">
        <v>20901.150390625</v>
      </c>
      <c r="C914" s="305">
        <v>648.59997558593795</v>
      </c>
      <c r="D914" s="19"/>
      <c r="E914" s="19">
        <f t="shared" si="28"/>
        <v>-1.7455990623969808E-3</v>
      </c>
      <c r="F914" s="19">
        <f t="shared" si="29"/>
        <v>-6.662128095211369E-3</v>
      </c>
      <c r="G914" s="19"/>
      <c r="H914" s="19"/>
    </row>
    <row r="915" spans="1:8" ht="14.25" customHeight="1" x14ac:dyDescent="0.3">
      <c r="A915" s="304">
        <v>45268</v>
      </c>
      <c r="B915" s="305">
        <v>20969.400390625</v>
      </c>
      <c r="C915" s="305">
        <v>649.90002441406295</v>
      </c>
      <c r="D915" s="19"/>
      <c r="E915" s="19">
        <f t="shared" si="28"/>
        <v>3.2653705047073797E-3</v>
      </c>
      <c r="F915" s="19">
        <f t="shared" si="29"/>
        <v>2.0043923482275039E-3</v>
      </c>
      <c r="G915" s="19"/>
      <c r="H915" s="19"/>
    </row>
    <row r="916" spans="1:8" ht="14.25" customHeight="1" x14ac:dyDescent="0.3">
      <c r="A916" s="304">
        <v>45271</v>
      </c>
      <c r="B916" s="305">
        <v>20997.099609375</v>
      </c>
      <c r="C916" s="305">
        <v>667.09997558593795</v>
      </c>
      <c r="D916" s="19"/>
      <c r="E916" s="19">
        <f t="shared" si="28"/>
        <v>1.3209351833628857E-3</v>
      </c>
      <c r="F916" s="19">
        <f t="shared" si="29"/>
        <v>2.6465533967908583E-2</v>
      </c>
      <c r="G916" s="19"/>
      <c r="H916" s="19"/>
    </row>
    <row r="917" spans="1:8" ht="14.25" customHeight="1" x14ac:dyDescent="0.3">
      <c r="A917" s="304">
        <v>45272</v>
      </c>
      <c r="B917" s="305">
        <v>20906.400390625</v>
      </c>
      <c r="C917" s="305">
        <v>662.59997558593795</v>
      </c>
      <c r="D917" s="19"/>
      <c r="E917" s="19">
        <f t="shared" si="28"/>
        <v>-4.3196070141755995E-3</v>
      </c>
      <c r="F917" s="19">
        <f t="shared" si="29"/>
        <v>-6.7456155968938355E-3</v>
      </c>
      <c r="G917" s="19"/>
      <c r="H917" s="19"/>
    </row>
    <row r="918" spans="1:8" ht="14.25" customHeight="1" x14ac:dyDescent="0.3">
      <c r="A918" s="304">
        <v>45273</v>
      </c>
      <c r="B918" s="305">
        <v>20926.349609375</v>
      </c>
      <c r="C918" s="305">
        <v>673.75</v>
      </c>
      <c r="D918" s="19"/>
      <c r="E918" s="19">
        <f t="shared" si="28"/>
        <v>9.5421585625738684E-4</v>
      </c>
      <c r="F918" s="19">
        <f t="shared" si="29"/>
        <v>1.6827686122689735E-2</v>
      </c>
      <c r="G918" s="19"/>
      <c r="H918" s="19"/>
    </row>
    <row r="919" spans="1:8" ht="14.25" customHeight="1" x14ac:dyDescent="0.3">
      <c r="A919" s="304">
        <v>45274</v>
      </c>
      <c r="B919" s="305">
        <v>21182.69921875</v>
      </c>
      <c r="C919" s="305">
        <v>699.5</v>
      </c>
      <c r="D919" s="19"/>
      <c r="E919" s="19">
        <f t="shared" si="28"/>
        <v>1.2250087289956937E-2</v>
      </c>
      <c r="F919" s="19">
        <f t="shared" si="29"/>
        <v>3.821892393320965E-2</v>
      </c>
      <c r="G919" s="19"/>
      <c r="H919" s="19"/>
    </row>
    <row r="920" spans="1:8" ht="14.25" customHeight="1" x14ac:dyDescent="0.3">
      <c r="A920" s="304">
        <v>45275</v>
      </c>
      <c r="B920" s="305">
        <v>21456.650390625</v>
      </c>
      <c r="C920" s="305">
        <v>705.29998779296898</v>
      </c>
      <c r="D920" s="19"/>
      <c r="E920" s="19">
        <f t="shared" si="28"/>
        <v>1.2932779200891942E-2</v>
      </c>
      <c r="F920" s="19">
        <f t="shared" si="29"/>
        <v>8.2916194324074016E-3</v>
      </c>
      <c r="G920" s="19"/>
      <c r="H920" s="19"/>
    </row>
    <row r="921" spans="1:8" ht="14.25" customHeight="1" x14ac:dyDescent="0.3">
      <c r="A921" s="304">
        <v>45278</v>
      </c>
      <c r="B921" s="305">
        <v>21418.650390625</v>
      </c>
      <c r="C921" s="305">
        <v>697.09997558593795</v>
      </c>
      <c r="D921" s="19"/>
      <c r="E921" s="19">
        <f t="shared" si="28"/>
        <v>-1.7710126840955215E-3</v>
      </c>
      <c r="F921" s="19">
        <f t="shared" si="29"/>
        <v>-1.1626275838584053E-2</v>
      </c>
      <c r="G921" s="19"/>
      <c r="H921" s="19"/>
    </row>
    <row r="922" spans="1:8" ht="14.25" customHeight="1" x14ac:dyDescent="0.3">
      <c r="A922" s="304">
        <v>45279</v>
      </c>
      <c r="B922" s="305">
        <v>21453.099609375</v>
      </c>
      <c r="C922" s="305">
        <v>698.04998779296898</v>
      </c>
      <c r="D922" s="19"/>
      <c r="E922" s="19">
        <f t="shared" si="28"/>
        <v>1.6083748565725931E-3</v>
      </c>
      <c r="F922" s="19">
        <f t="shared" si="29"/>
        <v>1.3628062549170263E-3</v>
      </c>
      <c r="G922" s="19"/>
      <c r="H922" s="19"/>
    </row>
    <row r="923" spans="1:8" ht="14.25" customHeight="1" x14ac:dyDescent="0.3">
      <c r="A923" s="304">
        <v>45280</v>
      </c>
      <c r="B923" s="305">
        <v>21150.150390625</v>
      </c>
      <c r="C923" s="305">
        <v>675.34997558593795</v>
      </c>
      <c r="D923" s="19"/>
      <c r="E923" s="19">
        <f t="shared" si="28"/>
        <v>-1.412146609423336E-2</v>
      </c>
      <c r="F923" s="19">
        <f t="shared" si="29"/>
        <v>-3.2519178574591572E-2</v>
      </c>
      <c r="G923" s="19"/>
      <c r="H923" s="19"/>
    </row>
    <row r="924" spans="1:8" ht="14.25" customHeight="1" x14ac:dyDescent="0.3">
      <c r="A924" s="304">
        <v>45281</v>
      </c>
      <c r="B924" s="305">
        <v>21255.05078125</v>
      </c>
      <c r="C924" s="305">
        <v>692.90002441406295</v>
      </c>
      <c r="D924" s="19"/>
      <c r="E924" s="19">
        <f t="shared" si="28"/>
        <v>4.9597940765233554E-3</v>
      </c>
      <c r="F924" s="19">
        <f t="shared" si="29"/>
        <v>2.5986598745189063E-2</v>
      </c>
      <c r="G924" s="19"/>
      <c r="H924" s="19"/>
    </row>
    <row r="925" spans="1:8" ht="14.25" customHeight="1" x14ac:dyDescent="0.3">
      <c r="A925" s="304">
        <v>45282</v>
      </c>
      <c r="B925" s="305">
        <v>21349.400390625</v>
      </c>
      <c r="C925" s="305">
        <v>715.95001220703102</v>
      </c>
      <c r="D925" s="19"/>
      <c r="E925" s="19">
        <f t="shared" si="28"/>
        <v>4.4389265566107177E-3</v>
      </c>
      <c r="F925" s="19">
        <f t="shared" si="29"/>
        <v>3.3265964757989187E-2</v>
      </c>
      <c r="G925" s="19"/>
      <c r="H925" s="19"/>
    </row>
    <row r="926" spans="1:8" ht="14.25" customHeight="1" x14ac:dyDescent="0.3">
      <c r="A926" s="304">
        <v>45286</v>
      </c>
      <c r="B926" s="305">
        <v>21441.349609375</v>
      </c>
      <c r="C926" s="305">
        <v>714.84997558593795</v>
      </c>
      <c r="D926" s="19"/>
      <c r="E926" s="19">
        <f t="shared" si="28"/>
        <v>4.3068759341071223E-3</v>
      </c>
      <c r="F926" s="19">
        <f t="shared" si="29"/>
        <v>-1.5364712652242692E-3</v>
      </c>
      <c r="G926" s="19"/>
      <c r="H926" s="19"/>
    </row>
    <row r="927" spans="1:8" ht="14.25" customHeight="1" x14ac:dyDescent="0.3">
      <c r="A927" s="304">
        <v>45287</v>
      </c>
      <c r="B927" s="305">
        <v>21654.75</v>
      </c>
      <c r="C927" s="305">
        <v>720.45001220703102</v>
      </c>
      <c r="D927" s="19"/>
      <c r="E927" s="19">
        <f t="shared" si="28"/>
        <v>9.9527499207276091E-3</v>
      </c>
      <c r="F927" s="19">
        <f t="shared" si="29"/>
        <v>7.8338627856885772E-3</v>
      </c>
      <c r="G927" s="19"/>
      <c r="H927" s="19"/>
    </row>
    <row r="928" spans="1:8" ht="14.25" customHeight="1" x14ac:dyDescent="0.3">
      <c r="A928" s="304">
        <v>45288</v>
      </c>
      <c r="B928" s="305">
        <v>21778.69921875</v>
      </c>
      <c r="C928" s="305">
        <v>728.65002441406295</v>
      </c>
      <c r="D928" s="19"/>
      <c r="E928" s="19">
        <f t="shared" si="28"/>
        <v>5.7238813077962114E-3</v>
      </c>
      <c r="F928" s="19">
        <f t="shared" si="29"/>
        <v>1.1381792030111797E-2</v>
      </c>
      <c r="G928" s="19"/>
      <c r="H928" s="19"/>
    </row>
    <row r="929" spans="1:8" ht="14.25" customHeight="1" x14ac:dyDescent="0.3">
      <c r="A929" s="304">
        <v>45289</v>
      </c>
      <c r="B929" s="305">
        <v>21731.400390625</v>
      </c>
      <c r="C929" s="305">
        <v>726.40002441406295</v>
      </c>
      <c r="D929" s="19"/>
      <c r="E929" s="19">
        <f t="shared" si="28"/>
        <v>-2.171793074045436E-3</v>
      </c>
      <c r="F929" s="19">
        <f t="shared" si="29"/>
        <v>-3.0879021815847963E-3</v>
      </c>
      <c r="G929" s="19"/>
      <c r="H929" s="19"/>
    </row>
    <row r="930" spans="1:8" ht="14.25" customHeight="1" x14ac:dyDescent="0.3">
      <c r="A930" s="304">
        <v>45292</v>
      </c>
      <c r="B930" s="305">
        <v>21741.900390625</v>
      </c>
      <c r="C930" s="305">
        <v>723.59997558593795</v>
      </c>
      <c r="D930" s="19"/>
      <c r="E930" s="19">
        <f t="shared" si="28"/>
        <v>4.8317180721265139E-4</v>
      </c>
      <c r="F930" s="19">
        <f t="shared" si="29"/>
        <v>-3.8546926404409297E-3</v>
      </c>
      <c r="G930" s="19"/>
      <c r="H930" s="19"/>
    </row>
    <row r="931" spans="1:8" ht="14.25" customHeight="1" x14ac:dyDescent="0.3">
      <c r="A931" s="304">
        <v>45293</v>
      </c>
      <c r="B931" s="305">
        <v>21665.80078125</v>
      </c>
      <c r="C931" s="305">
        <v>713.84997558593795</v>
      </c>
      <c r="D931" s="19"/>
      <c r="E931" s="19">
        <f t="shared" si="28"/>
        <v>-3.5001360510240297E-3</v>
      </c>
      <c r="F931" s="19">
        <f t="shared" si="29"/>
        <v>-1.3474295645332075E-2</v>
      </c>
      <c r="G931" s="19"/>
      <c r="H931" s="19"/>
    </row>
    <row r="932" spans="1:8" ht="14.25" customHeight="1" x14ac:dyDescent="0.3">
      <c r="A932" s="304">
        <v>45294</v>
      </c>
      <c r="B932" s="305">
        <v>21517.349609375</v>
      </c>
      <c r="C932" s="305">
        <v>715.65002441406295</v>
      </c>
      <c r="D932" s="19"/>
      <c r="E932" s="19">
        <f t="shared" si="28"/>
        <v>-6.8518663756694607E-3</v>
      </c>
      <c r="F932" s="19">
        <f t="shared" si="29"/>
        <v>2.5216066256043435E-3</v>
      </c>
      <c r="G932" s="19"/>
      <c r="H932" s="19"/>
    </row>
    <row r="933" spans="1:8" ht="14.25" customHeight="1" x14ac:dyDescent="0.3">
      <c r="A933" s="304">
        <v>45295</v>
      </c>
      <c r="B933" s="305">
        <v>21658.599609375</v>
      </c>
      <c r="C933" s="305">
        <v>761.40002441406295</v>
      </c>
      <c r="D933" s="19"/>
      <c r="E933" s="19">
        <f t="shared" si="28"/>
        <v>6.5644701863494422E-3</v>
      </c>
      <c r="F933" s="19">
        <f t="shared" si="29"/>
        <v>6.3927895534493587E-2</v>
      </c>
      <c r="G933" s="19"/>
      <c r="H933" s="19"/>
    </row>
    <row r="934" spans="1:8" ht="14.25" customHeight="1" x14ac:dyDescent="0.3">
      <c r="A934" s="304">
        <v>45296</v>
      </c>
      <c r="B934" s="305">
        <v>21710.80078125</v>
      </c>
      <c r="C934" s="305">
        <v>752.95001220703102</v>
      </c>
      <c r="D934" s="19"/>
      <c r="E934" s="19">
        <f t="shared" si="28"/>
        <v>2.4101822286056087E-3</v>
      </c>
      <c r="F934" s="19">
        <f t="shared" si="29"/>
        <v>-1.1097993086531166E-2</v>
      </c>
      <c r="G934" s="19"/>
      <c r="H934" s="19"/>
    </row>
    <row r="935" spans="1:8" ht="14.25" customHeight="1" x14ac:dyDescent="0.3">
      <c r="A935" s="304">
        <v>45299</v>
      </c>
      <c r="B935" s="305">
        <v>21513</v>
      </c>
      <c r="C935" s="305">
        <v>759.29998779296898</v>
      </c>
      <c r="D935" s="19"/>
      <c r="E935" s="19">
        <f t="shared" si="28"/>
        <v>-9.1107086856430358E-3</v>
      </c>
      <c r="F935" s="19">
        <f t="shared" si="29"/>
        <v>8.4334623587096324E-3</v>
      </c>
      <c r="G935" s="19"/>
      <c r="H935" s="19"/>
    </row>
    <row r="936" spans="1:8" ht="14.25" customHeight="1" x14ac:dyDescent="0.3">
      <c r="A936" s="304">
        <v>45300</v>
      </c>
      <c r="B936" s="305">
        <v>21544.849609375</v>
      </c>
      <c r="C936" s="305">
        <v>789.59997558593795</v>
      </c>
      <c r="D936" s="19"/>
      <c r="E936" s="19">
        <f t="shared" si="28"/>
        <v>1.4804820050667038E-3</v>
      </c>
      <c r="F936" s="19">
        <f t="shared" si="29"/>
        <v>3.9905160384686562E-2</v>
      </c>
      <c r="G936" s="19"/>
      <c r="H936" s="19"/>
    </row>
    <row r="937" spans="1:8" ht="14.25" customHeight="1" x14ac:dyDescent="0.3">
      <c r="A937" s="304">
        <v>45301</v>
      </c>
      <c r="B937" s="305">
        <v>21618.69921875</v>
      </c>
      <c r="C937" s="305">
        <v>796.04998779296898</v>
      </c>
      <c r="D937" s="19"/>
      <c r="E937" s="19">
        <f t="shared" si="28"/>
        <v>3.4277152411806657E-3</v>
      </c>
      <c r="F937" s="19">
        <f t="shared" si="29"/>
        <v>8.1687087214569205E-3</v>
      </c>
      <c r="G937" s="19"/>
      <c r="H937" s="19"/>
    </row>
    <row r="938" spans="1:8" ht="14.25" customHeight="1" x14ac:dyDescent="0.3">
      <c r="A938" s="304">
        <v>45302</v>
      </c>
      <c r="B938" s="305">
        <v>21647.19921875</v>
      </c>
      <c r="C938" s="305">
        <v>797.45001220703102</v>
      </c>
      <c r="D938" s="19"/>
      <c r="E938" s="19">
        <f t="shared" si="28"/>
        <v>1.3183031833516521E-3</v>
      </c>
      <c r="F938" s="19">
        <f t="shared" si="29"/>
        <v>1.758714195754945E-3</v>
      </c>
      <c r="G938" s="19"/>
      <c r="H938" s="19"/>
    </row>
    <row r="939" spans="1:8" ht="14.25" customHeight="1" x14ac:dyDescent="0.3">
      <c r="A939" s="304">
        <v>45303</v>
      </c>
      <c r="B939" s="305">
        <v>21894.55078125</v>
      </c>
      <c r="C939" s="305">
        <v>800.54998779296898</v>
      </c>
      <c r="D939" s="19"/>
      <c r="E939" s="19">
        <f t="shared" si="28"/>
        <v>1.1426492637705911E-2</v>
      </c>
      <c r="F939" s="19">
        <f t="shared" si="29"/>
        <v>3.8873603843310876E-3</v>
      </c>
      <c r="G939" s="19"/>
      <c r="H939" s="19"/>
    </row>
    <row r="940" spans="1:8" ht="14.25" customHeight="1" x14ac:dyDescent="0.3">
      <c r="A940" s="304">
        <v>45306</v>
      </c>
      <c r="B940" s="305">
        <v>22097.44921875</v>
      </c>
      <c r="C940" s="305">
        <v>805.40002441406295</v>
      </c>
      <c r="D940" s="19"/>
      <c r="E940" s="19">
        <f t="shared" si="28"/>
        <v>9.2670746948486215E-3</v>
      </c>
      <c r="F940" s="19">
        <f t="shared" si="29"/>
        <v>6.0583807320577342E-3</v>
      </c>
      <c r="G940" s="19"/>
      <c r="H940" s="19"/>
    </row>
    <row r="941" spans="1:8" ht="14.25" customHeight="1" x14ac:dyDescent="0.3">
      <c r="A941" s="304">
        <v>45307</v>
      </c>
      <c r="B941" s="305">
        <v>22032.30078125</v>
      </c>
      <c r="C941" s="305">
        <v>786.84997558593795</v>
      </c>
      <c r="D941" s="19"/>
      <c r="E941" s="19">
        <f t="shared" si="28"/>
        <v>-2.9482333845447023E-3</v>
      </c>
      <c r="F941" s="19">
        <f t="shared" si="29"/>
        <v>-2.3032093699798875E-2</v>
      </c>
      <c r="G941" s="19"/>
      <c r="H941" s="19"/>
    </row>
    <row r="942" spans="1:8" ht="14.25" customHeight="1" x14ac:dyDescent="0.3">
      <c r="A942" s="304">
        <v>45308</v>
      </c>
      <c r="B942" s="305">
        <v>21571.94921875</v>
      </c>
      <c r="C942" s="305">
        <v>775.29998779296898</v>
      </c>
      <c r="D942" s="19"/>
      <c r="E942" s="19">
        <f t="shared" si="28"/>
        <v>-2.0894393512082492E-2</v>
      </c>
      <c r="F942" s="19">
        <f t="shared" si="29"/>
        <v>-1.4678767428782253E-2</v>
      </c>
      <c r="G942" s="19"/>
      <c r="H942" s="19"/>
    </row>
    <row r="943" spans="1:8" ht="14.25" customHeight="1" x14ac:dyDescent="0.3">
      <c r="A943" s="304">
        <v>45309</v>
      </c>
      <c r="B943" s="305">
        <v>21462.25</v>
      </c>
      <c r="C943" s="305">
        <v>775.45001220703102</v>
      </c>
      <c r="D943" s="19"/>
      <c r="E943" s="19">
        <f t="shared" si="28"/>
        <v>-5.0852715087355742E-3</v>
      </c>
      <c r="F943" s="19">
        <f t="shared" si="29"/>
        <v>1.9350498700395542E-4</v>
      </c>
      <c r="G943" s="19"/>
      <c r="H943" s="19"/>
    </row>
    <row r="944" spans="1:8" ht="14.25" customHeight="1" x14ac:dyDescent="0.3">
      <c r="A944" s="304">
        <v>45310</v>
      </c>
      <c r="B944" s="305">
        <v>21622.400390625</v>
      </c>
      <c r="C944" s="305">
        <v>785.54998779296898</v>
      </c>
      <c r="D944" s="19"/>
      <c r="E944" s="19">
        <f t="shared" si="28"/>
        <v>7.4619571864552878E-3</v>
      </c>
      <c r="F944" s="19">
        <f t="shared" si="29"/>
        <v>1.3024663649423536E-2</v>
      </c>
      <c r="G944" s="19"/>
      <c r="H944" s="19"/>
    </row>
    <row r="945" spans="1:8" ht="14.25" customHeight="1" x14ac:dyDescent="0.3">
      <c r="A945" s="304">
        <v>45314</v>
      </c>
      <c r="B945" s="305">
        <v>21238.80078125</v>
      </c>
      <c r="C945" s="305">
        <v>739.29998779296898</v>
      </c>
      <c r="D945" s="19"/>
      <c r="E945" s="19">
        <f t="shared" si="28"/>
        <v>-1.7740842942734536E-2</v>
      </c>
      <c r="F945" s="19">
        <f t="shared" si="29"/>
        <v>-5.8875947703775085E-2</v>
      </c>
      <c r="G945" s="19"/>
      <c r="H945" s="19"/>
    </row>
    <row r="946" spans="1:8" ht="14.25" customHeight="1" x14ac:dyDescent="0.3">
      <c r="A946" s="304">
        <v>45315</v>
      </c>
      <c r="B946" s="305">
        <v>21453.94921875</v>
      </c>
      <c r="C946" s="305">
        <v>747.40002441406295</v>
      </c>
      <c r="D946" s="19"/>
      <c r="E946" s="19">
        <f t="shared" si="28"/>
        <v>1.0129971071150917E-2</v>
      </c>
      <c r="F946" s="19">
        <f t="shared" si="29"/>
        <v>1.0956359738723928E-2</v>
      </c>
      <c r="G946" s="19"/>
      <c r="H946" s="19"/>
    </row>
    <row r="947" spans="1:8" ht="14.25" customHeight="1" x14ac:dyDescent="0.3">
      <c r="A947" s="304">
        <v>45316</v>
      </c>
      <c r="B947" s="305">
        <v>21352.599609375</v>
      </c>
      <c r="C947" s="305">
        <v>758.65002441406295</v>
      </c>
      <c r="D947" s="19"/>
      <c r="E947" s="19">
        <f t="shared" si="28"/>
        <v>-4.7240537554001476E-3</v>
      </c>
      <c r="F947" s="19">
        <f t="shared" si="29"/>
        <v>1.5052180402080707E-2</v>
      </c>
      <c r="G947" s="19"/>
      <c r="H947" s="19"/>
    </row>
    <row r="948" spans="1:8" ht="14.25" customHeight="1" x14ac:dyDescent="0.3">
      <c r="A948" s="304">
        <v>45320</v>
      </c>
      <c r="B948" s="305">
        <v>21737.599609375</v>
      </c>
      <c r="C948" s="305">
        <v>767.34997558593795</v>
      </c>
      <c r="D948" s="19"/>
      <c r="E948" s="19">
        <f t="shared" si="28"/>
        <v>1.8030591452244681E-2</v>
      </c>
      <c r="F948" s="19">
        <f t="shared" si="29"/>
        <v>1.1467674015557219E-2</v>
      </c>
      <c r="G948" s="19"/>
      <c r="H948" s="19"/>
    </row>
    <row r="949" spans="1:8" ht="14.25" customHeight="1" x14ac:dyDescent="0.3">
      <c r="A949" s="304">
        <v>45321</v>
      </c>
      <c r="B949" s="305">
        <v>21522.099609375</v>
      </c>
      <c r="C949" s="305">
        <v>786.90002441406295</v>
      </c>
      <c r="D949" s="19"/>
      <c r="E949" s="19">
        <f t="shared" si="28"/>
        <v>-9.9136981024831768E-3</v>
      </c>
      <c r="F949" s="19">
        <f t="shared" si="29"/>
        <v>2.5477356421620852E-2</v>
      </c>
      <c r="G949" s="19"/>
      <c r="H949" s="19"/>
    </row>
    <row r="950" spans="1:8" ht="14.25" customHeight="1" x14ac:dyDescent="0.3">
      <c r="A950" s="304">
        <v>45322</v>
      </c>
      <c r="B950" s="305">
        <v>21725.69921875</v>
      </c>
      <c r="C950" s="305">
        <v>802.59997558593795</v>
      </c>
      <c r="D950" s="19"/>
      <c r="E950" s="19">
        <f t="shared" si="28"/>
        <v>9.4600254190029057E-3</v>
      </c>
      <c r="F950" s="19">
        <f t="shared" si="29"/>
        <v>1.9951646568527444E-2</v>
      </c>
      <c r="G950" s="19"/>
      <c r="H950" s="19"/>
    </row>
    <row r="951" spans="1:8" ht="14.25" customHeight="1" x14ac:dyDescent="0.3">
      <c r="A951" s="304">
        <v>45323</v>
      </c>
      <c r="B951" s="305">
        <v>21697.44921875</v>
      </c>
      <c r="C951" s="305">
        <v>800.04998779296898</v>
      </c>
      <c r="D951" s="19"/>
      <c r="E951" s="19">
        <f t="shared" si="28"/>
        <v>-1.3003033741542051E-3</v>
      </c>
      <c r="F951" s="19">
        <f t="shared" si="29"/>
        <v>-3.1771590711890557E-3</v>
      </c>
      <c r="G951" s="19"/>
      <c r="H951" s="19"/>
    </row>
    <row r="952" spans="1:8" ht="14.25" customHeight="1" x14ac:dyDescent="0.3">
      <c r="A952" s="304">
        <v>45324</v>
      </c>
      <c r="B952" s="305">
        <v>21853.80078125</v>
      </c>
      <c r="C952" s="305">
        <v>791.45001220703102</v>
      </c>
      <c r="D952" s="19"/>
      <c r="E952" s="19">
        <f t="shared" si="28"/>
        <v>7.2059881750933062E-3</v>
      </c>
      <c r="F952" s="19">
        <f t="shared" si="29"/>
        <v>-1.0749297815330251E-2</v>
      </c>
      <c r="G952" s="19"/>
      <c r="H952" s="19"/>
    </row>
    <row r="953" spans="1:8" ht="14.25" customHeight="1" x14ac:dyDescent="0.3">
      <c r="A953" s="304">
        <v>45327</v>
      </c>
      <c r="B953" s="305">
        <v>21771.69921875</v>
      </c>
      <c r="C953" s="305">
        <v>786.59997558593795</v>
      </c>
      <c r="D953" s="19"/>
      <c r="E953" s="19">
        <f t="shared" si="28"/>
        <v>-3.7568550808077758E-3</v>
      </c>
      <c r="F953" s="19">
        <f t="shared" si="29"/>
        <v>-6.1280391007491374E-3</v>
      </c>
      <c r="G953" s="19"/>
      <c r="H953" s="19"/>
    </row>
    <row r="954" spans="1:8" ht="14.25" customHeight="1" x14ac:dyDescent="0.3">
      <c r="A954" s="304">
        <v>45328</v>
      </c>
      <c r="B954" s="305">
        <v>21929.400390625</v>
      </c>
      <c r="C954" s="305">
        <v>797.34997558593795</v>
      </c>
      <c r="D954" s="19"/>
      <c r="E954" s="19">
        <f t="shared" si="28"/>
        <v>7.243402101531249E-3</v>
      </c>
      <c r="F954" s="19">
        <f t="shared" si="29"/>
        <v>1.3666412832001845E-2</v>
      </c>
      <c r="G954" s="19"/>
      <c r="H954" s="19"/>
    </row>
    <row r="955" spans="1:8" ht="14.25" customHeight="1" x14ac:dyDescent="0.3">
      <c r="A955" s="304">
        <v>45329</v>
      </c>
      <c r="B955" s="305">
        <v>21930.5</v>
      </c>
      <c r="C955" s="305">
        <v>827.45001220703102</v>
      </c>
      <c r="D955" s="19"/>
      <c r="E955" s="19">
        <f t="shared" si="28"/>
        <v>5.0143157378351857E-5</v>
      </c>
      <c r="F955" s="19">
        <f t="shared" si="29"/>
        <v>3.7750094115164244E-2</v>
      </c>
      <c r="G955" s="19"/>
      <c r="H955" s="19"/>
    </row>
    <row r="956" spans="1:8" ht="14.25" customHeight="1" x14ac:dyDescent="0.3">
      <c r="A956" s="304">
        <v>45330</v>
      </c>
      <c r="B956" s="305">
        <v>21717.94921875</v>
      </c>
      <c r="C956" s="305">
        <v>830.84997558593795</v>
      </c>
      <c r="D956" s="19"/>
      <c r="E956" s="19">
        <f t="shared" si="28"/>
        <v>-9.6920171108729851E-3</v>
      </c>
      <c r="F956" s="19">
        <f t="shared" si="29"/>
        <v>4.1089652894418576E-3</v>
      </c>
      <c r="G956" s="19"/>
      <c r="H956" s="19"/>
    </row>
    <row r="957" spans="1:8" ht="14.25" customHeight="1" x14ac:dyDescent="0.3">
      <c r="A957" s="304">
        <v>45331</v>
      </c>
      <c r="B957" s="305">
        <v>21782.5</v>
      </c>
      <c r="C957" s="305">
        <v>834.40002441406295</v>
      </c>
      <c r="D957" s="19"/>
      <c r="E957" s="19">
        <f t="shared" si="28"/>
        <v>2.9722318898448593E-3</v>
      </c>
      <c r="F957" s="19">
        <f t="shared" si="29"/>
        <v>4.2727916380107117E-3</v>
      </c>
      <c r="G957" s="19"/>
      <c r="H957" s="19"/>
    </row>
    <row r="958" spans="1:8" ht="14.25" customHeight="1" x14ac:dyDescent="0.3">
      <c r="A958" s="304">
        <v>45334</v>
      </c>
      <c r="B958" s="305">
        <v>21616.05078125</v>
      </c>
      <c r="C958" s="305">
        <v>807.59997558593795</v>
      </c>
      <c r="D958" s="19"/>
      <c r="E958" s="19">
        <f t="shared" si="28"/>
        <v>-7.6414194307356824E-3</v>
      </c>
      <c r="F958" s="19">
        <f t="shared" si="29"/>
        <v>-3.2118945402649861E-2</v>
      </c>
      <c r="G958" s="19"/>
      <c r="H958" s="19"/>
    </row>
    <row r="959" spans="1:8" ht="14.25" customHeight="1" x14ac:dyDescent="0.3">
      <c r="A959" s="304">
        <v>45335</v>
      </c>
      <c r="B959" s="305">
        <v>21743.25</v>
      </c>
      <c r="C959" s="305">
        <v>829.34997558593795</v>
      </c>
      <c r="D959" s="19"/>
      <c r="E959" s="19">
        <f t="shared" si="28"/>
        <v>5.8844800115076526E-3</v>
      </c>
      <c r="F959" s="19">
        <f t="shared" si="29"/>
        <v>2.693165014550641E-2</v>
      </c>
      <c r="G959" s="19"/>
      <c r="H959" s="19"/>
    </row>
    <row r="960" spans="1:8" ht="14.25" customHeight="1" x14ac:dyDescent="0.3">
      <c r="A960" s="304">
        <v>45336</v>
      </c>
      <c r="B960" s="305">
        <v>21840.05078125</v>
      </c>
      <c r="C960" s="305">
        <v>843.79998779296898</v>
      </c>
      <c r="D960" s="19"/>
      <c r="E960" s="19">
        <f t="shared" si="28"/>
        <v>4.4519922849619994E-3</v>
      </c>
      <c r="F960" s="19">
        <f t="shared" si="29"/>
        <v>1.7423298525838928E-2</v>
      </c>
      <c r="G960" s="19"/>
      <c r="H960" s="19"/>
    </row>
    <row r="961" spans="1:8" ht="14.25" customHeight="1" x14ac:dyDescent="0.3">
      <c r="A961" s="304">
        <v>45337</v>
      </c>
      <c r="B961" s="305">
        <v>21910.75</v>
      </c>
      <c r="C961" s="305">
        <v>851.40002441406295</v>
      </c>
      <c r="D961" s="19"/>
      <c r="E961" s="19">
        <f t="shared" si="28"/>
        <v>3.2371361888359849E-3</v>
      </c>
      <c r="F961" s="19">
        <f t="shared" si="29"/>
        <v>9.0069171972525421E-3</v>
      </c>
      <c r="G961" s="19"/>
      <c r="H961" s="19"/>
    </row>
    <row r="962" spans="1:8" ht="14.25" customHeight="1" x14ac:dyDescent="0.3">
      <c r="A962" s="304">
        <v>45338</v>
      </c>
      <c r="B962" s="305">
        <v>22040.69921875</v>
      </c>
      <c r="C962" s="305">
        <v>863.29998779296898</v>
      </c>
      <c r="D962" s="19"/>
      <c r="E962" s="19">
        <f t="shared" si="28"/>
        <v>5.9308430222607626E-3</v>
      </c>
      <c r="F962" s="19">
        <f t="shared" si="29"/>
        <v>1.3976935679671405E-2</v>
      </c>
      <c r="G962" s="19"/>
      <c r="H962" s="19"/>
    </row>
    <row r="963" spans="1:8" ht="14.25" customHeight="1" x14ac:dyDescent="0.3">
      <c r="A963" s="304">
        <v>45341</v>
      </c>
      <c r="B963" s="305">
        <v>22122.25</v>
      </c>
      <c r="C963" s="305">
        <v>848.59997558593795</v>
      </c>
      <c r="D963" s="19"/>
      <c r="E963" s="19">
        <f t="shared" ref="E963:E1026" si="30">(B963-B962)/B962</f>
        <v>3.7000088082788604E-3</v>
      </c>
      <c r="F963" s="19">
        <f t="shared" ref="F963:F1026" si="31">(C963-C962)/C962</f>
        <v>-1.7027698847316891E-2</v>
      </c>
      <c r="G963" s="19"/>
      <c r="H963" s="19"/>
    </row>
    <row r="964" spans="1:8" ht="14.25" customHeight="1" x14ac:dyDescent="0.3">
      <c r="A964" s="304">
        <v>45342</v>
      </c>
      <c r="B964" s="305">
        <v>22196.94921875</v>
      </c>
      <c r="C964" s="305">
        <v>863.90002441406295</v>
      </c>
      <c r="D964" s="19"/>
      <c r="E964" s="19">
        <f t="shared" si="30"/>
        <v>3.3766555730090748E-3</v>
      </c>
      <c r="F964" s="19">
        <f t="shared" si="31"/>
        <v>1.8029754028169379E-2</v>
      </c>
      <c r="G964" s="19"/>
      <c r="H964" s="19"/>
    </row>
    <row r="965" spans="1:8" ht="14.25" customHeight="1" x14ac:dyDescent="0.3">
      <c r="A965" s="304">
        <v>45343</v>
      </c>
      <c r="B965" s="305">
        <v>22055.05078125</v>
      </c>
      <c r="C965" s="305">
        <v>886.84997558593795</v>
      </c>
      <c r="D965" s="19"/>
      <c r="E965" s="19">
        <f t="shared" si="30"/>
        <v>-6.3927000103301077E-3</v>
      </c>
      <c r="F965" s="19">
        <f t="shared" si="31"/>
        <v>2.656551744797174E-2</v>
      </c>
      <c r="G965" s="19"/>
      <c r="H965" s="19"/>
    </row>
    <row r="966" spans="1:8" ht="14.25" customHeight="1" x14ac:dyDescent="0.3">
      <c r="A966" s="304">
        <v>45344</v>
      </c>
      <c r="B966" s="305">
        <v>22217.44921875</v>
      </c>
      <c r="C966" s="305">
        <v>892.25</v>
      </c>
      <c r="D966" s="19"/>
      <c r="E966" s="19">
        <f t="shared" si="30"/>
        <v>7.3633218581415499E-3</v>
      </c>
      <c r="F966" s="19">
        <f t="shared" si="31"/>
        <v>6.0889942636512704E-3</v>
      </c>
      <c r="G966" s="19"/>
      <c r="H966" s="19"/>
    </row>
    <row r="967" spans="1:8" ht="14.25" customHeight="1" x14ac:dyDescent="0.3">
      <c r="A967" s="304">
        <v>45345</v>
      </c>
      <c r="B967" s="305">
        <v>22212.69921875</v>
      </c>
      <c r="C967" s="305">
        <v>899.25</v>
      </c>
      <c r="D967" s="19"/>
      <c r="E967" s="19">
        <f t="shared" si="30"/>
        <v>-2.1379592019012364E-4</v>
      </c>
      <c r="F967" s="19">
        <f t="shared" si="31"/>
        <v>7.845334827682824E-3</v>
      </c>
      <c r="G967" s="19"/>
      <c r="H967" s="19"/>
    </row>
    <row r="968" spans="1:8" ht="14.25" customHeight="1" x14ac:dyDescent="0.3">
      <c r="A968" s="304">
        <v>45348</v>
      </c>
      <c r="B968" s="305">
        <v>22122.05078125</v>
      </c>
      <c r="C968" s="305">
        <v>902.90002441406295</v>
      </c>
      <c r="D968" s="19"/>
      <c r="E968" s="19">
        <f t="shared" si="30"/>
        <v>-4.0809285088361791E-3</v>
      </c>
      <c r="F968" s="19">
        <f t="shared" si="31"/>
        <v>4.058965153253216E-3</v>
      </c>
      <c r="G968" s="19"/>
      <c r="H968" s="19"/>
    </row>
    <row r="969" spans="1:8" ht="14.25" customHeight="1" x14ac:dyDescent="0.3">
      <c r="A969" s="304">
        <v>45349</v>
      </c>
      <c r="B969" s="305">
        <v>22198.349609375</v>
      </c>
      <c r="C969" s="305">
        <v>916.40002441406295</v>
      </c>
      <c r="D969" s="19"/>
      <c r="E969" s="19">
        <f t="shared" si="30"/>
        <v>3.4489943486464033E-3</v>
      </c>
      <c r="F969" s="19">
        <f t="shared" si="31"/>
        <v>1.4951821502896543E-2</v>
      </c>
      <c r="G969" s="19"/>
      <c r="H969" s="19"/>
    </row>
    <row r="970" spans="1:8" ht="14.25" customHeight="1" x14ac:dyDescent="0.3">
      <c r="A970" s="304">
        <v>45350</v>
      </c>
      <c r="B970" s="305">
        <v>21951.150390625</v>
      </c>
      <c r="C970" s="305">
        <v>899</v>
      </c>
      <c r="D970" s="19"/>
      <c r="E970" s="19">
        <f t="shared" si="30"/>
        <v>-1.1135927809948569E-2</v>
      </c>
      <c r="F970" s="19">
        <f t="shared" si="31"/>
        <v>-1.898736790757765E-2</v>
      </c>
      <c r="G970" s="19"/>
      <c r="H970" s="19"/>
    </row>
    <row r="971" spans="1:8" ht="14.25" customHeight="1" x14ac:dyDescent="0.3">
      <c r="A971" s="304">
        <v>45351</v>
      </c>
      <c r="B971" s="305">
        <v>21982.80078125</v>
      </c>
      <c r="C971" s="305">
        <v>901.20001220703102</v>
      </c>
      <c r="D971" s="19"/>
      <c r="E971" s="19">
        <f t="shared" si="30"/>
        <v>1.4418556686904846E-3</v>
      </c>
      <c r="F971" s="19">
        <f t="shared" si="31"/>
        <v>2.4471770934716601E-3</v>
      </c>
      <c r="G971" s="19"/>
      <c r="H971" s="19"/>
    </row>
    <row r="972" spans="1:8" ht="14.25" customHeight="1" x14ac:dyDescent="0.3">
      <c r="A972" s="304">
        <v>45352</v>
      </c>
      <c r="B972" s="305">
        <v>22338.75</v>
      </c>
      <c r="C972" s="305">
        <v>909.90002441406295</v>
      </c>
      <c r="D972" s="19"/>
      <c r="E972" s="19">
        <f t="shared" si="30"/>
        <v>1.6192168700068607E-2</v>
      </c>
      <c r="F972" s="19">
        <f t="shared" si="31"/>
        <v>9.6538083546244945E-3</v>
      </c>
      <c r="G972" s="19"/>
      <c r="H972" s="19"/>
    </row>
    <row r="973" spans="1:8" ht="14.25" customHeight="1" x14ac:dyDescent="0.3">
      <c r="A973" s="304">
        <v>45355</v>
      </c>
      <c r="B973" s="305">
        <v>22405.599609375</v>
      </c>
      <c r="C973" s="305">
        <v>931.79998779296898</v>
      </c>
      <c r="D973" s="19"/>
      <c r="E973" s="19">
        <f t="shared" si="30"/>
        <v>2.9925402887359411E-3</v>
      </c>
      <c r="F973" s="19">
        <f t="shared" si="31"/>
        <v>2.4068538071541069E-2</v>
      </c>
      <c r="G973" s="19"/>
      <c r="H973" s="19"/>
    </row>
    <row r="974" spans="1:8" ht="14.25" customHeight="1" x14ac:dyDescent="0.3">
      <c r="A974" s="304">
        <v>45356</v>
      </c>
      <c r="B974" s="305">
        <v>22356.30078125</v>
      </c>
      <c r="C974" s="305">
        <v>932.04998779296898</v>
      </c>
      <c r="D974" s="19"/>
      <c r="E974" s="19">
        <f t="shared" si="30"/>
        <v>-2.2002905070379049E-3</v>
      </c>
      <c r="F974" s="19">
        <f t="shared" si="31"/>
        <v>2.6829792152298891E-4</v>
      </c>
      <c r="G974" s="19"/>
      <c r="H974" s="19"/>
    </row>
    <row r="975" spans="1:8" ht="14.25" customHeight="1" x14ac:dyDescent="0.3">
      <c r="A975" s="304">
        <v>45357</v>
      </c>
      <c r="B975" s="305">
        <v>22474.05078125</v>
      </c>
      <c r="C975" s="305">
        <v>922.70001220703102</v>
      </c>
      <c r="D975" s="19"/>
      <c r="E975" s="19">
        <f t="shared" si="30"/>
        <v>5.2669715420341689E-3</v>
      </c>
      <c r="F975" s="19">
        <f t="shared" si="31"/>
        <v>-1.0031624599961705E-2</v>
      </c>
      <c r="G975" s="19"/>
      <c r="H975" s="19"/>
    </row>
    <row r="976" spans="1:8" ht="14.25" customHeight="1" x14ac:dyDescent="0.3">
      <c r="A976" s="304">
        <v>45358</v>
      </c>
      <c r="B976" s="305">
        <v>22493.55078125</v>
      </c>
      <c r="C976" s="305">
        <v>920.29998779296898</v>
      </c>
      <c r="D976" s="19"/>
      <c r="E976" s="19">
        <f t="shared" si="30"/>
        <v>8.6766734621195941E-4</v>
      </c>
      <c r="F976" s="19">
        <f t="shared" si="31"/>
        <v>-2.6010885253175214E-3</v>
      </c>
      <c r="G976" s="19"/>
      <c r="H976" s="19"/>
    </row>
    <row r="977" spans="1:8" ht="14.25" customHeight="1" x14ac:dyDescent="0.3">
      <c r="A977" s="304">
        <v>45362</v>
      </c>
      <c r="B977" s="305">
        <v>22332.650390625</v>
      </c>
      <c r="C977" s="305">
        <v>911.25</v>
      </c>
      <c r="D977" s="19"/>
      <c r="E977" s="19">
        <f t="shared" si="30"/>
        <v>-7.1531788017711326E-3</v>
      </c>
      <c r="F977" s="19">
        <f t="shared" si="31"/>
        <v>-9.8337367304245429E-3</v>
      </c>
      <c r="G977" s="19"/>
      <c r="H977" s="19"/>
    </row>
    <row r="978" spans="1:8" ht="14.25" customHeight="1" x14ac:dyDescent="0.3">
      <c r="A978" s="304">
        <v>45363</v>
      </c>
      <c r="B978" s="305">
        <v>22335.69921875</v>
      </c>
      <c r="C978" s="305">
        <v>864.40002441406295</v>
      </c>
      <c r="D978" s="19"/>
      <c r="E978" s="19">
        <f t="shared" si="30"/>
        <v>1.3651886684617893E-4</v>
      </c>
      <c r="F978" s="19">
        <f t="shared" si="31"/>
        <v>-5.1412867584018702E-2</v>
      </c>
      <c r="G978" s="19"/>
      <c r="H978" s="19"/>
    </row>
    <row r="979" spans="1:8" ht="14.25" customHeight="1" x14ac:dyDescent="0.3">
      <c r="A979" s="304">
        <v>45364</v>
      </c>
      <c r="B979" s="305">
        <v>21997.69921875</v>
      </c>
      <c r="C979" s="305">
        <v>830.15002441406295</v>
      </c>
      <c r="D979" s="19"/>
      <c r="E979" s="19">
        <f t="shared" si="30"/>
        <v>-1.5132725270416491E-2</v>
      </c>
      <c r="F979" s="19">
        <f t="shared" si="31"/>
        <v>-3.9622858668029885E-2</v>
      </c>
      <c r="G979" s="19"/>
      <c r="H979" s="19"/>
    </row>
    <row r="980" spans="1:8" ht="14.25" customHeight="1" x14ac:dyDescent="0.3">
      <c r="A980" s="304">
        <v>45365</v>
      </c>
      <c r="B980" s="305">
        <v>22146.650390625</v>
      </c>
      <c r="C980" s="305">
        <v>840.65002441406295</v>
      </c>
      <c r="D980" s="19"/>
      <c r="E980" s="19">
        <f t="shared" si="30"/>
        <v>6.7712159528047237E-3</v>
      </c>
      <c r="F980" s="19">
        <f t="shared" si="31"/>
        <v>1.2648316197317608E-2</v>
      </c>
      <c r="G980" s="19"/>
      <c r="H980" s="19"/>
    </row>
    <row r="981" spans="1:8" ht="14.25" customHeight="1" x14ac:dyDescent="0.3">
      <c r="A981" s="304">
        <v>45366</v>
      </c>
      <c r="B981" s="305">
        <v>22023.349609375</v>
      </c>
      <c r="C981" s="305">
        <v>823.70001220703102</v>
      </c>
      <c r="D981" s="19"/>
      <c r="E981" s="19">
        <f t="shared" si="30"/>
        <v>-5.5674686273186943E-3</v>
      </c>
      <c r="F981" s="19">
        <f t="shared" si="31"/>
        <v>-2.0162983066402896E-2</v>
      </c>
      <c r="G981" s="19"/>
      <c r="H981" s="19"/>
    </row>
    <row r="982" spans="1:8" ht="14.25" customHeight="1" x14ac:dyDescent="0.3">
      <c r="A982" s="304">
        <v>45369</v>
      </c>
      <c r="B982" s="305">
        <v>22055.69921875</v>
      </c>
      <c r="C982" s="305">
        <v>836.25</v>
      </c>
      <c r="D982" s="19"/>
      <c r="E982" s="19">
        <f t="shared" si="30"/>
        <v>1.4688778023679591E-3</v>
      </c>
      <c r="F982" s="19">
        <f t="shared" si="31"/>
        <v>1.5236114613307337E-2</v>
      </c>
      <c r="G982" s="19"/>
      <c r="H982" s="19"/>
    </row>
    <row r="983" spans="1:8" ht="14.25" customHeight="1" x14ac:dyDescent="0.3">
      <c r="A983" s="304">
        <v>45370</v>
      </c>
      <c r="B983" s="305">
        <v>21817.44921875</v>
      </c>
      <c r="C983" s="305">
        <v>823.04998779296898</v>
      </c>
      <c r="D983" s="19"/>
      <c r="E983" s="19">
        <f t="shared" si="30"/>
        <v>-1.080219664028873E-2</v>
      </c>
      <c r="F983" s="19">
        <f t="shared" si="31"/>
        <v>-1.5784767960575215E-2</v>
      </c>
      <c r="G983" s="19"/>
      <c r="H983" s="19"/>
    </row>
    <row r="984" spans="1:8" ht="14.25" customHeight="1" x14ac:dyDescent="0.3">
      <c r="A984" s="304">
        <v>45371</v>
      </c>
      <c r="B984" s="305">
        <v>21839.099609375</v>
      </c>
      <c r="C984" s="305">
        <v>825.95001220703102</v>
      </c>
      <c r="D984" s="19"/>
      <c r="E984" s="19">
        <f t="shared" si="30"/>
        <v>9.9234289068006964E-4</v>
      </c>
      <c r="F984" s="19">
        <f t="shared" si="31"/>
        <v>3.5235094551650985E-3</v>
      </c>
      <c r="G984" s="19"/>
      <c r="H984" s="19"/>
    </row>
    <row r="985" spans="1:8" ht="14.25" customHeight="1" x14ac:dyDescent="0.3">
      <c r="A985" s="304">
        <v>45372</v>
      </c>
      <c r="B985" s="305">
        <v>22011.94921875</v>
      </c>
      <c r="C985" s="305">
        <v>857.70001220703102</v>
      </c>
      <c r="D985" s="19"/>
      <c r="E985" s="19">
        <f t="shared" si="30"/>
        <v>7.9146856998078725E-3</v>
      </c>
      <c r="F985" s="19">
        <f t="shared" si="31"/>
        <v>3.8440583002305961E-2</v>
      </c>
      <c r="G985" s="19"/>
      <c r="H985" s="19"/>
    </row>
    <row r="986" spans="1:8" ht="14.25" customHeight="1" x14ac:dyDescent="0.3">
      <c r="A986" s="304">
        <v>45373</v>
      </c>
      <c r="B986" s="305">
        <v>22096.75</v>
      </c>
      <c r="C986" s="305">
        <v>865.90002441406295</v>
      </c>
      <c r="D986" s="19"/>
      <c r="E986" s="19">
        <f t="shared" si="30"/>
        <v>3.8524885010077091E-3</v>
      </c>
      <c r="F986" s="19">
        <f t="shared" si="31"/>
        <v>9.5604664688434433E-3</v>
      </c>
      <c r="G986" s="19"/>
      <c r="H986" s="19"/>
    </row>
    <row r="987" spans="1:8" ht="14.25" customHeight="1" x14ac:dyDescent="0.3">
      <c r="A987" s="304">
        <v>45377</v>
      </c>
      <c r="B987" s="305">
        <v>22004.69921875</v>
      </c>
      <c r="C987" s="305">
        <v>873.40002441406295</v>
      </c>
      <c r="D987" s="19"/>
      <c r="E987" s="19">
        <f t="shared" si="30"/>
        <v>-4.1658063402989125E-3</v>
      </c>
      <c r="F987" s="19">
        <f t="shared" si="31"/>
        <v>8.661508013093195E-3</v>
      </c>
      <c r="G987" s="19"/>
      <c r="H987" s="19"/>
    </row>
    <row r="988" spans="1:8" ht="14.25" customHeight="1" x14ac:dyDescent="0.3">
      <c r="A988" s="304">
        <v>45378</v>
      </c>
      <c r="B988" s="305">
        <v>22123.650390625</v>
      </c>
      <c r="C988" s="305">
        <v>880.5</v>
      </c>
      <c r="D988" s="19"/>
      <c r="E988" s="19">
        <f t="shared" si="30"/>
        <v>5.40571678315161E-3</v>
      </c>
      <c r="F988" s="19">
        <f t="shared" si="31"/>
        <v>8.1291222663981474E-3</v>
      </c>
      <c r="G988" s="19"/>
      <c r="H988" s="19"/>
    </row>
    <row r="989" spans="1:8" ht="14.25" customHeight="1" x14ac:dyDescent="0.3">
      <c r="A989" s="304">
        <v>45379</v>
      </c>
      <c r="B989" s="305">
        <v>22326.900390625</v>
      </c>
      <c r="C989" s="305">
        <v>897</v>
      </c>
      <c r="D989" s="19"/>
      <c r="E989" s="19">
        <f t="shared" si="30"/>
        <v>9.1870010785438973E-3</v>
      </c>
      <c r="F989" s="19">
        <f t="shared" si="31"/>
        <v>1.8739352640545145E-2</v>
      </c>
      <c r="G989" s="19"/>
      <c r="H989" s="19"/>
    </row>
    <row r="990" spans="1:8" ht="14.25" customHeight="1" x14ac:dyDescent="0.3">
      <c r="A990" s="304">
        <v>45383</v>
      </c>
      <c r="B990" s="305">
        <v>22462</v>
      </c>
      <c r="C990" s="305">
        <v>948.25</v>
      </c>
      <c r="D990" s="19"/>
      <c r="E990" s="19">
        <f t="shared" si="30"/>
        <v>6.0509791780917303E-3</v>
      </c>
      <c r="F990" s="19">
        <f t="shared" si="31"/>
        <v>5.7134894091415832E-2</v>
      </c>
      <c r="G990" s="19"/>
      <c r="H990" s="19"/>
    </row>
    <row r="991" spans="1:8" ht="14.25" customHeight="1" x14ac:dyDescent="0.3">
      <c r="A991" s="304">
        <v>45384</v>
      </c>
      <c r="B991" s="305">
        <v>22453.30078125</v>
      </c>
      <c r="C991" s="305">
        <v>934.84997558593795</v>
      </c>
      <c r="D991" s="19"/>
      <c r="E991" s="19">
        <f t="shared" si="30"/>
        <v>-3.872860275131333E-4</v>
      </c>
      <c r="F991" s="19">
        <f t="shared" si="31"/>
        <v>-1.4131320236290056E-2</v>
      </c>
      <c r="G991" s="19"/>
      <c r="H991" s="19"/>
    </row>
    <row r="992" spans="1:8" ht="14.25" customHeight="1" x14ac:dyDescent="0.3">
      <c r="A992" s="304">
        <v>45385</v>
      </c>
      <c r="B992" s="305">
        <v>22434.650390625</v>
      </c>
      <c r="C992" s="305">
        <v>904.54998779296898</v>
      </c>
      <c r="D992" s="19"/>
      <c r="E992" s="19">
        <f t="shared" si="30"/>
        <v>-8.3063024036868183E-4</v>
      </c>
      <c r="F992" s="19">
        <f t="shared" si="31"/>
        <v>-3.2411604625627539E-2</v>
      </c>
      <c r="G992" s="19"/>
      <c r="H992" s="19"/>
    </row>
    <row r="993" spans="1:8" ht="14.25" customHeight="1" x14ac:dyDescent="0.3">
      <c r="A993" s="304">
        <v>45386</v>
      </c>
      <c r="B993" s="305">
        <v>22514.650390625</v>
      </c>
      <c r="C993" s="305">
        <v>888.20001220703102</v>
      </c>
      <c r="D993" s="19"/>
      <c r="E993" s="19">
        <f t="shared" si="30"/>
        <v>3.5659124883635554E-3</v>
      </c>
      <c r="F993" s="19">
        <f t="shared" si="31"/>
        <v>-1.80752593074824E-2</v>
      </c>
      <c r="G993" s="19"/>
      <c r="H993" s="19"/>
    </row>
    <row r="994" spans="1:8" ht="14.25" customHeight="1" x14ac:dyDescent="0.3">
      <c r="A994" s="304">
        <v>45387</v>
      </c>
      <c r="B994" s="305">
        <v>22513.69921875</v>
      </c>
      <c r="C994" s="305">
        <v>905.84997558593795</v>
      </c>
      <c r="D994" s="19"/>
      <c r="E994" s="19">
        <f t="shared" si="30"/>
        <v>-4.2246797462867275E-5</v>
      </c>
      <c r="F994" s="19">
        <f t="shared" si="31"/>
        <v>1.9871609025369944E-2</v>
      </c>
      <c r="G994" s="19"/>
      <c r="H994" s="19"/>
    </row>
    <row r="995" spans="1:8" ht="14.25" customHeight="1" x14ac:dyDescent="0.3">
      <c r="A995" s="304">
        <v>45390</v>
      </c>
      <c r="B995" s="305">
        <v>22666.30078125</v>
      </c>
      <c r="C995" s="305">
        <v>918.25</v>
      </c>
      <c r="D995" s="19"/>
      <c r="E995" s="19">
        <f t="shared" si="30"/>
        <v>6.7781647528145621E-3</v>
      </c>
      <c r="F995" s="19">
        <f t="shared" si="31"/>
        <v>1.368882789453214E-2</v>
      </c>
      <c r="G995" s="19"/>
      <c r="H995" s="19"/>
    </row>
    <row r="996" spans="1:8" ht="14.25" customHeight="1" x14ac:dyDescent="0.3">
      <c r="A996" s="304">
        <v>45391</v>
      </c>
      <c r="B996" s="305">
        <v>22642.75</v>
      </c>
      <c r="C996" s="305">
        <v>910.65002441406295</v>
      </c>
      <c r="D996" s="19"/>
      <c r="E996" s="19">
        <f t="shared" si="30"/>
        <v>-1.0390218270412109E-3</v>
      </c>
      <c r="F996" s="19">
        <f t="shared" si="31"/>
        <v>-8.2765865351887239E-3</v>
      </c>
      <c r="G996" s="19"/>
      <c r="H996" s="19"/>
    </row>
    <row r="997" spans="1:8" ht="14.25" customHeight="1" x14ac:dyDescent="0.3">
      <c r="A997" s="304">
        <v>45392</v>
      </c>
      <c r="B997" s="305">
        <v>22753.80078125</v>
      </c>
      <c r="C997" s="305">
        <v>911.15002441406295</v>
      </c>
      <c r="D997" s="19"/>
      <c r="E997" s="19">
        <f t="shared" si="30"/>
        <v>4.9044741142308243E-3</v>
      </c>
      <c r="F997" s="19">
        <f t="shared" si="31"/>
        <v>5.4905835018421447E-4</v>
      </c>
      <c r="G997" s="19"/>
      <c r="H997" s="19"/>
    </row>
    <row r="998" spans="1:8" ht="14.25" customHeight="1" x14ac:dyDescent="0.3">
      <c r="A998" s="304">
        <v>45394</v>
      </c>
      <c r="B998" s="305">
        <v>22519.400390625</v>
      </c>
      <c r="C998" s="305">
        <v>908.59997558593795</v>
      </c>
      <c r="D998" s="19"/>
      <c r="E998" s="19">
        <f t="shared" si="30"/>
        <v>-1.0301592814249954E-2</v>
      </c>
      <c r="F998" s="19">
        <f t="shared" si="31"/>
        <v>-2.7987145473270117E-3</v>
      </c>
      <c r="G998" s="19"/>
      <c r="H998" s="19"/>
    </row>
    <row r="999" spans="1:8" ht="14.25" customHeight="1" x14ac:dyDescent="0.3">
      <c r="A999" s="304">
        <v>45397</v>
      </c>
      <c r="B999" s="305">
        <v>22272.5</v>
      </c>
      <c r="C999" s="305">
        <v>885</v>
      </c>
      <c r="D999" s="19"/>
      <c r="E999" s="19">
        <f t="shared" si="30"/>
        <v>-1.0963897188301094E-2</v>
      </c>
      <c r="F999" s="19">
        <f t="shared" si="31"/>
        <v>-2.5973999801968739E-2</v>
      </c>
      <c r="G999" s="19"/>
      <c r="H999" s="19"/>
    </row>
    <row r="1000" spans="1:8" ht="14.25" customHeight="1" x14ac:dyDescent="0.3">
      <c r="A1000" s="304">
        <v>45398</v>
      </c>
      <c r="B1000" s="305">
        <v>22147.900390625</v>
      </c>
      <c r="C1000" s="305">
        <v>875.59997558593795</v>
      </c>
      <c r="D1000" s="19"/>
      <c r="E1000" s="19">
        <f t="shared" si="30"/>
        <v>-5.5943252609720511E-3</v>
      </c>
      <c r="F1000" s="19">
        <f t="shared" si="31"/>
        <v>-1.0621496513064458E-2</v>
      </c>
      <c r="G1000" s="19"/>
      <c r="H1000" s="19"/>
    </row>
    <row r="1001" spans="1:8" ht="14.25" customHeight="1" x14ac:dyDescent="0.3">
      <c r="A1001" s="304">
        <v>45400</v>
      </c>
      <c r="B1001" s="305">
        <v>21995.849609375</v>
      </c>
      <c r="C1001" s="305">
        <v>856.04998779296898</v>
      </c>
      <c r="D1001" s="19"/>
      <c r="E1001" s="19">
        <f t="shared" si="30"/>
        <v>-6.8652458503182393E-3</v>
      </c>
      <c r="F1001" s="19">
        <f t="shared" si="31"/>
        <v>-2.2327533506252589E-2</v>
      </c>
      <c r="G1001" s="19"/>
      <c r="H1001" s="19"/>
    </row>
    <row r="1002" spans="1:8" ht="14.25" customHeight="1" x14ac:dyDescent="0.3">
      <c r="A1002" s="304">
        <v>45401</v>
      </c>
      <c r="B1002" s="305">
        <v>22147</v>
      </c>
      <c r="C1002" s="305">
        <v>855.65002441406295</v>
      </c>
      <c r="D1002" s="19"/>
      <c r="E1002" s="19">
        <f t="shared" si="30"/>
        <v>6.8717686886064708E-3</v>
      </c>
      <c r="F1002" s="19">
        <f t="shared" si="31"/>
        <v>-4.6721965376950815E-4</v>
      </c>
      <c r="G1002" s="19"/>
      <c r="H1002" s="19"/>
    </row>
    <row r="1003" spans="1:8" ht="14.25" customHeight="1" x14ac:dyDescent="0.3">
      <c r="A1003" s="304">
        <v>45404</v>
      </c>
      <c r="B1003" s="305">
        <v>22336.400390625</v>
      </c>
      <c r="C1003" s="305">
        <v>865.15002441406295</v>
      </c>
      <c r="D1003" s="19"/>
      <c r="E1003" s="19">
        <f t="shared" si="30"/>
        <v>8.5519659829773782E-3</v>
      </c>
      <c r="F1003" s="19">
        <f t="shared" si="31"/>
        <v>1.1102670167637132E-2</v>
      </c>
      <c r="G1003" s="19"/>
      <c r="H1003" s="19"/>
    </row>
    <row r="1004" spans="1:8" ht="14.25" customHeight="1" x14ac:dyDescent="0.3">
      <c r="A1004" s="304">
        <v>45405</v>
      </c>
      <c r="B1004" s="305">
        <v>22368</v>
      </c>
      <c r="C1004" s="305">
        <v>885.25</v>
      </c>
      <c r="D1004" s="19"/>
      <c r="E1004" s="19">
        <f t="shared" si="30"/>
        <v>1.4147135985377009E-3</v>
      </c>
      <c r="F1004" s="19">
        <f t="shared" si="31"/>
        <v>2.3232936506648177E-2</v>
      </c>
      <c r="G1004" s="19"/>
      <c r="H1004" s="19"/>
    </row>
    <row r="1005" spans="1:8" ht="14.25" customHeight="1" x14ac:dyDescent="0.3">
      <c r="A1005" s="304">
        <v>45406</v>
      </c>
      <c r="B1005" s="305">
        <v>22402.400390625</v>
      </c>
      <c r="C1005" s="305">
        <v>893.5</v>
      </c>
      <c r="D1005" s="19"/>
      <c r="E1005" s="19">
        <f t="shared" si="30"/>
        <v>1.5379287654238199E-3</v>
      </c>
      <c r="F1005" s="19">
        <f t="shared" si="31"/>
        <v>9.31940129906806E-3</v>
      </c>
      <c r="G1005" s="19"/>
      <c r="H1005" s="19"/>
    </row>
    <row r="1006" spans="1:8" ht="14.25" customHeight="1" x14ac:dyDescent="0.3">
      <c r="A1006" s="304">
        <v>45407</v>
      </c>
      <c r="B1006" s="305">
        <v>22570.349609375</v>
      </c>
      <c r="C1006" s="305">
        <v>893.79998779296898</v>
      </c>
      <c r="D1006" s="19"/>
      <c r="E1006" s="19">
        <f t="shared" si="30"/>
        <v>7.4969296067167743E-3</v>
      </c>
      <c r="F1006" s="19">
        <f t="shared" si="31"/>
        <v>3.35744592019001E-4</v>
      </c>
      <c r="G1006" s="19"/>
      <c r="H1006" s="19"/>
    </row>
    <row r="1007" spans="1:8" ht="14.25" customHeight="1" x14ac:dyDescent="0.3">
      <c r="A1007" s="304">
        <v>45408</v>
      </c>
      <c r="B1007" s="305">
        <v>22419.94921875</v>
      </c>
      <c r="C1007" s="305">
        <v>908</v>
      </c>
      <c r="D1007" s="19"/>
      <c r="E1007" s="19">
        <f t="shared" si="30"/>
        <v>-6.6636269808832953E-3</v>
      </c>
      <c r="F1007" s="19">
        <f t="shared" si="31"/>
        <v>1.5887236966846071E-2</v>
      </c>
      <c r="G1007" s="19"/>
      <c r="H1007" s="19"/>
    </row>
    <row r="1008" spans="1:8" ht="14.25" customHeight="1" x14ac:dyDescent="0.3">
      <c r="A1008" s="304">
        <v>45411</v>
      </c>
      <c r="B1008" s="305">
        <v>22643.400390625</v>
      </c>
      <c r="C1008" s="305">
        <v>886.09997558593795</v>
      </c>
      <c r="D1008" s="19"/>
      <c r="E1008" s="19">
        <f t="shared" si="30"/>
        <v>9.9666225688025117E-3</v>
      </c>
      <c r="F1008" s="19">
        <f t="shared" si="31"/>
        <v>-2.4118969619011062E-2</v>
      </c>
      <c r="G1008" s="19"/>
      <c r="H1008" s="19"/>
    </row>
    <row r="1009" spans="1:8" ht="14.25" customHeight="1" x14ac:dyDescent="0.3">
      <c r="A1009" s="304">
        <v>45412</v>
      </c>
      <c r="B1009" s="305">
        <v>22604.849609375</v>
      </c>
      <c r="C1009" s="305">
        <v>891.84997558593795</v>
      </c>
      <c r="D1009" s="19"/>
      <c r="E1009" s="19">
        <f t="shared" si="30"/>
        <v>-1.7025173156396201E-3</v>
      </c>
      <c r="F1009" s="19">
        <f t="shared" si="31"/>
        <v>6.4891097601010366E-3</v>
      </c>
      <c r="G1009" s="19"/>
      <c r="H1009" s="19"/>
    </row>
    <row r="1010" spans="1:8" ht="14.25" customHeight="1" x14ac:dyDescent="0.3">
      <c r="A1010" s="304">
        <v>45414</v>
      </c>
      <c r="B1010" s="305">
        <v>22648.19921875</v>
      </c>
      <c r="C1010" s="305">
        <v>896.45001220703102</v>
      </c>
      <c r="D1010" s="19"/>
      <c r="E1010" s="19">
        <f t="shared" si="30"/>
        <v>1.9177127972141625E-3</v>
      </c>
      <c r="F1010" s="19">
        <f t="shared" si="31"/>
        <v>5.1578592218617068E-3</v>
      </c>
      <c r="G1010" s="19"/>
      <c r="H1010" s="19"/>
    </row>
    <row r="1011" spans="1:8" ht="14.25" customHeight="1" x14ac:dyDescent="0.3">
      <c r="A1011" s="304">
        <v>45415</v>
      </c>
      <c r="B1011" s="305">
        <v>22475.849609375</v>
      </c>
      <c r="C1011" s="305">
        <v>878.20001220703102</v>
      </c>
      <c r="D1011" s="19"/>
      <c r="E1011" s="19">
        <f t="shared" si="30"/>
        <v>-7.6098592965534824E-3</v>
      </c>
      <c r="F1011" s="19">
        <f t="shared" si="31"/>
        <v>-2.0358078812525295E-2</v>
      </c>
      <c r="G1011" s="19"/>
      <c r="H1011" s="19"/>
    </row>
    <row r="1012" spans="1:8" ht="14.25" customHeight="1" x14ac:dyDescent="0.3">
      <c r="A1012" s="304">
        <v>45418</v>
      </c>
      <c r="B1012" s="305">
        <v>22442.69921875</v>
      </c>
      <c r="C1012" s="305">
        <v>887.09997558593795</v>
      </c>
      <c r="D1012" s="19"/>
      <c r="E1012" s="19">
        <f t="shared" si="30"/>
        <v>-1.4749338156797639E-3</v>
      </c>
      <c r="F1012" s="19">
        <f t="shared" si="31"/>
        <v>1.0134323907079169E-2</v>
      </c>
      <c r="G1012" s="19"/>
      <c r="H1012" s="19"/>
    </row>
    <row r="1013" spans="1:8" ht="14.25" customHeight="1" x14ac:dyDescent="0.3">
      <c r="A1013" s="304">
        <v>45419</v>
      </c>
      <c r="B1013" s="305">
        <v>22302.5</v>
      </c>
      <c r="C1013" s="305">
        <v>855.90002441406295</v>
      </c>
      <c r="D1013" s="19"/>
      <c r="E1013" s="19">
        <f t="shared" si="30"/>
        <v>-6.2469855957820357E-3</v>
      </c>
      <c r="F1013" s="19">
        <f t="shared" si="31"/>
        <v>-3.5170727122686637E-2</v>
      </c>
      <c r="G1013" s="19"/>
      <c r="H1013" s="19"/>
    </row>
    <row r="1014" spans="1:8" ht="14.25" customHeight="1" x14ac:dyDescent="0.3">
      <c r="A1014" s="304">
        <v>45420</v>
      </c>
      <c r="B1014" s="305">
        <v>22302.5</v>
      </c>
      <c r="C1014" s="305">
        <v>852.5</v>
      </c>
      <c r="D1014" s="19"/>
      <c r="E1014" s="19">
        <f t="shared" si="30"/>
        <v>0</v>
      </c>
      <c r="F1014" s="19">
        <f t="shared" si="31"/>
        <v>-3.9724550964822828E-3</v>
      </c>
      <c r="G1014" s="19"/>
      <c r="H1014" s="19"/>
    </row>
    <row r="1015" spans="1:8" ht="14.25" customHeight="1" x14ac:dyDescent="0.3">
      <c r="A1015" s="304">
        <v>45421</v>
      </c>
      <c r="B1015" s="305">
        <v>21957.5</v>
      </c>
      <c r="C1015" s="305">
        <v>836.90002441406295</v>
      </c>
      <c r="D1015" s="19"/>
      <c r="E1015" s="19">
        <f t="shared" si="30"/>
        <v>-1.5469117811904494E-2</v>
      </c>
      <c r="F1015" s="19">
        <f t="shared" si="31"/>
        <v>-1.829909159640709E-2</v>
      </c>
      <c r="G1015" s="19"/>
      <c r="H1015" s="19"/>
    </row>
    <row r="1016" spans="1:8" ht="14.25" customHeight="1" x14ac:dyDescent="0.3">
      <c r="A1016" s="304">
        <v>45422</v>
      </c>
      <c r="B1016" s="305">
        <v>22055.19921875</v>
      </c>
      <c r="C1016" s="305">
        <v>825.84997558593795</v>
      </c>
      <c r="D1016" s="19"/>
      <c r="E1016" s="19">
        <f t="shared" si="30"/>
        <v>4.4494691449390869E-3</v>
      </c>
      <c r="F1016" s="19">
        <f t="shared" si="31"/>
        <v>-1.3203547025657512E-2</v>
      </c>
      <c r="G1016" s="19"/>
      <c r="H1016" s="19"/>
    </row>
    <row r="1017" spans="1:8" ht="14.25" customHeight="1" x14ac:dyDescent="0.3">
      <c r="A1017" s="304">
        <v>45425</v>
      </c>
      <c r="B1017" s="305">
        <v>22104.05078125</v>
      </c>
      <c r="C1017" s="305">
        <v>838.75</v>
      </c>
      <c r="D1017" s="19"/>
      <c r="E1017" s="19">
        <f t="shared" si="30"/>
        <v>2.214968090538459E-3</v>
      </c>
      <c r="F1017" s="19">
        <f t="shared" si="31"/>
        <v>1.5620300048939904E-2</v>
      </c>
      <c r="G1017" s="19"/>
      <c r="H1017" s="19"/>
    </row>
    <row r="1018" spans="1:8" ht="14.25" customHeight="1" x14ac:dyDescent="0.3">
      <c r="A1018" s="304">
        <v>45426</v>
      </c>
      <c r="B1018" s="305">
        <v>22217.849609375</v>
      </c>
      <c r="C1018" s="305">
        <v>839.04998779296898</v>
      </c>
      <c r="D1018" s="19"/>
      <c r="E1018" s="19">
        <f t="shared" si="30"/>
        <v>5.1483245877054842E-3</v>
      </c>
      <c r="F1018" s="19">
        <f t="shared" si="31"/>
        <v>3.5766055793618764E-4</v>
      </c>
      <c r="G1018" s="19"/>
      <c r="H1018" s="19"/>
    </row>
    <row r="1019" spans="1:8" ht="14.25" customHeight="1" x14ac:dyDescent="0.3">
      <c r="A1019" s="304">
        <v>45427</v>
      </c>
      <c r="B1019" s="305">
        <v>22200.55078125</v>
      </c>
      <c r="C1019" s="305">
        <v>825.65002441406295</v>
      </c>
      <c r="D1019" s="19"/>
      <c r="E1019" s="19">
        <f t="shared" si="30"/>
        <v>-7.7860046895360301E-4</v>
      </c>
      <c r="F1019" s="19">
        <f t="shared" si="31"/>
        <v>-1.5970399349093837E-2</v>
      </c>
      <c r="G1019" s="19"/>
      <c r="H1019" s="19"/>
    </row>
    <row r="1020" spans="1:8" ht="14.25" customHeight="1" x14ac:dyDescent="0.3">
      <c r="A1020" s="304">
        <v>45428</v>
      </c>
      <c r="B1020" s="305">
        <v>22403.849609375</v>
      </c>
      <c r="C1020" s="305">
        <v>841.5</v>
      </c>
      <c r="D1020" s="19"/>
      <c r="E1020" s="19">
        <f t="shared" si="30"/>
        <v>9.1573776762647191E-3</v>
      </c>
      <c r="F1020" s="19">
        <f t="shared" si="31"/>
        <v>1.9196966168789565E-2</v>
      </c>
      <c r="G1020" s="19"/>
      <c r="H1020" s="19"/>
    </row>
    <row r="1021" spans="1:8" ht="14.25" customHeight="1" x14ac:dyDescent="0.3">
      <c r="A1021" s="304">
        <v>45429</v>
      </c>
      <c r="B1021" s="305">
        <v>22466.099609375</v>
      </c>
      <c r="C1021" s="305">
        <v>848.75</v>
      </c>
      <c r="D1021" s="19"/>
      <c r="E1021" s="19">
        <f t="shared" si="30"/>
        <v>2.7785403439751347E-3</v>
      </c>
      <c r="F1021" s="19">
        <f t="shared" si="31"/>
        <v>8.6155674390968502E-3</v>
      </c>
      <c r="G1021" s="19"/>
      <c r="H1021" s="19"/>
    </row>
    <row r="1022" spans="1:8" ht="14.25" customHeight="1" x14ac:dyDescent="0.3">
      <c r="A1022" s="304">
        <v>45433</v>
      </c>
      <c r="B1022" s="305">
        <v>22529.05078125</v>
      </c>
      <c r="C1022" s="305">
        <v>851.95001220703102</v>
      </c>
      <c r="D1022" s="19"/>
      <c r="E1022" s="19">
        <f t="shared" si="30"/>
        <v>2.8020516676036979E-3</v>
      </c>
      <c r="F1022" s="19">
        <f t="shared" si="31"/>
        <v>3.7702647505520148E-3</v>
      </c>
      <c r="G1022" s="19"/>
      <c r="H1022" s="19"/>
    </row>
    <row r="1023" spans="1:8" ht="14.25" customHeight="1" x14ac:dyDescent="0.3">
      <c r="A1023" s="304">
        <v>45434</v>
      </c>
      <c r="B1023" s="305">
        <v>22597.80078125</v>
      </c>
      <c r="C1023" s="305">
        <v>847.40002441406295</v>
      </c>
      <c r="D1023" s="19"/>
      <c r="E1023" s="19">
        <f t="shared" si="30"/>
        <v>3.051615474950138E-3</v>
      </c>
      <c r="F1023" s="19">
        <f t="shared" si="31"/>
        <v>-5.3406746027047213E-3</v>
      </c>
      <c r="G1023" s="19"/>
      <c r="H1023" s="19"/>
    </row>
    <row r="1024" spans="1:8" ht="14.25" customHeight="1" x14ac:dyDescent="0.3">
      <c r="A1024" s="304">
        <v>45435</v>
      </c>
      <c r="B1024" s="305">
        <v>22967.650390625</v>
      </c>
      <c r="C1024" s="305">
        <v>847.04998779296898</v>
      </c>
      <c r="D1024" s="19"/>
      <c r="E1024" s="19">
        <f t="shared" si="30"/>
        <v>1.6366619608483058E-2</v>
      </c>
      <c r="F1024" s="19">
        <f t="shared" si="31"/>
        <v>-4.1307128983859913E-4</v>
      </c>
      <c r="G1024" s="19"/>
      <c r="H1024" s="19"/>
    </row>
    <row r="1025" spans="1:8" ht="14.25" customHeight="1" x14ac:dyDescent="0.3">
      <c r="A1025" s="304">
        <v>45436</v>
      </c>
      <c r="B1025" s="305">
        <v>22957.099609375</v>
      </c>
      <c r="C1025" s="305">
        <v>840.15002441406295</v>
      </c>
      <c r="D1025" s="19"/>
      <c r="E1025" s="19">
        <f t="shared" si="30"/>
        <v>-4.5937573371922485E-4</v>
      </c>
      <c r="F1025" s="19">
        <f t="shared" si="31"/>
        <v>-8.145875070353548E-3</v>
      </c>
      <c r="G1025" s="19"/>
      <c r="H1025" s="19"/>
    </row>
    <row r="1026" spans="1:8" ht="14.25" customHeight="1" x14ac:dyDescent="0.3">
      <c r="A1026" s="304">
        <v>45439</v>
      </c>
      <c r="B1026" s="305">
        <v>22932.44921875</v>
      </c>
      <c r="C1026" s="305">
        <v>842.5</v>
      </c>
      <c r="D1026" s="19"/>
      <c r="E1026" s="19">
        <f t="shared" si="30"/>
        <v>-1.0737589261900274E-3</v>
      </c>
      <c r="F1026" s="19">
        <f t="shared" si="31"/>
        <v>2.7970904215303262E-3</v>
      </c>
      <c r="G1026" s="19"/>
      <c r="H1026" s="19"/>
    </row>
    <row r="1027" spans="1:8" ht="14.25" customHeight="1" x14ac:dyDescent="0.3">
      <c r="A1027" s="304">
        <v>45440</v>
      </c>
      <c r="B1027" s="305">
        <v>22888.150390625</v>
      </c>
      <c r="C1027" s="305">
        <v>820</v>
      </c>
      <c r="D1027" s="19"/>
      <c r="E1027" s="19">
        <f t="shared" ref="E1027:E1090" si="32">(B1027-B1026)/B1026</f>
        <v>-1.9317094176221025E-3</v>
      </c>
      <c r="F1027" s="19">
        <f t="shared" ref="F1027:F1090" si="33">(C1027-C1026)/C1026</f>
        <v>-2.6706231454005934E-2</v>
      </c>
      <c r="G1027" s="19"/>
      <c r="H1027" s="19"/>
    </row>
    <row r="1028" spans="1:8" ht="14.25" customHeight="1" x14ac:dyDescent="0.3">
      <c r="A1028" s="304">
        <v>45441</v>
      </c>
      <c r="B1028" s="305">
        <v>22704.69921875</v>
      </c>
      <c r="C1028" s="305">
        <v>818.29998779296898</v>
      </c>
      <c r="D1028" s="19"/>
      <c r="E1028" s="19">
        <f t="shared" si="32"/>
        <v>-8.0151156272610692E-3</v>
      </c>
      <c r="F1028" s="19">
        <f t="shared" si="33"/>
        <v>-2.0731856183305152E-3</v>
      </c>
      <c r="G1028" s="19"/>
      <c r="H1028" s="19"/>
    </row>
    <row r="1029" spans="1:8" ht="14.25" customHeight="1" x14ac:dyDescent="0.3">
      <c r="A1029" s="304">
        <v>45442</v>
      </c>
      <c r="B1029" s="305">
        <v>22488.650390625</v>
      </c>
      <c r="C1029" s="305">
        <v>802.04998779296898</v>
      </c>
      <c r="D1029" s="19"/>
      <c r="E1029" s="19">
        <f t="shared" si="32"/>
        <v>-9.5155996581792416E-3</v>
      </c>
      <c r="F1029" s="19">
        <f t="shared" si="33"/>
        <v>-1.9858242994513244E-2</v>
      </c>
      <c r="G1029" s="19"/>
      <c r="H1029" s="19"/>
    </row>
    <row r="1030" spans="1:8" ht="14.25" customHeight="1" x14ac:dyDescent="0.3">
      <c r="A1030" s="304">
        <v>45443</v>
      </c>
      <c r="B1030" s="305">
        <v>22530.69921875</v>
      </c>
      <c r="C1030" s="305">
        <v>815.65002441406295</v>
      </c>
      <c r="D1030" s="19"/>
      <c r="E1030" s="19">
        <f t="shared" si="32"/>
        <v>1.869779973213919E-3</v>
      </c>
      <c r="F1030" s="19">
        <f t="shared" si="33"/>
        <v>1.6956594761029432E-2</v>
      </c>
      <c r="G1030" s="19"/>
      <c r="H1030" s="19"/>
    </row>
    <row r="1031" spans="1:8" ht="14.25" customHeight="1" x14ac:dyDescent="0.3">
      <c r="A1031" s="304">
        <v>45446</v>
      </c>
      <c r="B1031" s="305">
        <v>23263.900390625</v>
      </c>
      <c r="C1031" s="305">
        <v>869.15002441406295</v>
      </c>
      <c r="D1031" s="19"/>
      <c r="E1031" s="19">
        <f t="shared" si="32"/>
        <v>3.2542317695352818E-2</v>
      </c>
      <c r="F1031" s="19">
        <f t="shared" si="33"/>
        <v>6.5591857290058564E-2</v>
      </c>
      <c r="G1031" s="19"/>
      <c r="H1031" s="19"/>
    </row>
    <row r="1032" spans="1:8" ht="14.25" customHeight="1" x14ac:dyDescent="0.3">
      <c r="A1032" s="304">
        <v>45447</v>
      </c>
      <c r="B1032" s="305">
        <v>21884.5</v>
      </c>
      <c r="C1032" s="305">
        <v>763</v>
      </c>
      <c r="D1032" s="19"/>
      <c r="E1032" s="19">
        <f t="shared" si="32"/>
        <v>-5.9293599416410735E-2</v>
      </c>
      <c r="F1032" s="19">
        <f t="shared" si="33"/>
        <v>-0.12213084212432018</v>
      </c>
      <c r="G1032" s="19"/>
      <c r="H1032" s="19"/>
    </row>
    <row r="1033" spans="1:8" ht="14.25" customHeight="1" x14ac:dyDescent="0.3">
      <c r="A1033" s="304">
        <v>45448</v>
      </c>
      <c r="B1033" s="305">
        <v>22620.349609375</v>
      </c>
      <c r="C1033" s="305">
        <v>796.04998779296898</v>
      </c>
      <c r="D1033" s="19"/>
      <c r="E1033" s="19">
        <f t="shared" si="32"/>
        <v>3.362423676003564E-2</v>
      </c>
      <c r="F1033" s="19">
        <f t="shared" si="33"/>
        <v>4.3315842454743091E-2</v>
      </c>
      <c r="G1033" s="19"/>
      <c r="H1033" s="19"/>
    </row>
    <row r="1034" spans="1:8" ht="14.25" customHeight="1" x14ac:dyDescent="0.3">
      <c r="A1034" s="304">
        <v>45449</v>
      </c>
      <c r="B1034" s="305">
        <v>22821.400390625</v>
      </c>
      <c r="C1034" s="305">
        <v>829.15002441406295</v>
      </c>
      <c r="D1034" s="19"/>
      <c r="E1034" s="19">
        <f t="shared" si="32"/>
        <v>8.8880492442377883E-3</v>
      </c>
      <c r="F1034" s="19">
        <f t="shared" si="33"/>
        <v>4.1580349385926252E-2</v>
      </c>
      <c r="G1034" s="19"/>
      <c r="H1034" s="19"/>
    </row>
    <row r="1035" spans="1:8" ht="14.25" customHeight="1" x14ac:dyDescent="0.3">
      <c r="A1035" s="304">
        <v>45450</v>
      </c>
      <c r="B1035" s="305">
        <v>23290.150390625</v>
      </c>
      <c r="C1035" s="305">
        <v>843.45001220703102</v>
      </c>
      <c r="D1035" s="19"/>
      <c r="E1035" s="19">
        <f t="shared" si="32"/>
        <v>2.0539931466807E-2</v>
      </c>
      <c r="F1035" s="19">
        <f t="shared" si="33"/>
        <v>1.7246562590495573E-2</v>
      </c>
      <c r="G1035" s="19"/>
      <c r="H1035" s="19"/>
    </row>
    <row r="1036" spans="1:8" ht="14.25" customHeight="1" x14ac:dyDescent="0.3">
      <c r="A1036" s="304">
        <v>45453</v>
      </c>
      <c r="B1036" s="305">
        <v>23259.19921875</v>
      </c>
      <c r="C1036" s="305">
        <v>847.59997558593795</v>
      </c>
      <c r="D1036" s="19"/>
      <c r="E1036" s="19">
        <f t="shared" si="32"/>
        <v>-1.328938257412833E-3</v>
      </c>
      <c r="F1036" s="19">
        <f t="shared" si="33"/>
        <v>4.9202244576982629E-3</v>
      </c>
      <c r="G1036" s="19"/>
      <c r="H1036" s="19"/>
    </row>
    <row r="1037" spans="1:8" ht="14.25" customHeight="1" x14ac:dyDescent="0.3">
      <c r="A1037" s="304">
        <v>45454</v>
      </c>
      <c r="B1037" s="305">
        <v>23264.849609375</v>
      </c>
      <c r="C1037" s="305">
        <v>856</v>
      </c>
      <c r="D1037" s="19"/>
      <c r="E1037" s="19">
        <f t="shared" si="32"/>
        <v>2.4293143421915555E-4</v>
      </c>
      <c r="F1037" s="19">
        <f t="shared" si="33"/>
        <v>9.9103641529191717E-3</v>
      </c>
      <c r="G1037" s="19"/>
      <c r="H1037" s="19"/>
    </row>
    <row r="1038" spans="1:8" ht="14.25" customHeight="1" x14ac:dyDescent="0.3">
      <c r="A1038" s="304">
        <v>45455</v>
      </c>
      <c r="B1038" s="305">
        <v>23322.94921875</v>
      </c>
      <c r="C1038" s="305">
        <v>859.75</v>
      </c>
      <c r="D1038" s="19"/>
      <c r="E1038" s="19">
        <f t="shared" si="32"/>
        <v>2.4973129141392641E-3</v>
      </c>
      <c r="F1038" s="19">
        <f t="shared" si="33"/>
        <v>4.3808411214953267E-3</v>
      </c>
      <c r="G1038" s="19"/>
      <c r="H1038" s="19"/>
    </row>
    <row r="1039" spans="1:8" ht="14.25" customHeight="1" x14ac:dyDescent="0.3">
      <c r="A1039" s="304">
        <v>45456</v>
      </c>
      <c r="B1039" s="305">
        <v>23398.900390625</v>
      </c>
      <c r="C1039" s="305">
        <v>874.04998779296898</v>
      </c>
      <c r="D1039" s="19"/>
      <c r="E1039" s="19">
        <f t="shared" si="32"/>
        <v>3.2564994745150257E-3</v>
      </c>
      <c r="F1039" s="19">
        <f t="shared" si="33"/>
        <v>1.6632727877835391E-2</v>
      </c>
      <c r="G1039" s="19"/>
      <c r="H1039" s="19"/>
    </row>
    <row r="1040" spans="1:8" ht="14.25" customHeight="1" x14ac:dyDescent="0.3">
      <c r="A1040" s="304">
        <v>45457</v>
      </c>
      <c r="B1040" s="305">
        <v>23465.599609375</v>
      </c>
      <c r="C1040" s="305">
        <v>878.59997558593795</v>
      </c>
      <c r="D1040" s="19"/>
      <c r="E1040" s="19">
        <f t="shared" si="32"/>
        <v>2.8505279152657831E-3</v>
      </c>
      <c r="F1040" s="19">
        <f t="shared" si="33"/>
        <v>5.205637957227117E-3</v>
      </c>
      <c r="G1040" s="19"/>
      <c r="H1040" s="19"/>
    </row>
    <row r="1041" spans="1:8" ht="14.25" customHeight="1" x14ac:dyDescent="0.3">
      <c r="A1041" s="304">
        <v>45461</v>
      </c>
      <c r="B1041" s="305">
        <v>23557.900390625</v>
      </c>
      <c r="C1041" s="305">
        <v>878.79998779296898</v>
      </c>
      <c r="D1041" s="19"/>
      <c r="E1041" s="19">
        <f t="shared" si="32"/>
        <v>3.9334507869606666E-3</v>
      </c>
      <c r="F1041" s="19">
        <f t="shared" si="33"/>
        <v>2.2764877371824938E-4</v>
      </c>
      <c r="G1041" s="19"/>
      <c r="H1041" s="19"/>
    </row>
    <row r="1042" spans="1:8" ht="14.25" customHeight="1" x14ac:dyDescent="0.3">
      <c r="A1042" s="304">
        <v>45462</v>
      </c>
      <c r="B1042" s="305">
        <v>23516</v>
      </c>
      <c r="C1042" s="305">
        <v>859.79998779296898</v>
      </c>
      <c r="D1042" s="19"/>
      <c r="E1042" s="19">
        <f t="shared" si="32"/>
        <v>-1.7786131162042989E-3</v>
      </c>
      <c r="F1042" s="19">
        <f t="shared" si="33"/>
        <v>-2.1620391743196167E-2</v>
      </c>
      <c r="G1042" s="19"/>
      <c r="H1042" s="19"/>
    </row>
    <row r="1043" spans="1:8" ht="14.25" customHeight="1" x14ac:dyDescent="0.3">
      <c r="A1043" s="304">
        <v>45463</v>
      </c>
      <c r="B1043" s="305">
        <v>23567</v>
      </c>
      <c r="C1043" s="305">
        <v>874.5</v>
      </c>
      <c r="D1043" s="19"/>
      <c r="E1043" s="19">
        <f t="shared" si="32"/>
        <v>2.1687361796223848E-3</v>
      </c>
      <c r="F1043" s="19">
        <f t="shared" si="33"/>
        <v>1.7097013742422423E-2</v>
      </c>
      <c r="G1043" s="19"/>
      <c r="H1043" s="19"/>
    </row>
    <row r="1044" spans="1:8" ht="14.25" customHeight="1" x14ac:dyDescent="0.3">
      <c r="A1044" s="304">
        <v>45464</v>
      </c>
      <c r="B1044" s="305">
        <v>23501.099609375</v>
      </c>
      <c r="C1044" s="305">
        <v>856.09997558593795</v>
      </c>
      <c r="D1044" s="19"/>
      <c r="E1044" s="19">
        <f t="shared" si="32"/>
        <v>-2.7962995130903384E-3</v>
      </c>
      <c r="F1044" s="19">
        <f t="shared" si="33"/>
        <v>-2.1040622543238473E-2</v>
      </c>
      <c r="G1044" s="19"/>
      <c r="H1044" s="19"/>
    </row>
    <row r="1045" spans="1:8" ht="14.25" customHeight="1" x14ac:dyDescent="0.3">
      <c r="A1045" s="304">
        <v>45467</v>
      </c>
      <c r="B1045" s="305">
        <v>23537.849609375</v>
      </c>
      <c r="C1045" s="305">
        <v>840.45001220703102</v>
      </c>
      <c r="D1045" s="19"/>
      <c r="E1045" s="19">
        <f t="shared" si="32"/>
        <v>1.5637566161091365E-3</v>
      </c>
      <c r="F1045" s="19">
        <f t="shared" si="33"/>
        <v>-1.8280532443883876E-2</v>
      </c>
      <c r="G1045" s="19"/>
      <c r="H1045" s="19"/>
    </row>
    <row r="1046" spans="1:8" ht="14.25" customHeight="1" x14ac:dyDescent="0.3">
      <c r="A1046" s="304">
        <v>45468</v>
      </c>
      <c r="B1046" s="305">
        <v>23721.30078125</v>
      </c>
      <c r="C1046" s="305">
        <v>824.65002441406295</v>
      </c>
      <c r="D1046" s="19"/>
      <c r="E1046" s="19">
        <f t="shared" si="32"/>
        <v>7.7938798539154731E-3</v>
      </c>
      <c r="F1046" s="19">
        <f t="shared" si="33"/>
        <v>-1.8799437876712174E-2</v>
      </c>
      <c r="G1046" s="19"/>
      <c r="H1046" s="19"/>
    </row>
    <row r="1047" spans="1:8" ht="14.25" customHeight="1" x14ac:dyDescent="0.3">
      <c r="A1047" s="304">
        <v>45469</v>
      </c>
      <c r="B1047" s="305">
        <v>23868.80078125</v>
      </c>
      <c r="C1047" s="305">
        <v>825.70001220703102</v>
      </c>
      <c r="D1047" s="19"/>
      <c r="E1047" s="19">
        <f t="shared" si="32"/>
        <v>6.2180401218380173E-3</v>
      </c>
      <c r="F1047" s="19">
        <f t="shared" si="33"/>
        <v>1.2732526064182363E-3</v>
      </c>
      <c r="G1047" s="19"/>
      <c r="H1047" s="19"/>
    </row>
    <row r="1048" spans="1:8" ht="14.25" customHeight="1" x14ac:dyDescent="0.3">
      <c r="A1048" s="304">
        <v>45470</v>
      </c>
      <c r="B1048" s="305">
        <v>24044.5</v>
      </c>
      <c r="C1048" s="305">
        <v>816.75</v>
      </c>
      <c r="D1048" s="19"/>
      <c r="E1048" s="19">
        <f t="shared" si="32"/>
        <v>7.3610408985448281E-3</v>
      </c>
      <c r="F1048" s="19">
        <f t="shared" si="33"/>
        <v>-1.0839302500563548E-2</v>
      </c>
      <c r="G1048" s="19"/>
      <c r="H1048" s="19"/>
    </row>
    <row r="1049" spans="1:8" ht="14.25" customHeight="1" x14ac:dyDescent="0.3">
      <c r="A1049" s="304">
        <v>45471</v>
      </c>
      <c r="B1049" s="305">
        <v>24010.599609375</v>
      </c>
      <c r="C1049" s="305">
        <v>824.75</v>
      </c>
      <c r="D1049" s="19"/>
      <c r="E1049" s="19">
        <f t="shared" si="32"/>
        <v>-1.4099020825968517E-3</v>
      </c>
      <c r="F1049" s="19">
        <f t="shared" si="33"/>
        <v>9.7949188858279766E-3</v>
      </c>
      <c r="G1049" s="19"/>
      <c r="H1049" s="19"/>
    </row>
    <row r="1050" spans="1:8" ht="14.25" customHeight="1" x14ac:dyDescent="0.3">
      <c r="A1050" s="304">
        <v>45474</v>
      </c>
      <c r="B1050" s="305">
        <v>24141.94921875</v>
      </c>
      <c r="C1050" s="305">
        <v>825.40002441406295</v>
      </c>
      <c r="D1050" s="19"/>
      <c r="E1050" s="19">
        <f t="shared" si="32"/>
        <v>5.4704843490753228E-3</v>
      </c>
      <c r="F1050" s="19">
        <f t="shared" si="33"/>
        <v>7.881472131712092E-4</v>
      </c>
      <c r="G1050" s="19"/>
      <c r="H1050" s="19"/>
    </row>
    <row r="1051" spans="1:8" ht="14.25" customHeight="1" x14ac:dyDescent="0.3">
      <c r="A1051" s="304">
        <v>45475</v>
      </c>
      <c r="B1051" s="305">
        <v>24123.849609375</v>
      </c>
      <c r="C1051" s="305">
        <v>830.40002441406295</v>
      </c>
      <c r="D1051" s="19"/>
      <c r="E1051" s="19">
        <f t="shared" si="32"/>
        <v>-7.4971615634676354E-4</v>
      </c>
      <c r="F1051" s="19">
        <f t="shared" si="33"/>
        <v>6.0576688297888197E-3</v>
      </c>
      <c r="G1051" s="19"/>
      <c r="H1051" s="19"/>
    </row>
    <row r="1052" spans="1:8" ht="14.25" customHeight="1" x14ac:dyDescent="0.3">
      <c r="A1052" s="304">
        <v>45476</v>
      </c>
      <c r="B1052" s="305">
        <v>24286.5</v>
      </c>
      <c r="C1052" s="305">
        <v>841.15002441406295</v>
      </c>
      <c r="D1052" s="19"/>
      <c r="E1052" s="19">
        <f t="shared" si="32"/>
        <v>6.742306607722794E-3</v>
      </c>
      <c r="F1052" s="19">
        <f t="shared" si="33"/>
        <v>1.294556802016629E-2</v>
      </c>
      <c r="G1052" s="19"/>
      <c r="H1052" s="19"/>
    </row>
    <row r="1053" spans="1:8" ht="14.25" customHeight="1" x14ac:dyDescent="0.3">
      <c r="A1053" s="304">
        <v>45477</v>
      </c>
      <c r="B1053" s="305">
        <v>24302.150390625</v>
      </c>
      <c r="C1053" s="305">
        <v>838.59997558593795</v>
      </c>
      <c r="D1053" s="19"/>
      <c r="E1053" s="19">
        <f t="shared" si="32"/>
        <v>6.4440700080291519E-4</v>
      </c>
      <c r="F1053" s="19">
        <f t="shared" si="33"/>
        <v>-3.031621891589838E-3</v>
      </c>
      <c r="G1053" s="19"/>
      <c r="H1053" s="19"/>
    </row>
    <row r="1054" spans="1:8" ht="14.25" customHeight="1" x14ac:dyDescent="0.3">
      <c r="A1054" s="304">
        <v>45478</v>
      </c>
      <c r="B1054" s="305">
        <v>24323.849609375</v>
      </c>
      <c r="C1054" s="305">
        <v>832.79998779296898</v>
      </c>
      <c r="D1054" s="19"/>
      <c r="E1054" s="19">
        <f t="shared" si="32"/>
        <v>8.928929498506795E-4</v>
      </c>
      <c r="F1054" s="19">
        <f t="shared" si="33"/>
        <v>-6.9162746980960376E-3</v>
      </c>
      <c r="G1054" s="19"/>
      <c r="H1054" s="19"/>
    </row>
    <row r="1055" spans="1:8" ht="14.25" customHeight="1" x14ac:dyDescent="0.3">
      <c r="A1055" s="304">
        <v>45481</v>
      </c>
      <c r="B1055" s="305">
        <v>24320.55078125</v>
      </c>
      <c r="C1055" s="305">
        <v>835.70001220703102</v>
      </c>
      <c r="D1055" s="19"/>
      <c r="E1055" s="19">
        <f t="shared" si="32"/>
        <v>-1.3562113637343622E-4</v>
      </c>
      <c r="F1055" s="19">
        <f t="shared" si="33"/>
        <v>3.4822579929996117E-3</v>
      </c>
      <c r="G1055" s="19"/>
      <c r="H1055" s="19"/>
    </row>
    <row r="1056" spans="1:8" ht="14.25" customHeight="1" x14ac:dyDescent="0.3">
      <c r="A1056" s="304">
        <v>45482</v>
      </c>
      <c r="B1056" s="305">
        <v>24433.19921875</v>
      </c>
      <c r="C1056" s="305">
        <v>838.54998779296898</v>
      </c>
      <c r="D1056" s="19"/>
      <c r="E1056" s="19">
        <f t="shared" si="32"/>
        <v>4.631820986013468E-3</v>
      </c>
      <c r="F1056" s="19">
        <f t="shared" si="33"/>
        <v>3.4102854425134554E-3</v>
      </c>
      <c r="G1056" s="19"/>
      <c r="H1056" s="19"/>
    </row>
    <row r="1057" spans="1:8" ht="14.25" customHeight="1" x14ac:dyDescent="0.3">
      <c r="A1057" s="304">
        <v>45483</v>
      </c>
      <c r="B1057" s="305">
        <v>24324.44921875</v>
      </c>
      <c r="C1057" s="305">
        <v>836.70001220703102</v>
      </c>
      <c r="D1057" s="19"/>
      <c r="E1057" s="19">
        <f t="shared" si="32"/>
        <v>-4.4509111977667423E-3</v>
      </c>
      <c r="F1057" s="19">
        <f t="shared" si="33"/>
        <v>-2.2061601727608616E-3</v>
      </c>
      <c r="G1057" s="19"/>
      <c r="H1057" s="19"/>
    </row>
    <row r="1058" spans="1:8" ht="14.25" customHeight="1" x14ac:dyDescent="0.3">
      <c r="A1058" s="304">
        <v>45484</v>
      </c>
      <c r="B1058" s="305">
        <v>24315.94921875</v>
      </c>
      <c r="C1058" s="305">
        <v>831.95001220703102</v>
      </c>
      <c r="D1058" s="19"/>
      <c r="E1058" s="19">
        <f t="shared" si="32"/>
        <v>-3.4944265021417015E-4</v>
      </c>
      <c r="F1058" s="19">
        <f t="shared" si="33"/>
        <v>-5.6770645759530256E-3</v>
      </c>
      <c r="G1058" s="19"/>
      <c r="H1058" s="19"/>
    </row>
    <row r="1059" spans="1:8" ht="14.25" customHeight="1" x14ac:dyDescent="0.3">
      <c r="A1059" s="304">
        <v>45485</v>
      </c>
      <c r="B1059" s="305">
        <v>24502.150390625</v>
      </c>
      <c r="C1059" s="305">
        <v>821.70001220703102</v>
      </c>
      <c r="D1059" s="19"/>
      <c r="E1059" s="19">
        <f t="shared" si="32"/>
        <v>7.6575736443560468E-3</v>
      </c>
      <c r="F1059" s="19">
        <f t="shared" si="33"/>
        <v>-1.2320451769461942E-2</v>
      </c>
      <c r="G1059" s="19"/>
      <c r="H1059" s="19"/>
    </row>
    <row r="1060" spans="1:8" ht="14.25" customHeight="1" x14ac:dyDescent="0.3">
      <c r="A1060" s="304">
        <v>45488</v>
      </c>
      <c r="B1060" s="305">
        <v>24586.69921875</v>
      </c>
      <c r="C1060" s="305">
        <v>833.29998779296898</v>
      </c>
      <c r="D1060" s="19"/>
      <c r="E1060" s="19">
        <f t="shared" si="32"/>
        <v>3.4506697076412537E-3</v>
      </c>
      <c r="F1060" s="19">
        <f t="shared" si="33"/>
        <v>1.4117044436668802E-2</v>
      </c>
      <c r="G1060" s="19"/>
      <c r="H1060" s="19"/>
    </row>
    <row r="1061" spans="1:8" ht="14.25" customHeight="1" x14ac:dyDescent="0.3">
      <c r="A1061" s="304">
        <v>45489</v>
      </c>
      <c r="B1061" s="305">
        <v>24613</v>
      </c>
      <c r="C1061" s="305">
        <v>843.75</v>
      </c>
      <c r="D1061" s="19"/>
      <c r="E1061" s="19">
        <f t="shared" si="32"/>
        <v>1.0697158254550424E-3</v>
      </c>
      <c r="F1061" s="19">
        <f t="shared" si="33"/>
        <v>1.2540516452794307E-2</v>
      </c>
      <c r="G1061" s="19"/>
      <c r="H1061" s="19"/>
    </row>
    <row r="1062" spans="1:8" ht="14.25" customHeight="1" x14ac:dyDescent="0.3">
      <c r="A1062" s="304">
        <v>45491</v>
      </c>
      <c r="B1062" s="305">
        <v>24800.849609375</v>
      </c>
      <c r="C1062" s="305">
        <v>844.90002441406295</v>
      </c>
      <c r="D1062" s="19"/>
      <c r="E1062" s="19">
        <f t="shared" si="32"/>
        <v>7.63212974342827E-3</v>
      </c>
      <c r="F1062" s="19">
        <f t="shared" si="33"/>
        <v>1.3629918981486872E-3</v>
      </c>
      <c r="G1062" s="19"/>
      <c r="H1062" s="19"/>
    </row>
    <row r="1063" spans="1:8" ht="14.25" customHeight="1" x14ac:dyDescent="0.3">
      <c r="A1063" s="304">
        <v>45492</v>
      </c>
      <c r="B1063" s="305">
        <v>24530.900390625</v>
      </c>
      <c r="C1063" s="305">
        <v>816.40002441406295</v>
      </c>
      <c r="D1063" s="19"/>
      <c r="E1063" s="19">
        <f t="shared" si="32"/>
        <v>-1.0884676251089243E-2</v>
      </c>
      <c r="F1063" s="19">
        <f t="shared" si="33"/>
        <v>-3.3731801605479547E-2</v>
      </c>
      <c r="G1063" s="19"/>
      <c r="H1063" s="19"/>
    </row>
    <row r="1064" spans="1:8" ht="14.25" customHeight="1" x14ac:dyDescent="0.3">
      <c r="A1064" s="304">
        <v>45495</v>
      </c>
      <c r="B1064" s="305">
        <v>24509.25</v>
      </c>
      <c r="C1064" s="305">
        <v>831.90002441406295</v>
      </c>
      <c r="D1064" s="19"/>
      <c r="E1064" s="19">
        <f t="shared" si="32"/>
        <v>-8.8257627238477363E-4</v>
      </c>
      <c r="F1064" s="19">
        <f t="shared" si="33"/>
        <v>1.8985790711023652E-2</v>
      </c>
      <c r="G1064" s="19"/>
      <c r="H1064" s="19"/>
    </row>
    <row r="1065" spans="1:8" ht="14.25" customHeight="1" x14ac:dyDescent="0.3">
      <c r="A1065" s="304">
        <v>45496</v>
      </c>
      <c r="B1065" s="305">
        <v>24479.05078125</v>
      </c>
      <c r="C1065" s="305">
        <v>809.34997558593795</v>
      </c>
      <c r="D1065" s="19"/>
      <c r="E1065" s="19">
        <f t="shared" si="32"/>
        <v>-1.2321559717249609E-3</v>
      </c>
      <c r="F1065" s="19">
        <f t="shared" si="33"/>
        <v>-2.7106681291430193E-2</v>
      </c>
      <c r="G1065" s="19"/>
      <c r="H1065" s="19"/>
    </row>
    <row r="1066" spans="1:8" ht="14.25" customHeight="1" x14ac:dyDescent="0.3">
      <c r="A1066" s="304">
        <v>45497</v>
      </c>
      <c r="B1066" s="305">
        <v>24413.5</v>
      </c>
      <c r="C1066" s="305">
        <v>819.40002441406295</v>
      </c>
      <c r="D1066" s="19"/>
      <c r="E1066" s="19">
        <f t="shared" si="32"/>
        <v>-2.6778318259059845E-3</v>
      </c>
      <c r="F1066" s="19">
        <f t="shared" si="33"/>
        <v>1.2417432669778182E-2</v>
      </c>
      <c r="G1066" s="19"/>
      <c r="H1066" s="19"/>
    </row>
    <row r="1067" spans="1:8" ht="14.25" customHeight="1" x14ac:dyDescent="0.3">
      <c r="A1067" s="304">
        <v>45498</v>
      </c>
      <c r="B1067" s="305">
        <v>24406.099609375</v>
      </c>
      <c r="C1067" s="305">
        <v>811.70001220703102</v>
      </c>
      <c r="D1067" s="19"/>
      <c r="E1067" s="19">
        <f t="shared" si="32"/>
        <v>-3.031269840457124E-4</v>
      </c>
      <c r="F1067" s="19">
        <f t="shared" si="33"/>
        <v>-9.3971344613249935E-3</v>
      </c>
      <c r="G1067" s="19"/>
      <c r="H1067" s="19"/>
    </row>
    <row r="1068" spans="1:8" ht="14.25" customHeight="1" x14ac:dyDescent="0.3">
      <c r="A1068" s="304">
        <v>45499</v>
      </c>
      <c r="B1068" s="305">
        <v>24834.849609375</v>
      </c>
      <c r="C1068" s="305">
        <v>829.70001220703102</v>
      </c>
      <c r="D1068" s="19"/>
      <c r="E1068" s="19">
        <f t="shared" si="32"/>
        <v>1.756732976027461E-2</v>
      </c>
      <c r="F1068" s="19">
        <f t="shared" si="33"/>
        <v>2.2175680336701715E-2</v>
      </c>
      <c r="G1068" s="19"/>
      <c r="H1068" s="19"/>
    </row>
    <row r="1069" spans="1:8" ht="14.25" customHeight="1" x14ac:dyDescent="0.3">
      <c r="A1069" s="304">
        <v>45502</v>
      </c>
      <c r="B1069" s="305">
        <v>24836.099609375</v>
      </c>
      <c r="C1069" s="305">
        <v>870</v>
      </c>
      <c r="D1069" s="19"/>
      <c r="E1069" s="19">
        <f t="shared" si="32"/>
        <v>5.0332497263367071E-5</v>
      </c>
      <c r="F1069" s="19">
        <f t="shared" si="33"/>
        <v>4.857175750277453E-2</v>
      </c>
      <c r="G1069" s="19"/>
      <c r="H1069" s="19"/>
    </row>
    <row r="1070" spans="1:8" ht="14.25" customHeight="1" x14ac:dyDescent="0.3">
      <c r="A1070" s="304">
        <v>45503</v>
      </c>
      <c r="B1070" s="305">
        <v>24857.30078125</v>
      </c>
      <c r="C1070" s="305">
        <v>879.90002441406295</v>
      </c>
      <c r="D1070" s="19"/>
      <c r="E1070" s="19">
        <f t="shared" si="32"/>
        <v>8.5364337430008915E-4</v>
      </c>
      <c r="F1070" s="19">
        <f t="shared" si="33"/>
        <v>1.1379338406968913E-2</v>
      </c>
      <c r="G1070" s="19"/>
      <c r="H1070" s="19"/>
    </row>
    <row r="1071" spans="1:8" ht="14.25" customHeight="1" x14ac:dyDescent="0.3">
      <c r="A1071" s="304">
        <v>45504</v>
      </c>
      <c r="B1071" s="305">
        <v>24951.150390625</v>
      </c>
      <c r="C1071" s="305">
        <v>889.15002441406295</v>
      </c>
      <c r="D1071" s="19"/>
      <c r="E1071" s="19">
        <f t="shared" si="32"/>
        <v>3.7755350108564997E-3</v>
      </c>
      <c r="F1071" s="19">
        <f t="shared" si="33"/>
        <v>1.0512557953569437E-2</v>
      </c>
      <c r="G1071" s="19"/>
      <c r="H1071" s="19"/>
    </row>
    <row r="1072" spans="1:8" ht="14.25" customHeight="1" x14ac:dyDescent="0.3">
      <c r="A1072" s="304">
        <v>45505</v>
      </c>
      <c r="B1072" s="305">
        <v>25010.900390625</v>
      </c>
      <c r="C1072" s="305">
        <v>873.90002441406295</v>
      </c>
      <c r="D1072" s="19"/>
      <c r="E1072" s="19">
        <f t="shared" si="32"/>
        <v>2.3946791656728628E-3</v>
      </c>
      <c r="F1072" s="19">
        <f t="shared" si="33"/>
        <v>-1.7151211360590727E-2</v>
      </c>
      <c r="G1072" s="19"/>
      <c r="H1072" s="19"/>
    </row>
    <row r="1073" spans="1:8" ht="14.25" customHeight="1" x14ac:dyDescent="0.3">
      <c r="A1073" s="304">
        <v>45506</v>
      </c>
      <c r="B1073" s="305">
        <v>24717.69921875</v>
      </c>
      <c r="C1073" s="305">
        <v>844.45001220703102</v>
      </c>
      <c r="D1073" s="19"/>
      <c r="E1073" s="19">
        <f t="shared" si="32"/>
        <v>-1.1722935491954641E-2</v>
      </c>
      <c r="F1073" s="19">
        <f t="shared" si="33"/>
        <v>-3.3699520979848616E-2</v>
      </c>
      <c r="G1073" s="19"/>
      <c r="H1073" s="19"/>
    </row>
    <row r="1074" spans="1:8" ht="14.25" customHeight="1" x14ac:dyDescent="0.3">
      <c r="A1074" s="304">
        <v>45509</v>
      </c>
      <c r="B1074" s="305">
        <v>24055.599609375</v>
      </c>
      <c r="C1074" s="305">
        <v>810.15002441406295</v>
      </c>
      <c r="D1074" s="19"/>
      <c r="E1074" s="19">
        <f t="shared" si="32"/>
        <v>-2.6786457894622889E-2</v>
      </c>
      <c r="F1074" s="19">
        <f t="shared" si="33"/>
        <v>-4.0618138785175187E-2</v>
      </c>
      <c r="G1074" s="19"/>
      <c r="H1074" s="19"/>
    </row>
    <row r="1075" spans="1:8" ht="14.25" customHeight="1" x14ac:dyDescent="0.3">
      <c r="A1075" s="304">
        <v>45510</v>
      </c>
      <c r="B1075" s="305">
        <v>23992.55078125</v>
      </c>
      <c r="C1075" s="305">
        <v>820.70001220703102</v>
      </c>
      <c r="D1075" s="19"/>
      <c r="E1075" s="19">
        <f t="shared" si="32"/>
        <v>-2.6209626510589443E-3</v>
      </c>
      <c r="F1075" s="19">
        <f t="shared" si="33"/>
        <v>1.302226436467529E-2</v>
      </c>
      <c r="G1075" s="19"/>
      <c r="H1075" s="19"/>
    </row>
    <row r="1076" spans="1:8" ht="14.25" customHeight="1" x14ac:dyDescent="0.3">
      <c r="A1076" s="304">
        <v>45511</v>
      </c>
      <c r="B1076" s="305">
        <v>24297.5</v>
      </c>
      <c r="C1076" s="305">
        <v>845.65002441406295</v>
      </c>
      <c r="D1076" s="19"/>
      <c r="E1076" s="19">
        <f t="shared" si="32"/>
        <v>1.2710162480444369E-2</v>
      </c>
      <c r="F1076" s="19">
        <f t="shared" si="33"/>
        <v>3.0400891721612408E-2</v>
      </c>
      <c r="G1076" s="19"/>
      <c r="H1076" s="19"/>
    </row>
    <row r="1077" spans="1:8" ht="14.25" customHeight="1" x14ac:dyDescent="0.3">
      <c r="A1077" s="304">
        <v>45512</v>
      </c>
      <c r="B1077" s="305">
        <v>24117</v>
      </c>
      <c r="C1077" s="305">
        <v>832.59997558593795</v>
      </c>
      <c r="D1077" s="19"/>
      <c r="E1077" s="19">
        <f t="shared" si="32"/>
        <v>-7.428747813561066E-3</v>
      </c>
      <c r="F1077" s="19">
        <f t="shared" si="33"/>
        <v>-1.5431973572243631E-2</v>
      </c>
      <c r="G1077" s="19"/>
      <c r="H1077" s="19"/>
    </row>
    <row r="1078" spans="1:8" ht="14.25" customHeight="1" x14ac:dyDescent="0.3">
      <c r="A1078" s="304">
        <v>45513</v>
      </c>
      <c r="B1078" s="305">
        <v>24367.5</v>
      </c>
      <c r="C1078" s="305">
        <v>830.90002441406295</v>
      </c>
      <c r="D1078" s="19"/>
      <c r="E1078" s="19">
        <f t="shared" si="32"/>
        <v>1.0386864037815649E-2</v>
      </c>
      <c r="F1078" s="19">
        <f t="shared" si="33"/>
        <v>-2.0417381956787449E-3</v>
      </c>
      <c r="G1078" s="19"/>
      <c r="H1078" s="19"/>
    </row>
    <row r="1079" spans="1:8" ht="14.25" customHeight="1" x14ac:dyDescent="0.3">
      <c r="A1079" s="304">
        <v>45516</v>
      </c>
      <c r="B1079" s="305">
        <v>24347</v>
      </c>
      <c r="C1079" s="305">
        <v>835.45001220703102</v>
      </c>
      <c r="D1079" s="19"/>
      <c r="E1079" s="19">
        <f t="shared" si="32"/>
        <v>-8.412844977941931E-4</v>
      </c>
      <c r="F1079" s="19">
        <f t="shared" si="33"/>
        <v>5.4759750382443956E-3</v>
      </c>
      <c r="G1079" s="19"/>
      <c r="H1079" s="19"/>
    </row>
    <row r="1080" spans="1:8" ht="14.25" customHeight="1" x14ac:dyDescent="0.3">
      <c r="A1080" s="304">
        <v>45517</v>
      </c>
      <c r="B1080" s="305">
        <v>24139</v>
      </c>
      <c r="C1080" s="305">
        <v>813.84997558593795</v>
      </c>
      <c r="D1080" s="19"/>
      <c r="E1080" s="19">
        <f t="shared" si="32"/>
        <v>-8.5431469996303452E-3</v>
      </c>
      <c r="F1080" s="19">
        <f t="shared" si="33"/>
        <v>-2.5854373458002188E-2</v>
      </c>
      <c r="G1080" s="19"/>
      <c r="H1080" s="19"/>
    </row>
    <row r="1081" spans="1:8" ht="14.25" customHeight="1" x14ac:dyDescent="0.3">
      <c r="A1081" s="304">
        <v>45518</v>
      </c>
      <c r="B1081" s="305">
        <v>24143.75</v>
      </c>
      <c r="C1081" s="305">
        <v>821.65002441406295</v>
      </c>
      <c r="D1081" s="19"/>
      <c r="E1081" s="19">
        <f t="shared" si="32"/>
        <v>1.9677699987571978E-4</v>
      </c>
      <c r="F1081" s="19">
        <f t="shared" si="33"/>
        <v>9.5841359735979476E-3</v>
      </c>
      <c r="G1081" s="19"/>
      <c r="H1081" s="19"/>
    </row>
    <row r="1082" spans="1:8" ht="14.25" customHeight="1" x14ac:dyDescent="0.3">
      <c r="A1082" s="304">
        <v>45520</v>
      </c>
      <c r="B1082" s="305">
        <v>24541.150390625</v>
      </c>
      <c r="C1082" s="305">
        <v>866.90002441406295</v>
      </c>
      <c r="D1082" s="19"/>
      <c r="E1082" s="19">
        <f t="shared" si="32"/>
        <v>1.6459762490292518E-2</v>
      </c>
      <c r="F1082" s="19">
        <f t="shared" si="33"/>
        <v>5.5072109359783426E-2</v>
      </c>
      <c r="G1082" s="19"/>
      <c r="H1082" s="19"/>
    </row>
    <row r="1083" spans="1:8" ht="14.25" customHeight="1" x14ac:dyDescent="0.3">
      <c r="A1083" s="304">
        <v>45523</v>
      </c>
      <c r="B1083" s="305">
        <v>24572.650390625</v>
      </c>
      <c r="C1083" s="305">
        <v>857.20001220703102</v>
      </c>
      <c r="D1083" s="19"/>
      <c r="E1083" s="19">
        <f t="shared" si="32"/>
        <v>1.2835584110202657E-3</v>
      </c>
      <c r="F1083" s="19">
        <f t="shared" si="33"/>
        <v>-1.1189308955883537E-2</v>
      </c>
      <c r="G1083" s="19"/>
      <c r="H1083" s="19"/>
    </row>
    <row r="1084" spans="1:8" ht="14.25" customHeight="1" x14ac:dyDescent="0.3">
      <c r="A1084" s="304">
        <v>45524</v>
      </c>
      <c r="B1084" s="305">
        <v>24698.849609375</v>
      </c>
      <c r="C1084" s="305">
        <v>867.34997558593795</v>
      </c>
      <c r="D1084" s="19"/>
      <c r="E1084" s="19">
        <f t="shared" si="32"/>
        <v>5.1357593399101852E-3</v>
      </c>
      <c r="F1084" s="19">
        <f t="shared" si="33"/>
        <v>1.1840834384467452E-2</v>
      </c>
      <c r="G1084" s="19"/>
      <c r="H1084" s="19"/>
    </row>
    <row r="1085" spans="1:8" ht="14.25" customHeight="1" x14ac:dyDescent="0.3">
      <c r="A1085" s="304">
        <v>45525</v>
      </c>
      <c r="B1085" s="305">
        <v>24770.19921875</v>
      </c>
      <c r="C1085" s="305">
        <v>860.54998779296898</v>
      </c>
      <c r="D1085" s="19"/>
      <c r="E1085" s="19">
        <f t="shared" si="32"/>
        <v>2.8887826964992596E-3</v>
      </c>
      <c r="F1085" s="19">
        <f t="shared" si="33"/>
        <v>-7.839958476248585E-3</v>
      </c>
      <c r="G1085" s="19"/>
      <c r="H1085" s="19"/>
    </row>
    <row r="1086" spans="1:8" ht="14.25" customHeight="1" x14ac:dyDescent="0.3">
      <c r="A1086" s="304">
        <v>45526</v>
      </c>
      <c r="B1086" s="305">
        <v>24811.5</v>
      </c>
      <c r="C1086" s="305">
        <v>859.25</v>
      </c>
      <c r="D1086" s="19"/>
      <c r="E1086" s="19">
        <f t="shared" si="32"/>
        <v>1.667357653657345E-3</v>
      </c>
      <c r="F1086" s="19">
        <f t="shared" si="33"/>
        <v>-1.5106476223455928E-3</v>
      </c>
      <c r="G1086" s="19"/>
      <c r="H1086" s="19"/>
    </row>
    <row r="1087" spans="1:8" ht="14.25" customHeight="1" x14ac:dyDescent="0.3">
      <c r="A1087" s="304">
        <v>45527</v>
      </c>
      <c r="B1087" s="305">
        <v>24823.150390625</v>
      </c>
      <c r="C1087" s="305">
        <v>849.5</v>
      </c>
      <c r="D1087" s="19"/>
      <c r="E1087" s="19">
        <f t="shared" si="32"/>
        <v>4.6955607782681415E-4</v>
      </c>
      <c r="F1087" s="19">
        <f t="shared" si="33"/>
        <v>-1.1347105033459412E-2</v>
      </c>
      <c r="G1087" s="19"/>
      <c r="H1087" s="19"/>
    </row>
    <row r="1088" spans="1:8" ht="14.25" customHeight="1" x14ac:dyDescent="0.3">
      <c r="A1088" s="304">
        <v>45530</v>
      </c>
      <c r="B1088" s="305">
        <v>25010.599609375</v>
      </c>
      <c r="C1088" s="305">
        <v>848.79998779296898</v>
      </c>
      <c r="D1088" s="19"/>
      <c r="E1088" s="19">
        <f t="shared" si="32"/>
        <v>7.551387144670978E-3</v>
      </c>
      <c r="F1088" s="19">
        <f t="shared" si="33"/>
        <v>-8.2402849562215733E-4</v>
      </c>
      <c r="G1088" s="19"/>
      <c r="H1088" s="19"/>
    </row>
    <row r="1089" spans="1:8" ht="14.25" customHeight="1" x14ac:dyDescent="0.3">
      <c r="A1089" s="304">
        <v>45531</v>
      </c>
      <c r="B1089" s="305">
        <v>25017.75</v>
      </c>
      <c r="C1089" s="305">
        <v>846.34997558593795</v>
      </c>
      <c r="D1089" s="19"/>
      <c r="E1089" s="19">
        <f t="shared" si="32"/>
        <v>2.8589441023715959E-4</v>
      </c>
      <c r="F1089" s="19">
        <f t="shared" si="33"/>
        <v>-2.8864423212369389E-3</v>
      </c>
      <c r="G1089" s="19"/>
      <c r="H1089" s="19"/>
    </row>
    <row r="1090" spans="1:8" ht="14.25" customHeight="1" x14ac:dyDescent="0.3">
      <c r="A1090" s="304">
        <v>45532</v>
      </c>
      <c r="B1090" s="305">
        <v>25052.349609375</v>
      </c>
      <c r="C1090" s="305">
        <v>837.09997558593795</v>
      </c>
      <c r="D1090" s="19"/>
      <c r="E1090" s="19">
        <f t="shared" si="32"/>
        <v>1.3830024432652816E-3</v>
      </c>
      <c r="F1090" s="19">
        <f t="shared" si="33"/>
        <v>-1.0929284890208826E-2</v>
      </c>
      <c r="G1090" s="19"/>
      <c r="H1090" s="19"/>
    </row>
    <row r="1091" spans="1:8" ht="14.25" customHeight="1" x14ac:dyDescent="0.3">
      <c r="A1091" s="304">
        <v>45533</v>
      </c>
      <c r="B1091" s="305">
        <v>25151.94921875</v>
      </c>
      <c r="C1091" s="305">
        <v>831.90002441406295</v>
      </c>
      <c r="D1091" s="19"/>
      <c r="E1091" s="19">
        <f t="shared" ref="E1091:E1154" si="34">(B1091-B1090)/B1090</f>
        <v>3.9756594063228385E-3</v>
      </c>
      <c r="F1091" s="19">
        <f t="shared" ref="F1091:F1154" si="35">(C1091-C1090)/C1090</f>
        <v>-6.2118639631248739E-3</v>
      </c>
      <c r="G1091" s="19"/>
      <c r="H1091" s="19"/>
    </row>
    <row r="1092" spans="1:8" ht="14.25" customHeight="1" x14ac:dyDescent="0.3">
      <c r="A1092" s="304">
        <v>45534</v>
      </c>
      <c r="B1092" s="305">
        <v>25235.900390625</v>
      </c>
      <c r="C1092" s="305">
        <v>845.09997558593795</v>
      </c>
      <c r="D1092" s="19"/>
      <c r="E1092" s="19">
        <f t="shared" si="34"/>
        <v>3.3377600735777966E-3</v>
      </c>
      <c r="F1092" s="19">
        <f t="shared" si="35"/>
        <v>1.5867232581429722E-2</v>
      </c>
      <c r="G1092" s="19"/>
      <c r="H1092" s="19"/>
    </row>
    <row r="1093" spans="1:8" ht="14.25" customHeight="1" x14ac:dyDescent="0.3">
      <c r="A1093" s="304">
        <v>45537</v>
      </c>
      <c r="B1093" s="305">
        <v>25278.69921875</v>
      </c>
      <c r="C1093" s="305">
        <v>848.25</v>
      </c>
      <c r="D1093" s="19"/>
      <c r="E1093" s="19">
        <f t="shared" si="34"/>
        <v>1.6959501132323192E-3</v>
      </c>
      <c r="F1093" s="19">
        <f t="shared" si="35"/>
        <v>3.7273985387090099E-3</v>
      </c>
      <c r="G1093" s="19"/>
      <c r="H1093" s="19"/>
    </row>
    <row r="1094" spans="1:8" ht="14.25" customHeight="1" x14ac:dyDescent="0.3">
      <c r="A1094" s="304">
        <v>45538</v>
      </c>
      <c r="B1094" s="305">
        <v>25279.849609375</v>
      </c>
      <c r="C1094" s="305">
        <v>847.59997558593795</v>
      </c>
      <c r="D1094" s="19"/>
      <c r="E1094" s="19">
        <f t="shared" si="34"/>
        <v>4.5508299894905958E-5</v>
      </c>
      <c r="F1094" s="19">
        <f t="shared" si="35"/>
        <v>-7.6631230658655498E-4</v>
      </c>
      <c r="G1094" s="19"/>
      <c r="H1094" s="19"/>
    </row>
    <row r="1095" spans="1:8" ht="14.25" customHeight="1" x14ac:dyDescent="0.3">
      <c r="A1095" s="304">
        <v>45539</v>
      </c>
      <c r="B1095" s="305">
        <v>25198.69921875</v>
      </c>
      <c r="C1095" s="305">
        <v>850.34997558593795</v>
      </c>
      <c r="D1095" s="19"/>
      <c r="E1095" s="19">
        <f t="shared" si="34"/>
        <v>-3.2100820170585776E-3</v>
      </c>
      <c r="F1095" s="19">
        <f t="shared" si="35"/>
        <v>3.244455025023981E-3</v>
      </c>
      <c r="G1095" s="19"/>
      <c r="H1095" s="19"/>
    </row>
    <row r="1096" spans="1:8" ht="14.25" customHeight="1" x14ac:dyDescent="0.3">
      <c r="A1096" s="304">
        <v>45540</v>
      </c>
      <c r="B1096" s="305">
        <v>25145.099609375</v>
      </c>
      <c r="C1096" s="305">
        <v>841.65002441406295</v>
      </c>
      <c r="D1096" s="19"/>
      <c r="E1096" s="19">
        <f t="shared" si="34"/>
        <v>-2.1270784221717794E-3</v>
      </c>
      <c r="F1096" s="19">
        <f t="shared" si="35"/>
        <v>-1.0231024191986664E-2</v>
      </c>
      <c r="G1096" s="19"/>
      <c r="H1096" s="19"/>
    </row>
    <row r="1097" spans="1:8" ht="14.25" customHeight="1" x14ac:dyDescent="0.3">
      <c r="A1097" s="304">
        <v>45541</v>
      </c>
      <c r="B1097" s="305">
        <v>24852.150390625</v>
      </c>
      <c r="C1097" s="305">
        <v>814.25</v>
      </c>
      <c r="D1097" s="19"/>
      <c r="E1097" s="19">
        <f t="shared" si="34"/>
        <v>-1.1650350298901897E-2</v>
      </c>
      <c r="F1097" s="19">
        <f t="shared" si="35"/>
        <v>-3.2555128164034941E-2</v>
      </c>
      <c r="G1097" s="19"/>
      <c r="H1097" s="19"/>
    </row>
    <row r="1098" spans="1:8" ht="14.25" customHeight="1" x14ac:dyDescent="0.3">
      <c r="A1098" s="304">
        <v>45544</v>
      </c>
      <c r="B1098" s="305">
        <v>24936.400390625</v>
      </c>
      <c r="C1098" s="305">
        <v>826.75</v>
      </c>
      <c r="D1098" s="19"/>
      <c r="E1098" s="19">
        <f t="shared" si="34"/>
        <v>3.3900486950127948E-3</v>
      </c>
      <c r="F1098" s="19">
        <f t="shared" si="35"/>
        <v>1.5351550506601168E-2</v>
      </c>
      <c r="G1098" s="19"/>
      <c r="H1098" s="19"/>
    </row>
    <row r="1099" spans="1:8" ht="14.25" customHeight="1" x14ac:dyDescent="0.3">
      <c r="A1099" s="304">
        <v>45545</v>
      </c>
      <c r="B1099" s="305">
        <v>25041.099609375</v>
      </c>
      <c r="C1099" s="305">
        <v>829.79998779296898</v>
      </c>
      <c r="D1099" s="19"/>
      <c r="E1099" s="19">
        <f t="shared" si="34"/>
        <v>4.1986500501236075E-3</v>
      </c>
      <c r="F1099" s="19">
        <f t="shared" si="35"/>
        <v>3.6891294744106169E-3</v>
      </c>
      <c r="G1099" s="19"/>
      <c r="H1099" s="19"/>
    </row>
    <row r="1100" spans="1:8" ht="14.25" customHeight="1" x14ac:dyDescent="0.3">
      <c r="A1100" s="304">
        <v>45546</v>
      </c>
      <c r="B1100" s="305">
        <v>24918.44921875</v>
      </c>
      <c r="C1100" s="305">
        <v>824</v>
      </c>
      <c r="D1100" s="19"/>
      <c r="E1100" s="19">
        <f t="shared" si="34"/>
        <v>-4.8979634496195048E-3</v>
      </c>
      <c r="F1100" s="19">
        <f t="shared" si="35"/>
        <v>-6.9896214488931107E-3</v>
      </c>
      <c r="G1100" s="19"/>
      <c r="H1100" s="19"/>
    </row>
    <row r="1101" spans="1:8" ht="14.25" customHeight="1" x14ac:dyDescent="0.3">
      <c r="A1101" s="304">
        <v>45547</v>
      </c>
      <c r="B1101" s="305">
        <v>25388.900390625</v>
      </c>
      <c r="C1101" s="305">
        <v>835.90002441406295</v>
      </c>
      <c r="D1101" s="19"/>
      <c r="E1101" s="19">
        <f t="shared" si="34"/>
        <v>1.8879632827271085E-2</v>
      </c>
      <c r="F1101" s="19">
        <f t="shared" si="35"/>
        <v>1.4441777201532712E-2</v>
      </c>
      <c r="G1101" s="19"/>
      <c r="H1101" s="19"/>
    </row>
    <row r="1102" spans="1:8" ht="14.25" customHeight="1" x14ac:dyDescent="0.3">
      <c r="A1102" s="304">
        <v>45548</v>
      </c>
      <c r="B1102" s="305">
        <v>25356.5</v>
      </c>
      <c r="C1102" s="305">
        <v>863.59997558593795</v>
      </c>
      <c r="D1102" s="19"/>
      <c r="E1102" s="19">
        <f t="shared" si="34"/>
        <v>-1.2761636040355664E-3</v>
      </c>
      <c r="F1102" s="19">
        <f t="shared" si="35"/>
        <v>3.3137875778017481E-2</v>
      </c>
      <c r="G1102" s="19"/>
      <c r="H1102" s="19"/>
    </row>
    <row r="1103" spans="1:8" ht="14.25" customHeight="1" x14ac:dyDescent="0.3">
      <c r="A1103" s="304">
        <v>45551</v>
      </c>
      <c r="B1103" s="305">
        <v>25383.75</v>
      </c>
      <c r="C1103" s="305">
        <v>862.09997558593795</v>
      </c>
      <c r="D1103" s="19"/>
      <c r="E1103" s="19">
        <f t="shared" si="34"/>
        <v>1.0746751326089958E-3</v>
      </c>
      <c r="F1103" s="19">
        <f t="shared" si="35"/>
        <v>-1.7369152876391357E-3</v>
      </c>
      <c r="G1103" s="19"/>
      <c r="H1103" s="19"/>
    </row>
    <row r="1104" spans="1:8" ht="14.25" customHeight="1" x14ac:dyDescent="0.3">
      <c r="A1104" s="304">
        <v>45552</v>
      </c>
      <c r="B1104" s="305">
        <v>25418.55078125</v>
      </c>
      <c r="C1104" s="305">
        <v>860.84997558593795</v>
      </c>
      <c r="D1104" s="19"/>
      <c r="E1104" s="19">
        <f t="shared" si="34"/>
        <v>1.3709866056039789E-3</v>
      </c>
      <c r="F1104" s="19">
        <f t="shared" si="35"/>
        <v>-1.4499478429406294E-3</v>
      </c>
      <c r="G1104" s="19"/>
      <c r="H1104" s="19"/>
    </row>
    <row r="1105" spans="1:8" ht="14.25" customHeight="1" x14ac:dyDescent="0.3">
      <c r="A1105" s="304">
        <v>45553</v>
      </c>
      <c r="B1105" s="305">
        <v>25377.55078125</v>
      </c>
      <c r="C1105" s="305">
        <v>860.70001220703102</v>
      </c>
      <c r="D1105" s="19"/>
      <c r="E1105" s="19">
        <f t="shared" si="34"/>
        <v>-1.6129951842196943E-3</v>
      </c>
      <c r="F1105" s="19">
        <f t="shared" si="35"/>
        <v>-1.7420384870762119E-4</v>
      </c>
      <c r="G1105" s="19"/>
      <c r="H1105" s="19"/>
    </row>
    <row r="1106" spans="1:8" ht="14.25" customHeight="1" x14ac:dyDescent="0.3">
      <c r="A1106" s="304">
        <v>45554</v>
      </c>
      <c r="B1106" s="305">
        <v>25415.80078125</v>
      </c>
      <c r="C1106" s="305">
        <v>849.29998779296898</v>
      </c>
      <c r="D1106" s="19"/>
      <c r="E1106" s="19">
        <f t="shared" si="34"/>
        <v>1.5072376499098844E-3</v>
      </c>
      <c r="F1106" s="19">
        <f t="shared" si="35"/>
        <v>-1.3245061290088499E-2</v>
      </c>
      <c r="G1106" s="19"/>
      <c r="H1106" s="19"/>
    </row>
    <row r="1107" spans="1:8" ht="14.25" customHeight="1" x14ac:dyDescent="0.3">
      <c r="A1107" s="304">
        <v>45555</v>
      </c>
      <c r="B1107" s="305">
        <v>25790.94921875</v>
      </c>
      <c r="C1107" s="305">
        <v>877.59997558593795</v>
      </c>
      <c r="D1107" s="19"/>
      <c r="E1107" s="19">
        <f t="shared" si="34"/>
        <v>1.4760441377741608E-2</v>
      </c>
      <c r="F1107" s="19">
        <f t="shared" si="35"/>
        <v>3.3321545036766882E-2</v>
      </c>
      <c r="G1107" s="19"/>
      <c r="H1107" s="19"/>
    </row>
    <row r="1108" spans="1:8" ht="14.25" customHeight="1" x14ac:dyDescent="0.3">
      <c r="A1108" s="304">
        <v>45558</v>
      </c>
      <c r="B1108" s="305">
        <v>25939.05078125</v>
      </c>
      <c r="C1108" s="305">
        <v>909.65002441406295</v>
      </c>
      <c r="D1108" s="19"/>
      <c r="E1108" s="19">
        <f t="shared" si="34"/>
        <v>5.7423850996662926E-3</v>
      </c>
      <c r="F1108" s="19">
        <f t="shared" si="35"/>
        <v>3.6520111348825504E-2</v>
      </c>
      <c r="G1108" s="19"/>
      <c r="H1108" s="19"/>
    </row>
    <row r="1109" spans="1:8" ht="14.25" customHeight="1" x14ac:dyDescent="0.3">
      <c r="A1109" s="304">
        <v>45559</v>
      </c>
      <c r="B1109" s="305">
        <v>25940.400390625</v>
      </c>
      <c r="C1109" s="305">
        <v>917</v>
      </c>
      <c r="D1109" s="19"/>
      <c r="E1109" s="19">
        <f t="shared" si="34"/>
        <v>5.2030021699003842E-5</v>
      </c>
      <c r="F1109" s="19">
        <f t="shared" si="35"/>
        <v>8.0800037252474304E-3</v>
      </c>
      <c r="G1109" s="19"/>
      <c r="H1109" s="19"/>
    </row>
    <row r="1110" spans="1:8" ht="14.25" customHeight="1" x14ac:dyDescent="0.3">
      <c r="A1110" s="304">
        <v>45560</v>
      </c>
      <c r="B1110" s="305">
        <v>26004.150390625</v>
      </c>
      <c r="C1110" s="305">
        <v>920.40002441406295</v>
      </c>
      <c r="D1110" s="19"/>
      <c r="E1110" s="19">
        <f t="shared" si="34"/>
        <v>2.4575565157058869E-3</v>
      </c>
      <c r="F1110" s="19">
        <f t="shared" si="35"/>
        <v>3.7077692628821753E-3</v>
      </c>
      <c r="G1110" s="19"/>
      <c r="H1110" s="19"/>
    </row>
    <row r="1111" spans="1:8" ht="14.25" customHeight="1" x14ac:dyDescent="0.3">
      <c r="A1111" s="304">
        <v>45561</v>
      </c>
      <c r="B1111" s="305">
        <v>26216.05078125</v>
      </c>
      <c r="C1111" s="305">
        <v>924</v>
      </c>
      <c r="D1111" s="19"/>
      <c r="E1111" s="19">
        <f t="shared" si="34"/>
        <v>8.1487142414540942E-3</v>
      </c>
      <c r="F1111" s="19">
        <f t="shared" si="35"/>
        <v>3.9113162651520251E-3</v>
      </c>
      <c r="G1111" s="19"/>
      <c r="H1111" s="19"/>
    </row>
    <row r="1112" spans="1:8" ht="14.25" customHeight="1" x14ac:dyDescent="0.3">
      <c r="A1112" s="304">
        <v>45562</v>
      </c>
      <c r="B1112" s="305">
        <v>26178.94921875</v>
      </c>
      <c r="C1112" s="305">
        <v>914.04998779296898</v>
      </c>
      <c r="D1112" s="19"/>
      <c r="E1112" s="19">
        <f t="shared" si="34"/>
        <v>-1.4152231703234049E-3</v>
      </c>
      <c r="F1112" s="19">
        <f t="shared" si="35"/>
        <v>-1.0768411479470804E-2</v>
      </c>
      <c r="G1112" s="19"/>
      <c r="H1112" s="19"/>
    </row>
    <row r="1113" spans="1:8" ht="14.25" customHeight="1" x14ac:dyDescent="0.3">
      <c r="A1113" s="304">
        <v>45565</v>
      </c>
      <c r="B1113" s="305">
        <v>25810.849609375</v>
      </c>
      <c r="C1113" s="305">
        <v>895.15002441406295</v>
      </c>
      <c r="D1113" s="19"/>
      <c r="E1113" s="19">
        <f t="shared" si="34"/>
        <v>-1.406090085202343E-2</v>
      </c>
      <c r="F1113" s="19">
        <f t="shared" si="35"/>
        <v>-2.0677166053621607E-2</v>
      </c>
      <c r="G1113" s="19"/>
      <c r="H1113" s="19"/>
    </row>
    <row r="1114" spans="1:8" ht="14.25" customHeight="1" x14ac:dyDescent="0.3">
      <c r="A1114" s="304">
        <v>45566</v>
      </c>
      <c r="B1114" s="305">
        <v>25796.900390625</v>
      </c>
      <c r="C1114" s="305">
        <v>913.75</v>
      </c>
      <c r="D1114" s="19"/>
      <c r="E1114" s="19">
        <f t="shared" si="34"/>
        <v>-5.4044012347944466E-4</v>
      </c>
      <c r="F1114" s="19">
        <f t="shared" si="35"/>
        <v>2.0778612610899503E-2</v>
      </c>
      <c r="G1114" s="19"/>
      <c r="H1114" s="19"/>
    </row>
    <row r="1115" spans="1:8" ht="14.25" customHeight="1" x14ac:dyDescent="0.3">
      <c r="A1115" s="304">
        <v>45568</v>
      </c>
      <c r="B1115" s="305">
        <v>25250.099609375</v>
      </c>
      <c r="C1115" s="305">
        <v>864.84997558593795</v>
      </c>
      <c r="D1115" s="19"/>
      <c r="E1115" s="19">
        <f t="shared" si="34"/>
        <v>-2.1196375260987402E-2</v>
      </c>
      <c r="F1115" s="19">
        <f t="shared" si="35"/>
        <v>-5.3515758592680762E-2</v>
      </c>
      <c r="G1115" s="19"/>
      <c r="H1115" s="19"/>
    </row>
    <row r="1116" spans="1:8" ht="14.25" customHeight="1" x14ac:dyDescent="0.3">
      <c r="A1116" s="304">
        <v>45569</v>
      </c>
      <c r="B1116" s="305">
        <v>25014.599609375</v>
      </c>
      <c r="C1116" s="305">
        <v>844.84997558593795</v>
      </c>
      <c r="D1116" s="19"/>
      <c r="E1116" s="19">
        <f t="shared" si="34"/>
        <v>-9.3266958801446562E-3</v>
      </c>
      <c r="F1116" s="19">
        <f t="shared" si="35"/>
        <v>-2.3125398120581495E-2</v>
      </c>
      <c r="G1116" s="19"/>
      <c r="H1116" s="19"/>
    </row>
    <row r="1117" spans="1:8" ht="14.25" customHeight="1" x14ac:dyDescent="0.3">
      <c r="A1117" s="304">
        <v>45572</v>
      </c>
      <c r="B1117" s="305">
        <v>24795.75</v>
      </c>
      <c r="C1117" s="305">
        <v>825.65002441406295</v>
      </c>
      <c r="D1117" s="19"/>
      <c r="E1117" s="19">
        <f t="shared" si="34"/>
        <v>-8.7488751686027114E-3</v>
      </c>
      <c r="F1117" s="19">
        <f t="shared" si="35"/>
        <v>-2.2725870541168033E-2</v>
      </c>
      <c r="G1117" s="19"/>
      <c r="H1117" s="19"/>
    </row>
    <row r="1118" spans="1:8" ht="14.25" customHeight="1" x14ac:dyDescent="0.3">
      <c r="A1118" s="304">
        <v>45573</v>
      </c>
      <c r="B1118" s="305">
        <v>25013.150390625</v>
      </c>
      <c r="C1118" s="305">
        <v>840</v>
      </c>
      <c r="D1118" s="19"/>
      <c r="E1118" s="19">
        <f t="shared" si="34"/>
        <v>8.7676473034693451E-3</v>
      </c>
      <c r="F1118" s="19">
        <f t="shared" si="35"/>
        <v>1.7380215783461956E-2</v>
      </c>
      <c r="G1118" s="19"/>
      <c r="H1118" s="19"/>
    </row>
    <row r="1119" spans="1:8" ht="14.25" customHeight="1" x14ac:dyDescent="0.3">
      <c r="A1119" s="304">
        <v>45574</v>
      </c>
      <c r="B1119" s="305">
        <v>24981.94921875</v>
      </c>
      <c r="C1119" s="305">
        <v>851.95001220703102</v>
      </c>
      <c r="D1119" s="19"/>
      <c r="E1119" s="19">
        <f t="shared" si="34"/>
        <v>-1.2473907279865989E-3</v>
      </c>
      <c r="F1119" s="19">
        <f t="shared" si="35"/>
        <v>1.4226205008370265E-2</v>
      </c>
      <c r="G1119" s="19"/>
      <c r="H1119" s="19"/>
    </row>
    <row r="1120" spans="1:8" ht="14.25" customHeight="1" x14ac:dyDescent="0.3">
      <c r="A1120" s="304">
        <v>45575</v>
      </c>
      <c r="B1120" s="305">
        <v>24998.44921875</v>
      </c>
      <c r="C1120" s="305">
        <v>860.79998779296898</v>
      </c>
      <c r="D1120" s="19"/>
      <c r="E1120" s="19">
        <f t="shared" si="34"/>
        <v>6.6047688495083712E-4</v>
      </c>
      <c r="F1120" s="19">
        <f t="shared" si="35"/>
        <v>1.0387904758650719E-2</v>
      </c>
      <c r="G1120" s="19"/>
      <c r="H1120" s="19"/>
    </row>
    <row r="1121" spans="1:8" ht="14.25" customHeight="1" x14ac:dyDescent="0.3">
      <c r="A1121" s="304">
        <v>45576</v>
      </c>
      <c r="B1121" s="305">
        <v>24964.25</v>
      </c>
      <c r="C1121" s="305">
        <v>846.59997558593795</v>
      </c>
      <c r="D1121" s="19"/>
      <c r="E1121" s="19">
        <f t="shared" si="34"/>
        <v>-1.3680536120756241E-3</v>
      </c>
      <c r="F1121" s="19">
        <f t="shared" si="35"/>
        <v>-1.6496296942845993E-2</v>
      </c>
      <c r="G1121" s="19"/>
      <c r="H1121" s="19"/>
    </row>
    <row r="1122" spans="1:8" ht="14.25" customHeight="1" x14ac:dyDescent="0.3">
      <c r="A1122" s="304">
        <v>45579</v>
      </c>
      <c r="B1122" s="305">
        <v>25127.94921875</v>
      </c>
      <c r="C1122" s="305">
        <v>862.90002441406295</v>
      </c>
      <c r="D1122" s="19"/>
      <c r="E1122" s="19">
        <f t="shared" si="34"/>
        <v>6.5573457544288337E-3</v>
      </c>
      <c r="F1122" s="19">
        <f t="shared" si="35"/>
        <v>1.9253542757125191E-2</v>
      </c>
      <c r="G1122" s="19"/>
      <c r="H1122" s="19"/>
    </row>
    <row r="1123" spans="1:8" ht="14.25" customHeight="1" x14ac:dyDescent="0.3">
      <c r="A1123" s="304">
        <v>45580</v>
      </c>
      <c r="B1123" s="305">
        <v>25057.349609375</v>
      </c>
      <c r="C1123" s="305">
        <v>875.45001220703102</v>
      </c>
      <c r="D1123" s="19"/>
      <c r="E1123" s="19">
        <f t="shared" si="34"/>
        <v>-2.8096049048968912E-3</v>
      </c>
      <c r="F1123" s="19">
        <f t="shared" si="35"/>
        <v>1.454396504564931E-2</v>
      </c>
      <c r="G1123" s="19"/>
      <c r="H1123" s="19"/>
    </row>
    <row r="1124" spans="1:8" ht="14.25" customHeight="1" x14ac:dyDescent="0.3">
      <c r="A1124" s="304">
        <v>45581</v>
      </c>
      <c r="B1124" s="305">
        <v>24971.30078125</v>
      </c>
      <c r="C1124" s="305">
        <v>884.75</v>
      </c>
      <c r="D1124" s="19"/>
      <c r="E1124" s="19">
        <f t="shared" si="34"/>
        <v>-3.4340754096676505E-3</v>
      </c>
      <c r="F1124" s="19">
        <f t="shared" si="35"/>
        <v>1.0623094023979141E-2</v>
      </c>
      <c r="G1124" s="19"/>
      <c r="H1124" s="19"/>
    </row>
    <row r="1125" spans="1:8" ht="14.25" customHeight="1" x14ac:dyDescent="0.3">
      <c r="A1125" s="304">
        <v>45582</v>
      </c>
      <c r="B1125" s="305">
        <v>24749.849609375</v>
      </c>
      <c r="C1125" s="305">
        <v>861</v>
      </c>
      <c r="D1125" s="19"/>
      <c r="E1125" s="19">
        <f t="shared" si="34"/>
        <v>-8.8682273228345102E-3</v>
      </c>
      <c r="F1125" s="19">
        <f t="shared" si="35"/>
        <v>-2.6843741169821984E-2</v>
      </c>
      <c r="G1125" s="19"/>
      <c r="H1125" s="19"/>
    </row>
    <row r="1126" spans="1:8" ht="14.25" customHeight="1" x14ac:dyDescent="0.3">
      <c r="A1126" s="304">
        <v>45583</v>
      </c>
      <c r="B1126" s="305">
        <v>24854.05078125</v>
      </c>
      <c r="C1126" s="305">
        <v>875.15002441406295</v>
      </c>
      <c r="D1126" s="19"/>
      <c r="E1126" s="19">
        <f t="shared" si="34"/>
        <v>4.2101739412400158E-3</v>
      </c>
      <c r="F1126" s="19">
        <f t="shared" si="35"/>
        <v>1.6434406984974396E-2</v>
      </c>
      <c r="G1126" s="19"/>
      <c r="H1126" s="19"/>
    </row>
    <row r="1127" spans="1:8" ht="14.25" customHeight="1" x14ac:dyDescent="0.3">
      <c r="A1127" s="304">
        <v>45586</v>
      </c>
      <c r="B1127" s="305">
        <v>24781.099609375</v>
      </c>
      <c r="C1127" s="305">
        <v>860.75</v>
      </c>
      <c r="D1127" s="19"/>
      <c r="E1127" s="19">
        <f t="shared" si="34"/>
        <v>-2.9351823779983047E-3</v>
      </c>
      <c r="F1127" s="19">
        <f t="shared" si="35"/>
        <v>-1.6454349554185486E-2</v>
      </c>
      <c r="G1127" s="19"/>
      <c r="H1127" s="19"/>
    </row>
    <row r="1128" spans="1:8" ht="14.25" customHeight="1" x14ac:dyDescent="0.3">
      <c r="A1128" s="304">
        <v>45587</v>
      </c>
      <c r="B1128" s="305">
        <v>24472.099609375</v>
      </c>
      <c r="C1128" s="305">
        <v>815.15002441406295</v>
      </c>
      <c r="D1128" s="19"/>
      <c r="E1128" s="19">
        <f t="shared" si="34"/>
        <v>-1.2469180337869326E-2</v>
      </c>
      <c r="F1128" s="19">
        <f t="shared" si="35"/>
        <v>-5.2977026530278297E-2</v>
      </c>
      <c r="G1128" s="19"/>
      <c r="H1128" s="19"/>
    </row>
    <row r="1129" spans="1:8" ht="14.25" customHeight="1" x14ac:dyDescent="0.3">
      <c r="A1129" s="304">
        <v>45588</v>
      </c>
      <c r="B1129" s="305">
        <v>24435.5</v>
      </c>
      <c r="C1129" s="305">
        <v>805.34997558593795</v>
      </c>
      <c r="D1129" s="19"/>
      <c r="E1129" s="19">
        <f t="shared" si="34"/>
        <v>-1.4955647434917714E-3</v>
      </c>
      <c r="F1129" s="19">
        <f t="shared" si="35"/>
        <v>-1.2022386719756724E-2</v>
      </c>
      <c r="G1129" s="19"/>
      <c r="H1129" s="19"/>
    </row>
    <row r="1130" spans="1:8" ht="14.25" customHeight="1" x14ac:dyDescent="0.3">
      <c r="A1130" s="304">
        <v>45589</v>
      </c>
      <c r="B1130" s="305">
        <v>24399.400390625</v>
      </c>
      <c r="C1130" s="305">
        <v>801.40002441406295</v>
      </c>
      <c r="D1130" s="19"/>
      <c r="E1130" s="19">
        <f t="shared" si="34"/>
        <v>-1.4773427748562542E-3</v>
      </c>
      <c r="F1130" s="19">
        <f t="shared" si="35"/>
        <v>-4.9046393389422845E-3</v>
      </c>
      <c r="G1130" s="19"/>
      <c r="H1130" s="19"/>
    </row>
    <row r="1131" spans="1:8" ht="14.25" customHeight="1" x14ac:dyDescent="0.3">
      <c r="A1131" s="304">
        <v>45590</v>
      </c>
      <c r="B1131" s="305">
        <v>24180.80078125</v>
      </c>
      <c r="C1131" s="305">
        <v>777</v>
      </c>
      <c r="D1131" s="19"/>
      <c r="E1131" s="19">
        <f t="shared" si="34"/>
        <v>-8.9592205494932031E-3</v>
      </c>
      <c r="F1131" s="19">
        <f t="shared" si="35"/>
        <v>-3.0446747779803017E-2</v>
      </c>
      <c r="G1131" s="19"/>
      <c r="H1131" s="19"/>
    </row>
    <row r="1132" spans="1:8" ht="14.25" customHeight="1" x14ac:dyDescent="0.3">
      <c r="A1132" s="304">
        <v>45593</v>
      </c>
      <c r="B1132" s="305">
        <v>24339.150390625</v>
      </c>
      <c r="C1132" s="305">
        <v>822.90002441406295</v>
      </c>
      <c r="D1132" s="19"/>
      <c r="E1132" s="19">
        <f t="shared" si="34"/>
        <v>6.5485676346080995E-3</v>
      </c>
      <c r="F1132" s="19">
        <f t="shared" si="35"/>
        <v>5.9073390494289515E-2</v>
      </c>
      <c r="G1132" s="19"/>
      <c r="H1132" s="19"/>
    </row>
    <row r="1133" spans="1:8" ht="14.25" customHeight="1" x14ac:dyDescent="0.3">
      <c r="A1133" s="304">
        <v>45594</v>
      </c>
      <c r="B1133" s="305">
        <v>24466.849609375</v>
      </c>
      <c r="C1133" s="305">
        <v>832.45001220703102</v>
      </c>
      <c r="D1133" s="19"/>
      <c r="E1133" s="19">
        <f t="shared" si="34"/>
        <v>5.2466588480092318E-3</v>
      </c>
      <c r="F1133" s="19">
        <f t="shared" si="35"/>
        <v>1.160528315668484E-2</v>
      </c>
      <c r="G1133" s="19"/>
      <c r="H1133" s="19"/>
    </row>
    <row r="1134" spans="1:8" ht="14.25" customHeight="1" x14ac:dyDescent="0.3">
      <c r="A1134" s="304">
        <v>45595</v>
      </c>
      <c r="B1134" s="305">
        <v>24340.849609375</v>
      </c>
      <c r="C1134" s="305">
        <v>826.40002441406295</v>
      </c>
      <c r="D1134" s="19"/>
      <c r="E1134" s="19">
        <f t="shared" si="34"/>
        <v>-5.149825253829181E-3</v>
      </c>
      <c r="F1134" s="19">
        <f t="shared" si="35"/>
        <v>-7.2676889954365583E-3</v>
      </c>
      <c r="G1134" s="19"/>
      <c r="H1134" s="19"/>
    </row>
    <row r="1135" spans="1:8" ht="14.25" customHeight="1" x14ac:dyDescent="0.3">
      <c r="A1135" s="304">
        <v>45596</v>
      </c>
      <c r="B1135" s="305">
        <v>24205.349609375</v>
      </c>
      <c r="C1135" s="305">
        <v>819.84997558593795</v>
      </c>
      <c r="D1135" s="19"/>
      <c r="E1135" s="19">
        <f t="shared" si="34"/>
        <v>-5.566773640794013E-3</v>
      </c>
      <c r="F1135" s="19">
        <f t="shared" si="35"/>
        <v>-7.9260027040405027E-3</v>
      </c>
      <c r="G1135" s="19"/>
      <c r="H1135" s="19"/>
    </row>
    <row r="1136" spans="1:8" ht="14.25" customHeight="1" x14ac:dyDescent="0.3">
      <c r="A1136" s="304">
        <v>45597</v>
      </c>
      <c r="B1136" s="305">
        <v>24304.349609375</v>
      </c>
      <c r="C1136" s="305">
        <v>823.75</v>
      </c>
      <c r="D1136" s="19"/>
      <c r="E1136" s="19">
        <f t="shared" si="34"/>
        <v>4.0900049616162618E-3</v>
      </c>
      <c r="F1136" s="19">
        <f t="shared" si="35"/>
        <v>4.7569976583517488E-3</v>
      </c>
      <c r="G1136" s="19"/>
      <c r="H1136" s="19"/>
    </row>
    <row r="1137" spans="1:8" ht="14.25" customHeight="1" x14ac:dyDescent="0.3">
      <c r="A1137" s="304">
        <v>45600</v>
      </c>
      <c r="B1137" s="305">
        <v>23995.349609375</v>
      </c>
      <c r="C1137" s="305">
        <v>789.90002441406295</v>
      </c>
      <c r="D1137" s="19"/>
      <c r="E1137" s="19">
        <f t="shared" si="34"/>
        <v>-1.2713773664645128E-2</v>
      </c>
      <c r="F1137" s="19">
        <f t="shared" si="35"/>
        <v>-4.1092534853944818E-2</v>
      </c>
      <c r="G1137" s="19"/>
      <c r="H1137" s="19"/>
    </row>
    <row r="1138" spans="1:8" ht="14.25" customHeight="1" x14ac:dyDescent="0.3">
      <c r="A1138" s="304">
        <v>45601</v>
      </c>
      <c r="B1138" s="305">
        <v>24213.30078125</v>
      </c>
      <c r="C1138" s="305">
        <v>799.04998779296898</v>
      </c>
      <c r="D1138" s="19"/>
      <c r="E1138" s="19">
        <f t="shared" si="34"/>
        <v>9.0830588186073483E-3</v>
      </c>
      <c r="F1138" s="19">
        <f t="shared" si="35"/>
        <v>1.1583698058109746E-2</v>
      </c>
      <c r="G1138" s="19"/>
      <c r="H1138" s="19"/>
    </row>
    <row r="1139" spans="1:8" ht="14.25" customHeight="1" x14ac:dyDescent="0.3">
      <c r="A1139" s="304">
        <v>45602</v>
      </c>
      <c r="B1139" s="305">
        <v>24484.05078125</v>
      </c>
      <c r="C1139" s="305">
        <v>828.20001220703102</v>
      </c>
      <c r="D1139" s="19"/>
      <c r="E1139" s="19">
        <f t="shared" si="34"/>
        <v>1.1181870759630595E-2</v>
      </c>
      <c r="F1139" s="19">
        <f t="shared" si="35"/>
        <v>3.6480852086083398E-2</v>
      </c>
      <c r="G1139" s="19"/>
      <c r="H1139" s="19"/>
    </row>
    <row r="1140" spans="1:8" ht="14.25" customHeight="1" x14ac:dyDescent="0.3">
      <c r="A1140" s="304">
        <v>45603</v>
      </c>
      <c r="B1140" s="305">
        <v>24199.349609375</v>
      </c>
      <c r="C1140" s="305">
        <v>803.40002441406295</v>
      </c>
      <c r="D1140" s="19"/>
      <c r="E1140" s="19">
        <f t="shared" si="34"/>
        <v>-1.1628025706147672E-2</v>
      </c>
      <c r="F1140" s="19">
        <f t="shared" si="35"/>
        <v>-2.9944442679830145E-2</v>
      </c>
      <c r="G1140" s="19"/>
      <c r="H1140" s="19"/>
    </row>
    <row r="1141" spans="1:8" ht="14.25" customHeight="1" x14ac:dyDescent="0.3">
      <c r="A1141" s="304">
        <v>45604</v>
      </c>
      <c r="B1141" s="305">
        <v>24148.19921875</v>
      </c>
      <c r="C1141" s="305">
        <v>786</v>
      </c>
      <c r="D1141" s="19"/>
      <c r="E1141" s="19">
        <f t="shared" si="34"/>
        <v>-2.1137093124678017E-3</v>
      </c>
      <c r="F1141" s="19">
        <f t="shared" si="35"/>
        <v>-2.1657983427064455E-2</v>
      </c>
      <c r="G1141" s="19"/>
      <c r="H1141" s="19"/>
    </row>
    <row r="1142" spans="1:8" ht="14.25" customHeight="1" x14ac:dyDescent="0.3">
      <c r="A1142" s="304">
        <v>45607</v>
      </c>
      <c r="B1142" s="305">
        <v>24141.30078125</v>
      </c>
      <c r="C1142" s="305">
        <v>777.5</v>
      </c>
      <c r="D1142" s="19"/>
      <c r="E1142" s="19">
        <f t="shared" si="34"/>
        <v>-2.8567088740280355E-4</v>
      </c>
      <c r="F1142" s="19">
        <f t="shared" si="35"/>
        <v>-1.0814249363867684E-2</v>
      </c>
      <c r="G1142" s="19"/>
      <c r="H1142" s="19"/>
    </row>
    <row r="1143" spans="1:8" ht="14.25" customHeight="1" x14ac:dyDescent="0.3">
      <c r="A1143" s="304">
        <v>45608</v>
      </c>
      <c r="B1143" s="305">
        <v>23883.44921875</v>
      </c>
      <c r="C1143" s="305">
        <v>764.84997558593795</v>
      </c>
      <c r="D1143" s="19"/>
      <c r="E1143" s="19">
        <f t="shared" si="34"/>
        <v>-1.0680930776533279E-2</v>
      </c>
      <c r="F1143" s="19">
        <f t="shared" si="35"/>
        <v>-1.6270127863745397E-2</v>
      </c>
      <c r="G1143" s="19"/>
      <c r="H1143" s="19"/>
    </row>
    <row r="1144" spans="1:8" ht="14.25" customHeight="1" x14ac:dyDescent="0.3">
      <c r="A1144" s="304">
        <v>45609</v>
      </c>
      <c r="B1144" s="305">
        <v>23559.05078125</v>
      </c>
      <c r="C1144" s="305">
        <v>748.54998779296898</v>
      </c>
      <c r="D1144" s="19"/>
      <c r="E1144" s="19">
        <f t="shared" si="34"/>
        <v>-1.3582562322921387E-2</v>
      </c>
      <c r="F1144" s="19">
        <f t="shared" si="35"/>
        <v>-2.1311352962366047E-2</v>
      </c>
      <c r="G1144" s="19"/>
      <c r="H1144" s="19"/>
    </row>
    <row r="1145" spans="1:8" ht="14.25" customHeight="1" x14ac:dyDescent="0.3">
      <c r="A1145" s="304">
        <v>45610</v>
      </c>
      <c r="B1145" s="305">
        <v>23532.69921875</v>
      </c>
      <c r="C1145" s="305">
        <v>762.70001220703102</v>
      </c>
      <c r="D1145" s="19"/>
      <c r="E1145" s="19">
        <f t="shared" si="34"/>
        <v>-1.1185324376894032E-3</v>
      </c>
      <c r="F1145" s="19">
        <f t="shared" si="35"/>
        <v>1.8903245801635899E-2</v>
      </c>
      <c r="G1145" s="19"/>
      <c r="H1145" s="19"/>
    </row>
    <row r="1146" spans="1:8" ht="14.25" customHeight="1" x14ac:dyDescent="0.3">
      <c r="A1146" s="304">
        <v>45614</v>
      </c>
      <c r="B1146" s="305">
        <v>23453.80078125</v>
      </c>
      <c r="C1146" s="305">
        <v>759.59997558593795</v>
      </c>
      <c r="D1146" s="19"/>
      <c r="E1146" s="19">
        <f t="shared" si="34"/>
        <v>-3.3527151631265739E-3</v>
      </c>
      <c r="F1146" s="19">
        <f t="shared" si="35"/>
        <v>-4.0645556201349305E-3</v>
      </c>
      <c r="G1146" s="19"/>
      <c r="H1146" s="19"/>
    </row>
    <row r="1147" spans="1:8" ht="14.25" customHeight="1" x14ac:dyDescent="0.3">
      <c r="A1147" s="304">
        <v>45615</v>
      </c>
      <c r="B1147" s="305">
        <v>23518.5</v>
      </c>
      <c r="C1147" s="305">
        <v>763.15002441406295</v>
      </c>
      <c r="D1147" s="19"/>
      <c r="E1147" s="19">
        <f t="shared" si="34"/>
        <v>2.7585814066316875E-3</v>
      </c>
      <c r="F1147" s="19">
        <f t="shared" si="35"/>
        <v>4.6735768065113139E-3</v>
      </c>
      <c r="G1147" s="19"/>
      <c r="H1147" s="19"/>
    </row>
    <row r="1148" spans="1:8" ht="14.25" customHeight="1" x14ac:dyDescent="0.3">
      <c r="A1148" s="304">
        <v>45617</v>
      </c>
      <c r="B1148" s="305">
        <v>23349.900390625</v>
      </c>
      <c r="C1148" s="305">
        <v>773.95001220703102</v>
      </c>
      <c r="D1148" s="19"/>
      <c r="E1148" s="19">
        <f t="shared" si="34"/>
        <v>-7.1688079331164827E-3</v>
      </c>
      <c r="F1148" s="19">
        <f t="shared" si="35"/>
        <v>1.4151854088270735E-2</v>
      </c>
      <c r="G1148" s="19"/>
      <c r="H1148" s="19"/>
    </row>
    <row r="1149" spans="1:8" ht="14.25" customHeight="1" x14ac:dyDescent="0.3">
      <c r="A1149" s="304">
        <v>45618</v>
      </c>
      <c r="B1149" s="305">
        <v>23907.25</v>
      </c>
      <c r="C1149" s="305">
        <v>803.40002441406295</v>
      </c>
      <c r="D1149" s="19"/>
      <c r="E1149" s="19">
        <f t="shared" si="34"/>
        <v>2.3869464111237762E-2</v>
      </c>
      <c r="F1149" s="19">
        <f t="shared" si="35"/>
        <v>3.8051568890154729E-2</v>
      </c>
      <c r="G1149" s="19"/>
      <c r="H1149" s="19"/>
    </row>
    <row r="1150" spans="1:8" ht="14.25" customHeight="1" x14ac:dyDescent="0.3">
      <c r="A1150" s="304">
        <v>45621</v>
      </c>
      <c r="B1150" s="305">
        <v>24221.900390625</v>
      </c>
      <c r="C1150" s="305">
        <v>823.29998779296898</v>
      </c>
      <c r="D1150" s="19"/>
      <c r="E1150" s="19">
        <f t="shared" si="34"/>
        <v>1.3161295867362411E-2</v>
      </c>
      <c r="F1150" s="19">
        <f t="shared" si="35"/>
        <v>2.4769682317870849E-2</v>
      </c>
      <c r="G1150" s="19"/>
      <c r="H1150" s="19"/>
    </row>
    <row r="1151" spans="1:8" ht="14.25" customHeight="1" x14ac:dyDescent="0.3">
      <c r="A1151" s="304">
        <v>45622</v>
      </c>
      <c r="B1151" s="305">
        <v>24194.5</v>
      </c>
      <c r="C1151" s="305">
        <v>827.34997558593795</v>
      </c>
      <c r="D1151" s="19"/>
      <c r="E1151" s="19">
        <f t="shared" si="34"/>
        <v>-1.1312238174179439E-3</v>
      </c>
      <c r="F1151" s="19">
        <f t="shared" si="35"/>
        <v>4.9192127450722219E-3</v>
      </c>
      <c r="G1151" s="19"/>
      <c r="H1151" s="19"/>
    </row>
    <row r="1152" spans="1:8" ht="14.25" customHeight="1" x14ac:dyDescent="0.3">
      <c r="A1152" s="304">
        <v>45623</v>
      </c>
      <c r="B1152" s="305">
        <v>24274.900390625</v>
      </c>
      <c r="C1152" s="305">
        <v>823.70001220703102</v>
      </c>
      <c r="D1152" s="19"/>
      <c r="E1152" s="19">
        <f t="shared" si="34"/>
        <v>3.3230854378061129E-3</v>
      </c>
      <c r="F1152" s="19">
        <f t="shared" si="35"/>
        <v>-4.4116316995380213E-3</v>
      </c>
      <c r="G1152" s="19"/>
      <c r="H1152" s="19"/>
    </row>
    <row r="1153" spans="1:8" ht="14.25" customHeight="1" x14ac:dyDescent="0.3">
      <c r="A1153" s="304">
        <v>45624</v>
      </c>
      <c r="B1153" s="305">
        <v>23914.150390625</v>
      </c>
      <c r="C1153" s="305">
        <v>813.84997558593795</v>
      </c>
      <c r="D1153" s="19"/>
      <c r="E1153" s="19">
        <f t="shared" si="34"/>
        <v>-1.4861029054492934E-2</v>
      </c>
      <c r="F1153" s="19">
        <f t="shared" si="35"/>
        <v>-1.1958281504331619E-2</v>
      </c>
      <c r="G1153" s="19"/>
      <c r="H1153" s="19"/>
    </row>
    <row r="1154" spans="1:8" ht="14.25" customHeight="1" x14ac:dyDescent="0.3">
      <c r="A1154" s="304">
        <v>45625</v>
      </c>
      <c r="B1154" s="305">
        <v>24131.099609375</v>
      </c>
      <c r="C1154" s="305">
        <v>822.95001220703102</v>
      </c>
      <c r="D1154" s="19"/>
      <c r="E1154" s="19">
        <f t="shared" si="34"/>
        <v>9.0720019405351737E-3</v>
      </c>
      <c r="F1154" s="19">
        <f t="shared" si="35"/>
        <v>1.1181466970667932E-2</v>
      </c>
      <c r="G1154" s="19"/>
      <c r="H1154" s="19"/>
    </row>
    <row r="1155" spans="1:8" ht="14.25" customHeight="1" x14ac:dyDescent="0.3">
      <c r="A1155" s="304">
        <v>45628</v>
      </c>
      <c r="B1155" s="305">
        <v>24276.05078125</v>
      </c>
      <c r="C1155" s="305">
        <v>849.09997558593795</v>
      </c>
      <c r="D1155" s="19"/>
      <c r="E1155" s="19">
        <f t="shared" ref="E1155:E1218" si="36">(B1155-B1154)/B1154</f>
        <v>6.0068200049485541E-3</v>
      </c>
      <c r="F1155" s="19">
        <f t="shared" ref="F1155:F1218" si="37">(C1155-C1154)/C1154</f>
        <v>3.1775883092554517E-2</v>
      </c>
      <c r="G1155" s="19"/>
      <c r="H1155" s="19"/>
    </row>
    <row r="1156" spans="1:8" ht="14.25" customHeight="1" x14ac:dyDescent="0.3">
      <c r="A1156" s="304">
        <v>45629</v>
      </c>
      <c r="B1156" s="305">
        <v>24457.150390625</v>
      </c>
      <c r="C1156" s="305">
        <v>846.95001220703102</v>
      </c>
      <c r="D1156" s="19"/>
      <c r="E1156" s="19">
        <f t="shared" si="36"/>
        <v>7.4600111445999777E-3</v>
      </c>
      <c r="F1156" s="19">
        <f t="shared" si="37"/>
        <v>-2.5320497476440371E-3</v>
      </c>
      <c r="G1156" s="19"/>
      <c r="H1156" s="19"/>
    </row>
    <row r="1157" spans="1:8" ht="14.25" customHeight="1" x14ac:dyDescent="0.3">
      <c r="A1157" s="304">
        <v>45630</v>
      </c>
      <c r="B1157" s="305">
        <v>24467.44921875</v>
      </c>
      <c r="C1157" s="305">
        <v>847.95001220703102</v>
      </c>
      <c r="D1157" s="19"/>
      <c r="E1157" s="19">
        <f t="shared" si="36"/>
        <v>4.2109681465375389E-4</v>
      </c>
      <c r="F1157" s="19">
        <f t="shared" si="37"/>
        <v>1.1807072266214892E-3</v>
      </c>
      <c r="G1157" s="19"/>
      <c r="H1157" s="19"/>
    </row>
    <row r="1158" spans="1:8" ht="14.25" customHeight="1" x14ac:dyDescent="0.3">
      <c r="A1158" s="304">
        <v>45631</v>
      </c>
      <c r="B1158" s="305">
        <v>24708.400390625</v>
      </c>
      <c r="C1158" s="305">
        <v>850.25</v>
      </c>
      <c r="D1158" s="19"/>
      <c r="E1158" s="19">
        <f t="shared" si="36"/>
        <v>9.8478255628851284E-3</v>
      </c>
      <c r="F1158" s="19">
        <f t="shared" si="37"/>
        <v>2.7124096466283492E-3</v>
      </c>
      <c r="G1158" s="19"/>
      <c r="H1158" s="19"/>
    </row>
    <row r="1159" spans="1:8" ht="14.25" customHeight="1" x14ac:dyDescent="0.3">
      <c r="A1159" s="304">
        <v>45632</v>
      </c>
      <c r="B1159" s="305">
        <v>24677.80078125</v>
      </c>
      <c r="C1159" s="305">
        <v>856.84997558593795</v>
      </c>
      <c r="D1159" s="19"/>
      <c r="E1159" s="19">
        <f t="shared" si="36"/>
        <v>-1.2384293961259537E-3</v>
      </c>
      <c r="F1159" s="19">
        <f t="shared" si="37"/>
        <v>7.7623941028379358E-3</v>
      </c>
      <c r="G1159" s="19"/>
      <c r="H1159" s="19"/>
    </row>
    <row r="1160" spans="1:8" ht="14.25" customHeight="1" x14ac:dyDescent="0.3">
      <c r="A1160" s="304">
        <v>45635</v>
      </c>
      <c r="B1160" s="305">
        <v>24619</v>
      </c>
      <c r="C1160" s="305">
        <v>862.70001220703102</v>
      </c>
      <c r="D1160" s="19"/>
      <c r="E1160" s="19">
        <f t="shared" si="36"/>
        <v>-2.3827399277279349E-3</v>
      </c>
      <c r="F1160" s="19">
        <f t="shared" si="37"/>
        <v>6.8273756057385063E-3</v>
      </c>
      <c r="G1160" s="19"/>
      <c r="H1160" s="19"/>
    </row>
    <row r="1161" spans="1:8" ht="14.25" customHeight="1" x14ac:dyDescent="0.3">
      <c r="A1161" s="304">
        <v>45636</v>
      </c>
      <c r="B1161" s="305">
        <v>24610.05078125</v>
      </c>
      <c r="C1161" s="305">
        <v>868.40002441406295</v>
      </c>
      <c r="D1161" s="19"/>
      <c r="E1161" s="19">
        <f t="shared" si="36"/>
        <v>-3.6350862138998332E-4</v>
      </c>
      <c r="F1161" s="19">
        <f t="shared" si="37"/>
        <v>6.6071776125859625E-3</v>
      </c>
      <c r="G1161" s="19"/>
      <c r="H1161" s="19"/>
    </row>
    <row r="1162" spans="1:8" ht="14.25" customHeight="1" x14ac:dyDescent="0.3">
      <c r="A1162" s="304">
        <v>45637</v>
      </c>
      <c r="B1162" s="305">
        <v>24641.80078125</v>
      </c>
      <c r="C1162" s="305">
        <v>875.75</v>
      </c>
      <c r="D1162" s="19"/>
      <c r="E1162" s="19">
        <f t="shared" si="36"/>
        <v>1.2901233029632678E-3</v>
      </c>
      <c r="F1162" s="19">
        <f t="shared" si="37"/>
        <v>8.4638131958786004E-3</v>
      </c>
      <c r="G1162" s="19"/>
      <c r="H1162" s="19"/>
    </row>
    <row r="1163" spans="1:8" ht="14.25" customHeight="1" x14ac:dyDescent="0.3">
      <c r="A1163" s="304">
        <v>45638</v>
      </c>
      <c r="B1163" s="305">
        <v>24548.69921875</v>
      </c>
      <c r="C1163" s="305">
        <v>867.09997558593795</v>
      </c>
      <c r="D1163" s="19"/>
      <c r="E1163" s="19">
        <f t="shared" si="36"/>
        <v>-3.778196379659119E-3</v>
      </c>
      <c r="F1163" s="19">
        <f t="shared" si="37"/>
        <v>-9.8772759509700766E-3</v>
      </c>
      <c r="G1163" s="19"/>
      <c r="H1163" s="19"/>
    </row>
    <row r="1164" spans="1:8" ht="14.25" customHeight="1" x14ac:dyDescent="0.3">
      <c r="A1164" s="304">
        <v>45639</v>
      </c>
      <c r="B1164" s="305">
        <v>24768.30078125</v>
      </c>
      <c r="C1164" s="305">
        <v>870.84997558593795</v>
      </c>
      <c r="D1164" s="19"/>
      <c r="E1164" s="19">
        <f t="shared" si="36"/>
        <v>8.9455478085890185E-3</v>
      </c>
      <c r="F1164" s="19">
        <f t="shared" si="37"/>
        <v>4.3247608183427273E-3</v>
      </c>
      <c r="G1164" s="19"/>
      <c r="H1164" s="19"/>
    </row>
    <row r="1165" spans="1:8" ht="14.25" customHeight="1" x14ac:dyDescent="0.3">
      <c r="A1165" s="304">
        <v>45642</v>
      </c>
      <c r="B1165" s="305">
        <v>24668.25</v>
      </c>
      <c r="C1165" s="305">
        <v>893.29998779296898</v>
      </c>
      <c r="D1165" s="19"/>
      <c r="E1165" s="19">
        <f t="shared" si="36"/>
        <v>-4.0394689217332193E-3</v>
      </c>
      <c r="F1165" s="19">
        <f t="shared" si="37"/>
        <v>2.5779425660459918E-2</v>
      </c>
      <c r="G1165" s="19"/>
      <c r="H1165" s="19"/>
    </row>
    <row r="1166" spans="1:8" ht="14.25" customHeight="1" x14ac:dyDescent="0.3">
      <c r="A1166" s="304">
        <v>45643</v>
      </c>
      <c r="B1166" s="305">
        <v>24336</v>
      </c>
      <c r="C1166" s="305">
        <v>872.45001220703102</v>
      </c>
      <c r="D1166" s="19"/>
      <c r="E1166" s="19">
        <f t="shared" si="36"/>
        <v>-1.3468730047733423E-2</v>
      </c>
      <c r="F1166" s="19">
        <f t="shared" si="37"/>
        <v>-2.33403961388726E-2</v>
      </c>
      <c r="G1166" s="19"/>
      <c r="H1166" s="19"/>
    </row>
    <row r="1167" spans="1:8" ht="14.25" customHeight="1" x14ac:dyDescent="0.3">
      <c r="A1167" s="304">
        <v>45644</v>
      </c>
      <c r="B1167" s="305">
        <v>24198.849609375</v>
      </c>
      <c r="C1167" s="305">
        <v>871.45001220703102</v>
      </c>
      <c r="D1167" s="19"/>
      <c r="E1167" s="19">
        <f t="shared" si="36"/>
        <v>-5.6356998120069036E-3</v>
      </c>
      <c r="F1167" s="19">
        <f t="shared" si="37"/>
        <v>-1.1461974737902825E-3</v>
      </c>
      <c r="G1167" s="19"/>
      <c r="H1167" s="19"/>
    </row>
    <row r="1168" spans="1:8" ht="14.25" customHeight="1" x14ac:dyDescent="0.3">
      <c r="A1168" s="304">
        <v>45645</v>
      </c>
      <c r="B1168" s="305">
        <v>23951.69921875</v>
      </c>
      <c r="C1168" s="305">
        <v>864.40002441406295</v>
      </c>
      <c r="D1168" s="19"/>
      <c r="E1168" s="19">
        <f t="shared" si="36"/>
        <v>-1.0213311567061031E-2</v>
      </c>
      <c r="F1168" s="19">
        <f t="shared" si="37"/>
        <v>-8.0899508798138575E-3</v>
      </c>
      <c r="G1168" s="19"/>
      <c r="H1168" s="19"/>
    </row>
    <row r="1169" spans="1:8" ht="14.25" customHeight="1" x14ac:dyDescent="0.3">
      <c r="A1169" s="304">
        <v>45646</v>
      </c>
      <c r="B1169" s="305">
        <v>23587.5</v>
      </c>
      <c r="C1169" s="305">
        <v>830.70001220703102</v>
      </c>
      <c r="D1169" s="19"/>
      <c r="E1169" s="19">
        <f t="shared" si="36"/>
        <v>-1.5205569150805617E-2</v>
      </c>
      <c r="F1169" s="19">
        <f t="shared" si="37"/>
        <v>-3.8986593307740382E-2</v>
      </c>
      <c r="G1169" s="19"/>
      <c r="H1169" s="19"/>
    </row>
    <row r="1170" spans="1:8" ht="14.25" customHeight="1" x14ac:dyDescent="0.3">
      <c r="A1170" s="304">
        <v>45649</v>
      </c>
      <c r="B1170" s="305">
        <v>23753.44921875</v>
      </c>
      <c r="C1170" s="305">
        <v>844.25</v>
      </c>
      <c r="D1170" s="19"/>
      <c r="E1170" s="19">
        <f t="shared" si="36"/>
        <v>7.0354729729729731E-3</v>
      </c>
      <c r="F1170" s="19">
        <f t="shared" si="37"/>
        <v>1.6311529545989682E-2</v>
      </c>
      <c r="G1170" s="19"/>
      <c r="H1170" s="19"/>
    </row>
    <row r="1171" spans="1:8" ht="14.25" customHeight="1" x14ac:dyDescent="0.3">
      <c r="A1171" s="304">
        <v>45650</v>
      </c>
      <c r="B1171" s="305">
        <v>23727.650390625</v>
      </c>
      <c r="C1171" s="305">
        <v>841.70001220703102</v>
      </c>
      <c r="D1171" s="19"/>
      <c r="E1171" s="19">
        <f t="shared" si="36"/>
        <v>-1.0861087115144297E-3</v>
      </c>
      <c r="F1171" s="19">
        <f t="shared" si="37"/>
        <v>-3.0204178773692359E-3</v>
      </c>
      <c r="G1171" s="19"/>
      <c r="H1171" s="19"/>
    </row>
    <row r="1172" spans="1:8" ht="14.25" customHeight="1" x14ac:dyDescent="0.3">
      <c r="A1172" s="304">
        <v>45652</v>
      </c>
      <c r="B1172" s="305">
        <v>23750.19921875</v>
      </c>
      <c r="C1172" s="305">
        <v>838.70001220703102</v>
      </c>
      <c r="D1172" s="19"/>
      <c r="E1172" s="19">
        <f t="shared" si="36"/>
        <v>9.5031862631915877E-4</v>
      </c>
      <c r="F1172" s="19">
        <f t="shared" si="37"/>
        <v>-3.5642152269116244E-3</v>
      </c>
      <c r="G1172" s="19"/>
      <c r="H1172" s="19"/>
    </row>
    <row r="1173" spans="1:8" ht="14.25" customHeight="1" x14ac:dyDescent="0.3">
      <c r="A1173" s="304">
        <v>45653</v>
      </c>
      <c r="B1173" s="305">
        <v>23813.400390625</v>
      </c>
      <c r="C1173" s="305">
        <v>834.84997558593795</v>
      </c>
      <c r="D1173" s="19"/>
      <c r="E1173" s="19">
        <f t="shared" si="36"/>
        <v>2.6610796521279179E-3</v>
      </c>
      <c r="F1173" s="19">
        <f t="shared" si="37"/>
        <v>-4.5904811792737829E-3</v>
      </c>
      <c r="G1173" s="19"/>
      <c r="H1173" s="19"/>
    </row>
    <row r="1174" spans="1:8" ht="14.25" customHeight="1" x14ac:dyDescent="0.3">
      <c r="A1174" s="304">
        <v>45656</v>
      </c>
      <c r="B1174" s="305">
        <v>23644.900390625</v>
      </c>
      <c r="C1174" s="305">
        <v>820.70001220703102</v>
      </c>
      <c r="D1174" s="19"/>
      <c r="E1174" s="19">
        <f t="shared" si="36"/>
        <v>-7.0758479358679106E-3</v>
      </c>
      <c r="F1174" s="19">
        <f t="shared" si="37"/>
        <v>-1.69491091725502E-2</v>
      </c>
      <c r="G1174" s="19"/>
      <c r="H1174" s="19"/>
    </row>
    <row r="1175" spans="1:8" ht="14.25" customHeight="1" x14ac:dyDescent="0.3">
      <c r="A1175" s="304">
        <v>45657</v>
      </c>
      <c r="B1175" s="305">
        <v>23644.80078125</v>
      </c>
      <c r="C1175" s="305">
        <v>824.90002441406295</v>
      </c>
      <c r="D1175" s="19"/>
      <c r="E1175" s="19">
        <f t="shared" si="36"/>
        <v>-4.2127212783477941E-6</v>
      </c>
      <c r="F1175" s="19">
        <f t="shared" si="37"/>
        <v>5.1175973492887323E-3</v>
      </c>
      <c r="G1175" s="19"/>
      <c r="H1175" s="19"/>
    </row>
    <row r="1176" spans="1:8" ht="14.25" customHeight="1" x14ac:dyDescent="0.3">
      <c r="A1176" s="304">
        <v>45658</v>
      </c>
      <c r="B1176" s="305">
        <v>23742.900390625</v>
      </c>
      <c r="C1176" s="305">
        <v>824.5</v>
      </c>
      <c r="D1176" s="19"/>
      <c r="E1176" s="19">
        <f t="shared" si="36"/>
        <v>4.1488871182535671E-3</v>
      </c>
      <c r="F1176" s="19">
        <f t="shared" si="37"/>
        <v>-4.8493684352488318E-4</v>
      </c>
      <c r="G1176" s="19"/>
      <c r="H1176" s="19"/>
    </row>
    <row r="1177" spans="1:8" ht="14.25" customHeight="1" x14ac:dyDescent="0.3">
      <c r="A1177" s="304">
        <v>45659</v>
      </c>
      <c r="B1177" s="305">
        <v>24188.650390625</v>
      </c>
      <c r="C1177" s="305">
        <v>835.40002441406295</v>
      </c>
      <c r="D1177" s="19"/>
      <c r="E1177" s="19">
        <f t="shared" si="36"/>
        <v>1.8774033191665436E-2</v>
      </c>
      <c r="F1177" s="19">
        <f t="shared" si="37"/>
        <v>1.322016302493991E-2</v>
      </c>
      <c r="G1177" s="19"/>
      <c r="H1177" s="19"/>
    </row>
    <row r="1178" spans="1:8" ht="14.25" customHeight="1" x14ac:dyDescent="0.3">
      <c r="A1178" s="304">
        <v>45660</v>
      </c>
      <c r="B1178" s="305">
        <v>24004.75</v>
      </c>
      <c r="C1178" s="305">
        <v>828.04998779296898</v>
      </c>
      <c r="D1178" s="19"/>
      <c r="E1178" s="19">
        <f t="shared" si="36"/>
        <v>-7.602755327609176E-3</v>
      </c>
      <c r="F1178" s="19">
        <f t="shared" si="37"/>
        <v>-8.7982240918046215E-3</v>
      </c>
      <c r="G1178" s="19"/>
      <c r="H1178" s="19"/>
    </row>
    <row r="1179" spans="1:8" ht="14.25" customHeight="1" x14ac:dyDescent="0.3">
      <c r="A1179" s="304">
        <v>45663</v>
      </c>
      <c r="B1179" s="305">
        <v>23616.05078125</v>
      </c>
      <c r="C1179" s="305">
        <v>805.84997558593795</v>
      </c>
      <c r="D1179" s="19"/>
      <c r="E1179" s="19">
        <f t="shared" si="36"/>
        <v>-1.6192595996625668E-2</v>
      </c>
      <c r="F1179" s="19">
        <f t="shared" si="37"/>
        <v>-2.680999038017198E-2</v>
      </c>
      <c r="G1179" s="19"/>
      <c r="H1179" s="19"/>
    </row>
    <row r="1180" spans="1:8" ht="14.25" customHeight="1" x14ac:dyDescent="0.3">
      <c r="A1180" s="304">
        <v>45664</v>
      </c>
      <c r="B1180" s="305">
        <v>23707.900390625</v>
      </c>
      <c r="C1180" s="305">
        <v>810.79998779296898</v>
      </c>
      <c r="D1180" s="19"/>
      <c r="E1180" s="19">
        <f t="shared" si="36"/>
        <v>3.8892874268344705E-3</v>
      </c>
      <c r="F1180" s="19">
        <f t="shared" si="37"/>
        <v>6.14259770056063E-3</v>
      </c>
      <c r="G1180" s="19"/>
      <c r="H1180" s="19"/>
    </row>
    <row r="1181" spans="1:8" ht="14.25" customHeight="1" x14ac:dyDescent="0.3">
      <c r="A1181" s="304">
        <v>45665</v>
      </c>
      <c r="B1181" s="305">
        <v>23688.94921875</v>
      </c>
      <c r="C1181" s="305">
        <v>802.59997558593795</v>
      </c>
      <c r="D1181" s="19"/>
      <c r="E1181" s="19">
        <f t="shared" si="36"/>
        <v>-7.9936103841966573E-4</v>
      </c>
      <c r="F1181" s="19">
        <f t="shared" si="37"/>
        <v>-1.0113483387378674E-2</v>
      </c>
      <c r="G1181" s="19"/>
      <c r="H1181" s="19"/>
    </row>
    <row r="1182" spans="1:8" ht="14.25" customHeight="1" x14ac:dyDescent="0.3">
      <c r="A1182" s="304">
        <v>45666</v>
      </c>
      <c r="B1182" s="305">
        <v>23526.5</v>
      </c>
      <c r="C1182" s="305">
        <v>780.65002441406295</v>
      </c>
      <c r="D1182" s="19"/>
      <c r="E1182" s="19">
        <f t="shared" si="36"/>
        <v>-6.8575949591474531E-3</v>
      </c>
      <c r="F1182" s="19">
        <f t="shared" si="37"/>
        <v>-2.7348556989240429E-2</v>
      </c>
      <c r="G1182" s="19"/>
      <c r="H1182" s="19"/>
    </row>
    <row r="1183" spans="1:8" ht="14.25" customHeight="1" x14ac:dyDescent="0.3">
      <c r="A1183" s="304">
        <v>45667</v>
      </c>
      <c r="B1183" s="305">
        <v>23431.5</v>
      </c>
      <c r="C1183" s="305">
        <v>752.15002441406295</v>
      </c>
      <c r="D1183" s="19"/>
      <c r="E1183" s="19">
        <f t="shared" si="36"/>
        <v>-4.0379997024631801E-3</v>
      </c>
      <c r="F1183" s="19">
        <f t="shared" si="37"/>
        <v>-3.6508037031564064E-2</v>
      </c>
      <c r="G1183" s="19"/>
      <c r="H1183" s="19"/>
    </row>
    <row r="1184" spans="1:8" ht="14.25" customHeight="1" x14ac:dyDescent="0.3">
      <c r="A1184" s="304">
        <v>45670</v>
      </c>
      <c r="B1184" s="305">
        <v>23085.94921875</v>
      </c>
      <c r="C1184" s="305">
        <v>710.79998779296898</v>
      </c>
      <c r="D1184" s="19"/>
      <c r="E1184" s="19">
        <f t="shared" si="36"/>
        <v>-1.4747275302477434E-2</v>
      </c>
      <c r="F1184" s="19">
        <f t="shared" si="37"/>
        <v>-5.4975783126918497E-2</v>
      </c>
      <c r="G1184" s="19"/>
      <c r="H1184" s="19"/>
    </row>
    <row r="1185" spans="1:8" ht="14.25" customHeight="1" x14ac:dyDescent="0.3">
      <c r="A1185" s="304">
        <v>45671</v>
      </c>
      <c r="B1185" s="305">
        <v>23176.05078125</v>
      </c>
      <c r="C1185" s="305">
        <v>723.25</v>
      </c>
      <c r="D1185" s="19"/>
      <c r="E1185" s="19">
        <f t="shared" si="36"/>
        <v>3.9028744993868871E-3</v>
      </c>
      <c r="F1185" s="19">
        <f t="shared" si="37"/>
        <v>1.7515492994996044E-2</v>
      </c>
      <c r="G1185" s="19"/>
      <c r="H1185" s="19"/>
    </row>
    <row r="1186" spans="1:8" ht="14.25" customHeight="1" x14ac:dyDescent="0.3">
      <c r="A1186" s="304">
        <v>45672</v>
      </c>
      <c r="B1186" s="305">
        <v>23213.19921875</v>
      </c>
      <c r="C1186" s="305">
        <v>734.79998779296898</v>
      </c>
      <c r="D1186" s="19"/>
      <c r="E1186" s="19">
        <f t="shared" si="36"/>
        <v>1.6028803979862699E-3</v>
      </c>
      <c r="F1186" s="19">
        <f t="shared" si="37"/>
        <v>1.5969564871025202E-2</v>
      </c>
      <c r="G1186" s="19"/>
      <c r="H1186" s="19"/>
    </row>
    <row r="1187" spans="1:8" ht="14.25" customHeight="1" x14ac:dyDescent="0.3">
      <c r="A1187" s="304">
        <v>45673</v>
      </c>
      <c r="B1187" s="305">
        <v>23311.80078125</v>
      </c>
      <c r="C1187" s="305">
        <v>740.84997558593795</v>
      </c>
      <c r="D1187" s="19"/>
      <c r="E1187" s="19">
        <f t="shared" si="36"/>
        <v>4.2476507253837101E-3</v>
      </c>
      <c r="F1187" s="19">
        <f t="shared" si="37"/>
        <v>8.2335164581869465E-3</v>
      </c>
      <c r="G1187" s="19"/>
      <c r="H1187" s="19"/>
    </row>
    <row r="1188" spans="1:8" ht="14.25" customHeight="1" x14ac:dyDescent="0.3">
      <c r="A1188" s="304">
        <v>45674</v>
      </c>
      <c r="B1188" s="305">
        <v>23203.19921875</v>
      </c>
      <c r="C1188" s="305">
        <v>749</v>
      </c>
      <c r="D1188" s="19"/>
      <c r="E1188" s="19">
        <f t="shared" si="36"/>
        <v>-4.6586517926727362E-3</v>
      </c>
      <c r="F1188" s="19">
        <f t="shared" si="37"/>
        <v>1.1000910687236231E-2</v>
      </c>
      <c r="G1188" s="19"/>
      <c r="H1188" s="19"/>
    </row>
    <row r="1189" spans="1:8" ht="14.25" customHeight="1" x14ac:dyDescent="0.3">
      <c r="A1189" s="304">
        <v>45677</v>
      </c>
      <c r="B1189" s="305">
        <v>23344.75</v>
      </c>
      <c r="C1189" s="305">
        <v>760.59997558593795</v>
      </c>
      <c r="D1189" s="19"/>
      <c r="E1189" s="19">
        <f t="shared" si="36"/>
        <v>6.1004855371674738E-3</v>
      </c>
      <c r="F1189" s="19">
        <f t="shared" si="37"/>
        <v>1.5487283826352409E-2</v>
      </c>
      <c r="G1189" s="19"/>
      <c r="H1189" s="19"/>
    </row>
    <row r="1190" spans="1:8" ht="14.25" customHeight="1" x14ac:dyDescent="0.3">
      <c r="A1190" s="304">
        <v>45678</v>
      </c>
      <c r="B1190" s="305">
        <v>23024.650390625</v>
      </c>
      <c r="C1190" s="305">
        <v>737.90002441406295</v>
      </c>
      <c r="D1190" s="19"/>
      <c r="E1190" s="19">
        <f t="shared" si="36"/>
        <v>-1.371184567729361E-2</v>
      </c>
      <c r="F1190" s="19">
        <f t="shared" si="37"/>
        <v>-2.9844796082707997E-2</v>
      </c>
      <c r="G1190" s="19"/>
      <c r="H1190" s="19"/>
    </row>
    <row r="1191" spans="1:8" ht="14.25" customHeight="1" x14ac:dyDescent="0.3">
      <c r="A1191" s="304">
        <v>45679</v>
      </c>
      <c r="B1191" s="305">
        <v>23155.349609375</v>
      </c>
      <c r="C1191" s="305">
        <v>713.79998779296898</v>
      </c>
      <c r="D1191" s="19"/>
      <c r="E1191" s="19">
        <f t="shared" si="36"/>
        <v>5.6764909144165375E-3</v>
      </c>
      <c r="F1191" s="19">
        <f t="shared" si="37"/>
        <v>-3.2660300614884591E-2</v>
      </c>
      <c r="G1191" s="19"/>
      <c r="H1191" s="19"/>
    </row>
    <row r="1192" spans="1:8" ht="14.25" customHeight="1" x14ac:dyDescent="0.3">
      <c r="A1192" s="304">
        <v>45680</v>
      </c>
      <c r="B1192" s="305">
        <v>23205.349609375</v>
      </c>
      <c r="C1192" s="305">
        <v>715.04998779296898</v>
      </c>
      <c r="D1192" s="19"/>
      <c r="E1192" s="19">
        <f t="shared" si="36"/>
        <v>2.1593282262409156E-3</v>
      </c>
      <c r="F1192" s="19">
        <f t="shared" si="37"/>
        <v>1.7511908396985723E-3</v>
      </c>
      <c r="G1192" s="19"/>
      <c r="H1192" s="19"/>
    </row>
    <row r="1193" spans="1:8" ht="14.25" customHeight="1" x14ac:dyDescent="0.3">
      <c r="A1193" s="304">
        <v>45681</v>
      </c>
      <c r="B1193" s="305">
        <v>23092.19921875</v>
      </c>
      <c r="C1193" s="305">
        <v>695.25</v>
      </c>
      <c r="D1193" s="19"/>
      <c r="E1193" s="19">
        <f t="shared" si="36"/>
        <v>-4.8760476583936943E-3</v>
      </c>
      <c r="F1193" s="19">
        <f t="shared" si="37"/>
        <v>-2.7690354703847279E-2</v>
      </c>
      <c r="G1193" s="19"/>
      <c r="H1193" s="19"/>
    </row>
    <row r="1194" spans="1:8" ht="14.25" customHeight="1" x14ac:dyDescent="0.3">
      <c r="A1194" s="304">
        <v>45684</v>
      </c>
      <c r="B1194" s="305">
        <v>22829.150390625</v>
      </c>
      <c r="C1194" s="305">
        <v>703.90002441406295</v>
      </c>
      <c r="D1194" s="19"/>
      <c r="E1194" s="19">
        <f t="shared" si="36"/>
        <v>-1.1391241935562993E-2</v>
      </c>
      <c r="F1194" s="19">
        <f t="shared" si="37"/>
        <v>1.2441602896890263E-2</v>
      </c>
      <c r="G1194" s="19"/>
      <c r="H1194" s="19"/>
    </row>
    <row r="1195" spans="1:8" ht="14.25" customHeight="1" x14ac:dyDescent="0.3">
      <c r="A1195" s="304">
        <v>45685</v>
      </c>
      <c r="B1195" s="305">
        <v>22957.25</v>
      </c>
      <c r="C1195" s="305">
        <v>726.75</v>
      </c>
      <c r="D1195" s="19"/>
      <c r="E1195" s="19">
        <f t="shared" si="36"/>
        <v>5.6112298172780566E-3</v>
      </c>
      <c r="F1195" s="19">
        <f t="shared" si="37"/>
        <v>3.2461961632914718E-2</v>
      </c>
      <c r="G1195" s="19"/>
      <c r="H1195" s="19"/>
    </row>
    <row r="1196" spans="1:8" ht="14.25" customHeight="1" x14ac:dyDescent="0.3">
      <c r="A1196" s="304">
        <v>45686</v>
      </c>
      <c r="B1196" s="305">
        <v>23163.099609375</v>
      </c>
      <c r="C1196" s="305">
        <v>745.40002441406295</v>
      </c>
      <c r="D1196" s="19"/>
      <c r="E1196" s="19">
        <f t="shared" si="36"/>
        <v>8.9666492883511747E-3</v>
      </c>
      <c r="F1196" s="19">
        <f t="shared" si="37"/>
        <v>2.566222829592426E-2</v>
      </c>
      <c r="G1196" s="19"/>
      <c r="H1196" s="19"/>
    </row>
    <row r="1197" spans="1:8" ht="14.25" customHeight="1" x14ac:dyDescent="0.3">
      <c r="A1197" s="304">
        <v>45687</v>
      </c>
      <c r="B1197" s="305">
        <v>23249.5</v>
      </c>
      <c r="C1197" s="305">
        <v>750.04998779296898</v>
      </c>
      <c r="D1197" s="19"/>
      <c r="E1197" s="19">
        <f t="shared" si="36"/>
        <v>3.7300875997627893E-3</v>
      </c>
      <c r="F1197" s="19">
        <f t="shared" si="37"/>
        <v>6.2382120024227555E-3</v>
      </c>
      <c r="G1197" s="19"/>
      <c r="H1197" s="19"/>
    </row>
    <row r="1198" spans="1:8" ht="14.25" customHeight="1" x14ac:dyDescent="0.3">
      <c r="A1198" s="304">
        <v>45688</v>
      </c>
      <c r="B1198" s="305">
        <v>23508.400390625</v>
      </c>
      <c r="C1198" s="305">
        <v>745.04998779296898</v>
      </c>
      <c r="D1198" s="19"/>
      <c r="E1198" s="19">
        <f t="shared" si="36"/>
        <v>1.1135740150325814E-2</v>
      </c>
      <c r="F1198" s="19">
        <f t="shared" si="37"/>
        <v>-6.6662223603423543E-3</v>
      </c>
      <c r="G1198" s="19"/>
      <c r="H1198" s="19"/>
    </row>
    <row r="1199" spans="1:8" ht="14.25" customHeight="1" x14ac:dyDescent="0.3">
      <c r="A1199" s="304">
        <v>45689</v>
      </c>
      <c r="B1199" s="305">
        <v>23482.150390625</v>
      </c>
      <c r="C1199" s="305">
        <v>760.65002441406295</v>
      </c>
      <c r="D1199" s="19"/>
      <c r="E1199" s="19">
        <f t="shared" si="36"/>
        <v>-1.1166221250199708E-3</v>
      </c>
      <c r="F1199" s="19">
        <f t="shared" si="37"/>
        <v>2.0938241563234334E-2</v>
      </c>
      <c r="G1199" s="19"/>
      <c r="H1199" s="19"/>
    </row>
    <row r="1200" spans="1:8" ht="14.25" customHeight="1" x14ac:dyDescent="0.3">
      <c r="A1200" s="304">
        <v>45691</v>
      </c>
      <c r="B1200" s="305">
        <v>23361.05078125</v>
      </c>
      <c r="C1200" s="305">
        <v>748.65002441406295</v>
      </c>
      <c r="D1200" s="19"/>
      <c r="E1200" s="19">
        <f t="shared" si="36"/>
        <v>-5.1570919766934014E-3</v>
      </c>
      <c r="F1200" s="19">
        <f t="shared" si="37"/>
        <v>-1.5775980562471856E-2</v>
      </c>
      <c r="G1200" s="19"/>
      <c r="H1200" s="19"/>
    </row>
    <row r="1201" spans="1:8" ht="14.25" customHeight="1" x14ac:dyDescent="0.3">
      <c r="A1201" s="304">
        <v>45692</v>
      </c>
      <c r="B1201" s="305">
        <v>23739.25</v>
      </c>
      <c r="C1201" s="305">
        <v>762.20001220703102</v>
      </c>
      <c r="D1201" s="19"/>
      <c r="E1201" s="19">
        <f t="shared" si="36"/>
        <v>1.6189306820631095E-2</v>
      </c>
      <c r="F1201" s="19">
        <f t="shared" si="37"/>
        <v>1.8099228412599165E-2</v>
      </c>
      <c r="G1201" s="19"/>
      <c r="H1201" s="19"/>
    </row>
    <row r="1202" spans="1:8" ht="14.25" customHeight="1" x14ac:dyDescent="0.3">
      <c r="A1202" s="304">
        <v>45693</v>
      </c>
      <c r="B1202" s="305">
        <v>23696.30078125</v>
      </c>
      <c r="C1202" s="305">
        <v>763.40002441406295</v>
      </c>
      <c r="D1202" s="19"/>
      <c r="E1202" s="19">
        <f t="shared" si="36"/>
        <v>-1.8092070621439178E-3</v>
      </c>
      <c r="F1202" s="19">
        <f t="shared" si="37"/>
        <v>1.5744059142129498E-3</v>
      </c>
      <c r="G1202" s="19"/>
      <c r="H1202" s="19"/>
    </row>
    <row r="1203" spans="1:8" ht="14.25" customHeight="1" x14ac:dyDescent="0.3">
      <c r="A1203" s="304">
        <v>45694</v>
      </c>
      <c r="B1203" s="305">
        <v>23603.349609375</v>
      </c>
      <c r="C1203" s="305">
        <v>764.04998779296898</v>
      </c>
      <c r="D1203" s="19"/>
      <c r="E1203" s="19">
        <f t="shared" si="36"/>
        <v>-3.9226026346082174E-3</v>
      </c>
      <c r="F1203" s="19">
        <f t="shared" si="37"/>
        <v>8.5140602321160904E-4</v>
      </c>
      <c r="G1203" s="19"/>
      <c r="H1203" s="19"/>
    </row>
    <row r="1204" spans="1:8" ht="14.25" customHeight="1" x14ac:dyDescent="0.3">
      <c r="A1204" s="304">
        <v>45695</v>
      </c>
      <c r="B1204" s="305">
        <v>23559.94921875</v>
      </c>
      <c r="C1204" s="305">
        <v>757.45001220703102</v>
      </c>
      <c r="D1204" s="19"/>
      <c r="E1204" s="19">
        <f t="shared" si="36"/>
        <v>-1.8387386257991884E-3</v>
      </c>
      <c r="F1204" s="19">
        <f t="shared" si="37"/>
        <v>-8.6381463142256067E-3</v>
      </c>
      <c r="G1204" s="19"/>
      <c r="H1204" s="19"/>
    </row>
    <row r="1205" spans="1:8" ht="14.25" customHeight="1" x14ac:dyDescent="0.3">
      <c r="A1205" s="304">
        <v>45698</v>
      </c>
      <c r="B1205" s="305">
        <v>23381.599609375</v>
      </c>
      <c r="C1205" s="305">
        <v>730.95001220703102</v>
      </c>
      <c r="D1205" s="19"/>
      <c r="E1205" s="19">
        <f t="shared" si="36"/>
        <v>-7.5700336923078711E-3</v>
      </c>
      <c r="F1205" s="19">
        <f t="shared" si="37"/>
        <v>-3.4985807080239184E-2</v>
      </c>
      <c r="G1205" s="19"/>
      <c r="H1205" s="19"/>
    </row>
    <row r="1206" spans="1:8" ht="14.25" customHeight="1" x14ac:dyDescent="0.3">
      <c r="A1206" s="304">
        <v>45699</v>
      </c>
      <c r="B1206" s="305">
        <v>23071.80078125</v>
      </c>
      <c r="C1206" s="305">
        <v>709.09997558593795</v>
      </c>
      <c r="D1206" s="19"/>
      <c r="E1206" s="19">
        <f t="shared" si="36"/>
        <v>-1.3249684936046216E-2</v>
      </c>
      <c r="F1206" s="19">
        <f t="shared" si="37"/>
        <v>-2.9892655114840277E-2</v>
      </c>
      <c r="G1206" s="19"/>
      <c r="H1206" s="19"/>
    </row>
    <row r="1207" spans="1:8" ht="14.25" customHeight="1" x14ac:dyDescent="0.3">
      <c r="A1207" s="304">
        <v>45700</v>
      </c>
      <c r="B1207" s="305">
        <v>23045.25</v>
      </c>
      <c r="C1207" s="305">
        <v>680.04998779296898</v>
      </c>
      <c r="D1207" s="19"/>
      <c r="E1207" s="19">
        <f t="shared" si="36"/>
        <v>-1.1507892904301298E-3</v>
      </c>
      <c r="F1207" s="19">
        <f t="shared" si="37"/>
        <v>-4.0967407690240883E-2</v>
      </c>
      <c r="G1207" s="19"/>
      <c r="H1207" s="19"/>
    </row>
    <row r="1208" spans="1:8" ht="14.25" customHeight="1" x14ac:dyDescent="0.3">
      <c r="A1208" s="304">
        <v>45701</v>
      </c>
      <c r="B1208" s="305">
        <v>23031.400390625</v>
      </c>
      <c r="C1208" s="305">
        <v>680.65002441406295</v>
      </c>
      <c r="D1208" s="19"/>
      <c r="E1208" s="19">
        <f t="shared" si="36"/>
        <v>-6.0097457719052736E-4</v>
      </c>
      <c r="F1208" s="19">
        <f t="shared" si="37"/>
        <v>8.8234193348246854E-4</v>
      </c>
      <c r="G1208" s="19"/>
      <c r="H1208" s="19"/>
    </row>
    <row r="1209" spans="1:8" ht="14.25" customHeight="1" x14ac:dyDescent="0.3">
      <c r="A1209" s="304">
        <v>45702</v>
      </c>
      <c r="B1209" s="305">
        <v>22929.25</v>
      </c>
      <c r="C1209" s="305">
        <v>673.29998779296898</v>
      </c>
      <c r="D1209" s="19"/>
      <c r="E1209" s="19">
        <f t="shared" si="36"/>
        <v>-4.4352661537064254E-3</v>
      </c>
      <c r="F1209" s="19">
        <f t="shared" si="37"/>
        <v>-1.0798554848244149E-2</v>
      </c>
      <c r="G1209" s="19"/>
      <c r="H1209" s="19"/>
    </row>
    <row r="1210" spans="1:8" ht="14.25" customHeight="1" x14ac:dyDescent="0.3">
      <c r="A1210" s="304">
        <v>45705</v>
      </c>
      <c r="B1210" s="305">
        <v>22959.5</v>
      </c>
      <c r="C1210" s="305">
        <v>674.75</v>
      </c>
      <c r="D1210" s="19"/>
      <c r="E1210" s="19">
        <f t="shared" si="36"/>
        <v>1.3192755977626831E-3</v>
      </c>
      <c r="F1210" s="19">
        <f t="shared" si="37"/>
        <v>2.1535901282043134E-3</v>
      </c>
      <c r="G1210" s="19"/>
      <c r="H1210" s="19"/>
    </row>
    <row r="1211" spans="1:8" ht="14.25" customHeight="1" x14ac:dyDescent="0.3">
      <c r="A1211" s="304">
        <v>45706</v>
      </c>
      <c r="B1211" s="305">
        <v>22945.30078125</v>
      </c>
      <c r="C1211" s="305">
        <v>672.09997558593795</v>
      </c>
      <c r="D1211" s="19"/>
      <c r="E1211" s="19">
        <f t="shared" si="36"/>
        <v>-6.1844634029486708E-4</v>
      </c>
      <c r="F1211" s="19">
        <f t="shared" si="37"/>
        <v>-3.9274166936821711E-3</v>
      </c>
      <c r="G1211" s="19"/>
      <c r="H1211" s="19"/>
    </row>
    <row r="1212" spans="1:8" ht="14.25" customHeight="1" x14ac:dyDescent="0.3">
      <c r="A1212" s="304">
        <v>45707</v>
      </c>
      <c r="B1212" s="305">
        <v>22932.900390625</v>
      </c>
      <c r="C1212" s="305">
        <v>690.15002441406295</v>
      </c>
      <c r="D1212" s="19"/>
      <c r="E1212" s="19">
        <f t="shared" si="36"/>
        <v>-5.4043269004052947E-4</v>
      </c>
      <c r="F1212" s="19">
        <f t="shared" si="37"/>
        <v>2.6856196226445233E-2</v>
      </c>
      <c r="G1212" s="19"/>
      <c r="H1212" s="19"/>
    </row>
    <row r="1213" spans="1:8" ht="14.25" customHeight="1" x14ac:dyDescent="0.3">
      <c r="A1213" s="304">
        <v>45708</v>
      </c>
      <c r="B1213" s="305">
        <v>22913.150390625</v>
      </c>
      <c r="C1213" s="305">
        <v>694.90002441406295</v>
      </c>
      <c r="D1213" s="19"/>
      <c r="E1213" s="19">
        <f t="shared" si="36"/>
        <v>-8.6120811862392364E-4</v>
      </c>
      <c r="F1213" s="19">
        <f t="shared" si="37"/>
        <v>6.8825615184651308E-3</v>
      </c>
      <c r="G1213" s="19"/>
      <c r="H1213" s="19"/>
    </row>
    <row r="1214" spans="1:8" ht="14.25" customHeight="1" x14ac:dyDescent="0.3">
      <c r="A1214" s="304">
        <v>45709</v>
      </c>
      <c r="B1214" s="305">
        <v>22795.900390625</v>
      </c>
      <c r="C1214" s="305">
        <v>686.25</v>
      </c>
      <c r="D1214" s="19"/>
      <c r="E1214" s="19">
        <f t="shared" si="36"/>
        <v>-5.1171487988824647E-3</v>
      </c>
      <c r="F1214" s="19">
        <f t="shared" si="37"/>
        <v>-1.2447868916620952E-2</v>
      </c>
      <c r="G1214" s="19"/>
      <c r="H1214" s="19"/>
    </row>
    <row r="1215" spans="1:8" ht="14.25" customHeight="1" x14ac:dyDescent="0.3">
      <c r="A1215" s="304">
        <v>45712</v>
      </c>
      <c r="B1215" s="305">
        <v>22553.349609375</v>
      </c>
      <c r="C1215" s="305">
        <v>673.70001220703102</v>
      </c>
      <c r="D1215" s="19"/>
      <c r="E1215" s="19">
        <f t="shared" si="36"/>
        <v>-1.0640105330068515E-2</v>
      </c>
      <c r="F1215" s="19">
        <f t="shared" si="37"/>
        <v>-1.8287778204690679E-2</v>
      </c>
      <c r="G1215" s="19"/>
      <c r="H1215" s="19"/>
    </row>
    <row r="1216" spans="1:8" ht="14.25" customHeight="1" x14ac:dyDescent="0.3">
      <c r="A1216" s="304">
        <v>45713</v>
      </c>
      <c r="B1216" s="305">
        <v>22547.55078125</v>
      </c>
      <c r="C1216" s="305">
        <v>656.79998779296898</v>
      </c>
      <c r="D1216" s="19"/>
      <c r="E1216" s="19">
        <f t="shared" si="36"/>
        <v>-2.5711604818955748E-4</v>
      </c>
      <c r="F1216" s="19">
        <f t="shared" si="37"/>
        <v>-2.5085385346361833E-2</v>
      </c>
      <c r="G1216" s="19"/>
      <c r="H1216" s="19"/>
    </row>
    <row r="1217" spans="1:8" ht="14.25" customHeight="1" x14ac:dyDescent="0.3">
      <c r="A1217" s="304">
        <v>45715</v>
      </c>
      <c r="B1217" s="305">
        <v>22545.05078125</v>
      </c>
      <c r="C1217" s="305">
        <v>642.40002441406295</v>
      </c>
      <c r="D1217" s="19"/>
      <c r="E1217" s="19">
        <f t="shared" si="36"/>
        <v>-1.1087678764998901E-4</v>
      </c>
      <c r="F1217" s="19">
        <f t="shared" si="37"/>
        <v>-2.1924426989248146E-2</v>
      </c>
      <c r="G1217" s="19"/>
      <c r="H1217" s="19"/>
    </row>
    <row r="1218" spans="1:8" ht="14.25" customHeight="1" x14ac:dyDescent="0.3">
      <c r="A1218" s="304">
        <v>45716</v>
      </c>
      <c r="B1218" s="305">
        <v>22124.69921875</v>
      </c>
      <c r="C1218" s="305">
        <v>635.54998779296898</v>
      </c>
      <c r="D1218" s="19"/>
      <c r="E1218" s="19">
        <f t="shared" si="36"/>
        <v>-1.8644959666695139E-2</v>
      </c>
      <c r="F1218" s="19">
        <f t="shared" si="37"/>
        <v>-1.0663194833066729E-2</v>
      </c>
      <c r="G1218" s="19"/>
      <c r="H1218" s="19"/>
    </row>
    <row r="1219" spans="1:8" ht="14.25" customHeight="1" x14ac:dyDescent="0.3">
      <c r="A1219" s="304">
        <v>45719</v>
      </c>
      <c r="B1219" s="305">
        <v>22119.30078125</v>
      </c>
      <c r="C1219" s="305">
        <v>647.29998779296898</v>
      </c>
      <c r="D1219" s="19"/>
      <c r="E1219" s="19">
        <f t="shared" ref="E1219:E1282" si="38">(B1219-B1218)/B1218</f>
        <v>-2.4400049223833022E-4</v>
      </c>
      <c r="F1219" s="19">
        <f t="shared" ref="F1219:F1282" si="39">(C1219-C1218)/C1218</f>
        <v>1.8487924200586366E-2</v>
      </c>
      <c r="G1219" s="19"/>
      <c r="H1219" s="19"/>
    </row>
    <row r="1220" spans="1:8" ht="14.25" customHeight="1" x14ac:dyDescent="0.3">
      <c r="A1220" s="304">
        <v>45720</v>
      </c>
      <c r="B1220" s="305">
        <v>22082.650390625</v>
      </c>
      <c r="C1220" s="305">
        <v>643.29998779296898</v>
      </c>
      <c r="D1220" s="19"/>
      <c r="E1220" s="19">
        <f t="shared" si="38"/>
        <v>-1.6569416451024373E-3</v>
      </c>
      <c r="F1220" s="19">
        <f t="shared" si="39"/>
        <v>-6.179515024615374E-3</v>
      </c>
      <c r="G1220" s="19"/>
      <c r="H1220" s="19"/>
    </row>
    <row r="1221" spans="1:8" ht="14.25" customHeight="1" x14ac:dyDescent="0.3">
      <c r="A1221" s="304">
        <v>45721</v>
      </c>
      <c r="B1221" s="305">
        <v>22337.30078125</v>
      </c>
      <c r="C1221" s="305">
        <v>661.34997558593795</v>
      </c>
      <c r="D1221" s="19"/>
      <c r="E1221" s="19">
        <f t="shared" si="38"/>
        <v>1.153169506922546E-2</v>
      </c>
      <c r="F1221" s="19">
        <f t="shared" si="39"/>
        <v>2.8058430181064985E-2</v>
      </c>
      <c r="G1221" s="19"/>
      <c r="H1221" s="19"/>
    </row>
    <row r="1222" spans="1:8" ht="14.25" customHeight="1" x14ac:dyDescent="0.3">
      <c r="A1222" s="304">
        <v>45722</v>
      </c>
      <c r="B1222" s="305">
        <v>22544.69921875</v>
      </c>
      <c r="C1222" s="305">
        <v>665.29998779296898</v>
      </c>
      <c r="D1222" s="19"/>
      <c r="E1222" s="19">
        <f t="shared" si="38"/>
        <v>9.2848477768670643E-3</v>
      </c>
      <c r="F1222" s="19">
        <f t="shared" si="39"/>
        <v>5.9726504163418468E-3</v>
      </c>
      <c r="G1222" s="19"/>
      <c r="H1222" s="19"/>
    </row>
    <row r="1223" spans="1:8" ht="14.25" customHeight="1" x14ac:dyDescent="0.3">
      <c r="A1223" s="304">
        <v>45723</v>
      </c>
      <c r="B1223" s="305">
        <v>22552.5</v>
      </c>
      <c r="C1223" s="305">
        <v>667.04998779296898</v>
      </c>
      <c r="D1223" s="19"/>
      <c r="E1223" s="19">
        <f t="shared" si="38"/>
        <v>3.4601398645018238E-4</v>
      </c>
      <c r="F1223" s="19">
        <f t="shared" si="39"/>
        <v>2.6303923524865188E-3</v>
      </c>
      <c r="G1223" s="19"/>
      <c r="H1223" s="19"/>
    </row>
    <row r="1224" spans="1:8" ht="14.25" customHeight="1" x14ac:dyDescent="0.3">
      <c r="A1224" s="304">
        <v>45726</v>
      </c>
      <c r="B1224" s="305">
        <v>22460.30078125</v>
      </c>
      <c r="C1224" s="305">
        <v>647.09997558593795</v>
      </c>
      <c r="D1224" s="19"/>
      <c r="E1224" s="19">
        <f t="shared" si="38"/>
        <v>-4.0882039130916746E-3</v>
      </c>
      <c r="F1224" s="19">
        <f t="shared" si="39"/>
        <v>-2.9907821860605251E-2</v>
      </c>
      <c r="G1224" s="19"/>
      <c r="H1224" s="19"/>
    </row>
    <row r="1225" spans="1:8" ht="14.25" customHeight="1" x14ac:dyDescent="0.3">
      <c r="A1225" s="304">
        <v>45727</v>
      </c>
      <c r="B1225" s="305">
        <v>22497.900390625</v>
      </c>
      <c r="C1225" s="305">
        <v>674.09997558593795</v>
      </c>
      <c r="D1225" s="19"/>
      <c r="E1225" s="19">
        <f t="shared" si="38"/>
        <v>1.6740474556061328E-3</v>
      </c>
      <c r="F1225" s="19">
        <f t="shared" si="39"/>
        <v>4.1724619098543407E-2</v>
      </c>
      <c r="G1225" s="19"/>
      <c r="H1225" s="19"/>
    </row>
    <row r="1226" spans="1:8" ht="14.25" customHeight="1" x14ac:dyDescent="0.3">
      <c r="A1226" s="304">
        <v>45728</v>
      </c>
      <c r="B1226" s="305">
        <v>22470.5</v>
      </c>
      <c r="C1226" s="305">
        <v>668.70001220703102</v>
      </c>
      <c r="D1226" s="19"/>
      <c r="E1226" s="19">
        <f t="shared" si="38"/>
        <v>-1.217908789231634E-3</v>
      </c>
      <c r="F1226" s="19">
        <f t="shared" si="39"/>
        <v>-8.0106268720944573E-3</v>
      </c>
      <c r="G1226" s="19"/>
      <c r="H1226" s="19"/>
    </row>
    <row r="1227" spans="1:8" ht="14.25" customHeight="1" x14ac:dyDescent="0.3">
      <c r="A1227" s="304">
        <v>45729</v>
      </c>
      <c r="B1227" s="305">
        <v>22397.19921875</v>
      </c>
      <c r="C1227" s="305">
        <v>658.09997558593795</v>
      </c>
      <c r="D1227" s="19"/>
      <c r="E1227" s="19">
        <f t="shared" si="38"/>
        <v>-3.2620894617387242E-3</v>
      </c>
      <c r="F1227" s="19">
        <f t="shared" si="39"/>
        <v>-1.585170693523372E-2</v>
      </c>
      <c r="G1227" s="19"/>
      <c r="H1227" s="19"/>
    </row>
    <row r="1228" spans="1:8" ht="14.25" customHeight="1" x14ac:dyDescent="0.3">
      <c r="A1228" s="304">
        <v>45733</v>
      </c>
      <c r="B1228" s="305">
        <v>22508.75</v>
      </c>
      <c r="C1228" s="305">
        <v>655.54998779296898</v>
      </c>
      <c r="D1228" s="19"/>
      <c r="E1228" s="19">
        <f t="shared" si="38"/>
        <v>4.9805683362683286E-3</v>
      </c>
      <c r="F1228" s="19">
        <f t="shared" si="39"/>
        <v>-3.8747726600333043E-3</v>
      </c>
      <c r="G1228" s="19"/>
      <c r="H1228" s="19"/>
    </row>
    <row r="1229" spans="1:8" ht="14.25" customHeight="1" x14ac:dyDescent="0.3">
      <c r="A1229" s="304">
        <v>45734</v>
      </c>
      <c r="B1229" s="305">
        <v>22834.30078125</v>
      </c>
      <c r="C1229" s="305">
        <v>655.54998779296898</v>
      </c>
      <c r="D1229" s="19"/>
      <c r="E1229" s="19">
        <f t="shared" si="38"/>
        <v>1.4463298994835342E-2</v>
      </c>
      <c r="F1229" s="19">
        <f t="shared" si="39"/>
        <v>0</v>
      </c>
      <c r="G1229" s="19"/>
      <c r="H1229" s="19"/>
    </row>
    <row r="1230" spans="1:8" ht="14.25" customHeight="1" x14ac:dyDescent="0.3">
      <c r="A1230" s="304">
        <v>45735</v>
      </c>
      <c r="B1230" s="305">
        <v>22907.599609375</v>
      </c>
      <c r="C1230" s="305">
        <v>697.54998779296898</v>
      </c>
      <c r="D1230" s="19"/>
      <c r="E1230" s="19">
        <f t="shared" si="38"/>
        <v>3.2100316461272198E-3</v>
      </c>
      <c r="F1230" s="19">
        <f t="shared" si="39"/>
        <v>6.4068340755219624E-2</v>
      </c>
      <c r="G1230" s="19"/>
      <c r="H1230" s="19"/>
    </row>
    <row r="1231" spans="1:8" ht="14.25" customHeight="1" x14ac:dyDescent="0.3">
      <c r="A1231" s="304">
        <v>45736</v>
      </c>
      <c r="B1231" s="305">
        <v>23190.650390625</v>
      </c>
      <c r="C1231" s="305">
        <v>694.29998779296898</v>
      </c>
      <c r="D1231" s="19"/>
      <c r="E1231" s="19">
        <f t="shared" si="38"/>
        <v>1.2356195589090036E-2</v>
      </c>
      <c r="F1231" s="19">
        <f t="shared" si="39"/>
        <v>-4.6591642991535565E-3</v>
      </c>
      <c r="G1231" s="19"/>
      <c r="H1231" s="19"/>
    </row>
    <row r="1232" spans="1:8" ht="14.25" customHeight="1" x14ac:dyDescent="0.3">
      <c r="A1232" s="304">
        <v>45737</v>
      </c>
      <c r="B1232" s="305">
        <v>23350.400390625</v>
      </c>
      <c r="C1232" s="305">
        <v>695.90002441406295</v>
      </c>
      <c r="D1232" s="19"/>
      <c r="E1232" s="19">
        <f t="shared" si="38"/>
        <v>6.8885519512889631E-3</v>
      </c>
      <c r="F1232" s="19">
        <f t="shared" si="39"/>
        <v>2.304532117565134E-3</v>
      </c>
      <c r="G1232" s="19"/>
      <c r="H1232" s="19"/>
    </row>
    <row r="1233" spans="1:8" ht="14.25" customHeight="1" x14ac:dyDescent="0.3">
      <c r="A1233" s="304">
        <v>45740</v>
      </c>
      <c r="B1233" s="305">
        <v>23658.349609375</v>
      </c>
      <c r="C1233" s="305">
        <v>706</v>
      </c>
      <c r="D1233" s="19"/>
      <c r="E1233" s="19">
        <f t="shared" si="38"/>
        <v>1.3188177230298765E-2</v>
      </c>
      <c r="F1233" s="19">
        <f t="shared" si="39"/>
        <v>1.4513543945398001E-2</v>
      </c>
      <c r="G1233" s="19"/>
      <c r="H1233" s="19"/>
    </row>
    <row r="1234" spans="1:8" ht="14.25" customHeight="1" x14ac:dyDescent="0.3">
      <c r="A1234" s="304">
        <v>45741</v>
      </c>
      <c r="B1234" s="305">
        <v>23668.650390625</v>
      </c>
      <c r="C1234" s="305">
        <v>695.20001220703102</v>
      </c>
      <c r="D1234" s="19"/>
      <c r="E1234" s="19">
        <f t="shared" si="38"/>
        <v>4.3539728764165997E-4</v>
      </c>
      <c r="F1234" s="19">
        <f t="shared" si="39"/>
        <v>-1.5297433134516964E-2</v>
      </c>
      <c r="G1234" s="19"/>
      <c r="H1234" s="19"/>
    </row>
    <row r="1235" spans="1:8" ht="14.25" customHeight="1" x14ac:dyDescent="0.3">
      <c r="A1235" s="304">
        <v>45742</v>
      </c>
      <c r="B1235" s="305">
        <v>23486.849609375</v>
      </c>
      <c r="C1235" s="305">
        <v>680.45001220703102</v>
      </c>
      <c r="D1235" s="19"/>
      <c r="E1235" s="19">
        <f t="shared" si="38"/>
        <v>-7.6810793285454976E-3</v>
      </c>
      <c r="F1235" s="19">
        <f t="shared" si="39"/>
        <v>-2.1216915622848751E-2</v>
      </c>
      <c r="G1235" s="19"/>
      <c r="H1235" s="19"/>
    </row>
    <row r="1236" spans="1:8" ht="14.25" customHeight="1" x14ac:dyDescent="0.3">
      <c r="A1236" s="304">
        <v>45743</v>
      </c>
      <c r="B1236" s="305">
        <v>23591.94921875</v>
      </c>
      <c r="C1236" s="305">
        <v>688.5</v>
      </c>
      <c r="D1236" s="19"/>
      <c r="E1236" s="19">
        <f t="shared" si="38"/>
        <v>4.4748278770026483E-3</v>
      </c>
      <c r="F1236" s="19">
        <f t="shared" si="39"/>
        <v>1.1830388196862461E-2</v>
      </c>
      <c r="G1236" s="19"/>
      <c r="H1236" s="19"/>
    </row>
    <row r="1237" spans="1:8" ht="14.25" customHeight="1" x14ac:dyDescent="0.3">
      <c r="A1237" s="304">
        <v>45744</v>
      </c>
      <c r="B1237" s="305">
        <v>23519.349609375</v>
      </c>
      <c r="C1237" s="305">
        <v>680.5</v>
      </c>
      <c r="D1237" s="19"/>
      <c r="E1237" s="19">
        <f t="shared" si="38"/>
        <v>-3.0773044101544836E-3</v>
      </c>
      <c r="F1237" s="19">
        <f t="shared" si="39"/>
        <v>-1.1619462599854757E-2</v>
      </c>
      <c r="G1237" s="19"/>
      <c r="H1237" s="19"/>
    </row>
    <row r="1238" spans="1:8" ht="14.25" customHeight="1" x14ac:dyDescent="0.3">
      <c r="A1238" s="304">
        <v>45748</v>
      </c>
      <c r="B1238" s="305">
        <v>23165.69921875</v>
      </c>
      <c r="C1238" s="305">
        <v>663.09997558593795</v>
      </c>
      <c r="D1238" s="19"/>
      <c r="E1238" s="19">
        <f t="shared" si="38"/>
        <v>-1.5036571865236959E-2</v>
      </c>
      <c r="F1238" s="19">
        <f t="shared" si="39"/>
        <v>-2.5569470116182286E-2</v>
      </c>
      <c r="G1238" s="19"/>
      <c r="H1238" s="19"/>
    </row>
    <row r="1239" spans="1:8" ht="14.25" customHeight="1" x14ac:dyDescent="0.3">
      <c r="A1239" s="304">
        <v>45749</v>
      </c>
      <c r="B1239" s="305">
        <v>23332.349609375</v>
      </c>
      <c r="C1239" s="305">
        <v>683.15002441406295</v>
      </c>
      <c r="D1239" s="19"/>
      <c r="E1239" s="19">
        <f t="shared" si="38"/>
        <v>7.1938424586863083E-3</v>
      </c>
      <c r="F1239" s="19">
        <f t="shared" si="39"/>
        <v>3.0236841451257913E-2</v>
      </c>
      <c r="G1239" s="19"/>
      <c r="H1239" s="19"/>
    </row>
    <row r="1240" spans="1:8" ht="14.25" customHeight="1" x14ac:dyDescent="0.3">
      <c r="A1240" s="304">
        <v>45750</v>
      </c>
      <c r="B1240" s="305">
        <v>23250.099609375</v>
      </c>
      <c r="C1240" s="305">
        <v>680.04998779296898</v>
      </c>
      <c r="D1240" s="19"/>
      <c r="E1240" s="19">
        <f t="shared" si="38"/>
        <v>-3.5251486188494162E-3</v>
      </c>
      <c r="F1240" s="19">
        <f t="shared" si="39"/>
        <v>-4.5378562692036427E-3</v>
      </c>
      <c r="G1240" s="19"/>
      <c r="H1240" s="19"/>
    </row>
    <row r="1241" spans="1:8" ht="14.25" customHeight="1" x14ac:dyDescent="0.3">
      <c r="A1241" s="304">
        <v>45751</v>
      </c>
      <c r="B1241" s="305">
        <v>22904.44921875</v>
      </c>
      <c r="C1241" s="305">
        <v>653.95001220703102</v>
      </c>
      <c r="D1241" s="19"/>
      <c r="E1241" s="19">
        <f t="shared" si="38"/>
        <v>-1.4866619775066488E-2</v>
      </c>
      <c r="F1241" s="19">
        <f t="shared" si="39"/>
        <v>-3.837949570537115E-2</v>
      </c>
      <c r="G1241" s="19"/>
      <c r="H1241" s="19"/>
    </row>
    <row r="1242" spans="1:8" ht="14.25" customHeight="1" x14ac:dyDescent="0.3">
      <c r="A1242" s="304">
        <v>45754</v>
      </c>
      <c r="B1242" s="305">
        <v>22161.599609375</v>
      </c>
      <c r="C1242" s="305">
        <v>608.04998779296898</v>
      </c>
      <c r="D1242" s="19"/>
      <c r="E1242" s="19">
        <f t="shared" si="38"/>
        <v>-3.2432546283055336E-2</v>
      </c>
      <c r="F1242" s="19">
        <f t="shared" si="39"/>
        <v>-7.0188888381778586E-2</v>
      </c>
      <c r="G1242" s="19"/>
      <c r="H1242" s="19"/>
    </row>
    <row r="1243" spans="1:8" ht="14.25" customHeight="1" x14ac:dyDescent="0.3">
      <c r="A1243" s="304">
        <v>45755</v>
      </c>
      <c r="B1243" s="305">
        <v>22535.849609375</v>
      </c>
      <c r="C1243" s="305">
        <v>621.54998779296898</v>
      </c>
      <c r="D1243" s="19"/>
      <c r="E1243" s="19">
        <f t="shared" si="38"/>
        <v>1.688731890281428E-2</v>
      </c>
      <c r="F1243" s="19">
        <f t="shared" si="39"/>
        <v>2.2202121981781089E-2</v>
      </c>
      <c r="G1243" s="19"/>
      <c r="H1243" s="19"/>
    </row>
    <row r="1244" spans="1:8" ht="14.25" customHeight="1" x14ac:dyDescent="0.3">
      <c r="A1244" s="304">
        <v>45756</v>
      </c>
      <c r="B1244" s="305">
        <v>22399.150390625</v>
      </c>
      <c r="C1244" s="305">
        <v>612.84997558593795</v>
      </c>
      <c r="D1244" s="19"/>
      <c r="E1244" s="19">
        <f t="shared" si="38"/>
        <v>-6.0658560080704745E-3</v>
      </c>
      <c r="F1244" s="19">
        <f t="shared" si="39"/>
        <v>-1.3997284816822962E-2</v>
      </c>
      <c r="G1244" s="19"/>
      <c r="H1244" s="19"/>
    </row>
    <row r="1245" spans="1:8" ht="14.25" customHeight="1" x14ac:dyDescent="0.3">
      <c r="A1245" s="304">
        <v>45758</v>
      </c>
      <c r="B1245" s="305">
        <v>22828.55078125</v>
      </c>
      <c r="C1245" s="305">
        <v>623.59997558593795</v>
      </c>
      <c r="D1245" s="19"/>
      <c r="E1245" s="19">
        <f t="shared" si="38"/>
        <v>1.9170387409190411E-2</v>
      </c>
      <c r="F1245" s="19">
        <f t="shared" si="39"/>
        <v>1.7540997680096281E-2</v>
      </c>
      <c r="G1245" s="19"/>
      <c r="H1245" s="19"/>
    </row>
    <row r="1246" spans="1:8" ht="14.25" customHeight="1" x14ac:dyDescent="0.3">
      <c r="A1246" s="304">
        <v>45762</v>
      </c>
      <c r="B1246" s="305">
        <v>23328.55078125</v>
      </c>
      <c r="C1246" s="305">
        <v>662.79998779296898</v>
      </c>
      <c r="D1246" s="19"/>
      <c r="E1246" s="19">
        <f t="shared" si="38"/>
        <v>2.1902397782108445E-2</v>
      </c>
      <c r="F1246" s="19">
        <f t="shared" si="39"/>
        <v>6.2860830246502936E-2</v>
      </c>
      <c r="G1246" s="19"/>
      <c r="H1246" s="19"/>
    </row>
    <row r="1247" spans="1:8" ht="14.25" customHeight="1" x14ac:dyDescent="0.3">
      <c r="A1247" s="304">
        <v>45763</v>
      </c>
      <c r="B1247" s="305">
        <v>23437.19921875</v>
      </c>
      <c r="C1247" s="305">
        <v>656.25</v>
      </c>
      <c r="D1247" s="19"/>
      <c r="E1247" s="19">
        <f t="shared" si="38"/>
        <v>4.657316201027141E-3</v>
      </c>
      <c r="F1247" s="19">
        <f t="shared" si="39"/>
        <v>-9.8822992057973902E-3</v>
      </c>
      <c r="G1247" s="19"/>
      <c r="H1247" s="19"/>
    </row>
    <row r="1248" spans="1:8" ht="14.25" customHeight="1" x14ac:dyDescent="0.3">
      <c r="A1248" s="304">
        <v>45764</v>
      </c>
      <c r="B1248" s="305">
        <v>23851.650390625</v>
      </c>
      <c r="C1248" s="305">
        <v>669.40002441406295</v>
      </c>
      <c r="D1248" s="19"/>
      <c r="E1248" s="19">
        <f t="shared" si="38"/>
        <v>1.7683476937954037E-2</v>
      </c>
      <c r="F1248" s="19">
        <f t="shared" si="39"/>
        <v>2.0038132440476884E-2</v>
      </c>
      <c r="G1248" s="19"/>
      <c r="H1248" s="19"/>
    </row>
    <row r="1249" spans="1:8" ht="14.25" customHeight="1" x14ac:dyDescent="0.3">
      <c r="A1249" s="304">
        <v>45768</v>
      </c>
      <c r="B1249" s="305">
        <v>24125.55078125</v>
      </c>
      <c r="C1249" s="305">
        <v>675.90002441406295</v>
      </c>
      <c r="D1249" s="19"/>
      <c r="E1249" s="19">
        <f t="shared" si="38"/>
        <v>1.1483498464016469E-2</v>
      </c>
      <c r="F1249" s="19">
        <f t="shared" si="39"/>
        <v>9.7101878741184082E-3</v>
      </c>
      <c r="G1249" s="19"/>
      <c r="H1249" s="19"/>
    </row>
    <row r="1250" spans="1:8" ht="14.25" customHeight="1" x14ac:dyDescent="0.3">
      <c r="A1250" s="304">
        <v>45769</v>
      </c>
      <c r="B1250" s="305">
        <v>24167.25</v>
      </c>
      <c r="C1250" s="305">
        <v>685</v>
      </c>
      <c r="D1250" s="19"/>
      <c r="E1250" s="19">
        <f t="shared" si="38"/>
        <v>1.728425565413743E-3</v>
      </c>
      <c r="F1250" s="19">
        <f t="shared" si="39"/>
        <v>1.3463493500870642E-2</v>
      </c>
      <c r="G1250" s="19"/>
      <c r="H1250" s="19"/>
    </row>
    <row r="1251" spans="1:8" ht="14.25" customHeight="1" x14ac:dyDescent="0.3">
      <c r="A1251" s="304">
        <v>45770</v>
      </c>
      <c r="B1251" s="305">
        <v>24328.94921875</v>
      </c>
      <c r="C1251" s="305">
        <v>687.70001220703102</v>
      </c>
      <c r="D1251" s="19"/>
      <c r="E1251" s="19">
        <f t="shared" si="38"/>
        <v>6.6908406521221904E-3</v>
      </c>
      <c r="F1251" s="19">
        <f t="shared" si="39"/>
        <v>3.9416236598993027E-3</v>
      </c>
      <c r="G1251" s="19"/>
      <c r="H1251" s="19"/>
    </row>
    <row r="1252" spans="1:8" ht="14.25" customHeight="1" x14ac:dyDescent="0.3">
      <c r="A1252" s="304">
        <v>45771</v>
      </c>
      <c r="B1252" s="305">
        <v>24246.69921875</v>
      </c>
      <c r="C1252" s="305">
        <v>680.5</v>
      </c>
      <c r="D1252" s="19"/>
      <c r="E1252" s="19">
        <f t="shared" si="38"/>
        <v>-3.3807460922566689E-3</v>
      </c>
      <c r="F1252" s="19">
        <f t="shared" si="39"/>
        <v>-1.0469699111861394E-2</v>
      </c>
      <c r="G1252" s="19"/>
      <c r="H1252" s="19"/>
    </row>
    <row r="1253" spans="1:8" ht="14.25" customHeight="1" x14ac:dyDescent="0.3">
      <c r="A1253" s="304">
        <v>45772</v>
      </c>
      <c r="B1253" s="305">
        <v>24039.349609375</v>
      </c>
      <c r="C1253" s="305">
        <v>653.54998779296898</v>
      </c>
      <c r="D1253" s="19"/>
      <c r="E1253" s="19">
        <f t="shared" si="38"/>
        <v>-8.5516633626838701E-3</v>
      </c>
      <c r="F1253" s="19">
        <f t="shared" si="39"/>
        <v>-3.9603250855299081E-2</v>
      </c>
      <c r="G1253" s="19"/>
      <c r="H1253" s="19"/>
    </row>
    <row r="1254" spans="1:8" ht="14.25" customHeight="1" x14ac:dyDescent="0.3">
      <c r="A1254" s="304">
        <v>45775</v>
      </c>
      <c r="B1254" s="305">
        <v>24328.5</v>
      </c>
      <c r="C1254" s="305">
        <v>663.90002441406295</v>
      </c>
      <c r="D1254" s="19"/>
      <c r="E1254" s="19">
        <f t="shared" si="38"/>
        <v>1.2028211882747256E-2</v>
      </c>
      <c r="F1254" s="19">
        <f t="shared" si="39"/>
        <v>1.5836641135968704E-2</v>
      </c>
      <c r="G1254" s="19"/>
      <c r="H1254" s="19"/>
    </row>
    <row r="1255" spans="1:8" ht="14.25" customHeight="1" x14ac:dyDescent="0.3">
      <c r="A1255" s="304">
        <v>45776</v>
      </c>
      <c r="B1255" s="305">
        <v>24335.94921875</v>
      </c>
      <c r="C1255" s="305">
        <v>658.84997558593795</v>
      </c>
      <c r="D1255" s="19"/>
      <c r="E1255" s="19">
        <f t="shared" si="38"/>
        <v>3.0619309657397702E-4</v>
      </c>
      <c r="F1255" s="19">
        <f t="shared" si="39"/>
        <v>-7.6066405217894255E-3</v>
      </c>
      <c r="G1255" s="19"/>
      <c r="H1255" s="19"/>
    </row>
    <row r="1256" spans="1:8" ht="14.25" customHeight="1" x14ac:dyDescent="0.3">
      <c r="A1256" s="304">
        <v>45777</v>
      </c>
      <c r="B1256" s="305">
        <v>24334.19921875</v>
      </c>
      <c r="C1256" s="305">
        <v>674.29998779296898</v>
      </c>
      <c r="D1256" s="19"/>
      <c r="E1256" s="19">
        <f t="shared" si="38"/>
        <v>-7.1910077731904783E-5</v>
      </c>
      <c r="F1256" s="19">
        <f t="shared" si="39"/>
        <v>2.3449970068361609E-2</v>
      </c>
      <c r="G1256" s="19"/>
      <c r="H1256" s="19"/>
    </row>
    <row r="1257" spans="1:8" ht="14.25" customHeight="1" x14ac:dyDescent="0.3">
      <c r="A1257" s="304">
        <v>45779</v>
      </c>
      <c r="B1257" s="305">
        <v>24346.69921875</v>
      </c>
      <c r="C1257" s="305">
        <v>685.29998779296898</v>
      </c>
      <c r="D1257" s="19"/>
      <c r="E1257" s="19">
        <f t="shared" si="38"/>
        <v>5.1368035116473008E-4</v>
      </c>
      <c r="F1257" s="19">
        <f t="shared" si="39"/>
        <v>1.6313213998421932E-2</v>
      </c>
      <c r="G1257" s="19"/>
      <c r="H1257" s="19"/>
    </row>
    <row r="1258" spans="1:8" ht="14.25" customHeight="1" x14ac:dyDescent="0.3">
      <c r="A1258" s="304">
        <v>45782</v>
      </c>
      <c r="B1258" s="305">
        <v>24461.150390625</v>
      </c>
      <c r="C1258" s="305">
        <v>693.75</v>
      </c>
      <c r="D1258" s="19"/>
      <c r="E1258" s="19">
        <f t="shared" si="38"/>
        <v>4.700890697612853E-3</v>
      </c>
      <c r="F1258" s="19">
        <f t="shared" si="39"/>
        <v>1.2330384295269819E-2</v>
      </c>
      <c r="G1258" s="19"/>
      <c r="H1258" s="19"/>
    </row>
    <row r="1259" spans="1:8" ht="14.25" customHeight="1" x14ac:dyDescent="0.3">
      <c r="A1259" s="304">
        <v>45783</v>
      </c>
      <c r="B1259" s="305">
        <v>24379.599609375</v>
      </c>
      <c r="C1259" s="305">
        <v>677.15002441406295</v>
      </c>
      <c r="D1259" s="19"/>
      <c r="E1259" s="19">
        <f t="shared" si="38"/>
        <v>-3.3338898599493184E-3</v>
      </c>
      <c r="F1259" s="19">
        <f t="shared" si="39"/>
        <v>-2.392789273648583E-2</v>
      </c>
      <c r="G1259" s="19"/>
      <c r="H1259" s="19"/>
    </row>
    <row r="1260" spans="1:8" ht="14.25" customHeight="1" x14ac:dyDescent="0.3">
      <c r="A1260" s="304">
        <v>45784</v>
      </c>
      <c r="B1260" s="305">
        <v>24414.400390625</v>
      </c>
      <c r="C1260" s="305">
        <v>679.25</v>
      </c>
      <c r="D1260" s="19"/>
      <c r="E1260" s="19">
        <f t="shared" si="38"/>
        <v>1.4274549954716078E-3</v>
      </c>
      <c r="F1260" s="19">
        <f t="shared" si="39"/>
        <v>3.1011969434013554E-3</v>
      </c>
      <c r="G1260" s="19"/>
      <c r="H1260" s="19"/>
    </row>
    <row r="1261" spans="1:8" ht="14.25" customHeight="1" x14ac:dyDescent="0.3">
      <c r="A1261" s="304">
        <v>45785</v>
      </c>
      <c r="B1261" s="305">
        <v>24273.80078125</v>
      </c>
      <c r="C1261" s="305">
        <v>655.04998779296898</v>
      </c>
      <c r="D1261" s="19"/>
      <c r="E1261" s="19">
        <f t="shared" si="38"/>
        <v>-5.7588802970966885E-3</v>
      </c>
      <c r="F1261" s="19">
        <f t="shared" si="39"/>
        <v>-3.562754833571001E-2</v>
      </c>
      <c r="G1261" s="19"/>
      <c r="H1261" s="19"/>
    </row>
    <row r="1262" spans="1:8" ht="14.25" customHeight="1" x14ac:dyDescent="0.3">
      <c r="A1262" s="304">
        <v>45786</v>
      </c>
      <c r="B1262" s="305">
        <v>24008</v>
      </c>
      <c r="C1262" s="305">
        <v>631.70001220703102</v>
      </c>
      <c r="D1262" s="19"/>
      <c r="E1262" s="19">
        <f t="shared" si="38"/>
        <v>-1.0950109694206379E-2</v>
      </c>
      <c r="F1262" s="19">
        <f t="shared" si="39"/>
        <v>-3.5646097276652119E-2</v>
      </c>
      <c r="G1262" s="19"/>
      <c r="H1262" s="19"/>
    </row>
    <row r="1263" spans="1:8" ht="14.25" customHeight="1" x14ac:dyDescent="0.3">
      <c r="A1263" s="304">
        <v>45789</v>
      </c>
      <c r="B1263" s="305">
        <v>24924.69921875</v>
      </c>
      <c r="C1263" s="305">
        <v>680.5</v>
      </c>
      <c r="D1263" s="19"/>
      <c r="E1263" s="19">
        <f t="shared" si="38"/>
        <v>3.8183073090219927E-2</v>
      </c>
      <c r="F1263" s="19">
        <f t="shared" si="39"/>
        <v>7.7251839243237891E-2</v>
      </c>
      <c r="G1263" s="19"/>
      <c r="H1263" s="19"/>
    </row>
    <row r="1264" spans="1:8" ht="14.25" customHeight="1" x14ac:dyDescent="0.3">
      <c r="A1264" s="304">
        <v>45790</v>
      </c>
      <c r="B1264" s="305">
        <v>24578.349609375</v>
      </c>
      <c r="C1264" s="305">
        <v>677.84997558593795</v>
      </c>
      <c r="D1264" s="19"/>
      <c r="E1264" s="19">
        <f t="shared" si="38"/>
        <v>-1.389583907654352E-2</v>
      </c>
      <c r="F1264" s="19">
        <f t="shared" si="39"/>
        <v>-3.8942313211786117E-3</v>
      </c>
      <c r="G1264" s="19"/>
      <c r="H1264" s="19"/>
    </row>
    <row r="1265" spans="1:8" ht="14.25" customHeight="1" x14ac:dyDescent="0.3">
      <c r="A1265" s="304">
        <v>45791</v>
      </c>
      <c r="B1265" s="305">
        <v>24666.900390625</v>
      </c>
      <c r="C1265" s="305">
        <v>688.70001220703102</v>
      </c>
      <c r="D1265" s="19"/>
      <c r="E1265" s="19">
        <f t="shared" si="38"/>
        <v>3.6027960647212775E-3</v>
      </c>
      <c r="F1265" s="19">
        <f t="shared" si="39"/>
        <v>1.6006545713473288E-2</v>
      </c>
      <c r="G1265" s="19"/>
      <c r="H1265" s="19"/>
    </row>
    <row r="1266" spans="1:8" ht="14.25" customHeight="1" x14ac:dyDescent="0.3">
      <c r="A1266" s="304">
        <v>45792</v>
      </c>
      <c r="B1266" s="305">
        <v>25062.099609375</v>
      </c>
      <c r="C1266" s="305">
        <v>709.04998779296898</v>
      </c>
      <c r="D1266" s="19"/>
      <c r="E1266" s="19">
        <f t="shared" si="38"/>
        <v>1.6021438141461865E-2</v>
      </c>
      <c r="F1266" s="19">
        <f t="shared" si="39"/>
        <v>2.9548388594801595E-2</v>
      </c>
      <c r="G1266" s="19"/>
      <c r="H1266" s="19"/>
    </row>
    <row r="1267" spans="1:8" ht="14.25" customHeight="1" x14ac:dyDescent="0.3">
      <c r="A1267" s="304">
        <v>45793</v>
      </c>
      <c r="B1267" s="305">
        <v>25019.80078125</v>
      </c>
      <c r="C1267" s="305">
        <v>715.90002441406295</v>
      </c>
      <c r="D1267" s="19"/>
      <c r="E1267" s="19">
        <f t="shared" si="38"/>
        <v>-1.6877607536591724E-3</v>
      </c>
      <c r="F1267" s="19">
        <f t="shared" si="39"/>
        <v>9.6608655793307425E-3</v>
      </c>
      <c r="G1267" s="19"/>
      <c r="H1267" s="19"/>
    </row>
    <row r="1268" spans="1:8" ht="14.25" customHeight="1" x14ac:dyDescent="0.3">
      <c r="A1268" s="304">
        <v>45796</v>
      </c>
      <c r="B1268" s="305">
        <v>24945.44921875</v>
      </c>
      <c r="C1268" s="305">
        <v>737.65002441406295</v>
      </c>
      <c r="D1268" s="19"/>
      <c r="E1268" s="19">
        <f t="shared" si="38"/>
        <v>-2.9717088137536066E-3</v>
      </c>
      <c r="F1268" s="19">
        <f t="shared" si="39"/>
        <v>3.0381337139639787E-2</v>
      </c>
      <c r="G1268" s="19"/>
      <c r="H1268" s="19"/>
    </row>
    <row r="1269" spans="1:8" ht="14.25" customHeight="1" x14ac:dyDescent="0.3">
      <c r="A1269" s="304">
        <v>45797</v>
      </c>
      <c r="B1269" s="305">
        <v>24683.900390625</v>
      </c>
      <c r="C1269" s="305">
        <v>753.5</v>
      </c>
      <c r="D1269" s="19"/>
      <c r="E1269" s="19">
        <f t="shared" si="38"/>
        <v>-1.0484831354666864E-2</v>
      </c>
      <c r="F1269" s="19">
        <f t="shared" si="39"/>
        <v>2.1487121346640159E-2</v>
      </c>
      <c r="G1269" s="19"/>
      <c r="H1269" s="19"/>
    </row>
    <row r="1270" spans="1:8" ht="14.25" customHeight="1" x14ac:dyDescent="0.3">
      <c r="A1270" s="304">
        <v>45798</v>
      </c>
      <c r="B1270" s="305">
        <v>24813.44921875</v>
      </c>
      <c r="C1270" s="305">
        <v>775.15002441406295</v>
      </c>
      <c r="D1270" s="19"/>
      <c r="E1270" s="19">
        <f t="shared" si="38"/>
        <v>5.2483127088862724E-3</v>
      </c>
      <c r="F1270" s="19">
        <f t="shared" si="39"/>
        <v>2.8732613688205646E-2</v>
      </c>
      <c r="G1270" s="19"/>
      <c r="H1270" s="19"/>
    </row>
    <row r="1271" spans="1:8" ht="14.25" customHeight="1" x14ac:dyDescent="0.3">
      <c r="A1271" s="304">
        <v>45799</v>
      </c>
      <c r="B1271" s="305">
        <v>24609.69921875</v>
      </c>
      <c r="C1271" s="305">
        <v>775.79998779296898</v>
      </c>
      <c r="D1271" s="19"/>
      <c r="E1271" s="19">
        <f t="shared" si="38"/>
        <v>-8.2112727740421762E-3</v>
      </c>
      <c r="F1271" s="19">
        <f t="shared" si="39"/>
        <v>8.3850010763700993E-4</v>
      </c>
      <c r="G1271" s="19"/>
      <c r="H1271" s="19"/>
    </row>
    <row r="1272" spans="1:8" ht="14.25" customHeight="1" x14ac:dyDescent="0.3">
      <c r="A1272" s="304">
        <v>45800</v>
      </c>
      <c r="B1272" s="305">
        <v>24853.150390625</v>
      </c>
      <c r="C1272" s="305">
        <v>776.5</v>
      </c>
      <c r="D1272" s="19"/>
      <c r="E1272" s="19">
        <f t="shared" si="38"/>
        <v>9.8924887180057795E-3</v>
      </c>
      <c r="F1272" s="19">
        <f t="shared" si="39"/>
        <v>9.023101547377554E-4</v>
      </c>
      <c r="G1272" s="19"/>
      <c r="H1272" s="19"/>
    </row>
    <row r="1273" spans="1:8" ht="14.25" customHeight="1" x14ac:dyDescent="0.3">
      <c r="A1273" s="304">
        <v>45803</v>
      </c>
      <c r="B1273" s="305">
        <v>25001.150390625</v>
      </c>
      <c r="C1273" s="305">
        <v>777.79998779296898</v>
      </c>
      <c r="D1273" s="19"/>
      <c r="E1273" s="19">
        <f t="shared" si="38"/>
        <v>5.9549794562796321E-3</v>
      </c>
      <c r="F1273" s="19">
        <f t="shared" si="39"/>
        <v>1.6741632877900546E-3</v>
      </c>
      <c r="G1273" s="19"/>
      <c r="H1273" s="19"/>
    </row>
    <row r="1274" spans="1:8" ht="14.25" customHeight="1" x14ac:dyDescent="0.3">
      <c r="A1274" s="304">
        <v>45804</v>
      </c>
      <c r="B1274" s="305">
        <v>24826.19921875</v>
      </c>
      <c r="C1274" s="305">
        <v>774.04998779296898</v>
      </c>
      <c r="D1274" s="19"/>
      <c r="E1274" s="19">
        <f t="shared" si="38"/>
        <v>-6.9977248703165145E-3</v>
      </c>
      <c r="F1274" s="19">
        <f t="shared" si="39"/>
        <v>-4.821290895929092E-3</v>
      </c>
      <c r="G1274" s="19"/>
      <c r="H1274" s="19"/>
    </row>
    <row r="1275" spans="1:8" ht="14.25" customHeight="1" x14ac:dyDescent="0.3">
      <c r="A1275" s="304">
        <v>45805</v>
      </c>
      <c r="B1275" s="305">
        <v>24752.44921875</v>
      </c>
      <c r="C1275" s="305">
        <v>772</v>
      </c>
      <c r="D1275" s="19"/>
      <c r="E1275" s="19">
        <f t="shared" si="38"/>
        <v>-2.9706520659956788E-3</v>
      </c>
      <c r="F1275" s="19">
        <f t="shared" si="39"/>
        <v>-2.6483919970260068E-3</v>
      </c>
      <c r="G1275" s="19"/>
      <c r="H1275" s="19"/>
    </row>
    <row r="1276" spans="1:8" ht="14.25" customHeight="1" x14ac:dyDescent="0.3">
      <c r="A1276" s="304">
        <v>45806</v>
      </c>
      <c r="B1276" s="305">
        <v>24833.599609375</v>
      </c>
      <c r="C1276" s="305">
        <v>793.75</v>
      </c>
      <c r="D1276" s="19"/>
      <c r="E1276" s="19">
        <f t="shared" si="38"/>
        <v>3.2784792287758142E-3</v>
      </c>
      <c r="F1276" s="19">
        <f t="shared" si="39"/>
        <v>2.8173575129533678E-2</v>
      </c>
      <c r="G1276" s="19"/>
      <c r="H1276" s="19"/>
    </row>
    <row r="1277" spans="1:8" ht="14.25" customHeight="1" x14ac:dyDescent="0.3">
      <c r="A1277" s="304">
        <v>45807</v>
      </c>
      <c r="B1277" s="305">
        <v>24750.69921875</v>
      </c>
      <c r="C1277" s="305">
        <v>797.84997558593795</v>
      </c>
      <c r="D1277" s="19"/>
      <c r="E1277" s="19">
        <f t="shared" si="38"/>
        <v>-3.3382349691143463E-3</v>
      </c>
      <c r="F1277" s="19">
        <f t="shared" si="39"/>
        <v>5.1653235728352188E-3</v>
      </c>
      <c r="G1277" s="19"/>
      <c r="H1277" s="19"/>
    </row>
    <row r="1278" spans="1:8" ht="14.25" customHeight="1" x14ac:dyDescent="0.3">
      <c r="A1278" s="304">
        <v>45810</v>
      </c>
      <c r="B1278" s="305">
        <v>24716.599609375</v>
      </c>
      <c r="C1278" s="305">
        <v>810.70001220703102</v>
      </c>
      <c r="D1278" s="19"/>
      <c r="E1278" s="19">
        <f t="shared" si="38"/>
        <v>-1.3777230725331466E-3</v>
      </c>
      <c r="F1278" s="19">
        <f t="shared" si="39"/>
        <v>1.6105830687850872E-2</v>
      </c>
      <c r="G1278" s="19"/>
      <c r="H1278" s="19"/>
    </row>
    <row r="1279" spans="1:8" ht="14.25" customHeight="1" x14ac:dyDescent="0.3">
      <c r="A1279" s="304">
        <v>45811</v>
      </c>
      <c r="B1279" s="305">
        <v>24542.5</v>
      </c>
      <c r="C1279" s="305">
        <v>804.54998779296898</v>
      </c>
      <c r="D1279" s="19"/>
      <c r="E1279" s="19">
        <f t="shared" si="38"/>
        <v>-7.0438333802585072E-3</v>
      </c>
      <c r="F1279" s="19">
        <f t="shared" si="39"/>
        <v>-7.5860667589227743E-3</v>
      </c>
      <c r="G1279" s="19"/>
      <c r="H1279" s="19"/>
    </row>
    <row r="1280" spans="1:8" ht="14.25" customHeight="1" x14ac:dyDescent="0.3">
      <c r="A1280" s="304">
        <v>45812</v>
      </c>
      <c r="B1280" s="305">
        <v>24620.19921875</v>
      </c>
      <c r="C1280" s="305">
        <v>803.40002441406295</v>
      </c>
      <c r="D1280" s="19"/>
      <c r="E1280" s="19">
        <f t="shared" si="38"/>
        <v>3.1659048079861465E-3</v>
      </c>
      <c r="F1280" s="19">
        <f t="shared" si="39"/>
        <v>-1.4293249597338098E-3</v>
      </c>
      <c r="G1280" s="19"/>
      <c r="H1280" s="19"/>
    </row>
    <row r="1281" spans="1:8" ht="14.25" customHeight="1" x14ac:dyDescent="0.3">
      <c r="A1281" s="304">
        <v>45813</v>
      </c>
      <c r="B1281" s="305">
        <v>24750.900390625</v>
      </c>
      <c r="C1281" s="305">
        <v>825.70001220703102</v>
      </c>
      <c r="D1281" s="19"/>
      <c r="E1281" s="19">
        <f t="shared" si="38"/>
        <v>5.3086967621066988E-3</v>
      </c>
      <c r="F1281" s="19">
        <f t="shared" si="39"/>
        <v>2.7757016573694945E-2</v>
      </c>
      <c r="G1281" s="19"/>
      <c r="H1281" s="19"/>
    </row>
    <row r="1282" spans="1:8" ht="14.25" customHeight="1" x14ac:dyDescent="0.3">
      <c r="A1282" s="304">
        <v>45814</v>
      </c>
      <c r="B1282" s="305">
        <v>25003.05078125</v>
      </c>
      <c r="C1282" s="305">
        <v>880.34997558593795</v>
      </c>
      <c r="D1282" s="19"/>
      <c r="E1282" s="19">
        <f t="shared" si="38"/>
        <v>1.0187523954502602E-2</v>
      </c>
      <c r="F1282" s="19">
        <f t="shared" si="39"/>
        <v>6.6186220868317408E-2</v>
      </c>
      <c r="G1282" s="19"/>
      <c r="H1282" s="19"/>
    </row>
    <row r="1283" spans="1:8" ht="14.25" customHeight="1" x14ac:dyDescent="0.3">
      <c r="A1283" s="304">
        <v>45817</v>
      </c>
      <c r="B1283" s="305">
        <v>25103.19921875</v>
      </c>
      <c r="C1283" s="305">
        <v>878.59997558593795</v>
      </c>
      <c r="D1283" s="19"/>
      <c r="E1283" s="19">
        <f t="shared" ref="E1283:E1346" si="40">(B1283-B1282)/B1282</f>
        <v>4.0054487100870968E-3</v>
      </c>
      <c r="F1283" s="19">
        <f t="shared" ref="F1283:F1346" si="41">(C1283-C1282)/C1282</f>
        <v>-1.987845798297712E-3</v>
      </c>
      <c r="G1283" s="19"/>
      <c r="H1283" s="19"/>
    </row>
    <row r="1284" spans="1:8" ht="14.25" customHeight="1" x14ac:dyDescent="0.3">
      <c r="A1284" s="304">
        <v>45818</v>
      </c>
      <c r="B1284" s="305">
        <v>25104.25</v>
      </c>
      <c r="C1284" s="305">
        <v>868</v>
      </c>
      <c r="D1284" s="19"/>
      <c r="E1284" s="19">
        <f t="shared" si="40"/>
        <v>4.185845958690213E-5</v>
      </c>
      <c r="F1284" s="19">
        <f t="shared" si="41"/>
        <v>-1.2064620851905711E-2</v>
      </c>
      <c r="G1284" s="19"/>
      <c r="H1284" s="19"/>
    </row>
    <row r="1285" spans="1:8" ht="14.25" customHeight="1" x14ac:dyDescent="0.3">
      <c r="A1285" s="304">
        <v>45819</v>
      </c>
      <c r="B1285" s="305">
        <v>25141.400390625</v>
      </c>
      <c r="C1285" s="305">
        <v>868.54998779296898</v>
      </c>
      <c r="D1285" s="19"/>
      <c r="E1285" s="19">
        <f t="shared" si="40"/>
        <v>1.4798446727147794E-3</v>
      </c>
      <c r="F1285" s="19">
        <f t="shared" si="41"/>
        <v>6.3362648959559603E-4</v>
      </c>
      <c r="G1285" s="19"/>
      <c r="H1285" s="19"/>
    </row>
    <row r="1286" spans="1:8" ht="14.25" customHeight="1" x14ac:dyDescent="0.3">
      <c r="A1286" s="304">
        <v>45820</v>
      </c>
      <c r="B1286" s="305">
        <v>24888.19921875</v>
      </c>
      <c r="C1286" s="305">
        <v>847.84997558593795</v>
      </c>
      <c r="D1286" s="19"/>
      <c r="E1286" s="19">
        <f t="shared" si="40"/>
        <v>-1.0071084662786582E-2</v>
      </c>
      <c r="F1286" s="19">
        <f t="shared" si="41"/>
        <v>-2.3832839212433631E-2</v>
      </c>
      <c r="G1286" s="19"/>
      <c r="H1286" s="19"/>
    </row>
    <row r="1287" spans="1:8" ht="14.25" customHeight="1" x14ac:dyDescent="0.3">
      <c r="A1287" s="304">
        <v>45821</v>
      </c>
      <c r="B1287" s="305">
        <v>24718.599609375</v>
      </c>
      <c r="C1287" s="305">
        <v>851.25</v>
      </c>
      <c r="D1287" s="19"/>
      <c r="E1287" s="19">
        <f t="shared" si="40"/>
        <v>-6.814458847919736E-3</v>
      </c>
      <c r="F1287" s="19">
        <f t="shared" si="41"/>
        <v>4.0101722143853734E-3</v>
      </c>
      <c r="G1287" s="19"/>
      <c r="H1287" s="19"/>
    </row>
    <row r="1288" spans="1:8" ht="14.25" customHeight="1" x14ac:dyDescent="0.3">
      <c r="A1288" s="304">
        <v>45824</v>
      </c>
      <c r="B1288" s="305">
        <v>24946.5</v>
      </c>
      <c r="C1288" s="305">
        <v>859</v>
      </c>
      <c r="D1288" s="19"/>
      <c r="E1288" s="19">
        <f t="shared" si="40"/>
        <v>9.2197937677086055E-3</v>
      </c>
      <c r="F1288" s="19">
        <f t="shared" si="41"/>
        <v>9.1042584434654922E-3</v>
      </c>
      <c r="G1288" s="19"/>
      <c r="H1288" s="19"/>
    </row>
    <row r="1289" spans="1:8" ht="14.25" customHeight="1" x14ac:dyDescent="0.3">
      <c r="A1289" s="304">
        <v>45825</v>
      </c>
      <c r="B1289" s="305">
        <v>24853.400390625</v>
      </c>
      <c r="C1289" s="305">
        <v>851.45001220703102</v>
      </c>
      <c r="D1289" s="19"/>
      <c r="E1289" s="19">
        <f t="shared" si="40"/>
        <v>-3.7319707924959415E-3</v>
      </c>
      <c r="F1289" s="19">
        <f t="shared" si="41"/>
        <v>-8.7892756611978786E-3</v>
      </c>
      <c r="G1289" s="19"/>
      <c r="H1289" s="19"/>
    </row>
    <row r="1290" spans="1:8" ht="14.25" customHeight="1" x14ac:dyDescent="0.3">
      <c r="A1290" s="304">
        <v>45826</v>
      </c>
      <c r="B1290" s="305">
        <v>24812.05078125</v>
      </c>
      <c r="C1290" s="305">
        <v>844.79998779296898</v>
      </c>
      <c r="D1290" s="19"/>
      <c r="E1290" s="19">
        <f t="shared" si="40"/>
        <v>-1.6637405234334682E-3</v>
      </c>
      <c r="F1290" s="19">
        <f t="shared" si="41"/>
        <v>-7.8102346805123827E-3</v>
      </c>
      <c r="G1290" s="19"/>
      <c r="H1290" s="19"/>
    </row>
    <row r="1291" spans="1:8" ht="14.25" customHeight="1" x14ac:dyDescent="0.3">
      <c r="A1291" s="304">
        <v>45827</v>
      </c>
      <c r="B1291" s="305">
        <v>24793.25</v>
      </c>
      <c r="C1291" s="305">
        <v>839.90002441406295</v>
      </c>
      <c r="D1291" s="19"/>
      <c r="E1291" s="19">
        <f t="shared" si="40"/>
        <v>-7.5772782410260889E-4</v>
      </c>
      <c r="F1291" s="19">
        <f t="shared" si="41"/>
        <v>-5.8001461289164139E-3</v>
      </c>
      <c r="G1291" s="19"/>
      <c r="H1291" s="19"/>
    </row>
    <row r="1292" spans="1:8" ht="14.25" customHeight="1" x14ac:dyDescent="0.3">
      <c r="A1292" s="304">
        <v>45828</v>
      </c>
      <c r="B1292" s="305">
        <v>25112.400390625</v>
      </c>
      <c r="C1292" s="305">
        <v>854.25</v>
      </c>
      <c r="D1292" s="19"/>
      <c r="E1292" s="19">
        <f t="shared" si="40"/>
        <v>1.2872470959837859E-2</v>
      </c>
      <c r="F1292" s="19">
        <f t="shared" si="41"/>
        <v>1.7085337741176966E-2</v>
      </c>
      <c r="G1292" s="19"/>
      <c r="H1292" s="19"/>
    </row>
    <row r="1293" spans="1:8" ht="14.25" customHeight="1" x14ac:dyDescent="0.3">
      <c r="A1293" s="304">
        <v>45831</v>
      </c>
      <c r="B1293" s="305">
        <v>24971.900390625</v>
      </c>
      <c r="C1293" s="305">
        <v>852.45001220703102</v>
      </c>
      <c r="D1293" s="19"/>
      <c r="E1293" s="19">
        <f t="shared" si="40"/>
        <v>-5.5948454872697742E-3</v>
      </c>
      <c r="F1293" s="19">
        <f t="shared" si="41"/>
        <v>-2.1070972115527975E-3</v>
      </c>
      <c r="G1293" s="19"/>
      <c r="H1293" s="19"/>
    </row>
    <row r="1294" spans="1:8" ht="14.25" customHeight="1" x14ac:dyDescent="0.3">
      <c r="A1294" s="304">
        <v>45832</v>
      </c>
      <c r="B1294" s="305">
        <v>25044.349609375</v>
      </c>
      <c r="C1294" s="305">
        <v>849.5</v>
      </c>
      <c r="D1294" s="19"/>
      <c r="E1294" s="19">
        <f t="shared" si="40"/>
        <v>2.9012296868362901E-3</v>
      </c>
      <c r="F1294" s="19">
        <f t="shared" si="41"/>
        <v>-3.4606277961018615E-3</v>
      </c>
      <c r="G1294" s="19"/>
      <c r="H1294" s="19"/>
    </row>
    <row r="1295" spans="1:8" ht="14.25" customHeight="1" x14ac:dyDescent="0.3">
      <c r="A1295" s="304">
        <v>45833</v>
      </c>
      <c r="B1295" s="305">
        <v>25244.75</v>
      </c>
      <c r="C1295" s="305">
        <v>854.34997558593795</v>
      </c>
      <c r="D1295" s="19"/>
      <c r="E1295" s="19">
        <f t="shared" si="40"/>
        <v>8.0018205204252114E-3</v>
      </c>
      <c r="F1295" s="19">
        <f t="shared" si="41"/>
        <v>5.7092119905096583E-3</v>
      </c>
      <c r="G1295" s="19"/>
      <c r="H1295" s="19"/>
    </row>
    <row r="1296" spans="1:8" ht="14.25" customHeight="1" x14ac:dyDescent="0.3">
      <c r="A1296" s="304">
        <v>45834</v>
      </c>
      <c r="B1296" s="305">
        <v>25549</v>
      </c>
      <c r="C1296" s="305">
        <v>847.09997558593795</v>
      </c>
      <c r="D1296" s="19"/>
      <c r="E1296" s="19">
        <f t="shared" si="40"/>
        <v>1.205201081412967E-2</v>
      </c>
      <c r="F1296" s="19">
        <f t="shared" si="41"/>
        <v>-8.4859837387222265E-3</v>
      </c>
      <c r="G1296" s="19"/>
      <c r="H1296" s="19"/>
    </row>
    <row r="1297" spans="1:8" ht="14.25" customHeight="1" x14ac:dyDescent="0.3">
      <c r="A1297" s="304">
        <v>45835</v>
      </c>
      <c r="B1297" s="305">
        <v>25637.80078125</v>
      </c>
      <c r="C1297" s="305">
        <v>845.79998779296898</v>
      </c>
      <c r="D1297" s="19"/>
      <c r="E1297" s="19">
        <f t="shared" si="40"/>
        <v>3.4757047731809464E-3</v>
      </c>
      <c r="F1297" s="19">
        <f t="shared" si="41"/>
        <v>-1.5346332551476908E-3</v>
      </c>
      <c r="G1297" s="19"/>
      <c r="H1297" s="19"/>
    </row>
    <row r="1298" spans="1:8" ht="14.25" customHeight="1" x14ac:dyDescent="0.3">
      <c r="A1298" s="304">
        <v>45838</v>
      </c>
      <c r="B1298" s="305">
        <v>25517.05078125</v>
      </c>
      <c r="C1298" s="305">
        <v>837.79998779296898</v>
      </c>
      <c r="D1298" s="19"/>
      <c r="E1298" s="19">
        <f t="shared" si="40"/>
        <v>-4.7098423546652075E-3</v>
      </c>
      <c r="F1298" s="19">
        <f t="shared" si="41"/>
        <v>-9.4585009641288895E-3</v>
      </c>
      <c r="G1298" s="19"/>
      <c r="H1298" s="19"/>
    </row>
    <row r="1299" spans="1:8" ht="14.25" customHeight="1" x14ac:dyDescent="0.3">
      <c r="A1299" s="304">
        <v>45839</v>
      </c>
      <c r="B1299" s="305">
        <v>25541.80078125</v>
      </c>
      <c r="C1299" s="305">
        <v>843.45001220703102</v>
      </c>
      <c r="D1299" s="19"/>
      <c r="E1299" s="19">
        <f t="shared" si="40"/>
        <v>9.6993967728380148E-4</v>
      </c>
      <c r="F1299" s="19">
        <f t="shared" si="41"/>
        <v>6.743882187138726E-3</v>
      </c>
      <c r="G1299" s="19"/>
      <c r="H1299" s="19"/>
    </row>
    <row r="1300" spans="1:8" ht="14.25" customHeight="1" x14ac:dyDescent="0.3">
      <c r="A1300" s="304">
        <v>45840</v>
      </c>
      <c r="B1300" s="305">
        <v>25453.400390625</v>
      </c>
      <c r="C1300" s="305">
        <v>831.90002441406295</v>
      </c>
      <c r="D1300" s="19"/>
      <c r="E1300" s="19">
        <f t="shared" si="40"/>
        <v>-3.4610085397695964E-3</v>
      </c>
      <c r="F1300" s="19">
        <f t="shared" si="41"/>
        <v>-1.3693743109618971E-2</v>
      </c>
      <c r="G1300" s="19"/>
      <c r="H1300" s="19"/>
    </row>
    <row r="1301" spans="1:8" ht="14.25" customHeight="1" x14ac:dyDescent="0.3">
      <c r="A1301" s="304">
        <v>45841</v>
      </c>
      <c r="B1301" s="305">
        <v>25405.30078125</v>
      </c>
      <c r="C1301" s="305">
        <v>829.70001220703102</v>
      </c>
      <c r="D1301" s="19"/>
      <c r="E1301" s="19">
        <f t="shared" si="40"/>
        <v>-1.8897125192245848E-3</v>
      </c>
      <c r="F1301" s="19">
        <f t="shared" si="41"/>
        <v>-2.6445632196987609E-3</v>
      </c>
      <c r="G1301" s="19"/>
      <c r="H1301" s="19"/>
    </row>
    <row r="1302" spans="1:8" ht="14.25" customHeight="1" x14ac:dyDescent="0.3">
      <c r="A1302" s="304">
        <v>45842</v>
      </c>
      <c r="B1302" s="305">
        <v>25461</v>
      </c>
      <c r="C1302" s="305">
        <v>836</v>
      </c>
      <c r="D1302" s="19"/>
      <c r="E1302" s="19">
        <f t="shared" si="40"/>
        <v>2.1924250859926041E-3</v>
      </c>
      <c r="F1302" s="19">
        <f t="shared" si="41"/>
        <v>7.5930911176086283E-3</v>
      </c>
      <c r="G1302" s="19"/>
      <c r="H1302" s="19"/>
    </row>
    <row r="1303" spans="1:8" ht="14.25" customHeight="1" x14ac:dyDescent="0.3">
      <c r="A1303" s="304">
        <v>45845</v>
      </c>
      <c r="B1303" s="305">
        <v>25461.30078125</v>
      </c>
      <c r="C1303" s="305">
        <v>832.5</v>
      </c>
      <c r="D1303" s="19"/>
      <c r="E1303" s="19">
        <f t="shared" si="40"/>
        <v>1.1813410706570834E-5</v>
      </c>
      <c r="F1303" s="19">
        <f t="shared" si="41"/>
        <v>-4.1866028708133973E-3</v>
      </c>
      <c r="G1303" s="19"/>
      <c r="H1303" s="19"/>
    </row>
    <row r="1304" spans="1:8" ht="14.25" customHeight="1" x14ac:dyDescent="0.3">
      <c r="A1304" s="304">
        <v>45846</v>
      </c>
      <c r="B1304" s="305">
        <v>25522.5</v>
      </c>
      <c r="C1304" s="305">
        <v>842.90002441406295</v>
      </c>
      <c r="D1304" s="19"/>
      <c r="E1304" s="19">
        <f t="shared" si="40"/>
        <v>2.4036171315751404E-3</v>
      </c>
      <c r="F1304" s="19">
        <f t="shared" si="41"/>
        <v>1.249252181869424E-2</v>
      </c>
      <c r="G1304" s="19"/>
      <c r="H1304" s="19"/>
    </row>
    <row r="1305" spans="1:8" ht="14.25" customHeight="1" x14ac:dyDescent="0.3">
      <c r="A1305" s="304">
        <v>45847</v>
      </c>
      <c r="B1305" s="305">
        <v>25476.099609375</v>
      </c>
      <c r="C1305" s="305">
        <v>829.65002441406295</v>
      </c>
      <c r="D1305" s="19"/>
      <c r="E1305" s="19">
        <f t="shared" si="40"/>
        <v>-1.8180190273288275E-3</v>
      </c>
      <c r="F1305" s="19">
        <f t="shared" si="41"/>
        <v>-1.5719539229116359E-2</v>
      </c>
      <c r="G1305" s="19"/>
      <c r="H1305" s="19"/>
    </row>
    <row r="1306" spans="1:8" ht="14.25" customHeight="1" x14ac:dyDescent="0.3">
      <c r="A1306" s="304">
        <v>45848</v>
      </c>
      <c r="B1306" s="305">
        <v>25355.25</v>
      </c>
      <c r="C1306" s="305">
        <v>831.54998779296898</v>
      </c>
      <c r="D1306" s="19"/>
      <c r="E1306" s="19">
        <f t="shared" si="40"/>
        <v>-4.7436464461980792E-3</v>
      </c>
      <c r="F1306" s="19">
        <f t="shared" si="41"/>
        <v>2.2900781329426999E-3</v>
      </c>
      <c r="G1306" s="19"/>
      <c r="H1306" s="19"/>
    </row>
    <row r="1307" spans="1:8" ht="14.25" customHeight="1" x14ac:dyDescent="0.3">
      <c r="A1307" s="304">
        <v>45849</v>
      </c>
      <c r="B1307" s="305">
        <v>25149.849609375</v>
      </c>
      <c r="C1307" s="305">
        <v>815.09997558593795</v>
      </c>
      <c r="D1307" s="19"/>
      <c r="E1307" s="19">
        <f t="shared" si="40"/>
        <v>-8.1009018102759789E-3</v>
      </c>
      <c r="F1307" s="19">
        <f t="shared" si="41"/>
        <v>-1.9782349165431753E-2</v>
      </c>
      <c r="G1307" s="19"/>
      <c r="H1307" s="19"/>
    </row>
    <row r="1308" spans="1:8" ht="14.25" customHeight="1" x14ac:dyDescent="0.3">
      <c r="A1308" s="304">
        <v>45852</v>
      </c>
      <c r="B1308" s="305">
        <v>25082.30078125</v>
      </c>
      <c r="C1308" s="305">
        <v>826.90002441406295</v>
      </c>
      <c r="D1308" s="19"/>
      <c r="E1308" s="19">
        <f t="shared" si="40"/>
        <v>-2.685854157148523E-3</v>
      </c>
      <c r="F1308" s="19">
        <f t="shared" si="41"/>
        <v>1.4476811656928939E-2</v>
      </c>
      <c r="G1308" s="19"/>
      <c r="H1308" s="19"/>
    </row>
    <row r="1309" spans="1:8" ht="14.25" customHeight="1" x14ac:dyDescent="0.3">
      <c r="A1309" s="304">
        <v>45853</v>
      </c>
      <c r="B1309" s="305">
        <v>25195.80078125</v>
      </c>
      <c r="C1309" s="305">
        <v>833.5</v>
      </c>
      <c r="D1309" s="19"/>
      <c r="E1309" s="19">
        <f t="shared" si="40"/>
        <v>4.5251032187942535E-3</v>
      </c>
      <c r="F1309" s="19">
        <f t="shared" si="41"/>
        <v>7.981588331205762E-3</v>
      </c>
      <c r="G1309" s="19"/>
      <c r="H1309" s="19"/>
    </row>
    <row r="1310" spans="1:8" ht="14.25" customHeight="1" x14ac:dyDescent="0.3">
      <c r="A1310" s="304">
        <v>45854</v>
      </c>
      <c r="B1310" s="305">
        <v>25212.05078125</v>
      </c>
      <c r="C1310" s="305">
        <v>844.29998779296898</v>
      </c>
      <c r="D1310" s="19"/>
      <c r="E1310" s="19">
        <f t="shared" si="40"/>
        <v>6.4494874130346306E-4</v>
      </c>
      <c r="F1310" s="19">
        <f t="shared" si="41"/>
        <v>1.2957393872788216E-2</v>
      </c>
      <c r="G1310" s="19"/>
      <c r="H1310" s="19"/>
    </row>
    <row r="1311" spans="1:8" ht="14.25" customHeight="1" x14ac:dyDescent="0.3">
      <c r="A1311" s="304">
        <v>45855</v>
      </c>
      <c r="B1311" s="305">
        <v>25111.44921875</v>
      </c>
      <c r="C1311" s="305">
        <v>847.04998779296898</v>
      </c>
      <c r="D1311" s="19"/>
      <c r="E1311" s="19">
        <f t="shared" si="40"/>
        <v>-3.9902173517283477E-3</v>
      </c>
      <c r="F1311" s="19">
        <f t="shared" si="41"/>
        <v>3.2571361361600874E-3</v>
      </c>
      <c r="G1311" s="19"/>
      <c r="H1311" s="19"/>
    </row>
    <row r="1312" spans="1:8" ht="14.25" customHeight="1" x14ac:dyDescent="0.3">
      <c r="A1312" s="304">
        <v>45856</v>
      </c>
      <c r="B1312" s="305">
        <v>24968.400390625</v>
      </c>
      <c r="C1312" s="305">
        <v>845.20001220703102</v>
      </c>
      <c r="D1312" s="19"/>
      <c r="E1312" s="19">
        <f t="shared" si="40"/>
        <v>-5.6965580472428303E-3</v>
      </c>
      <c r="F1312" s="19">
        <f t="shared" si="41"/>
        <v>-2.1840217373217353E-3</v>
      </c>
      <c r="G1312" s="19"/>
      <c r="H1312" s="19"/>
    </row>
    <row r="1313" spans="1:8" ht="14.25" customHeight="1" x14ac:dyDescent="0.3">
      <c r="A1313" s="304">
        <v>45859</v>
      </c>
      <c r="B1313" s="305">
        <v>25090.69921875</v>
      </c>
      <c r="C1313" s="305">
        <v>852.59997558593795</v>
      </c>
      <c r="D1313" s="19"/>
      <c r="E1313" s="19">
        <f t="shared" si="40"/>
        <v>4.8981443028653171E-3</v>
      </c>
      <c r="F1313" s="19">
        <f t="shared" si="41"/>
        <v>8.7552807288581985E-3</v>
      </c>
      <c r="G1313" s="19"/>
      <c r="H1313" s="19"/>
    </row>
    <row r="1314" spans="1:8" ht="14.25" customHeight="1" x14ac:dyDescent="0.3">
      <c r="A1314" s="304">
        <v>45860</v>
      </c>
      <c r="B1314" s="305">
        <v>25060.900390625</v>
      </c>
      <c r="C1314" s="305">
        <v>845.5</v>
      </c>
      <c r="D1314" s="19"/>
      <c r="E1314" s="19">
        <f t="shared" si="40"/>
        <v>-1.1876443882732318E-3</v>
      </c>
      <c r="F1314" s="19">
        <f t="shared" si="41"/>
        <v>-8.327440522219804E-3</v>
      </c>
      <c r="G1314" s="19"/>
      <c r="H1314" s="19"/>
    </row>
    <row r="1315" spans="1:8" ht="14.25" customHeight="1" x14ac:dyDescent="0.3">
      <c r="A1315" s="304">
        <v>45861</v>
      </c>
      <c r="B1315" s="305">
        <v>25219.900390625</v>
      </c>
      <c r="C1315" s="305">
        <v>841.95001220703102</v>
      </c>
      <c r="D1315" s="19"/>
      <c r="E1315" s="19">
        <f t="shared" si="40"/>
        <v>6.3445445902446549E-3</v>
      </c>
      <c r="F1315" s="19">
        <f t="shared" si="41"/>
        <v>-4.1986845570301332E-3</v>
      </c>
      <c r="G1315" s="19"/>
      <c r="H1315" s="19"/>
    </row>
    <row r="1316" spans="1:8" ht="14.25" customHeight="1" x14ac:dyDescent="0.3">
      <c r="A1316" s="304">
        <v>45862</v>
      </c>
      <c r="B1316" s="305">
        <v>25062.099609375</v>
      </c>
      <c r="C1316" s="305">
        <v>828.95001220703102</v>
      </c>
      <c r="D1316" s="19"/>
      <c r="E1316" s="19">
        <f t="shared" si="40"/>
        <v>-6.2569946274910479E-3</v>
      </c>
      <c r="F1316" s="19">
        <f t="shared" si="41"/>
        <v>-1.5440346590081609E-2</v>
      </c>
      <c r="G1316" s="19"/>
      <c r="H1316" s="19"/>
    </row>
    <row r="1317" spans="1:8" ht="14.25" customHeight="1" x14ac:dyDescent="0.3">
      <c r="A1317" s="304">
        <v>45863</v>
      </c>
      <c r="B1317" s="305">
        <v>24837</v>
      </c>
      <c r="C1317" s="305">
        <v>826.29998779296898</v>
      </c>
      <c r="D1317" s="19"/>
      <c r="E1317" s="19">
        <f t="shared" si="40"/>
        <v>-8.9816740370306722E-3</v>
      </c>
      <c r="F1317" s="19">
        <f t="shared" si="41"/>
        <v>-3.1968446529200356E-3</v>
      </c>
      <c r="G1317" s="19"/>
      <c r="H1317" s="19"/>
    </row>
    <row r="1318" spans="1:8" ht="14.25" customHeight="1" x14ac:dyDescent="0.3">
      <c r="A1318" s="304">
        <v>45866</v>
      </c>
      <c r="B1318" s="305">
        <v>24680.900390625</v>
      </c>
      <c r="C1318" s="305">
        <v>787.20001220703102</v>
      </c>
      <c r="D1318" s="19"/>
      <c r="E1318" s="19">
        <f t="shared" si="40"/>
        <v>-6.2849623293876073E-3</v>
      </c>
      <c r="F1318" s="19">
        <f t="shared" si="41"/>
        <v>-4.7319346682278454E-2</v>
      </c>
      <c r="G1318" s="19"/>
      <c r="H1318" s="19"/>
    </row>
    <row r="1319" spans="1:8" ht="14.25" customHeight="1" x14ac:dyDescent="0.3">
      <c r="A1319" s="304">
        <v>45867</v>
      </c>
      <c r="B1319" s="305">
        <v>24821.099609375</v>
      </c>
      <c r="C1319" s="305">
        <v>800.34997558593795</v>
      </c>
      <c r="D1319" s="19"/>
      <c r="E1319" s="19">
        <f t="shared" si="40"/>
        <v>5.6804742343700898E-3</v>
      </c>
      <c r="F1319" s="19">
        <f t="shared" si="41"/>
        <v>1.6704729643028174E-2</v>
      </c>
      <c r="G1319" s="19"/>
      <c r="H1319" s="19"/>
    </row>
    <row r="1320" spans="1:8" ht="14.25" customHeight="1" x14ac:dyDescent="0.3">
      <c r="A1320" s="304">
        <v>45868</v>
      </c>
      <c r="B1320" s="305">
        <v>24855.05078125</v>
      </c>
      <c r="C1320" s="305">
        <v>788.79998779296898</v>
      </c>
      <c r="D1320" s="19"/>
      <c r="E1320" s="19">
        <f t="shared" si="40"/>
        <v>1.3678351245235141E-3</v>
      </c>
      <c r="F1320" s="19">
        <f t="shared" si="41"/>
        <v>-1.4431171544065089E-2</v>
      </c>
      <c r="G1320" s="19"/>
      <c r="H1320" s="19"/>
    </row>
    <row r="1321" spans="1:8" ht="14.25" customHeight="1" x14ac:dyDescent="0.3">
      <c r="A1321" s="304">
        <v>45869</v>
      </c>
      <c r="B1321" s="305">
        <v>24768.349609375</v>
      </c>
      <c r="C1321" s="305">
        <v>784.25</v>
      </c>
      <c r="D1321" s="19"/>
      <c r="E1321" s="19">
        <f t="shared" si="40"/>
        <v>-3.4882717656889721E-3</v>
      </c>
      <c r="F1321" s="19">
        <f t="shared" si="41"/>
        <v>-5.768240191914382E-3</v>
      </c>
      <c r="G1321" s="19"/>
      <c r="H1321" s="19"/>
    </row>
    <row r="1322" spans="1:8" ht="14.25" customHeight="1" x14ac:dyDescent="0.3">
      <c r="A1322" s="304">
        <v>45870</v>
      </c>
      <c r="B1322" s="305">
        <v>24565.349609375</v>
      </c>
      <c r="C1322" s="305">
        <v>777.40002441406295</v>
      </c>
      <c r="D1322" s="19"/>
      <c r="E1322" s="19">
        <f t="shared" si="40"/>
        <v>-8.1959437427822409E-3</v>
      </c>
      <c r="F1322" s="19">
        <f t="shared" si="41"/>
        <v>-8.7344285443889651E-3</v>
      </c>
      <c r="G1322" s="19"/>
      <c r="H1322" s="19"/>
    </row>
    <row r="1323" spans="1:8" ht="14.25" customHeight="1" x14ac:dyDescent="0.3">
      <c r="A1323" s="304">
        <v>45873</v>
      </c>
      <c r="B1323" s="305">
        <v>24722.75</v>
      </c>
      <c r="C1323" s="305">
        <v>792.84997558593795</v>
      </c>
      <c r="D1323" s="19"/>
      <c r="E1323" s="19">
        <f t="shared" si="40"/>
        <v>6.4074150430544043E-3</v>
      </c>
      <c r="F1323" s="19">
        <f t="shared" si="41"/>
        <v>1.987387533660015E-2</v>
      </c>
      <c r="G1323" s="19"/>
      <c r="H1323" s="19"/>
    </row>
    <row r="1324" spans="1:8" ht="14.25" customHeight="1" x14ac:dyDescent="0.3">
      <c r="A1324" s="304">
        <v>45874</v>
      </c>
      <c r="B1324" s="305">
        <v>24649.55078125</v>
      </c>
      <c r="C1324" s="305">
        <v>780.95001220703102</v>
      </c>
      <c r="D1324" s="19"/>
      <c r="E1324" s="19">
        <f t="shared" si="40"/>
        <v>-2.9608040671041855E-3</v>
      </c>
      <c r="F1324" s="19">
        <f t="shared" si="41"/>
        <v>-1.5009098499514402E-2</v>
      </c>
      <c r="G1324" s="19"/>
      <c r="H1324" s="19"/>
    </row>
    <row r="1325" spans="1:8" ht="14.25" customHeight="1" x14ac:dyDescent="0.3">
      <c r="A1325" s="304">
        <v>45875</v>
      </c>
      <c r="B1325" s="305">
        <v>24574.19921875</v>
      </c>
      <c r="C1325" s="305">
        <v>764.5</v>
      </c>
      <c r="D1325" s="19"/>
      <c r="E1325" s="19">
        <f t="shared" si="40"/>
        <v>-3.0569142281212337E-3</v>
      </c>
      <c r="F1325" s="19">
        <f t="shared" si="41"/>
        <v>-2.1064103911775212E-2</v>
      </c>
      <c r="G1325" s="19"/>
      <c r="H1325" s="19"/>
    </row>
    <row r="1326" spans="1:8" ht="14.25" customHeight="1" x14ac:dyDescent="0.3">
      <c r="A1326" s="304">
        <v>45876</v>
      </c>
      <c r="B1326" s="305">
        <v>24596.150390625</v>
      </c>
      <c r="C1326" s="305">
        <v>759.65002441406295</v>
      </c>
      <c r="D1326" s="19"/>
      <c r="E1326" s="19">
        <f t="shared" si="40"/>
        <v>8.9326092295415906E-4</v>
      </c>
      <c r="F1326" s="19">
        <f t="shared" si="41"/>
        <v>-6.3439837618535586E-3</v>
      </c>
      <c r="G1326" s="19"/>
      <c r="H1326" s="19"/>
    </row>
    <row r="1327" spans="1:8" ht="14.25" customHeight="1" x14ac:dyDescent="0.3">
      <c r="A1327" s="304">
        <v>45877</v>
      </c>
      <c r="B1327" s="305">
        <v>24363.30078125</v>
      </c>
      <c r="C1327" s="305">
        <v>747.20001220703102</v>
      </c>
      <c r="D1327" s="19"/>
      <c r="E1327" s="19">
        <f t="shared" si="40"/>
        <v>-9.4669127354072569E-3</v>
      </c>
      <c r="F1327" s="19">
        <f t="shared" si="41"/>
        <v>-1.6389142114008274E-2</v>
      </c>
      <c r="G1327" s="19"/>
      <c r="H1327" s="19"/>
    </row>
    <row r="1328" spans="1:8" ht="14.25" customHeight="1" x14ac:dyDescent="0.3">
      <c r="A1328" s="304">
        <v>45880</v>
      </c>
      <c r="B1328" s="305">
        <v>24585.05078125</v>
      </c>
      <c r="C1328" s="305">
        <v>764.95001220703102</v>
      </c>
      <c r="D1328" s="19"/>
      <c r="E1328" s="19">
        <f t="shared" si="40"/>
        <v>9.1018044718578876E-3</v>
      </c>
      <c r="F1328" s="19">
        <f t="shared" si="41"/>
        <v>2.3755352930965833E-2</v>
      </c>
      <c r="G1328" s="19"/>
      <c r="H1328" s="19"/>
    </row>
    <row r="1329" spans="1:8" ht="14.25" customHeight="1" x14ac:dyDescent="0.3">
      <c r="A1329" s="304">
        <v>45881</v>
      </c>
      <c r="B1329" s="305">
        <v>24487.400390625</v>
      </c>
      <c r="C1329" s="305">
        <v>757.40002441406295</v>
      </c>
      <c r="D1329" s="19"/>
      <c r="E1329" s="19">
        <f t="shared" si="40"/>
        <v>-3.9719417907191756E-3</v>
      </c>
      <c r="F1329" s="19">
        <f t="shared" si="41"/>
        <v>-9.8699100235123474E-3</v>
      </c>
      <c r="G1329" s="19"/>
      <c r="H1329" s="19"/>
    </row>
    <row r="1330" spans="1:8" ht="14.25" customHeight="1" x14ac:dyDescent="0.3">
      <c r="A1330" s="304">
        <v>45882</v>
      </c>
      <c r="B1330" s="305">
        <v>24619.349609375</v>
      </c>
      <c r="C1330" s="305">
        <v>757.65002441406295</v>
      </c>
      <c r="D1330" s="19"/>
      <c r="E1330" s="19">
        <f t="shared" si="40"/>
        <v>5.3884535167120782E-3</v>
      </c>
      <c r="F1330" s="19">
        <f t="shared" si="41"/>
        <v>3.3007656712633998E-4</v>
      </c>
      <c r="G1330" s="19"/>
      <c r="H1330" s="19"/>
    </row>
    <row r="1331" spans="1:8" ht="14.25" customHeight="1" x14ac:dyDescent="0.3">
      <c r="A1331" s="304">
        <v>45883</v>
      </c>
      <c r="B1331" s="305">
        <v>24631.30078125</v>
      </c>
      <c r="C1331" s="305">
        <v>751.54998779296898</v>
      </c>
      <c r="D1331" s="19"/>
      <c r="E1331" s="19">
        <f t="shared" si="40"/>
        <v>4.8543816407111817E-4</v>
      </c>
      <c r="F1331" s="19">
        <f t="shared" si="41"/>
        <v>-8.0512590569920568E-3</v>
      </c>
      <c r="G1331" s="19"/>
      <c r="H1331" s="19"/>
    </row>
    <row r="1332" spans="1:8" ht="14.25" customHeight="1" x14ac:dyDescent="0.3">
      <c r="A1332" s="304">
        <v>45887</v>
      </c>
      <c r="B1332" s="305">
        <v>24876.94921875</v>
      </c>
      <c r="C1332" s="305">
        <v>768.90002441406295</v>
      </c>
      <c r="D1332" s="19"/>
      <c r="E1332" s="19">
        <f t="shared" si="40"/>
        <v>9.9730192766349594E-3</v>
      </c>
      <c r="F1332" s="19">
        <f t="shared" si="41"/>
        <v>2.3085672148095926E-2</v>
      </c>
      <c r="G1332" s="19"/>
      <c r="H1332" s="19"/>
    </row>
    <row r="1333" spans="1:8" ht="14.25" customHeight="1" x14ac:dyDescent="0.3">
      <c r="A1333" s="304">
        <v>45888</v>
      </c>
      <c r="B1333" s="305">
        <v>24980.650390625</v>
      </c>
      <c r="C1333" s="305">
        <v>776.09997558593795</v>
      </c>
      <c r="D1333" s="19"/>
      <c r="E1333" s="19">
        <f t="shared" si="40"/>
        <v>4.1685646806256856E-3</v>
      </c>
      <c r="F1333" s="19">
        <f t="shared" si="41"/>
        <v>9.3639627302154037E-3</v>
      </c>
      <c r="G1333" s="19"/>
      <c r="H1333" s="19"/>
    </row>
    <row r="1334" spans="1:8" ht="14.25" customHeight="1" x14ac:dyDescent="0.3">
      <c r="A1334" s="304">
        <v>45889</v>
      </c>
      <c r="B1334" s="305">
        <v>25050.55078125</v>
      </c>
      <c r="C1334" s="305">
        <v>770.5</v>
      </c>
      <c r="D1334" s="19"/>
      <c r="E1334" s="19">
        <f t="shared" si="40"/>
        <v>2.7981813736616301E-3</v>
      </c>
      <c r="F1334" s="19">
        <f t="shared" si="41"/>
        <v>-7.2155337741250406E-3</v>
      </c>
      <c r="G1334" s="19"/>
      <c r="H1334" s="19"/>
    </row>
    <row r="1335" spans="1:8" ht="14.25" customHeight="1" x14ac:dyDescent="0.3">
      <c r="A1335" s="304">
        <v>45890</v>
      </c>
      <c r="B1335" s="305">
        <v>25083.75</v>
      </c>
      <c r="C1335" s="305">
        <v>773.20001220703102</v>
      </c>
      <c r="D1335" s="19"/>
      <c r="E1335" s="19">
        <f t="shared" si="40"/>
        <v>1.325288974278728E-3</v>
      </c>
      <c r="F1335" s="19">
        <f t="shared" si="41"/>
        <v>3.5042338832329948E-3</v>
      </c>
      <c r="G1335" s="19"/>
      <c r="H1335" s="19"/>
    </row>
    <row r="1336" spans="1:8" ht="14.25" customHeight="1" x14ac:dyDescent="0.3">
      <c r="A1336" s="304">
        <v>45891</v>
      </c>
      <c r="B1336" s="305">
        <v>24870.099609375</v>
      </c>
      <c r="C1336" s="305">
        <v>762.54998779296898</v>
      </c>
      <c r="D1336" s="19"/>
      <c r="E1336" s="19">
        <f t="shared" si="40"/>
        <v>-8.5174820600986689E-3</v>
      </c>
      <c r="F1336" s="19">
        <f t="shared" si="41"/>
        <v>-1.3773957896951518E-2</v>
      </c>
      <c r="G1336" s="19"/>
      <c r="H1336" s="19"/>
    </row>
    <row r="1337" spans="1:8" ht="14.25" customHeight="1" x14ac:dyDescent="0.3">
      <c r="A1337" s="304">
        <v>45894</v>
      </c>
      <c r="B1337" s="305">
        <v>24967.75</v>
      </c>
      <c r="C1337" s="305">
        <v>772</v>
      </c>
      <c r="D1337" s="19"/>
      <c r="E1337" s="19">
        <f t="shared" si="40"/>
        <v>3.9264173509055761E-3</v>
      </c>
      <c r="F1337" s="19">
        <f t="shared" si="41"/>
        <v>1.239264619803087E-2</v>
      </c>
      <c r="G1337" s="19"/>
      <c r="H1337" s="19"/>
    </row>
    <row r="1338" spans="1:8" ht="14.25" customHeight="1" x14ac:dyDescent="0.3">
      <c r="A1338" s="304">
        <v>45895</v>
      </c>
      <c r="B1338" s="305">
        <v>24712.05078125</v>
      </c>
      <c r="C1338" s="305">
        <v>754.59997558593795</v>
      </c>
      <c r="D1338" s="19"/>
      <c r="E1338" s="19">
        <f t="shared" si="40"/>
        <v>-1.0241179872034925E-2</v>
      </c>
      <c r="F1338" s="19">
        <f t="shared" si="41"/>
        <v>-2.2538891728059646E-2</v>
      </c>
      <c r="G1338" s="19"/>
      <c r="H1338" s="19"/>
    </row>
    <row r="1339" spans="1:8" ht="14.25" customHeight="1" x14ac:dyDescent="0.3">
      <c r="A1339" s="304">
        <v>45897</v>
      </c>
      <c r="B1339" s="305">
        <v>24500.900390625</v>
      </c>
      <c r="C1339" s="305">
        <v>749.45001220703102</v>
      </c>
      <c r="D1339" s="19"/>
      <c r="E1339" s="19">
        <f t="shared" si="40"/>
        <v>-8.5444301039235507E-3</v>
      </c>
      <c r="F1339" s="19">
        <f t="shared" si="41"/>
        <v>-6.8247595355513313E-3</v>
      </c>
      <c r="G1339" s="19"/>
      <c r="H1339" s="19"/>
    </row>
    <row r="1340" spans="1:8" ht="14.25" customHeight="1" x14ac:dyDescent="0.3">
      <c r="A1340" s="304">
        <v>45898</v>
      </c>
      <c r="B1340" s="305">
        <v>24426.849609375</v>
      </c>
      <c r="C1340" s="305">
        <v>739.04998779296898</v>
      </c>
      <c r="D1340" s="19"/>
      <c r="E1340" s="19">
        <f t="shared" si="40"/>
        <v>-3.0223697933295024E-3</v>
      </c>
      <c r="F1340" s="19">
        <f t="shared" si="41"/>
        <v>-1.387687536815878E-2</v>
      </c>
      <c r="G1340" s="19"/>
      <c r="H1340" s="19"/>
    </row>
    <row r="1341" spans="1:8" ht="14.25" customHeight="1" x14ac:dyDescent="0.3">
      <c r="A1341" s="304">
        <v>45901</v>
      </c>
      <c r="B1341" s="305">
        <v>24625.05078125</v>
      </c>
      <c r="C1341" s="305">
        <v>748.29998779296898</v>
      </c>
      <c r="D1341" s="19"/>
      <c r="E1341" s="19">
        <f t="shared" si="40"/>
        <v>8.1140701746053485E-3</v>
      </c>
      <c r="F1341" s="19">
        <f t="shared" si="41"/>
        <v>1.2516068131769207E-2</v>
      </c>
      <c r="G1341" s="19"/>
      <c r="H1341" s="19"/>
    </row>
    <row r="1342" spans="1:8" ht="14.25" customHeight="1" x14ac:dyDescent="0.3">
      <c r="A1342" s="304">
        <v>45902</v>
      </c>
      <c r="B1342" s="305">
        <v>24579.599609375</v>
      </c>
      <c r="C1342" s="305">
        <v>754.79998779296898</v>
      </c>
      <c r="D1342" s="19"/>
      <c r="E1342" s="19">
        <f t="shared" si="40"/>
        <v>-1.8457290617896885E-3</v>
      </c>
      <c r="F1342" s="19">
        <f t="shared" si="41"/>
        <v>8.6863558813772765E-3</v>
      </c>
      <c r="G1342" s="19"/>
      <c r="H1342" s="19"/>
    </row>
    <row r="1343" spans="1:8" ht="14.25" customHeight="1" x14ac:dyDescent="0.3">
      <c r="A1343" s="304">
        <v>45903</v>
      </c>
      <c r="B1343" s="305">
        <v>24715.05078125</v>
      </c>
      <c r="C1343" s="305">
        <v>764.40002441406295</v>
      </c>
      <c r="D1343" s="19"/>
      <c r="E1343" s="19">
        <f t="shared" si="40"/>
        <v>5.5107151470171652E-3</v>
      </c>
      <c r="F1343" s="19">
        <f t="shared" si="41"/>
        <v>1.2718649677200489E-2</v>
      </c>
      <c r="G1343" s="19"/>
      <c r="H1343" s="19"/>
    </row>
    <row r="1344" spans="1:8" ht="14.25" customHeight="1" x14ac:dyDescent="0.3">
      <c r="A1344" s="304">
        <v>45904</v>
      </c>
      <c r="B1344" s="305">
        <v>24734.30078125</v>
      </c>
      <c r="C1344" s="305">
        <v>758.09997558593795</v>
      </c>
      <c r="D1344" s="19"/>
      <c r="E1344" s="19">
        <f t="shared" si="40"/>
        <v>7.7887762280480347E-4</v>
      </c>
      <c r="F1344" s="19">
        <f t="shared" si="41"/>
        <v>-8.2418218562384116E-3</v>
      </c>
      <c r="G1344" s="19"/>
      <c r="H1344" s="19"/>
    </row>
    <row r="1345" spans="1:8" ht="14.25" customHeight="1" x14ac:dyDescent="0.3">
      <c r="A1345" s="304">
        <v>45905</v>
      </c>
      <c r="B1345" s="305">
        <v>24741</v>
      </c>
      <c r="C1345" s="305">
        <v>755.54998779296898</v>
      </c>
      <c r="D1345" s="19"/>
      <c r="E1345" s="19">
        <f t="shared" si="40"/>
        <v>2.708473067117542E-4</v>
      </c>
      <c r="F1345" s="19">
        <f t="shared" si="41"/>
        <v>-3.3636563449274399E-3</v>
      </c>
      <c r="G1345" s="19"/>
      <c r="H1345" s="19"/>
    </row>
    <row r="1346" spans="1:8" ht="14.25" customHeight="1" x14ac:dyDescent="0.3">
      <c r="A1346" s="304">
        <v>45908</v>
      </c>
      <c r="B1346" s="305">
        <v>24773.150390625</v>
      </c>
      <c r="C1346" s="305">
        <v>757.5</v>
      </c>
      <c r="D1346" s="19"/>
      <c r="E1346" s="19">
        <f t="shared" si="40"/>
        <v>1.2994782193524919E-3</v>
      </c>
      <c r="F1346" s="19">
        <f t="shared" si="41"/>
        <v>2.5809175283387771E-3</v>
      </c>
      <c r="G1346" s="19"/>
      <c r="H1346" s="19"/>
    </row>
    <row r="1347" spans="1:8" ht="14.25" customHeight="1" x14ac:dyDescent="0.3">
      <c r="A1347" s="304">
        <v>45909</v>
      </c>
      <c r="B1347" s="305">
        <v>24868.599609375</v>
      </c>
      <c r="C1347" s="305">
        <v>751.09997558593795</v>
      </c>
      <c r="D1347" s="19"/>
      <c r="E1347" s="19">
        <f t="shared" ref="E1347:E1410" si="42">(B1347-B1346)/B1346</f>
        <v>3.852930178235273E-3</v>
      </c>
      <c r="F1347" s="19">
        <f t="shared" ref="F1347:F1410" si="43">(C1347-C1346)/C1346</f>
        <v>-8.4488771142733274E-3</v>
      </c>
      <c r="G1347" s="19"/>
      <c r="H1347" s="19"/>
    </row>
    <row r="1348" spans="1:8" ht="14.25" customHeight="1" x14ac:dyDescent="0.3">
      <c r="A1348" s="304">
        <v>45910</v>
      </c>
      <c r="B1348" s="305">
        <v>24973.099609375</v>
      </c>
      <c r="C1348" s="305">
        <v>754.29998779296898</v>
      </c>
      <c r="D1348" s="19"/>
      <c r="E1348" s="19">
        <f t="shared" si="42"/>
        <v>4.20208623088714E-3</v>
      </c>
      <c r="F1348" s="19">
        <f t="shared" si="43"/>
        <v>4.2604344442092046E-3</v>
      </c>
      <c r="G1348" s="19"/>
      <c r="H1348" s="19"/>
    </row>
    <row r="1349" spans="1:8" ht="14.25" customHeight="1" x14ac:dyDescent="0.3">
      <c r="A1349" s="304">
        <v>45911</v>
      </c>
      <c r="B1349" s="305">
        <v>25005.5</v>
      </c>
      <c r="C1349" s="305">
        <v>756.34997558593795</v>
      </c>
      <c r="D1349" s="19"/>
      <c r="E1349" s="19">
        <f t="shared" si="42"/>
        <v>1.2974116602184522E-3</v>
      </c>
      <c r="F1349" s="19">
        <f t="shared" si="43"/>
        <v>2.7177354184601062E-3</v>
      </c>
      <c r="G1349" s="19"/>
      <c r="H1349" s="19"/>
    </row>
    <row r="1350" spans="1:8" ht="14.25" customHeight="1" x14ac:dyDescent="0.3">
      <c r="A1350" s="304">
        <v>45912</v>
      </c>
      <c r="B1350" s="305">
        <v>25114</v>
      </c>
      <c r="C1350" s="305">
        <v>758.40002441406295</v>
      </c>
      <c r="D1350" s="19"/>
      <c r="E1350" s="19">
        <f t="shared" si="42"/>
        <v>4.3390454100097975E-3</v>
      </c>
      <c r="F1350" s="19">
        <f t="shared" si="43"/>
        <v>2.7104500486522056E-3</v>
      </c>
      <c r="G1350" s="19"/>
      <c r="H1350" s="19"/>
    </row>
    <row r="1351" spans="1:8" ht="14.25" customHeight="1" x14ac:dyDescent="0.3">
      <c r="A1351" s="304">
        <v>45915</v>
      </c>
      <c r="B1351" s="305">
        <v>25069.19921875</v>
      </c>
      <c r="C1351" s="305">
        <v>775.70001220703102</v>
      </c>
      <c r="D1351" s="19"/>
      <c r="E1351" s="19">
        <f t="shared" si="42"/>
        <v>-1.7838966811340288E-3</v>
      </c>
      <c r="F1351" s="19">
        <f t="shared" si="43"/>
        <v>2.2811164604502714E-2</v>
      </c>
      <c r="G1351" s="19"/>
      <c r="H1351" s="19"/>
    </row>
    <row r="1352" spans="1:8" ht="14.25" customHeight="1" x14ac:dyDescent="0.3">
      <c r="A1352" s="304">
        <v>45916</v>
      </c>
      <c r="B1352" s="305">
        <v>25239.099609375</v>
      </c>
      <c r="C1352" s="305">
        <v>786.75</v>
      </c>
      <c r="D1352" s="19"/>
      <c r="E1352" s="19">
        <f t="shared" si="42"/>
        <v>6.7772563910987009E-3</v>
      </c>
      <c r="F1352" s="19">
        <f t="shared" si="43"/>
        <v>1.4245181924813201E-2</v>
      </c>
      <c r="G1352" s="19"/>
      <c r="H1352" s="19"/>
    </row>
    <row r="1353" spans="1:8" ht="14.25" customHeight="1" x14ac:dyDescent="0.3">
      <c r="A1353" s="304">
        <v>45917</v>
      </c>
      <c r="B1353" s="305">
        <v>25330.25</v>
      </c>
      <c r="C1353" s="305">
        <v>786.45001220703102</v>
      </c>
      <c r="D1353" s="19"/>
      <c r="E1353" s="19">
        <f t="shared" si="42"/>
        <v>3.6114755294654973E-3</v>
      </c>
      <c r="F1353" s="19">
        <f t="shared" si="43"/>
        <v>-3.8130002283950096E-4</v>
      </c>
      <c r="G1353" s="19"/>
      <c r="H1353" s="19"/>
    </row>
    <row r="1354" spans="1:8" ht="14.25" customHeight="1" x14ac:dyDescent="0.3">
      <c r="A1354" s="304">
        <v>45918</v>
      </c>
      <c r="B1354" s="305">
        <v>25423.599609375</v>
      </c>
      <c r="C1354" s="305">
        <v>783.09997558593795</v>
      </c>
      <c r="D1354" s="19"/>
      <c r="E1354" s="19">
        <f t="shared" si="42"/>
        <v>3.6853015416350018E-3</v>
      </c>
      <c r="F1354" s="19">
        <f t="shared" si="43"/>
        <v>-4.259694283291815E-3</v>
      </c>
      <c r="G1354" s="19"/>
      <c r="H1354" s="19"/>
    </row>
    <row r="1355" spans="1:8" ht="14.25" customHeight="1" x14ac:dyDescent="0.3">
      <c r="A1355" s="304">
        <v>45919</v>
      </c>
      <c r="B1355" s="305">
        <v>25327.05078125</v>
      </c>
      <c r="C1355" s="305">
        <v>777.70001220703102</v>
      </c>
      <c r="D1355" s="19"/>
      <c r="E1355" s="19">
        <f t="shared" si="42"/>
        <v>-3.7976065391384403E-3</v>
      </c>
      <c r="F1355" s="19">
        <f t="shared" si="43"/>
        <v>-6.8956245016691823E-3</v>
      </c>
      <c r="G1355" s="19"/>
      <c r="H1355" s="19"/>
    </row>
    <row r="1356" spans="1:8" ht="14.25" customHeight="1" x14ac:dyDescent="0.3">
      <c r="A1356" s="304">
        <v>45922</v>
      </c>
      <c r="B1356" s="305">
        <v>25202.349609375</v>
      </c>
      <c r="C1356" s="305">
        <v>773.75</v>
      </c>
      <c r="D1356" s="19"/>
      <c r="E1356" s="19">
        <f t="shared" si="42"/>
        <v>-4.9236357186648108E-3</v>
      </c>
      <c r="F1356" s="19">
        <f t="shared" si="43"/>
        <v>-5.0790949531057646E-3</v>
      </c>
      <c r="G1356" s="19"/>
      <c r="H1356" s="19"/>
    </row>
    <row r="1357" spans="1:8" ht="14.25" customHeight="1" x14ac:dyDescent="0.3">
      <c r="A1357" s="304">
        <v>45923</v>
      </c>
      <c r="B1357" s="305">
        <v>25169.5</v>
      </c>
      <c r="C1357" s="305">
        <v>759.40002441406295</v>
      </c>
      <c r="D1357" s="19"/>
      <c r="E1357" s="19">
        <f t="shared" si="42"/>
        <v>-1.3034343973539794E-3</v>
      </c>
      <c r="F1357" s="19">
        <f t="shared" si="43"/>
        <v>-1.8546010450322514E-2</v>
      </c>
      <c r="G1357" s="19"/>
      <c r="H1357" s="19"/>
    </row>
    <row r="1358" spans="1:8" ht="14.25" customHeight="1" x14ac:dyDescent="0.3">
      <c r="A1358" s="304">
        <v>45924</v>
      </c>
      <c r="B1358" s="305">
        <v>25056.900390625</v>
      </c>
      <c r="C1358" s="305">
        <v>733.65002441406295</v>
      </c>
      <c r="D1358" s="19"/>
      <c r="E1358" s="19">
        <f t="shared" si="42"/>
        <v>-4.4736530076084149E-3</v>
      </c>
      <c r="F1358" s="19">
        <f t="shared" si="43"/>
        <v>-3.390834760621473E-2</v>
      </c>
      <c r="G1358" s="19"/>
      <c r="H1358" s="19"/>
    </row>
    <row r="1359" spans="1:8" ht="14.25" customHeight="1" x14ac:dyDescent="0.3">
      <c r="A1359" s="304">
        <v>45925</v>
      </c>
      <c r="B1359" s="305">
        <v>24890.849609375</v>
      </c>
      <c r="C1359" s="305">
        <v>721.04998779296898</v>
      </c>
      <c r="D1359" s="19"/>
      <c r="E1359" s="19">
        <f t="shared" si="42"/>
        <v>-6.6269482123226878E-3</v>
      </c>
      <c r="F1359" s="19">
        <f t="shared" si="43"/>
        <v>-1.7174451307566063E-2</v>
      </c>
      <c r="G1359" s="19"/>
      <c r="H1359" s="19"/>
    </row>
    <row r="1360" spans="1:8" ht="14.25" customHeight="1" x14ac:dyDescent="0.3">
      <c r="A1360" s="304">
        <v>45926</v>
      </c>
      <c r="B1360" s="305">
        <v>24654.69921875</v>
      </c>
      <c r="C1360" s="305">
        <v>716.04998779296898</v>
      </c>
      <c r="D1360" s="19"/>
      <c r="E1360" s="19">
        <f t="shared" si="42"/>
        <v>-9.4874379272315099E-3</v>
      </c>
      <c r="F1360" s="19">
        <f t="shared" si="43"/>
        <v>-6.9343319945185571E-3</v>
      </c>
      <c r="G1360" s="19"/>
      <c r="H1360" s="19"/>
    </row>
    <row r="1361" spans="1:8" ht="14.25" customHeight="1" x14ac:dyDescent="0.3">
      <c r="A1361" s="304">
        <v>45929</v>
      </c>
      <c r="B1361" s="305">
        <v>24634.900390625</v>
      </c>
      <c r="C1361" s="305">
        <v>722.15002441406295</v>
      </c>
      <c r="D1361" s="19"/>
      <c r="E1361" s="19">
        <f t="shared" si="42"/>
        <v>-8.030448049409952E-4</v>
      </c>
      <c r="F1361" s="19">
        <f t="shared" si="43"/>
        <v>8.519009461749584E-3</v>
      </c>
      <c r="G1361" s="19"/>
      <c r="H1361" s="19"/>
    </row>
    <row r="1362" spans="1:8" ht="14.25" customHeight="1" x14ac:dyDescent="0.3">
      <c r="A1362" s="304">
        <v>45930</v>
      </c>
      <c r="B1362" s="305">
        <v>24611.099609375</v>
      </c>
      <c r="C1362" s="305">
        <v>713</v>
      </c>
      <c r="D1362" s="19"/>
      <c r="E1362" s="19">
        <f t="shared" si="42"/>
        <v>-9.6614075448251335E-4</v>
      </c>
      <c r="F1362" s="19">
        <f t="shared" si="43"/>
        <v>-1.2670531198122009E-2</v>
      </c>
      <c r="G1362" s="19"/>
      <c r="H1362" s="19"/>
    </row>
    <row r="1363" spans="1:8" ht="14.25" customHeight="1" x14ac:dyDescent="0.3">
      <c r="A1363" s="304">
        <v>45931</v>
      </c>
      <c r="B1363" s="305">
        <v>24836.30078125</v>
      </c>
      <c r="C1363" s="305">
        <v>722.29998779296898</v>
      </c>
      <c r="D1363" s="19"/>
      <c r="E1363" s="19">
        <f t="shared" si="42"/>
        <v>9.1503904924758045E-3</v>
      </c>
      <c r="F1363" s="19">
        <f t="shared" si="43"/>
        <v>1.3043461140208944E-2</v>
      </c>
      <c r="G1363" s="19"/>
      <c r="H1363" s="19"/>
    </row>
    <row r="1364" spans="1:8" ht="14.25" customHeight="1" x14ac:dyDescent="0.3">
      <c r="A1364" s="304">
        <v>45933</v>
      </c>
      <c r="B1364" s="305">
        <v>24894.25</v>
      </c>
      <c r="C1364" s="305">
        <v>729.20001220703102</v>
      </c>
      <c r="D1364" s="19"/>
      <c r="E1364" s="19">
        <f t="shared" si="42"/>
        <v>2.3332467769817144E-3</v>
      </c>
      <c r="F1364" s="19">
        <f t="shared" si="43"/>
        <v>9.5528513507877593E-3</v>
      </c>
      <c r="G1364" s="19"/>
      <c r="H1364" s="19"/>
    </row>
    <row r="1365" spans="1:8" ht="14.25" customHeight="1" x14ac:dyDescent="0.3">
      <c r="A1365" s="304">
        <v>45936</v>
      </c>
      <c r="B1365" s="305">
        <v>25077.650390625</v>
      </c>
      <c r="C1365" s="305">
        <v>735.25</v>
      </c>
      <c r="D1365" s="19"/>
      <c r="E1365" s="19">
        <f t="shared" si="42"/>
        <v>7.3671787912871446E-3</v>
      </c>
      <c r="F1365" s="19">
        <f t="shared" si="43"/>
        <v>8.2967466973262929E-3</v>
      </c>
      <c r="G1365" s="19"/>
      <c r="H1365" s="19"/>
    </row>
    <row r="1366" spans="1:8" ht="14.25" customHeight="1" x14ac:dyDescent="0.3">
      <c r="A1366" s="304">
        <v>45937</v>
      </c>
      <c r="B1366" s="305">
        <v>25108.30078125</v>
      </c>
      <c r="C1366" s="305">
        <v>737.15002441406295</v>
      </c>
      <c r="D1366" s="19"/>
      <c r="E1366" s="19">
        <f t="shared" si="42"/>
        <v>1.2222193924698109E-3</v>
      </c>
      <c r="F1366" s="19">
        <f t="shared" si="43"/>
        <v>2.5841882544208835E-3</v>
      </c>
      <c r="G1366" s="19"/>
      <c r="H1366" s="19"/>
    </row>
    <row r="1367" spans="1:8" ht="14.25" customHeight="1" x14ac:dyDescent="0.3">
      <c r="A1367" s="304">
        <v>45938</v>
      </c>
      <c r="B1367" s="305">
        <v>25046.150390625</v>
      </c>
      <c r="C1367" s="305">
        <v>724.90002441406295</v>
      </c>
      <c r="D1367" s="19"/>
      <c r="E1367" s="19">
        <f t="shared" si="42"/>
        <v>-2.4752925801897249E-3</v>
      </c>
      <c r="F1367" s="19">
        <f t="shared" si="43"/>
        <v>-1.6618055476206671E-2</v>
      </c>
      <c r="G1367" s="19"/>
      <c r="H1367" s="19"/>
    </row>
    <row r="1368" spans="1:8" ht="14.25" customHeight="1" x14ac:dyDescent="0.3">
      <c r="A1368" s="304">
        <v>45939</v>
      </c>
      <c r="B1368" s="305">
        <v>25181.80078125</v>
      </c>
      <c r="C1368" s="305">
        <v>729</v>
      </c>
      <c r="D1368" s="19"/>
      <c r="E1368" s="19">
        <f t="shared" si="42"/>
        <v>5.4160175719369296E-3</v>
      </c>
      <c r="F1368" s="19">
        <f t="shared" si="43"/>
        <v>5.6559186754767425E-3</v>
      </c>
      <c r="G1368" s="19"/>
      <c r="H1368" s="19"/>
    </row>
    <row r="1369" spans="1:8" ht="14.25" customHeight="1" x14ac:dyDescent="0.3">
      <c r="A1369" s="304">
        <v>45940</v>
      </c>
      <c r="B1369" s="305">
        <v>25285.349609375</v>
      </c>
      <c r="C1369" s="305">
        <v>740.20001220703102</v>
      </c>
      <c r="D1369" s="19"/>
      <c r="E1369" s="19">
        <f t="shared" si="42"/>
        <v>4.1120501676790702E-3</v>
      </c>
      <c r="F1369" s="19">
        <f t="shared" si="43"/>
        <v>1.5363528404706478E-2</v>
      </c>
      <c r="G1369" s="19"/>
      <c r="H1369" s="19"/>
    </row>
    <row r="1370" spans="1:8" ht="14.25" customHeight="1" x14ac:dyDescent="0.3">
      <c r="A1370" s="304">
        <v>45943</v>
      </c>
      <c r="B1370" s="305">
        <v>25227.349609375</v>
      </c>
      <c r="C1370" s="305">
        <v>741.20001220703102</v>
      </c>
      <c r="D1370" s="19"/>
      <c r="E1370" s="19">
        <f t="shared" si="42"/>
        <v>-2.2938183927065595E-3</v>
      </c>
      <c r="F1370" s="19">
        <f t="shared" si="43"/>
        <v>1.3509861976607263E-3</v>
      </c>
      <c r="G1370" s="19"/>
      <c r="H1370" s="19"/>
    </row>
    <row r="1371" spans="1:8" ht="14.25" customHeight="1" x14ac:dyDescent="0.3">
      <c r="A1371" s="304">
        <v>45944</v>
      </c>
      <c r="B1371" s="305">
        <v>25145.5</v>
      </c>
      <c r="C1371" s="305">
        <v>740.90002441406295</v>
      </c>
      <c r="D1371" s="19"/>
      <c r="E1371" s="19">
        <f t="shared" si="42"/>
        <v>-3.2444791324643557E-3</v>
      </c>
      <c r="F1371" s="19">
        <f t="shared" si="43"/>
        <v>-4.0473257963772897E-4</v>
      </c>
      <c r="G1371" s="19"/>
      <c r="H1371" s="19"/>
    </row>
    <row r="1372" spans="1:8" ht="14.25" customHeight="1" x14ac:dyDescent="0.3">
      <c r="A1372" s="304">
        <v>45945</v>
      </c>
      <c r="B1372" s="305">
        <v>25323.55078125</v>
      </c>
      <c r="C1372" s="305">
        <v>756.29998779296898</v>
      </c>
      <c r="D1372" s="19"/>
      <c r="E1372" s="19">
        <f t="shared" si="42"/>
        <v>7.0808208725219226E-3</v>
      </c>
      <c r="F1372" s="19">
        <f t="shared" si="43"/>
        <v>2.0785480998040194E-2</v>
      </c>
      <c r="G1372" s="19"/>
      <c r="H1372" s="19"/>
    </row>
    <row r="1373" spans="1:8" ht="14.25" customHeight="1" x14ac:dyDescent="0.3">
      <c r="A1373" s="304">
        <v>45946</v>
      </c>
      <c r="B1373" s="305">
        <v>25585.30078125</v>
      </c>
      <c r="C1373" s="305">
        <v>769.70001220703102</v>
      </c>
      <c r="D1373" s="19"/>
      <c r="E1373" s="19">
        <f t="shared" si="42"/>
        <v>1.0336228211479895E-2</v>
      </c>
      <c r="F1373" s="19">
        <f t="shared" si="43"/>
        <v>1.7717869404131465E-2</v>
      </c>
      <c r="G1373" s="19"/>
      <c r="H1373" s="19"/>
    </row>
    <row r="1374" spans="1:8" ht="14.25" customHeight="1" x14ac:dyDescent="0.3">
      <c r="A1374" s="304">
        <v>45947</v>
      </c>
      <c r="B1374" s="305">
        <v>25709.849609375</v>
      </c>
      <c r="C1374" s="305">
        <v>767.95001220703102</v>
      </c>
      <c r="D1374" s="19"/>
      <c r="E1374" s="19">
        <f t="shared" si="42"/>
        <v>4.8679837376105692E-3</v>
      </c>
      <c r="F1374" s="19">
        <f t="shared" si="43"/>
        <v>-2.2736130599531439E-3</v>
      </c>
      <c r="G1374" s="19"/>
      <c r="H1374" s="19"/>
    </row>
    <row r="1375" spans="1:8" ht="14.25" customHeight="1" x14ac:dyDescent="0.3">
      <c r="A1375" s="304">
        <v>45950</v>
      </c>
      <c r="B1375" s="305">
        <v>25843.150390625</v>
      </c>
      <c r="C1375" s="305">
        <v>773.95001220703102</v>
      </c>
      <c r="D1375" s="19"/>
      <c r="E1375" s="19">
        <f t="shared" si="42"/>
        <v>5.1848137299641134E-3</v>
      </c>
      <c r="F1375" s="19">
        <f t="shared" si="43"/>
        <v>7.813008535225421E-3</v>
      </c>
      <c r="G1375" s="19"/>
      <c r="H1375" s="19"/>
    </row>
    <row r="1376" spans="1:8" ht="14.25" customHeight="1" x14ac:dyDescent="0.3">
      <c r="A1376" s="304">
        <v>45951</v>
      </c>
      <c r="B1376" s="305">
        <v>25868.599609375</v>
      </c>
      <c r="C1376" s="305">
        <v>771.75</v>
      </c>
      <c r="D1376" s="19"/>
      <c r="E1376" s="19">
        <f t="shared" si="42"/>
        <v>9.8475682590277742E-4</v>
      </c>
      <c r="F1376" s="19">
        <f t="shared" si="43"/>
        <v>-2.8425766164889227E-3</v>
      </c>
      <c r="G1376" s="19"/>
      <c r="H1376" s="19"/>
    </row>
    <row r="1377" spans="1:8" ht="14.25" customHeight="1" x14ac:dyDescent="0.3">
      <c r="A1377" s="304">
        <v>45953</v>
      </c>
      <c r="B1377" s="305">
        <v>25891.400390625</v>
      </c>
      <c r="C1377" s="305">
        <v>774.29998779296898</v>
      </c>
      <c r="D1377" s="19"/>
      <c r="E1377" s="19">
        <f t="shared" si="42"/>
        <v>8.8140763683770514E-4</v>
      </c>
      <c r="F1377" s="19">
        <f t="shared" si="43"/>
        <v>3.3041629970443505E-3</v>
      </c>
      <c r="G1377" s="19"/>
      <c r="H1377" s="19"/>
    </row>
    <row r="1378" spans="1:8" ht="14.25" customHeight="1" x14ac:dyDescent="0.3">
      <c r="A1378" s="304">
        <v>45954</v>
      </c>
      <c r="B1378" s="305">
        <v>25795.150390625</v>
      </c>
      <c r="C1378" s="305">
        <v>772.45001220703102</v>
      </c>
      <c r="D1378" s="19"/>
      <c r="E1378" s="19">
        <f t="shared" si="42"/>
        <v>-3.7174505259611641E-3</v>
      </c>
      <c r="F1378" s="19">
        <f t="shared" si="43"/>
        <v>-2.3892233179688468E-3</v>
      </c>
      <c r="G1378" s="19"/>
      <c r="H1378" s="19"/>
    </row>
    <row r="1379" spans="1:8" ht="14.25" customHeight="1" x14ac:dyDescent="0.3">
      <c r="A1379" s="304">
        <v>45957</v>
      </c>
      <c r="B1379" s="305">
        <v>25966.05078125</v>
      </c>
      <c r="C1379" s="305">
        <v>779.5</v>
      </c>
      <c r="D1379" s="19"/>
      <c r="E1379" s="19">
        <f t="shared" si="42"/>
        <v>6.6252915000298701E-3</v>
      </c>
      <c r="F1379" s="19">
        <f t="shared" si="43"/>
        <v>9.1267883766690244E-3</v>
      </c>
      <c r="G1379" s="19"/>
      <c r="H1379" s="19"/>
    </row>
    <row r="1380" spans="1:8" ht="14.25" customHeight="1" x14ac:dyDescent="0.3">
      <c r="A1380" s="304">
        <v>45958</v>
      </c>
      <c r="B1380" s="305">
        <v>25936.19921875</v>
      </c>
      <c r="C1380" s="305">
        <v>774.04998779296898</v>
      </c>
      <c r="D1380" s="19"/>
      <c r="E1380" s="19">
        <f t="shared" si="42"/>
        <v>-1.1496381468049702E-3</v>
      </c>
      <c r="F1380" s="19">
        <f t="shared" si="43"/>
        <v>-6.99167698143813E-3</v>
      </c>
      <c r="G1380" s="19"/>
      <c r="H1380" s="19"/>
    </row>
    <row r="1381" spans="1:8" ht="14.25" customHeight="1" x14ac:dyDescent="0.3">
      <c r="A1381" s="304">
        <v>45959</v>
      </c>
      <c r="B1381" s="305">
        <v>26053.900390625</v>
      </c>
      <c r="C1381" s="305">
        <v>778.70001220703102</v>
      </c>
      <c r="D1381" s="19"/>
      <c r="E1381" s="19">
        <f t="shared" si="42"/>
        <v>4.5381040946782421E-3</v>
      </c>
      <c r="F1381" s="19">
        <f t="shared" si="43"/>
        <v>6.0073955008003469E-3</v>
      </c>
      <c r="G1381" s="19"/>
      <c r="H1381" s="19"/>
    </row>
    <row r="1382" spans="1:8" ht="14.25" customHeight="1" x14ac:dyDescent="0.3">
      <c r="A1382" s="304">
        <v>45960</v>
      </c>
      <c r="B1382" s="305">
        <v>25877.849609375</v>
      </c>
      <c r="C1382" s="305">
        <v>776.54998779296898</v>
      </c>
      <c r="D1382" s="19"/>
      <c r="E1382" s="19">
        <f t="shared" si="42"/>
        <v>-6.7571756478100502E-3</v>
      </c>
      <c r="F1382" s="19">
        <f t="shared" si="43"/>
        <v>-2.7610432520327527E-3</v>
      </c>
      <c r="G1382" s="19"/>
      <c r="H1382" s="19"/>
    </row>
    <row r="1383" spans="1:8" ht="14.25" customHeight="1" x14ac:dyDescent="0.3">
      <c r="A1383" s="304">
        <v>45961</v>
      </c>
      <c r="B1383" s="305">
        <v>25722.099609375</v>
      </c>
      <c r="C1383" s="305">
        <v>756.25</v>
      </c>
      <c r="D1383" s="19"/>
      <c r="E1383" s="19">
        <f t="shared" si="42"/>
        <v>-6.0186608373972101E-3</v>
      </c>
      <c r="F1383" s="19">
        <f t="shared" si="43"/>
        <v>-2.6141250546746552E-2</v>
      </c>
      <c r="G1383" s="19"/>
      <c r="H1383" s="19"/>
    </row>
    <row r="1384" spans="1:8" ht="14.25" customHeight="1" x14ac:dyDescent="0.3">
      <c r="A1384" s="304">
        <v>45964</v>
      </c>
      <c r="B1384" s="305">
        <v>25763.349609375</v>
      </c>
      <c r="C1384" s="305">
        <v>777.20001220703102</v>
      </c>
      <c r="D1384" s="19"/>
      <c r="E1384" s="19">
        <f t="shared" si="42"/>
        <v>1.6036793506920993E-3</v>
      </c>
      <c r="F1384" s="19">
        <f t="shared" si="43"/>
        <v>2.7702495480371601E-2</v>
      </c>
      <c r="G1384" s="19"/>
      <c r="H1384" s="19"/>
    </row>
    <row r="1385" spans="1:8" ht="14.25" customHeight="1" x14ac:dyDescent="0.3">
      <c r="A1385" s="304">
        <v>45965</v>
      </c>
      <c r="B1385" s="305">
        <v>25597.650390625</v>
      </c>
      <c r="C1385" s="305">
        <v>774.59997558593795</v>
      </c>
      <c r="D1385" s="19"/>
      <c r="E1385" s="19">
        <f t="shared" si="42"/>
        <v>-6.4315867797603409E-3</v>
      </c>
      <c r="F1385" s="19">
        <f t="shared" si="43"/>
        <v>-3.3453893209673142E-3</v>
      </c>
      <c r="G1385" s="19"/>
      <c r="H1385" s="19"/>
    </row>
    <row r="1386" spans="1:8" ht="14.25" customHeight="1" x14ac:dyDescent="0.3">
      <c r="A1386" s="304">
        <v>45967</v>
      </c>
      <c r="B1386" s="305">
        <v>25509.69921875</v>
      </c>
      <c r="C1386" s="305">
        <v>758.34997558593795</v>
      </c>
      <c r="D1386" s="19"/>
      <c r="E1386" s="19">
        <f t="shared" si="42"/>
        <v>-3.4359080045569977E-3</v>
      </c>
      <c r="F1386" s="19">
        <f t="shared" si="43"/>
        <v>-2.097857024551009E-2</v>
      </c>
      <c r="G1386" s="19"/>
      <c r="H1386" s="19"/>
    </row>
    <row r="1387" spans="1:8" ht="14.25" customHeight="1" x14ac:dyDescent="0.3">
      <c r="A1387" s="304">
        <v>45968</v>
      </c>
      <c r="B1387" s="305">
        <v>25492.30078125</v>
      </c>
      <c r="C1387" s="305">
        <v>759.45001220703102</v>
      </c>
      <c r="D1387" s="19"/>
      <c r="E1387" s="19">
        <f t="shared" si="42"/>
        <v>-6.8203224784445498E-4</v>
      </c>
      <c r="F1387" s="19">
        <f t="shared" si="43"/>
        <v>1.4505659082313892E-3</v>
      </c>
      <c r="G1387" s="19"/>
      <c r="H1387" s="19"/>
    </row>
    <row r="1388" spans="1:8" ht="14.25" customHeight="1" x14ac:dyDescent="0.3">
      <c r="A1388" s="304">
        <v>45971</v>
      </c>
      <c r="B1388" s="305">
        <v>25574.349609375</v>
      </c>
      <c r="C1388" s="305">
        <v>760</v>
      </c>
      <c r="D1388" s="19"/>
      <c r="E1388" s="19">
        <f t="shared" si="42"/>
        <v>3.2185728871263058E-3</v>
      </c>
      <c r="F1388" s="19">
        <f t="shared" si="43"/>
        <v>7.2419222348902548E-4</v>
      </c>
      <c r="G1388" s="19"/>
      <c r="H1388" s="19"/>
    </row>
    <row r="1389" spans="1:8" ht="14.25" customHeight="1" x14ac:dyDescent="0.3">
      <c r="A1389" s="304">
        <v>45972</v>
      </c>
      <c r="B1389" s="305">
        <v>25694.94921875</v>
      </c>
      <c r="C1389" s="305">
        <v>765.25</v>
      </c>
      <c r="D1389" s="19"/>
      <c r="E1389" s="19">
        <f t="shared" si="42"/>
        <v>4.7156471705849679E-3</v>
      </c>
      <c r="F1389" s="19">
        <f t="shared" si="43"/>
        <v>6.9078947368421051E-3</v>
      </c>
      <c r="G1389" s="19"/>
      <c r="H1389" s="19"/>
    </row>
    <row r="1390" spans="1:8" ht="14.25" customHeight="1" x14ac:dyDescent="0.3">
      <c r="A1390" s="304">
        <v>45973</v>
      </c>
      <c r="B1390" s="305">
        <v>25875.80078125</v>
      </c>
      <c r="C1390" s="305">
        <v>761.20001220703102</v>
      </c>
      <c r="D1390" s="19"/>
      <c r="E1390" s="19">
        <f t="shared" si="42"/>
        <v>7.0384090258497119E-3</v>
      </c>
      <c r="F1390" s="19">
        <f t="shared" si="43"/>
        <v>-5.29237215677096E-3</v>
      </c>
      <c r="G1390" s="19"/>
      <c r="H1390" s="19"/>
    </row>
    <row r="1391" spans="1:8" ht="14.25" customHeight="1" x14ac:dyDescent="0.3">
      <c r="A1391" s="304">
        <v>45974</v>
      </c>
      <c r="B1391" s="305">
        <v>25879.150390625</v>
      </c>
      <c r="C1391" s="305">
        <v>764.79998779296898</v>
      </c>
      <c r="D1391" s="19"/>
      <c r="E1391" s="19">
        <f t="shared" si="42"/>
        <v>1.2944949620369539E-4</v>
      </c>
      <c r="F1391" s="19">
        <f t="shared" si="43"/>
        <v>4.7293425226047348E-3</v>
      </c>
      <c r="G1391" s="19"/>
      <c r="H1391" s="19"/>
    </row>
    <row r="1392" spans="1:8" ht="14.25" customHeight="1" x14ac:dyDescent="0.3">
      <c r="A1392" s="304">
        <v>45975</v>
      </c>
      <c r="B1392" s="305">
        <v>25910.05078125</v>
      </c>
      <c r="C1392" s="305">
        <v>764.84997558593795</v>
      </c>
      <c r="D1392" s="19"/>
      <c r="E1392" s="19">
        <f t="shared" si="42"/>
        <v>1.1940264714483827E-3</v>
      </c>
      <c r="F1392" s="19">
        <f t="shared" si="43"/>
        <v>6.536060900475465E-5</v>
      </c>
      <c r="G1392" s="19"/>
      <c r="H1392" s="19"/>
    </row>
    <row r="1393" spans="1:8" ht="14.25" customHeight="1" x14ac:dyDescent="0.3">
      <c r="A1393" s="304">
        <v>45978</v>
      </c>
      <c r="B1393" s="305">
        <v>26013.44921875</v>
      </c>
      <c r="C1393" s="305">
        <v>768.5</v>
      </c>
      <c r="D1393" s="19"/>
      <c r="E1393" s="19">
        <f t="shared" si="42"/>
        <v>3.9906690408659891E-3</v>
      </c>
      <c r="F1393" s="19">
        <f t="shared" si="43"/>
        <v>4.7722096235484962E-3</v>
      </c>
      <c r="G1393" s="19"/>
      <c r="H1393" s="19"/>
    </row>
    <row r="1394" spans="1:8" ht="14.25" customHeight="1" x14ac:dyDescent="0.3">
      <c r="A1394" s="304">
        <v>45979</v>
      </c>
      <c r="B1394" s="305">
        <v>25910.05078125</v>
      </c>
      <c r="C1394" s="305">
        <v>750.34997558593795</v>
      </c>
      <c r="D1394" s="19"/>
      <c r="E1394" s="19">
        <f t="shared" si="42"/>
        <v>-3.974806902018682E-3</v>
      </c>
      <c r="F1394" s="19">
        <f t="shared" si="43"/>
        <v>-2.3617468333197195E-2</v>
      </c>
      <c r="G1394" s="19"/>
      <c r="H1394" s="19"/>
    </row>
    <row r="1395" spans="1:8" ht="14.25" customHeight="1" x14ac:dyDescent="0.3">
      <c r="A1395" s="304">
        <v>45980</v>
      </c>
      <c r="B1395" s="305">
        <v>26052.650390625</v>
      </c>
      <c r="C1395" s="305">
        <v>743.65002441406295</v>
      </c>
      <c r="D1395" s="19"/>
      <c r="E1395" s="19">
        <f t="shared" si="42"/>
        <v>5.503640675154263E-3</v>
      </c>
      <c r="F1395" s="19">
        <f t="shared" si="43"/>
        <v>-8.9291016057448398E-3</v>
      </c>
      <c r="G1395" s="19"/>
      <c r="H1395" s="19"/>
    </row>
    <row r="1396" spans="1:8" ht="14.25" customHeight="1" x14ac:dyDescent="0.3">
      <c r="A1396" s="304">
        <v>45981</v>
      </c>
      <c r="B1396" s="305">
        <v>26192.150390625</v>
      </c>
      <c r="C1396" s="305">
        <v>741.09997558593795</v>
      </c>
      <c r="D1396" s="19"/>
      <c r="E1396" s="19">
        <f t="shared" si="42"/>
        <v>5.3545415882216276E-3</v>
      </c>
      <c r="F1396" s="19">
        <f t="shared" si="43"/>
        <v>-3.4290980224659247E-3</v>
      </c>
      <c r="G1396" s="19"/>
      <c r="H1396" s="19"/>
    </row>
    <row r="1397" spans="1:8" ht="14.25" customHeight="1" x14ac:dyDescent="0.3">
      <c r="A1397" s="304">
        <v>45982</v>
      </c>
      <c r="B1397" s="305">
        <v>26068.150390625</v>
      </c>
      <c r="C1397" s="305">
        <v>725.34997558593795</v>
      </c>
      <c r="D1397" s="19"/>
      <c r="E1397" s="19">
        <f t="shared" si="42"/>
        <v>-4.7342428227803521E-3</v>
      </c>
      <c r="F1397" s="19">
        <f t="shared" si="43"/>
        <v>-2.1252193386658166E-2</v>
      </c>
      <c r="G1397" s="19"/>
      <c r="H1397" s="19"/>
    </row>
    <row r="1398" spans="1:8" ht="14.25" customHeight="1" x14ac:dyDescent="0.3">
      <c r="A1398" s="304">
        <v>45985</v>
      </c>
      <c r="B1398" s="305">
        <v>25959.5</v>
      </c>
      <c r="C1398" s="305">
        <v>717.70001220703102</v>
      </c>
      <c r="D1398" s="19"/>
      <c r="E1398" s="19">
        <f t="shared" si="42"/>
        <v>-4.167936312968119E-3</v>
      </c>
      <c r="F1398" s="19">
        <f t="shared" si="43"/>
        <v>-1.0546582527596129E-2</v>
      </c>
      <c r="G1398" s="19"/>
      <c r="H1398" s="19"/>
    </row>
    <row r="1399" spans="1:8" ht="14.25" customHeight="1" x14ac:dyDescent="0.3">
      <c r="A1399" s="304">
        <v>45986</v>
      </c>
      <c r="B1399" s="305">
        <v>25884.80078125</v>
      </c>
      <c r="C1399" s="305">
        <v>721.29998779296898</v>
      </c>
      <c r="D1399" s="19"/>
      <c r="E1399" s="19">
        <f t="shared" si="42"/>
        <v>-2.8775291800689534E-3</v>
      </c>
      <c r="F1399" s="19">
        <f t="shared" si="43"/>
        <v>5.0159893057093738E-3</v>
      </c>
      <c r="G1399" s="19"/>
      <c r="H1399" s="19"/>
    </row>
    <row r="1400" spans="1:8" ht="14.25" customHeight="1" x14ac:dyDescent="0.3">
      <c r="A1400" s="304">
        <v>45987</v>
      </c>
      <c r="B1400" s="305">
        <v>26205.30078125</v>
      </c>
      <c r="C1400" s="305">
        <v>730.75</v>
      </c>
      <c r="D1400" s="19"/>
      <c r="E1400" s="19">
        <f t="shared" si="42"/>
        <v>1.2381783530362669E-2</v>
      </c>
      <c r="F1400" s="19">
        <f t="shared" si="43"/>
        <v>1.3101361939497787E-2</v>
      </c>
      <c r="G1400" s="19"/>
      <c r="H1400" s="19"/>
    </row>
    <row r="1401" spans="1:8" ht="14.25" customHeight="1" x14ac:dyDescent="0.3">
      <c r="A1401" s="304">
        <v>45988</v>
      </c>
      <c r="B1401" s="305">
        <v>26215.55078125</v>
      </c>
      <c r="C1401" s="305">
        <v>725.40002441406295</v>
      </c>
      <c r="D1401" s="19"/>
      <c r="E1401" s="19">
        <f t="shared" si="42"/>
        <v>3.9114223818922608E-4</v>
      </c>
      <c r="F1401" s="19">
        <f t="shared" si="43"/>
        <v>-7.3212118863319126E-3</v>
      </c>
      <c r="G1401" s="19"/>
      <c r="H1401" s="19"/>
    </row>
    <row r="1402" spans="1:8" ht="14.25" customHeight="1" x14ac:dyDescent="0.3">
      <c r="A1402" s="304">
        <v>45989</v>
      </c>
      <c r="B1402" s="305">
        <v>26202.94921875</v>
      </c>
      <c r="C1402" s="305">
        <v>723.59997558593795</v>
      </c>
      <c r="D1402" s="19"/>
      <c r="E1402" s="19">
        <f t="shared" si="42"/>
        <v>-4.8069035837358583E-4</v>
      </c>
      <c r="F1402" s="19">
        <f t="shared" si="43"/>
        <v>-2.4814568066481354E-3</v>
      </c>
      <c r="G1402" s="19"/>
      <c r="H1402" s="19"/>
    </row>
    <row r="1403" spans="1:8" ht="14.25" customHeight="1" x14ac:dyDescent="0.3">
      <c r="A1403" s="304">
        <v>45992</v>
      </c>
      <c r="B1403" s="305">
        <v>26175.75</v>
      </c>
      <c r="C1403" s="305">
        <v>712.5</v>
      </c>
      <c r="D1403" s="19"/>
      <c r="E1403" s="19">
        <f t="shared" si="42"/>
        <v>-1.0380212747402153E-3</v>
      </c>
      <c r="F1403" s="19">
        <f t="shared" si="43"/>
        <v>-1.5339933610348322E-2</v>
      </c>
      <c r="G1403" s="19"/>
      <c r="H1403" s="19"/>
    </row>
    <row r="1404" spans="1:8" ht="14.25" customHeight="1" x14ac:dyDescent="0.3">
      <c r="A1404" s="304">
        <v>45993</v>
      </c>
      <c r="B1404" s="305">
        <v>26032.19921875</v>
      </c>
      <c r="C1404" s="305">
        <v>712.20001220703102</v>
      </c>
      <c r="D1404" s="19"/>
      <c r="E1404" s="19">
        <f t="shared" si="42"/>
        <v>-5.4841133969418263E-3</v>
      </c>
      <c r="F1404" s="19">
        <f t="shared" si="43"/>
        <v>-4.2103549890382791E-4</v>
      </c>
      <c r="G1404" s="19"/>
      <c r="H1404" s="19"/>
    </row>
    <row r="1405" spans="1:8" ht="14.25" customHeight="1" x14ac:dyDescent="0.3">
      <c r="A1405" s="304">
        <v>45994</v>
      </c>
      <c r="B1405" s="305">
        <v>25986</v>
      </c>
      <c r="C1405" s="305">
        <v>708</v>
      </c>
      <c r="D1405" s="19"/>
      <c r="E1405" s="19">
        <f t="shared" si="42"/>
        <v>-1.7746951904364832E-3</v>
      </c>
      <c r="F1405" s="19">
        <f t="shared" si="43"/>
        <v>-5.8972369208695153E-3</v>
      </c>
      <c r="G1405" s="19"/>
      <c r="H1405" s="19"/>
    </row>
    <row r="1406" spans="1:8" ht="14.25" customHeight="1" x14ac:dyDescent="0.3">
      <c r="A1406" s="304">
        <v>45995</v>
      </c>
      <c r="B1406" s="305">
        <v>26033.75</v>
      </c>
      <c r="C1406" s="305">
        <v>709.34997558593795</v>
      </c>
      <c r="D1406" s="19"/>
      <c r="E1406" s="19">
        <f t="shared" si="42"/>
        <v>1.8375278996382667E-3</v>
      </c>
      <c r="F1406" s="19">
        <f t="shared" si="43"/>
        <v>1.9067451778784672E-3</v>
      </c>
      <c r="G1406" s="19"/>
      <c r="H1406" s="19"/>
    </row>
    <row r="1407" spans="1:8" ht="14.25" customHeight="1" x14ac:dyDescent="0.3">
      <c r="A1407" s="304">
        <v>45996</v>
      </c>
      <c r="B1407" s="305">
        <v>26186.44921875</v>
      </c>
      <c r="C1407" s="305">
        <v>719.75</v>
      </c>
      <c r="D1407" s="19"/>
      <c r="E1407" s="19">
        <f t="shared" si="42"/>
        <v>5.8654330916598644E-3</v>
      </c>
      <c r="F1407" s="19">
        <f t="shared" si="43"/>
        <v>1.4661344571798155E-2</v>
      </c>
      <c r="G1407" s="19"/>
      <c r="H1407" s="19"/>
    </row>
    <row r="1408" spans="1:8" ht="14.25" customHeight="1" x14ac:dyDescent="0.3">
      <c r="A1408" s="304">
        <v>45999</v>
      </c>
      <c r="B1408" s="305">
        <v>25960.55078125</v>
      </c>
      <c r="C1408" s="305">
        <v>687.45001220703102</v>
      </c>
      <c r="D1408" s="19"/>
      <c r="E1408" s="19">
        <f t="shared" si="42"/>
        <v>-8.6265394598918129E-3</v>
      </c>
      <c r="F1408" s="19">
        <f t="shared" si="43"/>
        <v>-4.4876676336184758E-2</v>
      </c>
      <c r="G1408" s="19"/>
      <c r="H1408" s="19"/>
    </row>
    <row r="1409" spans="1:8" ht="14.25" customHeight="1" x14ac:dyDescent="0.3">
      <c r="A1409" s="304">
        <v>46000</v>
      </c>
      <c r="B1409" s="305">
        <v>25839.650390625</v>
      </c>
      <c r="C1409" s="305">
        <v>690.04998779296898</v>
      </c>
      <c r="D1409" s="19"/>
      <c r="E1409" s="19">
        <f t="shared" si="42"/>
        <v>-4.6570811090926572E-3</v>
      </c>
      <c r="F1409" s="19">
        <f t="shared" si="43"/>
        <v>3.7820576620412531E-3</v>
      </c>
      <c r="G1409" s="19"/>
      <c r="H1409" s="19"/>
    </row>
    <row r="1410" spans="1:8" ht="14.25" customHeight="1" x14ac:dyDescent="0.3">
      <c r="A1410" s="304">
        <v>46001</v>
      </c>
      <c r="B1410" s="305">
        <v>25758</v>
      </c>
      <c r="C1410" s="305">
        <v>684.79998779296898</v>
      </c>
      <c r="D1410" s="19"/>
      <c r="E1410" s="19">
        <f t="shared" si="42"/>
        <v>-3.159887590995579E-3</v>
      </c>
      <c r="F1410" s="19">
        <f t="shared" si="43"/>
        <v>-7.6081444719554459E-3</v>
      </c>
      <c r="G1410" s="19"/>
      <c r="H1410" s="19"/>
    </row>
    <row r="1411" spans="1:8" ht="14.25" customHeight="1" x14ac:dyDescent="0.3">
      <c r="A1411" s="304">
        <v>46002</v>
      </c>
      <c r="B1411" s="305">
        <v>25898.55078125</v>
      </c>
      <c r="C1411" s="305">
        <v>693.65002441406295</v>
      </c>
      <c r="D1411" s="19"/>
      <c r="E1411" s="19">
        <f t="shared" ref="E1411:E1474" si="44">(B1411-B1410)/B1410</f>
        <v>5.4565875164997281E-3</v>
      </c>
      <c r="F1411" s="19">
        <f t="shared" ref="F1411:F1474" si="45">(C1411-C1410)/C1410</f>
        <v>1.2923535015846919E-2</v>
      </c>
      <c r="G1411" s="19"/>
      <c r="H1411" s="19"/>
    </row>
    <row r="1412" spans="1:8" ht="14.25" customHeight="1" x14ac:dyDescent="0.3">
      <c r="A1412" s="304">
        <v>46003</v>
      </c>
      <c r="B1412" s="305">
        <v>26046.94921875</v>
      </c>
      <c r="C1412" s="305">
        <v>699.40002441406295</v>
      </c>
      <c r="D1412" s="19"/>
      <c r="E1412" s="19">
        <f t="shared" si="44"/>
        <v>5.7299900196514974E-3</v>
      </c>
      <c r="F1412" s="19">
        <f t="shared" si="45"/>
        <v>8.2894828769841319E-3</v>
      </c>
      <c r="G1412" s="19"/>
      <c r="H1412" s="19"/>
    </row>
    <row r="1413" spans="1:8" ht="14.25" customHeight="1" x14ac:dyDescent="0.3">
      <c r="A1413" s="304">
        <v>46006</v>
      </c>
      <c r="B1413" s="305">
        <v>26027.30078125</v>
      </c>
      <c r="C1413" s="305">
        <v>697.90002441406295</v>
      </c>
      <c r="D1413" s="19"/>
      <c r="E1413" s="19">
        <f t="shared" si="44"/>
        <v>-7.5434698071496196E-4</v>
      </c>
      <c r="F1413" s="19">
        <f t="shared" si="45"/>
        <v>-2.1446953783804288E-3</v>
      </c>
      <c r="G1413" s="19"/>
      <c r="H1413" s="19"/>
    </row>
    <row r="1414" spans="1:8" ht="14.25" customHeight="1" x14ac:dyDescent="0.3">
      <c r="A1414" s="304">
        <v>46007</v>
      </c>
      <c r="B1414" s="305">
        <v>25860.099609375</v>
      </c>
      <c r="C1414" s="305">
        <v>691.95001220703102</v>
      </c>
      <c r="D1414" s="19"/>
      <c r="E1414" s="19">
        <f t="shared" si="44"/>
        <v>-6.4240688375742476E-3</v>
      </c>
      <c r="F1414" s="19">
        <f t="shared" si="45"/>
        <v>-8.5255939230370337E-3</v>
      </c>
      <c r="G1414" s="19"/>
      <c r="H1414" s="19"/>
    </row>
    <row r="1415" spans="1:8" ht="14.25" customHeight="1" x14ac:dyDescent="0.3">
      <c r="A1415" s="304">
        <v>46008</v>
      </c>
      <c r="B1415" s="305">
        <v>25818.55078125</v>
      </c>
      <c r="C1415" s="305">
        <v>683.09997558593795</v>
      </c>
      <c r="D1415" s="19"/>
      <c r="E1415" s="19">
        <f t="shared" si="44"/>
        <v>-1.6066770334456639E-3</v>
      </c>
      <c r="F1415" s="19">
        <f t="shared" si="45"/>
        <v>-1.2789994168603529E-2</v>
      </c>
      <c r="G1415" s="19"/>
      <c r="H1415" s="19"/>
    </row>
    <row r="1416" spans="1:8" ht="14.25" customHeight="1" x14ac:dyDescent="0.3">
      <c r="A1416" s="304">
        <v>46009</v>
      </c>
      <c r="B1416" s="305">
        <v>25815.55078125</v>
      </c>
      <c r="C1416" s="305">
        <v>679.04998779296898</v>
      </c>
      <c r="D1416" s="19"/>
      <c r="E1416" s="19">
        <f t="shared" si="44"/>
        <v>-1.1619552256893776E-4</v>
      </c>
      <c r="F1416" s="19">
        <f t="shared" si="45"/>
        <v>-5.9288360967880982E-3</v>
      </c>
      <c r="G1416" s="19"/>
      <c r="H1416" s="19"/>
    </row>
    <row r="1417" spans="1:8" ht="14.25" customHeight="1" x14ac:dyDescent="0.3">
      <c r="A1417" s="304">
        <v>46010</v>
      </c>
      <c r="B1417" s="305">
        <v>25966.400390625</v>
      </c>
      <c r="C1417" s="305">
        <v>691.20001220703102</v>
      </c>
      <c r="D1417" s="19"/>
      <c r="E1417" s="19">
        <f t="shared" si="44"/>
        <v>5.8433620360547577E-3</v>
      </c>
      <c r="F1417" s="19">
        <f t="shared" si="45"/>
        <v>1.7892680410100215E-2</v>
      </c>
      <c r="G1417" s="19"/>
      <c r="H1417" s="19"/>
    </row>
    <row r="1418" spans="1:8" ht="14.25" customHeight="1" x14ac:dyDescent="0.3">
      <c r="A1418" s="304">
        <v>46013</v>
      </c>
      <c r="B1418" s="305">
        <v>26172.400390625</v>
      </c>
      <c r="C1418" s="305">
        <v>692.04998779296898</v>
      </c>
      <c r="D1418" s="19"/>
      <c r="E1418" s="19">
        <f t="shared" si="44"/>
        <v>7.9333291061157232E-3</v>
      </c>
      <c r="F1418" s="19">
        <f t="shared" si="45"/>
        <v>1.2297100273825901E-3</v>
      </c>
      <c r="G1418" s="19"/>
      <c r="H1418" s="19"/>
    </row>
    <row r="1419" spans="1:8" ht="14.25" customHeight="1" x14ac:dyDescent="0.3">
      <c r="A1419" s="304">
        <v>46014</v>
      </c>
      <c r="B1419" s="305">
        <v>26177.150390625</v>
      </c>
      <c r="C1419" s="305">
        <v>694.25</v>
      </c>
      <c r="D1419" s="19"/>
      <c r="E1419" s="19">
        <f t="shared" si="44"/>
        <v>1.814888939916057E-4</v>
      </c>
      <c r="F1419" s="19">
        <f t="shared" si="45"/>
        <v>3.1789787527446208E-3</v>
      </c>
      <c r="G1419" s="19"/>
      <c r="H1419" s="19"/>
    </row>
    <row r="1420" spans="1:8" ht="14.25" customHeight="1" x14ac:dyDescent="0.3">
      <c r="A1420" s="304">
        <v>46015</v>
      </c>
      <c r="B1420" s="305">
        <v>26142.099609375</v>
      </c>
      <c r="C1420" s="305">
        <v>694.90002441406295</v>
      </c>
      <c r="D1420" s="19"/>
      <c r="E1420" s="19">
        <f t="shared" si="44"/>
        <v>-1.3389838361685454E-3</v>
      </c>
      <c r="F1420" s="19">
        <f t="shared" si="45"/>
        <v>9.3629731950011484E-4</v>
      </c>
      <c r="G1420" s="19"/>
      <c r="H1420" s="19"/>
    </row>
    <row r="1421" spans="1:8" ht="14.25" customHeight="1" x14ac:dyDescent="0.3">
      <c r="A1421" s="304">
        <v>46017</v>
      </c>
      <c r="B1421" s="305">
        <v>26042.30078125</v>
      </c>
      <c r="C1421" s="305">
        <v>695</v>
      </c>
      <c r="D1421" s="19"/>
      <c r="E1421" s="19">
        <f t="shared" si="44"/>
        <v>-3.8175521330050493E-3</v>
      </c>
      <c r="F1421" s="19">
        <f t="shared" si="45"/>
        <v>1.438704596698558E-4</v>
      </c>
      <c r="G1421" s="19"/>
      <c r="H1421" s="19"/>
    </row>
    <row r="1422" spans="1:8" ht="14.25" customHeight="1" x14ac:dyDescent="0.3">
      <c r="A1422" s="304">
        <v>46020</v>
      </c>
      <c r="B1422" s="305">
        <v>25942.099609375</v>
      </c>
      <c r="C1422" s="305">
        <v>688.75</v>
      </c>
      <c r="D1422" s="19"/>
      <c r="E1422" s="19">
        <f t="shared" si="44"/>
        <v>-3.8476313101775974E-3</v>
      </c>
      <c r="F1422" s="19">
        <f t="shared" si="45"/>
        <v>-8.9928057553956831E-3</v>
      </c>
      <c r="G1422" s="19"/>
      <c r="H1422" s="19"/>
    </row>
    <row r="1423" spans="1:8" ht="14.25" customHeight="1" x14ac:dyDescent="0.3">
      <c r="A1423" s="304">
        <v>46021</v>
      </c>
      <c r="B1423" s="305">
        <v>25938.849609375</v>
      </c>
      <c r="C1423" s="305">
        <v>680.65002441406295</v>
      </c>
      <c r="D1423" s="19"/>
      <c r="E1423" s="19">
        <f t="shared" si="44"/>
        <v>-1.2527898855285829E-4</v>
      </c>
      <c r="F1423" s="19">
        <f t="shared" si="45"/>
        <v>-1.176040012477248E-2</v>
      </c>
      <c r="G1423" s="19"/>
      <c r="H1423" s="19"/>
    </row>
    <row r="1424" spans="1:8" ht="14.25" customHeight="1" x14ac:dyDescent="0.3">
      <c r="A1424" s="304">
        <v>46022</v>
      </c>
      <c r="B1424" s="305">
        <v>26129.599609375</v>
      </c>
      <c r="C1424" s="305">
        <v>687.40002441406295</v>
      </c>
      <c r="D1424" s="19"/>
      <c r="E1424" s="19">
        <f t="shared" si="44"/>
        <v>7.353834224439075E-3</v>
      </c>
      <c r="F1424" s="19">
        <f t="shared" si="45"/>
        <v>9.9169907557275592E-3</v>
      </c>
      <c r="G1424" s="19"/>
      <c r="H1424" s="19"/>
    </row>
    <row r="1425" spans="1:8" ht="14.25" customHeight="1" x14ac:dyDescent="0.3">
      <c r="A1425" s="304">
        <v>46023</v>
      </c>
      <c r="B1425" s="305">
        <v>26146.55078125</v>
      </c>
      <c r="C1425" s="305">
        <v>691.40002441406295</v>
      </c>
      <c r="D1425" s="19"/>
      <c r="E1425" s="19">
        <f t="shared" si="44"/>
        <v>6.4873446698043217E-4</v>
      </c>
      <c r="F1425" s="19">
        <f t="shared" si="45"/>
        <v>5.8190280156151927E-3</v>
      </c>
      <c r="G1425" s="19"/>
      <c r="H1425" s="19"/>
    </row>
    <row r="1426" spans="1:8" ht="14.25" customHeight="1" x14ac:dyDescent="0.3">
      <c r="A1426" s="304">
        <v>46024</v>
      </c>
      <c r="B1426" s="305">
        <v>26328.55078125</v>
      </c>
      <c r="C1426" s="305">
        <v>698.20001220703102</v>
      </c>
      <c r="D1426" s="19"/>
      <c r="E1426" s="19">
        <f t="shared" si="44"/>
        <v>6.9607651702386052E-3</v>
      </c>
      <c r="F1426" s="19">
        <f t="shared" si="45"/>
        <v>9.8350991507858525E-3</v>
      </c>
      <c r="G1426" s="19"/>
      <c r="H1426" s="19"/>
    </row>
    <row r="1427" spans="1:8" ht="14.25" customHeight="1" x14ac:dyDescent="0.3">
      <c r="A1427" s="304">
        <v>46027</v>
      </c>
      <c r="B1427" s="305">
        <v>26250.30078125</v>
      </c>
      <c r="C1427" s="305">
        <v>711.34997558593795</v>
      </c>
      <c r="D1427" s="19"/>
      <c r="E1427" s="19">
        <f t="shared" si="44"/>
        <v>-2.9720587604740519E-3</v>
      </c>
      <c r="F1427" s="19">
        <f t="shared" si="45"/>
        <v>1.8834092164134324E-2</v>
      </c>
      <c r="G1427" s="19"/>
      <c r="H1427" s="19"/>
    </row>
    <row r="1428" spans="1:8" ht="14.25" customHeight="1" x14ac:dyDescent="0.3">
      <c r="A1428" s="304">
        <v>46028</v>
      </c>
      <c r="B1428" s="305">
        <v>26178.69921875</v>
      </c>
      <c r="C1428" s="305">
        <v>706.29998779296898</v>
      </c>
      <c r="D1428" s="19"/>
      <c r="E1428" s="19">
        <f t="shared" si="44"/>
        <v>-2.7276473171363958E-3</v>
      </c>
      <c r="F1428" s="19">
        <f t="shared" si="45"/>
        <v>-7.0991607032941974E-3</v>
      </c>
      <c r="G1428" s="19"/>
      <c r="H1428" s="19"/>
    </row>
    <row r="1429" spans="1:8" ht="14.25" customHeight="1" x14ac:dyDescent="0.3">
      <c r="A1429" s="304">
        <v>46029</v>
      </c>
      <c r="B1429" s="305">
        <v>26140.75</v>
      </c>
      <c r="C1429" s="305">
        <v>703.25</v>
      </c>
      <c r="D1429" s="19"/>
      <c r="E1429" s="19">
        <f t="shared" si="44"/>
        <v>-1.4496220164682432E-3</v>
      </c>
      <c r="F1429" s="19">
        <f t="shared" si="45"/>
        <v>-4.3182611435397499E-3</v>
      </c>
      <c r="G1429" s="19"/>
      <c r="H1429" s="19"/>
    </row>
    <row r="1430" spans="1:8" ht="14.25" customHeight="1" x14ac:dyDescent="0.3">
      <c r="A1430" s="304">
        <v>46030</v>
      </c>
      <c r="B1430" s="305">
        <v>25876.849609375</v>
      </c>
      <c r="C1430" s="305">
        <v>692.40002441406295</v>
      </c>
      <c r="D1430" s="19"/>
      <c r="E1430" s="19">
        <f t="shared" si="44"/>
        <v>-1.0095364158449929E-2</v>
      </c>
      <c r="F1430" s="19">
        <f t="shared" si="45"/>
        <v>-1.5428333574030636E-2</v>
      </c>
      <c r="G1430" s="19"/>
      <c r="H1430" s="19"/>
    </row>
    <row r="1431" spans="1:8" ht="14.25" customHeight="1" x14ac:dyDescent="0.3">
      <c r="A1431" s="304">
        <v>46031</v>
      </c>
      <c r="B1431" s="305">
        <v>25683.30078125</v>
      </c>
      <c r="C1431" s="305">
        <v>670.90002441406295</v>
      </c>
      <c r="D1431" s="19"/>
      <c r="E1431" s="19">
        <f t="shared" si="44"/>
        <v>-7.4796132854935563E-3</v>
      </c>
      <c r="F1431" s="19">
        <f t="shared" si="45"/>
        <v>-3.1051414271965363E-2</v>
      </c>
      <c r="G1431" s="19"/>
      <c r="H1431" s="19"/>
    </row>
    <row r="1432" spans="1:8" ht="14.25" customHeight="1" x14ac:dyDescent="0.3">
      <c r="A1432" s="304">
        <v>46034</v>
      </c>
      <c r="B1432" s="305">
        <v>25790.25</v>
      </c>
      <c r="C1432" s="305">
        <v>659.65002441406295</v>
      </c>
      <c r="D1432" s="19"/>
      <c r="E1432" s="19">
        <f t="shared" si="44"/>
        <v>4.1641539637334267E-3</v>
      </c>
      <c r="F1432" s="19">
        <f t="shared" si="45"/>
        <v>-1.6768519288436898E-2</v>
      </c>
      <c r="G1432" s="19"/>
      <c r="H1432" s="19"/>
    </row>
    <row r="1433" spans="1:8" ht="14.25" customHeight="1" x14ac:dyDescent="0.3">
      <c r="A1433" s="304">
        <v>46035</v>
      </c>
      <c r="B1433" s="305">
        <v>25732.30078125</v>
      </c>
      <c r="C1433" s="305">
        <v>652.40002441406295</v>
      </c>
      <c r="D1433" s="19"/>
      <c r="E1433" s="19">
        <f t="shared" si="44"/>
        <v>-2.2469428853927357E-3</v>
      </c>
      <c r="F1433" s="19">
        <f t="shared" si="45"/>
        <v>-1.0990676467328027E-2</v>
      </c>
      <c r="G1433" s="19"/>
      <c r="H1433" s="19"/>
    </row>
    <row r="1434" spans="1:8" ht="14.25" customHeight="1" x14ac:dyDescent="0.3">
      <c r="A1434" s="304">
        <v>46036</v>
      </c>
      <c r="B1434" s="305">
        <v>25665.599609375</v>
      </c>
      <c r="C1434" s="305">
        <v>651.04998779296898</v>
      </c>
      <c r="D1434" s="19"/>
      <c r="E1434" s="19">
        <f t="shared" si="44"/>
        <v>-2.5921184600641006E-3</v>
      </c>
      <c r="F1434" s="19">
        <f t="shared" si="45"/>
        <v>-2.0693387041278541E-3</v>
      </c>
      <c r="G1434" s="19"/>
      <c r="H1434" s="19"/>
    </row>
    <row r="1435" spans="1:8" ht="14.25" customHeight="1" x14ac:dyDescent="0.3">
      <c r="A1435" s="304">
        <v>46038</v>
      </c>
      <c r="B1435" s="305">
        <v>25694.349609375</v>
      </c>
      <c r="C1435" s="305">
        <v>649.84997558593795</v>
      </c>
      <c r="D1435" s="19"/>
      <c r="E1435" s="19">
        <f t="shared" si="44"/>
        <v>1.1201764399651254E-3</v>
      </c>
      <c r="F1435" s="19">
        <f t="shared" si="45"/>
        <v>-1.8431951916611066E-3</v>
      </c>
      <c r="G1435" s="19"/>
      <c r="H1435" s="19"/>
    </row>
    <row r="1436" spans="1:8" ht="14.25" customHeight="1" x14ac:dyDescent="0.3">
      <c r="A1436" s="304">
        <v>46041</v>
      </c>
      <c r="B1436" s="305">
        <v>25585.5</v>
      </c>
      <c r="C1436" s="305">
        <v>641.84997558593795</v>
      </c>
      <c r="D1436" s="19"/>
      <c r="E1436" s="19">
        <f t="shared" si="44"/>
        <v>-4.2363247573810724E-3</v>
      </c>
      <c r="F1436" s="19">
        <f t="shared" si="45"/>
        <v>-1.2310533662460772E-2</v>
      </c>
      <c r="G1436" s="19"/>
      <c r="H1436" s="19"/>
    </row>
    <row r="1437" spans="1:8" ht="14.25" customHeight="1" x14ac:dyDescent="0.3">
      <c r="A1437" s="304">
        <v>46042</v>
      </c>
      <c r="B1437" s="305">
        <v>25232.5</v>
      </c>
      <c r="C1437" s="305">
        <v>612.90002441406295</v>
      </c>
      <c r="D1437" s="19"/>
      <c r="E1437" s="19">
        <f t="shared" si="44"/>
        <v>-1.3796877137441129E-2</v>
      </c>
      <c r="F1437" s="19">
        <f t="shared" si="45"/>
        <v>-4.5103921902383652E-2</v>
      </c>
      <c r="G1437" s="19"/>
      <c r="H1437" s="19"/>
    </row>
    <row r="1438" spans="1:8" ht="14.25" customHeight="1" x14ac:dyDescent="0.3">
      <c r="A1438" s="304">
        <v>46043</v>
      </c>
      <c r="B1438" s="305">
        <v>25157.5</v>
      </c>
      <c r="C1438" s="305">
        <v>617.65002441406295</v>
      </c>
      <c r="D1438" s="19"/>
      <c r="E1438" s="19">
        <f t="shared" si="44"/>
        <v>-2.9723570791637768E-3</v>
      </c>
      <c r="F1438" s="19">
        <f t="shared" si="45"/>
        <v>7.7500404809757286E-3</v>
      </c>
      <c r="G1438" s="19"/>
      <c r="H1438" s="19"/>
    </row>
    <row r="1439" spans="1:8" ht="14.25" customHeight="1" x14ac:dyDescent="0.3">
      <c r="A1439" s="304">
        <v>46044</v>
      </c>
      <c r="B1439" s="305">
        <v>25289.900390625</v>
      </c>
      <c r="C1439" s="305">
        <v>613.29998779296898</v>
      </c>
      <c r="D1439" s="19"/>
      <c r="E1439" s="19">
        <f t="shared" si="44"/>
        <v>5.2628596094603996E-3</v>
      </c>
      <c r="F1439" s="19">
        <f t="shared" si="45"/>
        <v>-7.0428826182281192E-3</v>
      </c>
      <c r="G1439" s="19"/>
      <c r="H1439" s="19"/>
    </row>
    <row r="1440" spans="1:8" ht="14.25" customHeight="1" x14ac:dyDescent="0.3">
      <c r="A1440" s="304">
        <v>46045</v>
      </c>
      <c r="B1440" s="305">
        <v>25048.650390625</v>
      </c>
      <c r="C1440" s="305">
        <v>588.45001220703102</v>
      </c>
      <c r="D1440" s="19"/>
      <c r="E1440" s="19">
        <f t="shared" si="44"/>
        <v>-9.5393811867061241E-3</v>
      </c>
      <c r="F1440" s="19">
        <f t="shared" si="45"/>
        <v>-4.0518467439341503E-2</v>
      </c>
      <c r="G1440" s="19"/>
      <c r="H1440" s="19"/>
    </row>
    <row r="1441" spans="1:8" ht="14.25" customHeight="1" x14ac:dyDescent="0.3">
      <c r="A1441" s="304">
        <v>46049</v>
      </c>
      <c r="B1441" s="305">
        <v>25175.400390625</v>
      </c>
      <c r="C1441" s="305">
        <v>609.54998779296898</v>
      </c>
      <c r="D1441" s="19"/>
      <c r="E1441" s="19">
        <f t="shared" si="44"/>
        <v>5.0601528634628126E-3</v>
      </c>
      <c r="F1441" s="19">
        <f t="shared" si="45"/>
        <v>3.5856869994446476E-2</v>
      </c>
      <c r="G1441" s="19"/>
      <c r="H1441" s="19"/>
    </row>
    <row r="1442" spans="1:8" ht="14.25" customHeight="1" x14ac:dyDescent="0.3">
      <c r="A1442" s="304">
        <v>46050</v>
      </c>
      <c r="B1442" s="305">
        <v>25342.75</v>
      </c>
      <c r="C1442" s="305">
        <v>625.54998779296898</v>
      </c>
      <c r="D1442" s="19"/>
      <c r="E1442" s="19">
        <f t="shared" si="44"/>
        <v>6.6473464881741809E-3</v>
      </c>
      <c r="F1442" s="19">
        <f t="shared" si="45"/>
        <v>2.6248872644443939E-2</v>
      </c>
      <c r="G1442" s="19"/>
      <c r="H1442" s="19"/>
    </row>
    <row r="1443" spans="1:8" ht="14.25" customHeight="1" x14ac:dyDescent="0.3">
      <c r="A1443" s="304">
        <v>46051</v>
      </c>
      <c r="B1443" s="305">
        <v>25418.900390625</v>
      </c>
      <c r="C1443" s="305">
        <v>638.54998779296898</v>
      </c>
      <c r="D1443" s="19"/>
      <c r="E1443" s="19">
        <f t="shared" si="44"/>
        <v>3.004819548983437E-3</v>
      </c>
      <c r="F1443" s="19">
        <f t="shared" si="45"/>
        <v>2.0781712498893788E-2</v>
      </c>
      <c r="G1443" s="19"/>
      <c r="H1443" s="19"/>
    </row>
    <row r="1444" spans="1:8" ht="14.25" customHeight="1" x14ac:dyDescent="0.3">
      <c r="A1444" s="304">
        <v>46052</v>
      </c>
      <c r="B1444" s="305">
        <v>25320.650390625</v>
      </c>
      <c r="C1444" s="305">
        <v>635.75</v>
      </c>
      <c r="D1444" s="19"/>
      <c r="E1444" s="19">
        <f t="shared" si="44"/>
        <v>-3.8652340774047241E-3</v>
      </c>
      <c r="F1444" s="19">
        <f t="shared" si="45"/>
        <v>-4.3849155845208333E-3</v>
      </c>
      <c r="G1444" s="19"/>
      <c r="H1444" s="19"/>
    </row>
    <row r="1445" spans="1:8" ht="14.25" customHeight="1" x14ac:dyDescent="0.3">
      <c r="A1445" s="304">
        <v>46055</v>
      </c>
      <c r="B1445" s="305">
        <v>25088.400390625</v>
      </c>
      <c r="C1445" s="305">
        <v>626.29998779296898</v>
      </c>
      <c r="D1445" s="19"/>
      <c r="E1445" s="19">
        <f t="shared" si="44"/>
        <v>-9.1723552285209401E-3</v>
      </c>
      <c r="F1445" s="19">
        <f t="shared" si="45"/>
        <v>-1.4864352665404677E-2</v>
      </c>
      <c r="G1445" s="19"/>
      <c r="H1445" s="19"/>
    </row>
    <row r="1446" spans="1:8" ht="14.25" customHeight="1" x14ac:dyDescent="0.3">
      <c r="A1446" s="304">
        <v>46056</v>
      </c>
      <c r="B1446" s="305">
        <v>25727.55078125</v>
      </c>
      <c r="C1446" s="305">
        <v>650.40002441406295</v>
      </c>
      <c r="D1446" s="19"/>
      <c r="E1446" s="19">
        <f t="shared" si="44"/>
        <v>2.5475932330218904E-2</v>
      </c>
      <c r="F1446" s="19">
        <f t="shared" si="45"/>
        <v>3.8480020901837435E-2</v>
      </c>
      <c r="G1446" s="19"/>
      <c r="H1446" s="19"/>
    </row>
    <row r="1447" spans="1:8" ht="14.25" customHeight="1" x14ac:dyDescent="0.3">
      <c r="A1447" s="304">
        <v>46057</v>
      </c>
      <c r="B1447" s="305">
        <v>25776</v>
      </c>
      <c r="C1447" s="305">
        <v>659.84997558593795</v>
      </c>
      <c r="D1447" s="19"/>
      <c r="E1447" s="19">
        <f t="shared" si="44"/>
        <v>1.8831648283174059E-3</v>
      </c>
      <c r="F1447" s="19">
        <f t="shared" si="45"/>
        <v>1.4529444675818301E-2</v>
      </c>
      <c r="G1447" s="19"/>
      <c r="H1447" s="19"/>
    </row>
    <row r="1448" spans="1:8" ht="14.25" customHeight="1" x14ac:dyDescent="0.3">
      <c r="A1448" s="304">
        <v>46058</v>
      </c>
      <c r="B1448" s="305">
        <v>25642.80078125</v>
      </c>
      <c r="C1448" s="305">
        <v>661.29998779296898</v>
      </c>
      <c r="D1448" s="19"/>
      <c r="E1448" s="19">
        <f t="shared" si="44"/>
        <v>-5.1675674561607694E-3</v>
      </c>
      <c r="F1448" s="19">
        <f t="shared" si="45"/>
        <v>2.1974877027818801E-3</v>
      </c>
      <c r="G1448" s="19"/>
      <c r="H1448" s="19"/>
    </row>
    <row r="1449" spans="1:8" ht="14.25" customHeight="1" x14ac:dyDescent="0.3">
      <c r="A1449" s="304">
        <v>46059</v>
      </c>
      <c r="B1449" s="305">
        <v>25693.69921875</v>
      </c>
      <c r="C1449" s="305">
        <v>663.75</v>
      </c>
      <c r="D1449" s="19"/>
      <c r="E1449" s="19">
        <f t="shared" si="44"/>
        <v>1.9849016468285676E-3</v>
      </c>
      <c r="F1449" s="19">
        <f t="shared" si="45"/>
        <v>3.7048423593772088E-3</v>
      </c>
      <c r="G1449" s="19"/>
      <c r="H1449" s="19"/>
    </row>
    <row r="1450" spans="1:8" ht="14.25" customHeight="1" x14ac:dyDescent="0.3">
      <c r="A1450" s="304">
        <v>46062</v>
      </c>
      <c r="B1450" s="305">
        <v>25867.30078125</v>
      </c>
      <c r="C1450" s="305">
        <v>671.15002441406295</v>
      </c>
      <c r="D1450" s="19"/>
      <c r="E1450" s="19">
        <f t="shared" si="44"/>
        <v>6.7565810988132885E-3</v>
      </c>
      <c r="F1450" s="19">
        <f t="shared" si="45"/>
        <v>1.1148812676554357E-2</v>
      </c>
      <c r="G1450" s="19"/>
      <c r="H1450" s="19"/>
    </row>
    <row r="1451" spans="1:8" ht="14.25" customHeight="1" x14ac:dyDescent="0.3">
      <c r="A1451" s="304">
        <v>46063</v>
      </c>
      <c r="B1451" s="305">
        <v>25935.150390625</v>
      </c>
      <c r="C1451" s="305">
        <v>671.79998779296898</v>
      </c>
      <c r="D1451" s="19"/>
      <c r="E1451" s="19">
        <f t="shared" si="44"/>
        <v>2.6229876069706129E-3</v>
      </c>
      <c r="F1451" s="19">
        <f t="shared" si="45"/>
        <v>9.6843232550496139E-4</v>
      </c>
      <c r="G1451" s="19"/>
      <c r="H1451" s="19"/>
    </row>
    <row r="1452" spans="1:8" ht="14.25" customHeight="1" x14ac:dyDescent="0.3">
      <c r="A1452" s="304">
        <v>46064</v>
      </c>
      <c r="B1452" s="305">
        <v>25953.849609375</v>
      </c>
      <c r="C1452" s="305">
        <v>672.04998779296898</v>
      </c>
      <c r="D1452" s="19"/>
      <c r="E1452" s="19">
        <f t="shared" si="44"/>
        <v>7.2099904833246569E-4</v>
      </c>
      <c r="F1452" s="19">
        <f t="shared" si="45"/>
        <v>3.7213457062021177E-4</v>
      </c>
      <c r="G1452" s="19"/>
      <c r="H1452" s="19"/>
    </row>
    <row r="1453" spans="1:8" ht="14.25" customHeight="1" x14ac:dyDescent="0.3">
      <c r="A1453" s="304">
        <v>46065</v>
      </c>
      <c r="B1453" s="305">
        <v>25807.19921875</v>
      </c>
      <c r="C1453" s="305">
        <v>651.79998779296898</v>
      </c>
      <c r="D1453" s="19"/>
      <c r="E1453" s="19">
        <f t="shared" si="44"/>
        <v>-5.6504292362096155E-3</v>
      </c>
      <c r="F1453" s="19">
        <f t="shared" si="45"/>
        <v>-3.0131687177767191E-2</v>
      </c>
      <c r="G1453" s="19"/>
      <c r="H1453" s="19"/>
    </row>
    <row r="1454" spans="1:8" ht="14.25" customHeight="1" x14ac:dyDescent="0.3">
      <c r="A1454" s="304">
        <v>46066</v>
      </c>
      <c r="B1454" s="305">
        <v>25471.099609375</v>
      </c>
      <c r="C1454" s="305">
        <v>626.40002441406295</v>
      </c>
      <c r="D1454" s="19"/>
      <c r="E1454" s="19">
        <f t="shared" si="44"/>
        <v>-1.3023482576552116E-2</v>
      </c>
      <c r="F1454" s="19">
        <f t="shared" si="45"/>
        <v>-3.8968953443696296E-2</v>
      </c>
      <c r="G1454" s="19"/>
      <c r="H1454" s="19"/>
    </row>
    <row r="1455" spans="1:8" ht="14.25" customHeight="1" x14ac:dyDescent="0.3">
      <c r="A1455" s="304">
        <v>46069</v>
      </c>
      <c r="B1455" s="305">
        <v>25682.75</v>
      </c>
      <c r="C1455" s="305">
        <v>643.79998779296898</v>
      </c>
      <c r="D1455" s="19"/>
      <c r="E1455" s="19">
        <f t="shared" si="44"/>
        <v>8.3094328030933959E-3</v>
      </c>
      <c r="F1455" s="19">
        <f t="shared" si="45"/>
        <v>2.7777718232342052E-2</v>
      </c>
      <c r="G1455" s="19"/>
      <c r="H1455" s="19"/>
    </row>
    <row r="1456" spans="1:8" ht="14.25" customHeight="1" x14ac:dyDescent="0.3">
      <c r="A1456" s="304">
        <v>46070</v>
      </c>
      <c r="B1456" s="305">
        <v>25725.400390625</v>
      </c>
      <c r="C1456" s="305">
        <v>639.04998779296898</v>
      </c>
      <c r="D1456" s="19"/>
      <c r="E1456" s="19">
        <f t="shared" si="44"/>
        <v>1.6606629206373927E-3</v>
      </c>
      <c r="F1456" s="19">
        <f t="shared" si="45"/>
        <v>-7.3780678627901573E-3</v>
      </c>
      <c r="G1456" s="19"/>
      <c r="H1456" s="19"/>
    </row>
    <row r="1457" spans="1:8" ht="14.25" customHeight="1" x14ac:dyDescent="0.3">
      <c r="A1457" s="304">
        <v>46071</v>
      </c>
      <c r="B1457" s="305">
        <v>25819.349609375</v>
      </c>
      <c r="C1457" s="305">
        <v>642.45001220703102</v>
      </c>
      <c r="D1457" s="19"/>
      <c r="E1457" s="19">
        <f t="shared" si="44"/>
        <v>3.6520021971839754E-3</v>
      </c>
      <c r="F1457" s="19">
        <f t="shared" si="45"/>
        <v>5.320435770297738E-3</v>
      </c>
      <c r="G1457" s="19"/>
      <c r="H1457" s="19"/>
    </row>
    <row r="1458" spans="1:8" ht="14.25" customHeight="1" x14ac:dyDescent="0.3">
      <c r="A1458" s="304">
        <v>46072</v>
      </c>
      <c r="B1458" s="305">
        <v>25454.349609375</v>
      </c>
      <c r="C1458" s="305">
        <v>620.5</v>
      </c>
      <c r="D1458" s="19"/>
      <c r="E1458" s="19">
        <f t="shared" si="44"/>
        <v>-1.4136684522350191E-2</v>
      </c>
      <c r="F1458" s="19">
        <f t="shared" si="45"/>
        <v>-3.4166101315221985E-2</v>
      </c>
      <c r="G1458" s="19"/>
      <c r="H1458" s="19"/>
    </row>
    <row r="1459" spans="1:8" ht="14.25" customHeight="1" x14ac:dyDescent="0.3">
      <c r="A1459" s="304">
        <v>46073</v>
      </c>
      <c r="B1459" s="305">
        <v>25571.25</v>
      </c>
      <c r="C1459" s="305">
        <v>629.29998779296898</v>
      </c>
      <c r="D1459" s="19"/>
      <c r="E1459" s="19">
        <f t="shared" si="44"/>
        <v>4.5925506806877847E-3</v>
      </c>
      <c r="F1459" s="19">
        <f t="shared" si="45"/>
        <v>1.4182091527750166E-2</v>
      </c>
      <c r="G1459" s="19"/>
      <c r="H1459" s="19"/>
    </row>
    <row r="1460" spans="1:8" ht="14.25" customHeight="1" x14ac:dyDescent="0.3">
      <c r="A1460" s="304">
        <v>46076</v>
      </c>
      <c r="B1460" s="305">
        <v>25713</v>
      </c>
      <c r="C1460" s="305">
        <v>626.29998779296898</v>
      </c>
      <c r="D1460" s="19"/>
      <c r="E1460" s="19">
        <f t="shared" si="44"/>
        <v>5.5433347998240208E-3</v>
      </c>
      <c r="F1460" s="19">
        <f t="shared" si="45"/>
        <v>-4.7672017451030977E-3</v>
      </c>
      <c r="G1460" s="19"/>
      <c r="H1460" s="19"/>
    </row>
    <row r="1461" spans="1:8" ht="14.25" customHeight="1" x14ac:dyDescent="0.3">
      <c r="A1461" s="304">
        <v>46077</v>
      </c>
      <c r="B1461" s="305">
        <v>25424.650390625</v>
      </c>
      <c r="C1461" s="305">
        <v>611.65002441406295</v>
      </c>
      <c r="D1461" s="19"/>
      <c r="E1461" s="19">
        <f t="shared" si="44"/>
        <v>-1.1214156627970288E-2</v>
      </c>
      <c r="F1461" s="19">
        <f t="shared" si="45"/>
        <v>-2.3391287984103785E-2</v>
      </c>
      <c r="G1461" s="19"/>
      <c r="H1461" s="19"/>
    </row>
    <row r="1462" spans="1:8" ht="14.25" customHeight="1" x14ac:dyDescent="0.3">
      <c r="A1462" s="304">
        <v>46078</v>
      </c>
      <c r="B1462" s="305">
        <v>25482.5</v>
      </c>
      <c r="C1462" s="305">
        <v>611.20001220703102</v>
      </c>
      <c r="D1462" s="19"/>
      <c r="E1462" s="19">
        <f t="shared" si="44"/>
        <v>2.2753354908011348E-3</v>
      </c>
      <c r="F1462" s="19">
        <f t="shared" si="45"/>
        <v>-7.3573479779229375E-4</v>
      </c>
      <c r="G1462" s="19"/>
      <c r="H1462" s="19"/>
    </row>
    <row r="1463" spans="1:8" ht="14.25" customHeight="1" x14ac:dyDescent="0.3">
      <c r="A1463" s="304">
        <v>46079</v>
      </c>
      <c r="B1463" s="305">
        <v>25496.55078125</v>
      </c>
      <c r="C1463" s="305">
        <v>610.79998779296898</v>
      </c>
      <c r="D1463" s="19"/>
      <c r="E1463" s="19">
        <f t="shared" si="44"/>
        <v>5.5138943392524285E-4</v>
      </c>
      <c r="F1463" s="19">
        <f t="shared" si="45"/>
        <v>-6.5449019318171333E-4</v>
      </c>
      <c r="G1463" s="19"/>
      <c r="H1463" s="19"/>
    </row>
    <row r="1464" spans="1:8" ht="14.25" customHeight="1" x14ac:dyDescent="0.3">
      <c r="A1464" s="304">
        <v>46080</v>
      </c>
      <c r="B1464" s="305">
        <v>25178.650390625</v>
      </c>
      <c r="C1464" s="305">
        <v>603.84997558593795</v>
      </c>
      <c r="D1464" s="19"/>
      <c r="E1464" s="19">
        <f t="shared" si="44"/>
        <v>-1.2468368500212268E-2</v>
      </c>
      <c r="F1464" s="19">
        <f t="shared" si="45"/>
        <v>-1.1378540186524583E-2</v>
      </c>
      <c r="G1464" s="19"/>
      <c r="H1464" s="19"/>
    </row>
    <row r="1465" spans="1:8" ht="14.25" customHeight="1" x14ac:dyDescent="0.3">
      <c r="A1465" s="304">
        <v>46083</v>
      </c>
      <c r="B1465" s="305">
        <v>24865.69921875</v>
      </c>
      <c r="C1465" s="305">
        <v>590.20001220703102</v>
      </c>
      <c r="D1465" s="19"/>
      <c r="E1465" s="19">
        <f t="shared" si="44"/>
        <v>-1.2429227421638295E-2</v>
      </c>
      <c r="F1465" s="19">
        <f t="shared" si="45"/>
        <v>-2.2604891828739197E-2</v>
      </c>
      <c r="G1465" s="19"/>
      <c r="H1465" s="19"/>
    </row>
    <row r="1466" spans="1:8" ht="14.25" customHeight="1" x14ac:dyDescent="0.3">
      <c r="A1466" s="304">
        <v>46085</v>
      </c>
      <c r="B1466" s="305">
        <v>24480.5</v>
      </c>
      <c r="C1466" s="305">
        <v>569.04998779296898</v>
      </c>
      <c r="D1466" s="19"/>
      <c r="E1466" s="19">
        <f t="shared" si="44"/>
        <v>-1.5491187895474108E-2</v>
      </c>
      <c r="F1466" s="19">
        <f t="shared" si="45"/>
        <v>-3.5835350688950877E-2</v>
      </c>
      <c r="G1466" s="19"/>
      <c r="H1466" s="19"/>
    </row>
    <row r="1467" spans="1:8" ht="14.25" customHeight="1" x14ac:dyDescent="0.3">
      <c r="A1467" s="304">
        <v>46086</v>
      </c>
      <c r="B1467" s="305">
        <v>24765.900390625</v>
      </c>
      <c r="C1467" s="305">
        <v>585.15002441406295</v>
      </c>
      <c r="D1467" s="19"/>
      <c r="E1467" s="19">
        <f t="shared" si="44"/>
        <v>1.165827457057658E-2</v>
      </c>
      <c r="F1467" s="19">
        <f t="shared" si="45"/>
        <v>2.8292833611221289E-2</v>
      </c>
      <c r="G1467" s="19"/>
      <c r="H1467" s="19"/>
    </row>
    <row r="1468" spans="1:8" ht="14.25" customHeight="1" x14ac:dyDescent="0.3">
      <c r="A1468" s="304">
        <v>46087</v>
      </c>
      <c r="B1468" s="305">
        <v>24450.44921875</v>
      </c>
      <c r="C1468" s="305">
        <v>577.54998779296898</v>
      </c>
      <c r="D1468" s="19"/>
      <c r="E1468" s="19">
        <f t="shared" si="44"/>
        <v>-1.273731893044407E-2</v>
      </c>
      <c r="F1468" s="19">
        <f t="shared" si="45"/>
        <v>-1.2988184745791023E-2</v>
      </c>
      <c r="G1468" s="19"/>
      <c r="H1468" s="19"/>
    </row>
    <row r="1469" spans="1:8" ht="14.25" customHeight="1" x14ac:dyDescent="0.3">
      <c r="A1469" s="304">
        <v>46090</v>
      </c>
      <c r="B1469" s="305">
        <v>24028.05078125</v>
      </c>
      <c r="C1469" s="305">
        <v>574.95001220703102</v>
      </c>
      <c r="D1469" s="19"/>
      <c r="E1469" s="19">
        <f t="shared" si="44"/>
        <v>-1.7275692308183883E-2</v>
      </c>
      <c r="F1469" s="19">
        <f t="shared" si="45"/>
        <v>-4.501732561493799E-3</v>
      </c>
      <c r="G1469" s="19"/>
      <c r="H1469" s="19"/>
    </row>
    <row r="1470" spans="1:8" ht="14.25" customHeight="1" x14ac:dyDescent="0.3">
      <c r="A1470" s="304">
        <v>46091</v>
      </c>
      <c r="B1470" s="305">
        <v>24261.599609375</v>
      </c>
      <c r="C1470" s="305">
        <v>584.54998779296898</v>
      </c>
      <c r="D1470" s="19"/>
      <c r="E1470" s="19">
        <f t="shared" si="44"/>
        <v>9.7198407915488096E-3</v>
      </c>
      <c r="F1470" s="19">
        <f t="shared" si="45"/>
        <v>1.6697061278574503E-2</v>
      </c>
      <c r="G1470" s="19"/>
      <c r="H1470" s="19"/>
    </row>
    <row r="1471" spans="1:8" ht="14.25" customHeight="1" x14ac:dyDescent="0.3">
      <c r="A1471" s="304">
        <v>46092</v>
      </c>
      <c r="B1471" s="305">
        <v>23866.849609375</v>
      </c>
      <c r="C1471" s="305">
        <v>573.20001220703102</v>
      </c>
      <c r="D1471" s="19"/>
      <c r="E1471" s="19">
        <f t="shared" si="44"/>
        <v>-1.6270567743087452E-2</v>
      </c>
      <c r="F1471" s="19">
        <f t="shared" si="45"/>
        <v>-1.9416603922602072E-2</v>
      </c>
      <c r="G1471" s="19"/>
      <c r="H1471" s="19"/>
    </row>
    <row r="1472" spans="1:8" ht="14.25" customHeight="1" x14ac:dyDescent="0.3">
      <c r="A1472" s="304">
        <v>46093</v>
      </c>
      <c r="B1472" s="305">
        <v>23639.150390625</v>
      </c>
      <c r="C1472" s="305">
        <v>558.09997558593795</v>
      </c>
      <c r="D1472" s="19"/>
      <c r="E1472" s="19">
        <f t="shared" si="44"/>
        <v>-9.5403969303329752E-3</v>
      </c>
      <c r="F1472" s="19">
        <f t="shared" si="45"/>
        <v>-2.6343398987296544E-2</v>
      </c>
      <c r="G1472" s="19"/>
      <c r="H1472" s="19"/>
    </row>
    <row r="1473" spans="1:8" ht="14.25" customHeight="1" x14ac:dyDescent="0.3">
      <c r="A1473" s="304">
        <v>46094</v>
      </c>
      <c r="B1473" s="305">
        <v>23151.099609375</v>
      </c>
      <c r="C1473" s="305">
        <v>542.75</v>
      </c>
      <c r="D1473" s="19"/>
      <c r="E1473" s="19">
        <f t="shared" si="44"/>
        <v>-2.0645868112229408E-2</v>
      </c>
      <c r="F1473" s="19">
        <f t="shared" si="45"/>
        <v>-2.7503988993768227E-2</v>
      </c>
      <c r="G1473" s="19"/>
      <c r="H1473" s="19"/>
    </row>
    <row r="1474" spans="1:8" ht="14.25" customHeight="1" x14ac:dyDescent="0.3">
      <c r="A1474" s="304">
        <v>46097</v>
      </c>
      <c r="B1474" s="305">
        <v>23408.80078125</v>
      </c>
      <c r="C1474" s="305">
        <v>530.34997558593795</v>
      </c>
      <c r="D1474" s="19"/>
      <c r="E1474" s="19">
        <f t="shared" si="44"/>
        <v>1.1131271353117254E-2</v>
      </c>
      <c r="F1474" s="19">
        <f t="shared" si="45"/>
        <v>-2.2846659445531176E-2</v>
      </c>
      <c r="G1474" s="19"/>
      <c r="H1474" s="19"/>
    </row>
    <row r="1475" spans="1:8" ht="14.25" customHeight="1" x14ac:dyDescent="0.3">
      <c r="A1475" s="304">
        <v>46098</v>
      </c>
      <c r="B1475" s="305">
        <v>23581.150390625</v>
      </c>
      <c r="C1475" s="305">
        <v>547.79998779296898</v>
      </c>
      <c r="D1475" s="19"/>
      <c r="E1475" s="19">
        <f t="shared" ref="E1475:E1532" si="46">(B1475-B1474)/B1474</f>
        <v>7.3625988356075351E-3</v>
      </c>
      <c r="F1475" s="19">
        <f t="shared" ref="F1475:F1532" si="47">(C1475-C1474)/C1474</f>
        <v>3.2902824569289384E-2</v>
      </c>
      <c r="G1475" s="19"/>
      <c r="H1475" s="19"/>
    </row>
    <row r="1476" spans="1:8" ht="14.25" customHeight="1" x14ac:dyDescent="0.3">
      <c r="A1476" s="304">
        <v>46099</v>
      </c>
      <c r="B1476" s="305">
        <v>23777.80078125</v>
      </c>
      <c r="C1476" s="305">
        <v>563.09997558593795</v>
      </c>
      <c r="D1476" s="19"/>
      <c r="E1476" s="19">
        <f t="shared" si="46"/>
        <v>8.339304375208979E-3</v>
      </c>
      <c r="F1476" s="19">
        <f t="shared" si="47"/>
        <v>2.7929879762522612E-2</v>
      </c>
      <c r="G1476" s="19"/>
      <c r="H1476" s="19"/>
    </row>
    <row r="1477" spans="1:8" ht="14.25" customHeight="1" x14ac:dyDescent="0.3">
      <c r="A1477" s="304">
        <v>46100</v>
      </c>
      <c r="B1477" s="305">
        <v>23002.150390625</v>
      </c>
      <c r="C1477" s="305">
        <v>542.25</v>
      </c>
      <c r="D1477" s="19"/>
      <c r="E1477" s="19">
        <f t="shared" si="46"/>
        <v>-3.2620779262169594E-2</v>
      </c>
      <c r="F1477" s="19">
        <f t="shared" si="47"/>
        <v>-3.7027129266419087E-2</v>
      </c>
      <c r="G1477" s="19"/>
      <c r="H1477" s="19"/>
    </row>
    <row r="1478" spans="1:8" ht="14.25" customHeight="1" x14ac:dyDescent="0.3">
      <c r="A1478" s="304">
        <v>46101</v>
      </c>
      <c r="B1478" s="305">
        <v>23114.5</v>
      </c>
      <c r="C1478" s="305">
        <v>540.75</v>
      </c>
      <c r="D1478" s="19"/>
      <c r="E1478" s="19">
        <f t="shared" si="46"/>
        <v>4.8843089653387538E-3</v>
      </c>
      <c r="F1478" s="19">
        <f t="shared" si="47"/>
        <v>-2.7662517289073307E-3</v>
      </c>
      <c r="G1478" s="19"/>
      <c r="H1478" s="19"/>
    </row>
    <row r="1479" spans="1:8" ht="14.25" customHeight="1" x14ac:dyDescent="0.3">
      <c r="A1479" s="304">
        <v>46104</v>
      </c>
      <c r="B1479" s="305">
        <v>22512.650390625</v>
      </c>
      <c r="C1479" s="305">
        <v>514.75</v>
      </c>
      <c r="D1479" s="19"/>
      <c r="E1479" s="19">
        <f t="shared" si="46"/>
        <v>-2.6037751600726817E-2</v>
      </c>
      <c r="F1479" s="19">
        <f t="shared" si="47"/>
        <v>-4.8081368469717986E-2</v>
      </c>
      <c r="G1479" s="19"/>
      <c r="H1479" s="19"/>
    </row>
    <row r="1480" spans="1:8" ht="14.25" customHeight="1" x14ac:dyDescent="0.3">
      <c r="A1480" s="304">
        <v>46105</v>
      </c>
      <c r="B1480" s="305">
        <v>22912.400390625</v>
      </c>
      <c r="C1480" s="305">
        <v>521</v>
      </c>
      <c r="D1480" s="19"/>
      <c r="E1480" s="19">
        <f t="shared" si="46"/>
        <v>1.7756683156527359E-2</v>
      </c>
      <c r="F1480" s="19">
        <f t="shared" si="47"/>
        <v>1.2141816415735794E-2</v>
      </c>
      <c r="G1480" s="19"/>
      <c r="H1480" s="19"/>
    </row>
    <row r="1481" spans="1:8" ht="14.25" customHeight="1" x14ac:dyDescent="0.3">
      <c r="A1481" s="304">
        <v>46106</v>
      </c>
      <c r="B1481" s="305">
        <v>23306.44921875</v>
      </c>
      <c r="C1481" s="305">
        <v>534.34997558593795</v>
      </c>
      <c r="D1481" s="19"/>
      <c r="E1481" s="19">
        <f t="shared" si="46"/>
        <v>1.719805962740734E-2</v>
      </c>
      <c r="F1481" s="19">
        <f t="shared" si="47"/>
        <v>2.5623753523873232E-2</v>
      </c>
      <c r="G1481" s="19"/>
      <c r="H1481" s="19"/>
    </row>
    <row r="1482" spans="1:8" ht="14.25" customHeight="1" x14ac:dyDescent="0.3">
      <c r="A1482" s="304">
        <v>46108</v>
      </c>
      <c r="B1482" s="305">
        <v>22819.599609375</v>
      </c>
      <c r="C1482" s="305">
        <v>523</v>
      </c>
      <c r="D1482" s="19"/>
      <c r="E1482" s="19">
        <f t="shared" si="46"/>
        <v>-2.0889051129389984E-2</v>
      </c>
      <c r="F1482" s="19">
        <f t="shared" si="47"/>
        <v>-2.1240715082829775E-2</v>
      </c>
      <c r="G1482" s="19"/>
      <c r="H1482" s="19"/>
    </row>
    <row r="1483" spans="1:8" ht="14.25" customHeight="1" x14ac:dyDescent="0.3">
      <c r="A1483" s="304">
        <v>46111</v>
      </c>
      <c r="B1483" s="305">
        <v>22331.400390625</v>
      </c>
      <c r="C1483" s="305">
        <v>504.10000610351602</v>
      </c>
      <c r="D1483" s="19"/>
      <c r="E1483" s="19">
        <f t="shared" si="46"/>
        <v>-2.1393855593742871E-2</v>
      </c>
      <c r="F1483" s="19">
        <f t="shared" si="47"/>
        <v>-3.6137655633812577E-2</v>
      </c>
      <c r="G1483" s="19"/>
      <c r="H1483" s="19"/>
    </row>
    <row r="1484" spans="1:8" ht="14.25" customHeight="1" x14ac:dyDescent="0.3">
      <c r="A1484" s="304">
        <v>46113</v>
      </c>
      <c r="B1484" s="305">
        <v>22679.400390625</v>
      </c>
      <c r="C1484" s="305">
        <v>509.75</v>
      </c>
      <c r="D1484" s="19"/>
      <c r="E1484" s="19">
        <f t="shared" si="46"/>
        <v>1.5583438293735253E-2</v>
      </c>
      <c r="F1484" s="19">
        <f t="shared" si="47"/>
        <v>1.1208081388762692E-2</v>
      </c>
      <c r="G1484" s="19"/>
      <c r="H1484" s="19"/>
    </row>
    <row r="1485" spans="1:8" ht="14.25" customHeight="1" x14ac:dyDescent="0.3">
      <c r="A1485" s="304">
        <v>46114</v>
      </c>
      <c r="B1485" s="305">
        <v>22713.099609375</v>
      </c>
      <c r="C1485" s="305">
        <v>522.25</v>
      </c>
      <c r="D1485" s="19"/>
      <c r="E1485" s="19">
        <f t="shared" si="46"/>
        <v>1.4858954897207189E-3</v>
      </c>
      <c r="F1485" s="19">
        <f t="shared" si="47"/>
        <v>2.4521824423737126E-2</v>
      </c>
      <c r="G1485" s="19"/>
      <c r="H1485" s="19"/>
    </row>
    <row r="1486" spans="1:8" ht="14.25" customHeight="1" x14ac:dyDescent="0.3">
      <c r="A1486" s="304">
        <v>46118</v>
      </c>
      <c r="B1486" s="305">
        <v>22968.25</v>
      </c>
      <c r="C1486" s="305">
        <v>529.20001220703102</v>
      </c>
      <c r="D1486" s="19"/>
      <c r="E1486" s="19">
        <f t="shared" si="46"/>
        <v>1.123362266767345E-2</v>
      </c>
      <c r="F1486" s="19">
        <f t="shared" si="47"/>
        <v>1.3307826150370556E-2</v>
      </c>
      <c r="G1486" s="19"/>
      <c r="H1486" s="19"/>
    </row>
    <row r="1487" spans="1:8" ht="14.25" customHeight="1" x14ac:dyDescent="0.3">
      <c r="A1487" s="304">
        <v>46119</v>
      </c>
      <c r="B1487" s="305">
        <v>23123.650390625</v>
      </c>
      <c r="C1487" s="305">
        <v>534.09997558593795</v>
      </c>
      <c r="D1487" s="19"/>
      <c r="E1487" s="19">
        <f t="shared" si="46"/>
        <v>6.7658785769486142E-3</v>
      </c>
      <c r="F1487" s="19">
        <f t="shared" si="47"/>
        <v>9.2591898448218333E-3</v>
      </c>
      <c r="G1487" s="19"/>
      <c r="H1487" s="19"/>
    </row>
    <row r="1488" spans="1:8" ht="14.25" customHeight="1" x14ac:dyDescent="0.3">
      <c r="A1488" s="304">
        <v>46120</v>
      </c>
      <c r="B1488" s="305">
        <v>23997.349609375</v>
      </c>
      <c r="C1488" s="305">
        <v>572.84997558593795</v>
      </c>
      <c r="D1488" s="19"/>
      <c r="E1488" s="19">
        <f t="shared" si="46"/>
        <v>3.7783792956159856E-2</v>
      </c>
      <c r="F1488" s="19">
        <f t="shared" si="47"/>
        <v>7.2551959878839264E-2</v>
      </c>
      <c r="G1488" s="19"/>
      <c r="H1488" s="19"/>
    </row>
    <row r="1489" spans="1:8" ht="14.25" customHeight="1" x14ac:dyDescent="0.3">
      <c r="A1489" s="304">
        <v>46121</v>
      </c>
      <c r="B1489" s="305">
        <v>23775.099609375</v>
      </c>
      <c r="C1489" s="305">
        <v>562.95001220703102</v>
      </c>
      <c r="D1489" s="19"/>
      <c r="E1489" s="19">
        <f t="shared" si="46"/>
        <v>-9.2614394346771534E-3</v>
      </c>
      <c r="F1489" s="19">
        <f t="shared" si="47"/>
        <v>-1.7281947806283456E-2</v>
      </c>
      <c r="G1489" s="19"/>
      <c r="H1489" s="19"/>
    </row>
    <row r="1490" spans="1:8" ht="14.25" customHeight="1" x14ac:dyDescent="0.3">
      <c r="A1490" s="304">
        <v>46122</v>
      </c>
      <c r="B1490" s="305">
        <v>24050.599609375</v>
      </c>
      <c r="C1490" s="305">
        <v>569.59997558593795</v>
      </c>
      <c r="D1490" s="19"/>
      <c r="E1490" s="19">
        <f t="shared" si="46"/>
        <v>1.1587753764504306E-2</v>
      </c>
      <c r="F1490" s="19">
        <f t="shared" si="47"/>
        <v>1.1812706696347553E-2</v>
      </c>
      <c r="G1490" s="19"/>
      <c r="H1490" s="19"/>
    </row>
    <row r="1491" spans="1:8" ht="14.25" customHeight="1" x14ac:dyDescent="0.3">
      <c r="A1491" s="304">
        <v>46125</v>
      </c>
      <c r="B1491" s="305">
        <v>23842.650390625</v>
      </c>
      <c r="C1491" s="305">
        <v>568.40002441406295</v>
      </c>
      <c r="D1491" s="19"/>
      <c r="E1491" s="19">
        <f t="shared" si="46"/>
        <v>-8.6463215939506441E-3</v>
      </c>
      <c r="F1491" s="19">
        <f t="shared" si="47"/>
        <v>-2.1066559397946434E-3</v>
      </c>
      <c r="G1491" s="19"/>
      <c r="H1491" s="19"/>
    </row>
    <row r="1492" spans="1:8" ht="14.25" customHeight="1" x14ac:dyDescent="0.3">
      <c r="A1492" s="304">
        <v>46127</v>
      </c>
      <c r="B1492" s="305">
        <v>24231.30078125</v>
      </c>
      <c r="C1492" s="305">
        <v>587.45001220703102</v>
      </c>
      <c r="D1492" s="19"/>
      <c r="E1492" s="19">
        <f t="shared" si="46"/>
        <v>1.6300637062472655E-2</v>
      </c>
      <c r="F1492" s="19">
        <f t="shared" si="47"/>
        <v>3.3515107274328167E-2</v>
      </c>
      <c r="G1492" s="19"/>
      <c r="H1492" s="19"/>
    </row>
    <row r="1493" spans="1:8" ht="14.25" customHeight="1" x14ac:dyDescent="0.3">
      <c r="A1493" s="304">
        <v>46128</v>
      </c>
      <c r="B1493" s="305">
        <v>24196.75</v>
      </c>
      <c r="C1493" s="305">
        <v>589.70001220703102</v>
      </c>
      <c r="D1493" s="19"/>
      <c r="E1493" s="19">
        <f t="shared" si="46"/>
        <v>-1.4258739785333826E-3</v>
      </c>
      <c r="F1493" s="19">
        <f t="shared" si="47"/>
        <v>3.8301131215349228E-3</v>
      </c>
      <c r="G1493" s="19"/>
      <c r="H1493" s="19"/>
    </row>
    <row r="1494" spans="1:8" ht="14.25" customHeight="1" x14ac:dyDescent="0.3">
      <c r="A1494" s="304">
        <v>46129</v>
      </c>
      <c r="B1494" s="305">
        <v>24353.55078125</v>
      </c>
      <c r="C1494" s="305">
        <v>601.75</v>
      </c>
      <c r="D1494" s="19"/>
      <c r="E1494" s="19">
        <f t="shared" si="46"/>
        <v>6.480241406387221E-3</v>
      </c>
      <c r="F1494" s="19">
        <f t="shared" si="47"/>
        <v>2.0434097920178581E-2</v>
      </c>
      <c r="G1494" s="19"/>
      <c r="H1494" s="19"/>
    </row>
    <row r="1495" spans="1:8" ht="14.25" customHeight="1" x14ac:dyDescent="0.3">
      <c r="A1495" s="304">
        <v>46132</v>
      </c>
      <c r="B1495" s="305">
        <v>24364.849609375</v>
      </c>
      <c r="C1495" s="305">
        <v>596.40002441406295</v>
      </c>
      <c r="D1495" s="19"/>
      <c r="E1495" s="19">
        <f t="shared" si="46"/>
        <v>4.6394992773288163E-4</v>
      </c>
      <c r="F1495" s="19">
        <f t="shared" si="47"/>
        <v>-8.8906947834433651E-3</v>
      </c>
      <c r="G1495" s="19"/>
      <c r="H1495" s="19"/>
    </row>
    <row r="1496" spans="1:8" ht="14.25" customHeight="1" x14ac:dyDescent="0.3">
      <c r="A1496" s="304">
        <v>46133</v>
      </c>
      <c r="B1496" s="305">
        <v>24576.599609375</v>
      </c>
      <c r="C1496" s="305">
        <v>607.54998779296898</v>
      </c>
      <c r="D1496" s="19"/>
      <c r="E1496" s="19">
        <f t="shared" si="46"/>
        <v>8.6907985641135974E-3</v>
      </c>
      <c r="F1496" s="19">
        <f t="shared" si="47"/>
        <v>1.8695444202673158E-2</v>
      </c>
      <c r="G1496" s="19"/>
      <c r="H1496" s="19"/>
    </row>
    <row r="1497" spans="1:8" ht="14.25" customHeight="1" x14ac:dyDescent="0.3">
      <c r="A1497" s="304">
        <v>46134</v>
      </c>
      <c r="B1497" s="305">
        <v>24378.099609375</v>
      </c>
      <c r="C1497" s="305">
        <v>610.65002441406295</v>
      </c>
      <c r="D1497" s="19"/>
      <c r="E1497" s="19">
        <f t="shared" si="46"/>
        <v>-8.0767886182383057E-3</v>
      </c>
      <c r="F1497" s="19">
        <f t="shared" si="47"/>
        <v>5.1025210820189459E-3</v>
      </c>
      <c r="G1497" s="19"/>
      <c r="H1497" s="19"/>
    </row>
    <row r="1498" spans="1:8" ht="14.25" customHeight="1" x14ac:dyDescent="0.3">
      <c r="A1498" s="304">
        <v>46135</v>
      </c>
      <c r="B1498" s="305">
        <v>24173.05078125</v>
      </c>
      <c r="C1498" s="305">
        <v>592.79998779296898</v>
      </c>
      <c r="D1498" s="19"/>
      <c r="E1498" s="19">
        <f t="shared" si="46"/>
        <v>-8.4111900193460983E-3</v>
      </c>
      <c r="F1498" s="19">
        <f t="shared" si="47"/>
        <v>-2.9231205940295546E-2</v>
      </c>
      <c r="G1498" s="19"/>
      <c r="H1498" s="19"/>
    </row>
    <row r="1499" spans="1:8" ht="14.25" customHeight="1" x14ac:dyDescent="0.3">
      <c r="A1499" s="304">
        <v>46136</v>
      </c>
      <c r="B1499" s="305">
        <v>23897.94921875</v>
      </c>
      <c r="C1499" s="305">
        <v>587.04998779296898</v>
      </c>
      <c r="D1499" s="19"/>
      <c r="E1499" s="19">
        <f t="shared" si="46"/>
        <v>-1.1380506539678661E-2</v>
      </c>
      <c r="F1499" s="19">
        <f t="shared" si="47"/>
        <v>-9.6997302942053113E-3</v>
      </c>
      <c r="G1499" s="19"/>
      <c r="H1499" s="19"/>
    </row>
    <row r="1500" spans="1:8" ht="14.25" customHeight="1" x14ac:dyDescent="0.3">
      <c r="A1500" s="304">
        <v>46139</v>
      </c>
      <c r="B1500" s="305">
        <v>24092.69921875</v>
      </c>
      <c r="C1500" s="305">
        <v>592.45001220703102</v>
      </c>
      <c r="D1500" s="19"/>
      <c r="E1500" s="19">
        <f t="shared" si="46"/>
        <v>8.1492348241832338E-3</v>
      </c>
      <c r="F1500" s="19">
        <f t="shared" si="47"/>
        <v>9.1985768271005165E-3</v>
      </c>
      <c r="G1500" s="19"/>
      <c r="H1500" s="19"/>
    </row>
    <row r="1501" spans="1:8" ht="14.25" customHeight="1" x14ac:dyDescent="0.3">
      <c r="A1501" s="304">
        <v>46140</v>
      </c>
      <c r="B1501" s="305">
        <v>23995.69921875</v>
      </c>
      <c r="C1501" s="305">
        <v>587.90002441406295</v>
      </c>
      <c r="D1501" s="19"/>
      <c r="E1501" s="19">
        <f t="shared" si="46"/>
        <v>-4.0261159249649504E-3</v>
      </c>
      <c r="F1501" s="19">
        <f t="shared" si="47"/>
        <v>-7.6799522309370458E-3</v>
      </c>
      <c r="G1501" s="19"/>
      <c r="H1501" s="19"/>
    </row>
    <row r="1502" spans="1:8" ht="14.25" customHeight="1" x14ac:dyDescent="0.3">
      <c r="A1502" s="304">
        <v>46141</v>
      </c>
      <c r="B1502" s="305">
        <v>24177.650390625</v>
      </c>
      <c r="C1502" s="305">
        <v>594.45001220703102</v>
      </c>
      <c r="D1502" s="19"/>
      <c r="E1502" s="19">
        <f t="shared" si="46"/>
        <v>7.5826576344491421E-3</v>
      </c>
      <c r="F1502" s="19">
        <f t="shared" si="47"/>
        <v>1.1141329343362734E-2</v>
      </c>
      <c r="G1502" s="19"/>
      <c r="H1502" s="19"/>
    </row>
    <row r="1503" spans="1:8" ht="14.25" customHeight="1" x14ac:dyDescent="0.3">
      <c r="A1503" s="304">
        <v>46142</v>
      </c>
      <c r="B1503" s="305">
        <v>23997.55078125</v>
      </c>
      <c r="C1503" s="305">
        <v>587</v>
      </c>
      <c r="D1503" s="19"/>
      <c r="E1503" s="19">
        <f t="shared" si="46"/>
        <v>-7.4490120613554117E-3</v>
      </c>
      <c r="F1503" s="19">
        <f t="shared" si="47"/>
        <v>-1.2532613430978251E-2</v>
      </c>
      <c r="G1503" s="19"/>
      <c r="H1503" s="19"/>
    </row>
    <row r="1504" spans="1:8" ht="14.25" customHeight="1" x14ac:dyDescent="0.3">
      <c r="A1504" s="304">
        <v>46146</v>
      </c>
      <c r="B1504" s="305">
        <v>24119.30078125</v>
      </c>
      <c r="C1504" s="305">
        <v>607.20001220703102</v>
      </c>
      <c r="D1504" s="19"/>
      <c r="E1504" s="19">
        <f t="shared" si="46"/>
        <v>5.0734344146122984E-3</v>
      </c>
      <c r="F1504" s="19">
        <f t="shared" si="47"/>
        <v>3.4412286553715539E-2</v>
      </c>
      <c r="G1504" s="19"/>
      <c r="H1504" s="19"/>
    </row>
    <row r="1505" spans="1:8" ht="14.25" customHeight="1" x14ac:dyDescent="0.3">
      <c r="A1505" s="304">
        <v>46147</v>
      </c>
      <c r="B1505" s="305">
        <v>24032.80078125</v>
      </c>
      <c r="C1505" s="305">
        <v>597.29998779296898</v>
      </c>
      <c r="D1505" s="19"/>
      <c r="E1505" s="19">
        <f t="shared" si="46"/>
        <v>-3.5863394542201598E-3</v>
      </c>
      <c r="F1505" s="19">
        <f t="shared" si="47"/>
        <v>-1.6304387705918771E-2</v>
      </c>
      <c r="G1505" s="19"/>
      <c r="H1505" s="19"/>
    </row>
    <row r="1506" spans="1:8" ht="14.25" customHeight="1" x14ac:dyDescent="0.3">
      <c r="A1506" s="304">
        <v>46148</v>
      </c>
      <c r="B1506" s="305">
        <v>24330.94921875</v>
      </c>
      <c r="C1506" s="305">
        <v>609.59997558593795</v>
      </c>
      <c r="D1506" s="19"/>
      <c r="E1506" s="19">
        <f t="shared" si="46"/>
        <v>1.2405896433536392E-2</v>
      </c>
      <c r="F1506" s="19">
        <f t="shared" si="47"/>
        <v>2.0592646985340798E-2</v>
      </c>
      <c r="G1506" s="19"/>
      <c r="H1506" s="19"/>
    </row>
    <row r="1507" spans="1:8" ht="14.25" customHeight="1" x14ac:dyDescent="0.3">
      <c r="A1507" s="304">
        <v>46149</v>
      </c>
      <c r="B1507" s="305">
        <v>24326.650390625</v>
      </c>
      <c r="C1507" s="305">
        <v>618.84997558593795</v>
      </c>
      <c r="D1507" s="19"/>
      <c r="E1507" s="19">
        <f t="shared" si="46"/>
        <v>-1.7668148029700471E-4</v>
      </c>
      <c r="F1507" s="19">
        <f t="shared" si="47"/>
        <v>1.517388512213939E-2</v>
      </c>
      <c r="G1507" s="19"/>
      <c r="H1507" s="19"/>
    </row>
    <row r="1508" spans="1:8" ht="14.25" customHeight="1" x14ac:dyDescent="0.3">
      <c r="A1508" s="304">
        <v>46150</v>
      </c>
      <c r="B1508" s="305">
        <v>24176.150390625</v>
      </c>
      <c r="C1508" s="305">
        <v>608.25</v>
      </c>
      <c r="D1508" s="19"/>
      <c r="E1508" s="19">
        <f t="shared" si="46"/>
        <v>-6.1866306122440786E-3</v>
      </c>
      <c r="F1508" s="19">
        <f t="shared" si="47"/>
        <v>-1.7128506106672645E-2</v>
      </c>
      <c r="G1508" s="19"/>
      <c r="H1508" s="19"/>
    </row>
    <row r="1509" spans="1:8" ht="14.25" customHeight="1" x14ac:dyDescent="0.3">
      <c r="A1509" s="304">
        <v>46153</v>
      </c>
      <c r="B1509" s="305">
        <v>23815.849609375</v>
      </c>
      <c r="C1509" s="305">
        <v>590.25</v>
      </c>
      <c r="D1509" s="19"/>
      <c r="E1509" s="19">
        <f t="shared" si="46"/>
        <v>-1.4903149402549921E-2</v>
      </c>
      <c r="F1509" s="19">
        <f t="shared" si="47"/>
        <v>-2.9593094944512947E-2</v>
      </c>
      <c r="G1509" s="19"/>
      <c r="H1509" s="19"/>
    </row>
    <row r="1510" spans="1:8" ht="14.25" customHeight="1" x14ac:dyDescent="0.3">
      <c r="A1510" s="304">
        <v>46154</v>
      </c>
      <c r="B1510" s="305">
        <v>23379.55078125</v>
      </c>
      <c r="C1510" s="305">
        <v>569.20001220703102</v>
      </c>
      <c r="D1510" s="19"/>
      <c r="E1510" s="19">
        <f t="shared" si="46"/>
        <v>-1.8319683541890227E-2</v>
      </c>
      <c r="F1510" s="19">
        <f t="shared" si="47"/>
        <v>-3.5662834041455274E-2</v>
      </c>
      <c r="G1510" s="19"/>
      <c r="H1510" s="19"/>
    </row>
    <row r="1511" spans="1:8" ht="14.25" customHeight="1" x14ac:dyDescent="0.3">
      <c r="A1511" s="304">
        <v>46155</v>
      </c>
      <c r="B1511" s="305">
        <v>23412.599609375</v>
      </c>
      <c r="C1511" s="305">
        <v>574.15002441406295</v>
      </c>
      <c r="D1511" s="19"/>
      <c r="E1511" s="19">
        <f t="shared" si="46"/>
        <v>1.413578405942025E-3</v>
      </c>
      <c r="F1511" s="19">
        <f t="shared" si="47"/>
        <v>8.6964372819294672E-3</v>
      </c>
      <c r="G1511" s="19"/>
      <c r="H1511" s="19"/>
    </row>
    <row r="1512" spans="1:8" ht="14.25" customHeight="1" x14ac:dyDescent="0.3">
      <c r="A1512" s="304">
        <v>46156</v>
      </c>
      <c r="B1512" s="305">
        <v>23689.599609375</v>
      </c>
      <c r="C1512" s="305">
        <v>583.25</v>
      </c>
      <c r="D1512" s="19"/>
      <c r="E1512" s="19">
        <f t="shared" si="46"/>
        <v>1.1831236369372762E-2</v>
      </c>
      <c r="F1512" s="19">
        <f t="shared" si="47"/>
        <v>1.5849473480775061E-2</v>
      </c>
      <c r="G1512" s="19"/>
      <c r="H1512" s="19"/>
    </row>
    <row r="1513" spans="1:8" ht="14.25" customHeight="1" x14ac:dyDescent="0.3">
      <c r="A1513" s="304">
        <v>46157</v>
      </c>
      <c r="B1513" s="305">
        <v>23643.5</v>
      </c>
      <c r="C1513" s="305">
        <v>566.75</v>
      </c>
      <c r="D1513" s="19"/>
      <c r="E1513" s="19">
        <f t="shared" si="46"/>
        <v>-1.9459851637490906E-3</v>
      </c>
      <c r="F1513" s="19">
        <f t="shared" si="47"/>
        <v>-2.8289755679382769E-2</v>
      </c>
      <c r="G1513" s="19"/>
      <c r="H1513" s="19"/>
    </row>
    <row r="1514" spans="1:8" ht="14.25" customHeight="1" x14ac:dyDescent="0.3">
      <c r="A1514" s="304">
        <v>46160</v>
      </c>
      <c r="B1514" s="305">
        <v>23649.94921875</v>
      </c>
      <c r="C1514" s="305">
        <v>573.15002441406295</v>
      </c>
      <c r="D1514" s="19"/>
      <c r="E1514" s="19">
        <f t="shared" si="46"/>
        <v>2.7276920718167786E-4</v>
      </c>
      <c r="F1514" s="19">
        <f t="shared" si="47"/>
        <v>1.129250006892449E-2</v>
      </c>
      <c r="G1514" s="19"/>
      <c r="H1514" s="19"/>
    </row>
    <row r="1515" spans="1:8" ht="14.25" customHeight="1" x14ac:dyDescent="0.3">
      <c r="A1515" s="304">
        <v>46161</v>
      </c>
      <c r="B1515" s="305">
        <v>23618</v>
      </c>
      <c r="C1515" s="305">
        <v>577.40002441406295</v>
      </c>
      <c r="D1515" s="19"/>
      <c r="E1515" s="19">
        <f t="shared" si="46"/>
        <v>-1.3509212410769249E-3</v>
      </c>
      <c r="F1515" s="19">
        <f t="shared" si="47"/>
        <v>7.4151615091438191E-3</v>
      </c>
      <c r="G1515" s="19"/>
      <c r="H1515" s="19"/>
    </row>
    <row r="1516" spans="1:8" ht="14.25" customHeight="1" x14ac:dyDescent="0.3">
      <c r="A1516" s="304">
        <v>46162</v>
      </c>
      <c r="B1516" s="305">
        <v>23659</v>
      </c>
      <c r="C1516" s="305">
        <v>583.29998779296898</v>
      </c>
      <c r="D1516" s="19"/>
      <c r="E1516" s="19">
        <f t="shared" si="46"/>
        <v>1.7359640951816412E-3</v>
      </c>
      <c r="F1516" s="19">
        <f t="shared" si="47"/>
        <v>1.0218155748942371E-2</v>
      </c>
      <c r="G1516" s="19"/>
      <c r="H1516" s="19"/>
    </row>
    <row r="1517" spans="1:8" ht="14.25" customHeight="1" x14ac:dyDescent="0.3">
      <c r="A1517" s="304">
        <v>46163</v>
      </c>
      <c r="B1517" s="305">
        <v>23654.69921875</v>
      </c>
      <c r="C1517" s="305">
        <v>587.95001220703102</v>
      </c>
      <c r="D1517" s="19"/>
      <c r="E1517" s="19">
        <f t="shared" si="46"/>
        <v>-1.8178203854769855E-4</v>
      </c>
      <c r="F1517" s="19">
        <f t="shared" si="47"/>
        <v>7.9719261295655656E-3</v>
      </c>
      <c r="G1517" s="19"/>
      <c r="H1517" s="19"/>
    </row>
    <row r="1518" spans="1:8" ht="14.25" customHeight="1" x14ac:dyDescent="0.3">
      <c r="A1518" s="304">
        <v>46164</v>
      </c>
      <c r="B1518" s="305">
        <v>23719.30078125</v>
      </c>
      <c r="C1518" s="305">
        <v>586.70001220703102</v>
      </c>
      <c r="D1518" s="19"/>
      <c r="E1518" s="19">
        <f t="shared" si="46"/>
        <v>2.7310244743587054E-3</v>
      </c>
      <c r="F1518" s="19">
        <f t="shared" si="47"/>
        <v>-2.1260310809549667E-3</v>
      </c>
      <c r="G1518" s="19"/>
      <c r="H1518" s="19"/>
    </row>
    <row r="1519" spans="1:8" ht="14.25" customHeight="1" x14ac:dyDescent="0.3">
      <c r="A1519" s="304">
        <v>46167</v>
      </c>
      <c r="B1519" s="305">
        <v>24031.69921875</v>
      </c>
      <c r="C1519" s="305">
        <v>592.29998779296898</v>
      </c>
      <c r="D1519" s="19"/>
      <c r="E1519" s="19">
        <f t="shared" si="46"/>
        <v>1.317064277657584E-2</v>
      </c>
      <c r="F1519" s="19">
        <f t="shared" si="47"/>
        <v>9.544870409789373E-3</v>
      </c>
      <c r="G1519" s="19"/>
      <c r="H1519" s="19"/>
    </row>
    <row r="1520" spans="1:8" ht="14.25" customHeight="1" x14ac:dyDescent="0.3">
      <c r="A1520" s="304">
        <v>46168</v>
      </c>
      <c r="B1520" s="305">
        <v>23913.69921875</v>
      </c>
      <c r="C1520" s="305">
        <v>589.79998779296898</v>
      </c>
      <c r="D1520" s="19"/>
      <c r="E1520" s="19">
        <f t="shared" si="46"/>
        <v>-4.9101812953756549E-3</v>
      </c>
      <c r="F1520" s="19">
        <f t="shared" si="47"/>
        <v>-4.2208341237951258E-3</v>
      </c>
      <c r="G1520" s="19"/>
      <c r="H1520" s="19"/>
    </row>
    <row r="1521" spans="1:8" ht="14.25" customHeight="1" x14ac:dyDescent="0.3">
      <c r="A1521" s="304">
        <v>46169</v>
      </c>
      <c r="B1521" s="305">
        <v>23907.150390625</v>
      </c>
      <c r="C1521" s="305">
        <v>593.90002441406295</v>
      </c>
      <c r="D1521" s="19"/>
      <c r="E1521" s="19">
        <f t="shared" si="46"/>
        <v>-2.738525756761741E-4</v>
      </c>
      <c r="F1521" s="19">
        <f t="shared" si="47"/>
        <v>6.9515712206714526E-3</v>
      </c>
      <c r="G1521" s="19"/>
      <c r="H1521" s="19"/>
    </row>
    <row r="1522" spans="1:8" ht="14.25" customHeight="1" x14ac:dyDescent="0.3">
      <c r="A1522" s="304">
        <v>46171</v>
      </c>
      <c r="B1522" s="305">
        <v>23547.75</v>
      </c>
      <c r="C1522" s="305">
        <v>590.59997558593795</v>
      </c>
      <c r="D1522" s="19"/>
      <c r="E1522" s="19">
        <f t="shared" si="46"/>
        <v>-1.5033175629578004E-2</v>
      </c>
      <c r="F1522" s="19">
        <f t="shared" si="47"/>
        <v>-5.556572979401376E-3</v>
      </c>
      <c r="G1522" s="19"/>
      <c r="H1522" s="19"/>
    </row>
    <row r="1523" spans="1:8" ht="14.25" customHeight="1" x14ac:dyDescent="0.3">
      <c r="A1523" s="304">
        <v>46174</v>
      </c>
      <c r="B1523" s="305">
        <v>23382.599609375</v>
      </c>
      <c r="C1523" s="305">
        <v>580.04998779296898</v>
      </c>
      <c r="D1523" s="19"/>
      <c r="E1523" s="19">
        <f t="shared" si="46"/>
        <v>-7.0134255130532642E-3</v>
      </c>
      <c r="F1523" s="19">
        <f t="shared" si="47"/>
        <v>-1.7863170045854249E-2</v>
      </c>
      <c r="G1523" s="19"/>
      <c r="H1523" s="19"/>
    </row>
    <row r="1524" spans="1:8" ht="14.25" customHeight="1" x14ac:dyDescent="0.3">
      <c r="A1524" s="304">
        <v>46175</v>
      </c>
      <c r="B1524" s="305">
        <v>23483.55078125</v>
      </c>
      <c r="C1524" s="305">
        <v>591.84997558593795</v>
      </c>
      <c r="D1524" s="19"/>
      <c r="E1524" s="19">
        <f t="shared" si="46"/>
        <v>4.31736306319528E-3</v>
      </c>
      <c r="F1524" s="19">
        <f t="shared" si="47"/>
        <v>2.0343053256266286E-2</v>
      </c>
      <c r="G1524" s="19"/>
      <c r="H1524" s="19"/>
    </row>
    <row r="1525" spans="1:8" ht="14.25" customHeight="1" x14ac:dyDescent="0.3">
      <c r="A1525" s="304">
        <v>46176</v>
      </c>
      <c r="B1525" s="305">
        <v>23405.599609375</v>
      </c>
      <c r="C1525" s="305">
        <v>581.54998779296898</v>
      </c>
      <c r="D1525" s="19"/>
      <c r="E1525" s="19">
        <f t="shared" si="46"/>
        <v>-3.319394609491451E-3</v>
      </c>
      <c r="F1525" s="19">
        <f t="shared" si="47"/>
        <v>-1.7403038299987891E-2</v>
      </c>
      <c r="G1525" s="19"/>
      <c r="H1525" s="19"/>
    </row>
    <row r="1526" spans="1:8" ht="14.25" customHeight="1" x14ac:dyDescent="0.3">
      <c r="A1526" s="304">
        <v>46177</v>
      </c>
      <c r="B1526" s="305">
        <v>23416.55078125</v>
      </c>
      <c r="C1526" s="305">
        <v>577.79998779296898</v>
      </c>
      <c r="D1526" s="19"/>
      <c r="E1526" s="19">
        <f t="shared" si="46"/>
        <v>4.6788683297024192E-4</v>
      </c>
      <c r="F1526" s="19">
        <f t="shared" si="47"/>
        <v>-6.448284891607624E-3</v>
      </c>
      <c r="G1526" s="19"/>
      <c r="H1526" s="19"/>
    </row>
    <row r="1527" spans="1:8" ht="14.25" customHeight="1" x14ac:dyDescent="0.3">
      <c r="A1527" s="304">
        <v>46178</v>
      </c>
      <c r="B1527" s="305">
        <v>23366.69921875</v>
      </c>
      <c r="C1527" s="305">
        <v>577.70001220703102</v>
      </c>
      <c r="D1527" s="19"/>
      <c r="E1527" s="19">
        <f t="shared" si="46"/>
        <v>-2.1289028843614719E-3</v>
      </c>
      <c r="F1527" s="19">
        <f t="shared" si="47"/>
        <v>-1.7302801670147648E-4</v>
      </c>
      <c r="G1527" s="19"/>
      <c r="H1527" s="19"/>
    </row>
    <row r="1528" spans="1:8" ht="14.25" customHeight="1" x14ac:dyDescent="0.3">
      <c r="A1528" s="304">
        <v>46181</v>
      </c>
      <c r="B1528" s="305">
        <v>23123</v>
      </c>
      <c r="C1528" s="305">
        <v>561.29998779296898</v>
      </c>
      <c r="D1528" s="19"/>
      <c r="E1528" s="19">
        <f t="shared" si="46"/>
        <v>-1.0429338627102706E-2</v>
      </c>
      <c r="F1528" s="19">
        <f t="shared" si="47"/>
        <v>-2.838847856590446E-2</v>
      </c>
      <c r="G1528" s="19"/>
      <c r="H1528" s="19"/>
    </row>
    <row r="1529" spans="1:8" ht="14.25" customHeight="1" x14ac:dyDescent="0.3">
      <c r="A1529" s="304">
        <v>46182</v>
      </c>
      <c r="B1529" s="305">
        <v>23242.099609375</v>
      </c>
      <c r="C1529" s="305">
        <v>575.15002441406295</v>
      </c>
      <c r="D1529" s="19"/>
      <c r="E1529" s="19">
        <f t="shared" si="46"/>
        <v>5.1506988442243653E-3</v>
      </c>
      <c r="F1529" s="19">
        <f t="shared" si="47"/>
        <v>2.4674927707645795E-2</v>
      </c>
      <c r="G1529" s="19"/>
      <c r="H1529" s="19"/>
    </row>
    <row r="1530" spans="1:8" ht="14.25" customHeight="1" x14ac:dyDescent="0.3">
      <c r="A1530" s="304">
        <v>46183</v>
      </c>
      <c r="B1530" s="305">
        <v>23214.94921875</v>
      </c>
      <c r="C1530" s="305">
        <v>563.20001220703102</v>
      </c>
      <c r="D1530" s="19"/>
      <c r="E1530" s="19">
        <f t="shared" si="46"/>
        <v>-1.1681556778996222E-3</v>
      </c>
      <c r="F1530" s="19">
        <f t="shared" si="47"/>
        <v>-2.0777208901635827E-2</v>
      </c>
      <c r="G1530" s="19"/>
      <c r="H1530" s="19"/>
    </row>
    <row r="1531" spans="1:8" ht="14.25" customHeight="1" x14ac:dyDescent="0.3">
      <c r="A1531" s="304">
        <v>46184</v>
      </c>
      <c r="B1531" s="305">
        <v>23161.599609375</v>
      </c>
      <c r="C1531" s="305">
        <v>563</v>
      </c>
      <c r="D1531" s="19"/>
      <c r="E1531" s="19">
        <f t="shared" si="46"/>
        <v>-2.2980713363745446E-3</v>
      </c>
      <c r="F1531" s="19">
        <f t="shared" si="47"/>
        <v>-3.5513530308216437E-4</v>
      </c>
      <c r="G1531" s="19"/>
      <c r="H1531" s="19"/>
    </row>
    <row r="1532" spans="1:8" ht="14.25" customHeight="1" x14ac:dyDescent="0.3">
      <c r="A1532" s="304">
        <v>46185</v>
      </c>
      <c r="B1532" s="305">
        <v>23622.900390625</v>
      </c>
      <c r="C1532" s="305">
        <v>587.04998779296898</v>
      </c>
      <c r="D1532" s="19"/>
      <c r="E1532" s="19">
        <f t="shared" si="46"/>
        <v>1.9916620139797326E-2</v>
      </c>
      <c r="F1532" s="19">
        <f t="shared" si="47"/>
        <v>4.2717562687333885E-2</v>
      </c>
      <c r="G1532" s="19"/>
      <c r="H1532" s="19"/>
    </row>
  </sheetData>
  <mergeCells count="1">
    <mergeCell ref="I5:J5"/>
  </mergeCell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6"/>
  <sheetViews>
    <sheetView showGridLines="0" zoomScaleNormal="100" workbookViewId="0">
      <selection activeCell="C20" sqref="C20"/>
    </sheetView>
  </sheetViews>
  <sheetFormatPr defaultColWidth="8.6640625" defaultRowHeight="14.4" x14ac:dyDescent="0.3"/>
  <cols>
    <col min="1" max="1" width="33.6640625" style="180" customWidth="1"/>
    <col min="2" max="2" width="11" style="180" customWidth="1"/>
    <col min="3" max="3" width="21.77734375" style="180" customWidth="1"/>
    <col min="4" max="4" width="14.109375" style="180" customWidth="1"/>
    <col min="6" max="6" width="19" style="180" customWidth="1"/>
  </cols>
  <sheetData>
    <row r="1" spans="1:10" ht="14.25" customHeight="1" x14ac:dyDescent="0.3">
      <c r="A1" s="296" t="s">
        <v>347</v>
      </c>
      <c r="B1" s="297"/>
      <c r="C1" s="28"/>
      <c r="D1" s="28"/>
      <c r="E1" s="28"/>
    </row>
    <row r="2" spans="1:10" ht="14.25" customHeight="1" x14ac:dyDescent="0.3">
      <c r="A2" s="29" t="s">
        <v>348</v>
      </c>
      <c r="B2" s="30">
        <f>'Consolidated Balance Sheet'!E12+'Consolidated Balance Sheet'!E18</f>
        <v>3854.0299999999997</v>
      </c>
      <c r="D2" t="s">
        <v>349</v>
      </c>
    </row>
    <row r="3" spans="1:10" ht="14.25" customHeight="1" x14ac:dyDescent="0.3">
      <c r="A3" s="29" t="s">
        <v>350</v>
      </c>
      <c r="B3" s="30">
        <f>E6*606.05</f>
        <v>149620</v>
      </c>
      <c r="D3" t="s">
        <v>351</v>
      </c>
    </row>
    <row r="4" spans="1:10" ht="14.25" customHeight="1" x14ac:dyDescent="0.3">
      <c r="A4" s="31" t="s">
        <v>352</v>
      </c>
      <c r="B4" s="30">
        <f>B2+B3</f>
        <v>153474.03</v>
      </c>
    </row>
    <row r="5" spans="1:10" ht="14.25" customHeight="1" x14ac:dyDescent="0.3">
      <c r="A5" s="32" t="s">
        <v>353</v>
      </c>
      <c r="B5" s="33">
        <f>B2/B4</f>
        <v>2.5111935876056684E-2</v>
      </c>
      <c r="C5" s="34" t="s">
        <v>354</v>
      </c>
      <c r="D5" s="34" t="s">
        <v>355</v>
      </c>
      <c r="E5" s="34"/>
      <c r="F5" s="34"/>
    </row>
    <row r="6" spans="1:10" ht="14.25" customHeight="1" x14ac:dyDescent="0.3">
      <c r="A6" s="32" t="s">
        <v>356</v>
      </c>
      <c r="B6" s="33">
        <f>B3/B4</f>
        <v>0.97488806412394335</v>
      </c>
      <c r="C6" s="34"/>
      <c r="D6" s="34" t="s">
        <v>357</v>
      </c>
      <c r="E6" s="34">
        <f>149620/606.05</f>
        <v>246.8773203531062</v>
      </c>
      <c r="F6" s="34"/>
    </row>
    <row r="7" spans="1:10" ht="14.25" customHeight="1" x14ac:dyDescent="0.3">
      <c r="A7" s="35" t="s">
        <v>358</v>
      </c>
      <c r="B7" s="19">
        <f>B2/B3</f>
        <v>2.5758788931960964E-2</v>
      </c>
    </row>
    <row r="9" spans="1:10" ht="14.25" customHeight="1" x14ac:dyDescent="0.3">
      <c r="A9" s="298" t="s">
        <v>359</v>
      </c>
      <c r="B9" s="269"/>
    </row>
    <row r="10" spans="1:10" ht="14.25" customHeight="1" x14ac:dyDescent="0.3">
      <c r="A10" s="36" t="s">
        <v>360</v>
      </c>
      <c r="B10" s="37">
        <v>6.25E-2</v>
      </c>
      <c r="D10" s="224" t="s">
        <v>361</v>
      </c>
      <c r="E10" s="204"/>
      <c r="F10" s="204"/>
      <c r="G10" s="204"/>
      <c r="H10" s="204"/>
      <c r="I10" s="204"/>
      <c r="J10" s="204"/>
    </row>
    <row r="11" spans="1:10" ht="14.25" customHeight="1" x14ac:dyDescent="0.3">
      <c r="A11" s="36" t="s">
        <v>362</v>
      </c>
      <c r="B11" s="38">
        <f>Beta!G3</f>
        <v>1.56612339706217</v>
      </c>
    </row>
    <row r="12" spans="1:10" ht="14.25" customHeight="1" x14ac:dyDescent="0.3">
      <c r="A12" s="36" t="s">
        <v>363</v>
      </c>
      <c r="B12" s="37">
        <v>6.5000000000000002E-2</v>
      </c>
      <c r="D12" s="224" t="s">
        <v>364</v>
      </c>
      <c r="E12" s="204"/>
      <c r="F12" s="204"/>
      <c r="G12" s="204"/>
      <c r="H12" s="204"/>
      <c r="I12" s="204"/>
      <c r="J12" s="204"/>
    </row>
    <row r="13" spans="1:10" ht="14.25" customHeight="1" x14ac:dyDescent="0.3">
      <c r="A13" s="39" t="s">
        <v>365</v>
      </c>
      <c r="B13" s="40">
        <f>B10+B11*(B12)</f>
        <v>0.16429802080904105</v>
      </c>
    </row>
    <row r="15" spans="1:10" ht="14.25" customHeight="1" x14ac:dyDescent="0.3">
      <c r="A15" s="298" t="s">
        <v>366</v>
      </c>
      <c r="B15" s="269"/>
    </row>
    <row r="16" spans="1:10" ht="14.25" customHeight="1" x14ac:dyDescent="0.3">
      <c r="A16" s="41" t="s">
        <v>367</v>
      </c>
      <c r="B16" s="42">
        <f>'Consolidated P&amp;L'!E14</f>
        <v>397.2</v>
      </c>
      <c r="D16" t="s">
        <v>368</v>
      </c>
    </row>
    <row r="17" spans="1:9" ht="14.25" customHeight="1" x14ac:dyDescent="0.3">
      <c r="A17" s="36" t="s">
        <v>369</v>
      </c>
      <c r="B17" s="43">
        <f>B2</f>
        <v>3854.0299999999997</v>
      </c>
      <c r="D17" t="s">
        <v>370</v>
      </c>
    </row>
    <row r="18" spans="1:9" ht="14.25" customHeight="1" x14ac:dyDescent="0.3">
      <c r="A18" s="36" t="s">
        <v>371</v>
      </c>
      <c r="B18" s="44">
        <f>IFERROR(B16/B17,0)</f>
        <v>0.10306095178293891</v>
      </c>
    </row>
    <row r="19" spans="1:9" ht="14.25" customHeight="1" x14ac:dyDescent="0.3">
      <c r="A19" s="45" t="s">
        <v>372</v>
      </c>
      <c r="B19" s="46">
        <f>Assumptions!F15/Assumptions!F14</f>
        <v>0.11358789255744073</v>
      </c>
      <c r="D19" t="s">
        <v>373</v>
      </c>
    </row>
    <row r="20" spans="1:9" ht="14.25" customHeight="1" x14ac:dyDescent="0.3">
      <c r="A20" s="47" t="s">
        <v>374</v>
      </c>
      <c r="B20" s="48">
        <f>B18*(1-B19)</f>
        <v>9.135447546495086E-2</v>
      </c>
    </row>
    <row r="22" spans="1:9" ht="17.25" customHeight="1" x14ac:dyDescent="0.3">
      <c r="A22" s="299" t="s">
        <v>375</v>
      </c>
      <c r="B22" s="300"/>
      <c r="C22" s="300"/>
      <c r="D22" s="301"/>
    </row>
    <row r="23" spans="1:9" ht="14.25" customHeight="1" x14ac:dyDescent="0.3">
      <c r="A23" s="49" t="s">
        <v>376</v>
      </c>
      <c r="B23" s="50" t="s">
        <v>377</v>
      </c>
      <c r="C23" s="50" t="s">
        <v>378</v>
      </c>
      <c r="D23" s="51" t="s">
        <v>379</v>
      </c>
    </row>
    <row r="24" spans="1:9" ht="14.25" customHeight="1" x14ac:dyDescent="0.3">
      <c r="A24" s="52" t="s">
        <v>380</v>
      </c>
      <c r="B24" s="53">
        <f>B5</f>
        <v>2.5111935876056684E-2</v>
      </c>
      <c r="C24" s="54">
        <f>B20</f>
        <v>9.135447546495086E-2</v>
      </c>
      <c r="D24" s="55">
        <f>B24*C24</f>
        <v>2.2940877298666396E-3</v>
      </c>
    </row>
    <row r="25" spans="1:9" ht="14.25" customHeight="1" x14ac:dyDescent="0.3">
      <c r="A25" s="52" t="s">
        <v>381</v>
      </c>
      <c r="B25" s="53">
        <f>B6</f>
        <v>0.97488806412394335</v>
      </c>
      <c r="C25" s="54">
        <f>B13</f>
        <v>0.16429802080904105</v>
      </c>
      <c r="D25" s="55">
        <f>B25*C25</f>
        <v>0.16017217944592138</v>
      </c>
    </row>
    <row r="26" spans="1:9" ht="15" customHeight="1" x14ac:dyDescent="0.3">
      <c r="A26" s="302" t="s">
        <v>375</v>
      </c>
      <c r="B26" s="56">
        <f>SUM(B24:B25)</f>
        <v>1</v>
      </c>
      <c r="C26" s="57" t="s">
        <v>382</v>
      </c>
      <c r="D26" s="58">
        <f>SUM(D24:D25)</f>
        <v>0.16246626717578802</v>
      </c>
      <c r="F26" t="s">
        <v>383</v>
      </c>
      <c r="I26" s="59"/>
    </row>
  </sheetData>
  <mergeCells count="6">
    <mergeCell ref="A15:B15"/>
    <mergeCell ref="A22:D22"/>
    <mergeCell ref="D12:J12"/>
    <mergeCell ref="D10:J10"/>
    <mergeCell ref="A1:B1"/>
    <mergeCell ref="A9:B9"/>
  </mergeCell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5"/>
  <sheetViews>
    <sheetView showGridLines="0" topLeftCell="A26" zoomScaleNormal="100" workbookViewId="0">
      <selection activeCell="A2" sqref="A2:F2"/>
    </sheetView>
  </sheetViews>
  <sheetFormatPr defaultColWidth="8.6640625" defaultRowHeight="14.4" x14ac:dyDescent="0.3"/>
  <cols>
    <col min="1" max="1" width="39.77734375" style="180" customWidth="1"/>
    <col min="2" max="6" width="9" style="180" customWidth="1"/>
    <col min="7" max="7" width="7" style="180" customWidth="1"/>
    <col min="8" max="8" width="15.109375" style="180" customWidth="1"/>
  </cols>
  <sheetData>
    <row r="1" spans="1:8" ht="25.5" customHeight="1" x14ac:dyDescent="0.5">
      <c r="A1" s="292" t="s">
        <v>384</v>
      </c>
      <c r="B1" s="268"/>
      <c r="C1" s="268"/>
      <c r="D1" s="268"/>
      <c r="E1" s="268"/>
      <c r="F1" s="269"/>
    </row>
    <row r="2" spans="1:8" ht="14.25" customHeight="1" x14ac:dyDescent="0.3">
      <c r="A2" s="293" t="s">
        <v>385</v>
      </c>
      <c r="B2" s="294" t="s">
        <v>216</v>
      </c>
      <c r="C2" s="294" t="s">
        <v>217</v>
      </c>
      <c r="D2" s="294" t="s">
        <v>218</v>
      </c>
      <c r="E2" s="294" t="s">
        <v>219</v>
      </c>
      <c r="F2" s="295">
        <v>46082</v>
      </c>
    </row>
    <row r="3" spans="1:8" ht="14.25" customHeight="1" x14ac:dyDescent="0.3">
      <c r="A3" s="17" t="s">
        <v>386</v>
      </c>
      <c r="B3" s="30">
        <f>'Consolidated P&amp;L'!B7</f>
        <v>5717.39</v>
      </c>
      <c r="C3" s="30">
        <f>'Consolidated P&amp;L'!C7</f>
        <v>5694.83</v>
      </c>
      <c r="D3" s="30">
        <f>'Consolidated P&amp;L'!D7</f>
        <v>6427</v>
      </c>
      <c r="E3" s="30">
        <f>'Consolidated P&amp;L'!E7</f>
        <v>7993.66</v>
      </c>
      <c r="F3" s="30">
        <f>'Consolidated P&amp;L'!F7</f>
        <v>8194.02</v>
      </c>
      <c r="H3" t="s">
        <v>387</v>
      </c>
    </row>
    <row r="4" spans="1:8" ht="14.25" customHeight="1" x14ac:dyDescent="0.3">
      <c r="A4" s="19" t="s">
        <v>388</v>
      </c>
      <c r="B4" s="19"/>
      <c r="C4" s="33">
        <f>('Consolidated P&amp;L'!C7-'Consolidated P&amp;L'!B7)/'Consolidated P&amp;L'!B7</f>
        <v>-3.9458564135034339E-3</v>
      </c>
      <c r="D4" s="33">
        <f>('Consolidated P&amp;L'!D7-'Consolidated P&amp;L'!C7)/'Consolidated P&amp;L'!C7</f>
        <v>0.12856749016212954</v>
      </c>
      <c r="E4" s="33">
        <f>('Consolidated P&amp;L'!E7-'Consolidated P&amp;L'!D7)/'Consolidated P&amp;L'!D7</f>
        <v>0.24376225299517656</v>
      </c>
      <c r="F4" s="33">
        <f>('Consolidated P&amp;L'!F7-'Consolidated P&amp;L'!E7)/'Consolidated P&amp;L'!E7</f>
        <v>2.5064863904644505E-2</v>
      </c>
      <c r="G4" s="105">
        <f>AVERAGE(C4:F4)</f>
        <v>9.83621876621118E-2</v>
      </c>
      <c r="H4" s="105">
        <f>MEDIAN(C4:F4)</f>
        <v>7.6816177033387029E-2</v>
      </c>
    </row>
    <row r="5" spans="1:8" ht="14.25" customHeight="1" x14ac:dyDescent="0.3">
      <c r="A5" s="19" t="s">
        <v>389</v>
      </c>
      <c r="B5" s="30">
        <f>'Consolidated P&amp;L'!B12+'Consolidated P&amp;L'!B11</f>
        <v>2744.96</v>
      </c>
      <c r="C5" s="30">
        <f>'Consolidated P&amp;L'!C12+'Consolidated P&amp;L'!C11</f>
        <v>2433.96</v>
      </c>
      <c r="D5" s="30">
        <f>'Consolidated P&amp;L'!D12+'Consolidated P&amp;L'!D11</f>
        <v>2793.76</v>
      </c>
      <c r="E5" s="30">
        <f>'Consolidated P&amp;L'!E12+'Consolidated P&amp;L'!E11</f>
        <v>4131.58</v>
      </c>
      <c r="F5" s="30">
        <f>'Consolidated P&amp;L'!F12+'Consolidated P&amp;L'!F11</f>
        <v>4848.57</v>
      </c>
    </row>
    <row r="6" spans="1:8" ht="14.25" customHeight="1" x14ac:dyDescent="0.3">
      <c r="A6" s="19" t="s">
        <v>390</v>
      </c>
      <c r="B6" s="30">
        <f>'Consolidated P&amp;L'!B13</f>
        <v>353.99</v>
      </c>
      <c r="C6" s="30">
        <f>'Consolidated P&amp;L'!C13</f>
        <v>547.88</v>
      </c>
      <c r="D6" s="30">
        <f>'Consolidated P&amp;L'!D13</f>
        <v>545.95000000000005</v>
      </c>
      <c r="E6" s="30">
        <f>'Consolidated P&amp;L'!E13</f>
        <v>591.96</v>
      </c>
      <c r="F6" s="30">
        <f>'Consolidated P&amp;L'!F13</f>
        <v>640.29999999999995</v>
      </c>
    </row>
    <row r="7" spans="1:8" ht="14.25" customHeight="1" x14ac:dyDescent="0.3">
      <c r="A7" s="19" t="s">
        <v>391</v>
      </c>
      <c r="B7" s="30">
        <f>'Consolidated P&amp;L'!B16</f>
        <v>875.88</v>
      </c>
      <c r="C7" s="30">
        <f>'Consolidated P&amp;L'!C16</f>
        <v>987.11</v>
      </c>
      <c r="D7" s="30">
        <f>'Consolidated P&amp;L'!D16</f>
        <v>963.69</v>
      </c>
      <c r="E7" s="30">
        <f>'Consolidated P&amp;L'!E16</f>
        <v>1161.48</v>
      </c>
      <c r="F7" s="30">
        <f>'Consolidated P&amp;L'!F16</f>
        <v>1256.79</v>
      </c>
    </row>
    <row r="8" spans="1:8" ht="14.25" customHeight="1" x14ac:dyDescent="0.3">
      <c r="A8" s="17" t="s">
        <v>235</v>
      </c>
      <c r="B8" s="30">
        <f>B5+B6+B7</f>
        <v>3974.83</v>
      </c>
      <c r="C8" s="30">
        <f>C5+C6+C7</f>
        <v>3968.9500000000003</v>
      </c>
      <c r="D8" s="30">
        <f>D5+D6+D7</f>
        <v>4303.3999999999996</v>
      </c>
      <c r="E8" s="30">
        <f>E5+E6+E7</f>
        <v>5885.02</v>
      </c>
      <c r="F8" s="30">
        <f>F5+F6+F7</f>
        <v>6745.66</v>
      </c>
    </row>
    <row r="9" spans="1:8" ht="14.25" customHeight="1" x14ac:dyDescent="0.3">
      <c r="A9" s="17" t="s">
        <v>392</v>
      </c>
      <c r="B9" s="30">
        <f>B3-B8</f>
        <v>1742.5600000000004</v>
      </c>
      <c r="C9" s="30">
        <f>C3-C8</f>
        <v>1725.8799999999997</v>
      </c>
      <c r="D9" s="30">
        <f>D3-D8</f>
        <v>2123.6000000000004</v>
      </c>
      <c r="E9" s="30">
        <f>E3-E8</f>
        <v>2108.6399999999994</v>
      </c>
      <c r="F9" s="30">
        <f>F3-F8</f>
        <v>1448.3600000000006</v>
      </c>
    </row>
    <row r="10" spans="1:8" ht="14.25" customHeight="1" x14ac:dyDescent="0.3">
      <c r="A10" s="19" t="s">
        <v>393</v>
      </c>
      <c r="B10" s="30">
        <f>'Consolidated P&amp;L'!B15</f>
        <v>149.44</v>
      </c>
      <c r="C10" s="30">
        <f>'Consolidated P&amp;L'!C15</f>
        <v>148.63</v>
      </c>
      <c r="D10" s="30">
        <f>'Consolidated P&amp;L'!D15</f>
        <v>147.94999999999999</v>
      </c>
      <c r="E10" s="30">
        <f>'Consolidated P&amp;L'!E15</f>
        <v>150.66</v>
      </c>
      <c r="F10" s="30">
        <f>'Consolidated P&amp;L'!F15</f>
        <v>142.41</v>
      </c>
    </row>
    <row r="11" spans="1:8" ht="14.25" customHeight="1" x14ac:dyDescent="0.3">
      <c r="A11" s="19" t="s">
        <v>394</v>
      </c>
      <c r="B11" s="30">
        <f>B9-B10</f>
        <v>1593.1200000000003</v>
      </c>
      <c r="C11" s="30">
        <f>C9-C10</f>
        <v>1577.2499999999995</v>
      </c>
      <c r="D11" s="30">
        <f>D9-D10</f>
        <v>1975.6500000000003</v>
      </c>
      <c r="E11" s="30">
        <f>E9-E10</f>
        <v>1957.9799999999993</v>
      </c>
      <c r="F11" s="30">
        <f>F9-F10</f>
        <v>1305.9500000000005</v>
      </c>
    </row>
    <row r="12" spans="1:8" ht="14.25" customHeight="1" x14ac:dyDescent="0.3">
      <c r="A12" s="19" t="s">
        <v>395</v>
      </c>
      <c r="B12" s="30">
        <f>'Consolidated P&amp;L'!B8</f>
        <v>420.46</v>
      </c>
      <c r="C12" s="30">
        <f>'Consolidated P&amp;L'!C8</f>
        <v>317.31</v>
      </c>
      <c r="D12" s="30">
        <f>'Consolidated P&amp;L'!D8</f>
        <v>531.34</v>
      </c>
      <c r="E12" s="30">
        <f>'Consolidated P&amp;L'!E8</f>
        <v>1002.23</v>
      </c>
      <c r="F12" s="30">
        <f>'Consolidated P&amp;L'!F8</f>
        <v>1622.02</v>
      </c>
    </row>
    <row r="13" spans="1:8" ht="14.25" customHeight="1" x14ac:dyDescent="0.3">
      <c r="A13" s="19" t="s">
        <v>396</v>
      </c>
      <c r="B13" s="30">
        <f>'Consolidated P&amp;L'!B14</f>
        <v>624.54999999999995</v>
      </c>
      <c r="C13" s="30">
        <f>'Consolidated P&amp;L'!C14</f>
        <v>392.14</v>
      </c>
      <c r="D13" s="30">
        <f>'Consolidated P&amp;L'!D14</f>
        <v>356.45</v>
      </c>
      <c r="E13" s="30">
        <f>'Consolidated P&amp;L'!E14</f>
        <v>397.2</v>
      </c>
      <c r="F13" s="30">
        <f>'Consolidated P&amp;L'!F14</f>
        <v>199.07</v>
      </c>
    </row>
    <row r="14" spans="1:8" ht="14.25" customHeight="1" x14ac:dyDescent="0.3">
      <c r="A14" s="19" t="s">
        <v>397</v>
      </c>
      <c r="B14" s="30">
        <f>B11+B12-B13</f>
        <v>1389.0300000000004</v>
      </c>
      <c r="C14" s="30">
        <f>C11+C12-C13</f>
        <v>1502.4199999999996</v>
      </c>
      <c r="D14" s="30">
        <f>D11+D12-D13</f>
        <v>2150.5400000000004</v>
      </c>
      <c r="E14" s="30">
        <f>E11+E12-E13</f>
        <v>2563.0099999999993</v>
      </c>
      <c r="F14" s="30">
        <f>F11+F12-F13</f>
        <v>2728.9</v>
      </c>
    </row>
    <row r="15" spans="1:8" ht="14.25" customHeight="1" x14ac:dyDescent="0.3">
      <c r="A15" s="17" t="s">
        <v>398</v>
      </c>
      <c r="B15" s="30">
        <f>'Consolidated P&amp;L'!B25</f>
        <v>320.97000000000003</v>
      </c>
      <c r="C15" s="30">
        <f>'Consolidated P&amp;L'!C25</f>
        <v>401.5</v>
      </c>
      <c r="D15" s="30">
        <f>'Consolidated P&amp;L'!D25</f>
        <v>520.13</v>
      </c>
      <c r="E15" s="30">
        <f>'Consolidated P&amp;L'!E25</f>
        <v>-433.89</v>
      </c>
      <c r="F15" s="30">
        <f>'Consolidated P&amp;L'!F25</f>
        <v>309.97000000000003</v>
      </c>
    </row>
    <row r="16" spans="1:8" ht="14.25" customHeight="1" x14ac:dyDescent="0.3">
      <c r="A16" s="19" t="s">
        <v>399</v>
      </c>
      <c r="B16" s="30">
        <f>'Consolidated P&amp;L'!B29</f>
        <v>0.54</v>
      </c>
      <c r="C16" s="30">
        <f>'Consolidated P&amp;L'!C29</f>
        <v>1.88</v>
      </c>
      <c r="D16" s="30">
        <f>'Consolidated P&amp;L'!D29</f>
        <v>3.56</v>
      </c>
      <c r="E16" s="30">
        <f>'Consolidated P&amp;L'!E29</f>
        <v>0.8</v>
      </c>
      <c r="F16" s="30">
        <f>'Consolidated P&amp;L'!F29</f>
        <v>0</v>
      </c>
    </row>
    <row r="17" spans="1:9" ht="14.25" customHeight="1" x14ac:dyDescent="0.3">
      <c r="A17" s="17" t="s">
        <v>400</v>
      </c>
      <c r="B17" s="30">
        <f>B14-B15-B16</f>
        <v>1067.5200000000004</v>
      </c>
      <c r="C17" s="30">
        <f>C14-C15-C16</f>
        <v>1099.0399999999995</v>
      </c>
      <c r="D17" s="30">
        <f>D14-D15-D16</f>
        <v>1626.8500000000004</v>
      </c>
      <c r="E17" s="30">
        <f>E14-E15-E16</f>
        <v>2996.099999999999</v>
      </c>
      <c r="F17" s="30">
        <f>F14-F15-F16</f>
        <v>2418.9300000000003</v>
      </c>
    </row>
    <row r="18" spans="1:9" ht="14.25" customHeight="1" x14ac:dyDescent="0.3">
      <c r="A18" s="19"/>
      <c r="B18" s="19"/>
      <c r="C18" s="19"/>
      <c r="D18" s="19"/>
      <c r="E18" s="19"/>
      <c r="F18" s="19"/>
    </row>
    <row r="21" spans="1:9" ht="14.25" customHeight="1" x14ac:dyDescent="0.3">
      <c r="A21" s="226" t="s">
        <v>401</v>
      </c>
      <c r="B21" s="225"/>
      <c r="C21" s="223"/>
    </row>
    <row r="22" spans="1:9" ht="14.25" customHeight="1" x14ac:dyDescent="0.3">
      <c r="A22" s="60" t="s">
        <v>402</v>
      </c>
      <c r="B22" s="33">
        <f>AVERAGE(C4:F4)</f>
        <v>9.83621876621118E-2</v>
      </c>
      <c r="C22" s="19"/>
    </row>
    <row r="23" spans="1:9" ht="14.25" customHeight="1" x14ac:dyDescent="0.3">
      <c r="A23" s="60" t="s">
        <v>403</v>
      </c>
      <c r="B23" s="33">
        <f>(F3/B3)^(1/5)-1</f>
        <v>7.4632177405212996E-2</v>
      </c>
      <c r="C23" s="33">
        <f>_xlfn.RRI(5,B3,F3)</f>
        <v>7.4632177405212996E-2</v>
      </c>
      <c r="D23" t="s">
        <v>404</v>
      </c>
    </row>
    <row r="25" spans="1:9" ht="14.25" customHeight="1" x14ac:dyDescent="0.3">
      <c r="A25" s="61" t="s">
        <v>405</v>
      </c>
    </row>
    <row r="26" spans="1:9" ht="14.25" customHeight="1" x14ac:dyDescent="0.3">
      <c r="A26" s="62" t="s">
        <v>392</v>
      </c>
      <c r="B26" s="63">
        <f>B9/B3</f>
        <v>0.30478242694656132</v>
      </c>
      <c r="C26" s="63">
        <f>C9/C3</f>
        <v>0.30306084641683767</v>
      </c>
      <c r="D26" s="63">
        <f>D9/D3</f>
        <v>0.33041854675587373</v>
      </c>
      <c r="E26" s="63">
        <f>E9/E3</f>
        <v>0.26378905282436321</v>
      </c>
      <c r="F26" s="63">
        <f>F9/F3</f>
        <v>0.17675817242330388</v>
      </c>
    </row>
    <row r="27" spans="1:9" ht="14.25" customHeight="1" x14ac:dyDescent="0.3">
      <c r="A27" s="62" t="s">
        <v>406</v>
      </c>
      <c r="B27" s="63">
        <f>B11/B3</f>
        <v>0.2786446263067589</v>
      </c>
      <c r="C27" s="63">
        <f>C11/C3</f>
        <v>0.27696173546883746</v>
      </c>
      <c r="D27" s="63">
        <f>D11/D3</f>
        <v>0.30739847518282254</v>
      </c>
      <c r="E27" s="63">
        <f>E11/E3</f>
        <v>0.24494161623086289</v>
      </c>
      <c r="F27" s="63">
        <f>F11/F3</f>
        <v>0.15937842475366187</v>
      </c>
    </row>
    <row r="28" spans="1:9" ht="14.25" customHeight="1" x14ac:dyDescent="0.3">
      <c r="A28" s="62" t="s">
        <v>397</v>
      </c>
      <c r="B28" s="63">
        <f>B14/B3</f>
        <v>0.24294826835321717</v>
      </c>
      <c r="C28" s="63">
        <f>C14/C3</f>
        <v>0.26382174709341627</v>
      </c>
      <c r="D28" s="63">
        <f>D14/D3</f>
        <v>0.33461023805819207</v>
      </c>
      <c r="E28" s="63">
        <f>E14/E3</f>
        <v>0.32063034955201991</v>
      </c>
      <c r="F28" s="63">
        <f>F14/F3</f>
        <v>0.33303555519757089</v>
      </c>
    </row>
    <row r="29" spans="1:9" ht="14.25" customHeight="1" x14ac:dyDescent="0.3">
      <c r="A29" s="62" t="s">
        <v>407</v>
      </c>
      <c r="B29" s="63">
        <f>B17/B3</f>
        <v>0.1867145673113082</v>
      </c>
      <c r="C29" s="63">
        <f>C17/C3</f>
        <v>0.19298907956866132</v>
      </c>
      <c r="D29" s="63">
        <f>D17/D3</f>
        <v>0.25312743114983666</v>
      </c>
      <c r="E29" s="63">
        <f>E17/E3</f>
        <v>0.37480953655772187</v>
      </c>
      <c r="F29" s="63">
        <f>F17/F3</f>
        <v>0.29520674833598165</v>
      </c>
    </row>
    <row r="31" spans="1:9" ht="14.25" customHeight="1" x14ac:dyDescent="0.3">
      <c r="A31" s="61" t="s">
        <v>372</v>
      </c>
    </row>
    <row r="32" spans="1:9" ht="14.25" customHeight="1" x14ac:dyDescent="0.3">
      <c r="A32" s="62" t="s">
        <v>408</v>
      </c>
      <c r="B32" s="64">
        <f>B15/B14</f>
        <v>0.23107492278784469</v>
      </c>
      <c r="C32" s="64">
        <f>C15/C14</f>
        <v>0.26723552668361716</v>
      </c>
      <c r="D32" s="64">
        <f>D15/D14</f>
        <v>0.2418601839537976</v>
      </c>
      <c r="E32" s="64">
        <f>E15/E14</f>
        <v>-0.16928923414266822</v>
      </c>
      <c r="F32" s="64">
        <f>F15/F14</f>
        <v>0.11358789255744073</v>
      </c>
      <c r="G32" s="105"/>
      <c r="H32" t="s">
        <v>408</v>
      </c>
      <c r="I32" s="105">
        <f>AVERAGE(B32:F32)</f>
        <v>0.13689385836800638</v>
      </c>
    </row>
    <row r="33" spans="1:9" ht="14.25" customHeight="1" x14ac:dyDescent="0.3">
      <c r="A33" s="62" t="s">
        <v>409</v>
      </c>
      <c r="B33" s="65">
        <v>0.25</v>
      </c>
      <c r="C33" s="65">
        <v>0.25</v>
      </c>
      <c r="D33" s="65">
        <v>0.25</v>
      </c>
      <c r="E33" s="65">
        <v>0.25</v>
      </c>
      <c r="F33" s="65">
        <v>0.25</v>
      </c>
      <c r="I33" s="105">
        <f>AVERAGE(B33:F33)</f>
        <v>0.25</v>
      </c>
    </row>
    <row r="35" spans="1:9" ht="14.25" customHeight="1" x14ac:dyDescent="0.3">
      <c r="A35" s="61" t="s">
        <v>410</v>
      </c>
    </row>
    <row r="36" spans="1:9" ht="14.25" customHeight="1" x14ac:dyDescent="0.3">
      <c r="A36" s="62" t="s">
        <v>411</v>
      </c>
      <c r="B36" s="30">
        <f>B11*(1-B33)</f>
        <v>1194.8400000000001</v>
      </c>
      <c r="C36" s="30">
        <f>C11*(1-C33)</f>
        <v>1182.9374999999995</v>
      </c>
      <c r="D36" s="30">
        <f>D11*(1-D33)</f>
        <v>1481.7375000000002</v>
      </c>
      <c r="E36" s="30">
        <f>E11*(1-E33)</f>
        <v>1468.4849999999994</v>
      </c>
      <c r="F36" s="30">
        <f>F11*(1-F33)</f>
        <v>979.46250000000032</v>
      </c>
    </row>
    <row r="37" spans="1:9" ht="14.25" customHeight="1" x14ac:dyDescent="0.3">
      <c r="A37" s="62" t="s">
        <v>412</v>
      </c>
      <c r="B37" s="30">
        <f>'Consolidated Balance Sheet'!B9</f>
        <v>36362.28</v>
      </c>
      <c r="C37" s="30">
        <f>'Consolidated Balance Sheet'!C9</f>
        <v>37687.53</v>
      </c>
      <c r="D37" s="30">
        <f>'Consolidated Balance Sheet'!D9</f>
        <v>39430.81</v>
      </c>
      <c r="E37" s="30">
        <f>'Consolidated Balance Sheet'!E9</f>
        <v>42550.22</v>
      </c>
      <c r="F37" s="30">
        <f>'Consolidated Balance Sheet'!F9</f>
        <v>45473.37</v>
      </c>
    </row>
    <row r="38" spans="1:9" ht="14.25" customHeight="1" x14ac:dyDescent="0.3">
      <c r="A38" s="62" t="s">
        <v>413</v>
      </c>
      <c r="B38" s="30">
        <f>'Consolidated Balance Sheet'!B12+'Consolidated Balance Sheet'!B18</f>
        <v>3960</v>
      </c>
      <c r="C38" s="30">
        <f>'Consolidated Balance Sheet'!C12+'Consolidated Balance Sheet'!C18</f>
        <v>3103.09</v>
      </c>
      <c r="D38" s="30">
        <f>'Consolidated Balance Sheet'!D12+'Consolidated Balance Sheet'!D18</f>
        <v>4598.7199999999993</v>
      </c>
      <c r="E38" s="30">
        <f>'Consolidated Balance Sheet'!E12+'Consolidated Balance Sheet'!E18</f>
        <v>3854.0299999999997</v>
      </c>
      <c r="F38" s="30">
        <f>'Consolidated Balance Sheet'!F12+'Consolidated Balance Sheet'!F18</f>
        <v>44.95</v>
      </c>
    </row>
    <row r="39" spans="1:9" ht="14.25" customHeight="1" x14ac:dyDescent="0.3">
      <c r="A39" s="62" t="s">
        <v>414</v>
      </c>
      <c r="B39" s="30">
        <f>'Consolidated Balance Sheet'!B40</f>
        <v>931.62</v>
      </c>
      <c r="C39" s="30">
        <f>'Consolidated Balance Sheet'!C40</f>
        <v>2274.7199999999998</v>
      </c>
      <c r="D39" s="30">
        <f>'Consolidated Balance Sheet'!D40</f>
        <v>4384.3500000000004</v>
      </c>
      <c r="E39" s="30">
        <f>'Consolidated Balance Sheet'!E40</f>
        <v>4338.08</v>
      </c>
      <c r="F39" s="30">
        <f>'Consolidated Balance Sheet'!F40</f>
        <v>7746.4</v>
      </c>
    </row>
    <row r="40" spans="1:9" ht="14.25" customHeight="1" x14ac:dyDescent="0.3">
      <c r="A40" s="62" t="s">
        <v>415</v>
      </c>
      <c r="B40" s="30">
        <f>B37+B38+B39</f>
        <v>41253.9</v>
      </c>
      <c r="C40" s="30">
        <f>C37+C38+C39</f>
        <v>43065.34</v>
      </c>
      <c r="D40" s="30">
        <f>D37+D38+D39</f>
        <v>48413.88</v>
      </c>
      <c r="E40" s="30">
        <f>E37+E38+E39</f>
        <v>50742.33</v>
      </c>
      <c r="F40" s="30">
        <f>F37+F38+F39</f>
        <v>53264.72</v>
      </c>
    </row>
    <row r="42" spans="1:9" ht="14.25" customHeight="1" x14ac:dyDescent="0.3">
      <c r="A42" s="62" t="s">
        <v>416</v>
      </c>
      <c r="B42" s="64">
        <f>B11/B40</f>
        <v>3.8617439805691108E-2</v>
      </c>
      <c r="C42" s="64">
        <f>C11/C40</f>
        <v>3.6624580230877071E-2</v>
      </c>
      <c r="D42" s="64">
        <f>D11/D40</f>
        <v>4.0807512225832766E-2</v>
      </c>
      <c r="E42" s="64">
        <f>E11/E40</f>
        <v>3.8586718426213369E-2</v>
      </c>
      <c r="F42" s="64">
        <f>F11/F40</f>
        <v>2.4518105042136716E-2</v>
      </c>
    </row>
    <row r="43" spans="1:9" ht="14.25" customHeight="1" x14ac:dyDescent="0.3">
      <c r="A43" s="62" t="s">
        <v>417</v>
      </c>
      <c r="B43" s="64">
        <f>B36/B40</f>
        <v>2.8963079854268325E-2</v>
      </c>
      <c r="C43" s="64">
        <f>C36/C40</f>
        <v>2.7468435173157803E-2</v>
      </c>
      <c r="D43" s="64">
        <f>D36/D40</f>
        <v>3.0605634169374573E-2</v>
      </c>
      <c r="E43" s="64">
        <f>E36/E40</f>
        <v>2.8940038819660022E-2</v>
      </c>
      <c r="F43" s="64">
        <f>F36/F40</f>
        <v>1.8388578781602539E-2</v>
      </c>
    </row>
    <row r="44" spans="1:9" ht="14.25" customHeight="1" x14ac:dyDescent="0.3">
      <c r="A44" s="1"/>
    </row>
    <row r="45" spans="1:9" ht="14.25" customHeight="1" x14ac:dyDescent="0.3">
      <c r="A45" s="66" t="s">
        <v>418</v>
      </c>
      <c r="B45" s="33"/>
      <c r="C45" s="64">
        <f>FCFF!B12*F43</f>
        <v>6.3714533560998233E-3</v>
      </c>
      <c r="D45" s="64"/>
      <c r="E45" s="64"/>
      <c r="F45" s="64"/>
    </row>
  </sheetData>
  <mergeCells count="2">
    <mergeCell ref="A1:F1"/>
    <mergeCell ref="A21:C21"/>
  </mergeCell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40"/>
  <sheetViews>
    <sheetView showGridLines="0" zoomScaleNormal="100" workbookViewId="0">
      <selection sqref="A1:I2"/>
    </sheetView>
  </sheetViews>
  <sheetFormatPr defaultColWidth="8.6640625" defaultRowHeight="14.4" x14ac:dyDescent="0.3"/>
  <cols>
    <col min="1" max="1" width="24.33203125" style="180" customWidth="1"/>
    <col min="2" max="6" width="8" style="180" customWidth="1"/>
    <col min="7" max="7" width="14.77734375" style="180" customWidth="1"/>
    <col min="8" max="9" width="8" style="180" customWidth="1"/>
  </cols>
  <sheetData>
    <row r="1" spans="1:9" ht="14.25" customHeight="1" x14ac:dyDescent="0.3">
      <c r="A1" s="287" t="s">
        <v>419</v>
      </c>
      <c r="B1" s="268"/>
      <c r="C1" s="268"/>
      <c r="D1" s="268"/>
      <c r="E1" s="268"/>
      <c r="F1" s="268"/>
      <c r="G1" s="268"/>
      <c r="H1" s="268"/>
      <c r="I1" s="269"/>
    </row>
    <row r="2" spans="1:9" ht="14.25" customHeight="1" x14ac:dyDescent="0.3">
      <c r="A2" s="288" t="s">
        <v>420</v>
      </c>
      <c r="B2" s="289">
        <v>44621</v>
      </c>
      <c r="C2" s="289">
        <v>44986</v>
      </c>
      <c r="D2" s="289">
        <v>45352</v>
      </c>
      <c r="E2" s="289">
        <v>45717</v>
      </c>
      <c r="F2" s="289">
        <v>46082</v>
      </c>
      <c r="G2" s="290" t="s">
        <v>421</v>
      </c>
      <c r="H2" s="291" t="s">
        <v>422</v>
      </c>
      <c r="I2" s="291" t="s">
        <v>423</v>
      </c>
    </row>
    <row r="3" spans="1:9" ht="14.25" customHeight="1" x14ac:dyDescent="0.3">
      <c r="A3" s="19"/>
      <c r="B3" s="19"/>
      <c r="C3" s="19"/>
      <c r="D3" s="19"/>
      <c r="E3" s="19"/>
      <c r="F3" s="19"/>
      <c r="G3" s="19"/>
      <c r="H3" s="19"/>
      <c r="I3" s="19"/>
    </row>
    <row r="4" spans="1:9" ht="14.25" customHeight="1" x14ac:dyDescent="0.3">
      <c r="A4" s="19" t="s">
        <v>424</v>
      </c>
      <c r="B4" s="33"/>
      <c r="C4" s="33">
        <f>('Consolidated P&amp;L'!C7-'Consolidated P&amp;L'!B7)/'Consolidated P&amp;L'!B7</f>
        <v>-3.9458564135034339E-3</v>
      </c>
      <c r="D4" s="33">
        <f>('Consolidated P&amp;L'!D7-'Consolidated P&amp;L'!C7)/'Consolidated P&amp;L'!C7</f>
        <v>0.12856749016212954</v>
      </c>
      <c r="E4" s="33">
        <f>('Consolidated P&amp;L'!E7-'Consolidated P&amp;L'!D7)/'Consolidated P&amp;L'!D7</f>
        <v>0.24376225299517656</v>
      </c>
      <c r="F4" s="33">
        <f>('Consolidated P&amp;L'!F7-'Consolidated P&amp;L'!E7)/'Consolidated P&amp;L'!E7</f>
        <v>2.5064863904644505E-2</v>
      </c>
      <c r="G4" s="19"/>
      <c r="H4" s="33">
        <f>AVERAGE(C4:F4)</f>
        <v>9.83621876621118E-2</v>
      </c>
      <c r="I4" s="33">
        <f>MEDIAN(C4:F4)</f>
        <v>7.6816177033387029E-2</v>
      </c>
    </row>
    <row r="5" spans="1:9" ht="14.25" customHeight="1" x14ac:dyDescent="0.3">
      <c r="A5" s="19" t="s">
        <v>425</v>
      </c>
      <c r="B5" s="33"/>
      <c r="C5" s="33">
        <f>(('Consolidated P&amp;L'!C7-'Consolidated P&amp;L'!C12-'Consolidated P&amp;L'!C13-'Consolidated P&amp;L'!C16)-('Consolidated P&amp;L'!B7-'Consolidated P&amp;L'!B12-'Consolidated P&amp;L'!B13-'Consolidated P&amp;L'!B16))/('Consolidated P&amp;L'!B7-'Consolidated P&amp;L'!B12-'Consolidated P&amp;L'!B13-'Consolidated P&amp;L'!B16)</f>
        <v>-9.5721237719221964E-3</v>
      </c>
      <c r="D5" s="33">
        <f>(('Consolidated P&amp;L'!D7-'Consolidated P&amp;L'!D12-'Consolidated P&amp;L'!D13-'Consolidated P&amp;L'!D16)-('Consolidated P&amp;L'!C7-'Consolidated P&amp;L'!C12-'Consolidated P&amp;L'!C13-'Consolidated P&amp;L'!C16))/('Consolidated P&amp;L'!C7-'Consolidated P&amp;L'!C12-'Consolidated P&amp;L'!C13-'Consolidated P&amp;L'!C16)</f>
        <v>0.2304447586158947</v>
      </c>
      <c r="E5" s="33">
        <f>(('Consolidated P&amp;L'!E7-'Consolidated P&amp;L'!E12-'Consolidated P&amp;L'!E13-'Consolidated P&amp;L'!E16)-('Consolidated P&amp;L'!D7-'Consolidated P&amp;L'!D12-'Consolidated P&amp;L'!D13-'Consolidated P&amp;L'!D16))/('Consolidated P&amp;L'!D7-'Consolidated P&amp;L'!D12-'Consolidated P&amp;L'!D13-'Consolidated P&amp;L'!D16)</f>
        <v>-7.0446411753626089E-3</v>
      </c>
      <c r="F5" s="33">
        <f>(('Consolidated P&amp;L'!F7-'Consolidated P&amp;L'!F12-'Consolidated P&amp;L'!F13-'Consolidated P&amp;L'!F16)-('Consolidated P&amp;L'!E7-'Consolidated P&amp;L'!E12-'Consolidated P&amp;L'!E13-'Consolidated P&amp;L'!E16))/('Consolidated P&amp;L'!E7-'Consolidated P&amp;L'!E12-'Consolidated P&amp;L'!E13-'Consolidated P&amp;L'!E16)</f>
        <v>1.9862518021094171</v>
      </c>
      <c r="G5" s="19"/>
      <c r="H5" s="33">
        <f>AVERAGE(C5:F5)</f>
        <v>0.55001994894450679</v>
      </c>
      <c r="I5" s="33">
        <f>MEDIAN(C5:F5)</f>
        <v>0.11170005872026605</v>
      </c>
    </row>
    <row r="6" spans="1:9" ht="14.25" customHeight="1" x14ac:dyDescent="0.3">
      <c r="A6" s="19" t="s">
        <v>426</v>
      </c>
      <c r="B6" s="33"/>
      <c r="C6" s="33">
        <f>(('Consolidated P&amp;L'!C7-'Consolidated P&amp;L'!C12-'Consolidated P&amp;L'!C13-'Consolidated P&amp;L'!C16-'Consolidated P&amp;L'!C15)-('Consolidated P&amp;L'!B7-'Consolidated P&amp;L'!B12-'Consolidated P&amp;L'!B13-'Consolidated P&amp;L'!B16-'Consolidated P&amp;L'!B15))/('Consolidated P&amp;L'!B7-'Consolidated P&amp;L'!B12-'Consolidated P&amp;L'!B13-'Consolidated P&amp;L'!B16-'Consolidated P&amp;L'!B15)</f>
        <v>-9.9615848147037236E-3</v>
      </c>
      <c r="D6" s="33">
        <f>(('Consolidated P&amp;L'!D7-'Consolidated P&amp;L'!D12-'Consolidated P&amp;L'!D13-'Consolidated P&amp;L'!D16-'Consolidated P&amp;L'!D15)-('Consolidated P&amp;L'!C7-'Consolidated P&amp;L'!C12-'Consolidated P&amp;L'!C13-'Consolidated P&amp;L'!C16-'Consolidated P&amp;L'!C15))/('Consolidated P&amp;L'!C7-'Consolidated P&amp;L'!C12-'Consolidated P&amp;L'!C13-'Consolidated P&amp;L'!C16-'Consolidated P&amp;L'!C15)</f>
        <v>0.25259153590109396</v>
      </c>
      <c r="E6" s="33">
        <f>(('Consolidated P&amp;L'!E7-'Consolidated P&amp;L'!E12-'Consolidated P&amp;L'!E13-'Consolidated P&amp;L'!E16-'Consolidated P&amp;L'!E15)-('Consolidated P&amp;L'!D7-'Consolidated P&amp;L'!D12-'Consolidated P&amp;L'!D13-'Consolidated P&amp;L'!D16-'Consolidated P&amp;L'!D15))/('Consolidated P&amp;L'!D7-'Consolidated P&amp;L'!D12-'Consolidated P&amp;L'!D13-'Consolidated P&amp;L'!D16-'Consolidated P&amp;L'!D15)</f>
        <v>-8.9438918836838889E-3</v>
      </c>
      <c r="F6" s="33">
        <f>(('Consolidated P&amp;L'!F7-'Consolidated P&amp;L'!F12-'Consolidated P&amp;L'!F13-'Consolidated P&amp;L'!F16-'Consolidated P&amp;L'!F15)-('Consolidated P&amp;L'!E7-'Consolidated P&amp;L'!E12-'Consolidated P&amp;L'!E13-'Consolidated P&amp;L'!E16-'Consolidated P&amp;L'!E15))/('Consolidated P&amp;L'!E7-'Consolidated P&amp;L'!E12-'Consolidated P&amp;L'!E13-'Consolidated P&amp;L'!E16-'Consolidated P&amp;L'!E15)</f>
        <v>2.1433007487308355</v>
      </c>
      <c r="G6" s="19"/>
      <c r="H6" s="33">
        <f>AVERAGE(C6:F6)</f>
        <v>0.59424670198338547</v>
      </c>
      <c r="I6" s="33">
        <f>MEDIAN(C6:F6)</f>
        <v>0.12182382200870503</v>
      </c>
    </row>
    <row r="7" spans="1:9" ht="14.25" customHeight="1" x14ac:dyDescent="0.3">
      <c r="A7" s="19" t="s">
        <v>427</v>
      </c>
      <c r="B7" s="33"/>
      <c r="C7" s="33">
        <f>('Consolidated P&amp;L'!C31-'Consolidated P&amp;L'!B31)/'Consolidated P&amp;L'!B31</f>
        <v>0.35645134423826502</v>
      </c>
      <c r="D7" s="33">
        <f>('Consolidated P&amp;L'!D31-'Consolidated P&amp;L'!C31)/'Consolidated P&amp;L'!C31</f>
        <v>0.33955683922527924</v>
      </c>
      <c r="E7" s="33">
        <f>('Consolidated P&amp;L'!E31-'Consolidated P&amp;L'!D31)/'Consolidated P&amp;L'!D31</f>
        <v>0.6015562261881624</v>
      </c>
      <c r="F7" s="33">
        <f>('Consolidated P&amp;L'!F31-'Consolidated P&amp;L'!E31)/'Consolidated P&amp;L'!E31</f>
        <v>1.0774746887320875E-2</v>
      </c>
      <c r="G7" s="19"/>
      <c r="H7" s="33">
        <f>AVERAGE(C7:F7)</f>
        <v>0.32708478913475691</v>
      </c>
      <c r="I7" s="33">
        <f>MEDIAN(C7:F7)</f>
        <v>0.34800409173177216</v>
      </c>
    </row>
    <row r="8" spans="1:9" ht="14.25" customHeight="1" x14ac:dyDescent="0.3">
      <c r="A8" s="19" t="s">
        <v>428</v>
      </c>
      <c r="B8" s="33"/>
      <c r="C8" s="33">
        <f>('Consolidated P&amp;L'!C36-'Consolidated P&amp;L'!B36)/'Consolidated P&amp;L'!B36</f>
        <v>0.50000000000000011</v>
      </c>
      <c r="D8" s="33">
        <f>('Consolidated P&amp;L'!D36-'Consolidated P&amp;L'!C36)/'Consolidated P&amp;L'!C36</f>
        <v>0.33333333333333326</v>
      </c>
      <c r="E8" s="33">
        <f>('Consolidated P&amp;L'!E36-'Consolidated P&amp;L'!D36)/'Consolidated P&amp;L'!D36</f>
        <v>0.25001009978588462</v>
      </c>
      <c r="F8" s="33"/>
      <c r="G8" s="19"/>
      <c r="H8" s="33">
        <f>AVERAGE(C8:E8)</f>
        <v>0.36111447770640598</v>
      </c>
      <c r="I8" s="33">
        <f>MEDIAN(C8:E8)</f>
        <v>0.33333333333333326</v>
      </c>
    </row>
    <row r="9" spans="1:9" ht="14.25" customHeight="1" x14ac:dyDescent="0.3">
      <c r="A9" s="19"/>
      <c r="B9" s="19"/>
      <c r="C9" s="19"/>
      <c r="D9" s="19"/>
      <c r="E9" s="19"/>
      <c r="F9" s="19"/>
      <c r="G9" s="19"/>
      <c r="H9" s="67"/>
      <c r="I9" s="67"/>
    </row>
    <row r="10" spans="1:9" ht="14.25" customHeight="1" x14ac:dyDescent="0.3">
      <c r="A10" s="19" t="s">
        <v>429</v>
      </c>
      <c r="B10" s="33">
        <f>('Consolidated P&amp;L'!B7-'Consolidated P&amp;L'!B12-'Consolidated P&amp;L'!B13)/'Consolidated P&amp;L'!B7</f>
        <v>0.45797820334103506</v>
      </c>
      <c r="C10" s="33">
        <f>('Consolidated P&amp;L'!C7-'Consolidated P&amp;L'!C12-'Consolidated P&amp;L'!C13)/'Consolidated P&amp;L'!C7</f>
        <v>0.47639525675042094</v>
      </c>
      <c r="D10" s="33">
        <f>('Consolidated P&amp;L'!D7-'Consolidated P&amp;L'!D12-'Consolidated P&amp;L'!D13)/'Consolidated P&amp;L'!D7</f>
        <v>0.4803625330636378</v>
      </c>
      <c r="E10" s="33">
        <f>('Consolidated P&amp;L'!E7-'Consolidated P&amp;L'!E12-'Consolidated P&amp;L'!E13)/'Consolidated P&amp;L'!E7</f>
        <v>0.40908920319353087</v>
      </c>
      <c r="F10" s="33">
        <f>('Consolidated P&amp;L'!F7-'Consolidated P&amp;L'!F12-'Consolidated P&amp;L'!F13)/'Consolidated P&amp;L'!F7</f>
        <v>0.92185764740627918</v>
      </c>
      <c r="G10" s="19"/>
      <c r="H10" s="33">
        <f>AVERAGE(B10:F10)</f>
        <v>0.54913656875098071</v>
      </c>
      <c r="I10" s="33">
        <f>MEDIAN(B10:F10)</f>
        <v>0.47639525675042094</v>
      </c>
    </row>
    <row r="11" spans="1:9" ht="14.25" customHeight="1" x14ac:dyDescent="0.3">
      <c r="A11" s="19" t="s">
        <v>430</v>
      </c>
      <c r="B11" s="33">
        <f>('Consolidated P&amp;L'!B7-'Consolidated P&amp;L'!B12-'Consolidated P&amp;L'!B13-'Consolidated P&amp;L'!B16)/'Consolidated P&amp;L'!B7</f>
        <v>0.30478242694656132</v>
      </c>
      <c r="C11" s="33">
        <f>('Consolidated P&amp;L'!C7-'Consolidated P&amp;L'!C12-'Consolidated P&amp;L'!C13-'Consolidated P&amp;L'!C16)/'Consolidated P&amp;L'!C7</f>
        <v>0.30306084641683767</v>
      </c>
      <c r="D11" s="33">
        <f>('Consolidated P&amp;L'!D7-'Consolidated P&amp;L'!D12-'Consolidated P&amp;L'!D13-'Consolidated P&amp;L'!D16)/'Consolidated P&amp;L'!D7</f>
        <v>0.33041854675587362</v>
      </c>
      <c r="E11" s="33">
        <f>('Consolidated P&amp;L'!E7-'Consolidated P&amp;L'!E12-'Consolidated P&amp;L'!E13-'Consolidated P&amp;L'!E16)/'Consolidated P&amp;L'!E7</f>
        <v>0.26378905282436332</v>
      </c>
      <c r="F11" s="33">
        <f>('Consolidated P&amp;L'!F7-'Consolidated P&amp;L'!F12-'Consolidated P&amp;L'!F13-'Consolidated P&amp;L'!F16)/'Consolidated P&amp;L'!F7</f>
        <v>0.76847871984691274</v>
      </c>
      <c r="G11" s="19"/>
      <c r="H11" s="33">
        <f>AVERAGE(B11:F11)</f>
        <v>0.39410591855810972</v>
      </c>
      <c r="I11" s="33">
        <f>MEDIAN(B11:F11)</f>
        <v>0.30478242694656132</v>
      </c>
    </row>
    <row r="12" spans="1:9" ht="14.25" customHeight="1" x14ac:dyDescent="0.3">
      <c r="A12" s="19" t="s">
        <v>431</v>
      </c>
      <c r="B12" s="33">
        <f>('Consolidated P&amp;L'!B7-'Consolidated P&amp;L'!B12-'Consolidated P&amp;L'!B13-'Consolidated P&amp;L'!B16-'Consolidated P&amp;L'!B15)/'Consolidated P&amp;L'!B7</f>
        <v>0.2786446263067589</v>
      </c>
      <c r="C12" s="33">
        <f>('Consolidated P&amp;L'!C7-'Consolidated P&amp;L'!C12-'Consolidated P&amp;L'!C13-'Consolidated P&amp;L'!C16-'Consolidated P&amp;L'!C15)/'Consolidated P&amp;L'!C7</f>
        <v>0.27696173546883746</v>
      </c>
      <c r="D12" s="33">
        <f>('Consolidated P&amp;L'!D7-'Consolidated P&amp;L'!D12-'Consolidated P&amp;L'!D13-'Consolidated P&amp;L'!D16-'Consolidated P&amp;L'!D15)/'Consolidated P&amp;L'!D7</f>
        <v>0.30739847518282243</v>
      </c>
      <c r="E12" s="33">
        <f>('Consolidated P&amp;L'!E7-'Consolidated P&amp;L'!E12-'Consolidated P&amp;L'!E13-'Consolidated P&amp;L'!E16-'Consolidated P&amp;L'!E15)/'Consolidated P&amp;L'!E7</f>
        <v>0.24494161623086294</v>
      </c>
      <c r="F12" s="33">
        <f>('Consolidated P&amp;L'!F7-'Consolidated P&amp;L'!F12-'Consolidated P&amp;L'!F13-'Consolidated P&amp;L'!F16-'Consolidated P&amp;L'!F15)/'Consolidated P&amp;L'!F7</f>
        <v>0.75109897217727073</v>
      </c>
      <c r="G12" s="19"/>
      <c r="H12" s="33">
        <f>AVERAGE(B12:F12)</f>
        <v>0.37180908507331051</v>
      </c>
      <c r="I12" s="33">
        <f>MEDIAN(B12:F12)</f>
        <v>0.2786446263067589</v>
      </c>
    </row>
    <row r="13" spans="1:9" ht="14.25" customHeight="1" x14ac:dyDescent="0.3">
      <c r="A13" s="19" t="s">
        <v>432</v>
      </c>
      <c r="B13" s="33">
        <f>'Consolidated P&amp;L'!B20/'Consolidated P&amp;L'!B7</f>
        <v>0.20369259399831038</v>
      </c>
      <c r="C13" s="33">
        <f>'Consolidated P&amp;L'!C20/'Consolidated P&amp;L'!C7</f>
        <v>0.26382174709341633</v>
      </c>
      <c r="D13" s="33">
        <f>'Consolidated P&amp;L'!D20/'Consolidated P&amp;L'!D7</f>
        <v>0.33461179399408747</v>
      </c>
      <c r="E13" s="33">
        <f>'Consolidated P&amp;L'!E20/'Consolidated P&amp;L'!E7</f>
        <v>0.28280162028407513</v>
      </c>
      <c r="F13" s="33">
        <f>'Consolidated P&amp;L'!F20/'Consolidated P&amp;L'!F7</f>
        <v>0.35779995655368185</v>
      </c>
      <c r="G13" s="19"/>
      <c r="H13" s="33">
        <f>AVERAGE(B13:F13)</f>
        <v>0.28854554238471419</v>
      </c>
      <c r="I13" s="33">
        <f>MEDIAN(B13:F13)</f>
        <v>0.28280162028407513</v>
      </c>
    </row>
    <row r="14" spans="1:9" ht="14.25" customHeight="1" x14ac:dyDescent="0.3">
      <c r="A14" s="19" t="s">
        <v>433</v>
      </c>
      <c r="B14" s="33">
        <f>'Consolidated P&amp;L'!B31/'Consolidated P&amp;L'!B7</f>
        <v>0.26250614353752322</v>
      </c>
      <c r="C14" s="33">
        <f>'Consolidated P&amp;L'!C31/'Consolidated P&amp;L'!C7</f>
        <v>0.3574874052430011</v>
      </c>
      <c r="D14" s="33">
        <f>'Consolidated P&amp;L'!D31/'Consolidated P&amp;L'!D7</f>
        <v>0.42432083398164</v>
      </c>
      <c r="E14" s="33">
        <f>'Consolidated P&amp;L'!E31/'Consolidated P&amp;L'!E7</f>
        <v>0.54638551051708484</v>
      </c>
      <c r="F14" s="33">
        <f>'Consolidated P&amp;L'!F31/'Consolidated P&amp;L'!F7</f>
        <v>0.53876851655231495</v>
      </c>
      <c r="G14" s="19"/>
      <c r="H14" s="33">
        <f>AVERAGE(B14:F14)</f>
        <v>0.42589368196631278</v>
      </c>
      <c r="I14" s="33">
        <f>MEDIAN(B14:F14)</f>
        <v>0.42432083398164</v>
      </c>
    </row>
    <row r="15" spans="1:9" ht="14.25" customHeight="1" x14ac:dyDescent="0.3">
      <c r="A15" s="19"/>
      <c r="B15" s="19"/>
      <c r="C15" s="19"/>
      <c r="D15" s="19"/>
      <c r="E15" s="19"/>
      <c r="F15" s="19"/>
      <c r="G15" s="19"/>
      <c r="H15" s="67"/>
      <c r="I15" s="67"/>
    </row>
    <row r="16" spans="1:9" ht="14.25" customHeight="1" x14ac:dyDescent="0.3">
      <c r="A16" s="19" t="s">
        <v>434</v>
      </c>
      <c r="B16" s="33">
        <f>'Consolidated P&amp;L'!B17/'Consolidated P&amp;L'!B7</f>
        <v>0.83059228074348601</v>
      </c>
      <c r="C16" s="33">
        <f>'Consolidated P&amp;L'!C17/'Consolidated P&amp;L'!C7</f>
        <v>0.79189721203266827</v>
      </c>
      <c r="D16" s="33">
        <f>'Consolidated P&amp;L'!D17/'Consolidated P&amp;L'!D7</f>
        <v>0.74806285981017584</v>
      </c>
      <c r="E16" s="33">
        <f>'Consolidated P&amp;L'!E17/'Consolidated P&amp;L'!E7</f>
        <v>0.80474776260186198</v>
      </c>
      <c r="F16" s="33">
        <f>'Consolidated P&amp;L'!F17/'Consolidated P&amp;L'!F7</f>
        <v>0.86491612175708621</v>
      </c>
      <c r="G16" s="19"/>
      <c r="H16" s="33">
        <f>AVERAGE(B16:F16)</f>
        <v>0.80804324738905575</v>
      </c>
      <c r="I16" s="33">
        <f>MEDIAN(B16:F16)</f>
        <v>0.80474776260186198</v>
      </c>
    </row>
    <row r="17" spans="1:9" ht="14.25" customHeight="1" x14ac:dyDescent="0.3">
      <c r="A17" s="19" t="s">
        <v>435</v>
      </c>
      <c r="B17" s="33">
        <f>'Consolidated P&amp;L'!B15/'Consolidated P&amp;L'!B7</f>
        <v>2.6137800639802426E-2</v>
      </c>
      <c r="C17" s="33">
        <f>'Consolidated P&amp;L'!C15/'Consolidated P&amp;L'!C7</f>
        <v>2.6099110948000204E-2</v>
      </c>
      <c r="D17" s="33">
        <f>'Consolidated P&amp;L'!D15/'Consolidated P&amp;L'!D7</f>
        <v>2.3020071573051189E-2</v>
      </c>
      <c r="E17" s="33">
        <f>'Consolidated P&amp;L'!E15/'Consolidated P&amp;L'!E7</f>
        <v>1.8847436593500348E-2</v>
      </c>
      <c r="F17" s="33">
        <f>'Consolidated P&amp;L'!F15/'Consolidated P&amp;L'!F7</f>
        <v>1.7379747669642006E-2</v>
      </c>
      <c r="G17" s="19"/>
      <c r="H17" s="33">
        <f>AVERAGE(B17:F17)</f>
        <v>2.2296833484799234E-2</v>
      </c>
      <c r="I17" s="33">
        <f>MEDIAN(B17:F17)</f>
        <v>2.3020071573051189E-2</v>
      </c>
    </row>
    <row r="18" spans="1:9" ht="14.25" customHeight="1" x14ac:dyDescent="0.3">
      <c r="A18" s="19" t="s">
        <v>436</v>
      </c>
      <c r="B18" s="33">
        <f>('Consolidated P&amp;L'!B7-'Consolidated P&amp;L'!B12-'Consolidated P&amp;L'!B13-'Consolidated P&amp;L'!B16-'Consolidated P&amp;L'!B15)/'Consolidated P&amp;L'!B7</f>
        <v>0.2786446263067589</v>
      </c>
      <c r="C18" s="33">
        <f>('Consolidated P&amp;L'!C7-'Consolidated P&amp;L'!C12-'Consolidated P&amp;L'!C13-'Consolidated P&amp;L'!C16-'Consolidated P&amp;L'!C15)/'Consolidated P&amp;L'!C7</f>
        <v>0.27696173546883746</v>
      </c>
      <c r="D18" s="33">
        <f>('Consolidated P&amp;L'!D7-'Consolidated P&amp;L'!D12-'Consolidated P&amp;L'!D13-'Consolidated P&amp;L'!D16-'Consolidated P&amp;L'!D15)/'Consolidated P&amp;L'!D7</f>
        <v>0.30739847518282243</v>
      </c>
      <c r="E18" s="33">
        <f>('Consolidated P&amp;L'!E7-'Consolidated P&amp;L'!E12-'Consolidated P&amp;L'!E13-'Consolidated P&amp;L'!E16-'Consolidated P&amp;L'!E15)/'Consolidated P&amp;L'!E7</f>
        <v>0.24494161623086294</v>
      </c>
      <c r="F18" s="33">
        <f>('Consolidated P&amp;L'!F7-'Consolidated P&amp;L'!F12-'Consolidated P&amp;L'!F13-'Consolidated P&amp;L'!F16-'Consolidated P&amp;L'!F15)/'Consolidated P&amp;L'!F7</f>
        <v>0.75109897217727073</v>
      </c>
      <c r="G18" s="19"/>
      <c r="H18" s="33">
        <f>AVERAGE(B18:F18)</f>
        <v>0.37180908507331051</v>
      </c>
      <c r="I18" s="33">
        <f>MEDIAN(B18:F18)</f>
        <v>0.2786446263067589</v>
      </c>
    </row>
    <row r="19" spans="1:9" ht="14.25" customHeight="1" x14ac:dyDescent="0.3">
      <c r="A19" s="19"/>
      <c r="B19" s="19"/>
      <c r="C19" s="19"/>
      <c r="D19" s="19"/>
      <c r="E19" s="19"/>
      <c r="F19" s="19"/>
      <c r="G19" s="19"/>
      <c r="H19" s="67"/>
      <c r="I19" s="67"/>
    </row>
    <row r="20" spans="1:9" ht="14.25" customHeight="1" x14ac:dyDescent="0.3">
      <c r="A20" s="19" t="s">
        <v>437</v>
      </c>
      <c r="B20" s="33">
        <f>('Consolidated P&amp;L'!B7-'Consolidated P&amp;L'!B12-'Consolidated P&amp;L'!B13-'Consolidated P&amp;L'!B16-'Consolidated P&amp;L'!B15)/('Consolidated Balance Sheet'!B9+'Consolidated Balance Sheet'!B12+'Consolidated Balance Sheet'!B18)</f>
        <v>3.9509670584103887E-2</v>
      </c>
      <c r="C20" s="33">
        <f>('Consolidated P&amp;L'!C7-'Consolidated P&amp;L'!C12-'Consolidated P&amp;L'!C13-'Consolidated P&amp;L'!C16-'Consolidated P&amp;L'!C15)/('Consolidated Balance Sheet'!C9+'Consolidated Balance Sheet'!C12+'Consolidated Balance Sheet'!C18)</f>
        <v>3.8666977849319266E-2</v>
      </c>
      <c r="D20" s="33">
        <f>('Consolidated P&amp;L'!D7-'Consolidated P&amp;L'!D12-'Consolidated P&amp;L'!D13-'Consolidated P&amp;L'!D16-'Consolidated P&amp;L'!D15)/('Consolidated Balance Sheet'!D9+'Consolidated Balance Sheet'!D12+'Consolidated Balance Sheet'!D18)</f>
        <v>4.487102178924008E-2</v>
      </c>
      <c r="E20" s="33">
        <f>('Consolidated P&amp;L'!E7-'Consolidated P&amp;L'!E12-'Consolidated P&amp;L'!E13-'Consolidated P&amp;L'!E16-'Consolidated P&amp;L'!E15)/('Consolidated Balance Sheet'!E9+'Consolidated Balance Sheet'!E12+'Consolidated Balance Sheet'!E18)</f>
        <v>4.2193980077255853E-2</v>
      </c>
      <c r="F20" s="33">
        <f>('Consolidated P&amp;L'!F7-'Consolidated P&amp;L'!F12-'Consolidated P&amp;L'!F13-'Consolidated P&amp;L'!F16-'Consolidated P&amp;L'!F15)/('Consolidated Balance Sheet'!F9+'Consolidated Balance Sheet'!F12+'Consolidated Balance Sheet'!F18)</f>
        <v>0.13520973533293848</v>
      </c>
      <c r="G20" s="19"/>
      <c r="H20" s="33">
        <f>AVERAGE(B20:F20)</f>
        <v>6.0090277126571515E-2</v>
      </c>
      <c r="I20" s="33">
        <f>MEDIAN(B20:F20)</f>
        <v>4.2193980077255853E-2</v>
      </c>
    </row>
    <row r="21" spans="1:9" ht="14.25" customHeight="1" x14ac:dyDescent="0.3">
      <c r="A21" s="19" t="s">
        <v>438</v>
      </c>
      <c r="B21" s="33">
        <f>('Consolidated P&amp;L'!B31-'Consolidated P&amp;L'!B36)/'Consolidated P&amp;L'!B31</f>
        <v>0.67014691674717664</v>
      </c>
      <c r="C21" s="33">
        <f>('Consolidated P&amp;L'!C31-'Consolidated P&amp;L'!C36)/'Consolidated P&amp;L'!C31</f>
        <v>0.635239681112863</v>
      </c>
      <c r="D21" s="33">
        <f>('Consolidated P&amp;L'!D31-'Consolidated P&amp;L'!D36)/'Consolidated P&amp;L'!D31</f>
        <v>0.63693433708211267</v>
      </c>
      <c r="E21" s="33">
        <f>('Consolidated P&amp;L'!E31-'Consolidated P&amp;L'!E36)/'Consolidated P&amp;L'!E31</f>
        <v>0.71662827810111684</v>
      </c>
      <c r="F21" s="33">
        <f>('Consolidated P&amp;L'!F31-'Consolidated P&amp;L'!F36)/'Consolidated P&amp;L'!F31</f>
        <v>1</v>
      </c>
      <c r="G21" s="19"/>
      <c r="H21" s="33">
        <f>AVERAGE(B21:F21)</f>
        <v>0.73178984260865376</v>
      </c>
      <c r="I21" s="33">
        <f>MEDIAN(B21:F21)</f>
        <v>0.67014691674717664</v>
      </c>
    </row>
    <row r="22" spans="1:9" ht="14.25" customHeight="1" x14ac:dyDescent="0.3">
      <c r="A22" s="19" t="s">
        <v>439</v>
      </c>
      <c r="B22" s="33">
        <f>'Consolidated P&amp;L'!B31/'Consolidated Balance Sheet'!B9</f>
        <v>4.1274914554312876E-2</v>
      </c>
      <c r="C22" s="33">
        <f>'Consolidated P&amp;L'!C31/'Consolidated Balance Sheet'!C9</f>
        <v>5.4018663467730571E-2</v>
      </c>
      <c r="D22" s="33">
        <f>'Consolidated P&amp;L'!D31/'Consolidated Balance Sheet'!D9</f>
        <v>6.9161906641025131E-2</v>
      </c>
      <c r="E22" s="33">
        <f>'Consolidated P&amp;L'!E31/'Consolidated Balance Sheet'!E9</f>
        <v>0.10264623778678465</v>
      </c>
      <c r="F22" s="33">
        <f>'Consolidated P&amp;L'!F31/'Consolidated Balance Sheet'!F9</f>
        <v>9.7082754148197073E-2</v>
      </c>
      <c r="G22" s="19"/>
      <c r="H22" s="33">
        <f>AVERAGE(B22:F22)</f>
        <v>7.2836895319610059E-2</v>
      </c>
      <c r="I22" s="33">
        <f>MEDIAN(B22:F22)</f>
        <v>6.9161906641025131E-2</v>
      </c>
    </row>
    <row r="23" spans="1:9" ht="14.25" customHeight="1" x14ac:dyDescent="0.3">
      <c r="A23" s="19" t="s">
        <v>440</v>
      </c>
      <c r="B23" s="33">
        <f>B22*B21</f>
        <v>2.7660256727575942E-2</v>
      </c>
      <c r="C23" s="33">
        <f>C22*C21</f>
        <v>3.4314798555384232E-2</v>
      </c>
      <c r="D23" s="33">
        <f>D22*D21</f>
        <v>4.405159315773631E-2</v>
      </c>
      <c r="E23" s="33">
        <f>E22*E21</f>
        <v>7.355919663870128E-2</v>
      </c>
      <c r="F23" s="33">
        <f>F22*F21</f>
        <v>9.7082754148197073E-2</v>
      </c>
      <c r="G23" s="19"/>
      <c r="H23" s="33">
        <f>AVERAGE(B23:F23)</f>
        <v>5.5333719845518971E-2</v>
      </c>
      <c r="I23" s="33">
        <f>MEDIAN(B23:F23)</f>
        <v>4.405159315773631E-2</v>
      </c>
    </row>
    <row r="24" spans="1:9" ht="14.25" customHeight="1" x14ac:dyDescent="0.3">
      <c r="A24" s="19" t="s">
        <v>441</v>
      </c>
      <c r="B24" s="30">
        <f>('Consolidated P&amp;L'!B7-'Consolidated P&amp;L'!B12-'Consolidated P&amp;L'!B13-'Consolidated P&amp;L'!B16-'Consolidated P&amp;L'!B15)/'Consolidated P&amp;L'!B14</f>
        <v>2.5508285965895454</v>
      </c>
      <c r="C24" s="30">
        <f>('Consolidated P&amp;L'!C7-'Consolidated P&amp;L'!C12-'Consolidated P&amp;L'!C13-'Consolidated P&amp;L'!C16-'Consolidated P&amp;L'!C15)/'Consolidated P&amp;L'!C14</f>
        <v>4.0221604528994739</v>
      </c>
      <c r="D24" s="30">
        <f>('Consolidated P&amp;L'!D7-'Consolidated P&amp;L'!D12-'Consolidated P&amp;L'!D13-'Consolidated P&amp;L'!D16-'Consolidated P&amp;L'!D15)/'Consolidated P&amp;L'!D14</f>
        <v>5.5425725908262029</v>
      </c>
      <c r="E24" s="30">
        <f>('Consolidated P&amp;L'!E7-'Consolidated P&amp;L'!E12-'Consolidated P&amp;L'!E13-'Consolidated P&amp;L'!E16-'Consolidated P&amp;L'!E15)/'Consolidated P&amp;L'!E14</f>
        <v>4.9294561933534737</v>
      </c>
      <c r="F24" s="30">
        <f>('Consolidated P&amp;L'!F7-'Consolidated P&amp;L'!F12-'Consolidated P&amp;L'!F13-'Consolidated P&amp;L'!F16-'Consolidated P&amp;L'!F15)/'Consolidated P&amp;L'!F14</f>
        <v>30.916361079017435</v>
      </c>
      <c r="G24" s="19"/>
      <c r="H24" s="30">
        <f>AVERAGE(B24:F24)</f>
        <v>9.5922757825372251</v>
      </c>
      <c r="I24" s="30">
        <f>MEDIAN(B24:F24)</f>
        <v>4.9294561933534737</v>
      </c>
    </row>
    <row r="25" spans="1:9" ht="14.25" customHeight="1" x14ac:dyDescent="0.3">
      <c r="A25" s="19"/>
      <c r="B25" s="19"/>
      <c r="C25" s="19"/>
      <c r="D25" s="19"/>
      <c r="E25" s="19"/>
      <c r="F25" s="19"/>
      <c r="G25" s="19"/>
      <c r="H25" s="67"/>
      <c r="I25" s="67"/>
    </row>
    <row r="26" spans="1:9" ht="14.25" customHeight="1" x14ac:dyDescent="0.3">
      <c r="A26" s="19" t="s">
        <v>442</v>
      </c>
      <c r="B26" s="30">
        <f>'Consolidated P&amp;L'!B7/'Consolidated Balance Sheet'!B39</f>
        <v>10.144410929737402</v>
      </c>
      <c r="C26" s="30">
        <f>'Consolidated P&amp;L'!C7/'Consolidated Balance Sheet'!C39</f>
        <v>10.368752617300585</v>
      </c>
      <c r="D26" s="30">
        <f>'Consolidated P&amp;L'!D7/'Consolidated Balance Sheet'!D39</f>
        <v>11.944542531640863</v>
      </c>
      <c r="E26" s="30">
        <f>'Consolidated P&amp;L'!E7/'Consolidated Balance Sheet'!E39</f>
        <v>9.9645479363258982</v>
      </c>
      <c r="F26" s="30">
        <f>'Consolidated P&amp;L'!F7/'Consolidated Balance Sheet'!F39</f>
        <v>9.6698293563690445</v>
      </c>
      <c r="G26" s="19"/>
      <c r="H26" s="30">
        <f>AVERAGE(B26:F26)</f>
        <v>10.418416674274759</v>
      </c>
      <c r="I26" s="30">
        <f>MEDIAN(B26:F26)</f>
        <v>10.144410929737402</v>
      </c>
    </row>
    <row r="27" spans="1:9" ht="14.25" customHeight="1" x14ac:dyDescent="0.3">
      <c r="A27" s="19" t="s">
        <v>443</v>
      </c>
      <c r="B27" s="30">
        <f>'Consolidated P&amp;L'!B7/'Consolidated Balance Sheet'!B19</f>
        <v>3.7399606209075511</v>
      </c>
      <c r="C27" s="30">
        <f>'Consolidated P&amp;L'!C7/'Consolidated Balance Sheet'!C19</f>
        <v>3.4646407495285025</v>
      </c>
      <c r="D27" s="30">
        <f>'Consolidated P&amp;L'!D7/'Consolidated Balance Sheet'!D19</f>
        <v>3.5948809164233535</v>
      </c>
      <c r="E27" s="30">
        <f>'Consolidated P&amp;L'!E7/'Consolidated Balance Sheet'!E19</f>
        <v>3.5354064298129608</v>
      </c>
      <c r="F27" s="30">
        <f>'Consolidated P&amp;L'!F7/'Consolidated Balance Sheet'!F19</f>
        <v>4.7651009833739444</v>
      </c>
      <c r="G27" s="19"/>
      <c r="H27" s="30">
        <f>AVERAGE(B27:F27)</f>
        <v>3.8199979400092623</v>
      </c>
      <c r="I27" s="30">
        <f>MEDIAN(B27:F27)</f>
        <v>3.5948809164233535</v>
      </c>
    </row>
    <row r="28" spans="1:9" ht="14.25" customHeight="1" x14ac:dyDescent="0.3">
      <c r="A28" s="19" t="s">
        <v>444</v>
      </c>
      <c r="B28" s="30">
        <f>'Consolidated P&amp;L'!B7/'Consolidated Balance Sheet'!B38</f>
        <v>0.28434837835001658</v>
      </c>
      <c r="C28" s="30">
        <f>'Consolidated P&amp;L'!C7/'Consolidated Balance Sheet'!C38</f>
        <v>0.29413575480483423</v>
      </c>
      <c r="D28" s="30">
        <f>'Consolidated P&amp;L'!D7/'Consolidated Balance Sheet'!D38</f>
        <v>0.30381774150012314</v>
      </c>
      <c r="E28" s="30">
        <f>'Consolidated P&amp;L'!E7/'Consolidated Balance Sheet'!E38</f>
        <v>0.32466204306158686</v>
      </c>
      <c r="F28" s="30">
        <f>'Consolidated P&amp;L'!F7/'Consolidated Balance Sheet'!F38</f>
        <v>0.33150709538350998</v>
      </c>
      <c r="G28" s="19"/>
      <c r="H28" s="30">
        <f>AVERAGE(B28:F28)</f>
        <v>0.30769420262001418</v>
      </c>
      <c r="I28" s="30">
        <f>MEDIAN(B28:F28)</f>
        <v>0.30381774150012314</v>
      </c>
    </row>
    <row r="29" spans="1:9" ht="14.25" customHeight="1" x14ac:dyDescent="0.3">
      <c r="A29" s="19" t="s">
        <v>445</v>
      </c>
      <c r="B29" s="30">
        <f>'Consolidated P&amp;L'!B7/'Consolidated Balance Sheet'!B30</f>
        <v>1.4296370014928024</v>
      </c>
      <c r="C29" s="30">
        <f>'Consolidated P&amp;L'!C7/'Consolidated Balance Sheet'!C30</f>
        <v>1.4593708757767954</v>
      </c>
      <c r="D29" s="30">
        <f>'Consolidated P&amp;L'!D7/'Consolidated Balance Sheet'!D30</f>
        <v>2.1377300878774372</v>
      </c>
      <c r="E29" s="30">
        <f>'Consolidated P&amp;L'!E7/'Consolidated Balance Sheet'!E30</f>
        <v>3.0236294931781988</v>
      </c>
      <c r="F29" s="30">
        <f>'Consolidated P&amp;L'!F7/'Consolidated Balance Sheet'!F30</f>
        <v>2.4597138045621967</v>
      </c>
      <c r="G29" s="19"/>
      <c r="H29" s="30">
        <f>AVERAGE(B29:F29)</f>
        <v>2.1020162525774859</v>
      </c>
      <c r="I29" s="30">
        <f>MEDIAN(B29:F29)</f>
        <v>2.1377300878774372</v>
      </c>
    </row>
    <row r="30" spans="1:9" ht="14.25" customHeight="1" x14ac:dyDescent="0.3">
      <c r="A30" s="19" t="s">
        <v>446</v>
      </c>
      <c r="B30" s="30">
        <f>'Consolidated P&amp;L'!B7/('Consolidated Balance Sheet'!B9+'Consolidated Balance Sheet'!B12+'Consolidated Balance Sheet'!B18)</f>
        <v>0.14179232920360654</v>
      </c>
      <c r="C30" s="30">
        <f>'Consolidated P&amp;L'!C7/('Consolidated Balance Sheet'!C9+'Consolidated Balance Sheet'!C12+'Consolidated Balance Sheet'!C18)</f>
        <v>0.13961126356990897</v>
      </c>
      <c r="D30" s="30">
        <f>'Consolidated P&amp;L'!D7/('Consolidated Balance Sheet'!D9+'Consolidated Balance Sheet'!D12+'Consolidated Balance Sheet'!D18)</f>
        <v>0.14597021589828463</v>
      </c>
      <c r="E30" s="30">
        <f>'Consolidated P&amp;L'!E7/('Consolidated Balance Sheet'!E9+'Consolidated Balance Sheet'!E12+'Consolidated Balance Sheet'!E18)</f>
        <v>0.17226137692129492</v>
      </c>
      <c r="F30" s="30">
        <f>'Consolidated P&amp;L'!F7/('Consolidated Balance Sheet'!F9+'Consolidated Balance Sheet'!F12+'Consolidated Balance Sheet'!F18)</f>
        <v>0.18001587053300738</v>
      </c>
      <c r="G30" s="19"/>
      <c r="H30" s="30">
        <f>AVERAGE(B30:F30)</f>
        <v>0.15593021122522049</v>
      </c>
      <c r="I30" s="30">
        <f>MEDIAN(B30:F30)</f>
        <v>0.14597021589828463</v>
      </c>
    </row>
    <row r="31" spans="1:9" ht="14.25" customHeight="1" x14ac:dyDescent="0.3">
      <c r="A31" s="19"/>
      <c r="B31" s="19"/>
      <c r="C31" s="19"/>
      <c r="D31" s="19"/>
      <c r="E31" s="19"/>
      <c r="F31" s="19"/>
      <c r="G31" s="19"/>
      <c r="H31" s="67"/>
      <c r="I31" s="67"/>
    </row>
    <row r="32" spans="1:9" ht="14.25" customHeight="1" x14ac:dyDescent="0.3">
      <c r="A32" s="68" t="s">
        <v>447</v>
      </c>
      <c r="B32" s="19"/>
      <c r="C32" s="19"/>
      <c r="D32" s="19"/>
      <c r="E32" s="19"/>
      <c r="F32" s="19"/>
      <c r="G32" s="19"/>
      <c r="H32" s="67"/>
      <c r="I32" s="67"/>
    </row>
    <row r="33" spans="1:9" ht="14.25" customHeight="1" x14ac:dyDescent="0.3">
      <c r="A33" s="19" t="s">
        <v>448</v>
      </c>
      <c r="B33" s="30">
        <f>'Consolidated Balance Sheet'!B39/'Consolidated P&amp;L'!B7*365</f>
        <v>35.980403645719463</v>
      </c>
      <c r="C33" s="30">
        <f>'Consolidated Balance Sheet'!C39/'Consolidated P&amp;L'!C7*365</f>
        <v>35.201919987075996</v>
      </c>
      <c r="D33" s="30">
        <f>'Consolidated Balance Sheet'!D39/'Consolidated P&amp;L'!D7*365</f>
        <v>30.557888594989887</v>
      </c>
      <c r="E33" s="30">
        <f>'Consolidated Balance Sheet'!E39/'Consolidated P&amp;L'!E7*365</f>
        <v>36.629860414378399</v>
      </c>
      <c r="F33" s="30">
        <f>'Consolidated Balance Sheet'!F39/'Consolidated P&amp;L'!F7*365</f>
        <v>37.746271061090887</v>
      </c>
      <c r="G33" s="19"/>
      <c r="H33" s="30">
        <f>AVERAGE(B33:F33)</f>
        <v>35.223268740650923</v>
      </c>
      <c r="I33" s="30">
        <f>MEDIAN(B33:F33)</f>
        <v>35.980403645719463</v>
      </c>
    </row>
    <row r="34" spans="1:9" ht="14.25" customHeight="1" x14ac:dyDescent="0.3">
      <c r="A34" s="19" t="s">
        <v>449</v>
      </c>
      <c r="B34" s="30">
        <f>'Consolidated Balance Sheet'!B19/'Consolidated P&amp;L'!B7*365</f>
        <v>97.594610477857898</v>
      </c>
      <c r="C34" s="30">
        <f>'Consolidated Balance Sheet'!C19/'Consolidated P&amp;L'!C7*365</f>
        <v>105.35002800785976</v>
      </c>
      <c r="D34" s="30">
        <f>'Consolidated Balance Sheet'!D19/'Consolidated P&amp;L'!D7*365</f>
        <v>101.53326590944454</v>
      </c>
      <c r="E34" s="30">
        <f>'Consolidated Balance Sheet'!E19/'Consolidated P&amp;L'!E7*365</f>
        <v>103.24131249014845</v>
      </c>
      <c r="F34" s="30">
        <f>'Consolidated Balance Sheet'!F19/'Consolidated P&amp;L'!F7*365</f>
        <v>76.598586530176888</v>
      </c>
      <c r="G34" s="19"/>
      <c r="H34" s="30">
        <f>AVERAGE(B34:F34)</f>
        <v>96.863560683097518</v>
      </c>
      <c r="I34" s="30">
        <f>MEDIAN(B34:F34)</f>
        <v>101.53326590944454</v>
      </c>
    </row>
    <row r="35" spans="1:9" ht="14.25" customHeight="1" x14ac:dyDescent="0.3">
      <c r="A35" s="19" t="s">
        <v>450</v>
      </c>
      <c r="B35" s="30">
        <f>'Consolidated Balance Sheet'!B38/'Consolidated P&amp;L'!B7*365</f>
        <v>1283.63665063954</v>
      </c>
      <c r="C35" s="30">
        <f>'Consolidated Balance Sheet'!C38/'Consolidated P&amp;L'!C7*365</f>
        <v>1240.9236008800965</v>
      </c>
      <c r="D35" s="30">
        <f>'Consolidated Balance Sheet'!D38/'Consolidated P&amp;L'!D7*365</f>
        <v>1201.3781624397077</v>
      </c>
      <c r="E35" s="30">
        <f>'Consolidated Balance Sheet'!E38/'Consolidated P&amp;L'!E7*365</f>
        <v>1124.245989947033</v>
      </c>
      <c r="F35" s="30">
        <f>'Consolidated Balance Sheet'!F38/'Consolidated P&amp;L'!F7*365</f>
        <v>1101.0322405852071</v>
      </c>
      <c r="G35" s="19"/>
      <c r="H35" s="30">
        <f>AVERAGE(B35:F35)</f>
        <v>1190.2433288983168</v>
      </c>
      <c r="I35" s="30">
        <f>MEDIAN(B35:F35)</f>
        <v>1201.3781624397077</v>
      </c>
    </row>
    <row r="36" spans="1:9" ht="14.25" customHeight="1" x14ac:dyDescent="0.3">
      <c r="A36" s="19" t="s">
        <v>451</v>
      </c>
      <c r="B36" s="30">
        <f>B33+B35-B34</f>
        <v>1222.0224438074015</v>
      </c>
      <c r="C36" s="30">
        <f>C33+C35-C34</f>
        <v>1170.7754928593129</v>
      </c>
      <c r="D36" s="30">
        <f>D33+D35-D34</f>
        <v>1130.4027851252531</v>
      </c>
      <c r="E36" s="30">
        <f>E33+E35-E34</f>
        <v>1057.6345378712629</v>
      </c>
      <c r="F36" s="30">
        <f>F33+F35-F34</f>
        <v>1062.1799251161212</v>
      </c>
      <c r="G36" s="19"/>
      <c r="H36" s="30">
        <f>AVERAGE(B36:F36)</f>
        <v>1128.6030369558703</v>
      </c>
      <c r="I36" s="30">
        <f>MEDIAN(B36:F36)</f>
        <v>1130.4027851252531</v>
      </c>
    </row>
    <row r="37" spans="1:9" ht="14.25" customHeight="1" x14ac:dyDescent="0.3">
      <c r="A37" s="19"/>
      <c r="B37" s="19"/>
      <c r="C37" s="19"/>
      <c r="D37" s="19"/>
      <c r="E37" s="19"/>
      <c r="F37" s="19"/>
      <c r="G37" s="19"/>
      <c r="H37" s="67"/>
      <c r="I37" s="67"/>
    </row>
    <row r="38" spans="1:9" ht="14.25" customHeight="1" x14ac:dyDescent="0.3">
      <c r="A38" s="19" t="s">
        <v>452</v>
      </c>
      <c r="B38" s="33">
        <f>'Cash flow Statement'!B4/'Consolidated P&amp;L'!B7</f>
        <v>0.49529942858542098</v>
      </c>
      <c r="C38" s="33">
        <f>'Cash flow Statement'!C4/'Consolidated P&amp;L'!C7</f>
        <v>0.41709058918352265</v>
      </c>
      <c r="D38" s="33">
        <f>'Cash flow Statement'!D4/'Consolidated P&amp;L'!D7</f>
        <v>0.39502256107048389</v>
      </c>
      <c r="E38" s="33">
        <f>'Cash flow Statement'!E4/'Consolidated P&amp;L'!E7</f>
        <v>0.65492152530880732</v>
      </c>
      <c r="F38" s="33">
        <f>'Cash flow Statement'!F4/'Consolidated P&amp;L'!F7</f>
        <v>0.77463442852226372</v>
      </c>
      <c r="G38" s="19"/>
      <c r="H38" s="33">
        <f>AVERAGE(B38:F38)</f>
        <v>0.54739370653409969</v>
      </c>
      <c r="I38" s="33">
        <f>MEDIAN(B38:F38)</f>
        <v>0.49529942858542098</v>
      </c>
    </row>
    <row r="39" spans="1:9" ht="14.25" customHeight="1" x14ac:dyDescent="0.3">
      <c r="A39" s="19" t="s">
        <v>453</v>
      </c>
      <c r="B39" s="33">
        <f>'Cash flow Statement'!B4/'Consolidated Balance Sheet'!B44</f>
        <v>5.3935935577505457E-2</v>
      </c>
      <c r="C39" s="33">
        <f>'Cash flow Statement'!C4/'Consolidated Balance Sheet'!C44</f>
        <v>4.404503116099822E-2</v>
      </c>
      <c r="D39" s="33">
        <f>'Cash flow Statement'!D4/'Consolidated Balance Sheet'!D44</f>
        <v>4.2129254725998301E-2</v>
      </c>
      <c r="E39" s="33">
        <f>'Cash flow Statement'!E4/'Consolidated Balance Sheet'!E44</f>
        <v>7.5353610927153036E-2</v>
      </c>
      <c r="F39" s="33">
        <f>'Cash flow Statement'!F4/'Consolidated Balance Sheet'!F44</f>
        <v>8.4773148551908734E-2</v>
      </c>
      <c r="G39" s="19"/>
      <c r="H39" s="33">
        <f>AVERAGE(B39:F39)</f>
        <v>6.0047396188712757E-2</v>
      </c>
      <c r="I39" s="33">
        <f>MEDIAN(B39:F39)</f>
        <v>5.3935935577505457E-2</v>
      </c>
    </row>
    <row r="40" spans="1:9" ht="14.25" customHeight="1" x14ac:dyDescent="0.3">
      <c r="A40" s="19" t="s">
        <v>454</v>
      </c>
      <c r="B40" s="30">
        <f>'Cash flow Statement'!B4/('Consolidated Balance Sheet'!B12+'Consolidated Balance Sheet'!B18)</f>
        <v>0.71510606060606063</v>
      </c>
      <c r="C40" s="30">
        <f>'Cash flow Statement'!C4/('Consolidated Balance Sheet'!C12+'Consolidated Balance Sheet'!C18)</f>
        <v>0.76544992249660826</v>
      </c>
      <c r="D40" s="30">
        <f>'Cash flow Statement'!D4/('Consolidated Balance Sheet'!D12+'Consolidated Balance Sheet'!D18)</f>
        <v>0.55206883654582151</v>
      </c>
      <c r="E40" s="30">
        <f>'Cash flow Statement'!E4/('Consolidated Balance Sheet'!E12+'Consolidated Balance Sheet'!E18)</f>
        <v>1.3583755186129844</v>
      </c>
      <c r="F40" s="30">
        <f>'Cash flow Statement'!F4/('Consolidated Balance Sheet'!F12+'Consolidated Balance Sheet'!F18)</f>
        <v>141.20956618464959</v>
      </c>
      <c r="G40" s="19"/>
      <c r="H40" s="30">
        <f>AVERAGE(B40:F40)</f>
        <v>28.920113304582213</v>
      </c>
      <c r="I40" s="30">
        <f>MEDIAN(B40:F40)</f>
        <v>0.76544992249660826</v>
      </c>
    </row>
  </sheetData>
  <mergeCells count="1">
    <mergeCell ref="A1:I1"/>
  </mergeCells>
  <pageMargins left="0.7" right="0.7" top="0.75" bottom="0.75" header="0.511811023622047" footer="0.511811023622047"/>
  <pageSetup paperSize="9" orientation="portrait" horizontalDpi="300" verticalDpi="300"/>
  <extLst>
    <ext xmlns:x14="http://schemas.microsoft.com/office/spreadsheetml/2009/9/main" uri="{05C60535-1F16-4fd2-B633-F4F36F0B64E0}">
      <x14:sparklineGroups xmlns:xm="http://schemas.microsoft.com/office/excel/2006/main">
        <x14:sparklineGroup displayEmptyCellsAs="gap" xr2:uid="{4E3A0379-5A0E-46C1-9104-082543D45B41}">
          <x14:colorSeries rgb="FF376092"/>
          <x14:colorNegative rgb="FFD00000"/>
          <x14:colorAxis rgb="FF000000"/>
          <x14:colorMarkers rgb="FFD00000"/>
          <x14:colorFirst rgb="FFD00000"/>
          <x14:colorLast rgb="FFD00000"/>
          <x14:colorHigh rgb="FFD00000"/>
          <x14:colorLow rgb="FFD00000"/>
          <x14:sparklines>
            <x14:sparkline>
              <xm:f>'Ratio Analysis'!C4:F4</xm:f>
              <xm:sqref>G4</xm:sqref>
            </x14:sparkline>
            <x14:sparkline>
              <xm:f>'Ratio Analysis'!C5:F5</xm:f>
              <xm:sqref>G5</xm:sqref>
            </x14:sparkline>
            <x14:sparkline>
              <xm:f>'Ratio Analysis'!C6:F6</xm:f>
              <xm:sqref>G6</xm:sqref>
            </x14:sparkline>
            <x14:sparkline>
              <xm:f>'Ratio Analysis'!C7:F7</xm:f>
              <xm:sqref>G7</xm:sqref>
            </x14:sparkline>
            <x14:sparkline>
              <xm:f>'Ratio Analysis'!C8:F8</xm:f>
              <xm:sqref>G8</xm:sqref>
            </x14:sparkline>
          </x14:sparklines>
        </x14:sparklineGroup>
        <x14:sparklineGroup displayEmptyCellsAs="gap" xr2:uid="{346211F5-E0B8-445E-B92E-7FC1F56B90D1}">
          <x14:colorSeries rgb="FF376092"/>
          <x14:colorNegative rgb="FFD00000"/>
          <x14:colorAxis rgb="FF000000"/>
          <x14:colorMarkers rgb="FFD00000"/>
          <x14:colorFirst rgb="FFD00000"/>
          <x14:colorLast rgb="FFD00000"/>
          <x14:colorHigh rgb="FFD00000"/>
          <x14:colorLow rgb="FFD00000"/>
          <x14:sparklines>
            <x14:sparkline>
              <xm:f>'Ratio Analysis'!B10:F10</xm:f>
              <xm:sqref>G10</xm:sqref>
            </x14:sparkline>
            <x14:sparkline>
              <xm:f>'Ratio Analysis'!B11:F11</xm:f>
              <xm:sqref>G11</xm:sqref>
            </x14:sparkline>
            <x14:sparkline>
              <xm:f>'Ratio Analysis'!B12:F12</xm:f>
              <xm:sqref>G12</xm:sqref>
            </x14:sparkline>
            <x14:sparkline>
              <xm:f>'Ratio Analysis'!B13:F13</xm:f>
              <xm:sqref>G13</xm:sqref>
            </x14:sparkline>
            <x14:sparkline>
              <xm:f>'Ratio Analysis'!B14:F14</xm:f>
              <xm:sqref>G14</xm:sqref>
            </x14:sparkline>
          </x14:sparklines>
        </x14:sparklineGroup>
        <x14:sparklineGroup displayEmptyCellsAs="gap" xr2:uid="{137A97F9-E4FA-4B11-A38D-5B1B01E21685}">
          <x14:colorSeries rgb="FF376092"/>
          <x14:colorNegative rgb="FFD00000"/>
          <x14:colorAxis rgb="FF000000"/>
          <x14:colorMarkers rgb="FFD00000"/>
          <x14:colorFirst rgb="FFD00000"/>
          <x14:colorLast rgb="FFD00000"/>
          <x14:colorHigh rgb="FFD00000"/>
          <x14:colorLow rgb="FFD00000"/>
          <x14:sparklines>
            <x14:sparkline>
              <xm:f>'Ratio Analysis'!B20:F20</xm:f>
              <xm:sqref>G20</xm:sqref>
            </x14:sparkline>
            <x14:sparkline>
              <xm:f>'Ratio Analysis'!B21:F21</xm:f>
              <xm:sqref>G21</xm:sqref>
            </x14:sparkline>
            <x14:sparkline>
              <xm:f>'Ratio Analysis'!B22:F22</xm:f>
              <xm:sqref>G22</xm:sqref>
            </x14:sparkline>
            <x14:sparkline>
              <xm:f>'Ratio Analysis'!B23:F23</xm:f>
              <xm:sqref>G23</xm:sqref>
            </x14:sparkline>
            <x14:sparkline>
              <xm:f>'Ratio Analysis'!B24:F24</xm:f>
              <xm:sqref>G24</xm:sqref>
            </x14:sparkline>
          </x14:sparklines>
        </x14:sparklineGroup>
        <x14:sparklineGroup displayEmptyCellsAs="gap" xr2:uid="{DC49BC8E-2037-41F7-95E6-285050053241}">
          <x14:colorSeries rgb="FF376092"/>
          <x14:colorNegative rgb="FFD00000"/>
          <x14:colorAxis rgb="FF000000"/>
          <x14:colorMarkers rgb="FFD00000"/>
          <x14:colorFirst rgb="FFD00000"/>
          <x14:colorLast rgb="FFD00000"/>
          <x14:colorHigh rgb="FFD00000"/>
          <x14:colorLow rgb="FFD00000"/>
          <x14:sparklines>
            <x14:sparkline>
              <xm:f>'Ratio Analysis'!B16:F16</xm:f>
              <xm:sqref>G16</xm:sqref>
            </x14:sparkline>
            <x14:sparkline>
              <xm:f>'Ratio Analysis'!B17:F17</xm:f>
              <xm:sqref>G17</xm:sqref>
            </x14:sparkline>
            <x14:sparkline>
              <xm:f>'Ratio Analysis'!B18:F18</xm:f>
              <xm:sqref>G18</xm:sqref>
            </x14:sparkline>
          </x14:sparklines>
        </x14:sparklineGroup>
        <x14:sparklineGroup displayEmptyCellsAs="gap" xr2:uid="{97954B7F-7A1C-4AEF-8F6A-A86F23F94FA1}">
          <x14:colorSeries rgb="FF376092"/>
          <x14:colorNegative rgb="FFD00000"/>
          <x14:colorAxis rgb="FF000000"/>
          <x14:colorMarkers rgb="FFD00000"/>
          <x14:colorFirst rgb="FFD00000"/>
          <x14:colorLast rgb="FFD00000"/>
          <x14:colorHigh rgb="FFD00000"/>
          <x14:colorLow rgb="FFD00000"/>
          <x14:sparklines>
            <x14:sparkline>
              <xm:f>'Ratio Analysis'!B26:F26</xm:f>
              <xm:sqref>G26</xm:sqref>
            </x14:sparkline>
            <x14:sparkline>
              <xm:f>'Ratio Analysis'!B27:F27</xm:f>
              <xm:sqref>G27</xm:sqref>
            </x14:sparkline>
            <x14:sparkline>
              <xm:f>'Ratio Analysis'!B28:F28</xm:f>
              <xm:sqref>G28</xm:sqref>
            </x14:sparkline>
            <x14:sparkline>
              <xm:f>'Ratio Analysis'!B29:F29</xm:f>
              <xm:sqref>G29</xm:sqref>
            </x14:sparkline>
            <x14:sparkline>
              <xm:f>'Ratio Analysis'!B30:F30</xm:f>
              <xm:sqref>G30</xm:sqref>
            </x14:sparkline>
          </x14:sparklines>
        </x14:sparklineGroup>
        <x14:sparklineGroup displayEmptyCellsAs="gap" xr2:uid="{91995118-6041-4D53-8D48-6896089064F8}">
          <x14:colorSeries rgb="FF376092"/>
          <x14:colorNegative rgb="FFD00000"/>
          <x14:colorAxis rgb="FF000000"/>
          <x14:colorMarkers rgb="FFD00000"/>
          <x14:colorFirst rgb="FFD00000"/>
          <x14:colorLast rgb="FFD00000"/>
          <x14:colorHigh rgb="FFD00000"/>
          <x14:colorLow rgb="FFD00000"/>
          <x14:sparklines>
            <x14:sparkline>
              <xm:f>'Ratio Analysis'!B33:F33</xm:f>
              <xm:sqref>G33</xm:sqref>
            </x14:sparkline>
            <x14:sparkline>
              <xm:f>'Ratio Analysis'!B34:F34</xm:f>
              <xm:sqref>G34</xm:sqref>
            </x14:sparkline>
            <x14:sparkline>
              <xm:f>'Ratio Analysis'!B35:F35</xm:f>
              <xm:sqref>G35</xm:sqref>
            </x14:sparkline>
            <x14:sparkline>
              <xm:f>'Ratio Analysis'!B36:F36</xm:f>
              <xm:sqref>G36</xm:sqref>
            </x14:sparkline>
          </x14:sparklines>
        </x14:sparklineGroup>
        <x14:sparklineGroup displayEmptyCellsAs="gap" xr2:uid="{5BA80727-EB0A-43CE-9384-1B90B285A8A8}">
          <x14:colorSeries rgb="FF376092"/>
          <x14:colorNegative rgb="FFD00000"/>
          <x14:colorAxis rgb="FF000000"/>
          <x14:colorMarkers rgb="FFD00000"/>
          <x14:colorFirst rgb="FFD00000"/>
          <x14:colorLast rgb="FFD00000"/>
          <x14:colorHigh rgb="FFD00000"/>
          <x14:colorLow rgb="FFD00000"/>
          <x14:sparklines>
            <x14:sparkline>
              <xm:f>'Ratio Analysis'!B38:F38</xm:f>
              <xm:sqref>G38</xm:sqref>
            </x14:sparkline>
            <x14:sparkline>
              <xm:f>'Ratio Analysis'!B39:F39</xm:f>
              <xm:sqref>G39</xm:sqref>
            </x14:sparkline>
            <x14:sparkline>
              <xm:f>'Ratio Analysis'!B40:F40</xm:f>
              <xm:sqref>G40</xm:sqref>
            </x14:sparkline>
          </x14:sparklines>
        </x14:sparklineGroup>
      </x14:sparklineGroup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3"/>
  <sheetViews>
    <sheetView showGridLines="0" zoomScaleNormal="100" workbookViewId="0">
      <selection sqref="A1:F1"/>
    </sheetView>
  </sheetViews>
  <sheetFormatPr defaultColWidth="8.6640625" defaultRowHeight="14.4" x14ac:dyDescent="0.3"/>
  <cols>
    <col min="1" max="1" width="39.88671875" style="180" customWidth="1"/>
    <col min="2" max="2" width="8" style="180" customWidth="1"/>
    <col min="3" max="3" width="9" style="180" customWidth="1"/>
    <col min="4" max="4" width="9.6640625" style="180" customWidth="1"/>
    <col min="9" max="9" width="20.77734375" style="180" customWidth="1"/>
  </cols>
  <sheetData>
    <row r="1" spans="1:10" ht="14.25" customHeight="1" x14ac:dyDescent="0.3">
      <c r="A1" s="286" t="s">
        <v>455</v>
      </c>
      <c r="B1" s="285">
        <v>44621</v>
      </c>
      <c r="C1" s="285">
        <v>44986</v>
      </c>
      <c r="D1" s="285">
        <v>45352</v>
      </c>
      <c r="E1" s="285">
        <v>45717</v>
      </c>
      <c r="F1" s="285">
        <v>46082</v>
      </c>
    </row>
    <row r="2" spans="1:10" ht="14.25" customHeight="1" x14ac:dyDescent="0.3">
      <c r="A2" s="66" t="s">
        <v>406</v>
      </c>
      <c r="B2" s="30">
        <f>'Consolidated P&amp;L'!B7-'Consolidated P&amp;L'!B12-'Consolidated P&amp;L'!B13-'Consolidated P&amp;L'!B16-'Consolidated P&amp;L'!B15</f>
        <v>1593.1200000000003</v>
      </c>
      <c r="C2" s="30">
        <f>'Consolidated P&amp;L'!C7-'Consolidated P&amp;L'!C12-'Consolidated P&amp;L'!C13-'Consolidated P&amp;L'!C16-'Consolidated P&amp;L'!C15</f>
        <v>1577.2499999999995</v>
      </c>
      <c r="D2" s="30">
        <f>'Consolidated P&amp;L'!D7-'Consolidated P&amp;L'!D12-'Consolidated P&amp;L'!D13-'Consolidated P&amp;L'!D16-'Consolidated P&amp;L'!D15</f>
        <v>1975.6499999999999</v>
      </c>
      <c r="E2" s="30">
        <f>'Consolidated P&amp;L'!E7-'Consolidated P&amp;L'!E12-'Consolidated P&amp;L'!E13-'Consolidated P&amp;L'!E16-'Consolidated P&amp;L'!E15</f>
        <v>1957.9799999999998</v>
      </c>
      <c r="F2" s="30">
        <f>'Consolidated P&amp;L'!F7-'Consolidated P&amp;L'!F12-'Consolidated P&amp;L'!F13-'Consolidated P&amp;L'!F16-'Consolidated P&amp;L'!F15</f>
        <v>6154.52</v>
      </c>
    </row>
    <row r="3" spans="1:10" ht="14.25" customHeight="1" x14ac:dyDescent="0.3">
      <c r="A3" s="60" t="s">
        <v>456</v>
      </c>
      <c r="B3" s="30">
        <f>B2*$J$5</f>
        <v>218.08834364323837</v>
      </c>
      <c r="C3" s="30">
        <f>C2*$J$5</f>
        <v>215.91583811093801</v>
      </c>
      <c r="D3" s="30">
        <f>D2*$J$5</f>
        <v>270.45435128475179</v>
      </c>
      <c r="E3" s="30">
        <f>E2*$J$5</f>
        <v>268.03543680738909</v>
      </c>
      <c r="F3" s="30">
        <f>F2*$J$5</f>
        <v>842.51598920306265</v>
      </c>
    </row>
    <row r="4" spans="1:10" ht="14.25" customHeight="1" x14ac:dyDescent="0.3">
      <c r="A4" s="66" t="s">
        <v>457</v>
      </c>
      <c r="B4" s="30">
        <f>B2-B3</f>
        <v>1375.0316563567619</v>
      </c>
      <c r="C4" s="30">
        <f>C2-C3</f>
        <v>1361.3341618890615</v>
      </c>
      <c r="D4" s="30">
        <f>D2-D3</f>
        <v>1705.1956487152481</v>
      </c>
      <c r="E4" s="30">
        <f>E2-E3</f>
        <v>1689.9445631926108</v>
      </c>
      <c r="F4" s="30">
        <f>F2-F3</f>
        <v>5312.004010796938</v>
      </c>
    </row>
    <row r="5" spans="1:10" ht="14.25" customHeight="1" x14ac:dyDescent="0.3">
      <c r="A5" s="60" t="s">
        <v>458</v>
      </c>
      <c r="B5" s="30"/>
      <c r="C5" s="30">
        <f>'Fixed Asset Scheduled'!C8</f>
        <v>-96.940000000000055</v>
      </c>
      <c r="D5" s="30">
        <f>'Fixed Asset Scheduled'!D8</f>
        <v>-895.79</v>
      </c>
      <c r="E5" s="30">
        <f>'Fixed Asset Scheduled'!E8</f>
        <v>-362.73</v>
      </c>
      <c r="F5" s="30">
        <f>'Fixed Asset Scheduled'!F8</f>
        <v>687.56</v>
      </c>
      <c r="I5" t="s">
        <v>459</v>
      </c>
      <c r="J5" s="105">
        <f>Assumptions!I32</f>
        <v>0.13689385836800638</v>
      </c>
    </row>
    <row r="6" spans="1:10" ht="14.25" customHeight="1" x14ac:dyDescent="0.3">
      <c r="A6" s="60" t="s">
        <v>460</v>
      </c>
      <c r="B6" s="30"/>
      <c r="C6" s="30">
        <f>'Change in working capital'!C6</f>
        <v>-875.10000000000218</v>
      </c>
      <c r="D6" s="30">
        <f>'Change in working capital'!D6</f>
        <v>1637.6200000000026</v>
      </c>
      <c r="E6" s="30">
        <f>'Change in working capital'!E6</f>
        <v>3258.2799999999988</v>
      </c>
      <c r="F6" s="30">
        <f>'Change in working capital'!F6</f>
        <v>682.61000000000058</v>
      </c>
    </row>
    <row r="7" spans="1:10" ht="14.25" customHeight="1" x14ac:dyDescent="0.3">
      <c r="A7" s="60" t="s">
        <v>461</v>
      </c>
      <c r="B7" s="30"/>
      <c r="C7" s="30">
        <f>C5+C6</f>
        <v>-972.04000000000224</v>
      </c>
      <c r="D7" s="30">
        <f>D5+D6</f>
        <v>741.83000000000266</v>
      </c>
      <c r="E7" s="30">
        <f>E5+E6</f>
        <v>2895.5499999999988</v>
      </c>
      <c r="F7" s="30">
        <f>F5+F6</f>
        <v>1370.1700000000005</v>
      </c>
    </row>
    <row r="8" spans="1:10" ht="14.25" customHeight="1" x14ac:dyDescent="0.3">
      <c r="A8" s="66" t="s">
        <v>462</v>
      </c>
      <c r="B8" s="69"/>
      <c r="C8" s="30">
        <f>C4-C7</f>
        <v>2333.3741618890635</v>
      </c>
      <c r="D8" s="30">
        <f>D4-D7</f>
        <v>963.36564871524547</v>
      </c>
      <c r="E8" s="30">
        <f>E4-E7</f>
        <v>-1205.6054368073881</v>
      </c>
      <c r="F8" s="30">
        <f>F4-F7</f>
        <v>3941.8340107969375</v>
      </c>
    </row>
    <row r="9" spans="1:10" ht="14.25" customHeight="1" x14ac:dyDescent="0.3">
      <c r="A9" s="66"/>
      <c r="B9" s="19"/>
      <c r="C9" s="30"/>
      <c r="D9" s="30"/>
      <c r="E9" s="30"/>
      <c r="F9" s="30"/>
      <c r="I9" t="s">
        <v>463</v>
      </c>
      <c r="J9" s="105">
        <f>Assumptions!I33</f>
        <v>0.25</v>
      </c>
    </row>
    <row r="10" spans="1:10" ht="14.25" customHeight="1" x14ac:dyDescent="0.3">
      <c r="A10" s="60" t="s">
        <v>464</v>
      </c>
      <c r="B10" s="33"/>
      <c r="C10" s="33">
        <f>C7/C4</f>
        <v>-0.71403482496255477</v>
      </c>
      <c r="D10" s="33">
        <f>D7/D4</f>
        <v>0.43504098814638797</v>
      </c>
      <c r="E10" s="33">
        <f>E7/E4</f>
        <v>1.713399399640531</v>
      </c>
      <c r="F10" s="33">
        <f>F7/F4</f>
        <v>0.25793843476304901</v>
      </c>
    </row>
    <row r="11" spans="1:10" ht="14.25" customHeight="1" x14ac:dyDescent="0.3">
      <c r="A11" s="1"/>
      <c r="B11" s="1"/>
      <c r="C11" s="1"/>
      <c r="D11" s="1"/>
      <c r="E11" s="1"/>
    </row>
    <row r="12" spans="1:10" ht="14.25" customHeight="1" x14ac:dyDescent="0.3">
      <c r="A12" s="60" t="s">
        <v>465</v>
      </c>
      <c r="B12" s="70">
        <f>MEDIAN(C10:F10)</f>
        <v>0.34648971145471852</v>
      </c>
      <c r="C12" s="71"/>
      <c r="D12" s="1"/>
      <c r="E12" s="1"/>
    </row>
    <row r="13" spans="1:10" ht="14.25" customHeight="1" x14ac:dyDescent="0.3">
      <c r="A13" s="60" t="s">
        <v>466</v>
      </c>
      <c r="B13" s="70">
        <f>AVERAGE(C10:F10)</f>
        <v>0.42308599939685332</v>
      </c>
      <c r="C13" s="71"/>
      <c r="D13" s="1"/>
      <c r="E13" s="1"/>
    </row>
  </sheetData>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0"/>
  <sheetViews>
    <sheetView showGridLines="0" zoomScaleNormal="100" workbookViewId="0">
      <selection sqref="A1:F1"/>
    </sheetView>
  </sheetViews>
  <sheetFormatPr defaultColWidth="8.6640625" defaultRowHeight="14.4" x14ac:dyDescent="0.3"/>
  <cols>
    <col min="1" max="1" width="46" style="180" customWidth="1"/>
    <col min="2" max="6" width="9" style="180" customWidth="1"/>
  </cols>
  <sheetData>
    <row r="1" spans="1:6" ht="14.25" customHeight="1" x14ac:dyDescent="0.3">
      <c r="A1" s="286" t="s">
        <v>455</v>
      </c>
      <c r="B1" s="285">
        <v>44621</v>
      </c>
      <c r="C1" s="285">
        <v>44986</v>
      </c>
      <c r="D1" s="285">
        <v>45352</v>
      </c>
      <c r="E1" s="285">
        <v>45717</v>
      </c>
      <c r="F1" s="285">
        <v>46082</v>
      </c>
    </row>
    <row r="2" spans="1:6" ht="14.25" customHeight="1" x14ac:dyDescent="0.3">
      <c r="A2" s="60" t="s">
        <v>467</v>
      </c>
      <c r="B2" s="30">
        <f>'Consolidated Balance Sheet'!B38</f>
        <v>20106.990000000002</v>
      </c>
      <c r="C2" s="30">
        <f>'Consolidated Balance Sheet'!C38</f>
        <v>19361.23</v>
      </c>
      <c r="D2" s="30">
        <f>'Consolidated Balance Sheet'!D38</f>
        <v>21154.13</v>
      </c>
      <c r="E2" s="30">
        <f>'Consolidated Balance Sheet'!E38</f>
        <v>24621.48</v>
      </c>
      <c r="F2" s="30">
        <f>'Consolidated Balance Sheet'!F38</f>
        <v>24717.48</v>
      </c>
    </row>
    <row r="3" spans="1:6" ht="14.25" customHeight="1" x14ac:dyDescent="0.3">
      <c r="A3" s="60" t="s">
        <v>468</v>
      </c>
      <c r="B3" s="30">
        <f>'Consolidated Balance Sheet'!B39</f>
        <v>563.6</v>
      </c>
      <c r="C3" s="30">
        <f>'Consolidated Balance Sheet'!C39</f>
        <v>549.23</v>
      </c>
      <c r="D3" s="30">
        <f>'Consolidated Balance Sheet'!D39</f>
        <v>538.07000000000005</v>
      </c>
      <c r="E3" s="30">
        <f>'Consolidated Balance Sheet'!E39</f>
        <v>802.21</v>
      </c>
      <c r="F3" s="30">
        <f>'Consolidated Balance Sheet'!F39</f>
        <v>847.38</v>
      </c>
    </row>
    <row r="4" spans="1:6" ht="14.25" customHeight="1" x14ac:dyDescent="0.3">
      <c r="A4" s="60" t="s">
        <v>469</v>
      </c>
      <c r="B4" s="30">
        <f>'Consolidated Balance Sheet'!B19</f>
        <v>1528.73</v>
      </c>
      <c r="C4" s="30">
        <f>'Consolidated Balance Sheet'!C19</f>
        <v>1643.7</v>
      </c>
      <c r="D4" s="30">
        <f>'Consolidated Balance Sheet'!D19</f>
        <v>1787.82</v>
      </c>
      <c r="E4" s="30">
        <f>'Consolidated Balance Sheet'!E19</f>
        <v>2261.0300000000002</v>
      </c>
      <c r="F4" s="30">
        <f>'Consolidated Balance Sheet'!F19</f>
        <v>1719.59</v>
      </c>
    </row>
    <row r="5" spans="1:6" ht="14.25" customHeight="1" x14ac:dyDescent="0.3">
      <c r="A5" s="60" t="s">
        <v>470</v>
      </c>
      <c r="B5" s="30">
        <f>B2+B3-B4</f>
        <v>19141.86</v>
      </c>
      <c r="C5" s="30">
        <f>C2+C3-C4</f>
        <v>18266.759999999998</v>
      </c>
      <c r="D5" s="30">
        <f>D2+D3-D4</f>
        <v>19904.38</v>
      </c>
      <c r="E5" s="30">
        <f>E2+E3-E4</f>
        <v>23162.66</v>
      </c>
      <c r="F5" s="30">
        <f>F2+F3-F4</f>
        <v>23845.27</v>
      </c>
    </row>
    <row r="6" spans="1:6" ht="14.25" customHeight="1" x14ac:dyDescent="0.3">
      <c r="A6" s="66" t="s">
        <v>471</v>
      </c>
      <c r="B6" s="30"/>
      <c r="C6" s="30">
        <f>C5-B5</f>
        <v>-875.10000000000218</v>
      </c>
      <c r="D6" s="30">
        <f>D5-C5</f>
        <v>1637.6200000000026</v>
      </c>
      <c r="E6" s="30">
        <f>E5-D5</f>
        <v>3258.2799999999988</v>
      </c>
      <c r="F6" s="30">
        <f>F5-E5</f>
        <v>682.61000000000058</v>
      </c>
    </row>
    <row r="7" spans="1:6" ht="14.25" customHeight="1" x14ac:dyDescent="0.3">
      <c r="A7" s="60" t="s">
        <v>472</v>
      </c>
      <c r="B7" s="33"/>
      <c r="C7" s="33">
        <f>C6/'Consolidated P&amp;L'!C7</f>
        <v>-0.15366569326915855</v>
      </c>
      <c r="D7" s="33">
        <f>D6/'Consolidated P&amp;L'!D7</f>
        <v>0.25480317410922709</v>
      </c>
      <c r="E7" s="33">
        <f>E6/'Consolidated P&amp;L'!E7</f>
        <v>0.40760802936327023</v>
      </c>
      <c r="F7" s="33">
        <f>F6/'Consolidated P&amp;L'!F7</f>
        <v>8.3305874283929077E-2</v>
      </c>
    </row>
    <row r="8" spans="1:6" ht="14.25" customHeight="1" x14ac:dyDescent="0.3">
      <c r="A8" s="1"/>
      <c r="B8" s="1"/>
      <c r="C8" s="1"/>
      <c r="D8" s="1"/>
      <c r="E8" s="1"/>
    </row>
    <row r="9" spans="1:6" ht="14.25" customHeight="1" x14ac:dyDescent="0.3">
      <c r="A9" s="60" t="s">
        <v>473</v>
      </c>
      <c r="B9" s="1"/>
      <c r="C9" s="64">
        <f>MEDIAN(C7:F7)</f>
        <v>0.16905452419657807</v>
      </c>
      <c r="D9" s="1"/>
      <c r="E9" s="1"/>
    </row>
    <row r="10" spans="1:6" ht="14.25" customHeight="1" x14ac:dyDescent="0.3">
      <c r="A10" s="60" t="s">
        <v>474</v>
      </c>
      <c r="B10" s="1"/>
      <c r="C10" s="64">
        <f>AVERAGE(C7:F7)</f>
        <v>0.14801284612181698</v>
      </c>
      <c r="D10" s="1"/>
      <c r="E10" s="1"/>
    </row>
  </sheetData>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2"/>
  <sheetViews>
    <sheetView showGridLines="0" zoomScaleNormal="100" workbookViewId="0">
      <selection sqref="A1:F1"/>
    </sheetView>
  </sheetViews>
  <sheetFormatPr defaultColWidth="8.6640625" defaultRowHeight="14.4" x14ac:dyDescent="0.3"/>
  <cols>
    <col min="1" max="1" width="40.33203125" style="180" customWidth="1"/>
    <col min="2" max="3" width="9" style="180" customWidth="1"/>
    <col min="4" max="4" width="9.6640625" style="180" customWidth="1"/>
    <col min="5" max="5" width="8" style="180" customWidth="1"/>
    <col min="6" max="6" width="9" style="180" customWidth="1"/>
  </cols>
  <sheetData>
    <row r="1" spans="1:6" ht="14.25" customHeight="1" x14ac:dyDescent="0.3">
      <c r="A1" s="286" t="s">
        <v>455</v>
      </c>
      <c r="B1" s="285">
        <v>44621</v>
      </c>
      <c r="C1" s="285">
        <v>44986</v>
      </c>
      <c r="D1" s="285">
        <v>45352</v>
      </c>
      <c r="E1" s="285">
        <v>45717</v>
      </c>
      <c r="F1" s="285">
        <v>46082</v>
      </c>
    </row>
    <row r="2" spans="1:6" ht="14.25" customHeight="1" x14ac:dyDescent="0.3">
      <c r="A2" s="60" t="s">
        <v>475</v>
      </c>
      <c r="B2" s="30"/>
      <c r="C2" s="30">
        <f>B6</f>
        <v>3999.19</v>
      </c>
      <c r="D2" s="30">
        <f>C6</f>
        <v>3902.25</v>
      </c>
      <c r="E2" s="72">
        <f>D6</f>
        <v>3006.46</v>
      </c>
      <c r="F2" s="30">
        <f>E6</f>
        <v>2643.73</v>
      </c>
    </row>
    <row r="3" spans="1:6" ht="14.25" customHeight="1" x14ac:dyDescent="0.3">
      <c r="A3" s="66" t="s">
        <v>476</v>
      </c>
      <c r="B3" s="69"/>
      <c r="C3" s="30">
        <f>C6-C2+C5</f>
        <v>51.689999999999941</v>
      </c>
      <c r="D3" s="30">
        <f>D6-D2+D5</f>
        <v>-747.83999999999992</v>
      </c>
      <c r="E3" s="30">
        <f>E6-E2+E5</f>
        <v>-212.07000000000002</v>
      </c>
      <c r="F3" s="30">
        <f>F6-F2+F5</f>
        <v>829.96999999999991</v>
      </c>
    </row>
    <row r="4" spans="1:6" ht="14.25" customHeight="1" x14ac:dyDescent="0.3">
      <c r="A4" s="66" t="s">
        <v>477</v>
      </c>
      <c r="B4" s="30">
        <f>B5+B6</f>
        <v>4148.63</v>
      </c>
      <c r="C4" s="30">
        <f>C5+C6</f>
        <v>4050.88</v>
      </c>
      <c r="D4" s="30">
        <f>D5+D6</f>
        <v>3154.41</v>
      </c>
      <c r="E4" s="30">
        <f>E5+E6</f>
        <v>2794.39</v>
      </c>
      <c r="F4" s="30">
        <f>F5+F6</f>
        <v>3473.7</v>
      </c>
    </row>
    <row r="5" spans="1:6" ht="14.25" customHeight="1" x14ac:dyDescent="0.3">
      <c r="A5" s="66" t="s">
        <v>478</v>
      </c>
      <c r="B5" s="30">
        <f>'Consolidated P&amp;L'!B15</f>
        <v>149.44</v>
      </c>
      <c r="C5" s="30">
        <f>'Consolidated P&amp;L'!C15</f>
        <v>148.63</v>
      </c>
      <c r="D5" s="30">
        <f>'Consolidated P&amp;L'!D15</f>
        <v>147.94999999999999</v>
      </c>
      <c r="E5" s="30">
        <f>'Consolidated P&amp;L'!E15</f>
        <v>150.66</v>
      </c>
      <c r="F5" s="30">
        <f>'Consolidated P&amp;L'!F15</f>
        <v>142.41</v>
      </c>
    </row>
    <row r="6" spans="1:6" ht="14.25" customHeight="1" x14ac:dyDescent="0.3">
      <c r="A6" s="60" t="s">
        <v>479</v>
      </c>
      <c r="B6" s="30">
        <f>'Consolidated Balance Sheet'!B30</f>
        <v>3999.19</v>
      </c>
      <c r="C6" s="30">
        <f>'Consolidated Balance Sheet'!C30</f>
        <v>3902.25</v>
      </c>
      <c r="D6" s="30">
        <f>'Consolidated Balance Sheet'!D30</f>
        <v>3006.46</v>
      </c>
      <c r="E6" s="30">
        <f>'Consolidated Balance Sheet'!E30</f>
        <v>2643.73</v>
      </c>
      <c r="F6" s="30">
        <f>'Consolidated Balance Sheet'!F30</f>
        <v>3331.29</v>
      </c>
    </row>
    <row r="7" spans="1:6" ht="14.25" customHeight="1" x14ac:dyDescent="0.3">
      <c r="A7" s="1"/>
      <c r="B7" s="1"/>
      <c r="C7" s="1"/>
      <c r="D7" s="1"/>
      <c r="E7" s="1"/>
    </row>
    <row r="8" spans="1:6" ht="14.25" customHeight="1" x14ac:dyDescent="0.3">
      <c r="A8" s="66" t="s">
        <v>480</v>
      </c>
      <c r="B8" s="73"/>
      <c r="C8" s="74">
        <f>C3-C5</f>
        <v>-96.940000000000055</v>
      </c>
      <c r="D8" s="74">
        <f>D3-D5</f>
        <v>-895.79</v>
      </c>
      <c r="E8" s="74">
        <f>E3-E5</f>
        <v>-362.73</v>
      </c>
      <c r="F8" s="74">
        <f>F3-F5</f>
        <v>687.56</v>
      </c>
    </row>
    <row r="9" spans="1:6" ht="14.25" customHeight="1" x14ac:dyDescent="0.3">
      <c r="A9" s="60" t="s">
        <v>481</v>
      </c>
      <c r="B9" s="75"/>
      <c r="C9" s="64">
        <f>C8/'Consolidated P&amp;L'!C7</f>
        <v>-1.702245721118981E-2</v>
      </c>
      <c r="D9" s="64">
        <f>D8/'Consolidated P&amp;L'!D7</f>
        <v>-0.139379181577719</v>
      </c>
      <c r="E9" s="64">
        <f>E8/'Consolidated P&amp;L'!E7</f>
        <v>-4.5377211440066255E-2</v>
      </c>
      <c r="F9" s="64">
        <f>F8/'Consolidated P&amp;L'!F7</f>
        <v>8.3909973370824079E-2</v>
      </c>
    </row>
    <row r="10" spans="1:6" ht="14.25" customHeight="1" x14ac:dyDescent="0.3">
      <c r="A10" s="1"/>
      <c r="B10" s="1"/>
      <c r="C10" s="1"/>
      <c r="D10" s="1"/>
      <c r="E10" s="1"/>
    </row>
    <row r="11" spans="1:6" ht="14.25" customHeight="1" x14ac:dyDescent="0.3">
      <c r="A11" s="60" t="s">
        <v>482</v>
      </c>
      <c r="B11" s="1"/>
      <c r="C11" s="64">
        <f>MEDIAN(C9:F9)</f>
        <v>-3.1199834325628034E-2</v>
      </c>
      <c r="D11" s="1"/>
      <c r="E11" s="1"/>
    </row>
    <row r="12" spans="1:6" ht="14.25" customHeight="1" x14ac:dyDescent="0.3">
      <c r="A12" s="60" t="s">
        <v>483</v>
      </c>
      <c r="B12" s="1"/>
      <c r="C12" s="64">
        <f>AVERAGE(C9:F9)</f>
        <v>-2.9467219214537748E-2</v>
      </c>
      <c r="D12" s="1"/>
      <c r="E12" s="1"/>
    </row>
  </sheetData>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D3:Q14"/>
  <sheetViews>
    <sheetView showGridLines="0" zoomScaleNormal="100" workbookViewId="0">
      <selection activeCell="N3" sqref="N3:Q4"/>
    </sheetView>
  </sheetViews>
  <sheetFormatPr defaultColWidth="8.6640625" defaultRowHeight="14.4" x14ac:dyDescent="0.3"/>
  <cols>
    <col min="4" max="4" width="11.109375" style="180" customWidth="1"/>
    <col min="5" max="5" width="6.109375" style="180" customWidth="1"/>
    <col min="6" max="6" width="8.5546875" style="180" customWidth="1"/>
    <col min="7" max="7" width="11.88671875" style="180" customWidth="1"/>
    <col min="9" max="9" width="11.109375" style="180" customWidth="1"/>
    <col min="10" max="10" width="6.109375" style="180" customWidth="1"/>
    <col min="11" max="11" width="8.109375" style="180" customWidth="1"/>
    <col min="12" max="12" width="13.88671875" style="180" customWidth="1"/>
    <col min="14" max="14" width="11.109375" style="180" customWidth="1"/>
    <col min="15" max="15" width="6.109375" style="180" customWidth="1"/>
    <col min="16" max="16" width="5.5546875" style="180" customWidth="1"/>
    <col min="17" max="17" width="10.77734375" style="180" customWidth="1"/>
  </cols>
  <sheetData>
    <row r="3" spans="4:17" ht="14.25" customHeight="1" x14ac:dyDescent="0.3">
      <c r="D3" s="283" t="s">
        <v>484</v>
      </c>
      <c r="E3" s="268"/>
      <c r="F3" s="268"/>
      <c r="G3" s="269"/>
      <c r="H3" s="76"/>
      <c r="I3" s="283" t="s">
        <v>485</v>
      </c>
      <c r="J3" s="268"/>
      <c r="K3" s="268"/>
      <c r="L3" s="269"/>
      <c r="M3" s="76"/>
      <c r="N3" s="283" t="s">
        <v>486</v>
      </c>
      <c r="O3" s="268"/>
      <c r="P3" s="268"/>
      <c r="Q3" s="269"/>
    </row>
    <row r="4" spans="4:17" ht="14.25" customHeight="1" x14ac:dyDescent="0.3">
      <c r="D4" s="284" t="s">
        <v>487</v>
      </c>
      <c r="E4" s="284" t="s">
        <v>488</v>
      </c>
      <c r="F4" s="284" t="s">
        <v>489</v>
      </c>
      <c r="G4" s="284" t="s">
        <v>424</v>
      </c>
      <c r="H4" s="76"/>
      <c r="I4" s="284" t="s">
        <v>487</v>
      </c>
      <c r="J4" s="284" t="s">
        <v>488</v>
      </c>
      <c r="K4" s="284" t="s">
        <v>392</v>
      </c>
      <c r="L4" s="284" t="s">
        <v>425</v>
      </c>
      <c r="M4" s="76"/>
      <c r="N4" s="284" t="s">
        <v>487</v>
      </c>
      <c r="O4" s="284" t="s">
        <v>488</v>
      </c>
      <c r="P4" s="284" t="s">
        <v>490</v>
      </c>
      <c r="Q4" s="284" t="s">
        <v>491</v>
      </c>
    </row>
    <row r="5" spans="4:17" ht="14.25" customHeight="1" x14ac:dyDescent="0.3">
      <c r="D5" s="77">
        <v>1</v>
      </c>
      <c r="E5" s="78">
        <f>'Ratio Analysis'!B2</f>
        <v>44621</v>
      </c>
      <c r="F5" s="79">
        <f>Assumptions!B3</f>
        <v>5717.39</v>
      </c>
      <c r="G5" s="80"/>
      <c r="H5" s="76"/>
      <c r="I5" s="77">
        <v>1</v>
      </c>
      <c r="J5" s="81">
        <f>'Ratio Analysis'!B2</f>
        <v>44621</v>
      </c>
      <c r="K5" s="79">
        <f>Assumptions!B9</f>
        <v>1742.5600000000004</v>
      </c>
      <c r="L5" s="82"/>
      <c r="M5" s="76"/>
      <c r="N5" s="77">
        <v>1</v>
      </c>
      <c r="O5" s="81">
        <f>'Ratio Analysis'!B2</f>
        <v>44621</v>
      </c>
      <c r="P5" s="79">
        <f>'Consolidated P&amp;L'!B33</f>
        <v>6</v>
      </c>
      <c r="Q5" s="82"/>
    </row>
    <row r="6" spans="4:17" ht="14.25" customHeight="1" x14ac:dyDescent="0.3">
      <c r="D6" s="77">
        <f t="shared" ref="D6:D14" si="0">D5+1</f>
        <v>2</v>
      </c>
      <c r="E6" s="81">
        <f t="shared" ref="E6:E14" si="1">E5+365</f>
        <v>44986</v>
      </c>
      <c r="F6" s="79">
        <f>Assumptions!C3</f>
        <v>5694.83</v>
      </c>
      <c r="G6" s="83">
        <f t="shared" ref="G6:G14" si="2">(F6-F5)/F5</f>
        <v>-3.9458564135034339E-3</v>
      </c>
      <c r="H6" s="76"/>
      <c r="I6" s="77">
        <f t="shared" ref="I6:I14" si="3">I5+1</f>
        <v>2</v>
      </c>
      <c r="J6" s="81">
        <f t="shared" ref="J6:J14" si="4">J5+365</f>
        <v>44986</v>
      </c>
      <c r="K6" s="79">
        <f>Assumptions!C9</f>
        <v>1725.8799999999997</v>
      </c>
      <c r="L6" s="82">
        <f t="shared" ref="L6:L14" si="5">(K6-K5)/K5</f>
        <v>-9.5721237719221964E-3</v>
      </c>
      <c r="M6" s="76"/>
      <c r="N6" s="77">
        <f t="shared" ref="N6:N14" si="6">N5+1</f>
        <v>2</v>
      </c>
      <c r="O6" s="81">
        <f t="shared" ref="O6:O14" si="7">O5+365</f>
        <v>44986</v>
      </c>
      <c r="P6" s="79">
        <f>'Consolidated P&amp;L'!C33</f>
        <v>8</v>
      </c>
      <c r="Q6" s="82">
        <f t="shared" ref="Q6:Q14" si="8">(P6-P5)/P5</f>
        <v>0.33333333333333331</v>
      </c>
    </row>
    <row r="7" spans="4:17" ht="14.25" customHeight="1" x14ac:dyDescent="0.3">
      <c r="D7" s="77">
        <f t="shared" si="0"/>
        <v>3</v>
      </c>
      <c r="E7" s="81">
        <f t="shared" si="1"/>
        <v>45351</v>
      </c>
      <c r="F7" s="79">
        <f>Assumptions!D3</f>
        <v>6427</v>
      </c>
      <c r="G7" s="80">
        <f t="shared" si="2"/>
        <v>0.12856749016212954</v>
      </c>
      <c r="H7" s="76"/>
      <c r="I7" s="77">
        <f t="shared" si="3"/>
        <v>3</v>
      </c>
      <c r="J7" s="81">
        <f t="shared" si="4"/>
        <v>45351</v>
      </c>
      <c r="K7" s="79">
        <f>Assumptions!D9</f>
        <v>2123.6000000000004</v>
      </c>
      <c r="L7" s="82">
        <f t="shared" si="5"/>
        <v>0.23044475861589495</v>
      </c>
      <c r="M7" s="76"/>
      <c r="N7" s="77">
        <f t="shared" si="6"/>
        <v>3</v>
      </c>
      <c r="O7" s="81">
        <f t="shared" si="7"/>
        <v>45351</v>
      </c>
      <c r="P7" s="79">
        <f>'Consolidated P&amp;L'!D33</f>
        <v>11</v>
      </c>
      <c r="Q7" s="82">
        <f t="shared" si="8"/>
        <v>0.375</v>
      </c>
    </row>
    <row r="8" spans="4:17" ht="14.25" customHeight="1" x14ac:dyDescent="0.3">
      <c r="D8" s="77">
        <f t="shared" si="0"/>
        <v>4</v>
      </c>
      <c r="E8" s="81">
        <f t="shared" si="1"/>
        <v>45716</v>
      </c>
      <c r="F8" s="79">
        <f>Assumptions!E3</f>
        <v>7993.66</v>
      </c>
      <c r="G8" s="80">
        <f t="shared" si="2"/>
        <v>0.24376225299517656</v>
      </c>
      <c r="H8" s="76"/>
      <c r="I8" s="77">
        <f t="shared" si="3"/>
        <v>4</v>
      </c>
      <c r="J8" s="81">
        <f t="shared" si="4"/>
        <v>45716</v>
      </c>
      <c r="K8" s="79">
        <f>Assumptions!E9</f>
        <v>2108.6399999999994</v>
      </c>
      <c r="L8" s="82">
        <f t="shared" si="5"/>
        <v>-7.0446411753630356E-3</v>
      </c>
      <c r="M8" s="76"/>
      <c r="N8" s="77">
        <f t="shared" si="6"/>
        <v>4</v>
      </c>
      <c r="O8" s="81">
        <f t="shared" si="7"/>
        <v>45716</v>
      </c>
      <c r="P8" s="79">
        <f>'Consolidated P&amp;L'!E33</f>
        <v>18</v>
      </c>
      <c r="Q8" s="82">
        <f t="shared" si="8"/>
        <v>0.63636363636363635</v>
      </c>
    </row>
    <row r="9" spans="4:17" ht="14.25" customHeight="1" x14ac:dyDescent="0.3">
      <c r="D9" s="77">
        <f t="shared" si="0"/>
        <v>5</v>
      </c>
      <c r="E9" s="81">
        <f t="shared" si="1"/>
        <v>46081</v>
      </c>
      <c r="F9" s="79">
        <f>Assumptions!F3</f>
        <v>8194.02</v>
      </c>
      <c r="G9" s="80">
        <f t="shared" si="2"/>
        <v>2.5064863904644505E-2</v>
      </c>
      <c r="H9" s="76"/>
      <c r="I9" s="77">
        <f t="shared" si="3"/>
        <v>5</v>
      </c>
      <c r="J9" s="81">
        <f t="shared" si="4"/>
        <v>46081</v>
      </c>
      <c r="K9" s="84">
        <f>Assumptions!F9</f>
        <v>1448.3600000000006</v>
      </c>
      <c r="L9" s="82">
        <f t="shared" si="5"/>
        <v>-0.31313073829577309</v>
      </c>
      <c r="M9" s="76"/>
      <c r="N9" s="77">
        <f t="shared" si="6"/>
        <v>5</v>
      </c>
      <c r="O9" s="81">
        <f t="shared" si="7"/>
        <v>46081</v>
      </c>
      <c r="P9" s="84">
        <f>'Consolidated P&amp;L'!F33</f>
        <v>18</v>
      </c>
      <c r="Q9" s="82">
        <f t="shared" si="8"/>
        <v>0</v>
      </c>
    </row>
    <row r="10" spans="4:17" ht="14.25" customHeight="1" x14ac:dyDescent="0.3">
      <c r="D10" s="77">
        <f t="shared" si="0"/>
        <v>6</v>
      </c>
      <c r="E10" s="85">
        <f t="shared" si="1"/>
        <v>46446</v>
      </c>
      <c r="F10" s="86">
        <f>FORECAST(E10,$F$5:$F$9,$E$5:$E$9)</f>
        <v>8981.0070000000123</v>
      </c>
      <c r="G10" s="80">
        <f t="shared" si="2"/>
        <v>9.6044066282485505E-2</v>
      </c>
      <c r="H10" s="76"/>
      <c r="I10" s="77">
        <f t="shared" si="3"/>
        <v>6</v>
      </c>
      <c r="J10" s="87">
        <f t="shared" si="4"/>
        <v>46446</v>
      </c>
      <c r="K10" s="88">
        <f>FORECAST(J10,$K$5:$K$9,$J$5:$J$9)</f>
        <v>1768.1160000000004</v>
      </c>
      <c r="L10" s="82">
        <f t="shared" si="5"/>
        <v>0.22077107901350473</v>
      </c>
      <c r="M10" s="76"/>
      <c r="N10" s="77">
        <f t="shared" si="6"/>
        <v>6</v>
      </c>
      <c r="O10" s="87">
        <f t="shared" si="7"/>
        <v>46446</v>
      </c>
      <c r="P10" s="88">
        <f>FORECAST(O10,$P$5:$P$9,$O$5:$O$9)</f>
        <v>22.399999999999977</v>
      </c>
      <c r="Q10" s="82">
        <f t="shared" si="8"/>
        <v>0.24444444444444319</v>
      </c>
    </row>
    <row r="11" spans="4:17" ht="14.25" customHeight="1" x14ac:dyDescent="0.3">
      <c r="D11" s="77">
        <f t="shared" si="0"/>
        <v>7</v>
      </c>
      <c r="E11" s="85">
        <f t="shared" si="1"/>
        <v>46811</v>
      </c>
      <c r="F11" s="86">
        <f>FORECAST(E11,$F$5:$F$9,$E$5:$E$9)</f>
        <v>9706.2160000000149</v>
      </c>
      <c r="G11" s="80">
        <f t="shared" si="2"/>
        <v>8.0749185475526467E-2</v>
      </c>
      <c r="H11" s="76"/>
      <c r="I11" s="77">
        <f t="shared" si="3"/>
        <v>7</v>
      </c>
      <c r="J11" s="87">
        <f t="shared" si="4"/>
        <v>46811</v>
      </c>
      <c r="K11" s="88">
        <f>FORECAST(J11,$K$5:$K$9,$J$5:$J$9)</f>
        <v>1747.5520000000001</v>
      </c>
      <c r="L11" s="82">
        <f t="shared" si="5"/>
        <v>-1.1630458635067099E-2</v>
      </c>
      <c r="M11" s="76"/>
      <c r="N11" s="77">
        <f t="shared" si="6"/>
        <v>7</v>
      </c>
      <c r="O11" s="87">
        <f t="shared" si="7"/>
        <v>46811</v>
      </c>
      <c r="P11" s="88">
        <f>FORECAST(O11,$P$5:$P$9,$O$5:$O$9)</f>
        <v>25.799999999999955</v>
      </c>
      <c r="Q11" s="82">
        <f t="shared" si="8"/>
        <v>0.15178571428571341</v>
      </c>
    </row>
    <row r="12" spans="4:17" ht="14.25" customHeight="1" x14ac:dyDescent="0.3">
      <c r="D12" s="77">
        <f t="shared" si="0"/>
        <v>8</v>
      </c>
      <c r="E12" s="85">
        <f t="shared" si="1"/>
        <v>47176</v>
      </c>
      <c r="F12" s="86">
        <f>FORECAST(E12,$F$5:$F$9,$E$5:$E$9)</f>
        <v>10431.425000000017</v>
      </c>
      <c r="G12" s="80">
        <f t="shared" si="2"/>
        <v>7.471593461344786E-2</v>
      </c>
      <c r="H12" s="76"/>
      <c r="I12" s="77">
        <f t="shared" si="3"/>
        <v>8</v>
      </c>
      <c r="J12" s="87">
        <f t="shared" si="4"/>
        <v>47176</v>
      </c>
      <c r="K12" s="88">
        <f>FORECAST(J12,$K$5:$K$9,$J$5:$J$9)</f>
        <v>1726.9880000000003</v>
      </c>
      <c r="L12" s="82">
        <f t="shared" si="5"/>
        <v>-1.176731793960915E-2</v>
      </c>
      <c r="M12" s="76"/>
      <c r="N12" s="77">
        <f t="shared" si="6"/>
        <v>8</v>
      </c>
      <c r="O12" s="87">
        <f t="shared" si="7"/>
        <v>47176</v>
      </c>
      <c r="P12" s="88">
        <f>FORECAST(O12,$P$5:$P$9,$O$5:$O$9)</f>
        <v>29.199999999999989</v>
      </c>
      <c r="Q12" s="82">
        <f t="shared" si="8"/>
        <v>0.13178294573643567</v>
      </c>
    </row>
    <row r="13" spans="4:17" ht="14.25" customHeight="1" x14ac:dyDescent="0.3">
      <c r="D13" s="77">
        <f t="shared" si="0"/>
        <v>9</v>
      </c>
      <c r="E13" s="85">
        <f t="shared" si="1"/>
        <v>47541</v>
      </c>
      <c r="F13" s="86">
        <f>FORECAST(E13,$F$5:$F$9,$E$5:$E$9)</f>
        <v>11156.634000000005</v>
      </c>
      <c r="G13" s="80">
        <f t="shared" si="2"/>
        <v>6.9521565845508809E-2</v>
      </c>
      <c r="H13" s="76"/>
      <c r="I13" s="77">
        <f t="shared" si="3"/>
        <v>9</v>
      </c>
      <c r="J13" s="87">
        <f t="shared" si="4"/>
        <v>47541</v>
      </c>
      <c r="K13" s="88">
        <f>FORECAST(J13,$K$5:$K$9,$J$5:$J$9)</f>
        <v>1706.4240000000004</v>
      </c>
      <c r="L13" s="82">
        <f t="shared" si="5"/>
        <v>-1.1907436531116514E-2</v>
      </c>
      <c r="M13" s="76"/>
      <c r="N13" s="77">
        <f t="shared" si="6"/>
        <v>9</v>
      </c>
      <c r="O13" s="87">
        <f t="shared" si="7"/>
        <v>47541</v>
      </c>
      <c r="P13" s="88">
        <f>FORECAST(O13,$P$5:$P$9,$O$5:$O$9)</f>
        <v>32.599999999999966</v>
      </c>
      <c r="Q13" s="82">
        <f t="shared" si="8"/>
        <v>0.11643835616438283</v>
      </c>
    </row>
    <row r="14" spans="4:17" ht="14.25" customHeight="1" x14ac:dyDescent="0.3">
      <c r="D14" s="77">
        <f t="shared" si="0"/>
        <v>10</v>
      </c>
      <c r="E14" s="85">
        <f t="shared" si="1"/>
        <v>47906</v>
      </c>
      <c r="F14" s="86">
        <f>FORECAST(E14,$F$5:$F$9,$E$5:$E$9)</f>
        <v>11881.843000000008</v>
      </c>
      <c r="G14" s="80">
        <f t="shared" si="2"/>
        <v>6.5002490894655346E-2</v>
      </c>
      <c r="H14" s="76"/>
      <c r="I14" s="77">
        <f t="shared" si="3"/>
        <v>10</v>
      </c>
      <c r="J14" s="87">
        <f t="shared" si="4"/>
        <v>47906</v>
      </c>
      <c r="K14" s="88">
        <f>FORECAST(J14,$K$5:$K$9,$J$5:$J$9)</f>
        <v>1685.8600000000001</v>
      </c>
      <c r="L14" s="82">
        <f t="shared" si="5"/>
        <v>-1.2050932241928325E-2</v>
      </c>
      <c r="M14" s="76"/>
      <c r="N14" s="77">
        <f t="shared" si="6"/>
        <v>10</v>
      </c>
      <c r="O14" s="87">
        <f t="shared" si="7"/>
        <v>47906</v>
      </c>
      <c r="P14" s="88">
        <f>FORECAST(O14,$P$5:$P$9,$O$5:$O$9)</f>
        <v>36</v>
      </c>
      <c r="Q14" s="82">
        <f t="shared" si="8"/>
        <v>0.10429447852760852</v>
      </c>
    </row>
  </sheetData>
  <mergeCells count="3">
    <mergeCell ref="I3:L3"/>
    <mergeCell ref="D3:G3"/>
    <mergeCell ref="N3:Q3"/>
  </mergeCells>
  <pageMargins left="0.7" right="0.7" top="0.75" bottom="0.75" header="0.511811023622047" footer="0.511811023622047"/>
  <pageSetup paperSize="9" orientation="portrait" horizontalDpi="300" verticalDpi="30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19"/>
  <sheetViews>
    <sheetView zoomScaleNormal="100" workbookViewId="0">
      <selection activeCell="O18" sqref="O18"/>
    </sheetView>
  </sheetViews>
  <sheetFormatPr defaultColWidth="8.6640625" defaultRowHeight="14.4" x14ac:dyDescent="0.3"/>
  <cols>
    <col min="1" max="1" width="24.5546875" style="180" customWidth="1"/>
    <col min="2" max="12" width="9.88671875" style="180" customWidth="1"/>
    <col min="13" max="13" width="6.5546875" style="180" customWidth="1"/>
    <col min="14" max="14" width="7" style="180" customWidth="1"/>
    <col min="15" max="15" width="6.6640625" style="180" customWidth="1"/>
    <col min="16" max="16" width="12" style="180" customWidth="1"/>
  </cols>
  <sheetData>
    <row r="1" spans="1:16" ht="14.25" customHeight="1" x14ac:dyDescent="0.3">
      <c r="A1" s="66" t="s">
        <v>492</v>
      </c>
      <c r="B1" s="60"/>
      <c r="C1" s="60"/>
      <c r="D1" s="60"/>
      <c r="E1" s="60"/>
      <c r="F1" s="60"/>
      <c r="G1" s="60"/>
      <c r="H1" s="60"/>
      <c r="I1" s="60"/>
      <c r="J1" s="60"/>
      <c r="K1" s="60"/>
      <c r="L1" s="60"/>
    </row>
    <row r="2" spans="1:16" ht="14.25" customHeight="1" x14ac:dyDescent="0.3">
      <c r="A2" s="166" t="s">
        <v>493</v>
      </c>
      <c r="B2" s="167" t="s">
        <v>494</v>
      </c>
      <c r="C2" s="167" t="s">
        <v>495</v>
      </c>
      <c r="D2" s="167" t="s">
        <v>496</v>
      </c>
      <c r="E2" s="167" t="s">
        <v>497</v>
      </c>
      <c r="F2" s="167" t="s">
        <v>498</v>
      </c>
      <c r="G2" s="167" t="s">
        <v>499</v>
      </c>
      <c r="H2" s="167" t="s">
        <v>500</v>
      </c>
      <c r="I2" s="167" t="s">
        <v>501</v>
      </c>
      <c r="J2" s="167" t="s">
        <v>502</v>
      </c>
      <c r="K2" s="167" t="s">
        <v>503</v>
      </c>
      <c r="L2" s="167" t="s">
        <v>504</v>
      </c>
    </row>
    <row r="3" spans="1:16" ht="14.25" customHeight="1" x14ac:dyDescent="0.3">
      <c r="A3" s="60" t="s">
        <v>489</v>
      </c>
      <c r="B3" s="168">
        <f>Assumptions!F3</f>
        <v>8194.02</v>
      </c>
      <c r="C3" s="168">
        <f t="shared" ref="C3:L3" si="0">B3*(1+C4)</f>
        <v>8805.557554301864</v>
      </c>
      <c r="D3" s="168">
        <f t="shared" si="0"/>
        <v>9450.8654226907111</v>
      </c>
      <c r="E3" s="168">
        <f t="shared" si="0"/>
        <v>10130.724181785119</v>
      </c>
      <c r="F3" s="168">
        <f t="shared" si="0"/>
        <v>10845.832938491154</v>
      </c>
      <c r="G3" s="168">
        <f t="shared" si="0"/>
        <v>11596.799480100783</v>
      </c>
      <c r="H3" s="168">
        <f t="shared" si="0"/>
        <v>12384.130304773867</v>
      </c>
      <c r="I3" s="168">
        <f t="shared" si="0"/>
        <v>13208.220604111164</v>
      </c>
      <c r="J3" s="168">
        <f t="shared" si="0"/>
        <v>14069.344275329504</v>
      </c>
      <c r="K3" s="168">
        <f t="shared" si="0"/>
        <v>14967.644045951298</v>
      </c>
      <c r="L3" s="168">
        <f t="shared" si="0"/>
        <v>15903.121798823255</v>
      </c>
      <c r="M3" s="105">
        <f>Assumptions!B23</f>
        <v>7.4632177405212996E-2</v>
      </c>
      <c r="P3" t="s">
        <v>505</v>
      </c>
    </row>
    <row r="4" spans="1:16" ht="14.25" customHeight="1" x14ac:dyDescent="0.3">
      <c r="A4" s="60" t="s">
        <v>506</v>
      </c>
      <c r="B4" s="169"/>
      <c r="C4" s="170">
        <f>M3</f>
        <v>7.4632177405212996E-2</v>
      </c>
      <c r="D4" s="171">
        <f t="shared" ref="D4:L4" si="1">C4-$O$4</f>
        <v>7.3284157693522659E-2</v>
      </c>
      <c r="E4" s="171">
        <f t="shared" si="1"/>
        <v>7.1936137981832321E-2</v>
      </c>
      <c r="F4" s="171">
        <f t="shared" si="1"/>
        <v>7.0588118270141983E-2</v>
      </c>
      <c r="G4" s="171">
        <f t="shared" si="1"/>
        <v>6.9240098558451646E-2</v>
      </c>
      <c r="H4" s="171">
        <f t="shared" si="1"/>
        <v>6.7892078846761308E-2</v>
      </c>
      <c r="I4" s="171">
        <f t="shared" si="1"/>
        <v>6.6544059135070971E-2</v>
      </c>
      <c r="J4" s="171">
        <f t="shared" si="1"/>
        <v>6.5196039423380633E-2</v>
      </c>
      <c r="K4" s="171">
        <f t="shared" si="1"/>
        <v>6.3848019711690296E-2</v>
      </c>
      <c r="L4" s="171">
        <f t="shared" si="1"/>
        <v>6.2499999999999965E-2</v>
      </c>
      <c r="M4" s="172">
        <f>P4</f>
        <v>6.25E-2</v>
      </c>
      <c r="N4" s="105">
        <f>M3-M4</f>
        <v>1.2132177405212996E-2</v>
      </c>
      <c r="O4" s="105">
        <f>N4/9</f>
        <v>1.348019711690333E-3</v>
      </c>
      <c r="P4" s="105">
        <f>Wacc!B10</f>
        <v>6.25E-2</v>
      </c>
    </row>
    <row r="5" spans="1:16" ht="14.25" customHeight="1" x14ac:dyDescent="0.3">
      <c r="A5" s="60"/>
      <c r="B5" s="169"/>
      <c r="C5" s="171"/>
      <c r="D5" s="171"/>
      <c r="E5" s="171"/>
      <c r="F5" s="171"/>
      <c r="G5" s="171"/>
      <c r="H5" s="171"/>
      <c r="I5" s="171"/>
      <c r="J5" s="171"/>
      <c r="K5" s="171"/>
      <c r="L5" s="171"/>
    </row>
    <row r="6" spans="1:16" ht="14.25" customHeight="1" x14ac:dyDescent="0.3">
      <c r="A6" s="66" t="s">
        <v>507</v>
      </c>
      <c r="B6" s="167"/>
      <c r="C6" s="167"/>
      <c r="D6" s="167"/>
      <c r="E6" s="167"/>
      <c r="F6" s="167"/>
      <c r="G6" s="167"/>
      <c r="H6" s="167"/>
      <c r="I6" s="167"/>
      <c r="J6" s="167"/>
      <c r="K6" s="167"/>
      <c r="L6" s="167"/>
    </row>
    <row r="7" spans="1:16" ht="14.25" customHeight="1" x14ac:dyDescent="0.3">
      <c r="A7" s="166" t="s">
        <v>493</v>
      </c>
      <c r="B7" s="167" t="s">
        <v>494</v>
      </c>
      <c r="C7" s="167" t="s">
        <v>495</v>
      </c>
      <c r="D7" s="167" t="s">
        <v>496</v>
      </c>
      <c r="E7" s="167" t="s">
        <v>497</v>
      </c>
      <c r="F7" s="167" t="s">
        <v>498</v>
      </c>
      <c r="G7" s="167" t="s">
        <v>499</v>
      </c>
      <c r="H7" s="167" t="s">
        <v>500</v>
      </c>
      <c r="I7" s="167" t="s">
        <v>501</v>
      </c>
      <c r="J7" s="167" t="s">
        <v>502</v>
      </c>
      <c r="K7" s="167" t="s">
        <v>503</v>
      </c>
      <c r="L7" s="167" t="s">
        <v>504</v>
      </c>
      <c r="N7" s="105">
        <f>Assumptions!B22</f>
        <v>9.83621876621118E-2</v>
      </c>
    </row>
    <row r="8" spans="1:16" ht="14.25" customHeight="1" x14ac:dyDescent="0.3">
      <c r="A8" s="60" t="s">
        <v>489</v>
      </c>
      <c r="B8" s="168">
        <f>B3</f>
        <v>8194.02</v>
      </c>
      <c r="C8" s="168">
        <f t="shared" ref="C8:L8" si="2">B8*(1+C9)</f>
        <v>9000.0017329470993</v>
      </c>
      <c r="D8" s="168">
        <f t="shared" si="2"/>
        <v>9849.3993977952086</v>
      </c>
      <c r="E8" s="168">
        <f t="shared" si="2"/>
        <v>10739.714312039605</v>
      </c>
      <c r="F8" s="168">
        <f t="shared" si="2"/>
        <v>11667.712889939303</v>
      </c>
      <c r="G8" s="168">
        <f t="shared" si="2"/>
        <v>12629.405895141977</v>
      </c>
      <c r="H8" s="168">
        <f t="shared" si="2"/>
        <v>13620.04070770949</v>
      </c>
      <c r="I8" s="168">
        <f t="shared" si="2"/>
        <v>14634.108070549826</v>
      </c>
      <c r="J8" s="168">
        <f t="shared" si="2"/>
        <v>15665.364520491119</v>
      </c>
      <c r="K8" s="168">
        <f t="shared" si="2"/>
        <v>16706.871385491726</v>
      </c>
      <c r="L8" s="168">
        <f t="shared" si="2"/>
        <v>17751.05084708496</v>
      </c>
      <c r="N8" s="105">
        <f>M4</f>
        <v>6.25E-2</v>
      </c>
      <c r="O8" s="105">
        <f>N7-N8</f>
        <v>3.58621876621118E-2</v>
      </c>
      <c r="P8" s="105">
        <f>O8/9</f>
        <v>3.9846875180124218E-3</v>
      </c>
    </row>
    <row r="9" spans="1:16" ht="14.25" customHeight="1" x14ac:dyDescent="0.3">
      <c r="A9" s="60" t="s">
        <v>506</v>
      </c>
      <c r="B9" s="169"/>
      <c r="C9" s="173">
        <f>N7</f>
        <v>9.83621876621118E-2</v>
      </c>
      <c r="D9" s="171">
        <f t="shared" ref="D9:L9" si="3">C9-$P$8</f>
        <v>9.4377500144099374E-2</v>
      </c>
      <c r="E9" s="171">
        <f t="shared" si="3"/>
        <v>9.0392812626086949E-2</v>
      </c>
      <c r="F9" s="171">
        <f t="shared" si="3"/>
        <v>8.6408125108074524E-2</v>
      </c>
      <c r="G9" s="171">
        <f t="shared" si="3"/>
        <v>8.2423437590062099E-2</v>
      </c>
      <c r="H9" s="171">
        <f t="shared" si="3"/>
        <v>7.8438750072049673E-2</v>
      </c>
      <c r="I9" s="171">
        <f t="shared" si="3"/>
        <v>7.4454062554037248E-2</v>
      </c>
      <c r="J9" s="171">
        <f t="shared" si="3"/>
        <v>7.0469375036024823E-2</v>
      </c>
      <c r="K9" s="171">
        <f t="shared" si="3"/>
        <v>6.6484687518012398E-2</v>
      </c>
      <c r="L9" s="171">
        <f t="shared" si="3"/>
        <v>6.2499999999999972E-2</v>
      </c>
    </row>
    <row r="10" spans="1:16" ht="14.25" customHeight="1" x14ac:dyDescent="0.3">
      <c r="A10" s="60"/>
      <c r="B10" s="169"/>
      <c r="C10" s="169"/>
      <c r="D10" s="169"/>
      <c r="E10" s="169"/>
      <c r="F10" s="169"/>
      <c r="G10" s="169"/>
      <c r="H10" s="169"/>
      <c r="I10" s="169"/>
      <c r="J10" s="169"/>
      <c r="K10" s="169"/>
      <c r="L10" s="169"/>
    </row>
    <row r="11" spans="1:16" ht="14.25" customHeight="1" x14ac:dyDescent="0.3">
      <c r="A11" s="66" t="s">
        <v>508</v>
      </c>
      <c r="B11" s="169"/>
      <c r="C11" s="169"/>
      <c r="D11" s="169"/>
      <c r="E11" s="169"/>
      <c r="F11" s="169"/>
      <c r="G11" s="169"/>
      <c r="H11" s="169"/>
      <c r="I11" s="169"/>
      <c r="J11" s="169"/>
      <c r="K11" s="169"/>
      <c r="L11" s="169"/>
    </row>
    <row r="12" spans="1:16" ht="14.25" customHeight="1" x14ac:dyDescent="0.3">
      <c r="A12" s="166" t="s">
        <v>493</v>
      </c>
      <c r="B12" s="167" t="s">
        <v>494</v>
      </c>
      <c r="C12" s="167" t="s">
        <v>495</v>
      </c>
      <c r="D12" s="167" t="s">
        <v>496</v>
      </c>
      <c r="E12" s="167" t="s">
        <v>497</v>
      </c>
      <c r="F12" s="167" t="s">
        <v>498</v>
      </c>
      <c r="G12" s="167" t="s">
        <v>499</v>
      </c>
      <c r="H12" s="167" t="s">
        <v>500</v>
      </c>
      <c r="I12" s="167" t="s">
        <v>501</v>
      </c>
      <c r="J12" s="167" t="s">
        <v>502</v>
      </c>
      <c r="K12" s="167" t="s">
        <v>503</v>
      </c>
      <c r="L12" s="167" t="s">
        <v>504</v>
      </c>
      <c r="N12" s="105">
        <f>FCFF!B12*Assumptions!F43</f>
        <v>6.3714533560998233E-3</v>
      </c>
    </row>
    <row r="13" spans="1:16" ht="14.25" customHeight="1" x14ac:dyDescent="0.3">
      <c r="A13" s="60" t="s">
        <v>489</v>
      </c>
      <c r="B13" s="168">
        <f>B8</f>
        <v>8194.02</v>
      </c>
      <c r="C13" s="168">
        <f t="shared" ref="C13:L13" si="4">B13*(1+C14)</f>
        <v>8246.2278162289495</v>
      </c>
      <c r="D13" s="168">
        <f t="shared" si="4"/>
        <v>8350.1959146370955</v>
      </c>
      <c r="E13" s="168">
        <f t="shared" si="4"/>
        <v>8507.5508786171486</v>
      </c>
      <c r="F13" s="168">
        <f t="shared" si="4"/>
        <v>8720.9284976535091</v>
      </c>
      <c r="G13" s="168">
        <f t="shared" si="4"/>
        <v>8994.0459498909295</v>
      </c>
      <c r="H13" s="168">
        <f t="shared" si="4"/>
        <v>9331.808165040964</v>
      </c>
      <c r="I13" s="168">
        <f t="shared" si="4"/>
        <v>9740.4525654015488</v>
      </c>
      <c r="J13" s="168">
        <f t="shared" si="4"/>
        <v>10227.738084928069</v>
      </c>
      <c r="K13" s="168">
        <f t="shared" si="4"/>
        <v>10803.186373662575</v>
      </c>
      <c r="L13" s="168">
        <f t="shared" si="4"/>
        <v>11478.385522016486</v>
      </c>
      <c r="N13" s="105">
        <f>N8</f>
        <v>6.25E-2</v>
      </c>
      <c r="O13" s="105">
        <f>N12-N13</f>
        <v>-5.6128546643900178E-2</v>
      </c>
      <c r="P13">
        <f>O13/9</f>
        <v>-6.2365051826555754E-3</v>
      </c>
    </row>
    <row r="14" spans="1:16" ht="14.25" customHeight="1" x14ac:dyDescent="0.3">
      <c r="A14" s="60" t="s">
        <v>506</v>
      </c>
      <c r="B14" s="169"/>
      <c r="C14" s="171">
        <f>N12</f>
        <v>6.3714533560998233E-3</v>
      </c>
      <c r="D14" s="171">
        <f t="shared" ref="D14:L14" si="5">C14-($P$13)</f>
        <v>1.2607958538755399E-2</v>
      </c>
      <c r="E14" s="171">
        <f t="shared" si="5"/>
        <v>1.8844463721410975E-2</v>
      </c>
      <c r="F14" s="171">
        <f t="shared" si="5"/>
        <v>2.5080968904066549E-2</v>
      </c>
      <c r="G14" s="171">
        <f t="shared" si="5"/>
        <v>3.1317474086722127E-2</v>
      </c>
      <c r="H14" s="171">
        <f t="shared" si="5"/>
        <v>3.7553979269377702E-2</v>
      </c>
      <c r="I14" s="171">
        <f t="shared" si="5"/>
        <v>4.3790484452033276E-2</v>
      </c>
      <c r="J14" s="171">
        <f t="shared" si="5"/>
        <v>5.0026989634688851E-2</v>
      </c>
      <c r="K14" s="171">
        <f t="shared" si="5"/>
        <v>5.6263494817344425E-2</v>
      </c>
      <c r="L14" s="171">
        <f t="shared" si="5"/>
        <v>6.25E-2</v>
      </c>
      <c r="P14" s="174"/>
    </row>
    <row r="15" spans="1:16" ht="14.25" customHeight="1" x14ac:dyDescent="0.3">
      <c r="A15" s="60"/>
      <c r="B15" s="169"/>
      <c r="C15" s="169"/>
      <c r="D15" s="169"/>
      <c r="E15" s="169"/>
      <c r="F15" s="169"/>
      <c r="G15" s="169"/>
      <c r="H15" s="169"/>
      <c r="I15" s="169"/>
      <c r="J15" s="169"/>
      <c r="K15" s="169"/>
      <c r="L15" s="169"/>
    </row>
    <row r="16" spans="1:16" ht="14.25" customHeight="1" x14ac:dyDescent="0.3">
      <c r="A16" s="66" t="s">
        <v>509</v>
      </c>
      <c r="B16" s="175">
        <v>3</v>
      </c>
      <c r="C16" s="169"/>
      <c r="D16" s="169"/>
      <c r="E16" s="169"/>
      <c r="F16" s="169"/>
      <c r="G16" s="169"/>
      <c r="H16" s="169"/>
      <c r="I16" s="169"/>
      <c r="J16" s="169"/>
      <c r="K16" s="169"/>
      <c r="L16" s="169"/>
    </row>
    <row r="17" spans="1:12" ht="14.25" customHeight="1" x14ac:dyDescent="0.3">
      <c r="A17" s="166" t="s">
        <v>493</v>
      </c>
      <c r="B17" s="167" t="s">
        <v>494</v>
      </c>
      <c r="C17" s="167" t="s">
        <v>495</v>
      </c>
      <c r="D17" s="167" t="s">
        <v>496</v>
      </c>
      <c r="E17" s="167" t="s">
        <v>497</v>
      </c>
      <c r="F17" s="167" t="s">
        <v>498</v>
      </c>
      <c r="G17" s="167" t="s">
        <v>499</v>
      </c>
      <c r="H17" s="167" t="s">
        <v>500</v>
      </c>
      <c r="I17" s="167" t="s">
        <v>501</v>
      </c>
      <c r="J17" s="167" t="s">
        <v>502</v>
      </c>
      <c r="K17" s="167" t="s">
        <v>503</v>
      </c>
      <c r="L17" s="167" t="s">
        <v>504</v>
      </c>
    </row>
    <row r="18" spans="1:12" ht="14.25" customHeight="1" x14ac:dyDescent="0.3">
      <c r="A18" s="60" t="s">
        <v>489</v>
      </c>
      <c r="B18" s="168">
        <f>B13</f>
        <v>8194.02</v>
      </c>
      <c r="C18" s="168">
        <f t="shared" ref="C18:L18" si="6">B18*(1+C19)</f>
        <v>8246.2278162289495</v>
      </c>
      <c r="D18" s="168">
        <f t="shared" si="6"/>
        <v>8350.1959146370955</v>
      </c>
      <c r="E18" s="168">
        <f t="shared" si="6"/>
        <v>8507.5508786171486</v>
      </c>
      <c r="F18" s="168">
        <f t="shared" si="6"/>
        <v>8720.9284976535091</v>
      </c>
      <c r="G18" s="168">
        <f t="shared" si="6"/>
        <v>8994.0459498909295</v>
      </c>
      <c r="H18" s="168">
        <f t="shared" si="6"/>
        <v>9331.808165040964</v>
      </c>
      <c r="I18" s="168">
        <f t="shared" si="6"/>
        <v>9740.4525654015488</v>
      </c>
      <c r="J18" s="168">
        <f t="shared" si="6"/>
        <v>10227.738084928069</v>
      </c>
      <c r="K18" s="168">
        <f t="shared" si="6"/>
        <v>10803.186373662575</v>
      </c>
      <c r="L18" s="168">
        <f t="shared" si="6"/>
        <v>11478.385522016486</v>
      </c>
    </row>
    <row r="19" spans="1:12" ht="14.25" customHeight="1" x14ac:dyDescent="0.3">
      <c r="A19" s="60" t="s">
        <v>506</v>
      </c>
      <c r="B19" s="169"/>
      <c r="C19" s="171">
        <f t="shared" ref="C19:L19" si="7">CHOOSE($B$16,C4,C9,C14)</f>
        <v>6.3714533560998233E-3</v>
      </c>
      <c r="D19" s="171">
        <f t="shared" si="7"/>
        <v>1.2607958538755399E-2</v>
      </c>
      <c r="E19" s="171">
        <f t="shared" si="7"/>
        <v>1.8844463721410975E-2</v>
      </c>
      <c r="F19" s="171">
        <f t="shared" si="7"/>
        <v>2.5080968904066549E-2</v>
      </c>
      <c r="G19" s="171">
        <f t="shared" si="7"/>
        <v>3.1317474086722127E-2</v>
      </c>
      <c r="H19" s="171">
        <f t="shared" si="7"/>
        <v>3.7553979269377702E-2</v>
      </c>
      <c r="I19" s="171">
        <f t="shared" si="7"/>
        <v>4.3790484452033276E-2</v>
      </c>
      <c r="J19" s="171">
        <f t="shared" si="7"/>
        <v>5.0026989634688851E-2</v>
      </c>
      <c r="K19" s="171">
        <f t="shared" si="7"/>
        <v>5.6263494817344425E-2</v>
      </c>
      <c r="L19" s="171">
        <f t="shared" si="7"/>
        <v>6.25E-2</v>
      </c>
    </row>
  </sheetData>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S31"/>
  <sheetViews>
    <sheetView showGridLines="0" zoomScaleNormal="100" workbookViewId="0">
      <selection activeCell="W3" sqref="W3"/>
    </sheetView>
  </sheetViews>
  <sheetFormatPr defaultColWidth="8.6640625" defaultRowHeight="14.4" x14ac:dyDescent="0.3"/>
  <cols>
    <col min="1" max="1" width="29.77734375" style="180" customWidth="1"/>
    <col min="2" max="2" width="9.88671875" style="180" customWidth="1"/>
    <col min="3" max="7" width="12" style="180" customWidth="1"/>
    <col min="8" max="8" width="33.109375" style="180" customWidth="1"/>
    <col min="9" max="13" width="12" style="180" customWidth="1"/>
    <col min="14" max="14" width="12.44140625" style="180" customWidth="1"/>
    <col min="16" max="16" width="42.21875" style="180" customWidth="1"/>
    <col min="17" max="17" width="7" style="180" customWidth="1"/>
  </cols>
  <sheetData>
    <row r="1" spans="1:17" ht="14.25" customHeight="1" x14ac:dyDescent="0.3">
      <c r="C1">
        <v>1</v>
      </c>
      <c r="D1">
        <v>2</v>
      </c>
      <c r="E1">
        <v>3</v>
      </c>
      <c r="F1">
        <v>4</v>
      </c>
      <c r="G1">
        <v>5</v>
      </c>
      <c r="H1">
        <v>6</v>
      </c>
      <c r="I1">
        <v>7</v>
      </c>
      <c r="J1">
        <v>8</v>
      </c>
      <c r="K1">
        <v>9</v>
      </c>
      <c r="L1">
        <v>10</v>
      </c>
    </row>
    <row r="2" spans="1:17" ht="14.25" customHeight="1" x14ac:dyDescent="0.3">
      <c r="A2" s="96" t="s">
        <v>510</v>
      </c>
      <c r="B2" s="97" t="s">
        <v>494</v>
      </c>
      <c r="C2" s="97" t="s">
        <v>495</v>
      </c>
      <c r="D2" s="97" t="s">
        <v>496</v>
      </c>
      <c r="E2" s="97" t="s">
        <v>497</v>
      </c>
      <c r="F2" s="97" t="s">
        <v>511</v>
      </c>
      <c r="G2" s="97" t="s">
        <v>499</v>
      </c>
      <c r="H2" s="97" t="s">
        <v>500</v>
      </c>
      <c r="I2" s="97" t="s">
        <v>501</v>
      </c>
      <c r="J2" s="97" t="s">
        <v>502</v>
      </c>
      <c r="K2" s="97" t="s">
        <v>503</v>
      </c>
      <c r="L2" s="97" t="s">
        <v>504</v>
      </c>
      <c r="M2" s="34"/>
      <c r="N2" s="96" t="s">
        <v>512</v>
      </c>
      <c r="P2" s="98" t="s">
        <v>513</v>
      </c>
      <c r="Q2" s="99">
        <f>S22</f>
        <v>4.1640938668883805E-2</v>
      </c>
    </row>
    <row r="3" spans="1:17" ht="14.25" customHeight="1" x14ac:dyDescent="0.3">
      <c r="A3" s="25" t="s">
        <v>514</v>
      </c>
      <c r="B3" s="100">
        <f>'Growth Scenario'!B18</f>
        <v>8194.02</v>
      </c>
      <c r="C3" s="100">
        <f>'Growth Scenario'!C18</f>
        <v>8246.2278162289495</v>
      </c>
      <c r="D3" s="100">
        <f>'Growth Scenario'!D18</f>
        <v>8350.1959146370955</v>
      </c>
      <c r="E3" s="100">
        <f>'Growth Scenario'!E18</f>
        <v>8507.5508786171486</v>
      </c>
      <c r="F3" s="100">
        <f>'Growth Scenario'!F18</f>
        <v>8720.9284976535091</v>
      </c>
      <c r="G3" s="100">
        <f>'Growth Scenario'!G18</f>
        <v>8994.0459498909295</v>
      </c>
      <c r="H3" s="100">
        <f>'Growth Scenario'!H18</f>
        <v>9331.808165040964</v>
      </c>
      <c r="I3" s="100">
        <f>'Growth Scenario'!I18</f>
        <v>9740.4525654015488</v>
      </c>
      <c r="J3" s="100">
        <f>'Growth Scenario'!J18</f>
        <v>10227.738084928069</v>
      </c>
      <c r="K3" s="100">
        <f>'Growth Scenario'!K18</f>
        <v>10803.186373662575</v>
      </c>
      <c r="L3" s="100">
        <f>'Growth Scenario'!L18</f>
        <v>11478.385522016486</v>
      </c>
      <c r="N3" s="101">
        <f>L3*(1+$Q$2)</f>
        <v>11956.35626955658</v>
      </c>
      <c r="P3" s="98" t="s">
        <v>515</v>
      </c>
      <c r="Q3" s="105">
        <f>Wacc!D26</f>
        <v>0.16246626717578802</v>
      </c>
    </row>
    <row r="4" spans="1:17" ht="14.25" customHeight="1" x14ac:dyDescent="0.3">
      <c r="A4" s="25" t="s">
        <v>424</v>
      </c>
      <c r="C4" s="99">
        <f>'Growth Scenario'!C19</f>
        <v>6.3714533560998233E-3</v>
      </c>
      <c r="D4" s="99">
        <f>'Growth Scenario'!D19</f>
        <v>1.2607958538755399E-2</v>
      </c>
      <c r="E4" s="99">
        <f>'Growth Scenario'!E19</f>
        <v>1.8844463721410975E-2</v>
      </c>
      <c r="F4" s="99">
        <f>'Growth Scenario'!F19</f>
        <v>2.5080968904066549E-2</v>
      </c>
      <c r="G4" s="99">
        <f>'Growth Scenario'!G19</f>
        <v>3.1317474086722127E-2</v>
      </c>
      <c r="H4" s="99">
        <f>'Growth Scenario'!H19</f>
        <v>3.7553979269377702E-2</v>
      </c>
      <c r="I4" s="99">
        <f>'Growth Scenario'!I19</f>
        <v>4.3790484452033276E-2</v>
      </c>
      <c r="J4" s="99">
        <f>'Growth Scenario'!J19</f>
        <v>5.0026989634688851E-2</v>
      </c>
      <c r="K4" s="99">
        <f>'Growth Scenario'!K19</f>
        <v>5.6263494817344425E-2</v>
      </c>
      <c r="L4" s="99">
        <f>'Growth Scenario'!L19</f>
        <v>6.25E-2</v>
      </c>
      <c r="N4" s="102">
        <f>$Q$2</f>
        <v>4.1640938668883805E-2</v>
      </c>
      <c r="P4" s="98" t="s">
        <v>516</v>
      </c>
      <c r="Q4" s="105">
        <f>Q2*Q3</f>
        <v>6.7652478672294786E-3</v>
      </c>
    </row>
    <row r="5" spans="1:17" ht="14.25" customHeight="1" x14ac:dyDescent="0.3">
      <c r="A5" s="25" t="s">
        <v>406</v>
      </c>
      <c r="C5" s="95">
        <f t="shared" ref="C5:L5" si="0">C3*C6</f>
        <v>2090.1299321384117</v>
      </c>
      <c r="D5" s="95">
        <f t="shared" si="0"/>
        <v>2116.4822036634246</v>
      </c>
      <c r="E5" s="95">
        <f t="shared" si="0"/>
        <v>2156.3661757673722</v>
      </c>
      <c r="F5" s="95">
        <f t="shared" si="0"/>
        <v>2210.4499287675744</v>
      </c>
      <c r="G5" s="95">
        <f t="shared" si="0"/>
        <v>2279.6756371317497</v>
      </c>
      <c r="H5" s="95">
        <f t="shared" si="0"/>
        <v>2365.2865287495006</v>
      </c>
      <c r="I5" s="95">
        <f t="shared" si="0"/>
        <v>2468.8635717113098</v>
      </c>
      <c r="J5" s="95">
        <f t="shared" si="0"/>
        <v>2592.3733840227719</v>
      </c>
      <c r="K5" s="95">
        <f t="shared" si="0"/>
        <v>2738.2293704793587</v>
      </c>
      <c r="L5" s="95">
        <f t="shared" si="0"/>
        <v>2909.3687061343189</v>
      </c>
      <c r="N5" s="101">
        <f>N6*N3</f>
        <v>3030.5175499916281</v>
      </c>
      <c r="P5" s="98"/>
    </row>
    <row r="6" spans="1:17" ht="14.25" customHeight="1" x14ac:dyDescent="0.3">
      <c r="A6" s="25" t="s">
        <v>517</v>
      </c>
      <c r="C6" s="99">
        <f>AVERAGE(Assumptions!B27:F27)</f>
        <v>0.25346497558858871</v>
      </c>
      <c r="D6" s="99">
        <f t="shared" ref="D6:L6" si="1">C6</f>
        <v>0.25346497558858871</v>
      </c>
      <c r="E6" s="99">
        <f t="shared" si="1"/>
        <v>0.25346497558858871</v>
      </c>
      <c r="F6" s="99">
        <f t="shared" si="1"/>
        <v>0.25346497558858871</v>
      </c>
      <c r="G6" s="99">
        <f t="shared" si="1"/>
        <v>0.25346497558858871</v>
      </c>
      <c r="H6" s="99">
        <f t="shared" si="1"/>
        <v>0.25346497558858871</v>
      </c>
      <c r="I6" s="99">
        <f t="shared" si="1"/>
        <v>0.25346497558858871</v>
      </c>
      <c r="J6" s="99">
        <f t="shared" si="1"/>
        <v>0.25346497558858871</v>
      </c>
      <c r="K6" s="99">
        <f t="shared" si="1"/>
        <v>0.25346497558858871</v>
      </c>
      <c r="L6" s="99">
        <f t="shared" si="1"/>
        <v>0.25346497558858871</v>
      </c>
      <c r="N6" s="102">
        <f>L6</f>
        <v>0.25346497558858871</v>
      </c>
      <c r="P6" s="98" t="s">
        <v>518</v>
      </c>
    </row>
    <row r="7" spans="1:17" ht="14.25" customHeight="1" x14ac:dyDescent="0.3">
      <c r="A7" s="25" t="s">
        <v>456</v>
      </c>
      <c r="C7" s="95">
        <f>Assumptions!$B$33*'DCF Valuation'!C5</f>
        <v>522.53248303460293</v>
      </c>
      <c r="D7" s="95">
        <f>Assumptions!$B$33*'DCF Valuation'!D5</f>
        <v>529.12055091585614</v>
      </c>
      <c r="E7" s="95">
        <f>Assumptions!$B$33*'DCF Valuation'!E5</f>
        <v>539.09154394184304</v>
      </c>
      <c r="F7" s="95">
        <f>Assumptions!$B$33*'DCF Valuation'!F5</f>
        <v>552.6124821918936</v>
      </c>
      <c r="G7" s="95">
        <f>Assumptions!$B$33*'DCF Valuation'!G5</f>
        <v>569.91890928293742</v>
      </c>
      <c r="H7" s="95">
        <f>Assumptions!$B$33*'DCF Valuation'!H5</f>
        <v>591.32163218737514</v>
      </c>
      <c r="I7" s="95">
        <f>Assumptions!$B$33*'DCF Valuation'!I5</f>
        <v>617.21589292782744</v>
      </c>
      <c r="J7" s="95">
        <f>Assumptions!$B$33*'DCF Valuation'!J5</f>
        <v>648.09334600569298</v>
      </c>
      <c r="K7" s="95">
        <f>Assumptions!$B$33*'DCF Valuation'!K5</f>
        <v>684.55734261983969</v>
      </c>
      <c r="L7" s="95">
        <f>Assumptions!$B$33*'DCF Valuation'!L5</f>
        <v>727.34217653357973</v>
      </c>
      <c r="N7" s="101">
        <f>Assumptions!$B$33*N5</f>
        <v>757.62938749790703</v>
      </c>
    </row>
    <row r="8" spans="1:17" ht="14.25" customHeight="1" x14ac:dyDescent="0.3">
      <c r="A8" s="103" t="s">
        <v>519</v>
      </c>
      <c r="B8" s="34"/>
      <c r="C8" s="104">
        <f t="shared" ref="C8:L8" si="2">C5-C7</f>
        <v>1567.5974491038087</v>
      </c>
      <c r="D8" s="104">
        <f t="shared" si="2"/>
        <v>1587.3616527475683</v>
      </c>
      <c r="E8" s="104">
        <f t="shared" si="2"/>
        <v>1617.274631825529</v>
      </c>
      <c r="F8" s="104">
        <f t="shared" si="2"/>
        <v>1657.8374465756808</v>
      </c>
      <c r="G8" s="104">
        <f t="shared" si="2"/>
        <v>1709.7567278488123</v>
      </c>
      <c r="H8" s="104">
        <f t="shared" si="2"/>
        <v>1773.9648965621254</v>
      </c>
      <c r="I8" s="104">
        <f t="shared" si="2"/>
        <v>1851.6476787834822</v>
      </c>
      <c r="J8" s="104">
        <f t="shared" si="2"/>
        <v>1944.2800380170788</v>
      </c>
      <c r="K8" s="104">
        <f t="shared" si="2"/>
        <v>2053.6720278595189</v>
      </c>
      <c r="L8" s="104">
        <f t="shared" si="2"/>
        <v>2182.0265296007392</v>
      </c>
      <c r="M8" s="34"/>
      <c r="N8" s="101">
        <f>N5-N7</f>
        <v>2272.8881624937212</v>
      </c>
      <c r="O8" s="34"/>
      <c r="P8" s="34"/>
      <c r="Q8" s="34"/>
    </row>
    <row r="9" spans="1:17" ht="14.25" customHeight="1" x14ac:dyDescent="0.3">
      <c r="A9" s="25" t="s">
        <v>520</v>
      </c>
      <c r="C9" s="95">
        <f>C3*'Fixed Asset Scheduled'!$C$11</f>
        <v>-257.28094167772866</v>
      </c>
      <c r="D9" s="95">
        <f>D3*'Fixed Asset Scheduled'!$C$11</f>
        <v>-260.52472912321343</v>
      </c>
      <c r="E9" s="95">
        <f>E3*'Fixed Asset Scheduled'!$C$11</f>
        <v>-265.43417792970627</v>
      </c>
      <c r="F9" s="95">
        <f>F3*'Fixed Asset Scheduled'!$C$11</f>
        <v>-272.09152429243767</v>
      </c>
      <c r="G9" s="95">
        <f>G3*'Fixed Asset Scheduled'!$C$11</f>
        <v>-280.61274355368283</v>
      </c>
      <c r="H9" s="95">
        <f>H3*'Fixed Asset Scheduled'!$C$11</f>
        <v>-291.15086870782102</v>
      </c>
      <c r="I9" s="95">
        <f>I3*'Fixed Asset Scheduled'!$C$11</f>
        <v>-303.90050629716688</v>
      </c>
      <c r="J9" s="95">
        <f>J3*'Fixed Asset Scheduled'!$C$11</f>
        <v>-319.10373377567191</v>
      </c>
      <c r="K9" s="95">
        <f>K3*'Fixed Asset Scheduled'!$C$11</f>
        <v>-337.05762504715466</v>
      </c>
      <c r="L9" s="95">
        <f>L3*'Fixed Asset Scheduled'!$C$11</f>
        <v>-358.12372661260184</v>
      </c>
      <c r="N9" s="25"/>
    </row>
    <row r="10" spans="1:17" ht="14.25" customHeight="1" x14ac:dyDescent="0.3">
      <c r="A10" s="25" t="s">
        <v>521</v>
      </c>
      <c r="B10" s="95">
        <f>'Change in working capital'!F5</f>
        <v>23845.27</v>
      </c>
      <c r="C10" s="95">
        <f>('Change in working capital'!$F$5/'Consolidated P&amp;L'!$F$7)*C3</f>
        <v>23997.199025568603</v>
      </c>
      <c r="D10" s="95">
        <f>('Change in working capital'!$F$5/'Consolidated P&amp;L'!$F$7)*D3</f>
        <v>24299.754715929233</v>
      </c>
      <c r="E10" s="95">
        <f>('Change in working capital'!$F$5/'Consolidated P&amp;L'!$F$7)*E3</f>
        <v>24757.670562112751</v>
      </c>
      <c r="F10" s="95">
        <f>('Change in working capital'!$F$5/'Consolidated P&amp;L'!$F$7)*F3</f>
        <v>25378.616927618223</v>
      </c>
      <c r="G10" s="95">
        <f>('Change in working capital'!$F$5/'Consolidated P&amp;L'!$F$7)*G3</f>
        <v>26173.411105605755</v>
      </c>
      <c r="H10" s="95">
        <f>('Change in working capital'!$F$5/'Consolidated P&amp;L'!$F$7)*H3</f>
        <v>27156.326843674571</v>
      </c>
      <c r="I10" s="95">
        <f>('Change in working capital'!$F$5/'Consolidated P&amp;L'!$F$7)*I3</f>
        <v>28345.51555209684</v>
      </c>
      <c r="J10" s="95">
        <f>('Change in working capital'!$F$5/'Consolidated P&amp;L'!$F$7)*J3</f>
        <v>29763.556364811498</v>
      </c>
      <c r="K10" s="95">
        <f>('Change in working capital'!$F$5/'Consolidated P&amp;L'!$F$7)*K3</f>
        <v>31438.158064088806</v>
      </c>
      <c r="L10" s="95">
        <f>('Change in working capital'!$F$5/'Consolidated P&amp;L'!$F$7)*L3</f>
        <v>33403.042943094355</v>
      </c>
      <c r="N10" s="25"/>
    </row>
    <row r="11" spans="1:17" ht="14.25" customHeight="1" x14ac:dyDescent="0.3">
      <c r="A11" s="25" t="s">
        <v>522</v>
      </c>
      <c r="C11" s="95">
        <f t="shared" ref="C11:L11" si="3">C10-B10</f>
        <v>151.92902556860281</v>
      </c>
      <c r="D11" s="95">
        <f t="shared" si="3"/>
        <v>302.55569036063025</v>
      </c>
      <c r="E11" s="95">
        <f t="shared" si="3"/>
        <v>457.91584618351771</v>
      </c>
      <c r="F11" s="95">
        <f t="shared" si="3"/>
        <v>620.94636550547148</v>
      </c>
      <c r="G11" s="95">
        <f t="shared" si="3"/>
        <v>794.79417798753275</v>
      </c>
      <c r="H11" s="95">
        <f t="shared" si="3"/>
        <v>982.9157380688157</v>
      </c>
      <c r="I11" s="95">
        <f t="shared" si="3"/>
        <v>1189.188708422269</v>
      </c>
      <c r="J11" s="95">
        <f t="shared" si="3"/>
        <v>1418.0408127146584</v>
      </c>
      <c r="K11" s="95">
        <f t="shared" si="3"/>
        <v>1674.6016992773075</v>
      </c>
      <c r="L11" s="95">
        <f t="shared" si="3"/>
        <v>1964.884879005549</v>
      </c>
      <c r="N11" s="25"/>
      <c r="P11" s="25" t="s">
        <v>523</v>
      </c>
      <c r="Q11" s="25" t="s">
        <v>524</v>
      </c>
    </row>
    <row r="12" spans="1:17" ht="14.25" customHeight="1" x14ac:dyDescent="0.3">
      <c r="A12" s="25" t="s">
        <v>461</v>
      </c>
      <c r="C12" s="95">
        <f t="shared" ref="C12:L12" si="4">C9+C11</f>
        <v>-105.35191610912585</v>
      </c>
      <c r="D12" s="95">
        <f t="shared" si="4"/>
        <v>42.030961237416818</v>
      </c>
      <c r="E12" s="95">
        <f t="shared" si="4"/>
        <v>192.48166825381145</v>
      </c>
      <c r="F12" s="95">
        <f t="shared" si="4"/>
        <v>348.85484121303381</v>
      </c>
      <c r="G12" s="95">
        <f t="shared" si="4"/>
        <v>514.18143443384997</v>
      </c>
      <c r="H12" s="95">
        <f t="shared" si="4"/>
        <v>691.76486936099468</v>
      </c>
      <c r="I12" s="95">
        <f t="shared" si="4"/>
        <v>885.28820212510209</v>
      </c>
      <c r="J12" s="95">
        <f t="shared" si="4"/>
        <v>1098.9370789389864</v>
      </c>
      <c r="K12" s="95">
        <f t="shared" si="4"/>
        <v>1337.5440742301528</v>
      </c>
      <c r="L12" s="95">
        <f t="shared" si="4"/>
        <v>1606.7611523929472</v>
      </c>
      <c r="N12" s="101">
        <f>N8*N14</f>
        <v>15.376651793761775</v>
      </c>
      <c r="P12" s="25" t="s">
        <v>525</v>
      </c>
      <c r="Q12" s="25" t="s">
        <v>526</v>
      </c>
    </row>
    <row r="13" spans="1:17" ht="14.25" customHeight="1" x14ac:dyDescent="0.3">
      <c r="A13" s="34" t="s">
        <v>527</v>
      </c>
      <c r="C13" s="104">
        <f t="shared" ref="C13:L13" si="5">C8-(C12)</f>
        <v>1672.9493652129345</v>
      </c>
      <c r="D13" s="104">
        <f t="shared" si="5"/>
        <v>1545.3306915101516</v>
      </c>
      <c r="E13" s="104">
        <f t="shared" si="5"/>
        <v>1424.7929635717176</v>
      </c>
      <c r="F13" s="104">
        <f t="shared" si="5"/>
        <v>1308.9826053626471</v>
      </c>
      <c r="G13" s="104">
        <f t="shared" si="5"/>
        <v>1195.5752934149623</v>
      </c>
      <c r="H13" s="104">
        <f t="shared" si="5"/>
        <v>1082.2000272011308</v>
      </c>
      <c r="I13" s="104">
        <f t="shared" si="5"/>
        <v>966.35947665838012</v>
      </c>
      <c r="J13" s="104">
        <f t="shared" si="5"/>
        <v>845.34295907809246</v>
      </c>
      <c r="K13" s="104">
        <f t="shared" si="5"/>
        <v>716.12795362936617</v>
      </c>
      <c r="L13" s="104">
        <f t="shared" si="5"/>
        <v>575.26537720779197</v>
      </c>
      <c r="N13" s="101">
        <f>N8-N12</f>
        <v>2257.5115106999592</v>
      </c>
      <c r="Q13" s="105">
        <f>'Consolidated P&amp;L'!F26/'Consolidated Balance Sheet'!F9</f>
        <v>5.765682200373537E-2</v>
      </c>
    </row>
    <row r="14" spans="1:17" ht="14.25" customHeight="1" x14ac:dyDescent="0.3">
      <c r="A14" s="25" t="s">
        <v>528</v>
      </c>
      <c r="C14" s="105">
        <f t="shared" ref="C14:L14" si="6">C13/C8</f>
        <v>1.0672059757237773</v>
      </c>
      <c r="D14" s="105">
        <f t="shared" si="6"/>
        <v>0.97352149639959795</v>
      </c>
      <c r="E14" s="105">
        <f t="shared" si="6"/>
        <v>0.88098393156854005</v>
      </c>
      <c r="F14" s="105">
        <f t="shared" si="6"/>
        <v>0.78957234804075316</v>
      </c>
      <c r="G14" s="105">
        <f t="shared" si="6"/>
        <v>0.69926631896878999</v>
      </c>
      <c r="H14" s="105">
        <f t="shared" si="6"/>
        <v>0.610045908630093</v>
      </c>
      <c r="I14" s="105">
        <f t="shared" si="6"/>
        <v>0.52189165775493029</v>
      </c>
      <c r="J14" s="105">
        <f t="shared" si="6"/>
        <v>0.43478456937727755</v>
      </c>
      <c r="K14" s="105">
        <f t="shared" si="6"/>
        <v>0.34870609518685658</v>
      </c>
      <c r="L14" s="105">
        <f t="shared" si="6"/>
        <v>0.26363812236190015</v>
      </c>
      <c r="N14" s="71">
        <f>$Q$4</f>
        <v>6.7652478672294786E-3</v>
      </c>
      <c r="P14" s="25" t="s">
        <v>529</v>
      </c>
      <c r="Q14" s="25" t="s">
        <v>530</v>
      </c>
    </row>
    <row r="15" spans="1:17" ht="14.25" customHeight="1" x14ac:dyDescent="0.3">
      <c r="P15" s="25" t="s">
        <v>531</v>
      </c>
      <c r="Q15" s="25" t="s">
        <v>532</v>
      </c>
    </row>
    <row r="16" spans="1:17" ht="14.25" customHeight="1" x14ac:dyDescent="0.3">
      <c r="A16" t="s">
        <v>533</v>
      </c>
      <c r="L16" s="106">
        <f>L13/(Q3-Q2)</f>
        <v>4761.1323247916516</v>
      </c>
      <c r="Q16" s="25" t="s">
        <v>534</v>
      </c>
    </row>
    <row r="17" spans="1:19" ht="14.25" customHeight="1" x14ac:dyDescent="0.3">
      <c r="Q17">
        <f>152355/615.5</f>
        <v>247.53046303818033</v>
      </c>
    </row>
    <row r="18" spans="1:19" ht="14.25" customHeight="1" x14ac:dyDescent="0.3">
      <c r="A18" t="s">
        <v>535</v>
      </c>
      <c r="C18">
        <f t="shared" ref="C18:L18" si="7">1/(1+$Q$3)^C1</f>
        <v>0.8602400157636404</v>
      </c>
      <c r="D18">
        <f t="shared" si="7"/>
        <v>0.74001288472102833</v>
      </c>
      <c r="E18">
        <f t="shared" si="7"/>
        <v>0.63658869561771436</v>
      </c>
      <c r="F18">
        <f t="shared" si="7"/>
        <v>0.54761906955313788</v>
      </c>
      <c r="G18">
        <f t="shared" si="7"/>
        <v>0.47108383702486145</v>
      </c>
      <c r="H18">
        <f t="shared" si="7"/>
        <v>0.40524516738826299</v>
      </c>
      <c r="I18">
        <f t="shared" si="7"/>
        <v>0.34860810918221846</v>
      </c>
      <c r="J18">
        <f t="shared" si="7"/>
        <v>0.2998866453382445</v>
      </c>
      <c r="K18">
        <f t="shared" si="7"/>
        <v>0.25797449251307669</v>
      </c>
      <c r="L18">
        <f t="shared" si="7"/>
        <v>0.22191998150606621</v>
      </c>
      <c r="Q18">
        <f>'Consolidated P&amp;L'!E36/'DCF Valuation'!Q17</f>
        <v>5.0000310459125075</v>
      </c>
      <c r="R18" s="25" t="s">
        <v>536</v>
      </c>
    </row>
    <row r="19" spans="1:19" ht="14.25" customHeight="1" x14ac:dyDescent="0.3">
      <c r="R19" s="25" t="s">
        <v>537</v>
      </c>
      <c r="S19">
        <f>Q18/'Consolidated P&amp;L'!E33</f>
        <v>0.27777950255069483</v>
      </c>
    </row>
    <row r="20" spans="1:19" ht="14.25" customHeight="1" x14ac:dyDescent="0.3">
      <c r="A20" t="s">
        <v>538</v>
      </c>
      <c r="C20" s="26">
        <f>SUMPRODUCT(C18:L18,C13:L13)</f>
        <v>6111.0995110244457</v>
      </c>
      <c r="R20" s="25" t="s">
        <v>539</v>
      </c>
      <c r="S20">
        <f>1-S19</f>
        <v>0.72222049744930517</v>
      </c>
    </row>
    <row r="21" spans="1:19" ht="14.25" customHeight="1" x14ac:dyDescent="0.3">
      <c r="A21" t="s">
        <v>540</v>
      </c>
      <c r="C21" s="100">
        <f>L16*L18</f>
        <v>1056.5903974656974</v>
      </c>
    </row>
    <row r="22" spans="1:19" ht="14.25" customHeight="1" x14ac:dyDescent="0.3">
      <c r="C22" s="100"/>
      <c r="H22" s="107" t="s">
        <v>541</v>
      </c>
      <c r="I22" s="108"/>
      <c r="J22" s="108"/>
      <c r="K22" s="108"/>
      <c r="L22" s="108"/>
      <c r="Q22" s="25" t="s">
        <v>542</v>
      </c>
      <c r="S22" s="105">
        <f>Q13*S20</f>
        <v>4.1640938668883805E-2</v>
      </c>
    </row>
    <row r="23" spans="1:19" ht="35.25" customHeight="1" x14ac:dyDescent="0.3">
      <c r="A23" s="34" t="s">
        <v>543</v>
      </c>
      <c r="C23" s="106">
        <f>C20+C21</f>
        <v>7167.6899084901434</v>
      </c>
      <c r="H23" s="109" t="s">
        <v>544</v>
      </c>
      <c r="I23" s="110">
        <f>K23-0.02</f>
        <v>0.14246626717578803</v>
      </c>
      <c r="J23" s="110">
        <f>K23-0.01</f>
        <v>0.15246626717578801</v>
      </c>
      <c r="K23" s="110">
        <f>$Q$3</f>
        <v>0.16246626717578802</v>
      </c>
      <c r="L23" s="110">
        <f>K23+0.01</f>
        <v>0.17246626717578803</v>
      </c>
      <c r="M23" s="110">
        <f>K23+0.02</f>
        <v>0.18246626717578801</v>
      </c>
    </row>
    <row r="24" spans="1:19" ht="14.25" customHeight="1" x14ac:dyDescent="0.3">
      <c r="A24" s="111" t="s">
        <v>545</v>
      </c>
      <c r="C24" s="100">
        <f>Assumptions!F39</f>
        <v>7746.4</v>
      </c>
      <c r="H24" s="112">
        <f>C30</f>
        <v>60.070051745203173</v>
      </c>
      <c r="I24" s="113"/>
      <c r="J24" s="113"/>
      <c r="K24" s="113"/>
      <c r="L24" s="113"/>
      <c r="M24" s="113"/>
    </row>
    <row r="25" spans="1:19" ht="14.25" customHeight="1" x14ac:dyDescent="0.3">
      <c r="A25" s="111" t="s">
        <v>546</v>
      </c>
      <c r="C25" s="100">
        <f>Assumptions!F38</f>
        <v>44.95</v>
      </c>
      <c r="H25" s="114">
        <f>H26-0.01</f>
        <v>2.1640938668883801E-2</v>
      </c>
      <c r="I25" s="95">
        <v>62.5</v>
      </c>
      <c r="J25" s="95">
        <v>60.89</v>
      </c>
      <c r="K25" s="95">
        <v>59.46</v>
      </c>
      <c r="L25" s="95">
        <v>58.19</v>
      </c>
      <c r="M25" s="95">
        <v>57.05</v>
      </c>
      <c r="P25" s="101"/>
      <c r="Q25" s="101"/>
    </row>
    <row r="26" spans="1:19" ht="14.25" customHeight="1" x14ac:dyDescent="0.3">
      <c r="A26" s="111" t="s">
        <v>547</v>
      </c>
      <c r="C26" s="100">
        <f>'Consolidated Balance Sheet'!F10</f>
        <v>0</v>
      </c>
      <c r="H26" s="115">
        <f>H27-0.01</f>
        <v>3.1640938668883803E-2</v>
      </c>
      <c r="I26" s="95">
        <v>62.96</v>
      </c>
      <c r="J26" s="95">
        <v>61.24</v>
      </c>
      <c r="K26" s="95">
        <v>59.74</v>
      </c>
      <c r="L26" s="95">
        <v>58.42</v>
      </c>
      <c r="M26" s="95">
        <v>57.23</v>
      </c>
      <c r="P26" s="101"/>
      <c r="Q26" s="116"/>
    </row>
    <row r="27" spans="1:19" ht="15" customHeight="1" x14ac:dyDescent="0.3">
      <c r="A27" s="117" t="s">
        <v>548</v>
      </c>
      <c r="B27" s="118"/>
      <c r="C27" s="119">
        <f>C23+C24-C25-C26</f>
        <v>14869.139908490142</v>
      </c>
      <c r="H27" s="115">
        <f>$Q$2</f>
        <v>4.1640938668883805E-2</v>
      </c>
      <c r="I27" s="95">
        <v>63.51</v>
      </c>
      <c r="J27" s="95">
        <v>61.66</v>
      </c>
      <c r="K27" s="120">
        <v>60.07</v>
      </c>
      <c r="L27" s="95">
        <v>58.67</v>
      </c>
      <c r="M27" s="95">
        <v>57.43</v>
      </c>
      <c r="P27" s="101"/>
      <c r="Q27" s="121"/>
    </row>
    <row r="28" spans="1:19" ht="15" customHeight="1" x14ac:dyDescent="0.3">
      <c r="H28" s="114">
        <f>H27+0.01</f>
        <v>5.1640938668883807E-2</v>
      </c>
      <c r="I28" s="95">
        <v>64.180000000000007</v>
      </c>
      <c r="J28" s="95">
        <v>62.17</v>
      </c>
      <c r="K28" s="95">
        <v>60.46</v>
      </c>
      <c r="L28" s="95">
        <v>58.97</v>
      </c>
      <c r="M28" s="95">
        <v>57.67</v>
      </c>
      <c r="P28" s="101"/>
      <c r="Q28" s="101"/>
    </row>
    <row r="29" spans="1:19" ht="14.25" customHeight="1" x14ac:dyDescent="0.3">
      <c r="A29" s="111" t="s">
        <v>549</v>
      </c>
      <c r="C29" s="95">
        <f>'Consolidated Balance Sheet'!F6/2</f>
        <v>247.53</v>
      </c>
      <c r="H29" s="122">
        <f>H28+0.01</f>
        <v>6.1640938668883809E-2</v>
      </c>
      <c r="I29" s="95">
        <v>65.010000000000005</v>
      </c>
      <c r="J29" s="95">
        <v>62.78</v>
      </c>
      <c r="K29" s="95">
        <v>60.92</v>
      </c>
      <c r="L29" s="95">
        <v>59.33</v>
      </c>
      <c r="M29" s="95">
        <v>57.94</v>
      </c>
      <c r="P29" s="101"/>
      <c r="Q29" s="101"/>
    </row>
    <row r="30" spans="1:19" ht="15" customHeight="1" x14ac:dyDescent="0.3">
      <c r="A30" s="117" t="s">
        <v>550</v>
      </c>
      <c r="B30" s="118"/>
      <c r="C30" s="123">
        <f>C27/C29</f>
        <v>60.070051745203173</v>
      </c>
      <c r="E30" s="117"/>
    </row>
    <row r="31" spans="1:19" ht="15" customHeight="1" x14ac:dyDescent="0.3"/>
  </sheetData>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50"/>
  <sheetViews>
    <sheetView showGridLines="0" zoomScaleNormal="100" workbookViewId="0">
      <selection activeCell="E21" sqref="E21"/>
    </sheetView>
  </sheetViews>
  <sheetFormatPr defaultColWidth="8.6640625" defaultRowHeight="14.4" x14ac:dyDescent="0.3"/>
  <cols>
    <col min="1" max="1" width="30.6640625" style="180" customWidth="1"/>
    <col min="2" max="2" width="8" style="180" customWidth="1"/>
    <col min="3" max="3" width="7.109375" style="180" customWidth="1"/>
    <col min="4" max="4" width="11.5546875" style="180" customWidth="1"/>
    <col min="5" max="6" width="9" style="180" customWidth="1"/>
    <col min="7" max="7" width="7.88671875" style="180" customWidth="1"/>
    <col min="8" max="8" width="8" style="180" customWidth="1"/>
    <col min="9" max="9" width="6.44140625" style="180" customWidth="1"/>
    <col min="10" max="10" width="6.6640625" style="180" customWidth="1"/>
    <col min="11" max="11" width="7.6640625" style="180" customWidth="1"/>
    <col min="12" max="12" width="9.77734375" style="180" customWidth="1"/>
    <col min="13" max="13" width="8.109375" style="180" customWidth="1"/>
    <col min="15" max="15" width="11.44140625" style="180" customWidth="1"/>
    <col min="16" max="16" width="10.21875" style="180" customWidth="1"/>
    <col min="17" max="17" width="9.5546875" style="180" customWidth="1"/>
  </cols>
  <sheetData>
    <row r="1" spans="1:17" ht="15" customHeight="1" x14ac:dyDescent="0.3">
      <c r="A1" s="265" t="s">
        <v>551</v>
      </c>
      <c r="B1" s="263"/>
      <c r="C1" s="263"/>
      <c r="D1" s="263"/>
      <c r="E1" s="263"/>
      <c r="F1" s="263"/>
      <c r="G1" s="263"/>
      <c r="H1" s="263"/>
      <c r="I1" s="263"/>
      <c r="J1" s="263"/>
      <c r="K1" s="263"/>
      <c r="L1" s="263"/>
      <c r="M1" s="263"/>
    </row>
    <row r="2" spans="1:17" ht="14.25" customHeight="1" x14ac:dyDescent="0.3">
      <c r="A2" s="124"/>
      <c r="B2" s="124"/>
      <c r="C2" s="124"/>
      <c r="D2" s="124"/>
      <c r="E2" s="124"/>
      <c r="F2" s="124"/>
      <c r="G2" s="124"/>
      <c r="H2" s="124"/>
      <c r="I2" s="124"/>
      <c r="J2" s="124"/>
      <c r="K2" s="124"/>
      <c r="L2" s="124"/>
      <c r="M2" s="124"/>
    </row>
    <row r="3" spans="1:17" ht="14.25" customHeight="1" x14ac:dyDescent="0.3">
      <c r="A3" s="266" t="s">
        <v>552</v>
      </c>
      <c r="B3" s="267" t="s">
        <v>553</v>
      </c>
      <c r="C3" s="268"/>
      <c r="D3" s="268"/>
      <c r="E3" s="269"/>
      <c r="F3" s="267" t="s">
        <v>554</v>
      </c>
      <c r="G3" s="268"/>
      <c r="H3" s="268"/>
      <c r="I3" s="269"/>
      <c r="J3" s="270" t="s">
        <v>555</v>
      </c>
      <c r="K3" s="268"/>
      <c r="L3" s="268"/>
      <c r="M3" s="269"/>
    </row>
    <row r="4" spans="1:17" ht="24" customHeight="1" x14ac:dyDescent="0.3">
      <c r="A4" s="271"/>
      <c r="B4" s="272" t="s">
        <v>556</v>
      </c>
      <c r="C4" s="272" t="s">
        <v>557</v>
      </c>
      <c r="D4" s="272" t="s">
        <v>558</v>
      </c>
      <c r="E4" s="272" t="s">
        <v>559</v>
      </c>
      <c r="F4" s="272" t="s">
        <v>560</v>
      </c>
      <c r="G4" s="272" t="s">
        <v>561</v>
      </c>
      <c r="H4" s="272" t="s">
        <v>562</v>
      </c>
      <c r="I4" s="272" t="s">
        <v>563</v>
      </c>
      <c r="J4" s="273" t="s">
        <v>564</v>
      </c>
      <c r="K4" s="273" t="s">
        <v>565</v>
      </c>
      <c r="L4" s="273" t="s">
        <v>566</v>
      </c>
      <c r="M4" s="273" t="s">
        <v>567</v>
      </c>
    </row>
    <row r="5" spans="1:17" ht="14.25" customHeight="1" x14ac:dyDescent="0.3">
      <c r="A5" s="125" t="s">
        <v>384</v>
      </c>
      <c r="B5" s="126">
        <v>613.04999999999995</v>
      </c>
      <c r="C5" s="127">
        <f>'Consolidated Balance Sheet'!E6/2</f>
        <v>247.53</v>
      </c>
      <c r="D5" s="126">
        <f>B5*C5</f>
        <v>151748.2665</v>
      </c>
      <c r="E5" s="128">
        <f>D5+'Consolidated Balance Sheet'!E12+'Consolidated Balance Sheet'!E18-'Consolidated Balance Sheet'!E40</f>
        <v>151264.21650000001</v>
      </c>
      <c r="F5" s="128">
        <f>Assumptions!E3</f>
        <v>7993.66</v>
      </c>
      <c r="G5" s="128">
        <f>Assumptions!E9</f>
        <v>2108.6399999999994</v>
      </c>
      <c r="H5" s="127">
        <f>Assumptions!E11</f>
        <v>1957.9799999999993</v>
      </c>
      <c r="I5" s="129">
        <f>'Consolidated P&amp;L'!E33</f>
        <v>18</v>
      </c>
      <c r="J5" s="130">
        <f t="shared" ref="J5:J10" si="0">B5/I5</f>
        <v>34.05833333333333</v>
      </c>
      <c r="K5" s="130">
        <f t="shared" ref="K5:K10" si="1">E5/F5</f>
        <v>18.923023558670248</v>
      </c>
      <c r="L5" s="130">
        <f t="shared" ref="L5:L10" si="2">E5/G5</f>
        <v>71.735439193034395</v>
      </c>
      <c r="M5" s="130">
        <f t="shared" ref="M5:M10" si="3">E5/H5</f>
        <v>77.255240860478693</v>
      </c>
    </row>
    <row r="6" spans="1:17" ht="14.25" customHeight="1" x14ac:dyDescent="0.3">
      <c r="A6" s="125" t="s">
        <v>568</v>
      </c>
      <c r="B6" s="131">
        <v>921.85</v>
      </c>
      <c r="C6" s="127">
        <f>999/10</f>
        <v>99.9</v>
      </c>
      <c r="D6" s="131">
        <v>92092.97</v>
      </c>
      <c r="E6" s="128">
        <v>98403</v>
      </c>
      <c r="F6" s="128">
        <v>16676</v>
      </c>
      <c r="G6" s="128">
        <v>4921</v>
      </c>
      <c r="H6" s="132">
        <f>4371+657</f>
        <v>5028</v>
      </c>
      <c r="I6" s="129">
        <v>34.32</v>
      </c>
      <c r="J6" s="130">
        <f t="shared" si="0"/>
        <v>26.860431235431236</v>
      </c>
      <c r="K6" s="130">
        <f t="shared" si="1"/>
        <v>5.9008755097145595</v>
      </c>
      <c r="L6" s="130">
        <f t="shared" si="2"/>
        <v>19.99654541759805</v>
      </c>
      <c r="M6" s="130">
        <f t="shared" si="3"/>
        <v>19.571002386634845</v>
      </c>
    </row>
    <row r="7" spans="1:17" ht="14.25" customHeight="1" x14ac:dyDescent="0.3">
      <c r="A7" s="125" t="s">
        <v>569</v>
      </c>
      <c r="B7" s="126">
        <v>1848.7</v>
      </c>
      <c r="C7" s="127">
        <f>72/2</f>
        <v>36</v>
      </c>
      <c r="D7" s="126">
        <v>66116.990000000005</v>
      </c>
      <c r="E7" s="128">
        <v>70587</v>
      </c>
      <c r="F7" s="128">
        <v>4423</v>
      </c>
      <c r="G7" s="128">
        <v>2637</v>
      </c>
      <c r="H7" s="133">
        <f>2032+387</f>
        <v>2419</v>
      </c>
      <c r="I7" s="129">
        <v>34.22</v>
      </c>
      <c r="J7" s="130">
        <f t="shared" si="0"/>
        <v>54.023962594973703</v>
      </c>
      <c r="K7" s="130">
        <f t="shared" si="1"/>
        <v>15.959077549174769</v>
      </c>
      <c r="L7" s="130">
        <f t="shared" si="2"/>
        <v>26.767918088737201</v>
      </c>
      <c r="M7" s="130">
        <f t="shared" si="3"/>
        <v>29.18023976849938</v>
      </c>
    </row>
    <row r="8" spans="1:17" ht="15" customHeight="1" x14ac:dyDescent="0.3">
      <c r="A8" s="134" t="s">
        <v>570</v>
      </c>
      <c r="B8" s="131">
        <v>1469.85</v>
      </c>
      <c r="C8" s="127">
        <f>431/10</f>
        <v>43.1</v>
      </c>
      <c r="D8" s="131">
        <v>63310.9</v>
      </c>
      <c r="E8" s="129">
        <v>78636</v>
      </c>
      <c r="F8" s="128">
        <v>12685</v>
      </c>
      <c r="G8" s="128">
        <v>3692</v>
      </c>
      <c r="H8" s="132">
        <f>1714+1582</f>
        <v>3296</v>
      </c>
      <c r="I8" s="129">
        <v>27.76</v>
      </c>
      <c r="J8" s="130">
        <f t="shared" si="0"/>
        <v>52.948487031700282</v>
      </c>
      <c r="K8" s="130">
        <f t="shared" si="1"/>
        <v>6.1991328340559715</v>
      </c>
      <c r="L8" s="130">
        <f t="shared" si="2"/>
        <v>21.299024918743228</v>
      </c>
      <c r="M8" s="130">
        <f t="shared" si="3"/>
        <v>23.858009708737864</v>
      </c>
    </row>
    <row r="9" spans="1:17" ht="15" customHeight="1" x14ac:dyDescent="0.3">
      <c r="A9" s="125" t="s">
        <v>571</v>
      </c>
      <c r="B9" s="126">
        <v>1668</v>
      </c>
      <c r="C9" s="127">
        <f>364/10</f>
        <v>36.4</v>
      </c>
      <c r="D9" s="126">
        <v>60648.800000000003</v>
      </c>
      <c r="E9" s="128">
        <v>61772</v>
      </c>
      <c r="F9" s="128">
        <v>6009</v>
      </c>
      <c r="G9" s="128">
        <v>3359</v>
      </c>
      <c r="H9" s="133">
        <f>3276+241</f>
        <v>3517</v>
      </c>
      <c r="I9" s="129">
        <v>68.959999999999994</v>
      </c>
      <c r="J9" s="130">
        <f t="shared" si="0"/>
        <v>24.187935034802788</v>
      </c>
      <c r="K9" s="130">
        <f t="shared" si="1"/>
        <v>10.279913463138625</v>
      </c>
      <c r="L9" s="130">
        <f t="shared" si="2"/>
        <v>18.389997022923488</v>
      </c>
      <c r="M9" s="130">
        <f t="shared" si="3"/>
        <v>17.563832812055729</v>
      </c>
      <c r="O9" s="135"/>
    </row>
    <row r="10" spans="1:17" ht="14.25" customHeight="1" x14ac:dyDescent="0.3">
      <c r="A10" s="125" t="s">
        <v>572</v>
      </c>
      <c r="B10" s="131">
        <v>1769.75</v>
      </c>
      <c r="C10" s="136">
        <f>151/5</f>
        <v>30.2</v>
      </c>
      <c r="D10" s="131">
        <v>53309.440000000002</v>
      </c>
      <c r="E10" s="128">
        <v>63539</v>
      </c>
      <c r="F10" s="128">
        <v>5131</v>
      </c>
      <c r="G10" s="129">
        <v>-453</v>
      </c>
      <c r="H10" s="136">
        <f>2551+137</f>
        <v>2688</v>
      </c>
      <c r="I10" s="129">
        <v>61.43</v>
      </c>
      <c r="J10" s="130">
        <f t="shared" si="0"/>
        <v>28.809213739215366</v>
      </c>
      <c r="K10" s="130">
        <f t="shared" si="1"/>
        <v>12.383356070941337</v>
      </c>
      <c r="L10" s="130">
        <f t="shared" si="2"/>
        <v>-140.26269315673289</v>
      </c>
      <c r="M10" s="130">
        <f t="shared" si="3"/>
        <v>23.638020833333332</v>
      </c>
    </row>
    <row r="11" spans="1:17" ht="14.25" customHeight="1" x14ac:dyDescent="0.3">
      <c r="A11" s="137" t="s">
        <v>573</v>
      </c>
      <c r="B11" s="138">
        <f t="shared" ref="B11:M11" si="4">AVERAGE(B6:B10)</f>
        <v>1535.6299999999999</v>
      </c>
      <c r="C11" s="138">
        <f t="shared" si="4"/>
        <v>49.12</v>
      </c>
      <c r="D11" s="138">
        <f t="shared" si="4"/>
        <v>67095.820000000007</v>
      </c>
      <c r="E11" s="138">
        <f t="shared" si="4"/>
        <v>74587.399999999994</v>
      </c>
      <c r="F11" s="138">
        <f t="shared" si="4"/>
        <v>8984.7999999999993</v>
      </c>
      <c r="G11" s="138">
        <f t="shared" si="4"/>
        <v>2831.2</v>
      </c>
      <c r="H11" s="138">
        <f t="shared" si="4"/>
        <v>3389.6</v>
      </c>
      <c r="I11" s="138">
        <f t="shared" si="4"/>
        <v>45.338000000000001</v>
      </c>
      <c r="J11" s="138">
        <f t="shared" si="4"/>
        <v>37.366005927224684</v>
      </c>
      <c r="K11" s="138">
        <f t="shared" si="4"/>
        <v>10.144471085405053</v>
      </c>
      <c r="L11" s="138">
        <f t="shared" si="4"/>
        <v>-10.761841541746184</v>
      </c>
      <c r="M11" s="138">
        <f t="shared" si="4"/>
        <v>22.762221101852226</v>
      </c>
    </row>
    <row r="12" spans="1:17" ht="14.25" customHeight="1" x14ac:dyDescent="0.3">
      <c r="A12" s="137" t="s">
        <v>574</v>
      </c>
      <c r="B12" s="138">
        <f t="shared" ref="B12:M12" si="5">MEDIAN(B6:B10)</f>
        <v>1668</v>
      </c>
      <c r="C12" s="138">
        <f t="shared" si="5"/>
        <v>36.4</v>
      </c>
      <c r="D12" s="138">
        <f t="shared" si="5"/>
        <v>63310.9</v>
      </c>
      <c r="E12" s="138">
        <f t="shared" si="5"/>
        <v>70587</v>
      </c>
      <c r="F12" s="138">
        <f t="shared" si="5"/>
        <v>6009</v>
      </c>
      <c r="G12" s="138">
        <f t="shared" si="5"/>
        <v>3359</v>
      </c>
      <c r="H12" s="138">
        <f t="shared" si="5"/>
        <v>3296</v>
      </c>
      <c r="I12" s="138">
        <f t="shared" si="5"/>
        <v>34.32</v>
      </c>
      <c r="J12" s="138">
        <f t="shared" si="5"/>
        <v>28.809213739215366</v>
      </c>
      <c r="K12" s="138">
        <f t="shared" si="5"/>
        <v>10.279913463138625</v>
      </c>
      <c r="L12" s="138">
        <f t="shared" si="5"/>
        <v>19.99654541759805</v>
      </c>
      <c r="M12" s="138">
        <f t="shared" si="5"/>
        <v>23.638020833333332</v>
      </c>
      <c r="P12" s="139"/>
      <c r="Q12" s="140"/>
    </row>
    <row r="13" spans="1:17" ht="14.25" customHeight="1" x14ac:dyDescent="0.3">
      <c r="P13" s="141"/>
    </row>
    <row r="14" spans="1:17" ht="14.25" customHeight="1" x14ac:dyDescent="0.3">
      <c r="A14" s="274" t="s">
        <v>575</v>
      </c>
      <c r="B14" s="268"/>
      <c r="C14" s="268"/>
      <c r="D14" s="268"/>
      <c r="E14" s="268"/>
      <c r="F14" s="268"/>
      <c r="G14" s="268"/>
      <c r="H14" s="268"/>
      <c r="I14" s="268"/>
      <c r="J14" s="268"/>
      <c r="K14" s="268"/>
      <c r="L14" s="268"/>
      <c r="M14" s="269"/>
    </row>
    <row r="15" spans="1:17" ht="36" customHeight="1" x14ac:dyDescent="0.3">
      <c r="A15" s="275" t="s">
        <v>576</v>
      </c>
      <c r="B15" s="276" t="s">
        <v>577</v>
      </c>
      <c r="C15" s="276" t="s">
        <v>578</v>
      </c>
      <c r="D15" s="275" t="s">
        <v>579</v>
      </c>
      <c r="E15" s="273" t="s">
        <v>580</v>
      </c>
      <c r="F15" s="273" t="s">
        <v>581</v>
      </c>
      <c r="G15" s="273" t="s">
        <v>582</v>
      </c>
      <c r="H15" s="273" t="s">
        <v>583</v>
      </c>
      <c r="I15" s="277" t="s">
        <v>584</v>
      </c>
      <c r="J15" s="277" t="s">
        <v>585</v>
      </c>
      <c r="K15" s="275" t="s">
        <v>586</v>
      </c>
      <c r="L15" s="273" t="s">
        <v>587</v>
      </c>
      <c r="M15" s="273" t="s">
        <v>588</v>
      </c>
    </row>
    <row r="16" spans="1:17" ht="14.25" customHeight="1" x14ac:dyDescent="0.3">
      <c r="A16" s="137" t="s">
        <v>589</v>
      </c>
      <c r="B16" s="142">
        <f>K11</f>
        <v>10.144471085405053</v>
      </c>
      <c r="C16" s="142">
        <f>K12</f>
        <v>10.279913463138625</v>
      </c>
      <c r="D16" s="142">
        <f>K5</f>
        <v>18.923023558670248</v>
      </c>
      <c r="E16" s="143">
        <f>B16*F5</f>
        <v>81091.45273655896</v>
      </c>
      <c r="F16" s="143">
        <f>C16*F5</f>
        <v>82174.133053752696</v>
      </c>
      <c r="G16" s="143">
        <f>E16-(E5-D5)</f>
        <v>81575.502736558949</v>
      </c>
      <c r="H16" s="143">
        <f>F16-(E5-D5)</f>
        <v>82658.183053752684</v>
      </c>
      <c r="I16" s="144">
        <f>G16/C5</f>
        <v>329.55804442515631</v>
      </c>
      <c r="J16" s="144">
        <f>H16/C5</f>
        <v>333.93198017918104</v>
      </c>
      <c r="K16" s="144">
        <f>B5</f>
        <v>613.04999999999995</v>
      </c>
      <c r="L16" s="145">
        <f>(B5-I16)/I16</f>
        <v>0.86021858780396299</v>
      </c>
      <c r="M16" s="145">
        <f>(B5-J16)/J16</f>
        <v>0.83585291732480949</v>
      </c>
    </row>
    <row r="17" spans="1:17" ht="14.25" customHeight="1" x14ac:dyDescent="0.3">
      <c r="A17" s="137" t="s">
        <v>590</v>
      </c>
      <c r="B17" s="142">
        <f>L11</f>
        <v>-10.761841541746184</v>
      </c>
      <c r="C17" s="142">
        <f>L12</f>
        <v>19.99654541759805</v>
      </c>
      <c r="D17" s="142">
        <f>L5</f>
        <v>71.735439193034395</v>
      </c>
      <c r="E17" s="143">
        <f>B17*G5</f>
        <v>-22692.849548587667</v>
      </c>
      <c r="F17" s="143">
        <f>C17*G5</f>
        <v>42165.51552936394</v>
      </c>
      <c r="G17" s="143">
        <f>E17-(E5-D5)</f>
        <v>-22208.799548587678</v>
      </c>
      <c r="H17" s="143">
        <f>F17-(E5-D5)</f>
        <v>42649.565529363928</v>
      </c>
      <c r="I17" s="144">
        <f>G17/C5</f>
        <v>-89.721648077354985</v>
      </c>
      <c r="J17" s="144">
        <f>H17/C5</f>
        <v>172.30059196608059</v>
      </c>
      <c r="K17" s="144">
        <f>K16</f>
        <v>613.04999999999995</v>
      </c>
      <c r="L17" s="145">
        <f>(B5-I17)/I17</f>
        <v>-7.8327991419801926</v>
      </c>
      <c r="M17" s="145">
        <f>(B5-J17)/J17</f>
        <v>2.5580260810751372</v>
      </c>
    </row>
    <row r="18" spans="1:17" ht="14.25" customHeight="1" x14ac:dyDescent="0.3">
      <c r="A18" s="137" t="s">
        <v>591</v>
      </c>
      <c r="B18" s="142">
        <f>J11</f>
        <v>37.366005927224684</v>
      </c>
      <c r="C18" s="142">
        <f>J12</f>
        <v>28.809213739215366</v>
      </c>
      <c r="D18" s="142">
        <f>J5</f>
        <v>34.05833333333333</v>
      </c>
      <c r="E18" s="144">
        <f>B18*I5</f>
        <v>672.58810669004436</v>
      </c>
      <c r="F18" s="144">
        <f>C18*I5</f>
        <v>518.56584730587656</v>
      </c>
      <c r="G18" s="143">
        <f>E18*C5</f>
        <v>166485.73404898669</v>
      </c>
      <c r="H18" s="143">
        <f>F18*C5</f>
        <v>128360.60418362363</v>
      </c>
      <c r="I18" s="144">
        <f>E18</f>
        <v>672.58810669004436</v>
      </c>
      <c r="J18" s="144">
        <f>F18</f>
        <v>518.56584730587656</v>
      </c>
      <c r="K18" s="144">
        <f>K17</f>
        <v>613.04999999999995</v>
      </c>
      <c r="L18" s="145">
        <f>(B5-I18)/I18</f>
        <v>-8.8520903206339263E-2</v>
      </c>
      <c r="M18" s="145">
        <f>(B5-J18)/J18</f>
        <v>0.18220280642275277</v>
      </c>
    </row>
    <row r="19" spans="1:17" ht="14.25" customHeight="1" x14ac:dyDescent="0.3">
      <c r="A19" s="146"/>
      <c r="B19" s="1"/>
      <c r="C19" s="147"/>
      <c r="D19" s="1"/>
      <c r="E19" s="1"/>
      <c r="F19" s="1"/>
      <c r="G19" s="1"/>
      <c r="H19" s="1"/>
      <c r="I19" s="1"/>
      <c r="J19" s="1"/>
      <c r="K19" s="1"/>
      <c r="L19" s="1"/>
      <c r="M19" s="148"/>
      <c r="N19" s="1"/>
      <c r="O19" s="149"/>
      <c r="P19" s="149"/>
      <c r="Q19" s="149"/>
    </row>
    <row r="20" spans="1:17" ht="14.25" customHeight="1" x14ac:dyDescent="0.3">
      <c r="A20" s="146"/>
      <c r="B20" s="1"/>
      <c r="C20" s="147"/>
      <c r="D20" s="1"/>
      <c r="E20" s="1"/>
      <c r="F20" s="1"/>
      <c r="G20" s="1"/>
      <c r="H20" s="1"/>
      <c r="I20" s="1"/>
      <c r="J20" s="1"/>
      <c r="K20" s="1"/>
      <c r="L20" s="1"/>
      <c r="M20" s="148"/>
      <c r="N20" s="1"/>
      <c r="O20" s="279" t="s">
        <v>592</v>
      </c>
      <c r="P20" s="279" t="s">
        <v>566</v>
      </c>
      <c r="Q20" s="279" t="s">
        <v>593</v>
      </c>
    </row>
    <row r="21" spans="1:17" ht="14.25" customHeight="1" x14ac:dyDescent="0.3">
      <c r="A21" s="1" t="s">
        <v>594</v>
      </c>
      <c r="B21" s="1"/>
      <c r="C21" s="1"/>
      <c r="D21" s="1"/>
      <c r="E21" s="1"/>
      <c r="F21" s="1"/>
      <c r="G21" s="1"/>
      <c r="H21" s="1"/>
      <c r="I21" s="1"/>
      <c r="J21" s="1"/>
      <c r="K21" s="1"/>
      <c r="L21" s="1"/>
      <c r="M21" s="1"/>
      <c r="N21" s="1"/>
      <c r="O21" s="149">
        <f>MAX(K6:K10)</f>
        <v>15.959077549174769</v>
      </c>
      <c r="P21" s="149">
        <f>MAX(L6:L10)</f>
        <v>26.767918088737201</v>
      </c>
      <c r="Q21" s="149">
        <f>MAX(J6:J10)</f>
        <v>54.023962594973703</v>
      </c>
    </row>
    <row r="22" spans="1:17" ht="14.25" customHeight="1" x14ac:dyDescent="0.3">
      <c r="A22" s="1" t="s">
        <v>595</v>
      </c>
      <c r="B22" s="1"/>
      <c r="C22" s="1"/>
      <c r="D22" s="1"/>
      <c r="E22" s="1"/>
      <c r="F22" s="1"/>
      <c r="G22" s="1"/>
      <c r="H22" s="1"/>
      <c r="I22" s="1"/>
      <c r="J22" s="1"/>
      <c r="K22" s="1"/>
      <c r="L22" s="1"/>
      <c r="M22" s="1"/>
      <c r="N22" s="1"/>
      <c r="O22" s="150">
        <f>QUARTILE(K6:K10,3)</f>
        <v>12.383356070941337</v>
      </c>
      <c r="P22" s="150">
        <f>QUARTILE(L6:L10,3)</f>
        <v>21.299024918743228</v>
      </c>
      <c r="Q22" s="150">
        <f>QUARTILE(J6:J10,3)</f>
        <v>52.948487031700282</v>
      </c>
    </row>
    <row r="23" spans="1:17" ht="14.25" customHeight="1" x14ac:dyDescent="0.3">
      <c r="A23" s="89" t="s">
        <v>596</v>
      </c>
      <c r="B23" s="1"/>
      <c r="C23" s="1"/>
      <c r="D23" s="1"/>
      <c r="E23" s="1"/>
      <c r="F23" s="1"/>
      <c r="G23" s="1"/>
      <c r="H23" s="1"/>
      <c r="I23" s="1"/>
      <c r="J23" s="1"/>
      <c r="K23" s="1"/>
      <c r="L23" s="1"/>
      <c r="M23" s="1"/>
      <c r="N23" s="1"/>
      <c r="O23" s="149">
        <f>AVERAGE(K6:K10)</f>
        <v>10.144471085405053</v>
      </c>
      <c r="P23" s="149">
        <f>AVERAGE(L6:L10)</f>
        <v>-10.761841541746184</v>
      </c>
      <c r="Q23" s="149">
        <f>AVERAGE(J6:J10)</f>
        <v>37.366005927224684</v>
      </c>
    </row>
    <row r="24" spans="1:17" ht="14.25" customHeight="1" x14ac:dyDescent="0.3">
      <c r="A24" s="89" t="s">
        <v>597</v>
      </c>
      <c r="B24" s="1"/>
      <c r="C24" s="1"/>
      <c r="D24" s="1"/>
      <c r="E24" s="1"/>
      <c r="F24" s="1"/>
      <c r="G24" s="1"/>
      <c r="H24" s="1"/>
      <c r="I24" s="1"/>
      <c r="J24" s="1"/>
      <c r="K24" s="1"/>
      <c r="L24" s="149"/>
      <c r="M24" s="1"/>
      <c r="N24" s="1"/>
      <c r="O24" s="149">
        <f>MEDIAN(K6:K10)</f>
        <v>10.279913463138625</v>
      </c>
      <c r="P24" s="149">
        <f>MEDIAN(L6:L10)</f>
        <v>19.99654541759805</v>
      </c>
      <c r="Q24" s="149">
        <f>MEDIAN(J6:J10)</f>
        <v>28.809213739215366</v>
      </c>
    </row>
    <row r="25" spans="1:17" ht="14.25" customHeight="1" x14ac:dyDescent="0.3">
      <c r="A25" s="1" t="s">
        <v>598</v>
      </c>
      <c r="B25" s="1"/>
      <c r="C25" s="1"/>
      <c r="D25" s="1"/>
      <c r="E25" s="1"/>
      <c r="F25" s="1"/>
      <c r="G25" s="1"/>
      <c r="H25" s="1"/>
      <c r="I25" s="1"/>
      <c r="J25" s="1"/>
      <c r="K25" s="1"/>
      <c r="L25" s="1"/>
      <c r="M25" s="1"/>
      <c r="N25" s="1"/>
      <c r="O25" s="149">
        <f>QUARTILE(K6:K10,1)</f>
        <v>6.1991328340559715</v>
      </c>
      <c r="P25" s="149">
        <f>QUARTILE(L6:L10,1)</f>
        <v>18.389997022923488</v>
      </c>
      <c r="Q25" s="149">
        <f>QUARTILE(J6:J10,1)</f>
        <v>26.860431235431236</v>
      </c>
    </row>
    <row r="26" spans="1:17" ht="14.25" customHeight="1" x14ac:dyDescent="0.3">
      <c r="A26" s="1" t="s">
        <v>599</v>
      </c>
      <c r="B26" s="1"/>
      <c r="C26" s="1"/>
      <c r="D26" s="1"/>
      <c r="E26" s="1"/>
      <c r="F26" s="1"/>
      <c r="G26" s="1"/>
      <c r="H26" s="1"/>
      <c r="I26" s="1"/>
      <c r="J26" s="1"/>
      <c r="K26" s="1"/>
      <c r="L26" s="1"/>
      <c r="M26" s="1"/>
      <c r="N26" s="1"/>
      <c r="O26" s="149">
        <f>MIN(K6:K10)</f>
        <v>5.9008755097145595</v>
      </c>
      <c r="P26" s="149">
        <f>MIN(L6:L10)</f>
        <v>-140.26269315673289</v>
      </c>
      <c r="Q26" s="149">
        <f>MIN(J6:J10)</f>
        <v>24.187935034802788</v>
      </c>
    </row>
    <row r="27" spans="1:17" ht="14.25" customHeight="1" x14ac:dyDescent="0.3">
      <c r="A27" s="1"/>
      <c r="B27" s="1"/>
      <c r="C27" s="1"/>
      <c r="D27" s="1"/>
      <c r="E27" s="1"/>
      <c r="F27" s="1"/>
      <c r="G27" s="1"/>
      <c r="H27" s="1"/>
      <c r="I27" s="1"/>
      <c r="J27" s="1"/>
      <c r="K27" s="1"/>
      <c r="L27" s="1"/>
      <c r="M27" s="1"/>
      <c r="N27" s="1"/>
      <c r="O27" s="1"/>
      <c r="P27" s="1"/>
      <c r="Q27" s="1"/>
    </row>
    <row r="28" spans="1:17" ht="14.25" customHeight="1" x14ac:dyDescent="0.3">
      <c r="A28" s="280" t="s">
        <v>600</v>
      </c>
      <c r="B28" s="280"/>
      <c r="C28" s="280"/>
      <c r="D28" s="281"/>
      <c r="E28" s="281"/>
      <c r="F28" s="281"/>
      <c r="G28" s="281"/>
      <c r="H28" s="281"/>
      <c r="I28" s="281"/>
      <c r="J28" s="281"/>
      <c r="K28" s="281"/>
      <c r="L28" s="281"/>
      <c r="M28" s="281"/>
      <c r="N28" s="281"/>
      <c r="O28" s="279" t="s">
        <v>592</v>
      </c>
      <c r="P28" s="279" t="s">
        <v>566</v>
      </c>
      <c r="Q28" s="279" t="s">
        <v>593</v>
      </c>
    </row>
    <row r="29" spans="1:17" ht="14.25" customHeight="1" x14ac:dyDescent="0.3">
      <c r="A29" s="282"/>
      <c r="B29" s="282"/>
      <c r="C29" s="282"/>
      <c r="D29" s="282"/>
      <c r="E29" s="282"/>
      <c r="F29" s="282"/>
      <c r="G29" s="282"/>
      <c r="H29" s="282"/>
      <c r="I29" s="282"/>
      <c r="J29" s="282"/>
      <c r="K29" s="282"/>
      <c r="L29" s="282"/>
      <c r="M29" s="282"/>
      <c r="N29" s="282"/>
      <c r="O29" s="278" t="s">
        <v>601</v>
      </c>
      <c r="P29" s="278"/>
      <c r="Q29" s="278"/>
    </row>
    <row r="30" spans="1:17" ht="14.25" customHeight="1" x14ac:dyDescent="0.3">
      <c r="A30" s="1" t="s">
        <v>602</v>
      </c>
      <c r="B30" s="1"/>
      <c r="C30" s="1"/>
      <c r="D30" s="1"/>
      <c r="E30" s="1"/>
      <c r="F30" s="1"/>
      <c r="G30" s="1"/>
      <c r="H30" s="1"/>
      <c r="I30" s="1"/>
      <c r="J30" s="1"/>
      <c r="K30" s="1"/>
      <c r="L30" s="1"/>
      <c r="M30" s="1"/>
      <c r="N30" s="1"/>
      <c r="O30" s="150">
        <f>O23*F5</f>
        <v>81091.45273655896</v>
      </c>
      <c r="P30" s="150">
        <f>P23*G5</f>
        <v>-22692.849548587667</v>
      </c>
      <c r="Q30" s="150">
        <f>Q23*I5*C5</f>
        <v>166485.73404898669</v>
      </c>
    </row>
    <row r="31" spans="1:17" ht="14.25" customHeight="1" x14ac:dyDescent="0.3">
      <c r="A31" s="1" t="s">
        <v>603</v>
      </c>
      <c r="B31" s="1"/>
      <c r="C31" s="1"/>
      <c r="D31" s="1"/>
      <c r="E31" s="1"/>
      <c r="F31" s="1"/>
      <c r="G31" s="1"/>
      <c r="H31" s="1"/>
      <c r="I31" s="1"/>
      <c r="J31" s="1"/>
      <c r="K31" s="1"/>
      <c r="L31" s="1"/>
      <c r="M31" s="1"/>
      <c r="N31" s="1"/>
      <c r="O31" s="150">
        <f>E5-D5</f>
        <v>-484.04999999998836</v>
      </c>
      <c r="P31" s="150">
        <f>E5-D5</f>
        <v>-484.04999999998836</v>
      </c>
      <c r="Q31" s="150">
        <f>E5-D5</f>
        <v>-484.04999999998836</v>
      </c>
    </row>
    <row r="32" spans="1:17" ht="14.25" customHeight="1" x14ac:dyDescent="0.3">
      <c r="A32" s="1" t="s">
        <v>604</v>
      </c>
      <c r="B32" s="1"/>
      <c r="C32" s="1"/>
      <c r="D32" s="1"/>
      <c r="E32" s="1"/>
      <c r="F32" s="1"/>
      <c r="G32" s="1"/>
      <c r="H32" s="1"/>
      <c r="I32" s="1"/>
      <c r="J32" s="1"/>
      <c r="K32" s="1"/>
      <c r="L32" s="1"/>
      <c r="M32" s="1"/>
      <c r="N32" s="1"/>
      <c r="O32" s="150">
        <f>O30-O31</f>
        <v>81575.502736558949</v>
      </c>
      <c r="P32" s="150">
        <f>P30-P31</f>
        <v>-22208.799548587678</v>
      </c>
      <c r="Q32" s="150">
        <f>Q30-Q31</f>
        <v>166969.78404898668</v>
      </c>
    </row>
    <row r="33" spans="1:17" ht="14.25" customHeight="1" x14ac:dyDescent="0.3">
      <c r="A33" s="1" t="s">
        <v>605</v>
      </c>
      <c r="B33" s="1"/>
      <c r="C33" s="1"/>
      <c r="D33" s="1"/>
      <c r="E33" s="1"/>
      <c r="F33" s="1"/>
      <c r="G33" s="1"/>
      <c r="H33" s="1"/>
      <c r="I33" s="1"/>
      <c r="J33" s="1"/>
      <c r="K33" s="1"/>
      <c r="L33" s="1"/>
      <c r="M33" s="1"/>
      <c r="N33" s="1"/>
      <c r="O33" s="150">
        <f>C5</f>
        <v>247.53</v>
      </c>
      <c r="P33" s="150">
        <f>C5</f>
        <v>247.53</v>
      </c>
      <c r="Q33" s="150">
        <f>C5</f>
        <v>247.53</v>
      </c>
    </row>
    <row r="34" spans="1:17" ht="14.25" customHeight="1" x14ac:dyDescent="0.3">
      <c r="A34" s="1"/>
      <c r="B34" s="1"/>
      <c r="C34" s="1"/>
      <c r="D34" s="1"/>
      <c r="E34" s="1"/>
      <c r="F34" s="1"/>
      <c r="G34" s="1"/>
      <c r="H34" s="1"/>
      <c r="I34" s="1"/>
      <c r="J34" s="1"/>
      <c r="K34" s="1"/>
      <c r="L34" s="1"/>
      <c r="M34" s="1"/>
      <c r="N34" s="1"/>
      <c r="O34" s="1"/>
      <c r="P34" s="1"/>
      <c r="Q34" s="1"/>
    </row>
    <row r="35" spans="1:17" ht="15" customHeight="1" x14ac:dyDescent="0.3">
      <c r="A35" s="151" t="s">
        <v>606</v>
      </c>
      <c r="B35" s="152"/>
      <c r="C35" s="152"/>
      <c r="D35" s="152"/>
      <c r="E35" s="152"/>
      <c r="F35" s="152"/>
      <c r="G35" s="152"/>
      <c r="H35" s="152"/>
      <c r="I35" s="152"/>
      <c r="J35" s="152"/>
      <c r="K35" s="152"/>
      <c r="L35" s="152"/>
      <c r="M35" s="152"/>
      <c r="N35" s="152"/>
      <c r="O35" s="153">
        <f>O32/O33</f>
        <v>329.55804442515631</v>
      </c>
      <c r="P35" s="153">
        <f>P32/P33</f>
        <v>-89.721648077354985</v>
      </c>
      <c r="Q35" s="153">
        <f>Q23*I5</f>
        <v>672.58810669004436</v>
      </c>
    </row>
    <row r="36" spans="1:17" ht="15" customHeight="1" x14ac:dyDescent="0.3"/>
    <row r="43" spans="1:17" ht="15" customHeight="1" x14ac:dyDescent="0.3">
      <c r="A43" s="154"/>
      <c r="B43" s="155"/>
      <c r="C43" s="156"/>
      <c r="D43" s="156"/>
      <c r="E43" s="156"/>
      <c r="F43" s="156"/>
      <c r="G43" s="156"/>
      <c r="H43" s="156"/>
      <c r="I43" s="156"/>
      <c r="J43" s="156"/>
      <c r="K43" s="156"/>
    </row>
    <row r="44" spans="1:17" ht="14.25" customHeight="1" x14ac:dyDescent="0.3">
      <c r="A44" s="157"/>
      <c r="B44" s="158"/>
      <c r="C44" s="159"/>
      <c r="D44" s="159"/>
      <c r="E44" s="159"/>
      <c r="F44" s="159"/>
      <c r="G44" s="159"/>
      <c r="H44" s="159"/>
      <c r="I44" s="159"/>
      <c r="J44" s="159"/>
      <c r="K44" s="159"/>
    </row>
    <row r="45" spans="1:17" ht="14.25" customHeight="1" x14ac:dyDescent="0.3">
      <c r="A45" s="160"/>
      <c r="B45" s="161"/>
      <c r="C45" s="162"/>
      <c r="D45" s="162"/>
      <c r="E45" s="162"/>
      <c r="F45" s="162"/>
      <c r="G45" s="162"/>
      <c r="H45" s="162"/>
      <c r="I45" s="162"/>
      <c r="J45" s="162"/>
      <c r="K45" s="162"/>
    </row>
    <row r="46" spans="1:17" ht="14.25" customHeight="1" x14ac:dyDescent="0.3">
      <c r="A46" s="157"/>
      <c r="B46" s="158"/>
      <c r="C46" s="159"/>
      <c r="D46" s="159"/>
      <c r="E46" s="159"/>
      <c r="F46" s="159"/>
      <c r="G46" s="159"/>
      <c r="H46" s="159"/>
      <c r="I46" s="159"/>
      <c r="J46" s="159"/>
      <c r="K46" s="159"/>
    </row>
    <row r="47" spans="1:17" ht="14.25" customHeight="1" x14ac:dyDescent="0.3">
      <c r="A47" s="160"/>
      <c r="B47" s="161"/>
      <c r="C47" s="162"/>
      <c r="D47" s="162"/>
      <c r="E47" s="162"/>
      <c r="F47" s="162"/>
      <c r="G47" s="162"/>
      <c r="H47" s="162"/>
      <c r="I47" s="162"/>
      <c r="J47" s="162"/>
      <c r="K47" s="162"/>
    </row>
    <row r="48" spans="1:17" ht="14.25" customHeight="1" x14ac:dyDescent="0.3">
      <c r="A48" s="157"/>
      <c r="B48" s="158"/>
      <c r="C48" s="159"/>
      <c r="D48" s="159"/>
      <c r="E48" s="159"/>
      <c r="F48" s="159"/>
      <c r="G48" s="159"/>
      <c r="H48" s="159"/>
      <c r="I48" s="159"/>
      <c r="J48" s="159"/>
      <c r="K48" s="159"/>
    </row>
    <row r="49" spans="1:11" ht="15" customHeight="1" x14ac:dyDescent="0.3">
      <c r="A49" s="160"/>
      <c r="B49" s="161"/>
      <c r="C49" s="162"/>
      <c r="D49" s="162"/>
      <c r="E49" s="162"/>
      <c r="F49" s="162"/>
      <c r="G49" s="162"/>
      <c r="H49" s="162"/>
      <c r="I49" s="162"/>
      <c r="J49" s="162"/>
      <c r="K49" s="162"/>
    </row>
    <row r="50" spans="1:11" ht="15" customHeight="1" x14ac:dyDescent="0.3">
      <c r="A50" s="163"/>
      <c r="B50" s="164"/>
      <c r="C50" s="165"/>
      <c r="D50" s="165"/>
      <c r="E50" s="165"/>
      <c r="F50" s="165"/>
      <c r="G50" s="165"/>
      <c r="H50" s="165"/>
      <c r="I50" s="165"/>
      <c r="J50" s="165"/>
      <c r="K50" s="165"/>
    </row>
  </sheetData>
  <mergeCells count="6">
    <mergeCell ref="A14:M14"/>
    <mergeCell ref="A1:M1"/>
    <mergeCell ref="F3:I3"/>
    <mergeCell ref="A3:A4"/>
    <mergeCell ref="J3:M3"/>
    <mergeCell ref="B3:E3"/>
  </mergeCells>
  <hyperlinks>
    <hyperlink ref="A5" r:id="rId1" xr:uid="{00000000-0004-0000-1000-000000000000}"/>
    <hyperlink ref="A6" r:id="rId2" xr:uid="{00000000-0004-0000-1000-000001000000}"/>
    <hyperlink ref="A7" r:id="rId3" xr:uid="{00000000-0004-0000-1000-000002000000}"/>
    <hyperlink ref="A8" r:id="rId4" xr:uid="{00000000-0004-0000-1000-000003000000}"/>
    <hyperlink ref="A9" r:id="rId5" xr:uid="{00000000-0004-0000-1000-000004000000}"/>
    <hyperlink ref="A10" r:id="rId6" xr:uid="{00000000-0004-0000-1000-000005000000}"/>
  </hyperlinks>
  <pageMargins left="0.7" right="0.7" top="0.75" bottom="0.75"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45"/>
  <sheetViews>
    <sheetView showGridLines="0" zoomScaleNormal="100" workbookViewId="0">
      <selection activeCell="B14" sqref="B14"/>
    </sheetView>
  </sheetViews>
  <sheetFormatPr defaultColWidth="8.6640625" defaultRowHeight="14.4" x14ac:dyDescent="0.3"/>
  <cols>
    <col min="1" max="1" width="90.77734375" style="180" customWidth="1"/>
    <col min="2" max="2" width="12.6640625" style="180" customWidth="1"/>
    <col min="3" max="3" width="58" style="180" customWidth="1"/>
    <col min="4" max="6" width="12.6640625" style="180" customWidth="1"/>
  </cols>
  <sheetData>
    <row r="1" spans="1:5" ht="14.25" customHeight="1" x14ac:dyDescent="0.3">
      <c r="A1" s="89" t="s">
        <v>607</v>
      </c>
    </row>
    <row r="2" spans="1:5" ht="14.25" customHeight="1" x14ac:dyDescent="0.3">
      <c r="A2" s="90" t="s">
        <v>608</v>
      </c>
    </row>
    <row r="4" spans="1:5" ht="14.25" customHeight="1" x14ac:dyDescent="0.3">
      <c r="A4" s="89" t="s">
        <v>609</v>
      </c>
    </row>
    <row r="5" spans="1:5" ht="14.25" customHeight="1" x14ac:dyDescent="0.3">
      <c r="A5" t="s">
        <v>488</v>
      </c>
      <c r="B5" t="s">
        <v>610</v>
      </c>
      <c r="C5" t="s">
        <v>611</v>
      </c>
      <c r="D5" t="s">
        <v>612</v>
      </c>
      <c r="E5" t="s">
        <v>613</v>
      </c>
    </row>
    <row r="6" spans="1:5" ht="14.25" customHeight="1" x14ac:dyDescent="0.3">
      <c r="A6" t="s">
        <v>614</v>
      </c>
      <c r="B6" s="91">
        <f>'Consolidated P&amp;L'!B36</f>
        <v>495.06</v>
      </c>
      <c r="C6" s="91">
        <f>'Consolidated P&amp;L'!C36</f>
        <v>742.59</v>
      </c>
      <c r="D6" s="91">
        <f>'Consolidated P&amp;L'!D36</f>
        <v>990.12</v>
      </c>
      <c r="E6" s="91">
        <f>'Consolidated P&amp;L'!E36</f>
        <v>1237.6600000000001</v>
      </c>
    </row>
    <row r="7" spans="1:5" ht="14.25" customHeight="1" x14ac:dyDescent="0.3">
      <c r="A7" t="s">
        <v>615</v>
      </c>
      <c r="B7">
        <f>'Consolidated Balance Sheet'!B6/2</f>
        <v>247.53</v>
      </c>
      <c r="C7">
        <f>'Consolidated Balance Sheet'!C6/2</f>
        <v>247.53</v>
      </c>
      <c r="D7">
        <f>'Consolidated Balance Sheet'!D6/2</f>
        <v>247.53</v>
      </c>
      <c r="E7">
        <f>'Consolidated Balance Sheet'!E6/2</f>
        <v>247.53</v>
      </c>
    </row>
    <row r="8" spans="1:5" ht="14.25" customHeight="1" x14ac:dyDescent="0.3">
      <c r="A8" t="s">
        <v>616</v>
      </c>
      <c r="B8">
        <f>B6/B7</f>
        <v>2</v>
      </c>
      <c r="C8">
        <f>C6/C7</f>
        <v>3</v>
      </c>
      <c r="D8">
        <f>D6/D7</f>
        <v>4</v>
      </c>
      <c r="E8">
        <f>E6/E7</f>
        <v>5.000040399143538</v>
      </c>
    </row>
    <row r="10" spans="1:5" ht="14.25" customHeight="1" x14ac:dyDescent="0.3">
      <c r="A10" s="89" t="s">
        <v>617</v>
      </c>
    </row>
    <row r="11" spans="1:5" ht="14.25" customHeight="1" x14ac:dyDescent="0.3">
      <c r="A11" t="s">
        <v>618</v>
      </c>
      <c r="C11">
        <f>(C8-B8)/B8</f>
        <v>0.5</v>
      </c>
      <c r="D11">
        <f>(D8-C8)/C8</f>
        <v>0.33333333333333331</v>
      </c>
      <c r="E11">
        <f>(E8-D8)/D8</f>
        <v>0.25001009978588451</v>
      </c>
    </row>
    <row r="12" spans="1:5" ht="14.25" customHeight="1" x14ac:dyDescent="0.3">
      <c r="A12" t="s">
        <v>619</v>
      </c>
      <c r="B12">
        <f>AVERAGE(C11:E11)</f>
        <v>0.36111447770640592</v>
      </c>
      <c r="C12" t="s">
        <v>620</v>
      </c>
    </row>
    <row r="13" spans="1:5" ht="14.25" customHeight="1" x14ac:dyDescent="0.3">
      <c r="A13" t="s">
        <v>621</v>
      </c>
      <c r="B13">
        <f>(E8/B8)^(1/3)-1</f>
        <v>0.35721246362583892</v>
      </c>
      <c r="C13" t="s">
        <v>622</v>
      </c>
    </row>
    <row r="14" spans="1:5" ht="14.25" customHeight="1" x14ac:dyDescent="0.3">
      <c r="A14" t="s">
        <v>623</v>
      </c>
      <c r="B14" s="105">
        <f>Assumptions!B23</f>
        <v>7.4632177405212996E-2</v>
      </c>
      <c r="C14" t="s">
        <v>624</v>
      </c>
    </row>
    <row r="16" spans="1:5" ht="14.25" customHeight="1" x14ac:dyDescent="0.3">
      <c r="A16" s="89" t="s">
        <v>625</v>
      </c>
      <c r="B16" s="92">
        <f>B14</f>
        <v>7.4632177405212996E-2</v>
      </c>
      <c r="C16" t="s">
        <v>626</v>
      </c>
    </row>
    <row r="18" spans="1:3" ht="14.25" customHeight="1" x14ac:dyDescent="0.3">
      <c r="A18" s="89" t="s">
        <v>627</v>
      </c>
    </row>
    <row r="19" spans="1:3" ht="14.25" customHeight="1" x14ac:dyDescent="0.3">
      <c r="A19" t="s">
        <v>628</v>
      </c>
      <c r="B19" s="105">
        <f>Wacc!B10</f>
        <v>6.25E-2</v>
      </c>
      <c r="C19" t="s">
        <v>629</v>
      </c>
    </row>
    <row r="20" spans="1:3" ht="14.25" customHeight="1" x14ac:dyDescent="0.3">
      <c r="A20" t="s">
        <v>362</v>
      </c>
      <c r="B20" s="26">
        <f>Wacc!B11</f>
        <v>1.56612339706217</v>
      </c>
      <c r="C20" t="s">
        <v>630</v>
      </c>
    </row>
    <row r="21" spans="1:3" ht="14.25" customHeight="1" x14ac:dyDescent="0.3">
      <c r="A21" t="s">
        <v>363</v>
      </c>
      <c r="B21" s="105">
        <f>Wacc!B12</f>
        <v>6.5000000000000002E-2</v>
      </c>
      <c r="C21" t="s">
        <v>631</v>
      </c>
    </row>
    <row r="22" spans="1:3" ht="14.25" customHeight="1" x14ac:dyDescent="0.3">
      <c r="A22" s="89" t="s">
        <v>632</v>
      </c>
      <c r="B22" s="92">
        <f>Wacc!B13</f>
        <v>0.16429802080904105</v>
      </c>
    </row>
    <row r="24" spans="1:3" ht="14.25" customHeight="1" x14ac:dyDescent="0.3">
      <c r="A24" s="89" t="s">
        <v>633</v>
      </c>
    </row>
    <row r="25" spans="1:3" ht="14.25" customHeight="1" x14ac:dyDescent="0.3">
      <c r="A25" t="s">
        <v>634</v>
      </c>
      <c r="B25" s="105">
        <f>B22</f>
        <v>0.16429802080904105</v>
      </c>
    </row>
    <row r="26" spans="1:3" ht="14.25" customHeight="1" x14ac:dyDescent="0.3">
      <c r="A26" t="s">
        <v>635</v>
      </c>
      <c r="B26" s="105">
        <f>B16</f>
        <v>7.4632177405212996E-2</v>
      </c>
    </row>
    <row r="27" spans="1:3" ht="14.25" customHeight="1" x14ac:dyDescent="0.3">
      <c r="A27" t="s">
        <v>636</v>
      </c>
      <c r="B27" s="105">
        <f>B25-B26</f>
        <v>8.9665843403828049E-2</v>
      </c>
      <c r="C27" t="str">
        <f>IF(B27&gt;0,"Valid — model can proceed","INVALID — g cannot exceed Ke")</f>
        <v>Valid — model can proceed</v>
      </c>
    </row>
    <row r="29" spans="1:3" ht="14.25" customHeight="1" x14ac:dyDescent="0.3">
      <c r="A29" s="89" t="s">
        <v>637</v>
      </c>
    </row>
    <row r="30" spans="1:3" ht="14.25" customHeight="1" x14ac:dyDescent="0.3">
      <c r="A30" t="s">
        <v>638</v>
      </c>
      <c r="B30" s="26">
        <f>E8</f>
        <v>5.000040399143538</v>
      </c>
      <c r="C30" t="s">
        <v>639</v>
      </c>
    </row>
    <row r="31" spans="1:3" ht="14.25" customHeight="1" x14ac:dyDescent="0.3">
      <c r="A31" s="89" t="s">
        <v>640</v>
      </c>
      <c r="B31" s="93">
        <f>B30*(1+B16)</f>
        <v>5.373204301245651</v>
      </c>
      <c r="C31" t="s">
        <v>641</v>
      </c>
    </row>
    <row r="33" spans="1:6" ht="14.25" customHeight="1" x14ac:dyDescent="0.3">
      <c r="A33" s="89" t="s">
        <v>642</v>
      </c>
    </row>
    <row r="34" spans="1:6" ht="14.25" customHeight="1" x14ac:dyDescent="0.3">
      <c r="A34" t="s">
        <v>643</v>
      </c>
    </row>
    <row r="35" spans="1:6" ht="14.25" customHeight="1" x14ac:dyDescent="0.3">
      <c r="A35" s="89" t="s">
        <v>644</v>
      </c>
      <c r="B35" s="94">
        <f>B31/(B25-B26)</f>
        <v>59.924761729462034</v>
      </c>
    </row>
    <row r="36" spans="1:6" ht="14.25" customHeight="1" x14ac:dyDescent="0.3">
      <c r="A36" t="s">
        <v>645</v>
      </c>
      <c r="B36" s="95">
        <f>Beta!C1532</f>
        <v>587.04998779296898</v>
      </c>
      <c r="C36" t="s">
        <v>646</v>
      </c>
    </row>
    <row r="37" spans="1:6" ht="14.25" customHeight="1" x14ac:dyDescent="0.3">
      <c r="A37" t="s">
        <v>647</v>
      </c>
      <c r="B37" s="105">
        <f>(B36-B35)/B35</f>
        <v>8.7964509303062552</v>
      </c>
      <c r="C37" t="str">
        <f>IF(B36&gt;B35,"Stock is OVERVALUED vs GGM","Stock is UNDERVALUED vs GGM")</f>
        <v>Stock is OVERVALUED vs GGM</v>
      </c>
    </row>
    <row r="39" spans="1:6" ht="14.25" customHeight="1" x14ac:dyDescent="0.3">
      <c r="A39" s="89" t="s">
        <v>648</v>
      </c>
    </row>
    <row r="40" spans="1:6" ht="14.25" customHeight="1" x14ac:dyDescent="0.3">
      <c r="A40" s="89" t="s">
        <v>649</v>
      </c>
      <c r="B40" s="92">
        <f>B22-0.02</f>
        <v>0.14429802080904106</v>
      </c>
      <c r="C40" s="92">
        <f>B22-0.01</f>
        <v>0.15429802080904104</v>
      </c>
      <c r="D40" s="92">
        <f>B22</f>
        <v>0.16429802080904105</v>
      </c>
      <c r="E40" s="92">
        <f>B22+0.01</f>
        <v>0.17429802080904105</v>
      </c>
      <c r="F40" s="92">
        <f>B22+0.02</f>
        <v>0.18429802080904104</v>
      </c>
    </row>
    <row r="41" spans="1:6" ht="14.25" customHeight="1" x14ac:dyDescent="0.3">
      <c r="A41" s="92">
        <f>B16-0.01</f>
        <v>6.4632177405213001E-2</v>
      </c>
      <c r="B41">
        <f>B31/(B22+-0.02-(B16+-0.01))</f>
        <v>67.446776079539518</v>
      </c>
      <c r="C41">
        <f>B31/(B22+-0.01-(B16+-0.01))</f>
        <v>59.924761729462041</v>
      </c>
      <c r="D41">
        <f>B31/(B22-(B16+-0.01))</f>
        <v>53.912194165401232</v>
      </c>
      <c r="E41">
        <f>B31/(B22+0.01-(B16+-0.01))</f>
        <v>48.996151713889894</v>
      </c>
      <c r="F41">
        <f>B31/(B22+0.02-(B16+-0.01))</f>
        <v>44.901737608726584</v>
      </c>
    </row>
    <row r="42" spans="1:6" ht="14.25" customHeight="1" x14ac:dyDescent="0.3">
      <c r="A42" s="92">
        <f>B16</f>
        <v>7.4632177405212996E-2</v>
      </c>
      <c r="B42">
        <f>B31/(B22+-0.02-(B16))</f>
        <v>77.128245905229349</v>
      </c>
      <c r="C42">
        <f>B31/(B22+-0.01-(B16))</f>
        <v>67.446776079539532</v>
      </c>
      <c r="D42">
        <f>B31/(B22-(B16))</f>
        <v>59.924761729462034</v>
      </c>
      <c r="E42">
        <f>B31/(B22+0.01-(B16))</f>
        <v>53.912194165401225</v>
      </c>
      <c r="F42">
        <f>B31/(B22+0.02-(B16))</f>
        <v>48.996151713889901</v>
      </c>
    </row>
    <row r="43" spans="1:6" ht="14.25" customHeight="1" x14ac:dyDescent="0.3">
      <c r="A43" s="92">
        <f>B16+0.01</f>
        <v>8.4632177405212991E-2</v>
      </c>
      <c r="B43">
        <f>B31/(B22+-0.02-(B16+0.01))</f>
        <v>90.054945924068093</v>
      </c>
      <c r="C43">
        <f>B31/(B22+-0.01-(B16+0.01))</f>
        <v>77.128245905229363</v>
      </c>
      <c r="D43">
        <f>B31/(B22-(B16+0.01))</f>
        <v>67.446776079539518</v>
      </c>
      <c r="E43">
        <f>B31/(B22+0.01-(B16+0.01))</f>
        <v>59.924761729462027</v>
      </c>
      <c r="F43">
        <f>B31/(B22+0.02-(B16+0.01))</f>
        <v>53.912194165401232</v>
      </c>
    </row>
    <row r="44" spans="1:6" ht="14.25" customHeight="1" x14ac:dyDescent="0.3">
      <c r="A44" s="92">
        <f>B16+0.02</f>
        <v>9.4632177405213E-2</v>
      </c>
      <c r="B44">
        <f>B31/(B22+-0.02-(B16+0.02))</f>
        <v>108.18711478544034</v>
      </c>
      <c r="C44">
        <f>B31/(B22+-0.01-(B16+0.02))</f>
        <v>90.054945924068136</v>
      </c>
      <c r="D44">
        <f>B31/(B22-(B16+0.02))</f>
        <v>77.128245905229363</v>
      </c>
      <c r="E44">
        <f>B31/(B22+0.01-(B16+0.02))</f>
        <v>67.446776079539518</v>
      </c>
      <c r="F44">
        <f>B31/(B22+0.02-(B16+0.02))</f>
        <v>59.924761729462041</v>
      </c>
    </row>
    <row r="45" spans="1:6" ht="14.25" customHeight="1" x14ac:dyDescent="0.3">
      <c r="A45" s="92">
        <f>B16+0.03</f>
        <v>0.10463217740521299</v>
      </c>
      <c r="B45">
        <f>B31/(B22+-0.02-(B16+0.03))</f>
        <v>135.46174340836265</v>
      </c>
      <c r="C45">
        <f>B31/(B22+-0.01-(B16+0.03))</f>
        <v>108.18711478544037</v>
      </c>
      <c r="D45">
        <f>B31/(B22-(B16+0.03))</f>
        <v>90.054945924068107</v>
      </c>
      <c r="E45">
        <f>B31/(B22+0.01-(B16+0.03))</f>
        <v>77.128245905229349</v>
      </c>
      <c r="F45">
        <f>B31/(B22+0.02-(B16+0.03))</f>
        <v>67.446776079539532</v>
      </c>
    </row>
  </sheetData>
  <pageMargins left="0.7" right="0.7" top="0.75" bottom="0.75"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D1:M58"/>
  <sheetViews>
    <sheetView topLeftCell="D1" workbookViewId="0">
      <selection activeCell="M10" sqref="M10"/>
    </sheetView>
  </sheetViews>
  <sheetFormatPr defaultRowHeight="14.4" x14ac:dyDescent="0.3"/>
  <cols>
    <col min="4" max="4" width="28" style="180" customWidth="1"/>
    <col min="5" max="6" width="12" style="180" customWidth="1"/>
    <col min="7" max="9" width="14" style="180" customWidth="1"/>
    <col min="10" max="12" width="12" style="180" customWidth="1"/>
    <col min="13" max="13" width="28" style="180" customWidth="1"/>
  </cols>
  <sheetData>
    <row r="1" spans="4:13" ht="57.6" customHeight="1" x14ac:dyDescent="0.3">
      <c r="D1" s="241" t="s">
        <v>48</v>
      </c>
      <c r="E1" s="241" t="s">
        <v>49</v>
      </c>
      <c r="G1" s="242" t="s">
        <v>650</v>
      </c>
      <c r="H1" s="241" t="s">
        <v>651</v>
      </c>
      <c r="I1" s="241" t="s">
        <v>652</v>
      </c>
      <c r="J1" s="241" t="s">
        <v>653</v>
      </c>
      <c r="K1" s="241" t="s">
        <v>654</v>
      </c>
      <c r="L1" s="241" t="s">
        <v>655</v>
      </c>
      <c r="M1" s="241" t="s">
        <v>656</v>
      </c>
    </row>
    <row r="2" spans="4:13" x14ac:dyDescent="0.3">
      <c r="D2" s="243" t="s">
        <v>657</v>
      </c>
      <c r="E2" s="244">
        <v>154261</v>
      </c>
      <c r="G2" s="176" t="s">
        <v>658</v>
      </c>
      <c r="H2" s="177">
        <v>8194</v>
      </c>
      <c r="I2" s="177">
        <v>4415</v>
      </c>
      <c r="J2" s="178">
        <f t="shared" ref="J2:K5" si="0">(H2-H3)/H3</f>
        <v>2.501876407305479E-2</v>
      </c>
      <c r="K2" s="179">
        <f t="shared" si="0"/>
        <v>1.0991527364323335E-2</v>
      </c>
      <c r="L2" s="183">
        <v>23853.9</v>
      </c>
      <c r="M2" s="187">
        <f>(L2-L3)/L3</f>
        <v>-8.7092798971281499E-2</v>
      </c>
    </row>
    <row r="3" spans="4:13" x14ac:dyDescent="0.3">
      <c r="D3" s="243" t="s">
        <v>659</v>
      </c>
      <c r="E3" s="245">
        <v>623</v>
      </c>
      <c r="G3" s="176" t="s">
        <v>660</v>
      </c>
      <c r="H3" s="177">
        <v>7994</v>
      </c>
      <c r="I3" s="177">
        <v>4367</v>
      </c>
      <c r="J3" s="178">
        <f t="shared" si="0"/>
        <v>0.2438151548156216</v>
      </c>
      <c r="K3" s="179">
        <f t="shared" si="0"/>
        <v>0.60315712187958881</v>
      </c>
      <c r="L3" s="184">
        <v>26129.599999999999</v>
      </c>
      <c r="M3" s="188">
        <f>(L3-L4)/L4</f>
        <v>0.10400540814601988</v>
      </c>
    </row>
    <row r="4" spans="4:13" x14ac:dyDescent="0.3">
      <c r="D4" s="243" t="s">
        <v>661</v>
      </c>
      <c r="E4" s="246" t="s">
        <v>662</v>
      </c>
      <c r="G4" s="176" t="s">
        <v>663</v>
      </c>
      <c r="H4" s="177">
        <v>6427</v>
      </c>
      <c r="I4" s="177">
        <v>2724</v>
      </c>
      <c r="J4" s="178">
        <f t="shared" si="0"/>
        <v>0.12853380158033362</v>
      </c>
      <c r="K4" s="179">
        <f t="shared" si="0"/>
        <v>0.33923303834808261</v>
      </c>
      <c r="L4" s="185">
        <v>23668</v>
      </c>
      <c r="M4" s="188">
        <f>(L4-L5)/L5</f>
        <v>8.9365932690183295E-2</v>
      </c>
    </row>
    <row r="5" spans="4:13" x14ac:dyDescent="0.3">
      <c r="D5" s="243" t="s">
        <v>664</v>
      </c>
      <c r="E5" s="247">
        <f>'Relative Valuation'!J5</f>
        <v>34.05833333333333</v>
      </c>
      <c r="G5" s="176" t="s">
        <v>665</v>
      </c>
      <c r="H5" s="177">
        <v>5695</v>
      </c>
      <c r="I5" s="177">
        <v>2034</v>
      </c>
      <c r="J5" s="178">
        <f t="shared" si="0"/>
        <v>-3.8481721182438344E-3</v>
      </c>
      <c r="K5" s="179">
        <f t="shared" si="0"/>
        <v>0.35599999999999998</v>
      </c>
      <c r="L5" s="185">
        <v>21726.400000000001</v>
      </c>
      <c r="M5" s="188">
        <f>(L5-L6)/L6</f>
        <v>0.20000220929783005</v>
      </c>
    </row>
    <row r="6" spans="4:13" x14ac:dyDescent="0.3">
      <c r="D6" s="243" t="s">
        <v>666</v>
      </c>
      <c r="E6" s="248">
        <v>184</v>
      </c>
      <c r="G6" s="176" t="s">
        <v>667</v>
      </c>
      <c r="H6" s="177">
        <v>5717</v>
      </c>
      <c r="I6" s="177">
        <v>1500</v>
      </c>
      <c r="J6" s="178"/>
      <c r="K6" s="179"/>
      <c r="L6" s="186">
        <v>18105.3</v>
      </c>
      <c r="M6" s="188"/>
    </row>
    <row r="7" spans="4:13" x14ac:dyDescent="0.3">
      <c r="D7" s="243" t="s">
        <v>668</v>
      </c>
      <c r="E7" s="249">
        <v>9.7999999999999997E-3</v>
      </c>
    </row>
    <row r="8" spans="4:13" x14ac:dyDescent="0.3">
      <c r="D8" s="243" t="s">
        <v>669</v>
      </c>
      <c r="E8" s="249">
        <v>6.3399999999999998E-2</v>
      </c>
    </row>
    <row r="9" spans="4:13" x14ac:dyDescent="0.3">
      <c r="D9" s="243" t="s">
        <v>670</v>
      </c>
      <c r="E9" s="249">
        <v>9.6199999999999994E-2</v>
      </c>
    </row>
    <row r="10" spans="4:13" x14ac:dyDescent="0.3">
      <c r="D10" s="243" t="s">
        <v>671</v>
      </c>
      <c r="E10" s="250">
        <v>2</v>
      </c>
    </row>
    <row r="12" spans="4:13" ht="30" customHeight="1" x14ac:dyDescent="0.3">
      <c r="D12" s="251" t="s">
        <v>672</v>
      </c>
      <c r="E12" s="252"/>
      <c r="F12" s="252"/>
      <c r="G12" s="252"/>
      <c r="H12" s="252"/>
      <c r="I12" s="252"/>
      <c r="J12" s="252"/>
      <c r="K12" s="252"/>
      <c r="L12" s="252"/>
      <c r="M12" s="252"/>
    </row>
    <row r="13" spans="4:13" ht="19.95" customHeight="1" x14ac:dyDescent="0.3">
      <c r="D13" s="253" t="s">
        <v>673</v>
      </c>
      <c r="E13" s="252"/>
      <c r="F13" s="252"/>
      <c r="G13" s="252"/>
      <c r="H13" s="252"/>
      <c r="I13" s="252"/>
      <c r="J13" s="252"/>
      <c r="K13" s="252"/>
      <c r="L13" s="252"/>
      <c r="M13" s="252"/>
    </row>
    <row r="14" spans="4:13" ht="7.95" customHeight="1" x14ac:dyDescent="0.3">
      <c r="D14" s="189"/>
      <c r="E14" s="189"/>
      <c r="F14" s="189"/>
      <c r="G14" s="189"/>
      <c r="H14" s="189"/>
      <c r="I14" s="189"/>
      <c r="J14" s="189"/>
      <c r="K14" s="189"/>
      <c r="L14" s="189"/>
      <c r="M14" s="189"/>
    </row>
    <row r="15" spans="4:13" ht="18" customHeight="1" x14ac:dyDescent="0.3">
      <c r="D15" s="254" t="s">
        <v>674</v>
      </c>
      <c r="E15" s="252"/>
      <c r="F15" s="252"/>
      <c r="G15" s="252"/>
      <c r="H15" s="252"/>
      <c r="I15" s="252"/>
      <c r="J15" s="252"/>
      <c r="K15" s="252"/>
      <c r="L15" s="252"/>
      <c r="M15" s="252"/>
    </row>
    <row r="16" spans="4:13" ht="120" customHeight="1" x14ac:dyDescent="0.3">
      <c r="D16" s="233" t="s">
        <v>675</v>
      </c>
      <c r="E16" s="227"/>
      <c r="F16" s="227"/>
      <c r="G16" s="227"/>
      <c r="H16" s="227"/>
      <c r="I16" s="227"/>
      <c r="J16" s="227"/>
      <c r="K16" s="227"/>
      <c r="L16" s="227"/>
      <c r="M16" s="227"/>
    </row>
    <row r="17" spans="4:13" ht="7.95" customHeight="1" x14ac:dyDescent="0.3">
      <c r="D17" s="189"/>
      <c r="E17" s="189"/>
      <c r="F17" s="189"/>
      <c r="G17" s="189"/>
      <c r="H17" s="189"/>
      <c r="I17" s="189"/>
      <c r="J17" s="189"/>
      <c r="K17" s="189"/>
      <c r="L17" s="189"/>
      <c r="M17" s="189"/>
    </row>
    <row r="18" spans="4:13" ht="18" customHeight="1" x14ac:dyDescent="0.3">
      <c r="D18" s="254" t="s">
        <v>676</v>
      </c>
      <c r="E18" s="252"/>
      <c r="F18" s="252"/>
      <c r="G18" s="252"/>
      <c r="H18" s="252"/>
      <c r="I18" s="252"/>
      <c r="J18" s="252"/>
      <c r="K18" s="252"/>
      <c r="L18" s="252"/>
      <c r="M18" s="252"/>
    </row>
    <row r="19" spans="4:13" ht="15" customHeight="1" x14ac:dyDescent="0.3">
      <c r="D19" s="255" t="s">
        <v>48</v>
      </c>
      <c r="E19" s="255" t="s">
        <v>610</v>
      </c>
      <c r="F19" s="255" t="s">
        <v>611</v>
      </c>
      <c r="G19" s="255" t="s">
        <v>612</v>
      </c>
      <c r="H19" s="255" t="s">
        <v>613</v>
      </c>
      <c r="I19" s="255" t="s">
        <v>677</v>
      </c>
      <c r="J19" s="255"/>
      <c r="K19" s="255"/>
      <c r="L19" s="255"/>
      <c r="M19" s="255"/>
    </row>
    <row r="20" spans="4:13" ht="15" customHeight="1" x14ac:dyDescent="0.3">
      <c r="D20" s="190" t="s">
        <v>678</v>
      </c>
      <c r="E20" s="191">
        <v>5717</v>
      </c>
      <c r="F20" s="191">
        <v>5695</v>
      </c>
      <c r="G20" s="191">
        <v>6427</v>
      </c>
      <c r="H20" s="191">
        <v>7994</v>
      </c>
      <c r="I20" s="191">
        <v>8194</v>
      </c>
      <c r="J20" s="189"/>
      <c r="K20" s="189"/>
      <c r="L20" s="189"/>
      <c r="M20" s="189"/>
    </row>
    <row r="21" spans="4:13" ht="15" customHeight="1" x14ac:dyDescent="0.3">
      <c r="D21" s="192" t="s">
        <v>679</v>
      </c>
      <c r="E21" s="193" t="s">
        <v>680</v>
      </c>
      <c r="F21" s="193" t="s">
        <v>681</v>
      </c>
      <c r="G21" s="193" t="s">
        <v>682</v>
      </c>
      <c r="H21" s="193" t="s">
        <v>683</v>
      </c>
      <c r="I21" s="193" t="s">
        <v>684</v>
      </c>
      <c r="J21" s="189"/>
      <c r="K21" s="189"/>
      <c r="L21" s="189"/>
      <c r="M21" s="189"/>
    </row>
    <row r="22" spans="4:13" ht="15" customHeight="1" x14ac:dyDescent="0.3">
      <c r="D22" s="190" t="s">
        <v>685</v>
      </c>
      <c r="E22" s="191">
        <v>1501</v>
      </c>
      <c r="F22" s="191">
        <v>2036</v>
      </c>
      <c r="G22" s="191">
        <v>2727</v>
      </c>
      <c r="H22" s="191">
        <v>4368</v>
      </c>
      <c r="I22" s="191">
        <v>4415</v>
      </c>
      <c r="J22" s="189"/>
      <c r="K22" s="189"/>
      <c r="L22" s="189"/>
      <c r="M22" s="189"/>
    </row>
    <row r="23" spans="4:13" ht="15" customHeight="1" x14ac:dyDescent="0.3">
      <c r="D23" s="192" t="s">
        <v>686</v>
      </c>
      <c r="E23" s="193" t="s">
        <v>680</v>
      </c>
      <c r="F23" s="193" t="s">
        <v>687</v>
      </c>
      <c r="G23" s="193" t="s">
        <v>688</v>
      </c>
      <c r="H23" s="193" t="s">
        <v>689</v>
      </c>
      <c r="I23" s="193" t="s">
        <v>690</v>
      </c>
      <c r="J23" s="189"/>
      <c r="K23" s="189"/>
      <c r="L23" s="189"/>
      <c r="M23" s="189"/>
    </row>
    <row r="24" spans="4:13" ht="15" customHeight="1" x14ac:dyDescent="0.3">
      <c r="D24" s="190" t="s">
        <v>691</v>
      </c>
      <c r="E24" s="191">
        <v>6</v>
      </c>
      <c r="F24" s="191">
        <v>8</v>
      </c>
      <c r="G24" s="191">
        <v>11</v>
      </c>
      <c r="H24" s="191">
        <v>18</v>
      </c>
      <c r="I24" s="191">
        <v>18</v>
      </c>
      <c r="J24" s="189"/>
      <c r="K24" s="189"/>
      <c r="L24" s="189"/>
      <c r="M24" s="189"/>
    </row>
    <row r="25" spans="4:13" ht="15" customHeight="1" x14ac:dyDescent="0.3">
      <c r="D25" s="192" t="s">
        <v>692</v>
      </c>
      <c r="E25" s="202">
        <v>0.31</v>
      </c>
      <c r="F25" s="202">
        <v>0.33</v>
      </c>
      <c r="G25" s="202">
        <v>0.38</v>
      </c>
      <c r="H25" s="202">
        <v>0.37</v>
      </c>
      <c r="I25" s="193" t="s">
        <v>760</v>
      </c>
      <c r="J25" s="189"/>
      <c r="K25" s="189"/>
      <c r="L25" s="189"/>
      <c r="M25" s="189"/>
    </row>
    <row r="26" spans="4:13" ht="15" customHeight="1" x14ac:dyDescent="0.3">
      <c r="D26" s="190" t="s">
        <v>693</v>
      </c>
      <c r="E26" s="191" t="s">
        <v>680</v>
      </c>
      <c r="F26" s="191" t="s">
        <v>680</v>
      </c>
      <c r="G26" s="191" t="s">
        <v>680</v>
      </c>
      <c r="H26" s="191" t="s">
        <v>694</v>
      </c>
      <c r="I26" s="191" t="s">
        <v>680</v>
      </c>
      <c r="J26" s="189"/>
      <c r="K26" s="189"/>
      <c r="L26" s="189"/>
      <c r="M26" s="189"/>
    </row>
    <row r="27" spans="4:13" ht="15" customHeight="1" x14ac:dyDescent="0.3">
      <c r="D27" s="192" t="s">
        <v>695</v>
      </c>
      <c r="E27" s="193" t="s">
        <v>680</v>
      </c>
      <c r="F27" s="193" t="s">
        <v>680</v>
      </c>
      <c r="G27" s="193" t="s">
        <v>680</v>
      </c>
      <c r="H27" s="193" t="s">
        <v>696</v>
      </c>
      <c r="I27" s="193" t="s">
        <v>680</v>
      </c>
      <c r="J27" s="189"/>
      <c r="K27" s="189"/>
      <c r="L27" s="189"/>
      <c r="M27" s="189"/>
    </row>
    <row r="28" spans="4:13" ht="15" customHeight="1" x14ac:dyDescent="0.3">
      <c r="D28" s="190" t="s">
        <v>697</v>
      </c>
      <c r="E28" s="191">
        <v>495</v>
      </c>
      <c r="F28" s="191">
        <v>743</v>
      </c>
      <c r="G28" s="191">
        <v>990</v>
      </c>
      <c r="H28" s="191">
        <v>1238</v>
      </c>
      <c r="I28" s="191" t="s">
        <v>680</v>
      </c>
      <c r="J28" s="189"/>
      <c r="K28" s="189"/>
      <c r="L28" s="189"/>
      <c r="M28" s="189"/>
    </row>
    <row r="29" spans="4:13" ht="15" customHeight="1" x14ac:dyDescent="0.3">
      <c r="D29" s="192" t="s">
        <v>698</v>
      </c>
      <c r="E29" s="193" t="s">
        <v>699</v>
      </c>
      <c r="F29" s="193" t="s">
        <v>699</v>
      </c>
      <c r="G29" s="193" t="s">
        <v>700</v>
      </c>
      <c r="H29" s="193" t="s">
        <v>699</v>
      </c>
      <c r="I29" s="193" t="s">
        <v>699</v>
      </c>
      <c r="J29" s="189"/>
      <c r="K29" s="189"/>
      <c r="L29" s="189"/>
      <c r="M29" s="189"/>
    </row>
    <row r="30" spans="4:13" ht="12" customHeight="1" x14ac:dyDescent="0.3">
      <c r="D30" s="237"/>
      <c r="E30" s="227"/>
      <c r="F30" s="227"/>
      <c r="G30" s="227"/>
      <c r="H30" s="227"/>
      <c r="I30" s="227"/>
      <c r="J30" s="227"/>
      <c r="K30" s="227"/>
      <c r="L30" s="227"/>
      <c r="M30" s="227"/>
    </row>
    <row r="31" spans="4:13" ht="7.95" customHeight="1" x14ac:dyDescent="0.3">
      <c r="D31" s="189"/>
      <c r="E31" s="189"/>
      <c r="F31" s="189"/>
      <c r="G31" s="189"/>
      <c r="H31" s="189"/>
      <c r="I31" s="189"/>
      <c r="J31" s="189"/>
      <c r="K31" s="189"/>
      <c r="L31" s="189"/>
      <c r="M31" s="189"/>
    </row>
    <row r="32" spans="4:13" ht="18" customHeight="1" x14ac:dyDescent="0.3">
      <c r="D32" s="254" t="s">
        <v>701</v>
      </c>
      <c r="E32" s="252"/>
      <c r="F32" s="252"/>
      <c r="G32" s="252"/>
      <c r="H32" s="252"/>
      <c r="I32" s="252"/>
      <c r="J32" s="252"/>
      <c r="K32" s="252"/>
      <c r="L32" s="252"/>
      <c r="M32" s="252"/>
    </row>
    <row r="33" spans="4:13" ht="15" customHeight="1" x14ac:dyDescent="0.3">
      <c r="D33" s="256" t="s">
        <v>702</v>
      </c>
      <c r="E33" s="256" t="s">
        <v>703</v>
      </c>
      <c r="F33" s="256" t="s">
        <v>704</v>
      </c>
      <c r="G33" s="256" t="s">
        <v>705</v>
      </c>
      <c r="H33" s="256" t="s">
        <v>706</v>
      </c>
      <c r="I33" s="257"/>
      <c r="J33" s="257"/>
      <c r="K33" s="257"/>
      <c r="L33" s="257"/>
      <c r="M33" s="256" t="s">
        <v>707</v>
      </c>
    </row>
    <row r="34" spans="4:13" ht="28.05" customHeight="1" x14ac:dyDescent="0.3">
      <c r="D34" s="194" t="s">
        <v>708</v>
      </c>
      <c r="E34" s="195">
        <v>13</v>
      </c>
      <c r="F34" s="195" t="s">
        <v>709</v>
      </c>
      <c r="G34" s="195" t="s">
        <v>710</v>
      </c>
      <c r="H34" s="195" t="s">
        <v>710</v>
      </c>
      <c r="I34" s="189"/>
      <c r="J34" s="189"/>
      <c r="K34" s="189"/>
      <c r="L34" s="189"/>
      <c r="M34" s="196" t="s">
        <v>711</v>
      </c>
    </row>
    <row r="35" spans="4:13" ht="28.05" customHeight="1" x14ac:dyDescent="0.3">
      <c r="D35" s="197" t="s">
        <v>712</v>
      </c>
      <c r="E35" s="198">
        <v>77</v>
      </c>
      <c r="F35" s="198" t="s">
        <v>713</v>
      </c>
      <c r="G35" s="198" t="s">
        <v>714</v>
      </c>
      <c r="H35" s="198" t="s">
        <v>714</v>
      </c>
      <c r="I35" s="189"/>
      <c r="J35" s="189"/>
      <c r="K35" s="189"/>
      <c r="L35" s="189"/>
      <c r="M35" s="199" t="s">
        <v>715</v>
      </c>
    </row>
    <row r="36" spans="4:13" ht="36" x14ac:dyDescent="0.3">
      <c r="D36" s="194" t="s">
        <v>716</v>
      </c>
      <c r="E36" s="195">
        <v>726</v>
      </c>
      <c r="F36" s="195" t="s">
        <v>717</v>
      </c>
      <c r="G36" s="195" t="s">
        <v>718</v>
      </c>
      <c r="H36" s="195" t="s">
        <v>718</v>
      </c>
      <c r="I36" s="189"/>
      <c r="J36" s="189"/>
      <c r="K36" s="189"/>
      <c r="L36" s="189"/>
      <c r="M36" s="196" t="s">
        <v>719</v>
      </c>
    </row>
    <row r="37" spans="4:13" ht="28.05" customHeight="1" x14ac:dyDescent="0.3">
      <c r="D37" s="197" t="s">
        <v>720</v>
      </c>
      <c r="E37" s="198" t="s">
        <v>721</v>
      </c>
      <c r="F37" s="198" t="s">
        <v>722</v>
      </c>
      <c r="G37" s="198" t="s">
        <v>723</v>
      </c>
      <c r="H37" s="198" t="s">
        <v>723</v>
      </c>
      <c r="I37" s="189"/>
      <c r="J37" s="189"/>
      <c r="K37" s="189"/>
      <c r="L37" s="189"/>
      <c r="M37" s="199" t="s">
        <v>724</v>
      </c>
    </row>
    <row r="38" spans="4:13" ht="28.05" customHeight="1" x14ac:dyDescent="0.3">
      <c r="D38" s="258" t="s">
        <v>725</v>
      </c>
      <c r="E38" s="259" t="s">
        <v>726</v>
      </c>
      <c r="F38" s="259" t="s">
        <v>727</v>
      </c>
      <c r="G38" s="259" t="s">
        <v>728</v>
      </c>
      <c r="H38" s="259" t="s">
        <v>728</v>
      </c>
      <c r="I38" s="189"/>
      <c r="J38" s="189"/>
      <c r="K38" s="189"/>
      <c r="L38" s="189"/>
      <c r="M38" s="260"/>
    </row>
    <row r="39" spans="4:13" ht="12" customHeight="1" x14ac:dyDescent="0.3">
      <c r="D39" s="238"/>
      <c r="E39" s="227"/>
      <c r="F39" s="227"/>
      <c r="G39" s="227"/>
      <c r="H39" s="227"/>
      <c r="I39" s="227"/>
      <c r="J39" s="227"/>
      <c r="K39" s="227"/>
      <c r="L39" s="227"/>
      <c r="M39" s="227"/>
    </row>
    <row r="40" spans="4:13" ht="7.95" customHeight="1" x14ac:dyDescent="0.3">
      <c r="D40" s="189"/>
      <c r="E40" s="189"/>
      <c r="F40" s="189"/>
      <c r="G40" s="189"/>
      <c r="H40" s="189"/>
      <c r="I40" s="189"/>
      <c r="J40" s="189"/>
      <c r="K40" s="189"/>
      <c r="L40" s="189"/>
      <c r="M40" s="189"/>
    </row>
    <row r="41" spans="4:13" ht="18" customHeight="1" x14ac:dyDescent="0.3">
      <c r="D41" s="254" t="s">
        <v>729</v>
      </c>
      <c r="E41" s="252"/>
      <c r="F41" s="252"/>
      <c r="G41" s="252"/>
      <c r="H41" s="252"/>
      <c r="I41" s="252"/>
      <c r="J41" s="252"/>
      <c r="K41" s="252"/>
      <c r="L41" s="252"/>
      <c r="M41" s="252"/>
    </row>
    <row r="42" spans="4:13" ht="15" customHeight="1" x14ac:dyDescent="0.3">
      <c r="D42" s="240" t="s">
        <v>730</v>
      </c>
      <c r="E42" s="227"/>
      <c r="F42" s="227"/>
      <c r="G42" s="227"/>
      <c r="H42" s="235" t="s">
        <v>731</v>
      </c>
      <c r="I42" s="227"/>
      <c r="J42" s="227"/>
      <c r="K42" s="227"/>
      <c r="L42" s="227"/>
      <c r="M42" s="227"/>
    </row>
    <row r="43" spans="4:13" ht="30" customHeight="1" x14ac:dyDescent="0.3">
      <c r="D43" s="232" t="s">
        <v>732</v>
      </c>
      <c r="E43" s="229"/>
      <c r="F43" s="230"/>
      <c r="G43" s="200" t="s">
        <v>733</v>
      </c>
      <c r="H43" s="234" t="s">
        <v>734</v>
      </c>
      <c r="I43" s="229"/>
      <c r="J43" s="229"/>
      <c r="K43" s="229"/>
      <c r="L43" s="229"/>
      <c r="M43" s="230"/>
    </row>
    <row r="44" spans="4:13" ht="30" customHeight="1" x14ac:dyDescent="0.3">
      <c r="D44" s="228" t="s">
        <v>735</v>
      </c>
      <c r="E44" s="229"/>
      <c r="F44" s="230"/>
      <c r="G44" s="201" t="s">
        <v>736</v>
      </c>
      <c r="H44" s="231" t="s">
        <v>737</v>
      </c>
      <c r="I44" s="229"/>
      <c r="J44" s="229"/>
      <c r="K44" s="229"/>
      <c r="L44" s="229"/>
      <c r="M44" s="230"/>
    </row>
    <row r="45" spans="4:13" ht="30" customHeight="1" x14ac:dyDescent="0.3">
      <c r="D45" s="232" t="s">
        <v>738</v>
      </c>
      <c r="E45" s="229"/>
      <c r="F45" s="230"/>
      <c r="G45" s="200" t="s">
        <v>739</v>
      </c>
      <c r="H45" s="234" t="s">
        <v>740</v>
      </c>
      <c r="I45" s="229"/>
      <c r="J45" s="229"/>
      <c r="K45" s="229"/>
      <c r="L45" s="229"/>
      <c r="M45" s="230"/>
    </row>
    <row r="46" spans="4:13" ht="30" customHeight="1" x14ac:dyDescent="0.3">
      <c r="D46" s="228" t="s">
        <v>741</v>
      </c>
      <c r="E46" s="229"/>
      <c r="F46" s="230"/>
      <c r="G46" s="201" t="s">
        <v>742</v>
      </c>
      <c r="H46" s="231" t="s">
        <v>743</v>
      </c>
      <c r="I46" s="229"/>
      <c r="J46" s="229"/>
      <c r="K46" s="229"/>
      <c r="L46" s="229"/>
      <c r="M46" s="230"/>
    </row>
    <row r="47" spans="4:13" ht="30" customHeight="1" x14ac:dyDescent="0.3">
      <c r="D47" s="232" t="s">
        <v>744</v>
      </c>
      <c r="E47" s="229"/>
      <c r="F47" s="230"/>
      <c r="G47" s="200" t="s">
        <v>745</v>
      </c>
      <c r="H47" s="234" t="s">
        <v>746</v>
      </c>
      <c r="I47" s="229"/>
      <c r="J47" s="229"/>
      <c r="K47" s="229"/>
      <c r="L47" s="229"/>
      <c r="M47" s="230"/>
    </row>
    <row r="48" spans="4:13" ht="30" customHeight="1" x14ac:dyDescent="0.3">
      <c r="D48" s="228" t="s">
        <v>668</v>
      </c>
      <c r="E48" s="229"/>
      <c r="F48" s="230"/>
      <c r="G48" s="201" t="s">
        <v>747</v>
      </c>
      <c r="H48" s="231" t="s">
        <v>748</v>
      </c>
      <c r="I48" s="229"/>
      <c r="J48" s="229"/>
      <c r="K48" s="229"/>
      <c r="L48" s="229"/>
      <c r="M48" s="230"/>
    </row>
    <row r="49" spans="4:13" ht="15" customHeight="1" x14ac:dyDescent="0.3">
      <c r="D49" s="232" t="s">
        <v>749</v>
      </c>
      <c r="E49" s="229"/>
      <c r="F49" s="230"/>
      <c r="G49" s="200" t="s">
        <v>750</v>
      </c>
      <c r="H49" s="189"/>
      <c r="I49" s="189"/>
      <c r="J49" s="189"/>
      <c r="K49" s="189"/>
      <c r="L49" s="189"/>
      <c r="M49" s="189"/>
    </row>
    <row r="50" spans="4:13" ht="15" customHeight="1" x14ac:dyDescent="0.3">
      <c r="D50" s="228" t="s">
        <v>751</v>
      </c>
      <c r="E50" s="229"/>
      <c r="F50" s="230"/>
      <c r="G50" s="201" t="s">
        <v>752</v>
      </c>
      <c r="H50" s="189"/>
      <c r="I50" s="189"/>
      <c r="J50" s="189"/>
      <c r="K50" s="189"/>
      <c r="L50" s="189"/>
      <c r="M50" s="189"/>
    </row>
    <row r="51" spans="4:13" ht="15" customHeight="1" x14ac:dyDescent="0.3">
      <c r="D51" s="232" t="s">
        <v>753</v>
      </c>
      <c r="E51" s="229"/>
      <c r="F51" s="230"/>
      <c r="G51" s="200" t="s">
        <v>754</v>
      </c>
      <c r="H51" s="189"/>
      <c r="I51" s="189"/>
      <c r="J51" s="189"/>
      <c r="K51" s="189"/>
      <c r="L51" s="189"/>
      <c r="M51" s="189"/>
    </row>
    <row r="52" spans="4:13" ht="15" customHeight="1" x14ac:dyDescent="0.3">
      <c r="D52" s="228" t="s">
        <v>755</v>
      </c>
      <c r="E52" s="229"/>
      <c r="F52" s="230"/>
      <c r="G52" s="201" t="s">
        <v>756</v>
      </c>
      <c r="H52" s="189"/>
      <c r="I52" s="189"/>
      <c r="J52" s="189"/>
      <c r="K52" s="189"/>
      <c r="L52" s="189"/>
      <c r="M52" s="189"/>
    </row>
    <row r="53" spans="4:13" ht="7.95" customHeight="1" x14ac:dyDescent="0.3">
      <c r="D53" s="189"/>
      <c r="E53" s="189"/>
      <c r="F53" s="189"/>
      <c r="G53" s="189"/>
      <c r="H53" s="189"/>
      <c r="I53" s="189"/>
      <c r="J53" s="189"/>
      <c r="K53" s="189"/>
      <c r="L53" s="189"/>
      <c r="M53" s="189"/>
    </row>
    <row r="54" spans="4:13" ht="22.05" customHeight="1" x14ac:dyDescent="0.3">
      <c r="D54" s="261" t="s">
        <v>761</v>
      </c>
      <c r="E54" s="252"/>
      <c r="F54" s="252"/>
      <c r="G54" s="252"/>
      <c r="H54" s="252"/>
      <c r="I54" s="252"/>
      <c r="J54" s="252"/>
      <c r="K54" s="252"/>
      <c r="L54" s="252"/>
      <c r="M54" s="252"/>
    </row>
    <row r="55" spans="4:13" x14ac:dyDescent="0.3">
      <c r="D55" s="239" t="s">
        <v>757</v>
      </c>
      <c r="E55" s="227"/>
      <c r="F55" s="227"/>
      <c r="G55" s="227"/>
      <c r="H55" s="227"/>
      <c r="I55" s="227"/>
      <c r="J55" s="227"/>
      <c r="K55" s="227"/>
      <c r="L55" s="227"/>
      <c r="M55" s="227"/>
    </row>
    <row r="56" spans="4:13" ht="18" customHeight="1" x14ac:dyDescent="0.3">
      <c r="D56" s="262" t="s">
        <v>758</v>
      </c>
      <c r="E56" s="263"/>
      <c r="F56" s="263"/>
      <c r="G56" s="263"/>
      <c r="H56" s="263"/>
      <c r="I56" s="263"/>
      <c r="J56" s="263"/>
      <c r="K56" s="263"/>
      <c r="L56" s="263"/>
      <c r="M56" s="263"/>
    </row>
    <row r="57" spans="4:13" ht="142.80000000000001" customHeight="1" x14ac:dyDescent="0.3">
      <c r="D57" s="236" t="s">
        <v>759</v>
      </c>
      <c r="E57" s="204"/>
      <c r="F57" s="204"/>
      <c r="G57" s="204"/>
      <c r="H57" s="204"/>
      <c r="I57" s="204"/>
      <c r="J57" s="204"/>
      <c r="K57" s="204"/>
      <c r="L57" s="204"/>
      <c r="M57" s="204"/>
    </row>
    <row r="58" spans="4:13" ht="15" customHeight="1" x14ac:dyDescent="0.3">
      <c r="D58" s="264"/>
      <c r="E58" s="263"/>
      <c r="F58" s="263"/>
      <c r="G58" s="263"/>
      <c r="H58" s="263"/>
      <c r="I58" s="263"/>
      <c r="J58" s="263"/>
      <c r="K58" s="263"/>
      <c r="L58" s="263"/>
      <c r="M58" s="263"/>
    </row>
  </sheetData>
  <mergeCells count="32">
    <mergeCell ref="D12:M12"/>
    <mergeCell ref="D18:M18"/>
    <mergeCell ref="D57:M57"/>
    <mergeCell ref="D30:M30"/>
    <mergeCell ref="D39:M39"/>
    <mergeCell ref="D48:F48"/>
    <mergeCell ref="D15:M15"/>
    <mergeCell ref="D55:M55"/>
    <mergeCell ref="D42:G42"/>
    <mergeCell ref="D47:F47"/>
    <mergeCell ref="D43:F43"/>
    <mergeCell ref="H45:M45"/>
    <mergeCell ref="D54:M54"/>
    <mergeCell ref="D13:M13"/>
    <mergeCell ref="D41:M41"/>
    <mergeCell ref="D58:M58"/>
    <mergeCell ref="H47:M47"/>
    <mergeCell ref="H48:M48"/>
    <mergeCell ref="D51:F51"/>
    <mergeCell ref="H42:M42"/>
    <mergeCell ref="D50:F50"/>
    <mergeCell ref="D44:F44"/>
    <mergeCell ref="D56:M56"/>
    <mergeCell ref="H43:M43"/>
    <mergeCell ref="D52:F52"/>
    <mergeCell ref="D49:F49"/>
    <mergeCell ref="H46:M46"/>
    <mergeCell ref="D32:M32"/>
    <mergeCell ref="D46:F46"/>
    <mergeCell ref="H44:M44"/>
    <mergeCell ref="D45:F45"/>
    <mergeCell ref="D16:M1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vt:i4>
      </vt:variant>
    </vt:vector>
  </HeadingPairs>
  <TitlesOfParts>
    <vt:vector size="20" baseType="lpstr">
      <vt:lpstr>About the Company</vt:lpstr>
      <vt:lpstr>Promoter</vt:lpstr>
      <vt:lpstr>Public</vt:lpstr>
      <vt:lpstr>Consolidated P&amp;L</vt:lpstr>
      <vt:lpstr>Consolidated Balance Sheet</vt:lpstr>
      <vt:lpstr>Cash flow Statement</vt:lpstr>
      <vt:lpstr>Beta</vt:lpstr>
      <vt:lpstr>Wacc</vt:lpstr>
      <vt:lpstr>Assumptions</vt:lpstr>
      <vt:lpstr>Ratio Analysis</vt:lpstr>
      <vt:lpstr>FCFF</vt:lpstr>
      <vt:lpstr>Change in working capital</vt:lpstr>
      <vt:lpstr>Fixed Asset Scheduled</vt:lpstr>
      <vt:lpstr>Forecasting </vt:lpstr>
      <vt:lpstr>Growth Scenario</vt:lpstr>
      <vt:lpstr>DCF Valuation</vt:lpstr>
      <vt:lpstr>Relative Valuation</vt:lpstr>
      <vt:lpstr>Gordon growth model</vt:lpstr>
      <vt:lpstr>Stock Analysis</vt:lpstr>
      <vt:lpstr>'About the Company'!Print_Area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PRATHAM KUSHWAHA</dc:creator>
  <cp:lastModifiedBy>PRATHAM KUSHWAHA</cp:lastModifiedBy>
  <cp:revision>0</cp:revision>
  <dcterms:created xsi:type="dcterms:W3CDTF">2026-06-11T10:20:00Z</dcterms:created>
  <dcterms:modified xsi:type="dcterms:W3CDTF">2026-06-29T07:13:18Z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7D940BE7188C49DCAFCC45F41783CA04_12</vt:lpwstr>
  </property>
  <property fmtid="{D5CDD505-2E9C-101B-9397-08002B2CF9AE}" pid="4" name="KSOProductBuildVer">
    <vt:lpwstr>1033-12.1.0.26880</vt:lpwstr>
  </property>
</Properties>
</file>