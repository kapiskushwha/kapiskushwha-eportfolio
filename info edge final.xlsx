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PRATHAM\Downloads\CSA ADVISOR\"/>
    </mc:Choice>
  </mc:AlternateContent>
  <xr:revisionPtr revIDLastSave="0" documentId="13_ncr:1_{B3FED538-410F-496F-802D-5C53F10795FD}" xr6:coauthVersionLast="47" xr6:coauthVersionMax="47" xr10:uidLastSave="{00000000-0000-0000-0000-000000000000}"/>
  <bookViews>
    <workbookView xWindow="-108" yWindow="-108" windowWidth="23256" windowHeight="12456" tabRatio="500" xr2:uid="{00000000-000D-0000-FFFF-FFFF00000000}"/>
  </bookViews>
  <sheets>
    <sheet name="About the Company" sheetId="1" r:id="rId1"/>
    <sheet name="Promoter" sheetId="2" r:id="rId2"/>
    <sheet name="Public" sheetId="3" r:id="rId3"/>
    <sheet name="consolidated balance sheet" sheetId="4" r:id="rId4"/>
    <sheet name="consolidated P&amp;l " sheetId="5" r:id="rId5"/>
    <sheet name="Consolidated Quarterly Results" sheetId="6" r:id="rId6"/>
    <sheet name="cash flow statement " sheetId="7" r:id="rId7"/>
    <sheet name="Ratio Analysis" sheetId="8" r:id="rId8"/>
    <sheet name="FCFF" sheetId="9" r:id="rId9"/>
    <sheet name="Fixed Asset scheduled" sheetId="10" r:id="rId10"/>
    <sheet name="Change in working capital" sheetId="11" r:id="rId11"/>
    <sheet name="Assumptions" sheetId="12" r:id="rId12"/>
    <sheet name="Wacc" sheetId="13" r:id="rId13"/>
    <sheet name="Beta" sheetId="14" r:id="rId14"/>
    <sheet name="FORECASTING" sheetId="15" r:id="rId15"/>
    <sheet name="Relative valuation" sheetId="16" r:id="rId16"/>
    <sheet name="Growth scenario" sheetId="17" r:id="rId17"/>
    <sheet name="DCF Valuation" sheetId="18" r:id="rId18"/>
    <sheet name="Gordon Growth Model" sheetId="19" r:id="rId19"/>
  </sheets>
  <calcPr calcId="181029" iterateDelta="1E-4"/>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5" i="19" l="1"/>
  <c r="E45" i="19"/>
  <c r="D45" i="19"/>
  <c r="C45" i="19"/>
  <c r="B45" i="19"/>
  <c r="A45" i="19"/>
  <c r="F44" i="19"/>
  <c r="E44" i="19"/>
  <c r="D44" i="19"/>
  <c r="C44" i="19"/>
  <c r="B44" i="19"/>
  <c r="A44" i="19"/>
  <c r="F43" i="19"/>
  <c r="E43" i="19"/>
  <c r="D43" i="19"/>
  <c r="C43" i="19"/>
  <c r="B43" i="19"/>
  <c r="A43" i="19"/>
  <c r="F42" i="19"/>
  <c r="E42" i="19"/>
  <c r="D42" i="19"/>
  <c r="C42" i="19"/>
  <c r="B42" i="19"/>
  <c r="A42" i="19"/>
  <c r="F41" i="19"/>
  <c r="E41" i="19"/>
  <c r="D41" i="19"/>
  <c r="C41" i="19"/>
  <c r="B41" i="19"/>
  <c r="A41" i="19"/>
  <c r="F40" i="19"/>
  <c r="E40" i="19"/>
  <c r="D40" i="19"/>
  <c r="C40" i="19"/>
  <c r="B40" i="19"/>
  <c r="C37" i="19"/>
  <c r="B37" i="19"/>
  <c r="B36" i="19"/>
  <c r="B35" i="19"/>
  <c r="B31" i="19"/>
  <c r="B30" i="19"/>
  <c r="C27" i="19"/>
  <c r="B27" i="19"/>
  <c r="B26" i="19"/>
  <c r="B25" i="19"/>
  <c r="B22" i="19"/>
  <c r="B21" i="19"/>
  <c r="B20" i="19"/>
  <c r="B19" i="19"/>
  <c r="B16" i="19"/>
  <c r="B14" i="19"/>
  <c r="B13" i="19"/>
  <c r="B12" i="19"/>
  <c r="E11" i="19"/>
  <c r="D11" i="19"/>
  <c r="C11" i="19"/>
  <c r="E8" i="19"/>
  <c r="D8" i="19"/>
  <c r="C8" i="19"/>
  <c r="B8" i="19"/>
  <c r="E7" i="19"/>
  <c r="D7" i="19"/>
  <c r="C7" i="19"/>
  <c r="B7" i="19"/>
  <c r="E6" i="19"/>
  <c r="D6" i="19"/>
  <c r="C6" i="19"/>
  <c r="B6" i="19"/>
  <c r="C30" i="18"/>
  <c r="H29" i="18"/>
  <c r="C29" i="18"/>
  <c r="H28" i="18"/>
  <c r="H27" i="18"/>
  <c r="C27" i="18"/>
  <c r="H26" i="18"/>
  <c r="C26" i="18"/>
  <c r="H25" i="18"/>
  <c r="C25" i="18"/>
  <c r="M24" i="18"/>
  <c r="L24" i="18"/>
  <c r="K24" i="18"/>
  <c r="J24" i="18"/>
  <c r="I24" i="18"/>
  <c r="H24" i="18"/>
  <c r="C24" i="18"/>
  <c r="C23" i="18"/>
  <c r="C21" i="18"/>
  <c r="C20" i="18"/>
  <c r="L18" i="18"/>
  <c r="K18" i="18"/>
  <c r="J18" i="18"/>
  <c r="I18" i="18"/>
  <c r="H18" i="18"/>
  <c r="G18" i="18"/>
  <c r="F18" i="18"/>
  <c r="E18" i="18"/>
  <c r="D18" i="18"/>
  <c r="C18" i="18"/>
  <c r="L16" i="18"/>
  <c r="N14" i="18"/>
  <c r="L14" i="18"/>
  <c r="K14" i="18"/>
  <c r="J14" i="18"/>
  <c r="I14" i="18"/>
  <c r="H14" i="18"/>
  <c r="G14" i="18"/>
  <c r="F14" i="18"/>
  <c r="E14" i="18"/>
  <c r="D14" i="18"/>
  <c r="C14" i="18"/>
  <c r="N13" i="18"/>
  <c r="L13" i="18"/>
  <c r="K13" i="18"/>
  <c r="J13" i="18"/>
  <c r="I13" i="18"/>
  <c r="H13" i="18"/>
  <c r="G13" i="18"/>
  <c r="F13" i="18"/>
  <c r="E13" i="18"/>
  <c r="D13" i="18"/>
  <c r="C13" i="18"/>
  <c r="N12" i="18"/>
  <c r="L12" i="18"/>
  <c r="K12" i="18"/>
  <c r="J12" i="18"/>
  <c r="I12" i="18"/>
  <c r="H12" i="18"/>
  <c r="G12" i="18"/>
  <c r="F12" i="18"/>
  <c r="E12" i="18"/>
  <c r="D12" i="18"/>
  <c r="C12" i="18"/>
  <c r="L11" i="18"/>
  <c r="K11" i="18"/>
  <c r="J11" i="18"/>
  <c r="I11" i="18"/>
  <c r="H11" i="18"/>
  <c r="G11" i="18"/>
  <c r="F11" i="18"/>
  <c r="E11" i="18"/>
  <c r="D11" i="18"/>
  <c r="C11" i="18"/>
  <c r="L10" i="18"/>
  <c r="K10" i="18"/>
  <c r="J10" i="18"/>
  <c r="I10" i="18"/>
  <c r="H10" i="18"/>
  <c r="G10" i="18"/>
  <c r="F10" i="18"/>
  <c r="E10" i="18"/>
  <c r="D10" i="18"/>
  <c r="C10" i="18"/>
  <c r="B10" i="18"/>
  <c r="L9" i="18"/>
  <c r="K9" i="18"/>
  <c r="J9" i="18"/>
  <c r="I9" i="18"/>
  <c r="H9" i="18"/>
  <c r="G9" i="18"/>
  <c r="F9" i="18"/>
  <c r="E9" i="18"/>
  <c r="D9" i="18"/>
  <c r="C9" i="18"/>
  <c r="N8" i="18"/>
  <c r="L8" i="18"/>
  <c r="K8" i="18"/>
  <c r="J8" i="18"/>
  <c r="I8" i="18"/>
  <c r="H8" i="18"/>
  <c r="G8" i="18"/>
  <c r="F8" i="18"/>
  <c r="E8" i="18"/>
  <c r="D8" i="18"/>
  <c r="C8" i="18"/>
  <c r="N7" i="18"/>
  <c r="L7" i="18"/>
  <c r="K7" i="18"/>
  <c r="J7" i="18"/>
  <c r="I7" i="18"/>
  <c r="H7" i="18"/>
  <c r="G7" i="18"/>
  <c r="F7" i="18"/>
  <c r="E7" i="18"/>
  <c r="D7" i="18"/>
  <c r="C7" i="18"/>
  <c r="N6" i="18"/>
  <c r="L6" i="18"/>
  <c r="K6" i="18"/>
  <c r="J6" i="18"/>
  <c r="I6" i="18"/>
  <c r="H6" i="18"/>
  <c r="G6" i="18"/>
  <c r="F6" i="18"/>
  <c r="E6" i="18"/>
  <c r="D6" i="18"/>
  <c r="C6" i="18"/>
  <c r="N5" i="18"/>
  <c r="L5" i="18"/>
  <c r="K5" i="18"/>
  <c r="J5" i="18"/>
  <c r="I5" i="18"/>
  <c r="H5" i="18"/>
  <c r="G5" i="18"/>
  <c r="F5" i="18"/>
  <c r="E5" i="18"/>
  <c r="D5" i="18"/>
  <c r="C5" i="18"/>
  <c r="Q4" i="18"/>
  <c r="N4" i="18"/>
  <c r="L4" i="18"/>
  <c r="K4" i="18"/>
  <c r="J4" i="18"/>
  <c r="I4" i="18"/>
  <c r="H4" i="18"/>
  <c r="G4" i="18"/>
  <c r="F4" i="18"/>
  <c r="E4" i="18"/>
  <c r="D4" i="18"/>
  <c r="C4" i="18"/>
  <c r="Q3" i="18"/>
  <c r="N3" i="18"/>
  <c r="L3" i="18"/>
  <c r="K3" i="18"/>
  <c r="J3" i="18"/>
  <c r="I3" i="18"/>
  <c r="H3" i="18"/>
  <c r="G3" i="18"/>
  <c r="F3" i="18"/>
  <c r="E3" i="18"/>
  <c r="D3" i="18"/>
  <c r="C3" i="18"/>
  <c r="B3" i="18"/>
  <c r="L19" i="17"/>
  <c r="K19" i="17"/>
  <c r="J19" i="17"/>
  <c r="I19" i="17"/>
  <c r="H19" i="17"/>
  <c r="G19" i="17"/>
  <c r="F19" i="17"/>
  <c r="E19" i="17"/>
  <c r="D19" i="17"/>
  <c r="C19" i="17"/>
  <c r="L18" i="17"/>
  <c r="K18" i="17"/>
  <c r="J18" i="17"/>
  <c r="I18" i="17"/>
  <c r="H18" i="17"/>
  <c r="G18" i="17"/>
  <c r="F18" i="17"/>
  <c r="E18" i="17"/>
  <c r="D18" i="17"/>
  <c r="C18" i="17"/>
  <c r="B18" i="17"/>
  <c r="L14" i="17"/>
  <c r="K14" i="17"/>
  <c r="J14" i="17"/>
  <c r="I14" i="17"/>
  <c r="H14" i="17"/>
  <c r="G14" i="17"/>
  <c r="F14" i="17"/>
  <c r="E14" i="17"/>
  <c r="D14" i="17"/>
  <c r="C14" i="17"/>
  <c r="P13" i="17"/>
  <c r="O13" i="17"/>
  <c r="N13" i="17"/>
  <c r="L13" i="17"/>
  <c r="K13" i="17"/>
  <c r="J13" i="17"/>
  <c r="I13" i="17"/>
  <c r="H13" i="17"/>
  <c r="G13" i="17"/>
  <c r="F13" i="17"/>
  <c r="E13" i="17"/>
  <c r="D13" i="17"/>
  <c r="C13" i="17"/>
  <c r="B13" i="17"/>
  <c r="N12" i="17"/>
  <c r="L9" i="17"/>
  <c r="K9" i="17"/>
  <c r="J9" i="17"/>
  <c r="I9" i="17"/>
  <c r="H9" i="17"/>
  <c r="G9" i="17"/>
  <c r="F9" i="17"/>
  <c r="E9" i="17"/>
  <c r="D9" i="17"/>
  <c r="C9" i="17"/>
  <c r="P8" i="17"/>
  <c r="O8" i="17"/>
  <c r="N8" i="17"/>
  <c r="L8" i="17"/>
  <c r="K8" i="17"/>
  <c r="J8" i="17"/>
  <c r="I8" i="17"/>
  <c r="H8" i="17"/>
  <c r="G8" i="17"/>
  <c r="F8" i="17"/>
  <c r="E8" i="17"/>
  <c r="D8" i="17"/>
  <c r="C8" i="17"/>
  <c r="B8" i="17"/>
  <c r="N7" i="17"/>
  <c r="P4" i="17"/>
  <c r="O4" i="17"/>
  <c r="N4" i="17"/>
  <c r="L4" i="17"/>
  <c r="K4" i="17"/>
  <c r="J4" i="17"/>
  <c r="I4" i="17"/>
  <c r="H4" i="17"/>
  <c r="G4" i="17"/>
  <c r="F4" i="17"/>
  <c r="E4" i="17"/>
  <c r="D4" i="17"/>
  <c r="C4" i="17"/>
  <c r="M3" i="17"/>
  <c r="L3" i="17"/>
  <c r="K3" i="17"/>
  <c r="J3" i="17"/>
  <c r="I3" i="17"/>
  <c r="H3" i="17"/>
  <c r="G3" i="17"/>
  <c r="F3" i="17"/>
  <c r="E3" i="17"/>
  <c r="D3" i="17"/>
  <c r="C3" i="17"/>
  <c r="B3" i="17"/>
  <c r="Q34" i="16"/>
  <c r="P34" i="16"/>
  <c r="O34" i="16"/>
  <c r="Q32" i="16"/>
  <c r="P32" i="16"/>
  <c r="O32" i="16"/>
  <c r="Q31" i="16"/>
  <c r="P31" i="16"/>
  <c r="O31" i="16"/>
  <c r="Q30" i="16"/>
  <c r="P30" i="16"/>
  <c r="O30" i="16"/>
  <c r="Q29" i="16"/>
  <c r="P29" i="16"/>
  <c r="O29" i="16"/>
  <c r="Q25" i="16"/>
  <c r="P25" i="16"/>
  <c r="O25" i="16"/>
  <c r="Q24" i="16"/>
  <c r="P24" i="16"/>
  <c r="O24" i="16"/>
  <c r="Q23" i="16"/>
  <c r="P23" i="16"/>
  <c r="O23" i="16"/>
  <c r="Q22" i="16"/>
  <c r="P22" i="16"/>
  <c r="O22" i="16"/>
  <c r="Q21" i="16"/>
  <c r="P21" i="16"/>
  <c r="O21" i="16"/>
  <c r="Q20" i="16"/>
  <c r="P20" i="16"/>
  <c r="O20" i="16"/>
  <c r="M17" i="16"/>
  <c r="L17" i="16"/>
  <c r="K17" i="16"/>
  <c r="J17" i="16"/>
  <c r="I17" i="16"/>
  <c r="H17" i="16"/>
  <c r="G17" i="16"/>
  <c r="F17" i="16"/>
  <c r="E17" i="16"/>
  <c r="D17" i="16"/>
  <c r="C17" i="16"/>
  <c r="B17" i="16"/>
  <c r="M16" i="16"/>
  <c r="L16" i="16"/>
  <c r="K16" i="16"/>
  <c r="J16" i="16"/>
  <c r="I16" i="16"/>
  <c r="H16" i="16"/>
  <c r="G16" i="16"/>
  <c r="F16" i="16"/>
  <c r="E16" i="16"/>
  <c r="D16" i="16"/>
  <c r="C16" i="16"/>
  <c r="B16" i="16"/>
  <c r="M15" i="16"/>
  <c r="L15" i="16"/>
  <c r="K15" i="16"/>
  <c r="J15" i="16"/>
  <c r="I15" i="16"/>
  <c r="H15" i="16"/>
  <c r="G15" i="16"/>
  <c r="F15" i="16"/>
  <c r="E15" i="16"/>
  <c r="D15" i="16"/>
  <c r="C15" i="16"/>
  <c r="B15" i="16"/>
  <c r="M11" i="16"/>
  <c r="L11" i="16"/>
  <c r="K11" i="16"/>
  <c r="J11" i="16"/>
  <c r="I11" i="16"/>
  <c r="H11" i="16"/>
  <c r="G11" i="16"/>
  <c r="F11" i="16"/>
  <c r="E11" i="16"/>
  <c r="D11" i="16"/>
  <c r="C11" i="16"/>
  <c r="B11" i="16"/>
  <c r="M10" i="16"/>
  <c r="L10" i="16"/>
  <c r="K10" i="16"/>
  <c r="J10" i="16"/>
  <c r="I10" i="16"/>
  <c r="H10" i="16"/>
  <c r="G10" i="16"/>
  <c r="F10" i="16"/>
  <c r="E10" i="16"/>
  <c r="D10" i="16"/>
  <c r="C10" i="16"/>
  <c r="B10" i="16"/>
  <c r="M9" i="16"/>
  <c r="L9" i="16"/>
  <c r="K9" i="16"/>
  <c r="J9" i="16"/>
  <c r="H9" i="16"/>
  <c r="C9" i="16"/>
  <c r="M8" i="16"/>
  <c r="L8" i="16"/>
  <c r="K8" i="16"/>
  <c r="J8" i="16"/>
  <c r="C8" i="16"/>
  <c r="M7" i="16"/>
  <c r="L7" i="16"/>
  <c r="K7" i="16"/>
  <c r="J7" i="16"/>
  <c r="H7" i="16"/>
  <c r="C7" i="16"/>
  <c r="M6" i="16"/>
  <c r="L6" i="16"/>
  <c r="K6" i="16"/>
  <c r="J6" i="16"/>
  <c r="H6" i="16"/>
  <c r="C6" i="16"/>
  <c r="M5" i="16"/>
  <c r="L5" i="16"/>
  <c r="K5" i="16"/>
  <c r="J5" i="16"/>
  <c r="I5" i="16"/>
  <c r="H5" i="16"/>
  <c r="G5" i="16"/>
  <c r="F5" i="16"/>
  <c r="E5" i="16"/>
  <c r="D5" i="16"/>
  <c r="C5" i="16"/>
  <c r="Q14" i="15"/>
  <c r="P14" i="15"/>
  <c r="O14" i="15"/>
  <c r="N14" i="15"/>
  <c r="L14" i="15"/>
  <c r="K14" i="15"/>
  <c r="J14" i="15"/>
  <c r="I14" i="15"/>
  <c r="G14" i="15"/>
  <c r="F14" i="15"/>
  <c r="E14" i="15"/>
  <c r="D14" i="15"/>
  <c r="Q13" i="15"/>
  <c r="P13" i="15"/>
  <c r="O13" i="15"/>
  <c r="N13" i="15"/>
  <c r="L13" i="15"/>
  <c r="K13" i="15"/>
  <c r="J13" i="15"/>
  <c r="I13" i="15"/>
  <c r="G13" i="15"/>
  <c r="F13" i="15"/>
  <c r="E13" i="15"/>
  <c r="D13" i="15"/>
  <c r="Q12" i="15"/>
  <c r="P12" i="15"/>
  <c r="O12" i="15"/>
  <c r="N12" i="15"/>
  <c r="L12" i="15"/>
  <c r="K12" i="15"/>
  <c r="J12" i="15"/>
  <c r="I12" i="15"/>
  <c r="G12" i="15"/>
  <c r="F12" i="15"/>
  <c r="E12" i="15"/>
  <c r="D12" i="15"/>
  <c r="Q11" i="15"/>
  <c r="P11" i="15"/>
  <c r="O11" i="15"/>
  <c r="N11" i="15"/>
  <c r="L11" i="15"/>
  <c r="K11" i="15"/>
  <c r="J11" i="15"/>
  <c r="I11" i="15"/>
  <c r="G11" i="15"/>
  <c r="F11" i="15"/>
  <c r="E11" i="15"/>
  <c r="D11" i="15"/>
  <c r="Q10" i="15"/>
  <c r="P10" i="15"/>
  <c r="O10" i="15"/>
  <c r="N10" i="15"/>
  <c r="L10" i="15"/>
  <c r="K10" i="15"/>
  <c r="J10" i="15"/>
  <c r="I10" i="15"/>
  <c r="G10" i="15"/>
  <c r="F10" i="15"/>
  <c r="E10" i="15"/>
  <c r="D10" i="15"/>
  <c r="Q9" i="15"/>
  <c r="P9" i="15"/>
  <c r="O9" i="15"/>
  <c r="N9" i="15"/>
  <c r="L9" i="15"/>
  <c r="K9" i="15"/>
  <c r="J9" i="15"/>
  <c r="I9" i="15"/>
  <c r="G9" i="15"/>
  <c r="F9" i="15"/>
  <c r="E9" i="15"/>
  <c r="D9" i="15"/>
  <c r="Q8" i="15"/>
  <c r="P8" i="15"/>
  <c r="O8" i="15"/>
  <c r="N8" i="15"/>
  <c r="L8" i="15"/>
  <c r="K8" i="15"/>
  <c r="J8" i="15"/>
  <c r="I8" i="15"/>
  <c r="G8" i="15"/>
  <c r="F8" i="15"/>
  <c r="E8" i="15"/>
  <c r="D8" i="15"/>
  <c r="Q7" i="15"/>
  <c r="P7" i="15"/>
  <c r="O7" i="15"/>
  <c r="N7" i="15"/>
  <c r="L7" i="15"/>
  <c r="K7" i="15"/>
  <c r="J7" i="15"/>
  <c r="I7" i="15"/>
  <c r="G7" i="15"/>
  <c r="F7" i="15"/>
  <c r="E7" i="15"/>
  <c r="D7" i="15"/>
  <c r="Q6" i="15"/>
  <c r="P6" i="15"/>
  <c r="O6" i="15"/>
  <c r="N6" i="15"/>
  <c r="L6" i="15"/>
  <c r="K6" i="15"/>
  <c r="J6" i="15"/>
  <c r="I6" i="15"/>
  <c r="G6" i="15"/>
  <c r="F6" i="15"/>
  <c r="E6" i="15"/>
  <c r="D6" i="15"/>
  <c r="P5" i="15"/>
  <c r="O5" i="15"/>
  <c r="K5" i="15"/>
  <c r="J5" i="15"/>
  <c r="F5" i="15"/>
  <c r="E5" i="15"/>
  <c r="E1524" i="14"/>
  <c r="D1524" i="14"/>
  <c r="E1523" i="14"/>
  <c r="D1523" i="14"/>
  <c r="E1522" i="14"/>
  <c r="D1522" i="14"/>
  <c r="E1521" i="14"/>
  <c r="D1521" i="14"/>
  <c r="E1520" i="14"/>
  <c r="D1520" i="14"/>
  <c r="E1519" i="14"/>
  <c r="D1519" i="14"/>
  <c r="E1518" i="14"/>
  <c r="D1518" i="14"/>
  <c r="E1517" i="14"/>
  <c r="D1517" i="14"/>
  <c r="E1516" i="14"/>
  <c r="D1516" i="14"/>
  <c r="E1515" i="14"/>
  <c r="D1515" i="14"/>
  <c r="E1514" i="14"/>
  <c r="D1514" i="14"/>
  <c r="E1513" i="14"/>
  <c r="D1513" i="14"/>
  <c r="E1512" i="14"/>
  <c r="D1512" i="14"/>
  <c r="E1511" i="14"/>
  <c r="D1511" i="14"/>
  <c r="E1510" i="14"/>
  <c r="D1510" i="14"/>
  <c r="E1509" i="14"/>
  <c r="D1509" i="14"/>
  <c r="E1508" i="14"/>
  <c r="D1508" i="14"/>
  <c r="E1507" i="14"/>
  <c r="D1507" i="14"/>
  <c r="E1506" i="14"/>
  <c r="D1506" i="14"/>
  <c r="E1505" i="14"/>
  <c r="D1505" i="14"/>
  <c r="E1504" i="14"/>
  <c r="D1504" i="14"/>
  <c r="E1503" i="14"/>
  <c r="D1503" i="14"/>
  <c r="E1502" i="14"/>
  <c r="D1502" i="14"/>
  <c r="E1501" i="14"/>
  <c r="D1501" i="14"/>
  <c r="E1500" i="14"/>
  <c r="D1500" i="14"/>
  <c r="E1499" i="14"/>
  <c r="D1499" i="14"/>
  <c r="E1498" i="14"/>
  <c r="D1498" i="14"/>
  <c r="E1497" i="14"/>
  <c r="D1497" i="14"/>
  <c r="E1496" i="14"/>
  <c r="D1496" i="14"/>
  <c r="E1495" i="14"/>
  <c r="D1495" i="14"/>
  <c r="E1494" i="14"/>
  <c r="D1494" i="14"/>
  <c r="E1493" i="14"/>
  <c r="D1493" i="14"/>
  <c r="E1492" i="14"/>
  <c r="D1492" i="14"/>
  <c r="E1491" i="14"/>
  <c r="D1491" i="14"/>
  <c r="E1490" i="14"/>
  <c r="D1490" i="14"/>
  <c r="E1489" i="14"/>
  <c r="D1489" i="14"/>
  <c r="E1488" i="14"/>
  <c r="D1488" i="14"/>
  <c r="E1487" i="14"/>
  <c r="D1487" i="14"/>
  <c r="E1486" i="14"/>
  <c r="D1486" i="14"/>
  <c r="E1485" i="14"/>
  <c r="D1485" i="14"/>
  <c r="E1484" i="14"/>
  <c r="D1484" i="14"/>
  <c r="E1483" i="14"/>
  <c r="D1483" i="14"/>
  <c r="E1482" i="14"/>
  <c r="D1482" i="14"/>
  <c r="E1481" i="14"/>
  <c r="D1481" i="14"/>
  <c r="E1480" i="14"/>
  <c r="D1480" i="14"/>
  <c r="E1479" i="14"/>
  <c r="D1479" i="14"/>
  <c r="E1478" i="14"/>
  <c r="D1478" i="14"/>
  <c r="E1477" i="14"/>
  <c r="D1477" i="14"/>
  <c r="E1476" i="14"/>
  <c r="D1476" i="14"/>
  <c r="E1475" i="14"/>
  <c r="D1475" i="14"/>
  <c r="E1474" i="14"/>
  <c r="D1474" i="14"/>
  <c r="E1473" i="14"/>
  <c r="D1473" i="14"/>
  <c r="E1472" i="14"/>
  <c r="D1472" i="14"/>
  <c r="E1471" i="14"/>
  <c r="D1471" i="14"/>
  <c r="E1470" i="14"/>
  <c r="D1470" i="14"/>
  <c r="E1469" i="14"/>
  <c r="D1469" i="14"/>
  <c r="E1468" i="14"/>
  <c r="D1468" i="14"/>
  <c r="E1467" i="14"/>
  <c r="D1467" i="14"/>
  <c r="E1466" i="14"/>
  <c r="D1466" i="14"/>
  <c r="E1465" i="14"/>
  <c r="D1465" i="14"/>
  <c r="E1464" i="14"/>
  <c r="D1464" i="14"/>
  <c r="E1463" i="14"/>
  <c r="D1463" i="14"/>
  <c r="E1462" i="14"/>
  <c r="D1462" i="14"/>
  <c r="E1461" i="14"/>
  <c r="D1461" i="14"/>
  <c r="E1460" i="14"/>
  <c r="D1460" i="14"/>
  <c r="E1459" i="14"/>
  <c r="D1459" i="14"/>
  <c r="E1458" i="14"/>
  <c r="D1458" i="14"/>
  <c r="E1457" i="14"/>
  <c r="D1457" i="14"/>
  <c r="E1456" i="14"/>
  <c r="D1456" i="14"/>
  <c r="E1455" i="14"/>
  <c r="D1455" i="14"/>
  <c r="E1454" i="14"/>
  <c r="D1454" i="14"/>
  <c r="E1453" i="14"/>
  <c r="D1453" i="14"/>
  <c r="E1452" i="14"/>
  <c r="D1452" i="14"/>
  <c r="E1451" i="14"/>
  <c r="D1451" i="14"/>
  <c r="E1450" i="14"/>
  <c r="D1450" i="14"/>
  <c r="E1449" i="14"/>
  <c r="D1449" i="14"/>
  <c r="E1448" i="14"/>
  <c r="D1448" i="14"/>
  <c r="E1447" i="14"/>
  <c r="D1447" i="14"/>
  <c r="E1446" i="14"/>
  <c r="D1446" i="14"/>
  <c r="E1445" i="14"/>
  <c r="D1445" i="14"/>
  <c r="E1444" i="14"/>
  <c r="D1444" i="14"/>
  <c r="E1443" i="14"/>
  <c r="D1443" i="14"/>
  <c r="E1442" i="14"/>
  <c r="D1442" i="14"/>
  <c r="E1441" i="14"/>
  <c r="D1441" i="14"/>
  <c r="E1440" i="14"/>
  <c r="D1440" i="14"/>
  <c r="E1439" i="14"/>
  <c r="D1439" i="14"/>
  <c r="E1438" i="14"/>
  <c r="D1438" i="14"/>
  <c r="E1437" i="14"/>
  <c r="D1437" i="14"/>
  <c r="E1436" i="14"/>
  <c r="D1436" i="14"/>
  <c r="E1435" i="14"/>
  <c r="D1435" i="14"/>
  <c r="E1434" i="14"/>
  <c r="D1434" i="14"/>
  <c r="E1433" i="14"/>
  <c r="D1433" i="14"/>
  <c r="E1432" i="14"/>
  <c r="D1432" i="14"/>
  <c r="E1431" i="14"/>
  <c r="D1431" i="14"/>
  <c r="E1430" i="14"/>
  <c r="D1430" i="14"/>
  <c r="E1429" i="14"/>
  <c r="D1429" i="14"/>
  <c r="E1428" i="14"/>
  <c r="D1428" i="14"/>
  <c r="E1427" i="14"/>
  <c r="D1427" i="14"/>
  <c r="E1426" i="14"/>
  <c r="D1426" i="14"/>
  <c r="E1425" i="14"/>
  <c r="D1425" i="14"/>
  <c r="E1424" i="14"/>
  <c r="D1424" i="14"/>
  <c r="E1423" i="14"/>
  <c r="D1423" i="14"/>
  <c r="E1422" i="14"/>
  <c r="D1422" i="14"/>
  <c r="E1421" i="14"/>
  <c r="D1421" i="14"/>
  <c r="E1420" i="14"/>
  <c r="D1420" i="14"/>
  <c r="E1419" i="14"/>
  <c r="D1419" i="14"/>
  <c r="E1418" i="14"/>
  <c r="D1418" i="14"/>
  <c r="E1417" i="14"/>
  <c r="D1417" i="14"/>
  <c r="E1416" i="14"/>
  <c r="D1416" i="14"/>
  <c r="E1415" i="14"/>
  <c r="D1415" i="14"/>
  <c r="E1414" i="14"/>
  <c r="D1414" i="14"/>
  <c r="E1413" i="14"/>
  <c r="D1413" i="14"/>
  <c r="E1412" i="14"/>
  <c r="D1412" i="14"/>
  <c r="E1411" i="14"/>
  <c r="D1411" i="14"/>
  <c r="E1410" i="14"/>
  <c r="D1410" i="14"/>
  <c r="E1409" i="14"/>
  <c r="D1409" i="14"/>
  <c r="E1408" i="14"/>
  <c r="D1408" i="14"/>
  <c r="E1407" i="14"/>
  <c r="D1407" i="14"/>
  <c r="E1406" i="14"/>
  <c r="D1406" i="14"/>
  <c r="E1405" i="14"/>
  <c r="D1405" i="14"/>
  <c r="E1404" i="14"/>
  <c r="D1404" i="14"/>
  <c r="E1403" i="14"/>
  <c r="D1403" i="14"/>
  <c r="E1402" i="14"/>
  <c r="D1402" i="14"/>
  <c r="E1401" i="14"/>
  <c r="D1401" i="14"/>
  <c r="E1400" i="14"/>
  <c r="D1400" i="14"/>
  <c r="E1399" i="14"/>
  <c r="D1399" i="14"/>
  <c r="E1398" i="14"/>
  <c r="D1398" i="14"/>
  <c r="E1397" i="14"/>
  <c r="D1397" i="14"/>
  <c r="E1396" i="14"/>
  <c r="D1396" i="14"/>
  <c r="E1395" i="14"/>
  <c r="D1395" i="14"/>
  <c r="E1394" i="14"/>
  <c r="D1394" i="14"/>
  <c r="E1393" i="14"/>
  <c r="D1393" i="14"/>
  <c r="E1392" i="14"/>
  <c r="D1392" i="14"/>
  <c r="E1391" i="14"/>
  <c r="D1391" i="14"/>
  <c r="E1390" i="14"/>
  <c r="D1390" i="14"/>
  <c r="E1389" i="14"/>
  <c r="D1389" i="14"/>
  <c r="E1388" i="14"/>
  <c r="D1388" i="14"/>
  <c r="E1387" i="14"/>
  <c r="D1387" i="14"/>
  <c r="E1386" i="14"/>
  <c r="D1386" i="14"/>
  <c r="E1385" i="14"/>
  <c r="D1385" i="14"/>
  <c r="E1384" i="14"/>
  <c r="D1384" i="14"/>
  <c r="E1383" i="14"/>
  <c r="D1383" i="14"/>
  <c r="E1382" i="14"/>
  <c r="D1382" i="14"/>
  <c r="E1381" i="14"/>
  <c r="D1381" i="14"/>
  <c r="E1380" i="14"/>
  <c r="D1380" i="14"/>
  <c r="E1379" i="14"/>
  <c r="D1379" i="14"/>
  <c r="E1378" i="14"/>
  <c r="D1378" i="14"/>
  <c r="E1377" i="14"/>
  <c r="D1377" i="14"/>
  <c r="E1376" i="14"/>
  <c r="D1376" i="14"/>
  <c r="E1375" i="14"/>
  <c r="D1375" i="14"/>
  <c r="E1374" i="14"/>
  <c r="D1374" i="14"/>
  <c r="E1373" i="14"/>
  <c r="D1373" i="14"/>
  <c r="E1372" i="14"/>
  <c r="D1372" i="14"/>
  <c r="E1371" i="14"/>
  <c r="D1371" i="14"/>
  <c r="E1370" i="14"/>
  <c r="D1370" i="14"/>
  <c r="E1369" i="14"/>
  <c r="D1369" i="14"/>
  <c r="E1368" i="14"/>
  <c r="D1368" i="14"/>
  <c r="E1367" i="14"/>
  <c r="D1367" i="14"/>
  <c r="E1366" i="14"/>
  <c r="D1366" i="14"/>
  <c r="E1365" i="14"/>
  <c r="D1365" i="14"/>
  <c r="E1364" i="14"/>
  <c r="D1364" i="14"/>
  <c r="E1363" i="14"/>
  <c r="D1363" i="14"/>
  <c r="E1362" i="14"/>
  <c r="D1362" i="14"/>
  <c r="E1361" i="14"/>
  <c r="D1361" i="14"/>
  <c r="E1360" i="14"/>
  <c r="D1360" i="14"/>
  <c r="E1359" i="14"/>
  <c r="D1359" i="14"/>
  <c r="E1358" i="14"/>
  <c r="D1358" i="14"/>
  <c r="E1357" i="14"/>
  <c r="D1357" i="14"/>
  <c r="E1356" i="14"/>
  <c r="D1356" i="14"/>
  <c r="E1355" i="14"/>
  <c r="D1355" i="14"/>
  <c r="E1354" i="14"/>
  <c r="D1354" i="14"/>
  <c r="E1353" i="14"/>
  <c r="D1353" i="14"/>
  <c r="E1352" i="14"/>
  <c r="D1352" i="14"/>
  <c r="E1351" i="14"/>
  <c r="D1351" i="14"/>
  <c r="E1350" i="14"/>
  <c r="D1350" i="14"/>
  <c r="E1349" i="14"/>
  <c r="D1349" i="14"/>
  <c r="E1348" i="14"/>
  <c r="D1348" i="14"/>
  <c r="E1347" i="14"/>
  <c r="D1347" i="14"/>
  <c r="E1346" i="14"/>
  <c r="D1346" i="14"/>
  <c r="E1345" i="14"/>
  <c r="D1345" i="14"/>
  <c r="E1344" i="14"/>
  <c r="D1344" i="14"/>
  <c r="E1343" i="14"/>
  <c r="D1343" i="14"/>
  <c r="E1342" i="14"/>
  <c r="D1342" i="14"/>
  <c r="E1341" i="14"/>
  <c r="D1341" i="14"/>
  <c r="E1340" i="14"/>
  <c r="D1340" i="14"/>
  <c r="E1339" i="14"/>
  <c r="D1339" i="14"/>
  <c r="E1338" i="14"/>
  <c r="D1338" i="14"/>
  <c r="E1337" i="14"/>
  <c r="D1337" i="14"/>
  <c r="E1336" i="14"/>
  <c r="D1336" i="14"/>
  <c r="E1335" i="14"/>
  <c r="D1335" i="14"/>
  <c r="E1334" i="14"/>
  <c r="D1334" i="14"/>
  <c r="E1333" i="14"/>
  <c r="D1333" i="14"/>
  <c r="E1332" i="14"/>
  <c r="D1332" i="14"/>
  <c r="E1331" i="14"/>
  <c r="D1331" i="14"/>
  <c r="E1330" i="14"/>
  <c r="D1330" i="14"/>
  <c r="E1329" i="14"/>
  <c r="D1329" i="14"/>
  <c r="E1328" i="14"/>
  <c r="D1328" i="14"/>
  <c r="E1327" i="14"/>
  <c r="D1327" i="14"/>
  <c r="E1326" i="14"/>
  <c r="D1326" i="14"/>
  <c r="E1325" i="14"/>
  <c r="D1325" i="14"/>
  <c r="E1324" i="14"/>
  <c r="D1324" i="14"/>
  <c r="E1323" i="14"/>
  <c r="D1323" i="14"/>
  <c r="E1322" i="14"/>
  <c r="D1322" i="14"/>
  <c r="E1321" i="14"/>
  <c r="D1321" i="14"/>
  <c r="E1320" i="14"/>
  <c r="D1320" i="14"/>
  <c r="E1319" i="14"/>
  <c r="D1319" i="14"/>
  <c r="E1318" i="14"/>
  <c r="D1318" i="14"/>
  <c r="E1317" i="14"/>
  <c r="D1317" i="14"/>
  <c r="E1316" i="14"/>
  <c r="D1316" i="14"/>
  <c r="E1315" i="14"/>
  <c r="D1315" i="14"/>
  <c r="E1314" i="14"/>
  <c r="D1314" i="14"/>
  <c r="E1313" i="14"/>
  <c r="D1313" i="14"/>
  <c r="E1312" i="14"/>
  <c r="D1312" i="14"/>
  <c r="E1311" i="14"/>
  <c r="D1311" i="14"/>
  <c r="E1310" i="14"/>
  <c r="D1310" i="14"/>
  <c r="E1309" i="14"/>
  <c r="D1309" i="14"/>
  <c r="E1308" i="14"/>
  <c r="D1308" i="14"/>
  <c r="E1307" i="14"/>
  <c r="D1307" i="14"/>
  <c r="E1306" i="14"/>
  <c r="D1306" i="14"/>
  <c r="E1305" i="14"/>
  <c r="D1305" i="14"/>
  <c r="E1304" i="14"/>
  <c r="D1304" i="14"/>
  <c r="E1303" i="14"/>
  <c r="D1303" i="14"/>
  <c r="E1302" i="14"/>
  <c r="D1302" i="14"/>
  <c r="E1301" i="14"/>
  <c r="D1301" i="14"/>
  <c r="E1300" i="14"/>
  <c r="D1300" i="14"/>
  <c r="E1299" i="14"/>
  <c r="D1299" i="14"/>
  <c r="E1298" i="14"/>
  <c r="D1298" i="14"/>
  <c r="E1297" i="14"/>
  <c r="D1297" i="14"/>
  <c r="E1296" i="14"/>
  <c r="D1296" i="14"/>
  <c r="E1295" i="14"/>
  <c r="D1295" i="14"/>
  <c r="E1294" i="14"/>
  <c r="D1294" i="14"/>
  <c r="E1293" i="14"/>
  <c r="D1293" i="14"/>
  <c r="E1292" i="14"/>
  <c r="D1292" i="14"/>
  <c r="E1291" i="14"/>
  <c r="D1291" i="14"/>
  <c r="E1290" i="14"/>
  <c r="D1290" i="14"/>
  <c r="E1289" i="14"/>
  <c r="D1289" i="14"/>
  <c r="E1288" i="14"/>
  <c r="D1288" i="14"/>
  <c r="E1287" i="14"/>
  <c r="D1287" i="14"/>
  <c r="E1286" i="14"/>
  <c r="D1286" i="14"/>
  <c r="E1285" i="14"/>
  <c r="D1285" i="14"/>
  <c r="E1284" i="14"/>
  <c r="D1284" i="14"/>
  <c r="E1283" i="14"/>
  <c r="D1283" i="14"/>
  <c r="E1282" i="14"/>
  <c r="D1282" i="14"/>
  <c r="E1281" i="14"/>
  <c r="D1281" i="14"/>
  <c r="E1280" i="14"/>
  <c r="D1280" i="14"/>
  <c r="E1279" i="14"/>
  <c r="D1279" i="14"/>
  <c r="E1278" i="14"/>
  <c r="D1278" i="14"/>
  <c r="E1277" i="14"/>
  <c r="D1277" i="14"/>
  <c r="E1276" i="14"/>
  <c r="D1276" i="14"/>
  <c r="E1275" i="14"/>
  <c r="D1275" i="14"/>
  <c r="E1274" i="14"/>
  <c r="D1274" i="14"/>
  <c r="E1273" i="14"/>
  <c r="D1273" i="14"/>
  <c r="E1272" i="14"/>
  <c r="D1272" i="14"/>
  <c r="E1271" i="14"/>
  <c r="D1271" i="14"/>
  <c r="E1270" i="14"/>
  <c r="D1270" i="14"/>
  <c r="E1269" i="14"/>
  <c r="D1269" i="14"/>
  <c r="E1268" i="14"/>
  <c r="D1268" i="14"/>
  <c r="E1267" i="14"/>
  <c r="D1267" i="14"/>
  <c r="E1266" i="14"/>
  <c r="D1266" i="14"/>
  <c r="E1265" i="14"/>
  <c r="D1265" i="14"/>
  <c r="E1264" i="14"/>
  <c r="D1264" i="14"/>
  <c r="E1263" i="14"/>
  <c r="D1263" i="14"/>
  <c r="E1262" i="14"/>
  <c r="D1262" i="14"/>
  <c r="E1261" i="14"/>
  <c r="D1261" i="14"/>
  <c r="E1260" i="14"/>
  <c r="D1260" i="14"/>
  <c r="E1259" i="14"/>
  <c r="D1259" i="14"/>
  <c r="E1258" i="14"/>
  <c r="D1258" i="14"/>
  <c r="E1257" i="14"/>
  <c r="D1257" i="14"/>
  <c r="E1256" i="14"/>
  <c r="D1256" i="14"/>
  <c r="E1255" i="14"/>
  <c r="D1255" i="14"/>
  <c r="E1254" i="14"/>
  <c r="D1254" i="14"/>
  <c r="E1253" i="14"/>
  <c r="D1253" i="14"/>
  <c r="E1252" i="14"/>
  <c r="D1252" i="14"/>
  <c r="E1251" i="14"/>
  <c r="D1251" i="14"/>
  <c r="E1250" i="14"/>
  <c r="D1250" i="14"/>
  <c r="E1249" i="14"/>
  <c r="D1249" i="14"/>
  <c r="E1248" i="14"/>
  <c r="D1248" i="14"/>
  <c r="E1247" i="14"/>
  <c r="D1247" i="14"/>
  <c r="E1246" i="14"/>
  <c r="D1246" i="14"/>
  <c r="E1245" i="14"/>
  <c r="D1245" i="14"/>
  <c r="E1244" i="14"/>
  <c r="D1244" i="14"/>
  <c r="E1243" i="14"/>
  <c r="D1243" i="14"/>
  <c r="E1242" i="14"/>
  <c r="D1242" i="14"/>
  <c r="E1241" i="14"/>
  <c r="D1241" i="14"/>
  <c r="E1240" i="14"/>
  <c r="D1240" i="14"/>
  <c r="E1239" i="14"/>
  <c r="D1239" i="14"/>
  <c r="E1238" i="14"/>
  <c r="D1238" i="14"/>
  <c r="E1237" i="14"/>
  <c r="D1237" i="14"/>
  <c r="E1236" i="14"/>
  <c r="D1236" i="14"/>
  <c r="E1235" i="14"/>
  <c r="D1235" i="14"/>
  <c r="E1234" i="14"/>
  <c r="D1234" i="14"/>
  <c r="E1233" i="14"/>
  <c r="D1233" i="14"/>
  <c r="E1232" i="14"/>
  <c r="D1232" i="14"/>
  <c r="E1231" i="14"/>
  <c r="D1231" i="14"/>
  <c r="E1230" i="14"/>
  <c r="D1230" i="14"/>
  <c r="E1229" i="14"/>
  <c r="D1229" i="14"/>
  <c r="E1228" i="14"/>
  <c r="D1228" i="14"/>
  <c r="E1227" i="14"/>
  <c r="D1227" i="14"/>
  <c r="E1226" i="14"/>
  <c r="D1226" i="14"/>
  <c r="E1225" i="14"/>
  <c r="D1225" i="14"/>
  <c r="E1224" i="14"/>
  <c r="D1224" i="14"/>
  <c r="E1223" i="14"/>
  <c r="D1223" i="14"/>
  <c r="E1222" i="14"/>
  <c r="D1222" i="14"/>
  <c r="E1221" i="14"/>
  <c r="D1221" i="14"/>
  <c r="E1220" i="14"/>
  <c r="D1220" i="14"/>
  <c r="E1219" i="14"/>
  <c r="D1219" i="14"/>
  <c r="E1218" i="14"/>
  <c r="D1218" i="14"/>
  <c r="E1217" i="14"/>
  <c r="D1217" i="14"/>
  <c r="E1216" i="14"/>
  <c r="D1216" i="14"/>
  <c r="E1215" i="14"/>
  <c r="D1215" i="14"/>
  <c r="E1214" i="14"/>
  <c r="D1214" i="14"/>
  <c r="E1213" i="14"/>
  <c r="D1213" i="14"/>
  <c r="E1212" i="14"/>
  <c r="D1212" i="14"/>
  <c r="E1211" i="14"/>
  <c r="D1211" i="14"/>
  <c r="E1210" i="14"/>
  <c r="D1210" i="14"/>
  <c r="E1209" i="14"/>
  <c r="D1209" i="14"/>
  <c r="E1208" i="14"/>
  <c r="D1208" i="14"/>
  <c r="E1207" i="14"/>
  <c r="D1207" i="14"/>
  <c r="E1206" i="14"/>
  <c r="D1206" i="14"/>
  <c r="E1205" i="14"/>
  <c r="D1205" i="14"/>
  <c r="E1204" i="14"/>
  <c r="D1204" i="14"/>
  <c r="E1203" i="14"/>
  <c r="D1203" i="14"/>
  <c r="E1202" i="14"/>
  <c r="D1202" i="14"/>
  <c r="E1201" i="14"/>
  <c r="D1201" i="14"/>
  <c r="E1200" i="14"/>
  <c r="D1200" i="14"/>
  <c r="E1199" i="14"/>
  <c r="D1199" i="14"/>
  <c r="E1198" i="14"/>
  <c r="D1198" i="14"/>
  <c r="E1197" i="14"/>
  <c r="D1197" i="14"/>
  <c r="E1196" i="14"/>
  <c r="D1196" i="14"/>
  <c r="E1195" i="14"/>
  <c r="D1195" i="14"/>
  <c r="E1194" i="14"/>
  <c r="D1194" i="14"/>
  <c r="E1193" i="14"/>
  <c r="D1193" i="14"/>
  <c r="E1192" i="14"/>
  <c r="D1192" i="14"/>
  <c r="E1191" i="14"/>
  <c r="D1191" i="14"/>
  <c r="E1190" i="14"/>
  <c r="D1190" i="14"/>
  <c r="E1189" i="14"/>
  <c r="D1189" i="14"/>
  <c r="E1188" i="14"/>
  <c r="D1188" i="14"/>
  <c r="E1187" i="14"/>
  <c r="D1187" i="14"/>
  <c r="E1186" i="14"/>
  <c r="D1186" i="14"/>
  <c r="E1185" i="14"/>
  <c r="D1185" i="14"/>
  <c r="E1184" i="14"/>
  <c r="D1184" i="14"/>
  <c r="E1183" i="14"/>
  <c r="D1183" i="14"/>
  <c r="E1182" i="14"/>
  <c r="D1182" i="14"/>
  <c r="E1181" i="14"/>
  <c r="D1181" i="14"/>
  <c r="E1180" i="14"/>
  <c r="D1180" i="14"/>
  <c r="E1179" i="14"/>
  <c r="D1179" i="14"/>
  <c r="E1178" i="14"/>
  <c r="D1178" i="14"/>
  <c r="E1177" i="14"/>
  <c r="D1177" i="14"/>
  <c r="E1176" i="14"/>
  <c r="D1176" i="14"/>
  <c r="E1175" i="14"/>
  <c r="D1175" i="14"/>
  <c r="E1174" i="14"/>
  <c r="D1174" i="14"/>
  <c r="E1173" i="14"/>
  <c r="D1173" i="14"/>
  <c r="E1172" i="14"/>
  <c r="D1172" i="14"/>
  <c r="E1171" i="14"/>
  <c r="D1171" i="14"/>
  <c r="E1170" i="14"/>
  <c r="D1170" i="14"/>
  <c r="E1169" i="14"/>
  <c r="D1169" i="14"/>
  <c r="E1168" i="14"/>
  <c r="D1168" i="14"/>
  <c r="E1167" i="14"/>
  <c r="D1167" i="14"/>
  <c r="E1166" i="14"/>
  <c r="D1166" i="14"/>
  <c r="E1165" i="14"/>
  <c r="D1165" i="14"/>
  <c r="E1164" i="14"/>
  <c r="D1164" i="14"/>
  <c r="E1163" i="14"/>
  <c r="D1163" i="14"/>
  <c r="E1162" i="14"/>
  <c r="D1162" i="14"/>
  <c r="E1161" i="14"/>
  <c r="D1161" i="14"/>
  <c r="E1160" i="14"/>
  <c r="D1160" i="14"/>
  <c r="E1159" i="14"/>
  <c r="D1159" i="14"/>
  <c r="E1158" i="14"/>
  <c r="D1158" i="14"/>
  <c r="E1157" i="14"/>
  <c r="D1157" i="14"/>
  <c r="E1156" i="14"/>
  <c r="D1156" i="14"/>
  <c r="E1155" i="14"/>
  <c r="D1155" i="14"/>
  <c r="E1154" i="14"/>
  <c r="D1154" i="14"/>
  <c r="E1153" i="14"/>
  <c r="D1153" i="14"/>
  <c r="E1152" i="14"/>
  <c r="D1152" i="14"/>
  <c r="E1151" i="14"/>
  <c r="D1151" i="14"/>
  <c r="E1150" i="14"/>
  <c r="D1150" i="14"/>
  <c r="E1149" i="14"/>
  <c r="D1149" i="14"/>
  <c r="E1148" i="14"/>
  <c r="D1148" i="14"/>
  <c r="E1147" i="14"/>
  <c r="D1147" i="14"/>
  <c r="E1146" i="14"/>
  <c r="D1146" i="14"/>
  <c r="E1145" i="14"/>
  <c r="D1145" i="14"/>
  <c r="E1144" i="14"/>
  <c r="D1144" i="14"/>
  <c r="E1143" i="14"/>
  <c r="D1143" i="14"/>
  <c r="E1142" i="14"/>
  <c r="D1142" i="14"/>
  <c r="E1141" i="14"/>
  <c r="D1141" i="14"/>
  <c r="E1140" i="14"/>
  <c r="D1140" i="14"/>
  <c r="E1139" i="14"/>
  <c r="D1139" i="14"/>
  <c r="E1138" i="14"/>
  <c r="D1138" i="14"/>
  <c r="E1137" i="14"/>
  <c r="D1137" i="14"/>
  <c r="E1136" i="14"/>
  <c r="D1136" i="14"/>
  <c r="E1135" i="14"/>
  <c r="D1135" i="14"/>
  <c r="E1134" i="14"/>
  <c r="D1134" i="14"/>
  <c r="E1133" i="14"/>
  <c r="D1133" i="14"/>
  <c r="E1132" i="14"/>
  <c r="D1132" i="14"/>
  <c r="E1131" i="14"/>
  <c r="D1131" i="14"/>
  <c r="E1130" i="14"/>
  <c r="D1130" i="14"/>
  <c r="E1129" i="14"/>
  <c r="D1129" i="14"/>
  <c r="E1128" i="14"/>
  <c r="D1128" i="14"/>
  <c r="E1127" i="14"/>
  <c r="D1127" i="14"/>
  <c r="E1126" i="14"/>
  <c r="D1126" i="14"/>
  <c r="E1125" i="14"/>
  <c r="D1125" i="14"/>
  <c r="E1124" i="14"/>
  <c r="D1124" i="14"/>
  <c r="E1123" i="14"/>
  <c r="D1123" i="14"/>
  <c r="E1122" i="14"/>
  <c r="D1122" i="14"/>
  <c r="E1121" i="14"/>
  <c r="D1121" i="14"/>
  <c r="E1120" i="14"/>
  <c r="D1120" i="14"/>
  <c r="E1119" i="14"/>
  <c r="D1119" i="14"/>
  <c r="E1118" i="14"/>
  <c r="D1118" i="14"/>
  <c r="E1117" i="14"/>
  <c r="D1117" i="14"/>
  <c r="E1116" i="14"/>
  <c r="D1116" i="14"/>
  <c r="E1115" i="14"/>
  <c r="D1115" i="14"/>
  <c r="E1114" i="14"/>
  <c r="D1114" i="14"/>
  <c r="E1113" i="14"/>
  <c r="D1113" i="14"/>
  <c r="E1112" i="14"/>
  <c r="D1112" i="14"/>
  <c r="E1111" i="14"/>
  <c r="D1111" i="14"/>
  <c r="E1110" i="14"/>
  <c r="D1110" i="14"/>
  <c r="E1109" i="14"/>
  <c r="D1109" i="14"/>
  <c r="E1108" i="14"/>
  <c r="D1108" i="14"/>
  <c r="E1107" i="14"/>
  <c r="D1107" i="14"/>
  <c r="E1106" i="14"/>
  <c r="D1106" i="14"/>
  <c r="E1105" i="14"/>
  <c r="D1105" i="14"/>
  <c r="E1104" i="14"/>
  <c r="D1104" i="14"/>
  <c r="E1103" i="14"/>
  <c r="D1103" i="14"/>
  <c r="E1102" i="14"/>
  <c r="D1102" i="14"/>
  <c r="E1101" i="14"/>
  <c r="D1101" i="14"/>
  <c r="E1100" i="14"/>
  <c r="D1100" i="14"/>
  <c r="E1099" i="14"/>
  <c r="D1099" i="14"/>
  <c r="E1098" i="14"/>
  <c r="D1098" i="14"/>
  <c r="E1097" i="14"/>
  <c r="D1097" i="14"/>
  <c r="E1096" i="14"/>
  <c r="D1096" i="14"/>
  <c r="E1095" i="14"/>
  <c r="D1095" i="14"/>
  <c r="E1094" i="14"/>
  <c r="D1094" i="14"/>
  <c r="E1093" i="14"/>
  <c r="D1093" i="14"/>
  <c r="E1092" i="14"/>
  <c r="D1092" i="14"/>
  <c r="E1091" i="14"/>
  <c r="D1091" i="14"/>
  <c r="E1090" i="14"/>
  <c r="D1090" i="14"/>
  <c r="E1089" i="14"/>
  <c r="D1089" i="14"/>
  <c r="E1088" i="14"/>
  <c r="D1088" i="14"/>
  <c r="E1087" i="14"/>
  <c r="D1087" i="14"/>
  <c r="E1086" i="14"/>
  <c r="D1086" i="14"/>
  <c r="E1085" i="14"/>
  <c r="D1085" i="14"/>
  <c r="E1084" i="14"/>
  <c r="D1084" i="14"/>
  <c r="E1083" i="14"/>
  <c r="D1083" i="14"/>
  <c r="E1082" i="14"/>
  <c r="D1082" i="14"/>
  <c r="E1081" i="14"/>
  <c r="D1081" i="14"/>
  <c r="E1080" i="14"/>
  <c r="D1080" i="14"/>
  <c r="E1079" i="14"/>
  <c r="D1079" i="14"/>
  <c r="E1078" i="14"/>
  <c r="D1078" i="14"/>
  <c r="E1077" i="14"/>
  <c r="D1077" i="14"/>
  <c r="E1076" i="14"/>
  <c r="D1076" i="14"/>
  <c r="E1075" i="14"/>
  <c r="D1075" i="14"/>
  <c r="E1074" i="14"/>
  <c r="D1074" i="14"/>
  <c r="E1073" i="14"/>
  <c r="D1073" i="14"/>
  <c r="E1072" i="14"/>
  <c r="D1072" i="14"/>
  <c r="E1071" i="14"/>
  <c r="D1071" i="14"/>
  <c r="E1070" i="14"/>
  <c r="D1070" i="14"/>
  <c r="E1069" i="14"/>
  <c r="D1069" i="14"/>
  <c r="E1068" i="14"/>
  <c r="D1068" i="14"/>
  <c r="E1067" i="14"/>
  <c r="D1067" i="14"/>
  <c r="E1066" i="14"/>
  <c r="D1066" i="14"/>
  <c r="E1065" i="14"/>
  <c r="D1065" i="14"/>
  <c r="E1064" i="14"/>
  <c r="D1064" i="14"/>
  <c r="E1063" i="14"/>
  <c r="D1063" i="14"/>
  <c r="E1062" i="14"/>
  <c r="D1062" i="14"/>
  <c r="E1061" i="14"/>
  <c r="D1061" i="14"/>
  <c r="E1060" i="14"/>
  <c r="D1060" i="14"/>
  <c r="E1059" i="14"/>
  <c r="D1059" i="14"/>
  <c r="E1058" i="14"/>
  <c r="D1058" i="14"/>
  <c r="E1057" i="14"/>
  <c r="D1057" i="14"/>
  <c r="E1056" i="14"/>
  <c r="D1056" i="14"/>
  <c r="E1055" i="14"/>
  <c r="D1055" i="14"/>
  <c r="E1054" i="14"/>
  <c r="D1054" i="14"/>
  <c r="E1053" i="14"/>
  <c r="D1053" i="14"/>
  <c r="E1052" i="14"/>
  <c r="D1052" i="14"/>
  <c r="E1051" i="14"/>
  <c r="D1051" i="14"/>
  <c r="E1050" i="14"/>
  <c r="D1050" i="14"/>
  <c r="E1049" i="14"/>
  <c r="D1049" i="14"/>
  <c r="E1048" i="14"/>
  <c r="D1048" i="14"/>
  <c r="E1047" i="14"/>
  <c r="D1047" i="14"/>
  <c r="E1046" i="14"/>
  <c r="D1046" i="14"/>
  <c r="E1045" i="14"/>
  <c r="D1045" i="14"/>
  <c r="E1044" i="14"/>
  <c r="D1044" i="14"/>
  <c r="E1043" i="14"/>
  <c r="D1043" i="14"/>
  <c r="E1042" i="14"/>
  <c r="D1042" i="14"/>
  <c r="E1041" i="14"/>
  <c r="D1041" i="14"/>
  <c r="E1040" i="14"/>
  <c r="D1040" i="14"/>
  <c r="E1039" i="14"/>
  <c r="D1039" i="14"/>
  <c r="E1038" i="14"/>
  <c r="D1038" i="14"/>
  <c r="E1037" i="14"/>
  <c r="D1037" i="14"/>
  <c r="E1036" i="14"/>
  <c r="D1036" i="14"/>
  <c r="E1035" i="14"/>
  <c r="D1035" i="14"/>
  <c r="E1034" i="14"/>
  <c r="D1034" i="14"/>
  <c r="E1033" i="14"/>
  <c r="D1033" i="14"/>
  <c r="E1032" i="14"/>
  <c r="D1032" i="14"/>
  <c r="E1031" i="14"/>
  <c r="D1031" i="14"/>
  <c r="E1030" i="14"/>
  <c r="D1030" i="14"/>
  <c r="E1029" i="14"/>
  <c r="D1029" i="14"/>
  <c r="E1028" i="14"/>
  <c r="D1028" i="14"/>
  <c r="E1027" i="14"/>
  <c r="D1027" i="14"/>
  <c r="E1026" i="14"/>
  <c r="D1026" i="14"/>
  <c r="E1025" i="14"/>
  <c r="D1025" i="14"/>
  <c r="E1024" i="14"/>
  <c r="D1024" i="14"/>
  <c r="E1023" i="14"/>
  <c r="D1023" i="14"/>
  <c r="E1022" i="14"/>
  <c r="D1022" i="14"/>
  <c r="E1021" i="14"/>
  <c r="D1021" i="14"/>
  <c r="E1020" i="14"/>
  <c r="D1020" i="14"/>
  <c r="E1019" i="14"/>
  <c r="D1019" i="14"/>
  <c r="E1018" i="14"/>
  <c r="D1018" i="14"/>
  <c r="E1017" i="14"/>
  <c r="D1017" i="14"/>
  <c r="E1016" i="14"/>
  <c r="D1016" i="14"/>
  <c r="E1015" i="14"/>
  <c r="D1015" i="14"/>
  <c r="E1014" i="14"/>
  <c r="D1014" i="14"/>
  <c r="E1013" i="14"/>
  <c r="D1013" i="14"/>
  <c r="E1012" i="14"/>
  <c r="D1012" i="14"/>
  <c r="E1011" i="14"/>
  <c r="D1011" i="14"/>
  <c r="E1010" i="14"/>
  <c r="D1010" i="14"/>
  <c r="E1009" i="14"/>
  <c r="D1009" i="14"/>
  <c r="E1008" i="14"/>
  <c r="D1008" i="14"/>
  <c r="E1007" i="14"/>
  <c r="D1007" i="14"/>
  <c r="E1006" i="14"/>
  <c r="D1006" i="14"/>
  <c r="E1005" i="14"/>
  <c r="D1005" i="14"/>
  <c r="E1004" i="14"/>
  <c r="D1004" i="14"/>
  <c r="E1003" i="14"/>
  <c r="D1003" i="14"/>
  <c r="E1002" i="14"/>
  <c r="D1002" i="14"/>
  <c r="E1001" i="14"/>
  <c r="D1001" i="14"/>
  <c r="E1000" i="14"/>
  <c r="D1000" i="14"/>
  <c r="E999" i="14"/>
  <c r="D999" i="14"/>
  <c r="E998" i="14"/>
  <c r="D998" i="14"/>
  <c r="E997" i="14"/>
  <c r="D997" i="14"/>
  <c r="E996" i="14"/>
  <c r="D996" i="14"/>
  <c r="E995" i="14"/>
  <c r="D995" i="14"/>
  <c r="E994" i="14"/>
  <c r="D994" i="14"/>
  <c r="E993" i="14"/>
  <c r="D993" i="14"/>
  <c r="E992" i="14"/>
  <c r="D992" i="14"/>
  <c r="E991" i="14"/>
  <c r="D991" i="14"/>
  <c r="E990" i="14"/>
  <c r="D990" i="14"/>
  <c r="E989" i="14"/>
  <c r="D989" i="14"/>
  <c r="E988" i="14"/>
  <c r="D988" i="14"/>
  <c r="E987" i="14"/>
  <c r="D987" i="14"/>
  <c r="E986" i="14"/>
  <c r="D986" i="14"/>
  <c r="E985" i="14"/>
  <c r="D985" i="14"/>
  <c r="E984" i="14"/>
  <c r="D984" i="14"/>
  <c r="E983" i="14"/>
  <c r="D983" i="14"/>
  <c r="E982" i="14"/>
  <c r="D982" i="14"/>
  <c r="E981" i="14"/>
  <c r="D981" i="14"/>
  <c r="E980" i="14"/>
  <c r="D980" i="14"/>
  <c r="E979" i="14"/>
  <c r="D979" i="14"/>
  <c r="E978" i="14"/>
  <c r="D978" i="14"/>
  <c r="E977" i="14"/>
  <c r="D977" i="14"/>
  <c r="E976" i="14"/>
  <c r="D976" i="14"/>
  <c r="E975" i="14"/>
  <c r="D975" i="14"/>
  <c r="E974" i="14"/>
  <c r="D974" i="14"/>
  <c r="E973" i="14"/>
  <c r="D973" i="14"/>
  <c r="E972" i="14"/>
  <c r="D972" i="14"/>
  <c r="E971" i="14"/>
  <c r="D971" i="14"/>
  <c r="E970" i="14"/>
  <c r="D970" i="14"/>
  <c r="E969" i="14"/>
  <c r="D969" i="14"/>
  <c r="E968" i="14"/>
  <c r="D968" i="14"/>
  <c r="E967" i="14"/>
  <c r="D967" i="14"/>
  <c r="E966" i="14"/>
  <c r="D966" i="14"/>
  <c r="E965" i="14"/>
  <c r="D965" i="14"/>
  <c r="E964" i="14"/>
  <c r="D964" i="14"/>
  <c r="E963" i="14"/>
  <c r="D963" i="14"/>
  <c r="E962" i="14"/>
  <c r="D962" i="14"/>
  <c r="E961" i="14"/>
  <c r="D961" i="14"/>
  <c r="E960" i="14"/>
  <c r="D960" i="14"/>
  <c r="E959" i="14"/>
  <c r="D959" i="14"/>
  <c r="E958" i="14"/>
  <c r="D958" i="14"/>
  <c r="E957" i="14"/>
  <c r="D957" i="14"/>
  <c r="E956" i="14"/>
  <c r="D956" i="14"/>
  <c r="E955" i="14"/>
  <c r="D955" i="14"/>
  <c r="E954" i="14"/>
  <c r="D954" i="14"/>
  <c r="E953" i="14"/>
  <c r="D953" i="14"/>
  <c r="E952" i="14"/>
  <c r="D952" i="14"/>
  <c r="E951" i="14"/>
  <c r="D951" i="14"/>
  <c r="E950" i="14"/>
  <c r="D950" i="14"/>
  <c r="E949" i="14"/>
  <c r="D949" i="14"/>
  <c r="E948" i="14"/>
  <c r="D948" i="14"/>
  <c r="E947" i="14"/>
  <c r="D947" i="14"/>
  <c r="E946" i="14"/>
  <c r="D946" i="14"/>
  <c r="E945" i="14"/>
  <c r="D945" i="14"/>
  <c r="E944" i="14"/>
  <c r="D944" i="14"/>
  <c r="E943" i="14"/>
  <c r="D943" i="14"/>
  <c r="E942" i="14"/>
  <c r="D942" i="14"/>
  <c r="E941" i="14"/>
  <c r="D941" i="14"/>
  <c r="E940" i="14"/>
  <c r="D940" i="14"/>
  <c r="E939" i="14"/>
  <c r="D939" i="14"/>
  <c r="E938" i="14"/>
  <c r="D938" i="14"/>
  <c r="E937" i="14"/>
  <c r="D937" i="14"/>
  <c r="E936" i="14"/>
  <c r="D936" i="14"/>
  <c r="E935" i="14"/>
  <c r="D935" i="14"/>
  <c r="E934" i="14"/>
  <c r="D934" i="14"/>
  <c r="E933" i="14"/>
  <c r="D933" i="14"/>
  <c r="E932" i="14"/>
  <c r="D932" i="14"/>
  <c r="E931" i="14"/>
  <c r="D931" i="14"/>
  <c r="E930" i="14"/>
  <c r="D930" i="14"/>
  <c r="E929" i="14"/>
  <c r="D929" i="14"/>
  <c r="E928" i="14"/>
  <c r="D928" i="14"/>
  <c r="E927" i="14"/>
  <c r="D927" i="14"/>
  <c r="E926" i="14"/>
  <c r="D926" i="14"/>
  <c r="E925" i="14"/>
  <c r="D925" i="14"/>
  <c r="E924" i="14"/>
  <c r="D924" i="14"/>
  <c r="E923" i="14"/>
  <c r="D923" i="14"/>
  <c r="E922" i="14"/>
  <c r="D922" i="14"/>
  <c r="E921" i="14"/>
  <c r="D921" i="14"/>
  <c r="E920" i="14"/>
  <c r="D920" i="14"/>
  <c r="E919" i="14"/>
  <c r="D919" i="14"/>
  <c r="E918" i="14"/>
  <c r="D918" i="14"/>
  <c r="E917" i="14"/>
  <c r="D917" i="14"/>
  <c r="E916" i="14"/>
  <c r="D916" i="14"/>
  <c r="E915" i="14"/>
  <c r="D915" i="14"/>
  <c r="E914" i="14"/>
  <c r="D914" i="14"/>
  <c r="E913" i="14"/>
  <c r="D913" i="14"/>
  <c r="E912" i="14"/>
  <c r="D912" i="14"/>
  <c r="E911" i="14"/>
  <c r="D911" i="14"/>
  <c r="E910" i="14"/>
  <c r="D910" i="14"/>
  <c r="E909" i="14"/>
  <c r="D909" i="14"/>
  <c r="E908" i="14"/>
  <c r="D908" i="14"/>
  <c r="E907" i="14"/>
  <c r="D907" i="14"/>
  <c r="E906" i="14"/>
  <c r="D906" i="14"/>
  <c r="E905" i="14"/>
  <c r="D905" i="14"/>
  <c r="E904" i="14"/>
  <c r="D904" i="14"/>
  <c r="E903" i="14"/>
  <c r="D903" i="14"/>
  <c r="E902" i="14"/>
  <c r="D902" i="14"/>
  <c r="E901" i="14"/>
  <c r="D901" i="14"/>
  <c r="E900" i="14"/>
  <c r="D900" i="14"/>
  <c r="E899" i="14"/>
  <c r="D899" i="14"/>
  <c r="E898" i="14"/>
  <c r="D898" i="14"/>
  <c r="E897" i="14"/>
  <c r="D897" i="14"/>
  <c r="E896" i="14"/>
  <c r="D896" i="14"/>
  <c r="E895" i="14"/>
  <c r="D895" i="14"/>
  <c r="E894" i="14"/>
  <c r="D894" i="14"/>
  <c r="E893" i="14"/>
  <c r="D893" i="14"/>
  <c r="E892" i="14"/>
  <c r="D892" i="14"/>
  <c r="E891" i="14"/>
  <c r="D891" i="14"/>
  <c r="E890" i="14"/>
  <c r="D890" i="14"/>
  <c r="E889" i="14"/>
  <c r="D889" i="14"/>
  <c r="E888" i="14"/>
  <c r="D888" i="14"/>
  <c r="E887" i="14"/>
  <c r="D887" i="14"/>
  <c r="E886" i="14"/>
  <c r="D886" i="14"/>
  <c r="E885" i="14"/>
  <c r="D885" i="14"/>
  <c r="E884" i="14"/>
  <c r="D884" i="14"/>
  <c r="E883" i="14"/>
  <c r="D883" i="14"/>
  <c r="E882" i="14"/>
  <c r="D882" i="14"/>
  <c r="E881" i="14"/>
  <c r="D881" i="14"/>
  <c r="E880" i="14"/>
  <c r="D880" i="14"/>
  <c r="E879" i="14"/>
  <c r="D879" i="14"/>
  <c r="E878" i="14"/>
  <c r="D878" i="14"/>
  <c r="E877" i="14"/>
  <c r="D877" i="14"/>
  <c r="E876" i="14"/>
  <c r="D876" i="14"/>
  <c r="E875" i="14"/>
  <c r="D875" i="14"/>
  <c r="E874" i="14"/>
  <c r="D874" i="14"/>
  <c r="E873" i="14"/>
  <c r="D873" i="14"/>
  <c r="E872" i="14"/>
  <c r="D872" i="14"/>
  <c r="E871" i="14"/>
  <c r="D871" i="14"/>
  <c r="E870" i="14"/>
  <c r="D870" i="14"/>
  <c r="E869" i="14"/>
  <c r="D869" i="14"/>
  <c r="E868" i="14"/>
  <c r="D868" i="14"/>
  <c r="E867" i="14"/>
  <c r="D867" i="14"/>
  <c r="E866" i="14"/>
  <c r="D866" i="14"/>
  <c r="E865" i="14"/>
  <c r="D865" i="14"/>
  <c r="E864" i="14"/>
  <c r="D864" i="14"/>
  <c r="E863" i="14"/>
  <c r="D863" i="14"/>
  <c r="E862" i="14"/>
  <c r="D862" i="14"/>
  <c r="E861" i="14"/>
  <c r="D861" i="14"/>
  <c r="E860" i="14"/>
  <c r="D860" i="14"/>
  <c r="E859" i="14"/>
  <c r="D859" i="14"/>
  <c r="E858" i="14"/>
  <c r="D858" i="14"/>
  <c r="E857" i="14"/>
  <c r="D857" i="14"/>
  <c r="E856" i="14"/>
  <c r="D856" i="14"/>
  <c r="E855" i="14"/>
  <c r="D855" i="14"/>
  <c r="E854" i="14"/>
  <c r="D854" i="14"/>
  <c r="E853" i="14"/>
  <c r="D853" i="14"/>
  <c r="E852" i="14"/>
  <c r="D852" i="14"/>
  <c r="E851" i="14"/>
  <c r="D851" i="14"/>
  <c r="E850" i="14"/>
  <c r="D850" i="14"/>
  <c r="E849" i="14"/>
  <c r="D849" i="14"/>
  <c r="E848" i="14"/>
  <c r="D848" i="14"/>
  <c r="E847" i="14"/>
  <c r="D847" i="14"/>
  <c r="E846" i="14"/>
  <c r="D846" i="14"/>
  <c r="E845" i="14"/>
  <c r="D845" i="14"/>
  <c r="E844" i="14"/>
  <c r="D844" i="14"/>
  <c r="E843" i="14"/>
  <c r="D843" i="14"/>
  <c r="E842" i="14"/>
  <c r="D842" i="14"/>
  <c r="E841" i="14"/>
  <c r="D841" i="14"/>
  <c r="E840" i="14"/>
  <c r="D840" i="14"/>
  <c r="E839" i="14"/>
  <c r="D839" i="14"/>
  <c r="E838" i="14"/>
  <c r="D838" i="14"/>
  <c r="E837" i="14"/>
  <c r="D837" i="14"/>
  <c r="E836" i="14"/>
  <c r="D836" i="14"/>
  <c r="E835" i="14"/>
  <c r="D835" i="14"/>
  <c r="E834" i="14"/>
  <c r="D834" i="14"/>
  <c r="E833" i="14"/>
  <c r="D833" i="14"/>
  <c r="E832" i="14"/>
  <c r="D832" i="14"/>
  <c r="E831" i="14"/>
  <c r="D831" i="14"/>
  <c r="E830" i="14"/>
  <c r="D830" i="14"/>
  <c r="E829" i="14"/>
  <c r="D829" i="14"/>
  <c r="E828" i="14"/>
  <c r="D828" i="14"/>
  <c r="E827" i="14"/>
  <c r="D827" i="14"/>
  <c r="E826" i="14"/>
  <c r="D826" i="14"/>
  <c r="E825" i="14"/>
  <c r="D825" i="14"/>
  <c r="E824" i="14"/>
  <c r="D824" i="14"/>
  <c r="E823" i="14"/>
  <c r="D823" i="14"/>
  <c r="E822" i="14"/>
  <c r="D822" i="14"/>
  <c r="E821" i="14"/>
  <c r="D821" i="14"/>
  <c r="E820" i="14"/>
  <c r="D820" i="14"/>
  <c r="E819" i="14"/>
  <c r="D819" i="14"/>
  <c r="E818" i="14"/>
  <c r="D818" i="14"/>
  <c r="E817" i="14"/>
  <c r="D817" i="14"/>
  <c r="E816" i="14"/>
  <c r="D816" i="14"/>
  <c r="E815" i="14"/>
  <c r="D815" i="14"/>
  <c r="E814" i="14"/>
  <c r="D814" i="14"/>
  <c r="E813" i="14"/>
  <c r="D813" i="14"/>
  <c r="E812" i="14"/>
  <c r="D812" i="14"/>
  <c r="E811" i="14"/>
  <c r="D811" i="14"/>
  <c r="E810" i="14"/>
  <c r="D810" i="14"/>
  <c r="E809" i="14"/>
  <c r="D809" i="14"/>
  <c r="E808" i="14"/>
  <c r="D808" i="14"/>
  <c r="E807" i="14"/>
  <c r="D807" i="14"/>
  <c r="E806" i="14"/>
  <c r="D806" i="14"/>
  <c r="E805" i="14"/>
  <c r="D805" i="14"/>
  <c r="E804" i="14"/>
  <c r="D804" i="14"/>
  <c r="E803" i="14"/>
  <c r="D803" i="14"/>
  <c r="E802" i="14"/>
  <c r="D802" i="14"/>
  <c r="E801" i="14"/>
  <c r="D801" i="14"/>
  <c r="E800" i="14"/>
  <c r="D800" i="14"/>
  <c r="E799" i="14"/>
  <c r="D799" i="14"/>
  <c r="E798" i="14"/>
  <c r="D798" i="14"/>
  <c r="E797" i="14"/>
  <c r="D797" i="14"/>
  <c r="E796" i="14"/>
  <c r="D796" i="14"/>
  <c r="E795" i="14"/>
  <c r="D795" i="14"/>
  <c r="E794" i="14"/>
  <c r="D794" i="14"/>
  <c r="E793" i="14"/>
  <c r="D793" i="14"/>
  <c r="E792" i="14"/>
  <c r="D792" i="14"/>
  <c r="E791" i="14"/>
  <c r="D791" i="14"/>
  <c r="E790" i="14"/>
  <c r="D790" i="14"/>
  <c r="E789" i="14"/>
  <c r="D789" i="14"/>
  <c r="E788" i="14"/>
  <c r="D788" i="14"/>
  <c r="E787" i="14"/>
  <c r="D787" i="14"/>
  <c r="E786" i="14"/>
  <c r="D786" i="14"/>
  <c r="E785" i="14"/>
  <c r="D785" i="14"/>
  <c r="E784" i="14"/>
  <c r="D784" i="14"/>
  <c r="E783" i="14"/>
  <c r="D783" i="14"/>
  <c r="E782" i="14"/>
  <c r="D782" i="14"/>
  <c r="E781" i="14"/>
  <c r="D781" i="14"/>
  <c r="E780" i="14"/>
  <c r="D780" i="14"/>
  <c r="E779" i="14"/>
  <c r="D779" i="14"/>
  <c r="E778" i="14"/>
  <c r="D778" i="14"/>
  <c r="E777" i="14"/>
  <c r="D777" i="14"/>
  <c r="E776" i="14"/>
  <c r="D776" i="14"/>
  <c r="E775" i="14"/>
  <c r="D775" i="14"/>
  <c r="E774" i="14"/>
  <c r="D774" i="14"/>
  <c r="E773" i="14"/>
  <c r="D773" i="14"/>
  <c r="E772" i="14"/>
  <c r="D772" i="14"/>
  <c r="E771" i="14"/>
  <c r="D771" i="14"/>
  <c r="E770" i="14"/>
  <c r="D770" i="14"/>
  <c r="E769" i="14"/>
  <c r="D769" i="14"/>
  <c r="E768" i="14"/>
  <c r="D768" i="14"/>
  <c r="E767" i="14"/>
  <c r="D767" i="14"/>
  <c r="E766" i="14"/>
  <c r="D766" i="14"/>
  <c r="E765" i="14"/>
  <c r="D765" i="14"/>
  <c r="E764" i="14"/>
  <c r="D764" i="14"/>
  <c r="E763" i="14"/>
  <c r="D763" i="14"/>
  <c r="E762" i="14"/>
  <c r="D762" i="14"/>
  <c r="E761" i="14"/>
  <c r="D761" i="14"/>
  <c r="E760" i="14"/>
  <c r="D760" i="14"/>
  <c r="E759" i="14"/>
  <c r="D759" i="14"/>
  <c r="E758" i="14"/>
  <c r="D758" i="14"/>
  <c r="E757" i="14"/>
  <c r="D757" i="14"/>
  <c r="E756" i="14"/>
  <c r="D756" i="14"/>
  <c r="E755" i="14"/>
  <c r="D755" i="14"/>
  <c r="E754" i="14"/>
  <c r="D754" i="14"/>
  <c r="E753" i="14"/>
  <c r="D753" i="14"/>
  <c r="E752" i="14"/>
  <c r="D752" i="14"/>
  <c r="E751" i="14"/>
  <c r="D751" i="14"/>
  <c r="E750" i="14"/>
  <c r="D750" i="14"/>
  <c r="E749" i="14"/>
  <c r="D749" i="14"/>
  <c r="E748" i="14"/>
  <c r="D748" i="14"/>
  <c r="E747" i="14"/>
  <c r="D747" i="14"/>
  <c r="E746" i="14"/>
  <c r="D746" i="14"/>
  <c r="E745" i="14"/>
  <c r="D745" i="14"/>
  <c r="E744" i="14"/>
  <c r="D744" i="14"/>
  <c r="E743" i="14"/>
  <c r="D743" i="14"/>
  <c r="E742" i="14"/>
  <c r="D742" i="14"/>
  <c r="E741" i="14"/>
  <c r="D741" i="14"/>
  <c r="E740" i="14"/>
  <c r="D740" i="14"/>
  <c r="E739" i="14"/>
  <c r="D739" i="14"/>
  <c r="E738" i="14"/>
  <c r="D738" i="14"/>
  <c r="E737" i="14"/>
  <c r="D737" i="14"/>
  <c r="E736" i="14"/>
  <c r="D736" i="14"/>
  <c r="E735" i="14"/>
  <c r="D735" i="14"/>
  <c r="E734" i="14"/>
  <c r="D734" i="14"/>
  <c r="E733" i="14"/>
  <c r="D733" i="14"/>
  <c r="E732" i="14"/>
  <c r="D732" i="14"/>
  <c r="E731" i="14"/>
  <c r="D731" i="14"/>
  <c r="E730" i="14"/>
  <c r="D730" i="14"/>
  <c r="E729" i="14"/>
  <c r="D729" i="14"/>
  <c r="E728" i="14"/>
  <c r="D728" i="14"/>
  <c r="E727" i="14"/>
  <c r="D727" i="14"/>
  <c r="E726" i="14"/>
  <c r="D726" i="14"/>
  <c r="E725" i="14"/>
  <c r="D725" i="14"/>
  <c r="E724" i="14"/>
  <c r="D724" i="14"/>
  <c r="E723" i="14"/>
  <c r="D723" i="14"/>
  <c r="E722" i="14"/>
  <c r="D722" i="14"/>
  <c r="E721" i="14"/>
  <c r="D721" i="14"/>
  <c r="E720" i="14"/>
  <c r="D720" i="14"/>
  <c r="E719" i="14"/>
  <c r="D719" i="14"/>
  <c r="E718" i="14"/>
  <c r="D718" i="14"/>
  <c r="E717" i="14"/>
  <c r="D717" i="14"/>
  <c r="E716" i="14"/>
  <c r="D716" i="14"/>
  <c r="E715" i="14"/>
  <c r="D715" i="14"/>
  <c r="E714" i="14"/>
  <c r="D714" i="14"/>
  <c r="E713" i="14"/>
  <c r="D713" i="14"/>
  <c r="E712" i="14"/>
  <c r="D712" i="14"/>
  <c r="E711" i="14"/>
  <c r="D711" i="14"/>
  <c r="E710" i="14"/>
  <c r="D710" i="14"/>
  <c r="E709" i="14"/>
  <c r="D709" i="14"/>
  <c r="E708" i="14"/>
  <c r="D708" i="14"/>
  <c r="E707" i="14"/>
  <c r="D707" i="14"/>
  <c r="E706" i="14"/>
  <c r="D706" i="14"/>
  <c r="E705" i="14"/>
  <c r="D705" i="14"/>
  <c r="E704" i="14"/>
  <c r="D704" i="14"/>
  <c r="E703" i="14"/>
  <c r="D703" i="14"/>
  <c r="E702" i="14"/>
  <c r="D702" i="14"/>
  <c r="E701" i="14"/>
  <c r="D701" i="14"/>
  <c r="E700" i="14"/>
  <c r="D700" i="14"/>
  <c r="E699" i="14"/>
  <c r="D699" i="14"/>
  <c r="E698" i="14"/>
  <c r="D698" i="14"/>
  <c r="E697" i="14"/>
  <c r="D697" i="14"/>
  <c r="E696" i="14"/>
  <c r="D696" i="14"/>
  <c r="E695" i="14"/>
  <c r="D695" i="14"/>
  <c r="E694" i="14"/>
  <c r="D694" i="14"/>
  <c r="E693" i="14"/>
  <c r="D693" i="14"/>
  <c r="E692" i="14"/>
  <c r="D692" i="14"/>
  <c r="E691" i="14"/>
  <c r="D691" i="14"/>
  <c r="E690" i="14"/>
  <c r="D690" i="14"/>
  <c r="E689" i="14"/>
  <c r="D689" i="14"/>
  <c r="E688" i="14"/>
  <c r="D688" i="14"/>
  <c r="E687" i="14"/>
  <c r="D687" i="14"/>
  <c r="E686" i="14"/>
  <c r="D686" i="14"/>
  <c r="E685" i="14"/>
  <c r="D685" i="14"/>
  <c r="E684" i="14"/>
  <c r="D684" i="14"/>
  <c r="E683" i="14"/>
  <c r="D683" i="14"/>
  <c r="E682" i="14"/>
  <c r="D682" i="14"/>
  <c r="E681" i="14"/>
  <c r="D681" i="14"/>
  <c r="E680" i="14"/>
  <c r="D680" i="14"/>
  <c r="E679" i="14"/>
  <c r="D679" i="14"/>
  <c r="E678" i="14"/>
  <c r="D678" i="14"/>
  <c r="E677" i="14"/>
  <c r="D677" i="14"/>
  <c r="E676" i="14"/>
  <c r="D676" i="14"/>
  <c r="E675" i="14"/>
  <c r="D675" i="14"/>
  <c r="E674" i="14"/>
  <c r="D674" i="14"/>
  <c r="E673" i="14"/>
  <c r="D673" i="14"/>
  <c r="E672" i="14"/>
  <c r="D672" i="14"/>
  <c r="E671" i="14"/>
  <c r="D671" i="14"/>
  <c r="E670" i="14"/>
  <c r="D670" i="14"/>
  <c r="E669" i="14"/>
  <c r="D669" i="14"/>
  <c r="E668" i="14"/>
  <c r="D668" i="14"/>
  <c r="E667" i="14"/>
  <c r="D667" i="14"/>
  <c r="E666" i="14"/>
  <c r="D666" i="14"/>
  <c r="E665" i="14"/>
  <c r="D665" i="14"/>
  <c r="E664" i="14"/>
  <c r="D664" i="14"/>
  <c r="E663" i="14"/>
  <c r="D663" i="14"/>
  <c r="E662" i="14"/>
  <c r="D662" i="14"/>
  <c r="E661" i="14"/>
  <c r="D661" i="14"/>
  <c r="E660" i="14"/>
  <c r="D660" i="14"/>
  <c r="E659" i="14"/>
  <c r="D659" i="14"/>
  <c r="E658" i="14"/>
  <c r="D658" i="14"/>
  <c r="E657" i="14"/>
  <c r="D657" i="14"/>
  <c r="E656" i="14"/>
  <c r="D656" i="14"/>
  <c r="E655" i="14"/>
  <c r="D655" i="14"/>
  <c r="E654" i="14"/>
  <c r="D654" i="14"/>
  <c r="E653" i="14"/>
  <c r="D653" i="14"/>
  <c r="E652" i="14"/>
  <c r="D652" i="14"/>
  <c r="E651" i="14"/>
  <c r="D651" i="14"/>
  <c r="E650" i="14"/>
  <c r="D650" i="14"/>
  <c r="E649" i="14"/>
  <c r="D649" i="14"/>
  <c r="E648" i="14"/>
  <c r="D648" i="14"/>
  <c r="E647" i="14"/>
  <c r="D647" i="14"/>
  <c r="E646" i="14"/>
  <c r="D646" i="14"/>
  <c r="E645" i="14"/>
  <c r="D645" i="14"/>
  <c r="E644" i="14"/>
  <c r="D644" i="14"/>
  <c r="E643" i="14"/>
  <c r="D643" i="14"/>
  <c r="E642" i="14"/>
  <c r="D642" i="14"/>
  <c r="E641" i="14"/>
  <c r="D641" i="14"/>
  <c r="E640" i="14"/>
  <c r="D640" i="14"/>
  <c r="E639" i="14"/>
  <c r="D639" i="14"/>
  <c r="E638" i="14"/>
  <c r="D638" i="14"/>
  <c r="E637" i="14"/>
  <c r="D637" i="14"/>
  <c r="E636" i="14"/>
  <c r="D636" i="14"/>
  <c r="E635" i="14"/>
  <c r="D635" i="14"/>
  <c r="E634" i="14"/>
  <c r="D634" i="14"/>
  <c r="E633" i="14"/>
  <c r="D633" i="14"/>
  <c r="E632" i="14"/>
  <c r="D632" i="14"/>
  <c r="E631" i="14"/>
  <c r="D631" i="14"/>
  <c r="E630" i="14"/>
  <c r="D630" i="14"/>
  <c r="E629" i="14"/>
  <c r="D629" i="14"/>
  <c r="E628" i="14"/>
  <c r="D628" i="14"/>
  <c r="E627" i="14"/>
  <c r="D627" i="14"/>
  <c r="E626" i="14"/>
  <c r="D626" i="14"/>
  <c r="E625" i="14"/>
  <c r="D625" i="14"/>
  <c r="E624" i="14"/>
  <c r="D624" i="14"/>
  <c r="E623" i="14"/>
  <c r="D623" i="14"/>
  <c r="E622" i="14"/>
  <c r="D622" i="14"/>
  <c r="E621" i="14"/>
  <c r="D621" i="14"/>
  <c r="E620" i="14"/>
  <c r="D620" i="14"/>
  <c r="E619" i="14"/>
  <c r="D619" i="14"/>
  <c r="E618" i="14"/>
  <c r="D618" i="14"/>
  <c r="E617" i="14"/>
  <c r="D617" i="14"/>
  <c r="E616" i="14"/>
  <c r="D616" i="14"/>
  <c r="E615" i="14"/>
  <c r="D615" i="14"/>
  <c r="E614" i="14"/>
  <c r="D614" i="14"/>
  <c r="E613" i="14"/>
  <c r="D613" i="14"/>
  <c r="E612" i="14"/>
  <c r="D612" i="14"/>
  <c r="E611" i="14"/>
  <c r="D611" i="14"/>
  <c r="E610" i="14"/>
  <c r="D610" i="14"/>
  <c r="E609" i="14"/>
  <c r="D609" i="14"/>
  <c r="E608" i="14"/>
  <c r="D608" i="14"/>
  <c r="E607" i="14"/>
  <c r="D607" i="14"/>
  <c r="E606" i="14"/>
  <c r="D606" i="14"/>
  <c r="E605" i="14"/>
  <c r="D605" i="14"/>
  <c r="E604" i="14"/>
  <c r="D604" i="14"/>
  <c r="E603" i="14"/>
  <c r="D603" i="14"/>
  <c r="E602" i="14"/>
  <c r="D602" i="14"/>
  <c r="E601" i="14"/>
  <c r="D601" i="14"/>
  <c r="E600" i="14"/>
  <c r="D600" i="14"/>
  <c r="E599" i="14"/>
  <c r="D599" i="14"/>
  <c r="E598" i="14"/>
  <c r="D598" i="14"/>
  <c r="E597" i="14"/>
  <c r="D597" i="14"/>
  <c r="E596" i="14"/>
  <c r="D596" i="14"/>
  <c r="E595" i="14"/>
  <c r="D595" i="14"/>
  <c r="E594" i="14"/>
  <c r="D594" i="14"/>
  <c r="E593" i="14"/>
  <c r="D593" i="14"/>
  <c r="E592" i="14"/>
  <c r="D592" i="14"/>
  <c r="E591" i="14"/>
  <c r="D591" i="14"/>
  <c r="E590" i="14"/>
  <c r="D590" i="14"/>
  <c r="E589" i="14"/>
  <c r="D589" i="14"/>
  <c r="E588" i="14"/>
  <c r="D588" i="14"/>
  <c r="E587" i="14"/>
  <c r="D587" i="14"/>
  <c r="E586" i="14"/>
  <c r="D586" i="14"/>
  <c r="E585" i="14"/>
  <c r="D585" i="14"/>
  <c r="E584" i="14"/>
  <c r="D584" i="14"/>
  <c r="E583" i="14"/>
  <c r="D583" i="14"/>
  <c r="E582" i="14"/>
  <c r="D582" i="14"/>
  <c r="E581" i="14"/>
  <c r="D581" i="14"/>
  <c r="E580" i="14"/>
  <c r="D580" i="14"/>
  <c r="E579" i="14"/>
  <c r="D579" i="14"/>
  <c r="E578" i="14"/>
  <c r="D578" i="14"/>
  <c r="E577" i="14"/>
  <c r="D577" i="14"/>
  <c r="E576" i="14"/>
  <c r="D576" i="14"/>
  <c r="E575" i="14"/>
  <c r="D575" i="14"/>
  <c r="E574" i="14"/>
  <c r="D574" i="14"/>
  <c r="E573" i="14"/>
  <c r="D573" i="14"/>
  <c r="E572" i="14"/>
  <c r="D572" i="14"/>
  <c r="E571" i="14"/>
  <c r="D571" i="14"/>
  <c r="E570" i="14"/>
  <c r="D570" i="14"/>
  <c r="E569" i="14"/>
  <c r="D569" i="14"/>
  <c r="E568" i="14"/>
  <c r="D568" i="14"/>
  <c r="E567" i="14"/>
  <c r="D567" i="14"/>
  <c r="E566" i="14"/>
  <c r="D566" i="14"/>
  <c r="E565" i="14"/>
  <c r="D565" i="14"/>
  <c r="E564" i="14"/>
  <c r="D564" i="14"/>
  <c r="E563" i="14"/>
  <c r="D563" i="14"/>
  <c r="E562" i="14"/>
  <c r="D562" i="14"/>
  <c r="E561" i="14"/>
  <c r="D561" i="14"/>
  <c r="E560" i="14"/>
  <c r="D560" i="14"/>
  <c r="E559" i="14"/>
  <c r="D559" i="14"/>
  <c r="E558" i="14"/>
  <c r="D558" i="14"/>
  <c r="E557" i="14"/>
  <c r="D557" i="14"/>
  <c r="E556" i="14"/>
  <c r="D556" i="14"/>
  <c r="E555" i="14"/>
  <c r="D555" i="14"/>
  <c r="E554" i="14"/>
  <c r="D554" i="14"/>
  <c r="E553" i="14"/>
  <c r="D553" i="14"/>
  <c r="E552" i="14"/>
  <c r="D552" i="14"/>
  <c r="E551" i="14"/>
  <c r="D551" i="14"/>
  <c r="E550" i="14"/>
  <c r="D550" i="14"/>
  <c r="E549" i="14"/>
  <c r="D549" i="14"/>
  <c r="E548" i="14"/>
  <c r="D548" i="14"/>
  <c r="E547" i="14"/>
  <c r="D547" i="14"/>
  <c r="E546" i="14"/>
  <c r="D546" i="14"/>
  <c r="E545" i="14"/>
  <c r="D545" i="14"/>
  <c r="E544" i="14"/>
  <c r="D544" i="14"/>
  <c r="E543" i="14"/>
  <c r="D543" i="14"/>
  <c r="E542" i="14"/>
  <c r="D542" i="14"/>
  <c r="E541" i="14"/>
  <c r="D541" i="14"/>
  <c r="E540" i="14"/>
  <c r="D540" i="14"/>
  <c r="E539" i="14"/>
  <c r="D539" i="14"/>
  <c r="E538" i="14"/>
  <c r="D538" i="14"/>
  <c r="E537" i="14"/>
  <c r="D537" i="14"/>
  <c r="E536" i="14"/>
  <c r="D536" i="14"/>
  <c r="E535" i="14"/>
  <c r="D535" i="14"/>
  <c r="E534" i="14"/>
  <c r="D534" i="14"/>
  <c r="E533" i="14"/>
  <c r="D533" i="14"/>
  <c r="E532" i="14"/>
  <c r="D532" i="14"/>
  <c r="E531" i="14"/>
  <c r="D531" i="14"/>
  <c r="E530" i="14"/>
  <c r="D530" i="14"/>
  <c r="E529" i="14"/>
  <c r="D529" i="14"/>
  <c r="E528" i="14"/>
  <c r="D528" i="14"/>
  <c r="E527" i="14"/>
  <c r="D527" i="14"/>
  <c r="E526" i="14"/>
  <c r="D526" i="14"/>
  <c r="E525" i="14"/>
  <c r="D525" i="14"/>
  <c r="E524" i="14"/>
  <c r="D524" i="14"/>
  <c r="E523" i="14"/>
  <c r="D523" i="14"/>
  <c r="E522" i="14"/>
  <c r="D522" i="14"/>
  <c r="E521" i="14"/>
  <c r="D521" i="14"/>
  <c r="E520" i="14"/>
  <c r="D520" i="14"/>
  <c r="E519" i="14"/>
  <c r="D519" i="14"/>
  <c r="E518" i="14"/>
  <c r="D518" i="14"/>
  <c r="E517" i="14"/>
  <c r="D517" i="14"/>
  <c r="E516" i="14"/>
  <c r="D516" i="14"/>
  <c r="E515" i="14"/>
  <c r="D515" i="14"/>
  <c r="E514" i="14"/>
  <c r="D514" i="14"/>
  <c r="E513" i="14"/>
  <c r="D513" i="14"/>
  <c r="E512" i="14"/>
  <c r="D512" i="14"/>
  <c r="E511" i="14"/>
  <c r="D511" i="14"/>
  <c r="E510" i="14"/>
  <c r="D510" i="14"/>
  <c r="E509" i="14"/>
  <c r="D509" i="14"/>
  <c r="E508" i="14"/>
  <c r="D508" i="14"/>
  <c r="E507" i="14"/>
  <c r="D507" i="14"/>
  <c r="E506" i="14"/>
  <c r="D506" i="14"/>
  <c r="E505" i="14"/>
  <c r="D505" i="14"/>
  <c r="E504" i="14"/>
  <c r="D504" i="14"/>
  <c r="E503" i="14"/>
  <c r="D503" i="14"/>
  <c r="E502" i="14"/>
  <c r="D502" i="14"/>
  <c r="E501" i="14"/>
  <c r="D501" i="14"/>
  <c r="E500" i="14"/>
  <c r="D500" i="14"/>
  <c r="E499" i="14"/>
  <c r="D499" i="14"/>
  <c r="E498" i="14"/>
  <c r="D498" i="14"/>
  <c r="E497" i="14"/>
  <c r="D497" i="14"/>
  <c r="E496" i="14"/>
  <c r="D496" i="14"/>
  <c r="E495" i="14"/>
  <c r="D495" i="14"/>
  <c r="E494" i="14"/>
  <c r="D494" i="14"/>
  <c r="E493" i="14"/>
  <c r="D493" i="14"/>
  <c r="E492" i="14"/>
  <c r="D492" i="14"/>
  <c r="E491" i="14"/>
  <c r="D491" i="14"/>
  <c r="E490" i="14"/>
  <c r="D490" i="14"/>
  <c r="E489" i="14"/>
  <c r="D489" i="14"/>
  <c r="E488" i="14"/>
  <c r="D488" i="14"/>
  <c r="E487" i="14"/>
  <c r="D487" i="14"/>
  <c r="E486" i="14"/>
  <c r="D486" i="14"/>
  <c r="E485" i="14"/>
  <c r="D485" i="14"/>
  <c r="E484" i="14"/>
  <c r="D484" i="14"/>
  <c r="E483" i="14"/>
  <c r="D483" i="14"/>
  <c r="E482" i="14"/>
  <c r="D482" i="14"/>
  <c r="E481" i="14"/>
  <c r="D481" i="14"/>
  <c r="E480" i="14"/>
  <c r="D480" i="14"/>
  <c r="E479" i="14"/>
  <c r="D479" i="14"/>
  <c r="E478" i="14"/>
  <c r="D478" i="14"/>
  <c r="E477" i="14"/>
  <c r="D477" i="14"/>
  <c r="E476" i="14"/>
  <c r="D476" i="14"/>
  <c r="E475" i="14"/>
  <c r="D475" i="14"/>
  <c r="E474" i="14"/>
  <c r="D474" i="14"/>
  <c r="E473" i="14"/>
  <c r="D473" i="14"/>
  <c r="E472" i="14"/>
  <c r="D472" i="14"/>
  <c r="E471" i="14"/>
  <c r="D471" i="14"/>
  <c r="E470" i="14"/>
  <c r="D470" i="14"/>
  <c r="E469" i="14"/>
  <c r="D469" i="14"/>
  <c r="E468" i="14"/>
  <c r="D468" i="14"/>
  <c r="E467" i="14"/>
  <c r="D467" i="14"/>
  <c r="E466" i="14"/>
  <c r="D466" i="14"/>
  <c r="E465" i="14"/>
  <c r="D465" i="14"/>
  <c r="E464" i="14"/>
  <c r="D464" i="14"/>
  <c r="E463" i="14"/>
  <c r="D463" i="14"/>
  <c r="E462" i="14"/>
  <c r="D462" i="14"/>
  <c r="E461" i="14"/>
  <c r="D461" i="14"/>
  <c r="E460" i="14"/>
  <c r="D460" i="14"/>
  <c r="E459" i="14"/>
  <c r="D459" i="14"/>
  <c r="E458" i="14"/>
  <c r="D458" i="14"/>
  <c r="E457" i="14"/>
  <c r="D457" i="14"/>
  <c r="E456" i="14"/>
  <c r="D456" i="14"/>
  <c r="E455" i="14"/>
  <c r="D455" i="14"/>
  <c r="E454" i="14"/>
  <c r="D454" i="14"/>
  <c r="E453" i="14"/>
  <c r="D453" i="14"/>
  <c r="E452" i="14"/>
  <c r="D452" i="14"/>
  <c r="E451" i="14"/>
  <c r="D451" i="14"/>
  <c r="E450" i="14"/>
  <c r="D450" i="14"/>
  <c r="E449" i="14"/>
  <c r="D449" i="14"/>
  <c r="E448" i="14"/>
  <c r="D448" i="14"/>
  <c r="E447" i="14"/>
  <c r="D447" i="14"/>
  <c r="E446" i="14"/>
  <c r="D446" i="14"/>
  <c r="E445" i="14"/>
  <c r="D445" i="14"/>
  <c r="E444" i="14"/>
  <c r="D444" i="14"/>
  <c r="E443" i="14"/>
  <c r="D443" i="14"/>
  <c r="E442" i="14"/>
  <c r="D442" i="14"/>
  <c r="E441" i="14"/>
  <c r="D441" i="14"/>
  <c r="E440" i="14"/>
  <c r="D440" i="14"/>
  <c r="E439" i="14"/>
  <c r="D439" i="14"/>
  <c r="E438" i="14"/>
  <c r="D438" i="14"/>
  <c r="E437" i="14"/>
  <c r="D437" i="14"/>
  <c r="E436" i="14"/>
  <c r="D436" i="14"/>
  <c r="E435" i="14"/>
  <c r="D435" i="14"/>
  <c r="E434" i="14"/>
  <c r="D434" i="14"/>
  <c r="E433" i="14"/>
  <c r="D433" i="14"/>
  <c r="E432" i="14"/>
  <c r="D432" i="14"/>
  <c r="E431" i="14"/>
  <c r="D431" i="14"/>
  <c r="E430" i="14"/>
  <c r="D430" i="14"/>
  <c r="E429" i="14"/>
  <c r="D429" i="14"/>
  <c r="E428" i="14"/>
  <c r="D428" i="14"/>
  <c r="E427" i="14"/>
  <c r="D427" i="14"/>
  <c r="E426" i="14"/>
  <c r="D426" i="14"/>
  <c r="E425" i="14"/>
  <c r="D425" i="14"/>
  <c r="E424" i="14"/>
  <c r="D424" i="14"/>
  <c r="E423" i="14"/>
  <c r="D423" i="14"/>
  <c r="E422" i="14"/>
  <c r="D422" i="14"/>
  <c r="E421" i="14"/>
  <c r="D421" i="14"/>
  <c r="E420" i="14"/>
  <c r="D420" i="14"/>
  <c r="E419" i="14"/>
  <c r="D419" i="14"/>
  <c r="E418" i="14"/>
  <c r="D418" i="14"/>
  <c r="E417" i="14"/>
  <c r="D417" i="14"/>
  <c r="E416" i="14"/>
  <c r="D416" i="14"/>
  <c r="E415" i="14"/>
  <c r="D415" i="14"/>
  <c r="E414" i="14"/>
  <c r="D414" i="14"/>
  <c r="E413" i="14"/>
  <c r="D413" i="14"/>
  <c r="E412" i="14"/>
  <c r="D412" i="14"/>
  <c r="E411" i="14"/>
  <c r="D411" i="14"/>
  <c r="E410" i="14"/>
  <c r="D410" i="14"/>
  <c r="E409" i="14"/>
  <c r="D409" i="14"/>
  <c r="E408" i="14"/>
  <c r="D408" i="14"/>
  <c r="E407" i="14"/>
  <c r="D407" i="14"/>
  <c r="E406" i="14"/>
  <c r="D406" i="14"/>
  <c r="E405" i="14"/>
  <c r="D405" i="14"/>
  <c r="E404" i="14"/>
  <c r="D404" i="14"/>
  <c r="E403" i="14"/>
  <c r="D403" i="14"/>
  <c r="E402" i="14"/>
  <c r="D402" i="14"/>
  <c r="E401" i="14"/>
  <c r="D401" i="14"/>
  <c r="E400" i="14"/>
  <c r="D400" i="14"/>
  <c r="E399" i="14"/>
  <c r="D399" i="14"/>
  <c r="E398" i="14"/>
  <c r="D398" i="14"/>
  <c r="E397" i="14"/>
  <c r="D397" i="14"/>
  <c r="E396" i="14"/>
  <c r="D396" i="14"/>
  <c r="E395" i="14"/>
  <c r="D395" i="14"/>
  <c r="E394" i="14"/>
  <c r="D394" i="14"/>
  <c r="E393" i="14"/>
  <c r="D393" i="14"/>
  <c r="E392" i="14"/>
  <c r="D392" i="14"/>
  <c r="E391" i="14"/>
  <c r="D391" i="14"/>
  <c r="E390" i="14"/>
  <c r="D390" i="14"/>
  <c r="E389" i="14"/>
  <c r="D389" i="14"/>
  <c r="E388" i="14"/>
  <c r="D388" i="14"/>
  <c r="E387" i="14"/>
  <c r="D387" i="14"/>
  <c r="E386" i="14"/>
  <c r="D386" i="14"/>
  <c r="E385" i="14"/>
  <c r="D385" i="14"/>
  <c r="E384" i="14"/>
  <c r="D384" i="14"/>
  <c r="E383" i="14"/>
  <c r="D383" i="14"/>
  <c r="E382" i="14"/>
  <c r="D382" i="14"/>
  <c r="E381" i="14"/>
  <c r="D381" i="14"/>
  <c r="E380" i="14"/>
  <c r="D380" i="14"/>
  <c r="E379" i="14"/>
  <c r="D379" i="14"/>
  <c r="E378" i="14"/>
  <c r="D378" i="14"/>
  <c r="E377" i="14"/>
  <c r="D377" i="14"/>
  <c r="E376" i="14"/>
  <c r="D376" i="14"/>
  <c r="E375" i="14"/>
  <c r="D375" i="14"/>
  <c r="E374" i="14"/>
  <c r="D374" i="14"/>
  <c r="E373" i="14"/>
  <c r="D373" i="14"/>
  <c r="E372" i="14"/>
  <c r="D372" i="14"/>
  <c r="E371" i="14"/>
  <c r="D371" i="14"/>
  <c r="E370" i="14"/>
  <c r="D370" i="14"/>
  <c r="E369" i="14"/>
  <c r="D369" i="14"/>
  <c r="E368" i="14"/>
  <c r="D368" i="14"/>
  <c r="E367" i="14"/>
  <c r="D367" i="14"/>
  <c r="E366" i="14"/>
  <c r="D366" i="14"/>
  <c r="E365" i="14"/>
  <c r="D365" i="14"/>
  <c r="E364" i="14"/>
  <c r="D364" i="14"/>
  <c r="E363" i="14"/>
  <c r="D363" i="14"/>
  <c r="E362" i="14"/>
  <c r="D362" i="14"/>
  <c r="E361" i="14"/>
  <c r="D361" i="14"/>
  <c r="E360" i="14"/>
  <c r="D360" i="14"/>
  <c r="E359" i="14"/>
  <c r="D359" i="14"/>
  <c r="E358" i="14"/>
  <c r="D358" i="14"/>
  <c r="E357" i="14"/>
  <c r="D357" i="14"/>
  <c r="E356" i="14"/>
  <c r="D356" i="14"/>
  <c r="E355" i="14"/>
  <c r="D355" i="14"/>
  <c r="E354" i="14"/>
  <c r="D354" i="14"/>
  <c r="E353" i="14"/>
  <c r="D353" i="14"/>
  <c r="E352" i="14"/>
  <c r="D352" i="14"/>
  <c r="E351" i="14"/>
  <c r="D351" i="14"/>
  <c r="E350" i="14"/>
  <c r="D350" i="14"/>
  <c r="E349" i="14"/>
  <c r="D349" i="14"/>
  <c r="E348" i="14"/>
  <c r="D348" i="14"/>
  <c r="E347" i="14"/>
  <c r="D347" i="14"/>
  <c r="E346" i="14"/>
  <c r="D346" i="14"/>
  <c r="E345" i="14"/>
  <c r="D345" i="14"/>
  <c r="E344" i="14"/>
  <c r="D344" i="14"/>
  <c r="E343" i="14"/>
  <c r="D343" i="14"/>
  <c r="E342" i="14"/>
  <c r="D342" i="14"/>
  <c r="E341" i="14"/>
  <c r="D341" i="14"/>
  <c r="E340" i="14"/>
  <c r="D340" i="14"/>
  <c r="E339" i="14"/>
  <c r="D339" i="14"/>
  <c r="E338" i="14"/>
  <c r="D338" i="14"/>
  <c r="E337" i="14"/>
  <c r="D337" i="14"/>
  <c r="E336" i="14"/>
  <c r="D336" i="14"/>
  <c r="E335" i="14"/>
  <c r="D335" i="14"/>
  <c r="E334" i="14"/>
  <c r="D334" i="14"/>
  <c r="E333" i="14"/>
  <c r="D333" i="14"/>
  <c r="E332" i="14"/>
  <c r="D332" i="14"/>
  <c r="E331" i="14"/>
  <c r="D331" i="14"/>
  <c r="E330" i="14"/>
  <c r="D330" i="14"/>
  <c r="E329" i="14"/>
  <c r="D329" i="14"/>
  <c r="E328" i="14"/>
  <c r="D328" i="14"/>
  <c r="E327" i="14"/>
  <c r="D327" i="14"/>
  <c r="E326" i="14"/>
  <c r="D326" i="14"/>
  <c r="E325" i="14"/>
  <c r="D325" i="14"/>
  <c r="E324" i="14"/>
  <c r="D324" i="14"/>
  <c r="E323" i="14"/>
  <c r="D323" i="14"/>
  <c r="E322" i="14"/>
  <c r="D322" i="14"/>
  <c r="E321" i="14"/>
  <c r="D321" i="14"/>
  <c r="E320" i="14"/>
  <c r="D320" i="14"/>
  <c r="E319" i="14"/>
  <c r="D319" i="14"/>
  <c r="E318" i="14"/>
  <c r="D318" i="14"/>
  <c r="E317" i="14"/>
  <c r="D317" i="14"/>
  <c r="E316" i="14"/>
  <c r="D316" i="14"/>
  <c r="E315" i="14"/>
  <c r="D315" i="14"/>
  <c r="E314" i="14"/>
  <c r="D314" i="14"/>
  <c r="E313" i="14"/>
  <c r="D313" i="14"/>
  <c r="E312" i="14"/>
  <c r="D312" i="14"/>
  <c r="E311" i="14"/>
  <c r="D311" i="14"/>
  <c r="E310" i="14"/>
  <c r="D310" i="14"/>
  <c r="E309" i="14"/>
  <c r="D309" i="14"/>
  <c r="E308" i="14"/>
  <c r="D308" i="14"/>
  <c r="E307" i="14"/>
  <c r="D307" i="14"/>
  <c r="E306" i="14"/>
  <c r="D306" i="14"/>
  <c r="E305" i="14"/>
  <c r="D305" i="14"/>
  <c r="E304" i="14"/>
  <c r="D304" i="14"/>
  <c r="E303" i="14"/>
  <c r="D303" i="14"/>
  <c r="E302" i="14"/>
  <c r="D302" i="14"/>
  <c r="E301" i="14"/>
  <c r="D301" i="14"/>
  <c r="E300" i="14"/>
  <c r="D300" i="14"/>
  <c r="E299" i="14"/>
  <c r="D299" i="14"/>
  <c r="E298" i="14"/>
  <c r="D298" i="14"/>
  <c r="E297" i="14"/>
  <c r="D297" i="14"/>
  <c r="E296" i="14"/>
  <c r="D296" i="14"/>
  <c r="E295" i="14"/>
  <c r="D295" i="14"/>
  <c r="E294" i="14"/>
  <c r="D294" i="14"/>
  <c r="E293" i="14"/>
  <c r="D293" i="14"/>
  <c r="E292" i="14"/>
  <c r="D292" i="14"/>
  <c r="E291" i="14"/>
  <c r="D291" i="14"/>
  <c r="E290" i="14"/>
  <c r="D290" i="14"/>
  <c r="E289" i="14"/>
  <c r="D289" i="14"/>
  <c r="E288" i="14"/>
  <c r="D288" i="14"/>
  <c r="E287" i="14"/>
  <c r="D287" i="14"/>
  <c r="E286" i="14"/>
  <c r="D286" i="14"/>
  <c r="E285" i="14"/>
  <c r="D285" i="14"/>
  <c r="E284" i="14"/>
  <c r="D284" i="14"/>
  <c r="E283" i="14"/>
  <c r="D283" i="14"/>
  <c r="E282" i="14"/>
  <c r="D282" i="14"/>
  <c r="E281" i="14"/>
  <c r="D281" i="14"/>
  <c r="E280" i="14"/>
  <c r="D280" i="14"/>
  <c r="E279" i="14"/>
  <c r="D279" i="14"/>
  <c r="E278" i="14"/>
  <c r="D278" i="14"/>
  <c r="E277" i="14"/>
  <c r="D277" i="14"/>
  <c r="E276" i="14"/>
  <c r="D276" i="14"/>
  <c r="E275" i="14"/>
  <c r="D275" i="14"/>
  <c r="E274" i="14"/>
  <c r="D274" i="14"/>
  <c r="E273" i="14"/>
  <c r="D273" i="14"/>
  <c r="E272" i="14"/>
  <c r="D272" i="14"/>
  <c r="E271" i="14"/>
  <c r="D271" i="14"/>
  <c r="E270" i="14"/>
  <c r="D270" i="14"/>
  <c r="E269" i="14"/>
  <c r="D269" i="14"/>
  <c r="E268" i="14"/>
  <c r="D268" i="14"/>
  <c r="E267" i="14"/>
  <c r="D267" i="14"/>
  <c r="E266" i="14"/>
  <c r="D266" i="14"/>
  <c r="E265" i="14"/>
  <c r="D265" i="14"/>
  <c r="E264" i="14"/>
  <c r="D264" i="14"/>
  <c r="E263" i="14"/>
  <c r="D263" i="14"/>
  <c r="E262" i="14"/>
  <c r="D262" i="14"/>
  <c r="E261" i="14"/>
  <c r="D261" i="14"/>
  <c r="E260" i="14"/>
  <c r="D260" i="14"/>
  <c r="E259" i="14"/>
  <c r="D259" i="14"/>
  <c r="E258" i="14"/>
  <c r="D258" i="14"/>
  <c r="E257" i="14"/>
  <c r="D257" i="14"/>
  <c r="E256" i="14"/>
  <c r="D256" i="14"/>
  <c r="E255" i="14"/>
  <c r="D255" i="14"/>
  <c r="E254" i="14"/>
  <c r="D254" i="14"/>
  <c r="E253" i="14"/>
  <c r="D253" i="14"/>
  <c r="E252" i="14"/>
  <c r="D252" i="14"/>
  <c r="E251" i="14"/>
  <c r="D251" i="14"/>
  <c r="E250" i="14"/>
  <c r="D250" i="14"/>
  <c r="E249" i="14"/>
  <c r="D249" i="14"/>
  <c r="E248" i="14"/>
  <c r="D248" i="14"/>
  <c r="E247" i="14"/>
  <c r="D247" i="14"/>
  <c r="E246" i="14"/>
  <c r="D246" i="14"/>
  <c r="E245" i="14"/>
  <c r="D245" i="14"/>
  <c r="E244" i="14"/>
  <c r="D244" i="14"/>
  <c r="E243" i="14"/>
  <c r="D243" i="14"/>
  <c r="E242" i="14"/>
  <c r="D242" i="14"/>
  <c r="E241" i="14"/>
  <c r="D241" i="14"/>
  <c r="E240" i="14"/>
  <c r="D240" i="14"/>
  <c r="E239" i="14"/>
  <c r="D239" i="14"/>
  <c r="E238" i="14"/>
  <c r="D238" i="14"/>
  <c r="E237" i="14"/>
  <c r="D237" i="14"/>
  <c r="E236" i="14"/>
  <c r="D236" i="14"/>
  <c r="E235" i="14"/>
  <c r="D235" i="14"/>
  <c r="E234" i="14"/>
  <c r="D234" i="14"/>
  <c r="E233" i="14"/>
  <c r="D233" i="14"/>
  <c r="E232" i="14"/>
  <c r="D232" i="14"/>
  <c r="E231" i="14"/>
  <c r="D231" i="14"/>
  <c r="E230" i="14"/>
  <c r="D230" i="14"/>
  <c r="E229" i="14"/>
  <c r="D229" i="14"/>
  <c r="E228" i="14"/>
  <c r="D228" i="14"/>
  <c r="E227" i="14"/>
  <c r="D227" i="14"/>
  <c r="E226" i="14"/>
  <c r="D226" i="14"/>
  <c r="E225" i="14"/>
  <c r="D225" i="14"/>
  <c r="E224" i="14"/>
  <c r="D224" i="14"/>
  <c r="E223" i="14"/>
  <c r="D223" i="14"/>
  <c r="E222" i="14"/>
  <c r="D222" i="14"/>
  <c r="E221" i="14"/>
  <c r="D221" i="14"/>
  <c r="E220" i="14"/>
  <c r="D220" i="14"/>
  <c r="E219" i="14"/>
  <c r="D219" i="14"/>
  <c r="E218" i="14"/>
  <c r="D218" i="14"/>
  <c r="E217" i="14"/>
  <c r="D217" i="14"/>
  <c r="E216" i="14"/>
  <c r="D216" i="14"/>
  <c r="E215" i="14"/>
  <c r="D215" i="14"/>
  <c r="E214" i="14"/>
  <c r="D214" i="14"/>
  <c r="E213" i="14"/>
  <c r="D213" i="14"/>
  <c r="E212" i="14"/>
  <c r="D212" i="14"/>
  <c r="E211" i="14"/>
  <c r="D211" i="14"/>
  <c r="E210" i="14"/>
  <c r="D210" i="14"/>
  <c r="E209" i="14"/>
  <c r="D209" i="14"/>
  <c r="E208" i="14"/>
  <c r="D208" i="14"/>
  <c r="E207" i="14"/>
  <c r="D207" i="14"/>
  <c r="E206" i="14"/>
  <c r="D206" i="14"/>
  <c r="E205" i="14"/>
  <c r="D205" i="14"/>
  <c r="E204" i="14"/>
  <c r="D204" i="14"/>
  <c r="E203" i="14"/>
  <c r="D203" i="14"/>
  <c r="E202" i="14"/>
  <c r="D202" i="14"/>
  <c r="E201" i="14"/>
  <c r="D201" i="14"/>
  <c r="E200" i="14"/>
  <c r="D200" i="14"/>
  <c r="E199" i="14"/>
  <c r="D199" i="14"/>
  <c r="E198" i="14"/>
  <c r="D198" i="14"/>
  <c r="E197" i="14"/>
  <c r="D197" i="14"/>
  <c r="E196" i="14"/>
  <c r="D196" i="14"/>
  <c r="E195" i="14"/>
  <c r="D195" i="14"/>
  <c r="E194" i="14"/>
  <c r="D194" i="14"/>
  <c r="E193" i="14"/>
  <c r="D193" i="14"/>
  <c r="E192" i="14"/>
  <c r="D192" i="14"/>
  <c r="E191" i="14"/>
  <c r="D191" i="14"/>
  <c r="E190" i="14"/>
  <c r="D190" i="14"/>
  <c r="E189" i="14"/>
  <c r="D189" i="14"/>
  <c r="E188" i="14"/>
  <c r="D188" i="14"/>
  <c r="E187" i="14"/>
  <c r="D187" i="14"/>
  <c r="E186" i="14"/>
  <c r="D186" i="14"/>
  <c r="E185" i="14"/>
  <c r="D185" i="14"/>
  <c r="E184" i="14"/>
  <c r="D184" i="14"/>
  <c r="E183" i="14"/>
  <c r="D183" i="14"/>
  <c r="E182" i="14"/>
  <c r="D182" i="14"/>
  <c r="E181" i="14"/>
  <c r="D181" i="14"/>
  <c r="E180" i="14"/>
  <c r="D180" i="14"/>
  <c r="E179" i="14"/>
  <c r="D179" i="14"/>
  <c r="E178" i="14"/>
  <c r="D178" i="14"/>
  <c r="E177" i="14"/>
  <c r="D177" i="14"/>
  <c r="E176" i="14"/>
  <c r="D176" i="14"/>
  <c r="E175" i="14"/>
  <c r="D175" i="14"/>
  <c r="E174" i="14"/>
  <c r="D174" i="14"/>
  <c r="E173" i="14"/>
  <c r="D173" i="14"/>
  <c r="E172" i="14"/>
  <c r="D172" i="14"/>
  <c r="E171" i="14"/>
  <c r="D171" i="14"/>
  <c r="E170" i="14"/>
  <c r="D170" i="14"/>
  <c r="E169" i="14"/>
  <c r="D169" i="14"/>
  <c r="E168" i="14"/>
  <c r="D168" i="14"/>
  <c r="E167" i="14"/>
  <c r="D167" i="14"/>
  <c r="E166" i="14"/>
  <c r="D166" i="14"/>
  <c r="E165" i="14"/>
  <c r="D165" i="14"/>
  <c r="E164" i="14"/>
  <c r="D164" i="14"/>
  <c r="E163" i="14"/>
  <c r="D163" i="14"/>
  <c r="E162" i="14"/>
  <c r="D162" i="14"/>
  <c r="E161" i="14"/>
  <c r="D161" i="14"/>
  <c r="E160" i="14"/>
  <c r="D160" i="14"/>
  <c r="E159" i="14"/>
  <c r="D159" i="14"/>
  <c r="E158" i="14"/>
  <c r="D158" i="14"/>
  <c r="E157" i="14"/>
  <c r="D157" i="14"/>
  <c r="E156" i="14"/>
  <c r="D156" i="14"/>
  <c r="E155" i="14"/>
  <c r="D155" i="14"/>
  <c r="E154" i="14"/>
  <c r="D154" i="14"/>
  <c r="E153" i="14"/>
  <c r="D153" i="14"/>
  <c r="E152" i="14"/>
  <c r="D152" i="14"/>
  <c r="E151" i="14"/>
  <c r="D151" i="14"/>
  <c r="E150" i="14"/>
  <c r="D150" i="14"/>
  <c r="E149" i="14"/>
  <c r="D149" i="14"/>
  <c r="E148" i="14"/>
  <c r="D148" i="14"/>
  <c r="E147" i="14"/>
  <c r="D147" i="14"/>
  <c r="E146" i="14"/>
  <c r="D146" i="14"/>
  <c r="E145" i="14"/>
  <c r="D145" i="14"/>
  <c r="E144" i="14"/>
  <c r="D144" i="14"/>
  <c r="E143" i="14"/>
  <c r="D143" i="14"/>
  <c r="E142" i="14"/>
  <c r="D142" i="14"/>
  <c r="E141" i="14"/>
  <c r="D141" i="14"/>
  <c r="E140" i="14"/>
  <c r="D140" i="14"/>
  <c r="E139" i="14"/>
  <c r="D139" i="14"/>
  <c r="E138" i="14"/>
  <c r="D138" i="14"/>
  <c r="E137" i="14"/>
  <c r="D137" i="14"/>
  <c r="E136" i="14"/>
  <c r="D136" i="14"/>
  <c r="E135" i="14"/>
  <c r="D135" i="14"/>
  <c r="E134" i="14"/>
  <c r="D134" i="14"/>
  <c r="E133" i="14"/>
  <c r="D133" i="14"/>
  <c r="E132" i="14"/>
  <c r="D132" i="14"/>
  <c r="E131" i="14"/>
  <c r="D131" i="14"/>
  <c r="E130" i="14"/>
  <c r="D130" i="14"/>
  <c r="E129" i="14"/>
  <c r="D129" i="14"/>
  <c r="E128" i="14"/>
  <c r="D128" i="14"/>
  <c r="E127" i="14"/>
  <c r="D127" i="14"/>
  <c r="E126" i="14"/>
  <c r="D126" i="14"/>
  <c r="E125" i="14"/>
  <c r="D125" i="14"/>
  <c r="E124" i="14"/>
  <c r="D124" i="14"/>
  <c r="E123" i="14"/>
  <c r="D123" i="14"/>
  <c r="E122" i="14"/>
  <c r="D122" i="14"/>
  <c r="E121" i="14"/>
  <c r="D121" i="14"/>
  <c r="E120" i="14"/>
  <c r="D120" i="14"/>
  <c r="E119" i="14"/>
  <c r="D119" i="14"/>
  <c r="E118" i="14"/>
  <c r="D118" i="14"/>
  <c r="E117" i="14"/>
  <c r="D117" i="14"/>
  <c r="E116" i="14"/>
  <c r="D116" i="14"/>
  <c r="E115" i="14"/>
  <c r="D115" i="14"/>
  <c r="E114" i="14"/>
  <c r="D114" i="14"/>
  <c r="E113" i="14"/>
  <c r="D113" i="14"/>
  <c r="E112" i="14"/>
  <c r="D112" i="14"/>
  <c r="E111" i="14"/>
  <c r="D111" i="14"/>
  <c r="E110" i="14"/>
  <c r="D110" i="14"/>
  <c r="E109" i="14"/>
  <c r="D109" i="14"/>
  <c r="E108" i="14"/>
  <c r="D108" i="14"/>
  <c r="E107" i="14"/>
  <c r="D107" i="14"/>
  <c r="E106" i="14"/>
  <c r="D106" i="14"/>
  <c r="E105" i="14"/>
  <c r="D105" i="14"/>
  <c r="E104" i="14"/>
  <c r="D104" i="14"/>
  <c r="E103" i="14"/>
  <c r="D103" i="14"/>
  <c r="E102" i="14"/>
  <c r="D102" i="14"/>
  <c r="E101" i="14"/>
  <c r="D101" i="14"/>
  <c r="E100" i="14"/>
  <c r="D100" i="14"/>
  <c r="E99" i="14"/>
  <c r="D99" i="14"/>
  <c r="E98" i="14"/>
  <c r="D98" i="14"/>
  <c r="E97" i="14"/>
  <c r="D97" i="14"/>
  <c r="E96" i="14"/>
  <c r="D96" i="14"/>
  <c r="E95" i="14"/>
  <c r="D95" i="14"/>
  <c r="E94" i="14"/>
  <c r="D94" i="14"/>
  <c r="E93" i="14"/>
  <c r="D93" i="14"/>
  <c r="E92" i="14"/>
  <c r="D92" i="14"/>
  <c r="E91" i="14"/>
  <c r="D91" i="14"/>
  <c r="E90" i="14"/>
  <c r="D90" i="14"/>
  <c r="E89" i="14"/>
  <c r="D89" i="14"/>
  <c r="E88" i="14"/>
  <c r="D88" i="14"/>
  <c r="E87" i="14"/>
  <c r="D87" i="14"/>
  <c r="E86" i="14"/>
  <c r="D86" i="14"/>
  <c r="E85" i="14"/>
  <c r="D85" i="14"/>
  <c r="E84" i="14"/>
  <c r="D84" i="14"/>
  <c r="E83" i="14"/>
  <c r="D83" i="14"/>
  <c r="E82" i="14"/>
  <c r="D82" i="14"/>
  <c r="E81" i="14"/>
  <c r="D81" i="14"/>
  <c r="E80" i="14"/>
  <c r="D80" i="14"/>
  <c r="E79" i="14"/>
  <c r="D79" i="14"/>
  <c r="E78" i="14"/>
  <c r="D78" i="14"/>
  <c r="E77" i="14"/>
  <c r="D77" i="14"/>
  <c r="E76" i="14"/>
  <c r="D76" i="14"/>
  <c r="E75" i="14"/>
  <c r="D75" i="14"/>
  <c r="E74" i="14"/>
  <c r="D74" i="14"/>
  <c r="E73" i="14"/>
  <c r="D73" i="14"/>
  <c r="E72" i="14"/>
  <c r="D72" i="14"/>
  <c r="E71" i="14"/>
  <c r="D71" i="14"/>
  <c r="E70" i="14"/>
  <c r="D70" i="14"/>
  <c r="E69" i="14"/>
  <c r="D69" i="14"/>
  <c r="E68" i="14"/>
  <c r="D68" i="14"/>
  <c r="E67" i="14"/>
  <c r="D67" i="14"/>
  <c r="E66" i="14"/>
  <c r="D66" i="14"/>
  <c r="E65" i="14"/>
  <c r="D65" i="14"/>
  <c r="E64" i="14"/>
  <c r="D64" i="14"/>
  <c r="E63" i="14"/>
  <c r="D63" i="14"/>
  <c r="E62" i="14"/>
  <c r="D62" i="14"/>
  <c r="E61" i="14"/>
  <c r="D61" i="14"/>
  <c r="E60" i="14"/>
  <c r="D60" i="14"/>
  <c r="E59" i="14"/>
  <c r="D59" i="14"/>
  <c r="E58" i="14"/>
  <c r="D58" i="14"/>
  <c r="E57" i="14"/>
  <c r="D57" i="14"/>
  <c r="E56" i="14"/>
  <c r="D56" i="14"/>
  <c r="E55" i="14"/>
  <c r="D55" i="14"/>
  <c r="E54" i="14"/>
  <c r="D54" i="14"/>
  <c r="E53" i="14"/>
  <c r="D53" i="14"/>
  <c r="E52" i="14"/>
  <c r="D52" i="14"/>
  <c r="E51" i="14"/>
  <c r="D51" i="14"/>
  <c r="E50" i="14"/>
  <c r="D50" i="14"/>
  <c r="E49" i="14"/>
  <c r="D49" i="14"/>
  <c r="E48" i="14"/>
  <c r="D48" i="14"/>
  <c r="E47" i="14"/>
  <c r="D47" i="14"/>
  <c r="E46" i="14"/>
  <c r="D46" i="14"/>
  <c r="E45" i="14"/>
  <c r="D45" i="14"/>
  <c r="E44" i="14"/>
  <c r="D44" i="14"/>
  <c r="E43" i="14"/>
  <c r="D43" i="14"/>
  <c r="E42" i="14"/>
  <c r="D42" i="14"/>
  <c r="E41" i="14"/>
  <c r="D41" i="14"/>
  <c r="E40" i="14"/>
  <c r="D40" i="14"/>
  <c r="E39" i="14"/>
  <c r="D39" i="14"/>
  <c r="E38" i="14"/>
  <c r="D38" i="14"/>
  <c r="E37" i="14"/>
  <c r="D37" i="14"/>
  <c r="E36" i="14"/>
  <c r="D36" i="14"/>
  <c r="E35" i="14"/>
  <c r="D35" i="14"/>
  <c r="E34" i="14"/>
  <c r="D34" i="14"/>
  <c r="E33" i="14"/>
  <c r="D33" i="14"/>
  <c r="E32" i="14"/>
  <c r="D32" i="14"/>
  <c r="E31" i="14"/>
  <c r="D31" i="14"/>
  <c r="E30" i="14"/>
  <c r="D30" i="14"/>
  <c r="E29" i="14"/>
  <c r="D29" i="14"/>
  <c r="E28" i="14"/>
  <c r="D28" i="14"/>
  <c r="E27" i="14"/>
  <c r="D27" i="14"/>
  <c r="E26" i="14"/>
  <c r="D26" i="14"/>
  <c r="I25" i="14"/>
  <c r="E25" i="14"/>
  <c r="D25" i="14"/>
  <c r="I24" i="14"/>
  <c r="E24" i="14"/>
  <c r="D24" i="14"/>
  <c r="E23" i="14"/>
  <c r="D23" i="14"/>
  <c r="E22" i="14"/>
  <c r="D22" i="14"/>
  <c r="E21" i="14"/>
  <c r="D21" i="14"/>
  <c r="E20" i="14"/>
  <c r="D20" i="14"/>
  <c r="E19" i="14"/>
  <c r="D19" i="14"/>
  <c r="E18" i="14"/>
  <c r="D18" i="14"/>
  <c r="E17" i="14"/>
  <c r="D17" i="14"/>
  <c r="E16" i="14"/>
  <c r="D16" i="14"/>
  <c r="E15" i="14"/>
  <c r="D15" i="14"/>
  <c r="E14" i="14"/>
  <c r="D14" i="14"/>
  <c r="E13" i="14"/>
  <c r="D13" i="14"/>
  <c r="E12" i="14"/>
  <c r="D12" i="14"/>
  <c r="E11" i="14"/>
  <c r="D11" i="14"/>
  <c r="E10" i="14"/>
  <c r="D10" i="14"/>
  <c r="E9" i="14"/>
  <c r="D9" i="14"/>
  <c r="E8" i="14"/>
  <c r="D8" i="14"/>
  <c r="E7" i="14"/>
  <c r="D7" i="14"/>
  <c r="E6" i="14"/>
  <c r="D6" i="14"/>
  <c r="E5" i="14"/>
  <c r="D5" i="14"/>
  <c r="E4" i="14"/>
  <c r="D4" i="14"/>
  <c r="G3" i="14"/>
  <c r="F3" i="14"/>
  <c r="E3" i="14"/>
  <c r="D3" i="14"/>
  <c r="D26" i="13"/>
  <c r="B26" i="13"/>
  <c r="D25" i="13"/>
  <c r="C25" i="13"/>
  <c r="B25" i="13"/>
  <c r="D24" i="13"/>
  <c r="C24" i="13"/>
  <c r="B24" i="13"/>
  <c r="B20" i="13"/>
  <c r="B19" i="13"/>
  <c r="B18" i="13"/>
  <c r="B17" i="13"/>
  <c r="B16" i="13"/>
  <c r="B13" i="13"/>
  <c r="B11" i="13"/>
  <c r="B7" i="13"/>
  <c r="B6" i="13"/>
  <c r="B5" i="13"/>
  <c r="B4" i="13"/>
  <c r="B3" i="13"/>
  <c r="B2" i="13"/>
  <c r="B47" i="12"/>
  <c r="F45" i="12"/>
  <c r="E45" i="12"/>
  <c r="D45" i="12"/>
  <c r="C45" i="12"/>
  <c r="B45" i="12"/>
  <c r="F44" i="12"/>
  <c r="E44" i="12"/>
  <c r="D44" i="12"/>
  <c r="C44" i="12"/>
  <c r="B44" i="12"/>
  <c r="F42" i="12"/>
  <c r="E42" i="12"/>
  <c r="D42" i="12"/>
  <c r="C42" i="12"/>
  <c r="B42" i="12"/>
  <c r="F41" i="12"/>
  <c r="E41" i="12"/>
  <c r="D41" i="12"/>
  <c r="C41" i="12"/>
  <c r="B41" i="12"/>
  <c r="F40" i="12"/>
  <c r="E40" i="12"/>
  <c r="D40" i="12"/>
  <c r="C40" i="12"/>
  <c r="B40" i="12"/>
  <c r="F39" i="12"/>
  <c r="E39" i="12"/>
  <c r="D39" i="12"/>
  <c r="C39" i="12"/>
  <c r="B39" i="12"/>
  <c r="F38" i="12"/>
  <c r="E38" i="12"/>
  <c r="D38" i="12"/>
  <c r="C38" i="12"/>
  <c r="B38" i="12"/>
  <c r="F35" i="12"/>
  <c r="E35" i="12"/>
  <c r="D35" i="12"/>
  <c r="C35" i="12"/>
  <c r="G34" i="12"/>
  <c r="F34" i="12"/>
  <c r="E34" i="12"/>
  <c r="D34" i="12"/>
  <c r="C34" i="12"/>
  <c r="B34" i="12"/>
  <c r="F31" i="12"/>
  <c r="E31" i="12"/>
  <c r="D31" i="12"/>
  <c r="C31" i="12"/>
  <c r="B31" i="12"/>
  <c r="F30" i="12"/>
  <c r="E30" i="12"/>
  <c r="D30" i="12"/>
  <c r="C30" i="12"/>
  <c r="B30" i="12"/>
  <c r="F29" i="12"/>
  <c r="E29" i="12"/>
  <c r="D29" i="12"/>
  <c r="C29" i="12"/>
  <c r="B29" i="12"/>
  <c r="F28" i="12"/>
  <c r="E28" i="12"/>
  <c r="D28" i="12"/>
  <c r="C28" i="12"/>
  <c r="B28" i="12"/>
  <c r="C25" i="12"/>
  <c r="B25" i="12"/>
  <c r="B24" i="12"/>
  <c r="F17" i="12"/>
  <c r="E17" i="12"/>
  <c r="D17" i="12"/>
  <c r="C17" i="12"/>
  <c r="B17" i="12"/>
  <c r="F16" i="12"/>
  <c r="E16" i="12"/>
  <c r="D16" i="12"/>
  <c r="C16" i="12"/>
  <c r="B16" i="12"/>
  <c r="F15" i="12"/>
  <c r="E15" i="12"/>
  <c r="D15" i="12"/>
  <c r="C15" i="12"/>
  <c r="B15" i="12"/>
  <c r="F14" i="12"/>
  <c r="E14" i="12"/>
  <c r="D14" i="12"/>
  <c r="C14" i="12"/>
  <c r="B14" i="12"/>
  <c r="F13" i="12"/>
  <c r="E13" i="12"/>
  <c r="D13" i="12"/>
  <c r="C13" i="12"/>
  <c r="B13" i="12"/>
  <c r="F12" i="12"/>
  <c r="E12" i="12"/>
  <c r="D12" i="12"/>
  <c r="C12" i="12"/>
  <c r="B12" i="12"/>
  <c r="F11" i="12"/>
  <c r="E11" i="12"/>
  <c r="D11" i="12"/>
  <c r="C11" i="12"/>
  <c r="B11" i="12"/>
  <c r="F10" i="12"/>
  <c r="E10" i="12"/>
  <c r="D10" i="12"/>
  <c r="C10" i="12"/>
  <c r="B10" i="12"/>
  <c r="F9" i="12"/>
  <c r="E9" i="12"/>
  <c r="D9" i="12"/>
  <c r="C9" i="12"/>
  <c r="B9" i="12"/>
  <c r="F8" i="12"/>
  <c r="E8" i="12"/>
  <c r="D8" i="12"/>
  <c r="C8" i="12"/>
  <c r="B8" i="12"/>
  <c r="F7" i="12"/>
  <c r="E7" i="12"/>
  <c r="D7" i="12"/>
  <c r="C7" i="12"/>
  <c r="B7" i="12"/>
  <c r="F6" i="12"/>
  <c r="E6" i="12"/>
  <c r="D6" i="12"/>
  <c r="C6" i="12"/>
  <c r="B6" i="12"/>
  <c r="F5" i="12"/>
  <c r="E5" i="12"/>
  <c r="D5" i="12"/>
  <c r="C5" i="12"/>
  <c r="B5" i="12"/>
  <c r="F4" i="12"/>
  <c r="E4" i="12"/>
  <c r="D4" i="12"/>
  <c r="C4" i="12"/>
  <c r="F3" i="12"/>
  <c r="E3" i="12"/>
  <c r="D3" i="12"/>
  <c r="C3" i="12"/>
  <c r="B3" i="12"/>
  <c r="C10" i="11"/>
  <c r="C9" i="11"/>
  <c r="F7" i="11"/>
  <c r="E7" i="11"/>
  <c r="D7" i="11"/>
  <c r="C7" i="11"/>
  <c r="F6" i="11"/>
  <c r="E6" i="11"/>
  <c r="D6" i="11"/>
  <c r="C6" i="11"/>
  <c r="F5" i="11"/>
  <c r="E5" i="11"/>
  <c r="D5" i="11"/>
  <c r="C5" i="11"/>
  <c r="B5" i="11"/>
  <c r="F4" i="11"/>
  <c r="E4" i="11"/>
  <c r="D4" i="11"/>
  <c r="C4" i="11"/>
  <c r="B4" i="11"/>
  <c r="F3" i="11"/>
  <c r="E3" i="11"/>
  <c r="D3" i="11"/>
  <c r="C3" i="11"/>
  <c r="B3" i="11"/>
  <c r="C12" i="10"/>
  <c r="C11" i="10"/>
  <c r="F9" i="10"/>
  <c r="E9" i="10"/>
  <c r="D9" i="10"/>
  <c r="C9" i="10"/>
  <c r="F8" i="10"/>
  <c r="E8" i="10"/>
  <c r="D8" i="10"/>
  <c r="C8" i="10"/>
  <c r="F6" i="10"/>
  <c r="E6" i="10"/>
  <c r="D6" i="10"/>
  <c r="C6" i="10"/>
  <c r="B6" i="10"/>
  <c r="F5" i="10"/>
  <c r="E5" i="10"/>
  <c r="D5" i="10"/>
  <c r="C5" i="10"/>
  <c r="B5" i="10"/>
  <c r="F4" i="10"/>
  <c r="E4" i="10"/>
  <c r="D4" i="10"/>
  <c r="C4" i="10"/>
  <c r="B4" i="10"/>
  <c r="F3" i="10"/>
  <c r="E3" i="10"/>
  <c r="D3" i="10"/>
  <c r="C3" i="10"/>
  <c r="F2" i="10"/>
  <c r="E2" i="10"/>
  <c r="D2" i="10"/>
  <c r="C2" i="10"/>
  <c r="C13" i="9"/>
  <c r="C12" i="9"/>
  <c r="F10" i="9"/>
  <c r="E10" i="9"/>
  <c r="D10" i="9"/>
  <c r="C10" i="9"/>
  <c r="F8" i="9"/>
  <c r="E8" i="9"/>
  <c r="D8" i="9"/>
  <c r="C8" i="9"/>
  <c r="F7" i="9"/>
  <c r="E7" i="9"/>
  <c r="D7" i="9"/>
  <c r="C7" i="9"/>
  <c r="F6" i="9"/>
  <c r="E6" i="9"/>
  <c r="D6" i="9"/>
  <c r="C6" i="9"/>
  <c r="F5" i="9"/>
  <c r="E5" i="9"/>
  <c r="D5" i="9"/>
  <c r="C5" i="9"/>
  <c r="F4" i="9"/>
  <c r="E4" i="9"/>
  <c r="D4" i="9"/>
  <c r="C4" i="9"/>
  <c r="B4" i="9"/>
  <c r="F3" i="9"/>
  <c r="E3" i="9"/>
  <c r="D3" i="9"/>
  <c r="C3" i="9"/>
  <c r="B3" i="9"/>
  <c r="F2" i="9"/>
  <c r="E2" i="9"/>
  <c r="D2" i="9"/>
  <c r="C2" i="9"/>
  <c r="B2" i="9"/>
  <c r="I40" i="8"/>
  <c r="H40" i="8"/>
  <c r="F40" i="8"/>
  <c r="E40" i="8"/>
  <c r="D40" i="8"/>
  <c r="C40" i="8"/>
  <c r="B40" i="8"/>
  <c r="I39" i="8"/>
  <c r="H39" i="8"/>
  <c r="F39" i="8"/>
  <c r="E39" i="8"/>
  <c r="D39" i="8"/>
  <c r="C39" i="8"/>
  <c r="B39" i="8"/>
  <c r="I38" i="8"/>
  <c r="H38" i="8"/>
  <c r="F38" i="8"/>
  <c r="E38" i="8"/>
  <c r="D38" i="8"/>
  <c r="C38" i="8"/>
  <c r="B38" i="8"/>
  <c r="I36" i="8"/>
  <c r="H36" i="8"/>
  <c r="F36" i="8"/>
  <c r="E36" i="8"/>
  <c r="D36" i="8"/>
  <c r="C36" i="8"/>
  <c r="B36" i="8"/>
  <c r="I34" i="8"/>
  <c r="H34" i="8"/>
  <c r="F34" i="8"/>
  <c r="E34" i="8"/>
  <c r="D34" i="8"/>
  <c r="C34" i="8"/>
  <c r="B34" i="8"/>
  <c r="I33" i="8"/>
  <c r="H33" i="8"/>
  <c r="F33" i="8"/>
  <c r="E33" i="8"/>
  <c r="D33" i="8"/>
  <c r="C33" i="8"/>
  <c r="B33" i="8"/>
  <c r="I30" i="8"/>
  <c r="H30" i="8"/>
  <c r="F30" i="8"/>
  <c r="E30" i="8"/>
  <c r="D30" i="8"/>
  <c r="C30" i="8"/>
  <c r="B30" i="8"/>
  <c r="I29" i="8"/>
  <c r="H29" i="8"/>
  <c r="F29" i="8"/>
  <c r="E29" i="8"/>
  <c r="D29" i="8"/>
  <c r="C29" i="8"/>
  <c r="B29" i="8"/>
  <c r="I27" i="8"/>
  <c r="H27" i="8"/>
  <c r="F27" i="8"/>
  <c r="E27" i="8"/>
  <c r="D27" i="8"/>
  <c r="C27" i="8"/>
  <c r="B27" i="8"/>
  <c r="I26" i="8"/>
  <c r="H26" i="8"/>
  <c r="F26" i="8"/>
  <c r="E26" i="8"/>
  <c r="D26" i="8"/>
  <c r="C26" i="8"/>
  <c r="B26" i="8"/>
  <c r="I24" i="8"/>
  <c r="H24" i="8"/>
  <c r="F24" i="8"/>
  <c r="E24" i="8"/>
  <c r="D24" i="8"/>
  <c r="C24" i="8"/>
  <c r="B24" i="8"/>
  <c r="I23" i="8"/>
  <c r="H23" i="8"/>
  <c r="F23" i="8"/>
  <c r="E23" i="8"/>
  <c r="D23" i="8"/>
  <c r="C23" i="8"/>
  <c r="B23" i="8"/>
  <c r="I22" i="8"/>
  <c r="H22" i="8"/>
  <c r="F22" i="8"/>
  <c r="E22" i="8"/>
  <c r="D22" i="8"/>
  <c r="C22" i="8"/>
  <c r="B22" i="8"/>
  <c r="I21" i="8"/>
  <c r="H21" i="8"/>
  <c r="F21" i="8"/>
  <c r="E21" i="8"/>
  <c r="D21" i="8"/>
  <c r="C21" i="8"/>
  <c r="B21" i="8"/>
  <c r="I20" i="8"/>
  <c r="H20" i="8"/>
  <c r="F20" i="8"/>
  <c r="E20" i="8"/>
  <c r="D20" i="8"/>
  <c r="C20" i="8"/>
  <c r="B20" i="8"/>
  <c r="I18" i="8"/>
  <c r="H18" i="8"/>
  <c r="F18" i="8"/>
  <c r="E18" i="8"/>
  <c r="D18" i="8"/>
  <c r="C18" i="8"/>
  <c r="B18" i="8"/>
  <c r="I17" i="8"/>
  <c r="H17" i="8"/>
  <c r="F17" i="8"/>
  <c r="E17" i="8"/>
  <c r="D17" i="8"/>
  <c r="C17" i="8"/>
  <c r="B17" i="8"/>
  <c r="I16" i="8"/>
  <c r="H16" i="8"/>
  <c r="F16" i="8"/>
  <c r="E16" i="8"/>
  <c r="D16" i="8"/>
  <c r="C16" i="8"/>
  <c r="B16" i="8"/>
  <c r="I14" i="8"/>
  <c r="H14" i="8"/>
  <c r="F14" i="8"/>
  <c r="E14" i="8"/>
  <c r="D14" i="8"/>
  <c r="C14" i="8"/>
  <c r="B14" i="8"/>
  <c r="I13" i="8"/>
  <c r="H13" i="8"/>
  <c r="F13" i="8"/>
  <c r="E13" i="8"/>
  <c r="D13" i="8"/>
  <c r="C13" i="8"/>
  <c r="B13" i="8"/>
  <c r="I12" i="8"/>
  <c r="H12" i="8"/>
  <c r="F12" i="8"/>
  <c r="E12" i="8"/>
  <c r="D12" i="8"/>
  <c r="C12" i="8"/>
  <c r="B12" i="8"/>
  <c r="I11" i="8"/>
  <c r="H11" i="8"/>
  <c r="F11" i="8"/>
  <c r="E11" i="8"/>
  <c r="D11" i="8"/>
  <c r="C11" i="8"/>
  <c r="B11" i="8"/>
  <c r="I10" i="8"/>
  <c r="H10" i="8"/>
  <c r="F10" i="8"/>
  <c r="E10" i="8"/>
  <c r="D10" i="8"/>
  <c r="C10" i="8"/>
  <c r="B10" i="8"/>
  <c r="I8" i="8"/>
  <c r="H8" i="8"/>
  <c r="F8" i="8"/>
  <c r="E8" i="8"/>
  <c r="D8" i="8"/>
  <c r="C8" i="8"/>
  <c r="I7" i="8"/>
  <c r="H7" i="8"/>
  <c r="F7" i="8"/>
  <c r="E7" i="8"/>
  <c r="D7" i="8"/>
  <c r="C7" i="8"/>
  <c r="I6" i="8"/>
  <c r="H6" i="8"/>
  <c r="F6" i="8"/>
  <c r="E6" i="8"/>
  <c r="D6" i="8"/>
  <c r="C6" i="8"/>
  <c r="I5" i="8"/>
  <c r="H5" i="8"/>
  <c r="F5" i="8"/>
  <c r="E5" i="8"/>
  <c r="D5" i="8"/>
  <c r="C5" i="8"/>
  <c r="I4" i="8"/>
  <c r="H4" i="8"/>
  <c r="F4" i="8"/>
  <c r="E4" i="8"/>
  <c r="D4" i="8"/>
  <c r="C4" i="8"/>
  <c r="K51" i="6"/>
  <c r="J51" i="6"/>
  <c r="K50" i="6"/>
  <c r="J50" i="6"/>
  <c r="K48" i="6"/>
  <c r="J48" i="6"/>
  <c r="K47" i="6"/>
  <c r="J47" i="6"/>
  <c r="K42" i="6"/>
  <c r="J42" i="6"/>
  <c r="K40" i="6"/>
  <c r="J40" i="6"/>
  <c r="K39" i="6"/>
  <c r="K38" i="6"/>
  <c r="J38" i="6"/>
  <c r="K36" i="6"/>
  <c r="J36" i="6"/>
  <c r="K33" i="6"/>
  <c r="J33" i="6"/>
  <c r="K32" i="6"/>
  <c r="J32" i="6"/>
  <c r="K31" i="6"/>
  <c r="J31" i="6"/>
  <c r="K30" i="6"/>
  <c r="J30" i="6"/>
  <c r="K29" i="6"/>
  <c r="J29" i="6"/>
  <c r="K28" i="6"/>
  <c r="J28" i="6"/>
  <c r="K27" i="6"/>
  <c r="J27" i="6"/>
  <c r="K26" i="6"/>
  <c r="J26" i="6"/>
  <c r="K25" i="6"/>
  <c r="J25" i="6"/>
  <c r="K21" i="6"/>
  <c r="J21" i="6"/>
  <c r="K15" i="6"/>
  <c r="J15" i="6"/>
  <c r="K14" i="6"/>
  <c r="J14" i="6"/>
  <c r="K7" i="6"/>
  <c r="J7" i="6"/>
  <c r="K5" i="6"/>
  <c r="J5" i="6"/>
</calcChain>
</file>

<file path=xl/sharedStrings.xml><?xml version="1.0" encoding="utf-8"?>
<sst xmlns="http://schemas.openxmlformats.org/spreadsheetml/2006/main" count="2623" uniqueCount="2187">
  <si>
    <t>About the Company</t>
  </si>
  <si>
    <t xml:space="preserve">  Business Verticals &amp; Platforms</t>
  </si>
  <si>
    <t>Vertical</t>
  </si>
  <si>
    <t>Key Platform(s)</t>
  </si>
  <si>
    <t>Description</t>
  </si>
  <si>
    <t>FY25 Billings</t>
  </si>
  <si>
    <t>Recruitment</t>
  </si>
  <si>
    <t>Naukri, iimjobs, Hirist, AmbitionBox, JobHai, DoSelect, NaukriGulf</t>
  </si>
  <si>
    <t>India's leading job portal; full-stack talent solutions across sourcing, assessment, branding &amp; automation</t>
  </si>
  <si>
    <t>₹21,577 Mn (FY25)</t>
  </si>
  <si>
    <t>Real Estate</t>
  </si>
  <si>
    <t>99acres</t>
  </si>
  <si>
    <t>India's #1 online real estate classifieds for buying, selling and renting residential &amp; commercial property</t>
  </si>
  <si>
    <t>₹4,507 Mn (FY25)</t>
  </si>
  <si>
    <t>Matchmaking</t>
  </si>
  <si>
    <t>Jeevansathi, Aisle, Zwayam</t>
  </si>
  <si>
    <t>Online matrimonial and social networking platform; also includes enterprise HR tech (Zwayam)</t>
  </si>
  <si>
    <t>₹1,400 Mn (FY25 est.)</t>
  </si>
  <si>
    <t>Education</t>
  </si>
  <si>
    <t>Shiksha</t>
  </si>
  <si>
    <t>Education classifieds for domestic admissions and study-abroad; growing rapidly in new private universities</t>
  </si>
  <si>
    <t>₹1,624 Mn (FY25)</t>
  </si>
  <si>
    <t xml:space="preserve">  Subsidiaries, Associates &amp; Key Investments</t>
  </si>
  <si>
    <t>S.No</t>
  </si>
  <si>
    <t>Entity Name</t>
  </si>
  <si>
    <t>Type</t>
  </si>
  <si>
    <t>Stake / Details</t>
  </si>
  <si>
    <t>Info Edge (India) Limited</t>
  </si>
  <si>
    <t>Listed Parent (NSE: NAUKRI)</t>
  </si>
  <si>
    <t>Holding &amp; Operating Co.</t>
  </si>
  <si>
    <t>Allcheckdeals India Pvt. Ltd.</t>
  </si>
  <si>
    <t>Wholly Owned Subsidiary</t>
  </si>
  <si>
    <t>99acres – Real Estate</t>
  </si>
  <si>
    <t>Jeevansathi Internet Services Pvt. Ltd.</t>
  </si>
  <si>
    <t>Naukri Internet Services Pvt. Ltd.</t>
  </si>
  <si>
    <t>Info Edge Ventures Fund I &amp; II (AIF)</t>
  </si>
  <si>
    <t>AIF – Venture Capital</t>
  </si>
  <si>
    <t>Early-stage startups</t>
  </si>
  <si>
    <t>Eternal Ltd. (formerly Zomato)</t>
  </si>
  <si>
    <t>Listed Associate / Investment</t>
  </si>
  <si>
    <t>Food-tech; value ₹333 Bn+ combined</t>
  </si>
  <si>
    <t>PB Fintech Ltd. (PolicyBazaar)</t>
  </si>
  <si>
    <t>Listed Investment</t>
  </si>
  <si>
    <t>Fintech – insurance aggregator</t>
  </si>
  <si>
    <t>Strategic Portfolio Entities</t>
  </si>
  <si>
    <t>Strategic Investments (7 entities)</t>
  </si>
  <si>
    <t>₹3,971 Mn invested</t>
  </si>
  <si>
    <t>Financial Portfolio Companies</t>
  </si>
  <si>
    <t>Financial Investments (110+ entities)</t>
  </si>
  <si>
    <t>₹17,553 Mn invested in startups</t>
  </si>
  <si>
    <t xml:space="preserve">  Registered Office &amp; Corporate Details</t>
  </si>
  <si>
    <t>Ground Floor, GF-12A, 94 Meghdoot, Nehru Place, New Delhi – 110019</t>
  </si>
  <si>
    <t>CIN: L74899DL1995PLC068827</t>
  </si>
  <si>
    <t>BSE Scrip Code: 532777  |  NSE Symbol: NAUKRI  |  ISIN: INE663F01024</t>
  </si>
  <si>
    <t>Website: www.infoedge.in  |  Investor Email: investorrelations@infoedge.in</t>
  </si>
  <si>
    <t>Statutory Auditor: S.R. Batliboi &amp; Associates LLP (ICAI Reg. 101049W/E300004)</t>
  </si>
  <si>
    <t>FY End: March 31  |  Incorporated: 1995  |  Listed: 2006</t>
  </si>
  <si>
    <t xml:space="preserve">  Operational Footprint &amp; Key Metrics (FY25)</t>
  </si>
  <si>
    <t>Metric</t>
  </si>
  <si>
    <t>Platform / Unit</t>
  </si>
  <si>
    <t>Value</t>
  </si>
  <si>
    <t>Notes</t>
  </si>
  <si>
    <t>Total Employees (FY25)</t>
  </si>
  <si>
    <t>Consolidated</t>
  </si>
  <si>
    <t>~6,548</t>
  </si>
  <si>
    <t>Permanent + contract; 4,179 permanent</t>
  </si>
  <si>
    <t>Naukri Resumes (Active DB)</t>
  </si>
  <si>
    <t>Naukri</t>
  </si>
  <si>
    <t>~100 Mn+</t>
  </si>
  <si>
    <t>Largest resume database in India</t>
  </si>
  <si>
    <t>Job Listings</t>
  </si>
  <si>
    <t>Millions per annum</t>
  </si>
  <si>
    <t>B2B; 56,000+ active recruiters</t>
  </si>
  <si>
    <t>Properties Listed</t>
  </si>
  <si>
    <t>Buy/sell/rent listings</t>
  </si>
  <si>
    <t>Shiksha Colleges Listed</t>
  </si>
  <si>
    <t>50,000+</t>
  </si>
  <si>
    <t>Domestic + international</t>
  </si>
  <si>
    <t>Countries of Operation</t>
  </si>
  <si>
    <t>Info Edge</t>
  </si>
  <si>
    <t>2 (India, Gulf)</t>
  </si>
  <si>
    <t>NaukriGulf covers MENA region</t>
  </si>
  <si>
    <t>Stock Exchanges Listed</t>
  </si>
  <si>
    <t>2 (BSE &amp; NSE)</t>
  </si>
  <si>
    <t>Part of Nifty 500 index</t>
  </si>
  <si>
    <t>AI/ML Models Deployed</t>
  </si>
  <si>
    <t>Tech Platform</t>
  </si>
  <si>
    <t>500+</t>
  </si>
  <si>
    <t>Across all verticals; 130+ AI team</t>
  </si>
  <si>
    <t xml:space="preserve">  Board of Directors (As on March 31, 2025)</t>
  </si>
  <si>
    <t>Name</t>
  </si>
  <si>
    <t>Designation / Category</t>
  </si>
  <si>
    <t>Mr. Kapil Kapoor</t>
  </si>
  <si>
    <t>Non-Executive Chairman</t>
  </si>
  <si>
    <t>Mr. Sanjeev Bikhchandani</t>
  </si>
  <si>
    <t>Founder &amp; Executive Vice-Chairman</t>
  </si>
  <si>
    <t>Mr. Hitesh Oberoi</t>
  </si>
  <si>
    <t>Co-Promoter, Managing Director &amp; CEO</t>
  </si>
  <si>
    <t>Mr. Chintan Thakkar</t>
  </si>
  <si>
    <t>Whole-time Director &amp; CFO</t>
  </si>
  <si>
    <t>Mr. Pawan Goyal</t>
  </si>
  <si>
    <t>Whole-time Director &amp; Chief Business Officer – Naukri</t>
  </si>
  <si>
    <t>Mr. Ashish Gupta</t>
  </si>
  <si>
    <t>Independent Director</t>
  </si>
  <si>
    <t>Ms. Geeta Mathur</t>
  </si>
  <si>
    <t>Ms. Aruna Sundararajan</t>
  </si>
  <si>
    <t>Mr. Arindam Kumar Bhattacharya</t>
  </si>
  <si>
    <t>Mr. Sanjiv Sachar</t>
  </si>
  <si>
    <t xml:space="preserve">  Key Managerial Personnel (KMP)</t>
  </si>
  <si>
    <t>Designation</t>
  </si>
  <si>
    <t>Managing Director &amp; Chief Executive Officer</t>
  </si>
  <si>
    <t>Whole-time Director &amp; Chief Financial Officer</t>
  </si>
  <si>
    <t>Ms. Jaya Bhatia</t>
  </si>
  <si>
    <t>Company Secretary</t>
  </si>
  <si>
    <t>Source: Info Edge Annual Report FY2024-25 | Data as of March 31, 2025 | All figures in INR unless stated</t>
  </si>
  <si>
    <t>INFO EDGE (INDIA) LIMITED — PROMOTER SHAREHOLDING PATTERN  |  As on March 31, 2025</t>
  </si>
  <si>
    <t>Category of shareholder</t>
  </si>
  <si>
    <t>Entity Type</t>
  </si>
  <si>
    <t>Nos. of shareholders</t>
  </si>
  <si>
    <t>No. of fully paid up equity shares held</t>
  </si>
  <si>
    <t>Total nos. shares held</t>
  </si>
  <si>
    <t>Shareholding as a % of total no. of shares (calculated as per SCRR, 1957)As a % of (A+B+C2)</t>
  </si>
  <si>
    <t>Number of Voting Rights held in each class of securities</t>
  </si>
  <si>
    <t>Total No. Of shares on fully diluted basis (including warrants, ESOP, Convertible Securities etc.)</t>
  </si>
  <si>
    <t>Shareholding , as a % assuming full conversion of convertible securities ( as a percentage of diluted share capital)As a % of (A+B+C2)</t>
  </si>
  <si>
    <t>Number of equity shares held in dematerialized form</t>
  </si>
  <si>
    <t>Class eg: X</t>
  </si>
  <si>
    <t>Total</t>
  </si>
  <si>
    <t>A9) Indian</t>
  </si>
  <si>
    <t>-</t>
  </si>
  <si>
    <t>Individuals/Hindu undivided Family</t>
  </si>
  <si>
    <t>Sanjeev Bikhchandani</t>
  </si>
  <si>
    <t>Promoter</t>
  </si>
  <si>
    <t>Hitesh Oberoi</t>
  </si>
  <si>
    <t>Surabhi Motihar Bikhchandani</t>
  </si>
  <si>
    <t>Promoter Group</t>
  </si>
  <si>
    <t>Dayawanti Bikhchandani</t>
  </si>
  <si>
    <t>Rimy Oberoi</t>
  </si>
  <si>
    <t>Suresh Kumar Oberai</t>
  </si>
  <si>
    <t>Meera Oberai</t>
  </si>
  <si>
    <t>Misha Oberoi</t>
  </si>
  <si>
    <t>Megha Oberoi</t>
  </si>
  <si>
    <t>Divya Batra</t>
  </si>
  <si>
    <t>Raghav Bikhchandani</t>
  </si>
  <si>
    <t>Tanvi Bikhchandani</t>
  </si>
  <si>
    <t>Sushil Bikhchandani</t>
  </si>
  <si>
    <t>Sunita Gehani</t>
  </si>
  <si>
    <t>Ratan Ramchand Motihar</t>
  </si>
  <si>
    <t>Pushpa Motihar</t>
  </si>
  <si>
    <t>Anjana Motihar Chandra</t>
  </si>
  <si>
    <t>Renuka Motihar</t>
  </si>
  <si>
    <t>Rajan Manjuran</t>
  </si>
  <si>
    <t>Rani Manjuran</t>
  </si>
  <si>
    <t>Rejoy Manjuran</t>
  </si>
  <si>
    <t>Any Other (specify)</t>
  </si>
  <si>
    <t>Sanjeev Bikhchandani &amp; Hitesh Oberoi (Endeavour Holding Trust)</t>
  </si>
  <si>
    <t>Calangute Advisory Services Pvt. Ltd.</t>
  </si>
  <si>
    <t>Roomal Craft Private Limited</t>
  </si>
  <si>
    <t>Minik Enterprises</t>
  </si>
  <si>
    <t>Sub Total A1</t>
  </si>
  <si>
    <t>A10) Foreign</t>
  </si>
  <si>
    <t>A=A1+A2</t>
  </si>
  <si>
    <t>INFO EDGE (INDIA) LIMITED — PUBLIC SHAREHOLDING PATTERN  |  As on March 31, 2025</t>
  </si>
  <si>
    <t>Category &amp; Name of the Shareholders</t>
  </si>
  <si>
    <t>No. of shareholder</t>
  </si>
  <si>
    <t>Total no. shares held</t>
  </si>
  <si>
    <t>Shareholding % calculated as per SCRR, 1957 As a % of (A+B+C2)</t>
  </si>
  <si>
    <t>No. of Voting Rights</t>
  </si>
  <si>
    <t>Total as a % of Total Voting right</t>
  </si>
  <si>
    <t>No. of equity shares held in dematerialized form(Not Applicable)</t>
  </si>
  <si>
    <t>Sub-categorization of shares (XV)</t>
  </si>
  <si>
    <t>Shareholding (No. of shares) under</t>
  </si>
  <si>
    <t>SubCategory_I</t>
  </si>
  <si>
    <t>SubCategory_II</t>
  </si>
  <si>
    <t>SubCategory_III</t>
  </si>
  <si>
    <t>Institutions</t>
  </si>
  <si>
    <t>B2) Institutions (Domestic)</t>
  </si>
  <si>
    <t>Mutual Funds/</t>
  </si>
  <si>
    <t>Nippon Life India Trustee Ltd- A/C Nippon India Growth Mid Cap Fund</t>
  </si>
  <si>
    <t>Uti-Flexi Cap Fund</t>
  </si>
  <si>
    <t>Icici Prudential Large &amp; Mid Cap Fund</t>
  </si>
  <si>
    <t>Alternate Investment Funds</t>
  </si>
  <si>
    <t>Insurance Companies</t>
  </si>
  <si>
    <t>Life Insurance Corporation Of India - P &amp; Gs Fund</t>
  </si>
  <si>
    <t>Provident Funds/ Pension Funds</t>
  </si>
  <si>
    <t>Nps Trust A/C Uti Pension Fund Limited-Scheme State Govt</t>
  </si>
  <si>
    <t>Sovereign Wealth Funds</t>
  </si>
  <si>
    <t>NBFCs registered with RBI</t>
  </si>
  <si>
    <t>Sub Total B1</t>
  </si>
  <si>
    <t>B15) Institutions (Foreign)</t>
  </si>
  <si>
    <t>Foreign Portfolio Investors Category I</t>
  </si>
  <si>
    <t>Government Pension Fund Global</t>
  </si>
  <si>
    <t>Government Of Singapore</t>
  </si>
  <si>
    <t>Nalanda India Equity Fund Limited</t>
  </si>
  <si>
    <t>Foreign Portfolio Investors Category II</t>
  </si>
  <si>
    <t>Sub Total B2</t>
  </si>
  <si>
    <t>B22) Central Government/ State Government(s)/ President of India</t>
  </si>
  <si>
    <t>Central Government / President of India</t>
  </si>
  <si>
    <t>Sub Total B3</t>
  </si>
  <si>
    <t>B25) Non-Institutions</t>
  </si>
  <si>
    <t>Directors and their relatives (excluding independent directors and nominee directors)</t>
  </si>
  <si>
    <t>Kapil Kapoor</t>
  </si>
  <si>
    <t>Key Managerial Personnel</t>
  </si>
  <si>
    <t>Ambarish Raghuvanshi</t>
  </si>
  <si>
    <t>Investor Education and Protection Fund (IEPF)</t>
  </si>
  <si>
    <t>Resident Individuals holding nominal share capital up to Rs. 2 lakhs</t>
  </si>
  <si>
    <t>Resident Individuals holding nominal share capital in excess of Rs. 2 lakhs</t>
  </si>
  <si>
    <t>Anil Lall</t>
  </si>
  <si>
    <t>Non Resident Indians (NRIs)</t>
  </si>
  <si>
    <t>Bodies Corporate</t>
  </si>
  <si>
    <t>Body Corp-Ltd Liability Partnership</t>
  </si>
  <si>
    <t>Sub Total B4</t>
  </si>
  <si>
    <t>B=B1+B2+B3+B4</t>
  </si>
  <si>
    <t>INFO EDGE INDIA — CONSOLIDATED BALANCE SHEET</t>
  </si>
  <si>
    <t>(Rs. Cr.)</t>
  </si>
  <si>
    <t>PARTICULARS</t>
  </si>
  <si>
    <t>Mar 22</t>
  </si>
  <si>
    <t>Mar 23</t>
  </si>
  <si>
    <t>Mar 24</t>
  </si>
  <si>
    <t>Mar 25</t>
  </si>
  <si>
    <t>Mar 26</t>
  </si>
  <si>
    <t>EQUITIES AND LIABILITIES</t>
  </si>
  <si>
    <t>SHAREHOLDER'S FUNDS</t>
  </si>
  <si>
    <t>Equity Share Capital</t>
  </si>
  <si>
    <t>Total Share Capital</t>
  </si>
  <si>
    <t>Reserves and Surplus</t>
  </si>
  <si>
    <t>Total Reserves and Surplus</t>
  </si>
  <si>
    <t>Employees Stock Options</t>
  </si>
  <si>
    <t>Total Shareholders Funds</t>
  </si>
  <si>
    <t>Minority Interest</t>
  </si>
  <si>
    <t>NON-CURRENT LIABILITIES</t>
  </si>
  <si>
    <t>Long Term Borrowings</t>
  </si>
  <si>
    <t>Deferred Tax Liabilities [Net]</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</si>
  <si>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</si>
  <si>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</si>
  <si>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</si>
  <si>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</si>
  <si>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</si>
  <si>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</si>
  <si>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</si>
  <si>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</si>
  <si>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</si>
  <si>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</si>
  <si>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</si>
  <si>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</si>
  <si>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</si>
  <si>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</si>
  <si>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</si>
  <si>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Intangible Assets Under Dev.</t>
  </si>
  <si>
    <t>Fixed Assets</t>
  </si>
  <si>
    <t>Non-Current Investments</t>
  </si>
  <si>
    <t>Deferred Tax Assets [Net]</t>
  </si>
  <si>
    <t>Other Non-Current Assets</t>
  </si>
  <si>
    <t>Total Non-Current Assets</t>
  </si>
  <si>
    <t>CURRENT ASSETS</t>
  </si>
  <si>
    <t>Current Investments</t>
  </si>
  <si>
    <t>Trade Receivables</t>
  </si>
  <si>
    <t>Cash And Cash Equivalents</t>
  </si>
  <si>
    <t>Short Term Loans And Advances</t>
  </si>
  <si>
    <t>Other Current Assets</t>
  </si>
  <si>
    <t>Total Current Assets</t>
  </si>
  <si>
    <t>Total Assets</t>
  </si>
  <si>
    <t>OTHER ADDITIONAL INFORMATION</t>
  </si>
  <si>
    <t>Contingent Liabilities</t>
  </si>
  <si>
    <t>Bonus Equity Share Capital</t>
  </si>
  <si>
    <t>Non-Current Investments Quoted Market Value</t>
  </si>
  <si>
    <t>Non-Current Investments Unquoted Book Value</t>
  </si>
  <si>
    <t>Current Investments Unquoted Book Value</t>
  </si>
  <si>
    <t>INFO EDGE INDIA — CONSOLIDATED PROFIT &amp; LOSS ACCOUNT</t>
  </si>
  <si>
    <t>INCOME</t>
  </si>
  <si>
    <t>Revenue From Operations [Gross]</t>
  </si>
  <si>
    <t>Revenue From Operations [Net]</t>
  </si>
  <si>
    <t>Total Operating Revenues</t>
  </si>
  <si>
    <t>Other Income</t>
  </si>
  <si>
    <t>Total Revenue</t>
  </si>
  <si>
    <t>EXPENSES</t>
  </si>
  <si>
    <t>Operating And Direct Expenses</t>
  </si>
  <si>
    <t>Employee Benefit Expenses</t>
  </si>
  <si>
    <t>Finance Costs</t>
  </si>
  <si>
    <t>Depreciation And Amortisation Expenses</t>
  </si>
  <si>
    <t>Other Expenses</t>
  </si>
  <si>
    <t>Total Expenses</t>
  </si>
  <si>
    <t>Profit/Loss Before Exceptional Items And Tax</t>
  </si>
  <si>
    <t>Exceptional Items</t>
  </si>
  <si>
    <t>Profit/Loss Before Tax</t>
  </si>
  <si>
    <t>TAX EXPENSES — CONTINUED OPERATIONS</t>
  </si>
  <si>
    <t>Current Tax</t>
  </si>
  <si>
    <t>Deferred Tax</t>
  </si>
  <si>
    <t>Total Tax Expenses</t>
  </si>
  <si>
    <t>Profit/Loss After Tax And Before Extraordinary Items</t>
  </si>
  <si>
    <t>Profit/Loss From Continuing Operations</t>
  </si>
  <si>
    <t>Profit/Loss For The Period</t>
  </si>
  <si>
    <t>Share Of Profit/Loss Of Associates</t>
  </si>
  <si>
    <t>Consolidated Profit/Loss After MI And Associates</t>
  </si>
  <si>
    <t>Basic EPS (Rs.)</t>
  </si>
  <si>
    <t>Diluted EPS (Rs.)</t>
  </si>
  <si>
    <t>Equity Share Dividend</t>
  </si>
  <si>
    <t xml:space="preserve"> Consolidated Quarterly Results  (Rs. Crores)</t>
  </si>
  <si>
    <t>Quarter ended</t>
  </si>
  <si>
    <t>Years</t>
  </si>
  <si>
    <t>% CHANGE</t>
  </si>
  <si>
    <t>Particulars</t>
  </si>
  <si>
    <t>QTQ</t>
  </si>
  <si>
    <t>YOY</t>
  </si>
  <si>
    <t>I.  REVENUE</t>
  </si>
  <si>
    <t>Net Sales/Income from Operations</t>
  </si>
  <si>
    <t>Other Operating Income</t>
  </si>
  <si>
    <t>Total Income From Operations</t>
  </si>
  <si>
    <t>II.  EXPENDITURE</t>
  </si>
  <si>
    <t>Consumption of Raw Materials</t>
  </si>
  <si>
    <t>Purchase of Traded Goods</t>
  </si>
  <si>
    <t>Increase/Decrease in Stocks</t>
  </si>
  <si>
    <t>Power &amp; Fuel</t>
  </si>
  <si>
    <t>Employees Cost</t>
  </si>
  <si>
    <t>Depreciation</t>
  </si>
  <si>
    <t>Excise Duty</t>
  </si>
  <si>
    <t>Admin. And Selling Expenses</t>
  </si>
  <si>
    <t>R &amp; D Expenses</t>
  </si>
  <si>
    <t>Provisions And Contingencies</t>
  </si>
  <si>
    <t>Exp. Capitalised</t>
  </si>
  <si>
    <t>III.  PROFIT &amp; LOSS</t>
  </si>
  <si>
    <t>P/L Before Other Inc., Int., Excpt. Items &amp; Tax</t>
  </si>
  <si>
    <t>P/L Before Int., Excpt. Items &amp; Tax</t>
  </si>
  <si>
    <t>Interest</t>
  </si>
  <si>
    <t>P/L Before Exceptional Items &amp; Tax</t>
  </si>
  <si>
    <t>P/L Before Tax</t>
  </si>
  <si>
    <t>Tax</t>
  </si>
  <si>
    <t>P/L After Tax from Ordinary Activities</t>
  </si>
  <si>
    <t>Prior Year Adjustments</t>
  </si>
  <si>
    <t>Extra Ordinary Items</t>
  </si>
  <si>
    <t>Net Profit/(Loss) For the Period</t>
  </si>
  <si>
    <t>Share Of P/L Of Associates</t>
  </si>
  <si>
    <t>Net P/L After M.I &amp; Associates</t>
  </si>
  <si>
    <t>Reserves Excluding Revaluation Reserves</t>
  </si>
  <si>
    <t>Equity Dividend Rate (%)</t>
  </si>
  <si>
    <t>IV.  EARNINGS PER SHARE (Rs.)</t>
  </si>
  <si>
    <t>EPS Before Extra Ordinary - Basic</t>
  </si>
  <si>
    <t>EPS Before Extra Ordinary - Diluted</t>
  </si>
  <si>
    <t>EPS After Extra Ordinary - Basic</t>
  </si>
  <si>
    <t>EPS After Extra Ordinary - Diluted</t>
  </si>
  <si>
    <t>INFO EDGE INDIA — CONSOLIDATED CASH FLOW STATEMENT</t>
  </si>
  <si>
    <t>Net Profit Before Tax</t>
  </si>
  <si>
    <t>Net Cash From Operating Activities</t>
  </si>
  <si>
    <t>Net Cash (used in)/from Investing Activities</t>
  </si>
  <si>
    <t>Net Cash (used in)/from Financing Activities</t>
  </si>
  <si>
    <t>Net (decrease)/increase In Cash and Cash Equivalents</t>
  </si>
  <si>
    <t>Opening Cash &amp; Cash Equivalents</t>
  </si>
  <si>
    <t>Closing Cash &amp; Cash Equivalents</t>
  </si>
  <si>
    <t>Ratio Analysis- Info Edge</t>
  </si>
  <si>
    <t>Trends</t>
  </si>
  <si>
    <t>Mean</t>
  </si>
  <si>
    <t>Median</t>
  </si>
  <si>
    <t>Sales Growth</t>
  </si>
  <si>
    <t>EBITDA Growth</t>
  </si>
  <si>
    <t>EBIT Growth</t>
  </si>
  <si>
    <t>Net Profit Growth</t>
  </si>
  <si>
    <t xml:space="preserve">Dividend Growth </t>
  </si>
  <si>
    <t>Gross Margin</t>
  </si>
  <si>
    <t>EBITDA Margin</t>
  </si>
  <si>
    <t>EBIT Margin</t>
  </si>
  <si>
    <t>EBT Margin</t>
  </si>
  <si>
    <t>Net Profit Margin</t>
  </si>
  <si>
    <t>Sales Expenses%Sales</t>
  </si>
  <si>
    <t>Depriciation%Sales</t>
  </si>
  <si>
    <t>Operating Income%Sales</t>
  </si>
  <si>
    <t xml:space="preserve">Return on Capital Employed </t>
  </si>
  <si>
    <t>Retained Earning %</t>
  </si>
  <si>
    <t>Return on Equity %</t>
  </si>
  <si>
    <t xml:space="preserve">Self Sustained Growth Rate </t>
  </si>
  <si>
    <t xml:space="preserve">Interest Coverage Ratio </t>
  </si>
  <si>
    <t>Debtor Turnover Ratio</t>
  </si>
  <si>
    <t>Creditor Turnover Ratio</t>
  </si>
  <si>
    <t>Inventory Turnover</t>
  </si>
  <si>
    <t>Fixed Asset Turnover</t>
  </si>
  <si>
    <t>Capital Turnover Ratio</t>
  </si>
  <si>
    <t>(In days)</t>
  </si>
  <si>
    <t>Debtors Day</t>
  </si>
  <si>
    <t>Payable Days</t>
  </si>
  <si>
    <t>Inventory Days</t>
  </si>
  <si>
    <t>Cash Conversion Cycle</t>
  </si>
  <si>
    <t>CFO/Sales</t>
  </si>
  <si>
    <t>CFO/Total Assets</t>
  </si>
  <si>
    <t>CFO/Total Debt</t>
  </si>
  <si>
    <t xml:space="preserve">Particular </t>
  </si>
  <si>
    <t>EBIT</t>
  </si>
  <si>
    <t>Less: Tax on EBIT</t>
  </si>
  <si>
    <t>EBIT * (1- Tax) NOPAT</t>
  </si>
  <si>
    <t xml:space="preserve">Less: Net Capital expenditure </t>
  </si>
  <si>
    <t xml:space="preserve">Less: Net Change in working Capital </t>
  </si>
  <si>
    <t>Reinvestment</t>
  </si>
  <si>
    <t>Free Cash Flow</t>
  </si>
  <si>
    <t xml:space="preserve">Reinvestment Rate </t>
  </si>
  <si>
    <t xml:space="preserve">Median Reinvestment rate   /Sales percentage </t>
  </si>
  <si>
    <t xml:space="preserve">Average Reinvestment rate   /Sales percentage </t>
  </si>
  <si>
    <t xml:space="preserve">Beginning balance </t>
  </si>
  <si>
    <t xml:space="preserve">Add: Net Purchases </t>
  </si>
  <si>
    <t xml:space="preserve">Total Fixed Assets </t>
  </si>
  <si>
    <t xml:space="preserve">Less: Depreciation </t>
  </si>
  <si>
    <t xml:space="preserve">Closing Balance(Fixed Asests ) </t>
  </si>
  <si>
    <t xml:space="preserve">Net Capital expenditure </t>
  </si>
  <si>
    <t xml:space="preserve">Net Capital expenditure / Sales percentage </t>
  </si>
  <si>
    <t xml:space="preserve">Median Capital expenditure /Sales percentage </t>
  </si>
  <si>
    <t xml:space="preserve">Average  Capital expenditure /Sales percentage </t>
  </si>
  <si>
    <t xml:space="preserve">Inventory </t>
  </si>
  <si>
    <t xml:space="preserve">Trade Receivables </t>
  </si>
  <si>
    <t>Trade Payable</t>
  </si>
  <si>
    <t xml:space="preserve">Non Cash working Capital </t>
  </si>
  <si>
    <t xml:space="preserve">Change in Working Capital </t>
  </si>
  <si>
    <t xml:space="preserve">change in working Capital /percentage of sales </t>
  </si>
  <si>
    <t xml:space="preserve">Median Non Cash working Capital  /Sales percentage </t>
  </si>
  <si>
    <t xml:space="preserve">Average  Non Cash working Capital  /Sales percentage </t>
  </si>
  <si>
    <t>INFO EDGE</t>
  </si>
  <si>
    <t>Particulars (in RS Cr.)</t>
  </si>
  <si>
    <t>Revenue from operations</t>
  </si>
  <si>
    <t>Revenue growth in %</t>
  </si>
  <si>
    <t>Less: Material cost</t>
  </si>
  <si>
    <t>Less: Employee costs</t>
  </si>
  <si>
    <t>Less: Other Expenses</t>
  </si>
  <si>
    <t>EBITDA</t>
  </si>
  <si>
    <t>Less: Depreciation And Amortization</t>
  </si>
  <si>
    <t xml:space="preserve">EBIT </t>
  </si>
  <si>
    <t>ADD: Non operating  income/ Other Income</t>
  </si>
  <si>
    <t xml:space="preserve">Less: Interest Expenses </t>
  </si>
  <si>
    <t>EBT</t>
  </si>
  <si>
    <t>Less: TAX</t>
  </si>
  <si>
    <t>Less:Non Controlling Interest/Minority Interest</t>
  </si>
  <si>
    <t>Net Profit- Pat</t>
  </si>
  <si>
    <t>Historical Growth</t>
  </si>
  <si>
    <t>Average Growth</t>
  </si>
  <si>
    <t>CAGR</t>
  </si>
  <si>
    <t>RRI</t>
  </si>
  <si>
    <t>Margins</t>
  </si>
  <si>
    <t>Net Proftt</t>
  </si>
  <si>
    <t>Tax Rate</t>
  </si>
  <si>
    <t>Effective tax rate</t>
  </si>
  <si>
    <t>Marginal Tax rate</t>
  </si>
  <si>
    <t>Return On Capital</t>
  </si>
  <si>
    <t>EBIT*(1-T)</t>
  </si>
  <si>
    <t>Book Equity</t>
  </si>
  <si>
    <t>Book Debt</t>
  </si>
  <si>
    <t>Cash and Cash equivalents</t>
  </si>
  <si>
    <t>Capital Employed</t>
  </si>
  <si>
    <t>Pre-Tax Return on capital</t>
  </si>
  <si>
    <t>Post Tax return On capital</t>
  </si>
  <si>
    <t>Growth In EBIT</t>
  </si>
  <si>
    <t>Capital Structure</t>
  </si>
  <si>
    <t>Total Debt</t>
  </si>
  <si>
    <t>Total Equity</t>
  </si>
  <si>
    <t>Total Mix (Debt + Equity)</t>
  </si>
  <si>
    <t>% of Debt</t>
  </si>
  <si>
    <t>% of Equity</t>
  </si>
  <si>
    <t>Debt to Equity</t>
  </si>
  <si>
    <t>Cost of Equity (CAPM)</t>
  </si>
  <si>
    <t>Risk-free Rate (Rf)</t>
  </si>
  <si>
    <t>Source: RBI 10-year Government Securities yield (FY2025)</t>
  </si>
  <si>
    <t>Beta (β)</t>
  </si>
  <si>
    <t>Market Risk Premium (Rm - Rf)</t>
  </si>
  <si>
    <t>Source: India Equity Risk Premium (Damodaran estimate)</t>
  </si>
  <si>
    <t>Cost of Equity [Ke = Rf + β×(Rm-Rf)]</t>
  </si>
  <si>
    <t>Cost of Debt</t>
  </si>
  <si>
    <t>Finance Cost (FY2025)</t>
  </si>
  <si>
    <t>Total Debt (FY2025)</t>
  </si>
  <si>
    <t>Pre-tax Cost of Debt [Kd = FC/Debt]</t>
  </si>
  <si>
    <t>Note: Pre-tax Kd is distorted; Info Edge is near-zero debt company (Total Debt = ₹1.27 Cr). Finance Costs include lease &amp; other items. WACC effectively = Ke.</t>
  </si>
  <si>
    <t>Source: Marginal Tax Rate (Assumptions sheet)</t>
  </si>
  <si>
    <t>Post-tax Cost of Debt [Kd*(1-T)]</t>
  </si>
  <si>
    <t>WACC</t>
  </si>
  <si>
    <t>Source</t>
  </si>
  <si>
    <t>Weight</t>
  </si>
  <si>
    <t>Cost</t>
  </si>
  <si>
    <t>Weighted Cost</t>
  </si>
  <si>
    <t>Debt</t>
  </si>
  <si>
    <t>Equity</t>
  </si>
  <si>
    <t>(Check: weights = 100%)</t>
  </si>
  <si>
    <t>wacc = we*ke+wd*kd</t>
  </si>
  <si>
    <t>Trading_Date</t>
  </si>
  <si>
    <t>NIFTY50_Close</t>
  </si>
  <si>
    <t>INFOEDGE_Close</t>
  </si>
  <si>
    <t>Rm Nifty</t>
  </si>
  <si>
    <t>Rm Info edge</t>
  </si>
  <si>
    <t>slope</t>
  </si>
  <si>
    <t>covariance</t>
  </si>
  <si>
    <t>2020-04-01</t>
  </si>
  <si>
    <t>2020-04-03</t>
  </si>
  <si>
    <t>SUMMARY OUTPUT</t>
  </si>
  <si>
    <t>2020-04-07</t>
  </si>
  <si>
    <t>2020-04-08</t>
  </si>
  <si>
    <t>Regression Statistics</t>
  </si>
  <si>
    <t>2020-04-09</t>
  </si>
  <si>
    <t>Multiple R</t>
  </si>
  <si>
    <t>2020-04-13</t>
  </si>
  <si>
    <t>R Square</t>
  </si>
  <si>
    <t>2020-04-15</t>
  </si>
  <si>
    <t>Adjusted R Square</t>
  </si>
  <si>
    <t>2020-04-16</t>
  </si>
  <si>
    <t>Standard Error</t>
  </si>
  <si>
    <t>2020-04-17</t>
  </si>
  <si>
    <t>Observations</t>
  </si>
  <si>
    <t>2020-04-20</t>
  </si>
  <si>
    <t>2020-04-21</t>
  </si>
  <si>
    <t>ANOVA</t>
  </si>
  <si>
    <t>2020-04-22</t>
  </si>
  <si>
    <t>df</t>
  </si>
  <si>
    <t>SS</t>
  </si>
  <si>
    <t>MS</t>
  </si>
  <si>
    <t>F</t>
  </si>
  <si>
    <t>Significance F</t>
  </si>
  <si>
    <t>2020-04-23</t>
  </si>
  <si>
    <t>Regression</t>
  </si>
  <si>
    <t>2020-04-24</t>
  </si>
  <si>
    <t>Residual</t>
  </si>
  <si>
    <t>2020-04-27</t>
  </si>
  <si>
    <t>2020-04-28</t>
  </si>
  <si>
    <t>2020-04-29</t>
  </si>
  <si>
    <t>Coefficients</t>
  </si>
  <si>
    <t>t Stat</t>
  </si>
  <si>
    <t>P-value</t>
  </si>
  <si>
    <t>Lower 95%</t>
  </si>
  <si>
    <t>Upper 95%</t>
  </si>
  <si>
    <t>Lower 95.0%</t>
  </si>
  <si>
    <t>Upper 95.0%</t>
  </si>
  <si>
    <t>2020-04-30</t>
  </si>
  <si>
    <t>Intercept</t>
  </si>
  <si>
    <t>2020-05-04</t>
  </si>
  <si>
    <t>X Variable 1</t>
  </si>
  <si>
    <t>2020-05-05</t>
  </si>
  <si>
    <t>2020-05-06</t>
  </si>
  <si>
    <t xml:space="preserve">unlevered betA </t>
  </si>
  <si>
    <t>Bl/1+(1-t)*D/E</t>
  </si>
  <si>
    <t>2020-05-07</t>
  </si>
  <si>
    <t>LEVERED BETA</t>
  </si>
  <si>
    <t>BU(1+(1-T)*D/E</t>
  </si>
  <si>
    <t>2020-05-08</t>
  </si>
  <si>
    <t>UL</t>
  </si>
  <si>
    <t>2020-05-11</t>
  </si>
  <si>
    <t>2020-05-12</t>
  </si>
  <si>
    <t>2020-05-13</t>
  </si>
  <si>
    <t>2020-05-14</t>
  </si>
  <si>
    <t>2020-05-15</t>
  </si>
  <si>
    <t>2020-05-18</t>
  </si>
  <si>
    <t>2020-05-19</t>
  </si>
  <si>
    <t>2020-05-20</t>
  </si>
  <si>
    <t>2020-05-21</t>
  </si>
  <si>
    <t>2020-05-22</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</si>
  <si>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</si>
  <si>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</si>
  <si>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</si>
  <si>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</si>
  <si>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</si>
  <si>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</si>
  <si>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</si>
  <si>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</si>
  <si>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</si>
  <si>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</si>
  <si>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</si>
  <si>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</si>
  <si>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</si>
  <si>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</si>
  <si>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</si>
  <si>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</si>
  <si>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</si>
  <si>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</si>
  <si>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</si>
  <si>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</si>
  <si>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</si>
  <si>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</si>
  <si>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</si>
  <si>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</si>
  <si>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</si>
  <si>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</si>
  <si>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</si>
  <si>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</si>
  <si>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</si>
  <si>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</si>
  <si>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</si>
  <si>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</si>
  <si>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</si>
  <si>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</si>
  <si>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</si>
  <si>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</si>
  <si>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</si>
  <si>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</si>
  <si>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</si>
  <si>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</si>
  <si>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</si>
  <si>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</si>
  <si>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</si>
  <si>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</si>
  <si>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</si>
  <si>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</si>
  <si>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</si>
  <si>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</si>
  <si>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</si>
  <si>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</si>
  <si>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</si>
  <si>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</si>
  <si>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</si>
  <si>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</si>
  <si>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</si>
  <si>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</si>
  <si>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</si>
  <si>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</si>
  <si>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</si>
  <si>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</si>
  <si>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</si>
  <si>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</si>
  <si>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</si>
  <si>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</si>
  <si>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</si>
  <si>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</si>
  <si>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</si>
  <si>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</si>
  <si>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</si>
  <si>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</si>
  <si>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</si>
  <si>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</si>
  <si>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</si>
  <si>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</si>
  <si>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</si>
  <si>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</si>
  <si>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</si>
  <si>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</si>
  <si>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</si>
  <si>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</si>
  <si>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</si>
  <si>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</si>
  <si>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</si>
  <si>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</si>
  <si>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</si>
  <si>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</si>
  <si>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</si>
  <si>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</si>
  <si>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</si>
  <si>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</si>
  <si>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</si>
  <si>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</si>
  <si>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</si>
  <si>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</si>
  <si>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</si>
  <si>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</si>
  <si>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</si>
  <si>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</si>
  <si>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</si>
  <si>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</si>
  <si>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</si>
  <si>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</si>
  <si>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</si>
  <si>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</si>
  <si>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</si>
  <si>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</si>
  <si>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</si>
  <si>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</si>
  <si>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</si>
  <si>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</si>
  <si>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</si>
  <si>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</si>
  <si>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</si>
  <si>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</si>
  <si>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</si>
  <si>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</si>
  <si>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</si>
  <si>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</si>
  <si>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</si>
  <si>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</si>
  <si>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</si>
  <si>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</si>
  <si>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</si>
  <si>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2020-11-17</t>
  </si>
  <si>
    <t>2020-11-18</t>
  </si>
  <si>
    <t>2020-11-19</t>
  </si>
  <si>
    <t>2020-11-20</t>
  </si>
  <si>
    <t>2020-11-23</t>
  </si>
  <si>
    <t>2020-11-24</t>
  </si>
  <si>
    <t>2020-11-25</t>
  </si>
  <si>
    <t>2020-11-26</t>
  </si>
  <si>
    <t>2020-11-27</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</si>
  <si>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</si>
  <si>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</si>
  <si>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</si>
  <si>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</si>
  <si>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</si>
  <si>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</si>
  <si>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</si>
  <si>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</si>
  <si>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</si>
  <si>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</si>
  <si>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</si>
  <si>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</si>
  <si>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</si>
  <si>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</si>
  <si>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</si>
  <si>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</si>
  <si>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</si>
  <si>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</si>
  <si>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</si>
  <si>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</si>
  <si>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</si>
  <si>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</si>
  <si>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</si>
  <si>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</si>
  <si>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</si>
  <si>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</si>
  <si>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</si>
  <si>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</si>
  <si>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</si>
  <si>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</si>
  <si>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</si>
  <si>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</si>
  <si>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</si>
  <si>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</si>
  <si>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</si>
  <si>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</si>
  <si>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</si>
  <si>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</si>
  <si>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</si>
  <si>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</si>
  <si>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</si>
  <si>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</si>
  <si>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</si>
  <si>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</si>
  <si>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</si>
  <si>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</si>
  <si>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</si>
  <si>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</si>
  <si>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</si>
  <si>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</si>
  <si>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</si>
  <si>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</si>
  <si>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</si>
  <si>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</si>
  <si>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</si>
  <si>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</si>
  <si>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</si>
  <si>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</si>
  <si>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</si>
  <si>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</si>
  <si>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</si>
  <si>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</si>
  <si>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</si>
  <si>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</si>
  <si>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</si>
  <si>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</si>
  <si>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</si>
  <si>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</si>
  <si>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</si>
  <si>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</si>
  <si>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2021-03-12</t>
  </si>
  <si>
    <t>2021-03-15</t>
  </si>
  <si>
    <t>2021-03-16</t>
  </si>
  <si>
    <t>2021-03-17</t>
  </si>
  <si>
    <t>2021-03-18</t>
  </si>
  <si>
    <t>2021-03-19</t>
  </si>
  <si>
    <t>2021-03-22</t>
  </si>
  <si>
    <t>2021-03-23</t>
  </si>
  <si>
    <t>2021-03-24</t>
  </si>
  <si>
    <t>2021-03-25</t>
  </si>
  <si>
    <t>2021-03-26</t>
  </si>
  <si>
    <t>2021-03-30</t>
  </si>
  <si>
    <t>2021-03-31</t>
  </si>
  <si>
    <t>2021-04-01</t>
  </si>
  <si>
    <t>2021-04-05</t>
  </si>
  <si>
    <t>2021-04-06</t>
  </si>
  <si>
    <t>2021-04-07</t>
  </si>
  <si>
    <t>2021-04-08</t>
  </si>
  <si>
    <t>2021-04-09</t>
  </si>
  <si>
    <t>2021-04-12</t>
  </si>
  <si>
    <t>2021-04-13</t>
  </si>
  <si>
    <t>2021-04-15</t>
  </si>
  <si>
    <t>2021-04-16</t>
  </si>
  <si>
    <t>2021-04-19</t>
  </si>
  <si>
    <t>2021-04-20</t>
  </si>
  <si>
    <t>2021-04-22</t>
  </si>
  <si>
    <t>2021-04-23</t>
  </si>
  <si>
    <t>2021-04-26</t>
  </si>
  <si>
    <t>2021-04-27</t>
  </si>
  <si>
    <t>2021-04-28</t>
  </si>
  <si>
    <t>2021-04-29</t>
  </si>
  <si>
    <t>2021-04-30</t>
  </si>
  <si>
    <t>2021-05-03</t>
  </si>
  <si>
    <t>2021-05-04</t>
  </si>
  <si>
    <t>2021-05-05</t>
  </si>
  <si>
    <t>2021-05-06</t>
  </si>
  <si>
    <t>2021-05-07</t>
  </si>
  <si>
    <t>2021-05-10</t>
  </si>
  <si>
    <t>2021-05-11</t>
  </si>
  <si>
    <t>2021-05-12</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</si>
  <si>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</si>
  <si>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</si>
  <si>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</si>
  <si>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</si>
  <si>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</si>
  <si>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</si>
  <si>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</si>
  <si>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</si>
  <si>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</si>
  <si>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</si>
  <si>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</si>
  <si>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</si>
  <si>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</si>
  <si>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</si>
  <si>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</si>
  <si>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</si>
  <si>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</si>
  <si>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</si>
  <si>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</si>
  <si>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</si>
  <si>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</si>
  <si>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</si>
  <si>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</si>
  <si>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</si>
  <si>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</si>
  <si>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</si>
  <si>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</si>
  <si>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</si>
  <si>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</si>
  <si>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</si>
  <si>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</si>
  <si>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</si>
  <si>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</si>
  <si>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</si>
  <si>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</si>
  <si>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</si>
  <si>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</si>
  <si>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</si>
  <si>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</si>
  <si>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</si>
  <si>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</si>
  <si>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</si>
  <si>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</si>
  <si>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</si>
  <si>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</si>
  <si>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</si>
  <si>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</si>
  <si>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</si>
  <si>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</si>
  <si>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</si>
  <si>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</si>
  <si>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</si>
  <si>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</si>
  <si>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</si>
  <si>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</si>
  <si>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</si>
  <si>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</si>
  <si>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</si>
  <si>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</si>
  <si>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</si>
  <si>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</si>
  <si>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</si>
  <si>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</si>
  <si>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</si>
  <si>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</si>
  <si>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</si>
  <si>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</si>
  <si>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</si>
  <si>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2021-08-20</t>
  </si>
  <si>
    <t>2021-08-23</t>
  </si>
  <si>
    <t>2021-08-24</t>
  </si>
  <si>
    <t>2021-08-25</t>
  </si>
  <si>
    <t>2021-08-26</t>
  </si>
  <si>
    <t>2021-08-27</t>
  </si>
  <si>
    <t>2021-08-30</t>
  </si>
  <si>
    <t>2021-08-31</t>
  </si>
  <si>
    <t>2021-09-01</t>
  </si>
  <si>
    <t>2021-09-02</t>
  </si>
  <si>
    <t>2021-09-03</t>
  </si>
  <si>
    <t>2021-09-06</t>
  </si>
  <si>
    <t>2021-09-07</t>
  </si>
  <si>
    <t>2021-09-08</t>
  </si>
  <si>
    <t>2021-09-09</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</si>
  <si>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</si>
  <si>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</si>
  <si>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</si>
  <si>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</si>
  <si>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</si>
  <si>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</si>
  <si>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</si>
  <si>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</si>
  <si>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</si>
  <si>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</si>
  <si>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</si>
  <si>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</si>
  <si>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</si>
  <si>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</si>
  <si>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</si>
  <si>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</si>
  <si>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</si>
  <si>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</si>
  <si>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</si>
  <si>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</si>
  <si>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</si>
  <si>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</si>
  <si>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</si>
  <si>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</si>
  <si>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2021-10-18</t>
  </si>
  <si>
    <t>2021-10-19</t>
  </si>
  <si>
    <t>2021-10-20</t>
  </si>
  <si>
    <t>2021-10-21</t>
  </si>
  <si>
    <t>2021-10-22</t>
  </si>
  <si>
    <t>2021-10-25</t>
  </si>
  <si>
    <t>2021-10-26</t>
  </si>
  <si>
    <t>2021-10-27</t>
  </si>
  <si>
    <t>2021-10-28</t>
  </si>
  <si>
    <t>2021-10-29</t>
  </si>
  <si>
    <t>2021-11-01</t>
  </si>
  <si>
    <t>2021-11-02</t>
  </si>
  <si>
    <t>2021-11-03</t>
  </si>
  <si>
    <t>2021-11-04</t>
  </si>
  <si>
    <t>2021-11-08</t>
  </si>
  <si>
    <t>2021-11-09</t>
  </si>
  <si>
    <t>2021-11-10</t>
  </si>
  <si>
    <t>2021-11-11</t>
  </si>
  <si>
    <t>2021-11-12</t>
  </si>
  <si>
    <t>2021-11-15</t>
  </si>
  <si>
    <t>2021-11-16</t>
  </si>
  <si>
    <t>2021-11-17</t>
  </si>
  <si>
    <t>2021-11-18</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</si>
  <si>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</si>
  <si>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</si>
  <si>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</si>
  <si>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</si>
  <si>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</si>
  <si>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</si>
  <si>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</si>
  <si>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</si>
  <si>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</si>
  <si>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</si>
  <si>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</si>
  <si>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</si>
  <si>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</si>
  <si>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</si>
  <si>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</si>
  <si>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</si>
  <si>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</si>
  <si>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</si>
  <si>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</si>
  <si>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</si>
  <si>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</si>
  <si>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</si>
  <si>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</si>
  <si>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</si>
  <si>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</si>
  <si>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</si>
  <si>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</si>
  <si>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</si>
  <si>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</si>
  <si>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</si>
  <si>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</si>
  <si>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</si>
  <si>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</si>
  <si>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</si>
  <si>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</si>
  <si>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</si>
  <si>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</si>
  <si>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</si>
  <si>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</si>
  <si>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</si>
  <si>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</si>
  <si>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</si>
  <si>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</si>
  <si>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</si>
  <si>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</si>
  <si>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</si>
  <si>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</si>
  <si>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</si>
  <si>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</si>
  <si>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</si>
  <si>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</si>
  <si>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</si>
  <si>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</si>
  <si>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</si>
  <si>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</si>
  <si>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</si>
  <si>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</si>
  <si>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</si>
  <si>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</si>
  <si>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</si>
  <si>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</si>
  <si>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</si>
  <si>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</si>
  <si>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</si>
  <si>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</si>
  <si>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</si>
  <si>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</si>
  <si>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</si>
  <si>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</si>
  <si>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</si>
  <si>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2022-03-02</t>
  </si>
  <si>
    <t>2022-03-03</t>
  </si>
  <si>
    <t>2022-03-04</t>
  </si>
  <si>
    <t>2022-03-07</t>
  </si>
  <si>
    <t>2022-03-08</t>
  </si>
  <si>
    <t>2022-03-09</t>
  </si>
  <si>
    <t>2022-03-10</t>
  </si>
  <si>
    <t>2022-03-11</t>
  </si>
  <si>
    <t>2022-03-14</t>
  </si>
  <si>
    <t>2022-03-15</t>
  </si>
  <si>
    <t>2022-03-16</t>
  </si>
  <si>
    <t>2022-03-17</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</si>
  <si>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</si>
  <si>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</si>
  <si>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</si>
  <si>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</si>
  <si>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</si>
  <si>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</si>
  <si>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</si>
  <si>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</si>
  <si>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</si>
  <si>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</si>
  <si>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</si>
  <si>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</si>
  <si>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</si>
  <si>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</si>
  <si>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</si>
  <si>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</si>
  <si>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</si>
  <si>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</si>
  <si>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2022-04-18</t>
  </si>
  <si>
    <t>2022-04-19</t>
  </si>
  <si>
    <t>2022-04-20</t>
  </si>
  <si>
    <t>2022-04-21</t>
  </si>
  <si>
    <t>2022-04-22</t>
  </si>
  <si>
    <t>2022-04-25</t>
  </si>
  <si>
    <t>2022-04-26</t>
  </si>
  <si>
    <t>2022-04-27</t>
  </si>
  <si>
    <t>2022-04-28</t>
  </si>
  <si>
    <t>2022-04-29</t>
  </si>
  <si>
    <t>2022-05-02</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</si>
  <si>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</si>
  <si>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</si>
  <si>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</si>
  <si>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</si>
  <si>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</si>
  <si>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</si>
  <si>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</si>
  <si>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</si>
  <si>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</si>
  <si>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</si>
  <si>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</si>
  <si>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</si>
  <si>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</si>
  <si>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</si>
  <si>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</si>
  <si>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</si>
  <si>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</si>
  <si>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</si>
  <si>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</si>
  <si>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</si>
  <si>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</si>
  <si>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</si>
  <si>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</si>
  <si>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</si>
  <si>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</si>
  <si>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</si>
  <si>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</si>
  <si>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</si>
  <si>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</si>
  <si>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</si>
  <si>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</si>
  <si>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</si>
  <si>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</si>
  <si>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</si>
  <si>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</si>
  <si>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</si>
  <si>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</si>
  <si>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</si>
  <si>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</si>
  <si>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</si>
  <si>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</si>
  <si>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</si>
  <si>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</si>
  <si>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</si>
  <si>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</si>
  <si>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</si>
  <si>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</si>
  <si>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</si>
  <si>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</si>
  <si>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</si>
  <si>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</si>
  <si>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</si>
  <si>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</si>
  <si>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</si>
  <si>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</si>
  <si>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</si>
  <si>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</si>
  <si>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</si>
  <si>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</si>
  <si>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</si>
  <si>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</si>
  <si>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</si>
  <si>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</si>
  <si>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</si>
  <si>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</si>
  <si>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</si>
  <si>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</si>
  <si>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</si>
  <si>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</si>
  <si>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2022-08-10</t>
  </si>
  <si>
    <t>2022-08-11</t>
  </si>
  <si>
    <t>2022-08-12</t>
  </si>
  <si>
    <t>2022-08-16</t>
  </si>
  <si>
    <t>2022-08-17</t>
  </si>
  <si>
    <t>2022-08-18</t>
  </si>
  <si>
    <t>2022-08-19</t>
  </si>
  <si>
    <t>2022-08-22</t>
  </si>
  <si>
    <t>2022-08-23</t>
  </si>
  <si>
    <t>2022-08-24</t>
  </si>
  <si>
    <t>2022-08-25</t>
  </si>
  <si>
    <t>2022-08-26</t>
  </si>
  <si>
    <t>2022-08-29</t>
  </si>
  <si>
    <t>2022-08-30</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</si>
  <si>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</si>
  <si>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</si>
  <si>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</si>
  <si>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</si>
  <si>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</si>
  <si>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</si>
  <si>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</si>
  <si>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</si>
  <si>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</si>
  <si>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</si>
  <si>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</si>
  <si>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</si>
  <si>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</si>
  <si>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</si>
  <si>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</si>
  <si>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</si>
  <si>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</si>
  <si>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</si>
  <si>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</si>
  <si>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</si>
  <si>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</si>
  <si>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</si>
  <si>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</si>
  <si>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</si>
  <si>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2022-10-06</t>
  </si>
  <si>
    <t>2022-10-07</t>
  </si>
  <si>
    <t>2022-10-10</t>
  </si>
  <si>
    <t>2022-10-11</t>
  </si>
  <si>
    <t>2022-10-12</t>
  </si>
  <si>
    <t>2022-10-13</t>
  </si>
  <si>
    <t>2022-10-14</t>
  </si>
  <si>
    <t>2022-10-17</t>
  </si>
  <si>
    <t>2022-10-18</t>
  </si>
  <si>
    <t>2022-10-19</t>
  </si>
  <si>
    <t>2022-10-20</t>
  </si>
  <si>
    <t>2022-10-21</t>
  </si>
  <si>
    <t>2022-10-24</t>
  </si>
  <si>
    <t>2022-10-25</t>
  </si>
  <si>
    <t>2022-10-27</t>
  </si>
  <si>
    <t>2022-10-28</t>
  </si>
  <si>
    <t>2022-10-31</t>
  </si>
  <si>
    <t>2022-11-01</t>
  </si>
  <si>
    <t>2022-11-02</t>
  </si>
  <si>
    <t>2022-11-03</t>
  </si>
  <si>
    <t>2022-11-04</t>
  </si>
  <si>
    <t>2022-11-07</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</si>
  <si>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</si>
  <si>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</si>
  <si>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</si>
  <si>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</si>
  <si>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</si>
  <si>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</si>
  <si>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</si>
  <si>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</si>
  <si>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</si>
  <si>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</si>
  <si>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</si>
  <si>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</si>
  <si>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</si>
  <si>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</si>
  <si>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</si>
  <si>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</si>
  <si>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</si>
  <si>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</si>
  <si>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</si>
  <si>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</si>
  <si>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</si>
  <si>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</si>
  <si>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</si>
  <si>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</si>
  <si>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</si>
  <si>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</si>
  <si>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</si>
  <si>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</si>
  <si>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</si>
  <si>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</si>
  <si>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</si>
  <si>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</si>
  <si>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</si>
  <si>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</si>
  <si>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</si>
  <si>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</si>
  <si>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</si>
  <si>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</si>
  <si>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</si>
  <si>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</si>
  <si>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</si>
  <si>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</si>
  <si>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</si>
  <si>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</si>
  <si>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</si>
  <si>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</si>
  <si>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</si>
  <si>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</si>
  <si>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</si>
  <si>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</si>
  <si>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</si>
  <si>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</si>
  <si>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</si>
  <si>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</si>
  <si>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</si>
  <si>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</si>
  <si>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</si>
  <si>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</si>
  <si>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</si>
  <si>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</si>
  <si>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</si>
  <si>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</si>
  <si>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</si>
  <si>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</si>
  <si>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</si>
  <si>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</si>
  <si>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</si>
  <si>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</si>
  <si>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</si>
  <si>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</si>
  <si>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</si>
  <si>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</si>
  <si>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</si>
  <si>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</si>
  <si>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</si>
  <si>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</si>
  <si>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</si>
  <si>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</si>
  <si>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</si>
  <si>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</si>
  <si>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</si>
  <si>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</si>
  <si>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</si>
  <si>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</si>
  <si>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</si>
  <si>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</si>
  <si>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</si>
  <si>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</si>
  <si>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</si>
  <si>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</si>
  <si>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</si>
  <si>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</si>
  <si>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</si>
  <si>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</si>
  <si>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</si>
  <si>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</si>
  <si>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</si>
  <si>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</si>
  <si>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</si>
  <si>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2023-03-31</t>
  </si>
  <si>
    <t>2023-04-03</t>
  </si>
  <si>
    <t>2023-04-05</t>
  </si>
  <si>
    <t>2023-04-06</t>
  </si>
  <si>
    <t>2023-04-10</t>
  </si>
  <si>
    <t>2023-04-11</t>
  </si>
  <si>
    <t>2023-04-12</t>
  </si>
  <si>
    <t>2023-04-13</t>
  </si>
  <si>
    <t>2023-04-17</t>
  </si>
  <si>
    <t>2023-04-18</t>
  </si>
  <si>
    <t>2023-04-19</t>
  </si>
  <si>
    <t>2023-04-20</t>
  </si>
  <si>
    <t>2023-04-21</t>
  </si>
  <si>
    <t>2023-04-24</t>
  </si>
  <si>
    <t>2023-04-25</t>
  </si>
  <si>
    <t>2023-04-26</t>
  </si>
  <si>
    <t>2023-04-27</t>
  </si>
  <si>
    <t>2023-04-28</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</si>
  <si>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</si>
  <si>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</si>
  <si>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</si>
  <si>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</si>
  <si>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</si>
  <si>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</si>
  <si>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</si>
  <si>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</si>
  <si>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</si>
  <si>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</si>
  <si>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</si>
  <si>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</si>
  <si>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</si>
  <si>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</si>
  <si>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</si>
  <si>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</si>
  <si>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</si>
  <si>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</si>
  <si>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</si>
  <si>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</si>
  <si>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</si>
  <si>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</si>
  <si>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</si>
  <si>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</si>
  <si>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</si>
  <si>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</si>
  <si>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</si>
  <si>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</si>
  <si>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</si>
  <si>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</si>
  <si>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</si>
  <si>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</si>
  <si>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</si>
  <si>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</si>
  <si>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</si>
  <si>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</si>
  <si>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</si>
  <si>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</si>
  <si>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</si>
  <si>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</si>
  <si>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</si>
  <si>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</si>
  <si>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</si>
  <si>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</si>
  <si>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</si>
  <si>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</si>
  <si>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</si>
  <si>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</si>
  <si>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</si>
  <si>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</si>
  <si>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</si>
  <si>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</si>
  <si>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</si>
  <si>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</si>
  <si>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</si>
  <si>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</si>
  <si>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</si>
  <si>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</si>
  <si>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</si>
  <si>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</si>
  <si>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</si>
  <si>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</si>
  <si>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</si>
  <si>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</si>
  <si>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</si>
  <si>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</si>
  <si>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</si>
  <si>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</si>
  <si>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</si>
  <si>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</si>
  <si>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</si>
  <si>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</si>
  <si>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</si>
  <si>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</si>
  <si>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</si>
  <si>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</si>
  <si>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</si>
  <si>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</si>
  <si>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</si>
  <si>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</si>
  <si>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</si>
  <si>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</si>
  <si>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</si>
  <si>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</si>
  <si>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</si>
  <si>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</si>
  <si>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</si>
  <si>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</si>
  <si>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</si>
  <si>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</si>
  <si>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</si>
  <si>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</si>
  <si>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</si>
  <si>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</si>
  <si>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</si>
  <si>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</si>
  <si>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</si>
  <si>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</si>
  <si>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2023-09-20</t>
  </si>
  <si>
    <t>2023-09-21</t>
  </si>
  <si>
    <t>2023-09-22</t>
  </si>
  <si>
    <t>2023-09-25</t>
  </si>
  <si>
    <t>2023-09-26</t>
  </si>
  <si>
    <t>2023-09-27</t>
  </si>
  <si>
    <t>2023-09-28</t>
  </si>
  <si>
    <t>2023-09-29</t>
  </si>
  <si>
    <t>2023-10-03</t>
  </si>
  <si>
    <t>2023-10-04</t>
  </si>
  <si>
    <t>2023-10-05</t>
  </si>
  <si>
    <t>2023-10-06</t>
  </si>
  <si>
    <t>2023-10-09</t>
  </si>
  <si>
    <t>2023-10-10</t>
  </si>
  <si>
    <t>2023-10-11</t>
  </si>
  <si>
    <t>2023-10-12</t>
  </si>
  <si>
    <t>2023-10-13</t>
  </si>
  <si>
    <t>2023-10-16</t>
  </si>
  <si>
    <t>2023-10-17</t>
  </si>
  <si>
    <t>2023-10-18</t>
  </si>
  <si>
    <t>2023-10-19</t>
  </si>
  <si>
    <t>2023-10-20</t>
  </si>
  <si>
    <t>2023-10-23</t>
  </si>
  <si>
    <t>2023-10-25</t>
  </si>
  <si>
    <t>2023-10-26</t>
  </si>
  <si>
    <t>2023-10-27</t>
  </si>
  <si>
    <t>2023-10-30</t>
  </si>
  <si>
    <t>2023-10-31</t>
  </si>
  <si>
    <t>2023-11-01</t>
  </si>
  <si>
    <t>2023-11-02</t>
  </si>
  <si>
    <t>2023-11-03</t>
  </si>
  <si>
    <t>2023-11-06</t>
  </si>
  <si>
    <t>2023-11-07</t>
  </si>
  <si>
    <t>2023-11-08</t>
  </si>
  <si>
    <t>2023-11-09</t>
  </si>
  <si>
    <t>2023-11-10</t>
  </si>
  <si>
    <t>2023-11-13</t>
  </si>
  <si>
    <t>2023-11-15</t>
  </si>
  <si>
    <t>2023-11-16</t>
  </si>
  <si>
    <t>2023-11-17</t>
  </si>
  <si>
    <t>2023-11-20</t>
  </si>
  <si>
    <t>2023-11-21</t>
  </si>
  <si>
    <t>2023-11-22</t>
  </si>
  <si>
    <t>2023-11-23</t>
  </si>
  <si>
    <t>2023-11-24</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</si>
  <si>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</si>
  <si>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</si>
  <si>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</si>
  <si>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</si>
  <si>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</si>
  <si>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</si>
  <si>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</si>
  <si>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</si>
  <si>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</si>
  <si>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</si>
  <si>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</si>
  <si>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</si>
  <si>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</si>
  <si>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</si>
  <si>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</si>
  <si>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</si>
  <si>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</si>
  <si>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</si>
  <si>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</si>
  <si>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</si>
  <si>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</si>
  <si>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</si>
  <si>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</si>
  <si>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</si>
  <si>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</si>
  <si>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</si>
  <si>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</si>
  <si>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</si>
  <si>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</si>
  <si>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</si>
  <si>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</si>
  <si>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</si>
  <si>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</si>
  <si>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</si>
  <si>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</si>
  <si>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</si>
  <si>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</si>
  <si>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</si>
  <si>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2024-01-23</t>
  </si>
  <si>
    <t>2024-01-24</t>
  </si>
  <si>
    <t>2024-01-25</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</si>
  <si>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</si>
  <si>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</si>
  <si>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</si>
  <si>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</si>
  <si>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</si>
  <si>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</si>
  <si>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</si>
  <si>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</si>
  <si>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</si>
  <si>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</si>
  <si>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</si>
  <si>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</si>
  <si>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</si>
  <si>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</si>
  <si>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</si>
  <si>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</si>
  <si>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</si>
  <si>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</si>
  <si>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</si>
  <si>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</si>
  <si>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</si>
  <si>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</si>
  <si>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</si>
  <si>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</si>
  <si>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</si>
  <si>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</si>
  <si>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</si>
  <si>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</si>
  <si>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</si>
  <si>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2024-03-11</t>
  </si>
  <si>
    <t>2024-03-12</t>
  </si>
  <si>
    <t>2024-03-13</t>
  </si>
  <si>
    <t>2024-03-14</t>
  </si>
  <si>
    <t>2024-03-15</t>
  </si>
  <si>
    <t>2024-03-18</t>
  </si>
  <si>
    <t>2024-03-19</t>
  </si>
  <si>
    <t>2024-03-20</t>
  </si>
  <si>
    <t>2024-03-21</t>
  </si>
  <si>
    <t>2024-03-22</t>
  </si>
  <si>
    <t>2024-03-26</t>
  </si>
  <si>
    <t>2024-03-27</t>
  </si>
  <si>
    <t>2024-03-28</t>
  </si>
  <si>
    <t>2024-04-01</t>
  </si>
  <si>
    <t>2024-04-02</t>
  </si>
  <si>
    <t>2024-04-03</t>
  </si>
  <si>
    <t>2024-04-04</t>
  </si>
  <si>
    <t>2024-04-05</t>
  </si>
  <si>
    <t>2024-04-08</t>
  </si>
  <si>
    <t>2024-04-09</t>
  </si>
  <si>
    <t>2024-04-10</t>
  </si>
  <si>
    <t>2024-04-12</t>
  </si>
  <si>
    <t>2024-04-15</t>
  </si>
  <si>
    <t>2024-04-16</t>
  </si>
  <si>
    <t>2024-04-18</t>
  </si>
  <si>
    <t>2024-04-19</t>
  </si>
  <si>
    <t>2024-04-22</t>
  </si>
  <si>
    <t>2024-04-23</t>
  </si>
  <si>
    <t>2024-04-24</t>
  </si>
  <si>
    <t>2024-04-25</t>
  </si>
  <si>
    <t>2024-04-26</t>
  </si>
  <si>
    <t>2024-04-29</t>
  </si>
  <si>
    <t>2024-04-30</t>
  </si>
  <si>
    <t>2024-05-02</t>
  </si>
  <si>
    <t>2024-05-03</t>
  </si>
  <si>
    <t>2024-05-06</t>
  </si>
  <si>
    <t>2024-05-07</t>
  </si>
  <si>
    <t>2024-05-08</t>
  </si>
  <si>
    <t>2024-05-09</t>
  </si>
  <si>
    <t>2024-05-10</t>
  </si>
  <si>
    <t>2024-05-13</t>
  </si>
  <si>
    <t>2024-05-14</t>
  </si>
  <si>
    <t>2024-05-15</t>
  </si>
  <si>
    <t>2024-05-16</t>
  </si>
  <si>
    <t>2024-05-17</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</si>
  <si>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</si>
  <si>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</si>
  <si>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</si>
  <si>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</si>
  <si>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</si>
  <si>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</si>
  <si>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</si>
  <si>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</si>
  <si>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</si>
  <si>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</si>
  <si>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</si>
  <si>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</si>
  <si>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</si>
  <si>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</si>
  <si>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</si>
  <si>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</si>
  <si>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</si>
  <si>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</si>
  <si>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</si>
  <si>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</si>
  <si>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</si>
  <si>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</si>
  <si>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</si>
  <si>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</si>
  <si>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</si>
  <si>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</si>
  <si>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</si>
  <si>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</si>
  <si>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</si>
  <si>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</si>
  <si>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</si>
  <si>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</si>
  <si>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</si>
  <si>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</si>
  <si>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</si>
  <si>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</si>
  <si>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</si>
  <si>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</si>
  <si>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</si>
  <si>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</si>
  <si>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</si>
  <si>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</si>
  <si>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</si>
  <si>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</si>
  <si>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</si>
  <si>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</si>
  <si>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</si>
  <si>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</si>
  <si>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</si>
  <si>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</si>
  <si>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</si>
  <si>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</si>
  <si>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</si>
  <si>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</si>
  <si>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</si>
  <si>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</si>
  <si>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</si>
  <si>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</si>
  <si>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</si>
  <si>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</si>
  <si>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</si>
  <si>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</si>
  <si>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</si>
  <si>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</si>
  <si>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</si>
  <si>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</si>
  <si>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</si>
  <si>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</si>
  <si>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</si>
  <si>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</si>
  <si>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</si>
  <si>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</si>
  <si>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</si>
  <si>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</si>
  <si>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</si>
  <si>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</si>
  <si>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</si>
  <si>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</si>
  <si>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</si>
  <si>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</si>
  <si>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</si>
  <si>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</si>
  <si>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</si>
  <si>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</si>
  <si>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</si>
  <si>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</si>
  <si>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</si>
  <si>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</si>
  <si>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</si>
  <si>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</si>
  <si>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</si>
  <si>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</si>
  <si>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</si>
  <si>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</si>
  <si>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</si>
  <si>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</si>
  <si>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</si>
  <si>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</si>
  <si>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</si>
  <si>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</si>
  <si>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</si>
  <si>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</si>
  <si>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</si>
  <si>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</si>
  <si>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</si>
  <si>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</si>
  <si>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</si>
  <si>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</si>
  <si>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</si>
  <si>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</si>
  <si>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</si>
  <si>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</si>
  <si>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</si>
  <si>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</si>
  <si>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</si>
  <si>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</si>
  <si>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</si>
  <si>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</si>
  <si>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</si>
  <si>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</si>
  <si>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</si>
  <si>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</si>
  <si>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</si>
  <si>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</si>
  <si>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2024-11-18</t>
  </si>
  <si>
    <t>2024-11-19</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</si>
  <si>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</si>
  <si>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</si>
  <si>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</si>
  <si>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</si>
  <si>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</si>
  <si>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</si>
  <si>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</si>
  <si>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</si>
  <si>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</si>
  <si>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</si>
  <si>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</si>
  <si>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</si>
  <si>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</si>
  <si>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</si>
  <si>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</si>
  <si>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</si>
  <si>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</si>
  <si>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</si>
  <si>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</si>
  <si>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</si>
  <si>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</si>
  <si>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</si>
  <si>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</si>
  <si>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</si>
  <si>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</si>
  <si>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</si>
  <si>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</si>
  <si>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</si>
  <si>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</si>
  <si>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</si>
  <si>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</si>
  <si>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</si>
  <si>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</si>
  <si>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</si>
  <si>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</si>
  <si>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</si>
  <si>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</si>
  <si>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</si>
  <si>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</si>
  <si>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</si>
  <si>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</si>
  <si>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</si>
  <si>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</si>
  <si>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</si>
  <si>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</si>
  <si>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</si>
  <si>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</si>
  <si>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</si>
  <si>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</si>
  <si>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</si>
  <si>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</si>
  <si>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</si>
  <si>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</si>
  <si>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</si>
  <si>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</si>
  <si>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</si>
  <si>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</si>
  <si>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</si>
  <si>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</si>
  <si>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</si>
  <si>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</si>
  <si>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</si>
  <si>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</si>
  <si>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</si>
  <si>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</si>
  <si>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</si>
  <si>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</si>
  <si>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</si>
  <si>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</si>
  <si>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2025-02-27</t>
  </si>
  <si>
    <t>2025-02-28</t>
  </si>
  <si>
    <t>2025-03-03</t>
  </si>
  <si>
    <t>2025-03-04</t>
  </si>
  <si>
    <t>2025-03-05</t>
  </si>
  <si>
    <t>2025-03-06</t>
  </si>
  <si>
    <t>2025-03-07</t>
  </si>
  <si>
    <t>2025-03-10</t>
  </si>
  <si>
    <t>2025-03-11</t>
  </si>
  <si>
    <t>2025-03-12</t>
  </si>
  <si>
    <t>2025-03-13</t>
  </si>
  <si>
    <t>2025-03-17</t>
  </si>
  <si>
    <t>2025-03-18</t>
  </si>
  <si>
    <t>2025-03-19</t>
  </si>
  <si>
    <t>2025-03-20</t>
  </si>
  <si>
    <t>2025-03-21</t>
  </si>
  <si>
    <t>2025-03-24</t>
  </si>
  <si>
    <t>2025-03-25</t>
  </si>
  <si>
    <t>2025-03-26</t>
  </si>
  <si>
    <t>2025-03-27</t>
  </si>
  <si>
    <t>2025-03-28</t>
  </si>
  <si>
    <t>2025-04-01</t>
  </si>
  <si>
    <t>2025-04-02</t>
  </si>
  <si>
    <t>2025-04-03</t>
  </si>
  <si>
    <t>2025-04-04</t>
  </si>
  <si>
    <t>2025-04-07</t>
  </si>
  <si>
    <t>2025-04-08</t>
  </si>
  <si>
    <t>2025-04-09</t>
  </si>
  <si>
    <t>2025-04-11</t>
  </si>
  <si>
    <t>2025-04-15</t>
  </si>
  <si>
    <t>2025-04-16</t>
  </si>
  <si>
    <t>2025-04-17</t>
  </si>
  <si>
    <t>2025-04-21</t>
  </si>
  <si>
    <t>2025-04-22</t>
  </si>
  <si>
    <t>2025-04-23</t>
  </si>
  <si>
    <t>2025-04-24</t>
  </si>
  <si>
    <t>2025-04-25</t>
  </si>
  <si>
    <t>2025-04-28</t>
  </si>
  <si>
    <t>2025-04-29</t>
  </si>
  <si>
    <t>2025-04-30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</si>
  <si>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</si>
  <si>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</si>
  <si>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</si>
  <si>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</si>
  <si>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</si>
  <si>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</si>
  <si>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</si>
  <si>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</si>
  <si>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</si>
  <si>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</si>
  <si>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</si>
  <si>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</si>
  <si>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</si>
  <si>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</si>
  <si>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</si>
  <si>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</si>
  <si>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</si>
  <si>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</si>
  <si>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</si>
  <si>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</si>
  <si>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</si>
  <si>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</si>
  <si>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</si>
  <si>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</si>
  <si>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</si>
  <si>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</si>
  <si>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</si>
  <si>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</si>
  <si>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</si>
  <si>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</si>
  <si>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</si>
  <si>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</si>
  <si>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</si>
  <si>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</si>
  <si>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</si>
  <si>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</si>
  <si>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</si>
  <si>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</si>
  <si>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</si>
  <si>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</si>
  <si>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</si>
  <si>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</si>
  <si>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</si>
  <si>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</si>
  <si>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</si>
  <si>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</si>
  <si>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</si>
  <si>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</si>
  <si>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</si>
  <si>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</si>
  <si>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</si>
  <si>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</si>
  <si>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</si>
  <si>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</si>
  <si>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</si>
  <si>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</si>
  <si>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</si>
  <si>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</si>
  <si>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</si>
  <si>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</si>
  <si>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</si>
  <si>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</si>
  <si>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</si>
  <si>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</si>
  <si>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</si>
  <si>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</si>
  <si>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</si>
  <si>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</si>
  <si>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</si>
  <si>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</si>
  <si>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</si>
  <si>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</si>
  <si>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</si>
  <si>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</si>
  <si>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</si>
  <si>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2025-08-18</t>
  </si>
  <si>
    <t>2025-08-19</t>
  </si>
  <si>
    <t>2025-08-20</t>
  </si>
  <si>
    <t>2025-08-21</t>
  </si>
  <si>
    <t>2025-08-22</t>
  </si>
  <si>
    <t>2025-08-25</t>
  </si>
  <si>
    <t>2025-08-26</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</si>
  <si>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</si>
  <si>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</si>
  <si>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</si>
  <si>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</si>
  <si>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</si>
  <si>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</si>
  <si>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</si>
  <si>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</si>
  <si>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</si>
  <si>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</si>
  <si>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</si>
  <si>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</si>
  <si>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</si>
  <si>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</si>
  <si>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</si>
  <si>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</si>
  <si>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</si>
  <si>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</si>
  <si>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</si>
  <si>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</si>
  <si>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</si>
  <si>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</si>
  <si>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</si>
  <si>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</si>
  <si>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</si>
  <si>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2025-10-03</t>
  </si>
  <si>
    <t>2025-10-06</t>
  </si>
  <si>
    <t>2025-10-07</t>
  </si>
  <si>
    <t>2025-10-08</t>
  </si>
  <si>
    <t>2025-10-09</t>
  </si>
  <si>
    <t>2025-10-10</t>
  </si>
  <si>
    <t>2025-10-13</t>
  </si>
  <si>
    <t>2025-10-14</t>
  </si>
  <si>
    <t>2025-10-15</t>
  </si>
  <si>
    <t>2025-10-16</t>
  </si>
  <si>
    <t>2025-10-17</t>
  </si>
  <si>
    <t>2025-10-20</t>
  </si>
  <si>
    <t>2025-10-21</t>
  </si>
  <si>
    <t>2025-10-23</t>
  </si>
  <si>
    <t>2025-10-24</t>
  </si>
  <si>
    <t>2025-10-27</t>
  </si>
  <si>
    <t>2025-10-28</t>
  </si>
  <si>
    <t>2025-10-29</t>
  </si>
  <si>
    <t>2025-10-30</t>
  </si>
  <si>
    <t>2025-10-31</t>
  </si>
  <si>
    <t>2025-11-03</t>
  </si>
  <si>
    <t>2025-11-04</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</si>
  <si>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</si>
  <si>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</si>
  <si>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</si>
  <si>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</si>
  <si>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</si>
  <si>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</si>
  <si>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</si>
  <si>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</si>
  <si>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</si>
  <si>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</si>
  <si>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</si>
  <si>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</si>
  <si>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</si>
  <si>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</si>
  <si>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</si>
  <si>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</si>
  <si>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</si>
  <si>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</si>
  <si>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</si>
  <si>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</si>
  <si>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</si>
  <si>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</si>
  <si>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</si>
  <si>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</si>
  <si>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</si>
  <si>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</si>
  <si>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</si>
  <si>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</si>
  <si>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</si>
  <si>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</si>
  <si>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</si>
  <si>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</si>
  <si>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</si>
  <si>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</si>
  <si>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</si>
  <si>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2025-12-26</t>
  </si>
  <si>
    <t>2025-12-29</t>
  </si>
  <si>
    <t>2025-12-30</t>
  </si>
  <si>
    <t>2025-12-31</t>
  </si>
  <si>
    <t>2026-01-01</t>
  </si>
  <si>
    <t>2026-01-02</t>
  </si>
  <si>
    <t>2026-01-05</t>
  </si>
  <si>
    <t>2026-01-06</t>
  </si>
  <si>
    <t>2026-01-07</t>
  </si>
  <si>
    <t>2026-01-08</t>
  </si>
  <si>
    <t>2026-01-09</t>
  </si>
  <si>
    <t>2026-01-12</t>
  </si>
  <si>
    <t>2026-01-13</t>
  </si>
  <si>
    <t>2026-01-14</t>
  </si>
  <si>
    <t>2026-01-16</t>
  </si>
  <si>
    <t>2026-01-19</t>
  </si>
  <si>
    <t>2026-01-20</t>
  </si>
  <si>
    <t>2026-01-21</t>
  </si>
  <si>
    <t>2026-01-22</t>
  </si>
  <si>
    <t>2026-01-23</t>
  </si>
  <si>
    <t>2026-01-27</t>
  </si>
  <si>
    <t>2026-01-28</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</si>
  <si>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</si>
  <si>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</si>
  <si>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</si>
  <si>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</si>
  <si>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</si>
  <si>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</si>
  <si>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</si>
  <si>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</si>
  <si>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</si>
  <si>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</si>
  <si>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</si>
  <si>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</si>
  <si>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</si>
  <si>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</si>
  <si>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</si>
  <si>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</si>
  <si>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</si>
  <si>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</si>
  <si>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</si>
  <si>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</si>
  <si>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</si>
  <si>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</si>
  <si>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</si>
  <si>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</si>
  <si>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</si>
  <si>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</si>
  <si>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</si>
  <si>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</si>
  <si>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</si>
  <si>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</si>
  <si>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</si>
  <si>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</si>
  <si>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</si>
  <si>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</si>
  <si>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</si>
  <si>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</si>
  <si>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</si>
  <si>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</si>
  <si>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</si>
  <si>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2026-03-27</t>
  </si>
  <si>
    <t>2026-03-30</t>
  </si>
  <si>
    <t>2026-04-01</t>
  </si>
  <si>
    <t>2026-04-02</t>
  </si>
  <si>
    <t>2026-04-06</t>
  </si>
  <si>
    <t>2026-04-07</t>
  </si>
  <si>
    <t>2026-04-08</t>
  </si>
  <si>
    <t>2026-04-09</t>
  </si>
  <si>
    <t>2026-04-10</t>
  </si>
  <si>
    <t>2026-04-13</t>
  </si>
  <si>
    <t>2026-04-15</t>
  </si>
  <si>
    <t>2026-04-16</t>
  </si>
  <si>
    <t>2026-04-17</t>
  </si>
  <si>
    <t>2026-04-20</t>
  </si>
  <si>
    <t>2026-04-21</t>
  </si>
  <si>
    <t>2026-04-22</t>
  </si>
  <si>
    <t>2026-04-23</t>
  </si>
  <si>
    <t>2026-04-24</t>
  </si>
  <si>
    <t>2026-04-27</t>
  </si>
  <si>
    <t>2026-04-28</t>
  </si>
  <si>
    <t>2026-04-29</t>
  </si>
  <si>
    <t>2026-04-30</t>
  </si>
  <si>
    <t>2026-05-04</t>
  </si>
  <si>
    <t>2026-05-05</t>
  </si>
  <si>
    <t>2026-05-06</t>
  </si>
  <si>
    <t>2026-05-07</t>
  </si>
  <si>
    <t>2026-05-08</t>
  </si>
  <si>
    <t>2026-05-11</t>
  </si>
  <si>
    <t>2026-05-12</t>
  </si>
  <si>
    <t>2026-05-13</t>
  </si>
  <si>
    <t>2026-05-14</t>
  </si>
  <si>
    <t>2026-05-15</t>
  </si>
  <si>
    <t>2026-05-18</t>
  </si>
  <si>
    <t>2026-05-19</t>
  </si>
  <si>
    <t>2026-05-20</t>
  </si>
  <si>
    <t>2026-05-21</t>
  </si>
  <si>
    <t>2026-05-22</t>
  </si>
  <si>
    <t>2026-05-25</t>
  </si>
  <si>
    <t>2026-05-26</t>
  </si>
  <si>
    <t>2026-05-27</t>
  </si>
  <si>
    <t>2026-05-29</t>
  </si>
  <si>
    <t>2026-06-01</t>
  </si>
  <si>
    <t>2026-06-02</t>
  </si>
  <si>
    <t>Sales Forecasting</t>
  </si>
  <si>
    <t>EBITDA Forecasting</t>
  </si>
  <si>
    <t>Earning per share Forecasting</t>
  </si>
  <si>
    <t>Year Weight</t>
  </si>
  <si>
    <t>Year</t>
  </si>
  <si>
    <t>Sales</t>
  </si>
  <si>
    <t>EPS</t>
  </si>
  <si>
    <t>EPS Growth</t>
  </si>
  <si>
    <t>RELATIVE VALUATION – Info Edge |  INR Crores)</t>
  </si>
  <si>
    <t>Company</t>
  </si>
  <si>
    <t>Market Data</t>
  </si>
  <si>
    <t>Financial Data</t>
  </si>
  <si>
    <t>Valuation Ratios</t>
  </si>
  <si>
    <t>Price
(₹)</t>
  </si>
  <si>
    <t>Shares
(Cr.)</t>
  </si>
  <si>
    <t>Mkt Cap
(Cr.)</t>
  </si>
  <si>
    <t>EV
(Cr.)</t>
  </si>
  <si>
    <t>Revenue
(Cr.)</t>
  </si>
  <si>
    <t>EBITDA
(Cr.)</t>
  </si>
  <si>
    <t>EBIT
(Cr.)</t>
  </si>
  <si>
    <t>EPS
(₹)</t>
  </si>
  <si>
    <t>P/E</t>
  </si>
  <si>
    <t>EV/Sales</t>
  </si>
  <si>
    <t>EV/EBITDA</t>
  </si>
  <si>
    <t>EV/EBIT</t>
  </si>
  <si>
    <t>Indiamart Inter.</t>
  </si>
  <si>
    <t>Just Dial</t>
  </si>
  <si>
    <t>Crizac</t>
  </si>
  <si>
    <t>TCC Concept</t>
  </si>
  <si>
    <t>Peer Average</t>
  </si>
  <si>
    <t>Peer Median</t>
  </si>
  <si>
    <t>INFO EDGE — IMPLIED SHARE PRICE FROM PEER MULTIPLES</t>
  </si>
  <si>
    <t>Valuation
Basis</t>
  </si>
  <si>
    <t>Peer Avg
Multiple</t>
  </si>
  <si>
    <t>Peer Median
Multiple</t>
  </si>
  <si>
    <t>NMDC
Actual</t>
  </si>
  <si>
    <t>Implied EV
(Avg)</t>
  </si>
  <si>
    <t>Implied EV
(Median)</t>
  </si>
  <si>
    <t>Implied Equity
(Avg)</t>
  </si>
  <si>
    <t>Implied Equity
(Median)</t>
  </si>
  <si>
    <t>Implied Price
(Avg) ₹</t>
  </si>
  <si>
    <t>Implied Price
(Med) ₹</t>
  </si>
  <si>
    <t>CMP ₹</t>
  </si>
  <si>
    <t>Premium/Disc
(vs Avg)</t>
  </si>
  <si>
    <t>Premium/Disc
(vs Med)</t>
  </si>
  <si>
    <t>EV / Sales</t>
  </si>
  <si>
    <t>EV / EBITDA</t>
  </si>
  <si>
    <t>P / E</t>
  </si>
  <si>
    <t>EV/Revenue</t>
  </si>
  <si>
    <t>P/E Ratio</t>
  </si>
  <si>
    <t>Max</t>
  </si>
  <si>
    <t>75th Percentile</t>
  </si>
  <si>
    <t>Average</t>
  </si>
  <si>
    <t>median</t>
  </si>
  <si>
    <t>25th Percentile</t>
  </si>
  <si>
    <t>Min.</t>
  </si>
  <si>
    <t>M&amp;M Industry Comparable comps</t>
  </si>
  <si>
    <t xml:space="preserve"> </t>
  </si>
  <si>
    <t>Implied Enterprise Value</t>
  </si>
  <si>
    <t>Net Debt</t>
  </si>
  <si>
    <t>Implied Market Value</t>
  </si>
  <si>
    <t>Share Outstanding</t>
  </si>
  <si>
    <t>Implied Value per Share</t>
  </si>
  <si>
    <t>Scenario 1: High Growth</t>
  </si>
  <si>
    <t>INR Cr.</t>
  </si>
  <si>
    <t>LTM</t>
  </si>
  <si>
    <t>Y1E</t>
  </si>
  <si>
    <t>Y2E</t>
  </si>
  <si>
    <t>Y3E</t>
  </si>
  <si>
    <t>Y4W</t>
  </si>
  <si>
    <t>Y5E</t>
  </si>
  <si>
    <t>Y6E</t>
  </si>
  <si>
    <t>Y7E</t>
  </si>
  <si>
    <t>Y8E</t>
  </si>
  <si>
    <t>Y9E</t>
  </si>
  <si>
    <t>Y10E</t>
  </si>
  <si>
    <t>Risk free rate</t>
  </si>
  <si>
    <t>Sales Growth %</t>
  </si>
  <si>
    <t>Scenario 2: Average Growth</t>
  </si>
  <si>
    <t>Scenario 3: EBIT Growth</t>
  </si>
  <si>
    <t>Live Scenario</t>
  </si>
  <si>
    <t>INR Cr</t>
  </si>
  <si>
    <t>Y4E</t>
  </si>
  <si>
    <t>Terminal Year</t>
  </si>
  <si>
    <t>Terminal growth rate %</t>
  </si>
  <si>
    <t xml:space="preserve">Sales </t>
  </si>
  <si>
    <t>Cost of Capital %</t>
  </si>
  <si>
    <t>Terminal reinvestment rate %</t>
  </si>
  <si>
    <t>EBIT Margin %</t>
  </si>
  <si>
    <t>Enterprise value = Equity Value + Minority interest</t>
  </si>
  <si>
    <t>EBIT(1-T)</t>
  </si>
  <si>
    <t>Less: Net Capital Expenditure</t>
  </si>
  <si>
    <t>Non Cash Working Capital</t>
  </si>
  <si>
    <t>Less: Change in Working Capital</t>
  </si>
  <si>
    <t>Free Cash Flow To Firm (FCFF)</t>
  </si>
  <si>
    <t>Implied Reinvestment rate %</t>
  </si>
  <si>
    <t>Terminal Value</t>
  </si>
  <si>
    <t>Present Value Interest Factor(PVIF)</t>
  </si>
  <si>
    <t>Present value of FCFF</t>
  </si>
  <si>
    <t>Present value of Terminal value</t>
  </si>
  <si>
    <t>Calculation of Sensitivity Analysis</t>
  </si>
  <si>
    <t>Value of operating assets</t>
  </si>
  <si>
    <t>Terminal
Growth ↓ / WACC →</t>
  </si>
  <si>
    <t>Add: Cash</t>
  </si>
  <si>
    <t>Less: Debt</t>
  </si>
  <si>
    <t>Less: Minority Interest</t>
  </si>
  <si>
    <t>Equity Value</t>
  </si>
  <si>
    <t>No. of Shares outstanding (Cr)</t>
  </si>
  <si>
    <t xml:space="preserve">intrinsic value per share </t>
  </si>
  <si>
    <t>Gordon Growth Model (Dividend Discount Model) — Info Edge India</t>
  </si>
  <si>
    <t>Intrinsic Value = D1 / (Ke - g)   where D1 = next year dividend, Ke = cost of equity, g = sustainable growth rate</t>
  </si>
  <si>
    <t>STEP 1: Historical Dividend Per Share</t>
  </si>
  <si>
    <t>FY22</t>
  </si>
  <si>
    <t>FY23</t>
  </si>
  <si>
    <t>FY24</t>
  </si>
  <si>
    <t>FY25</t>
  </si>
  <si>
    <t>Total Equity Dividend Paid (Rs Cr)</t>
  </si>
  <si>
    <t>Shares Outstanding (Cr)</t>
  </si>
  <si>
    <t>Dividend Per Share - DPS (Rs)</t>
  </si>
  <si>
    <t>STEP 2: Dividend Growth Rate (g)</t>
  </si>
  <si>
    <t>YoY DPS Growth</t>
  </si>
  <si>
    <t>Average Historical DPS Growth</t>
  </si>
  <si>
    <t>(FY23 to FY25 average)</t>
  </si>
  <si>
    <t>CAGR of DPS (FY22 to FY25)</t>
  </si>
  <si>
    <t>(3 year CAGR)</t>
  </si>
  <si>
    <t>Revenue CAGR (from Assumptions sheet)</t>
  </si>
  <si>
    <t>(used as proxy for sustainable growth)</t>
  </si>
  <si>
    <t>Dividend Growth Rate Used (g)</t>
  </si>
  <si>
    <t>DPS CAGR FY22-FY25 (conservative, based on actual dividend history)</t>
  </si>
  <si>
    <t>STEP 3: Cost of Equity (Ke) — from CAPM</t>
  </si>
  <si>
    <t>Risk Free Rate (Rf)</t>
  </si>
  <si>
    <t>RBI 10Y Gsec yield</t>
  </si>
  <si>
    <t>Regression beta from Nifty50 vs Info Edge</t>
  </si>
  <si>
    <t>India ERP (Damodaran)</t>
  </si>
  <si>
    <t>Cost of Equity Ke = Rf + β × (Rm - Rf)</t>
  </si>
  <si>
    <t>STEP 4: Validity Check — Ke must be &gt; g</t>
  </si>
  <si>
    <t>Cost of Equity (Ke)</t>
  </si>
  <si>
    <t>Growth Rate (g)</t>
  </si>
  <si>
    <t>Ke - g (spread)</t>
  </si>
  <si>
    <t>STEP 5: D1 — Expected Dividend Next Year</t>
  </si>
  <si>
    <t>D0 — Latest DPS (FY25)</t>
  </si>
  <si>
    <t>FY25 actual dividend per share</t>
  </si>
  <si>
    <t>D1 = D0 × (1 + g)</t>
  </si>
  <si>
    <t>Expected dividend in next year (D1)</t>
  </si>
  <si>
    <t>STEP 6: Intrinsic Value per Share</t>
  </si>
  <si>
    <t>Gordon Growth Model Formula: P = D1 / (Ke - g)</t>
  </si>
  <si>
    <t>Intrinsic Value (P)</t>
  </si>
  <si>
    <t>Current Market Price (CMP)</t>
  </si>
  <si>
    <t>Info Edge CMP from Relative Valuation sheet</t>
  </si>
  <si>
    <t>Premium / (Discount) to Intrinsic Value</t>
  </si>
  <si>
    <t>STEP 7: Sensitivity Analysis — Intrinsic Value at different g and Ke</t>
  </si>
  <si>
    <t>g ↓  /  Ke →</t>
  </si>
  <si>
    <t>Info Edge (India) Limited is one of India's most prominent consumer internet companies, founded in 1995 by Sanjeev Bikhchandani and listed on NSE &amp; BSE since 2006. With a market capitalisation of over ₹920 Billion (as of March 31, 2025), the Company operates four leading digital platforms — Recruitment (Naukri), Real Estate (99acres), Matchmaking (Jeevansathi), and Education (Shiksha) — enabling millions of Indians to make critical life decisions.
Products &amp; Services — Naukri: India's #1 job portal &amp; talent solutions platform (iimjobs, Hirist, AmbitionBox, JobHai, DoSelect, Naukri Campus, NaukriGulf). 99acres: India's leading real estate classifieds. Jeevansathi &amp; Aisle: Online matchmaking platforms. Shiksha: Education classifieds (domestic &amp; study abroad). Investment Portfolio: 110+ investments across balance sheet and AIF (Eternal/Zomato, PB Fintech, and others).
Vision — To create world-class platforms that transform lives.
Mission — To continuously delight customers in current and new businesses by delivering superior value through enhanced offerings on the Internet and other platforms, preserving entrepreneurial spirit and leveraging financial strength in building brands, communities, products and technology.
FY25 Key Highlights — Standalone Billings: ₹28,817 Mn | Standalone Revenue (Net): ₹26,536 Mn | Recruitment Op. PBT Margin: 56.3% | Non-Recruitment businesses turned cash-positive for the first time. EPS (pre-exceptional, post split): ₹15.42 | Dividend: ₹6/share | Active Investments: 110+ | Value of Listed Investments: ₹333 Bn | AI Team: 130+ professionals.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</si>
</sst>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6" formatCode="#,##0.00;\(#,##0.00\);\-"/>
    <numFmt numFmtId="167" formatCode="_ * #,##0.00_ ;_ * \-#,##0.00_ ;_ * \-??_ ;_ @_ "/>
    <numFmt numFmtId="168" formatCode="0.0%"/>
    <numFmt numFmtId="169" formatCode="_ * #,##0.0000_ ;_ * \-#,##0.0000_ ;_ * \-??_ ;_ @_ "/>
    <numFmt numFmtId="170" formatCode="0.0\x"/>
    <numFmt numFmtId="171" formatCode="#,##0.0"/>
    <numFmt numFmtId="172" formatCode="&quot;₹&quot;#,##0"/>
    <numFmt numFmtId="173" formatCode="0.0%;\(0.0%\);\-"/>
    <numFmt numFmtId="174" formatCode="0.0"/>
    <numFmt numFmtId="175" formatCode="0.0000"/>
    <numFmt numFmtId="176" formatCode="0.\X"/>
    <numFmt numFmtId="177" formatCode="yyyy\ "/>
    <numFmt numFmtId="178" formatCode="yyyy\A"/>
    <numFmt numFmtId="179" formatCode="yyyy\E"/>
    <numFmt numFmtId="180" formatCode="m/d/yyyy"/>
    <numFmt numFmtId="181" formatCode="0.000"/>
    <numFmt numFmtId="182" formatCode="0.000000000000000%"/>
    <numFmt numFmtId="183" formatCode="#,##0.0\x"/>
    <numFmt numFmtId="184" formatCode="mmm&quot; '&quot;yy"/>
    <numFmt numFmtId="185" formatCode="0.00&quot;%&quot;"/>
  </numFmts>
  <fonts count="61" x14ac:knownFonts="1">
    <font>
      <sz val="11"/>
      <color theme="1"/>
      <name val="Calibri"/>
      <charset val="1"/>
    </font>
    <font>
      <sz val="11"/>
      <color theme="1"/>
      <name val="Calibri"/>
      <family val="2"/>
      <scheme val="minor"/>
    </font>
    <font>
      <b/>
      <sz val="11"/>
      <name val="Calibri"/>
      <family val="2"/>
    </font>
    <font>
      <i/>
      <sz val="11"/>
      <name val="Calibri"/>
      <family val="2"/>
    </font>
    <font>
      <b/>
      <sz val="11"/>
      <color theme="1"/>
      <name val="Calibri"/>
      <family val="2"/>
    </font>
    <font>
      <sz val="11"/>
      <color rgb="FF000000"/>
      <name val="Calibri"/>
      <family val="2"/>
    </font>
    <font>
      <b/>
      <i/>
      <sz val="11"/>
      <color theme="1"/>
      <name val="Calibri"/>
      <family val="2"/>
    </font>
    <font>
      <b/>
      <sz val="11"/>
      <color theme="0"/>
      <name val="Cambria"/>
      <family val="1"/>
    </font>
    <font>
      <b/>
      <sz val="11"/>
      <color theme="0"/>
      <name val="Calibri"/>
      <family val="2"/>
    </font>
    <font>
      <b/>
      <sz val="9"/>
      <name val="Cambria"/>
      <family val="1"/>
    </font>
    <font>
      <i/>
      <sz val="11"/>
      <color theme="1"/>
      <name val="Calibri"/>
      <family val="2"/>
    </font>
    <font>
      <b/>
      <sz val="11"/>
      <color rgb="FF000000"/>
      <name val="Calibri"/>
      <family val="2"/>
    </font>
    <font>
      <sz val="11"/>
      <name val="Calibri"/>
      <family val="2"/>
    </font>
    <font>
      <sz val="11"/>
      <name val="Cambria"/>
      <family val="1"/>
    </font>
    <font>
      <sz val="11"/>
      <color theme="1"/>
      <name val="Cambria"/>
      <family val="1"/>
    </font>
    <font>
      <b/>
      <sz val="12"/>
      <color theme="0"/>
      <name val="Arial"/>
      <family val="2"/>
    </font>
    <font>
      <sz val="10"/>
      <name val="Arial"/>
      <family val="2"/>
    </font>
    <font>
      <b/>
      <sz val="10"/>
      <color theme="0"/>
      <name val="Arial"/>
      <family val="2"/>
    </font>
    <font>
      <b/>
      <sz val="9"/>
      <color theme="0"/>
      <name val="Arial"/>
      <family val="2"/>
    </font>
    <font>
      <b/>
      <sz val="10"/>
      <name val="Arial"/>
      <family val="2"/>
    </font>
    <font>
      <sz val="10"/>
      <color rgb="FF000000"/>
      <name val="Calibri"/>
      <family val="2"/>
    </font>
    <font>
      <sz val="10"/>
      <name val="Calibri"/>
      <family val="2"/>
    </font>
    <font>
      <sz val="11"/>
      <color rgb="FF333333"/>
      <name val="Calibri"/>
      <family val="2"/>
    </font>
    <font>
      <u/>
      <sz val="11"/>
      <color theme="10"/>
      <name val="Calibri"/>
      <family val="2"/>
    </font>
    <font>
      <sz val="11"/>
      <color rgb="FF22222F"/>
      <name val="Calibri"/>
      <family val="2"/>
    </font>
    <font>
      <b/>
      <sz val="10"/>
      <color rgb="FF000000"/>
      <name val="Calibri"/>
      <family val="2"/>
    </font>
    <font>
      <sz val="7"/>
      <color theme="1"/>
      <name val="Arial"/>
      <family val="2"/>
    </font>
    <font>
      <sz val="7"/>
      <color rgb="FF000000"/>
      <name val="Arial"/>
      <family val="2"/>
    </font>
    <font>
      <b/>
      <sz val="10"/>
      <color rgb="FFFFFFFF"/>
      <name val="Calibri"/>
      <family val="2"/>
    </font>
    <font>
      <b/>
      <sz val="11"/>
      <color rgb="FFFF0000"/>
      <name val="Calibri"/>
      <family val="2"/>
    </font>
    <font>
      <b/>
      <sz val="11"/>
      <color theme="5"/>
      <name val="Calibri"/>
      <family val="2"/>
    </font>
    <font>
      <b/>
      <sz val="11"/>
      <color rgb="FFFFFFFF"/>
      <name val="Arial"/>
      <family val="2"/>
    </font>
    <font>
      <b/>
      <sz val="20"/>
      <color theme="0"/>
      <name val="Calibri"/>
      <family val="2"/>
    </font>
    <font>
      <b/>
      <sz val="11"/>
      <color rgb="FFFFFFFF"/>
      <name val="Calibri"/>
      <family val="2"/>
    </font>
    <font>
      <sz val="10"/>
      <color rgb="FF000000"/>
      <name val="Arial"/>
      <family val="2"/>
    </font>
    <font>
      <b/>
      <sz val="12"/>
      <name val="Arial"/>
      <family val="2"/>
    </font>
    <font>
      <sz val="9"/>
      <name val="Arial"/>
      <family val="2"/>
    </font>
    <font>
      <b/>
      <sz val="12"/>
      <color rgb="FFFFFFFF"/>
      <name val="Calibri"/>
      <family val="2"/>
    </font>
    <font>
      <b/>
      <sz val="9"/>
      <color rgb="FFFFFFFF"/>
      <name val="Calibri"/>
      <family val="2"/>
    </font>
    <font>
      <b/>
      <sz val="11"/>
      <color theme="0"/>
      <name val="Calibri"/>
      <family val="2"/>
      <scheme val="minor"/>
    </font>
    <font>
      <b/>
      <sz val="11"/>
      <name val="Calibri"/>
      <family val="2"/>
      <scheme val="minor"/>
    </font>
    <font>
      <sz val="11"/>
      <name val="Calibri"/>
      <family val="2"/>
      <scheme val="minor"/>
    </font>
    <font>
      <b/>
      <sz val="11"/>
      <color rgb="FFFFFFFF"/>
      <name val="Calibri"/>
      <family val="2"/>
      <scheme val="minor"/>
    </font>
    <font>
      <b/>
      <sz val="11"/>
      <color rgb="FF1B3A5C"/>
      <name val="Calibri"/>
      <family val="2"/>
      <scheme val="minor"/>
    </font>
    <font>
      <sz val="11"/>
      <color rgb="FF2C3E50"/>
      <name val="Calibri"/>
      <family val="2"/>
      <scheme val="minor"/>
    </font>
    <font>
      <i/>
      <sz val="9"/>
      <color rgb="FF888888"/>
      <name val="Arial"/>
      <family val="2"/>
    </font>
    <font>
      <sz val="11"/>
      <color theme="0"/>
      <name val="Calibri"/>
      <family val="2"/>
      <scheme val="minor"/>
    </font>
    <font>
      <b/>
      <sz val="12"/>
      <color theme="0"/>
      <name val="Calibri"/>
      <family val="2"/>
    </font>
    <font>
      <b/>
      <sz val="9"/>
      <color theme="0"/>
      <name val="Calibri"/>
      <family val="2"/>
    </font>
    <font>
      <sz val="11"/>
      <color theme="0"/>
      <name val="Calibri"/>
      <family val="2"/>
    </font>
    <font>
      <b/>
      <sz val="18"/>
      <color theme="0"/>
      <name val="Calibri"/>
      <family val="2"/>
      <scheme val="minor"/>
    </font>
    <font>
      <sz val="11"/>
      <color rgb="FF1A1A2E"/>
      <name val="Calibri"/>
      <family val="2"/>
      <scheme val="minor"/>
    </font>
    <font>
      <b/>
      <sz val="14"/>
      <color rgb="FFFFFFFF"/>
      <name val="Calibri"/>
      <family val="2"/>
      <scheme val="minor"/>
    </font>
    <font>
      <b/>
      <sz val="10"/>
      <color theme="0"/>
      <name val="Calibri"/>
      <family val="2"/>
      <scheme val="minor"/>
    </font>
    <font>
      <b/>
      <sz val="10"/>
      <color rgb="FFFFFFFF"/>
      <name val="Calibri"/>
      <family val="2"/>
      <scheme val="minor"/>
    </font>
    <font>
      <b/>
      <sz val="14"/>
      <color theme="0"/>
      <name val="Calibri"/>
      <family val="2"/>
      <scheme val="minor"/>
    </font>
    <font>
      <b/>
      <sz val="9"/>
      <name val="Calibri"/>
      <family val="2"/>
    </font>
    <font>
      <b/>
      <sz val="12"/>
      <name val="Calibri"/>
      <family val="2"/>
      <scheme val="minor"/>
    </font>
    <font>
      <sz val="9"/>
      <name val="Calibri"/>
      <family val="2"/>
      <scheme val="minor"/>
    </font>
    <font>
      <b/>
      <sz val="11"/>
      <color theme="0"/>
      <name val="Arial"/>
      <family val="2"/>
    </font>
    <font>
      <b/>
      <sz val="10"/>
      <color theme="0"/>
      <name val="Calibri"/>
      <family val="2"/>
    </font>
  </fonts>
  <fills count="44">
    <fill>
      <patternFill patternType="none"/>
    </fill>
    <fill>
      <patternFill patternType="gray125"/>
    </fill>
    <fill>
      <patternFill patternType="solid">
        <fgColor rgb="FF002060"/>
        <bgColor rgb="FF1D324E"/>
      </patternFill>
    </fill>
    <fill>
      <patternFill patternType="solid">
        <fgColor theme="0" tint="-0.249977111117893"/>
        <bgColor rgb="FFA7A7A7"/>
      </patternFill>
    </fill>
    <fill>
      <patternFill patternType="solid">
        <fgColor theme="5" tint="-0.249977111117893"/>
        <bgColor rgb="FFED7D31"/>
      </patternFill>
    </fill>
    <fill>
      <patternFill patternType="solid">
        <fgColor rgb="FFFFFFFF"/>
        <bgColor rgb="FFF8F8FC"/>
      </patternFill>
    </fill>
    <fill>
      <patternFill patternType="solid">
        <fgColor rgb="FF1D324E"/>
        <bgColor rgb="FF1F3864"/>
      </patternFill>
    </fill>
    <fill>
      <patternFill patternType="solid">
        <fgColor rgb="FFD5E8F5"/>
        <bgColor rgb="FFD6E4F7"/>
      </patternFill>
    </fill>
    <fill>
      <patternFill patternType="solid">
        <fgColor rgb="FFF8F8FC"/>
        <bgColor rgb="FFF2F2F2"/>
      </patternFill>
    </fill>
    <fill>
      <patternFill patternType="solid">
        <fgColor theme="0" tint="-0.14996795556505021"/>
        <bgColor rgb="FFE0E0E0"/>
      </patternFill>
    </fill>
    <fill>
      <patternFill patternType="solid">
        <fgColor rgb="FFE0E0E0"/>
        <bgColor rgb="FFD9D9D9"/>
      </patternFill>
    </fill>
    <fill>
      <patternFill patternType="solid">
        <fgColor rgb="FFA7A7A7"/>
        <bgColor rgb="FFBFBFBF"/>
      </patternFill>
    </fill>
    <fill>
      <patternFill patternType="solid">
        <fgColor rgb="FFD9E1F2"/>
        <bgColor rgb="FFDAE3F3"/>
      </patternFill>
    </fill>
    <fill>
      <patternFill patternType="solid">
        <fgColor theme="7" tint="0.79976805932798245"/>
        <bgColor rgb="FFFBE5D6"/>
      </patternFill>
    </fill>
    <fill>
      <patternFill patternType="solid">
        <fgColor rgb="FF1B3A5C"/>
        <bgColor indexed="64"/>
      </patternFill>
    </fill>
    <fill>
      <patternFill patternType="solid">
        <fgColor rgb="FF2E6E8E"/>
        <bgColor indexed="64"/>
      </patternFill>
    </fill>
    <fill>
      <patternFill patternType="solid">
        <fgColor rgb="FFFFFFFF"/>
        <bgColor indexed="64"/>
      </patternFill>
    </fill>
    <fill>
      <patternFill patternType="solid">
        <fgColor rgb="FFE8F0FE"/>
        <bgColor indexed="64"/>
      </patternFill>
    </fill>
    <fill>
      <patternFill patternType="solid">
        <fgColor rgb="FFEBF3FB"/>
        <bgColor rgb="FFF2F2F2"/>
      </patternFill>
    </fill>
    <fill>
      <patternFill patternType="solid">
        <fgColor rgb="FF2E5FA3"/>
        <bgColor rgb="FF3273B8"/>
      </patternFill>
    </fill>
    <fill>
      <patternFill patternType="solid">
        <fgColor rgb="FFD6E4F7"/>
        <bgColor rgb="FFD6E4F0"/>
      </patternFill>
    </fill>
    <fill>
      <patternFill patternType="solid">
        <fgColor theme="4" tint="-0.249977111117893"/>
        <bgColor indexed="64"/>
      </patternFill>
    </fill>
    <fill>
      <patternFill patternType="solid">
        <fgColor theme="0"/>
        <bgColor indexed="64"/>
      </patternFill>
    </fill>
    <fill>
      <patternFill patternType="solid">
        <fgColor theme="4" tint="-0.249977111117893"/>
        <bgColor rgb="FF1F3F5A"/>
      </patternFill>
    </fill>
    <fill>
      <patternFill patternType="solid">
        <fgColor theme="0"/>
        <bgColor rgb="FFF2F2F2"/>
      </patternFill>
    </fill>
    <fill>
      <patternFill patternType="solid">
        <fgColor theme="4" tint="-0.249977111117893"/>
        <bgColor rgb="FF3273B8"/>
      </patternFill>
    </fill>
    <fill>
      <patternFill patternType="solid">
        <fgColor theme="0"/>
        <bgColor rgb="FFD6E4F0"/>
      </patternFill>
    </fill>
    <fill>
      <patternFill patternType="solid">
        <fgColor theme="0"/>
        <bgColor rgb="FFF8F8FC"/>
      </patternFill>
    </fill>
    <fill>
      <patternFill patternType="solid">
        <fgColor theme="4" tint="-0.249977111117893"/>
        <bgColor rgb="FF18507A"/>
      </patternFill>
    </fill>
    <fill>
      <patternFill patternType="solid">
        <fgColor theme="0"/>
        <bgColor rgb="FFD6E4F7"/>
      </patternFill>
    </fill>
    <fill>
      <patternFill patternType="solid">
        <fgColor theme="0"/>
        <bgColor rgb="FFFFF2CC"/>
      </patternFill>
    </fill>
    <fill>
      <patternFill patternType="solid">
        <fgColor theme="0"/>
        <bgColor rgb="FFD9E1F2"/>
      </patternFill>
    </fill>
    <fill>
      <patternFill patternType="solid">
        <fgColor theme="0"/>
        <bgColor rgb="FFE0E0E0"/>
      </patternFill>
    </fill>
    <fill>
      <patternFill patternType="solid">
        <fgColor theme="0"/>
        <bgColor rgb="FFDAE3F3"/>
      </patternFill>
    </fill>
    <fill>
      <patternFill patternType="solid">
        <fgColor theme="0"/>
        <bgColor rgb="FFFBE5D6"/>
      </patternFill>
    </fill>
    <fill>
      <patternFill patternType="solid">
        <fgColor theme="4" tint="-0.249977111117893"/>
        <bgColor rgb="FFFFF2CC"/>
      </patternFill>
    </fill>
    <fill>
      <patternFill patternType="solid">
        <fgColor theme="4" tint="-0.249977111117893"/>
        <bgColor rgb="FFD9E1F2"/>
      </patternFill>
    </fill>
    <fill>
      <patternFill patternType="solid">
        <fgColor theme="4" tint="-0.249977111117893"/>
        <bgColor rgb="FF1D324E"/>
      </patternFill>
    </fill>
    <fill>
      <patternFill patternType="solid">
        <fgColor theme="4" tint="-0.249977111117893"/>
        <bgColor rgb="FFDCE6F1"/>
      </patternFill>
    </fill>
    <fill>
      <patternFill patternType="solid">
        <fgColor theme="4" tint="-0.249977111117893"/>
        <bgColor rgb="FF993366"/>
      </patternFill>
    </fill>
    <fill>
      <patternFill patternType="solid">
        <fgColor theme="4" tint="-0.249977111117893"/>
        <bgColor rgb="FF1A5276"/>
      </patternFill>
    </fill>
    <fill>
      <patternFill patternType="solid">
        <fgColor theme="4" tint="-0.249977111117893"/>
        <bgColor rgb="FF1F3864"/>
      </patternFill>
    </fill>
    <fill>
      <patternFill patternType="solid">
        <fgColor theme="4" tint="-0.249977111117893"/>
        <bgColor rgb="FF2E5FA3"/>
      </patternFill>
    </fill>
    <fill>
      <patternFill patternType="solid">
        <fgColor theme="4" tint="-0.249977111117893"/>
        <bgColor rgb="FFED7D31"/>
      </patternFill>
    </fill>
  </fills>
  <borders count="38">
    <border>
      <left/>
      <right/>
      <top/>
      <bottom/>
      <diagonal/>
    </border>
    <border>
      <left/>
      <right/>
      <top/>
      <bottom style="thin">
        <color auto="1"/>
      </bottom>
      <diagonal/>
    </border>
    <border>
      <left/>
      <right/>
      <top style="thin">
        <color auto="1"/>
      </top>
      <bottom style="thick">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rgb="FFF2F2F2"/>
      </left>
      <right style="medium">
        <color rgb="FFF2F2F2"/>
      </right>
      <top/>
      <bottom/>
      <diagonal/>
    </border>
    <border>
      <left style="thin">
        <color auto="1"/>
      </left>
      <right style="thin">
        <color auto="1"/>
      </right>
      <top/>
      <bottom/>
      <diagonal/>
    </border>
    <border>
      <left/>
      <right/>
      <top style="medium">
        <color auto="1"/>
      </top>
      <bottom style="thin">
        <color auto="1"/>
      </bottom>
      <diagonal/>
    </border>
    <border>
      <left/>
      <right/>
      <top/>
      <bottom style="medium">
        <color auto="1"/>
      </bottom>
      <diagonal/>
    </border>
    <border>
      <left/>
      <right style="thin">
        <color auto="1"/>
      </right>
      <top/>
      <bottom/>
      <diagonal/>
    </border>
    <border>
      <left style="thin">
        <color auto="1"/>
      </left>
      <right/>
      <top style="thin">
        <color theme="0"/>
      </top>
      <bottom style="thin">
        <color theme="0"/>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style="thin">
        <color theme="0"/>
      </right>
      <top style="thin">
        <color theme="0"/>
      </top>
      <bottom style="thin">
        <color theme="0"/>
      </bottom>
      <diagonal/>
    </border>
    <border>
      <left style="thin">
        <color auto="1"/>
      </left>
      <right/>
      <top style="thin">
        <color auto="1"/>
      </top>
      <bottom style="thin">
        <color auto="1"/>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BDC3C7"/>
      </left>
      <right style="thin">
        <color rgb="FFBDC3C7"/>
      </right>
      <top style="thin">
        <color rgb="FFBDC3C7"/>
      </top>
      <bottom style="thin">
        <color rgb="FFBDC3C7"/>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45">
    <xf numFmtId="0" fontId="0" fillId="0" borderId="0" xfId="0"/>
    <xf numFmtId="0" fontId="2" fillId="0" borderId="0" xfId="0" applyFont="1"/>
    <xf numFmtId="0" fontId="3" fillId="0" borderId="0" xfId="0" applyFont="1"/>
    <xf numFmtId="166" fontId="0" fillId="0" borderId="0" xfId="0" applyNumberFormat="1"/>
    <xf numFmtId="10" fontId="0" fillId="0" borderId="0" xfId="0" applyNumberFormat="1"/>
    <xf numFmtId="2" fontId="0" fillId="0" borderId="0" xfId="0" applyNumberFormat="1"/>
    <xf numFmtId="10" fontId="2" fillId="0" borderId="0" xfId="0" applyNumberFormat="1" applyFont="1"/>
    <xf numFmtId="4" fontId="0" fillId="0" borderId="0" xfId="0" applyNumberFormat="1"/>
    <xf numFmtId="0" fontId="4" fillId="0" borderId="1" xfId="0" applyFont="1" applyBorder="1"/>
    <xf numFmtId="0" fontId="4" fillId="0" borderId="1" xfId="0" applyFont="1" applyBorder="1" applyAlignment="1">
      <alignment horizontal="right"/>
    </xf>
    <xf numFmtId="0" fontId="4" fillId="0" borderId="0" xfId="0" applyFont="1"/>
    <xf numFmtId="0" fontId="0" fillId="0" borderId="0" xfId="0" applyAlignment="1">
      <alignment horizontal="left"/>
    </xf>
    <xf numFmtId="167" fontId="0" fillId="0" borderId="0" xfId="0" applyNumberFormat="1"/>
    <xf numFmtId="4" fontId="5" fillId="0" borderId="0" xfId="0" applyNumberFormat="1" applyFont="1"/>
    <xf numFmtId="168" fontId="5" fillId="0" borderId="0" xfId="0" applyNumberFormat="1" applyFont="1"/>
    <xf numFmtId="169" fontId="0" fillId="0" borderId="0" xfId="0" applyNumberFormat="1"/>
    <xf numFmtId="0" fontId="6" fillId="0" borderId="0" xfId="0" applyFont="1"/>
    <xf numFmtId="167" fontId="4" fillId="0" borderId="0" xfId="0" applyNumberFormat="1" applyFont="1"/>
    <xf numFmtId="9" fontId="0" fillId="0" borderId="0" xfId="0" applyNumberFormat="1"/>
    <xf numFmtId="10" fontId="5" fillId="0" borderId="0" xfId="0" applyNumberFormat="1" applyFont="1"/>
    <xf numFmtId="2" fontId="9" fillId="0" borderId="0" xfId="0" applyNumberFormat="1" applyFont="1" applyAlignment="1">
      <alignment wrapText="1"/>
    </xf>
    <xf numFmtId="10" fontId="4" fillId="0" borderId="0" xfId="0" applyNumberFormat="1" applyFont="1"/>
    <xf numFmtId="0" fontId="10" fillId="0" borderId="0" xfId="0" applyFont="1"/>
    <xf numFmtId="4" fontId="4" fillId="0" borderId="0" xfId="0" applyNumberFormat="1" applyFont="1" applyAlignment="1">
      <alignment horizontal="left"/>
    </xf>
    <xf numFmtId="168" fontId="11" fillId="0" borderId="0" xfId="0" applyNumberFormat="1" applyFont="1"/>
    <xf numFmtId="168" fontId="11" fillId="0" borderId="0" xfId="0" applyNumberFormat="1" applyFont="1" applyAlignment="1">
      <alignment horizontal="left"/>
    </xf>
    <xf numFmtId="4" fontId="5" fillId="3" borderId="0" xfId="0" applyNumberFormat="1" applyFont="1" applyFill="1"/>
    <xf numFmtId="0" fontId="4" fillId="0" borderId="2" xfId="0" applyFont="1" applyBorder="1"/>
    <xf numFmtId="0" fontId="0" fillId="0" borderId="2" xfId="0" applyBorder="1"/>
    <xf numFmtId="167" fontId="4" fillId="0" borderId="2" xfId="0" applyNumberFormat="1" applyFont="1" applyBorder="1"/>
    <xf numFmtId="0" fontId="4" fillId="4" borderId="0" xfId="0" applyFont="1" applyFill="1"/>
    <xf numFmtId="4" fontId="5" fillId="5" borderId="0" xfId="0" applyNumberFormat="1" applyFont="1" applyFill="1"/>
    <xf numFmtId="2" fontId="4" fillId="0" borderId="2" xfId="0" applyNumberFormat="1" applyFont="1" applyBorder="1"/>
    <xf numFmtId="0" fontId="2" fillId="0" borderId="3" xfId="0" applyFont="1" applyBorder="1"/>
    <xf numFmtId="0" fontId="12" fillId="0" borderId="3" xfId="0" applyFont="1" applyBorder="1"/>
    <xf numFmtId="0" fontId="3" fillId="0" borderId="3" xfId="0" applyFont="1" applyBorder="1"/>
    <xf numFmtId="0" fontId="2" fillId="0" borderId="3" xfId="0" applyFont="1" applyBorder="1" applyAlignment="1">
      <alignment horizontal="right"/>
    </xf>
    <xf numFmtId="167" fontId="13" fillId="0" borderId="3" xfId="0" applyNumberFormat="1" applyFont="1" applyBorder="1" applyAlignment="1">
      <alignment horizontal="right"/>
    </xf>
    <xf numFmtId="10" fontId="12" fillId="0" borderId="0" xfId="0" applyNumberFormat="1" applyFont="1"/>
    <xf numFmtId="0" fontId="12" fillId="0" borderId="0" xfId="0" applyFont="1"/>
    <xf numFmtId="0" fontId="12" fillId="0" borderId="3" xfId="0" applyFont="1" applyBorder="1" applyAlignment="1">
      <alignment horizontal="right"/>
    </xf>
    <xf numFmtId="168" fontId="13" fillId="0" borderId="3" xfId="0" applyNumberFormat="1" applyFont="1" applyBorder="1" applyAlignment="1">
      <alignment horizontal="right"/>
    </xf>
    <xf numFmtId="10" fontId="12" fillId="0" borderId="3" xfId="0" applyNumberFormat="1" applyFont="1" applyBorder="1" applyAlignment="1">
      <alignment horizontal="right"/>
    </xf>
    <xf numFmtId="9" fontId="13" fillId="0" borderId="3" xfId="0" applyNumberFormat="1" applyFont="1" applyBorder="1" applyAlignment="1">
      <alignment horizontal="right"/>
    </xf>
    <xf numFmtId="10" fontId="13" fillId="0" borderId="3" xfId="0" applyNumberFormat="1" applyFont="1" applyBorder="1" applyAlignment="1">
      <alignment horizontal="right"/>
    </xf>
    <xf numFmtId="10" fontId="14" fillId="0" borderId="0" xfId="0" applyNumberFormat="1" applyFont="1"/>
    <xf numFmtId="0" fontId="8" fillId="6" borderId="3" xfId="0" applyFont="1" applyFill="1" applyBorder="1" applyAlignment="1">
      <alignment horizontal="right"/>
    </xf>
    <xf numFmtId="0" fontId="16" fillId="0" borderId="0" xfId="0" applyFont="1"/>
    <xf numFmtId="0" fontId="19" fillId="0" borderId="3" xfId="0" applyFont="1" applyBorder="1" applyAlignment="1">
      <alignment horizontal="left" vertical="center"/>
    </xf>
    <xf numFmtId="4" fontId="12" fillId="0" borderId="3" xfId="0" applyNumberFormat="1" applyFont="1" applyBorder="1" applyAlignment="1">
      <alignment horizontal="right"/>
    </xf>
    <xf numFmtId="3" fontId="20" fillId="0" borderId="3" xfId="0" applyNumberFormat="1" applyFont="1" applyBorder="1" applyAlignment="1">
      <alignment horizontal="right"/>
    </xf>
    <xf numFmtId="0" fontId="21" fillId="0" borderId="3" xfId="0" applyFont="1" applyBorder="1" applyAlignment="1">
      <alignment horizontal="right"/>
    </xf>
    <xf numFmtId="4" fontId="22" fillId="5" borderId="3" xfId="0" applyNumberFormat="1" applyFont="1" applyFill="1" applyBorder="1" applyAlignment="1">
      <alignment horizontal="right" vertical="top" wrapText="1"/>
    </xf>
    <xf numFmtId="166" fontId="21" fillId="0" borderId="3" xfId="0" applyNumberFormat="1" applyFont="1" applyBorder="1" applyAlignment="1">
      <alignment horizontal="right"/>
    </xf>
    <xf numFmtId="0" fontId="20" fillId="7" borderId="3" xfId="0" applyFont="1" applyFill="1" applyBorder="1" applyAlignment="1">
      <alignment horizontal="right" vertical="top" wrapText="1"/>
    </xf>
    <xf numFmtId="170" fontId="20" fillId="7" borderId="3" xfId="0" applyNumberFormat="1" applyFont="1" applyFill="1" applyBorder="1"/>
    <xf numFmtId="0" fontId="23" fillId="0" borderId="3" xfId="0" applyFont="1" applyBorder="1"/>
    <xf numFmtId="0" fontId="24" fillId="0" borderId="3" xfId="0" applyFont="1" applyBorder="1" applyAlignment="1">
      <alignment horizontal="right"/>
    </xf>
    <xf numFmtId="4" fontId="5" fillId="0" borderId="3" xfId="0" applyNumberFormat="1" applyFont="1" applyBorder="1" applyAlignment="1">
      <alignment horizontal="right"/>
    </xf>
    <xf numFmtId="0" fontId="20" fillId="0" borderId="3" xfId="0" applyFont="1" applyBorder="1" applyAlignment="1">
      <alignment horizontal="right"/>
    </xf>
    <xf numFmtId="3" fontId="24" fillId="0" borderId="3" xfId="0" applyNumberFormat="1" applyFont="1" applyBorder="1" applyAlignment="1">
      <alignment horizontal="right"/>
    </xf>
    <xf numFmtId="171" fontId="12" fillId="0" borderId="3" xfId="0" applyNumberFormat="1" applyFont="1" applyBorder="1" applyAlignment="1">
      <alignment horizontal="right"/>
    </xf>
    <xf numFmtId="0" fontId="23" fillId="8" borderId="3" xfId="0" applyFont="1" applyFill="1" applyBorder="1" applyAlignment="1">
      <alignment horizontal="left" vertical="center"/>
    </xf>
    <xf numFmtId="0" fontId="0" fillId="0" borderId="3" xfId="0" applyBorder="1" applyAlignment="1">
      <alignment horizontal="right"/>
    </xf>
    <xf numFmtId="0" fontId="5" fillId="0" borderId="3" xfId="0" applyFont="1" applyBorder="1" applyAlignment="1">
      <alignment horizontal="right"/>
    </xf>
    <xf numFmtId="171" fontId="12" fillId="0" borderId="3" xfId="0" applyNumberFormat="1" applyFont="1" applyBorder="1"/>
    <xf numFmtId="0" fontId="25" fillId="0" borderId="3" xfId="0" applyFont="1" applyBorder="1" applyAlignment="1">
      <alignment horizontal="left" vertical="center"/>
    </xf>
    <xf numFmtId="3" fontId="25" fillId="0" borderId="3" xfId="0" applyNumberFormat="1" applyFont="1" applyBorder="1"/>
    <xf numFmtId="4" fontId="26" fillId="5" borderId="8" xfId="0" applyNumberFormat="1" applyFont="1" applyFill="1" applyBorder="1" applyAlignment="1">
      <alignment horizontal="right" vertical="center" wrapText="1"/>
    </xf>
    <xf numFmtId="0" fontId="26" fillId="5" borderId="8" xfId="0" applyFont="1" applyFill="1" applyBorder="1" applyAlignment="1">
      <alignment horizontal="right" vertical="center" wrapText="1"/>
    </xf>
    <xf numFmtId="4" fontId="27" fillId="0" borderId="0" xfId="0" applyNumberFormat="1" applyFont="1"/>
    <xf numFmtId="170" fontId="20" fillId="0" borderId="3" xfId="0" applyNumberFormat="1" applyFont="1" applyBorder="1" applyAlignment="1">
      <alignment horizontal="center" vertical="center"/>
    </xf>
    <xf numFmtId="3" fontId="20" fillId="0" borderId="3" xfId="0" applyNumberFormat="1" applyFont="1" applyBorder="1" applyAlignment="1">
      <alignment horizontal="center" vertical="center"/>
    </xf>
    <xf numFmtId="172" fontId="20" fillId="0" borderId="3" xfId="0" applyNumberFormat="1" applyFont="1" applyBorder="1" applyAlignment="1">
      <alignment horizontal="center" vertical="center"/>
    </xf>
    <xf numFmtId="173" fontId="20" fillId="0" borderId="3" xfId="0" applyNumberFormat="1" applyFont="1" applyBorder="1" applyAlignment="1">
      <alignment horizontal="center" vertical="center"/>
    </xf>
    <xf numFmtId="0" fontId="12" fillId="5" borderId="0" xfId="0" applyFont="1" applyFill="1" applyAlignment="1">
      <alignment horizontal="left" vertical="center"/>
    </xf>
    <xf numFmtId="174" fontId="12" fillId="0" borderId="0" xfId="0" applyNumberFormat="1" applyFont="1"/>
    <xf numFmtId="175" fontId="12" fillId="0" borderId="0" xfId="0" applyNumberFormat="1" applyFont="1"/>
    <xf numFmtId="176" fontId="12" fillId="0" borderId="0" xfId="0" applyNumberFormat="1" applyFont="1"/>
    <xf numFmtId="176" fontId="20" fillId="0" borderId="3" xfId="0" applyNumberFormat="1" applyFont="1" applyBorder="1"/>
    <xf numFmtId="2" fontId="20" fillId="0" borderId="3" xfId="0" applyNumberFormat="1" applyFont="1" applyBorder="1"/>
    <xf numFmtId="176" fontId="12" fillId="0" borderId="3" xfId="0" applyNumberFormat="1" applyFont="1" applyBorder="1"/>
    <xf numFmtId="0" fontId="29" fillId="2" borderId="3" xfId="0" applyFont="1" applyFill="1" applyBorder="1" applyAlignment="1">
      <alignment horizontal="center"/>
    </xf>
    <xf numFmtId="0" fontId="25" fillId="0" borderId="3" xfId="0" applyFont="1" applyBorder="1"/>
    <xf numFmtId="2" fontId="25" fillId="0" borderId="3" xfId="0" applyNumberFormat="1" applyFont="1" applyBorder="1"/>
    <xf numFmtId="0" fontId="0" fillId="0" borderId="3" xfId="0" applyBorder="1" applyAlignment="1">
      <alignment horizontal="left"/>
    </xf>
    <xf numFmtId="177" fontId="12" fillId="0" borderId="3" xfId="0" applyNumberFormat="1" applyFont="1" applyBorder="1" applyAlignment="1">
      <alignment horizontal="right"/>
    </xf>
    <xf numFmtId="4" fontId="30" fillId="0" borderId="3" xfId="0" applyNumberFormat="1" applyFont="1" applyBorder="1"/>
    <xf numFmtId="9" fontId="12" fillId="0" borderId="3" xfId="0" applyNumberFormat="1" applyFont="1" applyBorder="1"/>
    <xf numFmtId="178" fontId="12" fillId="0" borderId="3" xfId="0" applyNumberFormat="1" applyFont="1" applyBorder="1" applyAlignment="1">
      <alignment horizontal="right"/>
    </xf>
    <xf numFmtId="9" fontId="0" fillId="0" borderId="3" xfId="0" applyNumberFormat="1" applyBorder="1"/>
    <xf numFmtId="9" fontId="5" fillId="0" borderId="3" xfId="0" applyNumberFormat="1" applyFont="1" applyBorder="1"/>
    <xf numFmtId="2" fontId="30" fillId="0" borderId="3" xfId="0" applyNumberFormat="1" applyFont="1" applyBorder="1"/>
    <xf numFmtId="179" fontId="12" fillId="9" borderId="3" xfId="0" applyNumberFormat="1" applyFont="1" applyFill="1" applyBorder="1" applyAlignment="1">
      <alignment horizontal="right"/>
    </xf>
    <xf numFmtId="2" fontId="12" fillId="9" borderId="3" xfId="0" applyNumberFormat="1" applyFont="1" applyFill="1" applyBorder="1"/>
    <xf numFmtId="179" fontId="5" fillId="9" borderId="3" xfId="0" applyNumberFormat="1" applyFont="1" applyFill="1" applyBorder="1" applyAlignment="1">
      <alignment horizontal="right"/>
    </xf>
    <xf numFmtId="2" fontId="5" fillId="9" borderId="3" xfId="0" applyNumberFormat="1" applyFont="1" applyFill="1" applyBorder="1"/>
    <xf numFmtId="0" fontId="2" fillId="0" borderId="3" xfId="0" applyFont="1" applyBorder="1" applyAlignment="1">
      <alignment horizontal="center" vertical="top"/>
    </xf>
    <xf numFmtId="0" fontId="10" fillId="0" borderId="10" xfId="0" applyFont="1" applyBorder="1" applyAlignment="1">
      <alignment horizontal="center"/>
    </xf>
    <xf numFmtId="0" fontId="0" fillId="0" borderId="11" xfId="0" applyBorder="1"/>
    <xf numFmtId="0" fontId="31" fillId="0" borderId="0" xfId="0" applyFont="1"/>
    <xf numFmtId="0" fontId="12" fillId="10" borderId="13" xfId="0" applyFont="1" applyFill="1" applyBorder="1"/>
    <xf numFmtId="4" fontId="12" fillId="0" borderId="3" xfId="0" applyNumberFormat="1" applyFont="1" applyBorder="1"/>
    <xf numFmtId="166" fontId="12" fillId="0" borderId="3" xfId="0" applyNumberFormat="1" applyFont="1" applyBorder="1"/>
    <xf numFmtId="167" fontId="2" fillId="11" borderId="14" xfId="0" applyNumberFormat="1" applyFont="1" applyFill="1" applyBorder="1" applyAlignment="1">
      <alignment horizontal="left"/>
    </xf>
    <xf numFmtId="0" fontId="12" fillId="10" borderId="15" xfId="0" applyFont="1" applyFill="1" applyBorder="1"/>
    <xf numFmtId="10" fontId="12" fillId="0" borderId="3" xfId="0" applyNumberFormat="1" applyFont="1" applyBorder="1"/>
    <xf numFmtId="167" fontId="2" fillId="11" borderId="16" xfId="0" applyNumberFormat="1" applyFont="1" applyFill="1" applyBorder="1"/>
    <xf numFmtId="0" fontId="12" fillId="10" borderId="3" xfId="0" applyFont="1" applyFill="1" applyBorder="1"/>
    <xf numFmtId="10" fontId="12" fillId="5" borderId="3" xfId="0" applyNumberFormat="1" applyFont="1" applyFill="1" applyBorder="1" applyAlignment="1">
      <alignment horizontal="center"/>
    </xf>
    <xf numFmtId="2" fontId="12" fillId="5" borderId="3" xfId="0" applyNumberFormat="1" applyFont="1" applyFill="1" applyBorder="1" applyAlignment="1">
      <alignment horizontal="center"/>
    </xf>
    <xf numFmtId="10" fontId="2" fillId="11" borderId="3" xfId="0" applyNumberFormat="1" applyFont="1" applyFill="1" applyBorder="1"/>
    <xf numFmtId="10" fontId="2" fillId="3" borderId="3" xfId="0" applyNumberFormat="1" applyFont="1" applyFill="1" applyBorder="1" applyAlignment="1">
      <alignment horizontal="center"/>
    </xf>
    <xf numFmtId="10" fontId="12" fillId="10" borderId="3" xfId="0" applyNumberFormat="1" applyFont="1" applyFill="1" applyBorder="1" applyAlignment="1">
      <alignment horizontal="left" vertical="center"/>
    </xf>
    <xf numFmtId="4" fontId="12" fillId="5" borderId="3" xfId="0" applyNumberFormat="1" applyFont="1" applyFill="1" applyBorder="1" applyAlignment="1">
      <alignment horizontal="center" vertical="center"/>
    </xf>
    <xf numFmtId="4" fontId="12" fillId="5" borderId="3" xfId="0" applyNumberFormat="1" applyFont="1" applyFill="1" applyBorder="1" applyAlignment="1">
      <alignment horizontal="center"/>
    </xf>
    <xf numFmtId="167" fontId="12" fillId="10" borderId="3" xfId="0" applyNumberFormat="1" applyFont="1" applyFill="1" applyBorder="1"/>
    <xf numFmtId="10" fontId="12" fillId="3" borderId="3" xfId="0" applyNumberFormat="1" applyFont="1" applyFill="1" applyBorder="1" applyAlignment="1">
      <alignment horizontal="center"/>
    </xf>
    <xf numFmtId="0" fontId="2" fillId="11" borderId="3" xfId="0" applyFont="1" applyFill="1" applyBorder="1"/>
    <xf numFmtId="10" fontId="2" fillId="12" borderId="20" xfId="0" applyNumberFormat="1" applyFont="1" applyFill="1" applyBorder="1" applyAlignment="1">
      <alignment horizontal="center"/>
    </xf>
    <xf numFmtId="10" fontId="2" fillId="12" borderId="21" xfId="0" applyNumberFormat="1" applyFont="1" applyFill="1" applyBorder="1" applyAlignment="1">
      <alignment horizontal="center"/>
    </xf>
    <xf numFmtId="10" fontId="2" fillId="12" borderId="22" xfId="0" applyNumberFormat="1" applyFont="1" applyFill="1" applyBorder="1" applyAlignment="1">
      <alignment horizontal="center"/>
    </xf>
    <xf numFmtId="10" fontId="12" fillId="10" borderId="15" xfId="0" applyNumberFormat="1" applyFont="1" applyFill="1" applyBorder="1" applyAlignment="1">
      <alignment horizontal="left"/>
    </xf>
    <xf numFmtId="10" fontId="12" fillId="5" borderId="23" xfId="0" applyNumberFormat="1" applyFont="1" applyFill="1" applyBorder="1" applyAlignment="1">
      <alignment horizontal="center"/>
    </xf>
    <xf numFmtId="10" fontId="12" fillId="5" borderId="21" xfId="0" applyNumberFormat="1" applyFont="1" applyFill="1" applyBorder="1" applyAlignment="1">
      <alignment horizontal="center"/>
    </xf>
    <xf numFmtId="10" fontId="12" fillId="5" borderId="22" xfId="0" applyNumberFormat="1" applyFont="1" applyFill="1" applyBorder="1" applyAlignment="1">
      <alignment horizontal="center"/>
    </xf>
    <xf numFmtId="10" fontId="12" fillId="3" borderId="4" xfId="0" applyNumberFormat="1" applyFont="1" applyFill="1" applyBorder="1"/>
    <xf numFmtId="167" fontId="12" fillId="3" borderId="4" xfId="0" applyNumberFormat="1" applyFont="1" applyFill="1" applyBorder="1"/>
    <xf numFmtId="10" fontId="2" fillId="13" borderId="5" xfId="0" applyNumberFormat="1" applyFont="1" applyFill="1" applyBorder="1"/>
    <xf numFmtId="182" fontId="12" fillId="0" borderId="0" xfId="0" applyNumberFormat="1" applyFont="1"/>
    <xf numFmtId="0" fontId="0" fillId="0" borderId="3" xfId="0" applyBorder="1"/>
    <xf numFmtId="4" fontId="16" fillId="0" borderId="3" xfId="0" applyNumberFormat="1" applyFont="1" applyBorder="1"/>
    <xf numFmtId="10" fontId="16" fillId="0" borderId="3" xfId="0" applyNumberFormat="1" applyFont="1" applyBorder="1"/>
    <xf numFmtId="0" fontId="2" fillId="0" borderId="3" xfId="0" applyFont="1" applyBorder="1" applyAlignment="1">
      <alignment horizontal="center"/>
    </xf>
    <xf numFmtId="0" fontId="2" fillId="0" borderId="7" xfId="0" applyFont="1" applyBorder="1"/>
    <xf numFmtId="0" fontId="12" fillId="0" borderId="24" xfId="0" applyFont="1" applyBorder="1"/>
    <xf numFmtId="10" fontId="34" fillId="0" borderId="0" xfId="0" applyNumberFormat="1" applyFont="1"/>
    <xf numFmtId="0" fontId="2" fillId="0" borderId="24" xfId="0" applyFont="1" applyBorder="1"/>
    <xf numFmtId="4" fontId="16" fillId="0" borderId="24" xfId="0" applyNumberFormat="1" applyFont="1" applyBorder="1"/>
    <xf numFmtId="4" fontId="2" fillId="0" borderId="3" xfId="0" applyNumberFormat="1" applyFont="1" applyBorder="1"/>
    <xf numFmtId="10" fontId="16" fillId="0" borderId="0" xfId="0" applyNumberFormat="1" applyFont="1"/>
    <xf numFmtId="173" fontId="16" fillId="0" borderId="3" xfId="0" applyNumberFormat="1" applyFont="1" applyBorder="1"/>
    <xf numFmtId="168" fontId="16" fillId="0" borderId="3" xfId="0" applyNumberFormat="1" applyFont="1" applyBorder="1"/>
    <xf numFmtId="168" fontId="12" fillId="0" borderId="3" xfId="0" applyNumberFormat="1" applyFont="1" applyBorder="1"/>
    <xf numFmtId="183" fontId="16" fillId="0" borderId="3" xfId="0" applyNumberFormat="1" applyFont="1" applyBorder="1"/>
    <xf numFmtId="0" fontId="6" fillId="0" borderId="3" xfId="0" applyFont="1" applyBorder="1"/>
    <xf numFmtId="171" fontId="16" fillId="0" borderId="3" xfId="0" applyNumberFormat="1" applyFont="1" applyBorder="1"/>
    <xf numFmtId="0" fontId="35" fillId="0" borderId="0" xfId="0" applyFont="1"/>
    <xf numFmtId="0" fontId="36" fillId="0" borderId="0" xfId="0" applyFont="1"/>
    <xf numFmtId="168" fontId="12" fillId="0" borderId="3" xfId="0" applyNumberFormat="1" applyFont="1" applyBorder="1" applyAlignment="1">
      <alignment horizontal="right"/>
    </xf>
    <xf numFmtId="0" fontId="0" fillId="0" borderId="29" xfId="0" applyBorder="1"/>
    <xf numFmtId="0" fontId="41" fillId="16" borderId="30" xfId="0" applyFont="1" applyFill="1" applyBorder="1" applyAlignment="1">
      <alignment horizontal="left" vertical="center" indent="1"/>
    </xf>
    <xf numFmtId="3" fontId="41" fillId="16" borderId="30" xfId="0" applyNumberFormat="1" applyFont="1" applyFill="1" applyBorder="1" applyAlignment="1">
      <alignment horizontal="right" vertical="center"/>
    </xf>
    <xf numFmtId="185" fontId="41" fillId="16" borderId="30" xfId="0" applyNumberFormat="1" applyFont="1" applyFill="1" applyBorder="1" applyAlignment="1">
      <alignment horizontal="right" vertical="center"/>
    </xf>
    <xf numFmtId="0" fontId="41" fillId="16" borderId="30" xfId="0" applyFont="1" applyFill="1" applyBorder="1" applyAlignment="1">
      <alignment horizontal="right" vertical="center"/>
    </xf>
    <xf numFmtId="0" fontId="40" fillId="17" borderId="30" xfId="0" applyFont="1" applyFill="1" applyBorder="1" applyAlignment="1">
      <alignment horizontal="left" vertical="center"/>
    </xf>
    <xf numFmtId="3" fontId="40" fillId="17" borderId="30" xfId="0" applyNumberFormat="1" applyFont="1" applyFill="1" applyBorder="1" applyAlignment="1">
      <alignment horizontal="right" vertical="center"/>
    </xf>
    <xf numFmtId="185" fontId="40" fillId="17" borderId="30" xfId="0" applyNumberFormat="1" applyFont="1" applyFill="1" applyBorder="1" applyAlignment="1">
      <alignment horizontal="right" vertical="center"/>
    </xf>
    <xf numFmtId="0" fontId="40" fillId="17" borderId="30" xfId="0" applyFont="1" applyFill="1" applyBorder="1" applyAlignment="1">
      <alignment horizontal="right" vertical="center"/>
    </xf>
    <xf numFmtId="0" fontId="0" fillId="0" borderId="0" xfId="0"/>
    <xf numFmtId="0" fontId="45" fillId="0" borderId="0" xfId="0" applyFont="1" applyAlignment="1">
      <alignment horizontal="left" vertical="center"/>
    </xf>
    <xf numFmtId="0" fontId="38" fillId="14" borderId="25" xfId="0" applyFont="1" applyFill="1" applyBorder="1" applyAlignment="1">
      <alignment horizontal="center" vertical="center" wrapText="1"/>
    </xf>
    <xf numFmtId="0" fontId="0" fillId="0" borderId="28" xfId="0" applyBorder="1"/>
    <xf numFmtId="0" fontId="38" fillId="15" borderId="25" xfId="0" applyFont="1" applyFill="1" applyBorder="1" applyAlignment="1">
      <alignment horizontal="center" vertical="center"/>
    </xf>
    <xf numFmtId="0" fontId="0" fillId="0" borderId="27" xfId="0" applyBorder="1"/>
    <xf numFmtId="0" fontId="0" fillId="0" borderId="4" xfId="0" applyBorder="1"/>
    <xf numFmtId="0" fontId="0" fillId="0" borderId="5" xfId="0" applyBorder="1"/>
    <xf numFmtId="0" fontId="2" fillId="0" borderId="3" xfId="0" applyFont="1" applyBorder="1" applyAlignment="1">
      <alignment horizontal="center"/>
    </xf>
    <xf numFmtId="0" fontId="12" fillId="0" borderId="0" xfId="0" applyFont="1" applyAlignment="1">
      <alignment horizontal="center"/>
    </xf>
    <xf numFmtId="0" fontId="10" fillId="0" borderId="10" xfId="0" applyFont="1" applyBorder="1" applyAlignment="1">
      <alignment horizontal="center"/>
    </xf>
    <xf numFmtId="0" fontId="0" fillId="0" borderId="10" xfId="0" applyBorder="1"/>
    <xf numFmtId="0" fontId="37" fillId="21" borderId="0" xfId="0" applyFont="1" applyFill="1" applyAlignment="1">
      <alignment horizontal="left" vertical="center"/>
    </xf>
    <xf numFmtId="0" fontId="38" fillId="21" borderId="25" xfId="0" applyFont="1" applyFill="1" applyBorder="1" applyAlignment="1">
      <alignment horizontal="center" vertical="center" wrapText="1"/>
    </xf>
    <xf numFmtId="0" fontId="0" fillId="21" borderId="28" xfId="0" applyFill="1" applyBorder="1"/>
    <xf numFmtId="0" fontId="47" fillId="21" borderId="0" xfId="0" applyFont="1" applyFill="1" applyAlignment="1">
      <alignment horizontal="left" vertical="center"/>
    </xf>
    <xf numFmtId="0" fontId="48" fillId="21" borderId="25" xfId="0" applyFont="1" applyFill="1" applyBorder="1" applyAlignment="1">
      <alignment horizontal="center" vertical="center" wrapText="1"/>
    </xf>
    <xf numFmtId="0" fontId="49" fillId="21" borderId="28" xfId="0" applyFont="1" applyFill="1" applyBorder="1"/>
    <xf numFmtId="0" fontId="39" fillId="21" borderId="25" xfId="0" applyFont="1" applyFill="1" applyBorder="1" applyAlignment="1">
      <alignment horizontal="left" vertical="center"/>
    </xf>
    <xf numFmtId="0" fontId="39" fillId="21" borderId="25" xfId="0" applyFont="1" applyFill="1" applyBorder="1" applyAlignment="1">
      <alignment horizontal="center" vertical="center"/>
    </xf>
    <xf numFmtId="185" fontId="39" fillId="21" borderId="25" xfId="0" applyNumberFormat="1" applyFont="1" applyFill="1" applyBorder="1" applyAlignment="1">
      <alignment horizontal="right" vertical="center"/>
    </xf>
    <xf numFmtId="0" fontId="49" fillId="21" borderId="26" xfId="0" applyFont="1" applyFill="1" applyBorder="1"/>
    <xf numFmtId="0" fontId="49" fillId="21" borderId="27" xfId="0" applyFont="1" applyFill="1" applyBorder="1"/>
    <xf numFmtId="0" fontId="48" fillId="21" borderId="25" xfId="0" applyFont="1" applyFill="1" applyBorder="1" applyAlignment="1">
      <alignment horizontal="center" vertical="center" wrapText="1"/>
    </xf>
    <xf numFmtId="0" fontId="49" fillId="21" borderId="26" xfId="0" applyFont="1" applyFill="1" applyBorder="1"/>
    <xf numFmtId="0" fontId="49" fillId="21" borderId="27" xfId="0" applyFont="1" applyFill="1" applyBorder="1"/>
    <xf numFmtId="0" fontId="40" fillId="22" borderId="30" xfId="0" applyFont="1" applyFill="1" applyBorder="1" applyAlignment="1">
      <alignment horizontal="left" vertical="center" indent="2"/>
    </xf>
    <xf numFmtId="3" fontId="40" fillId="22" borderId="30" xfId="0" applyNumberFormat="1" applyFont="1" applyFill="1" applyBorder="1" applyAlignment="1">
      <alignment horizontal="right" vertical="center"/>
    </xf>
    <xf numFmtId="185" fontId="40" fillId="22" borderId="30" xfId="0" applyNumberFormat="1" applyFont="1" applyFill="1" applyBorder="1" applyAlignment="1">
      <alignment horizontal="right" vertical="center"/>
    </xf>
    <xf numFmtId="0" fontId="40" fillId="22" borderId="30" xfId="0" applyFont="1" applyFill="1" applyBorder="1" applyAlignment="1">
      <alignment horizontal="right" vertical="center"/>
    </xf>
    <xf numFmtId="0" fontId="41" fillId="22" borderId="30" xfId="0" applyFont="1" applyFill="1" applyBorder="1" applyAlignment="1">
      <alignment horizontal="left" vertical="center" indent="1"/>
    </xf>
    <xf numFmtId="3" fontId="41" fillId="22" borderId="30" xfId="0" applyNumberFormat="1" applyFont="1" applyFill="1" applyBorder="1" applyAlignment="1">
      <alignment horizontal="right" vertical="center"/>
    </xf>
    <xf numFmtId="185" fontId="41" fillId="22" borderId="30" xfId="0" applyNumberFormat="1" applyFont="1" applyFill="1" applyBorder="1" applyAlignment="1">
      <alignment horizontal="right" vertical="center"/>
    </xf>
    <xf numFmtId="0" fontId="41" fillId="22" borderId="30" xfId="0" applyFont="1" applyFill="1" applyBorder="1" applyAlignment="1">
      <alignment horizontal="right" vertical="center"/>
    </xf>
    <xf numFmtId="0" fontId="39" fillId="22" borderId="30" xfId="0" applyFont="1" applyFill="1" applyBorder="1" applyAlignment="1">
      <alignment horizontal="left" vertical="center" indent="2"/>
    </xf>
    <xf numFmtId="0" fontId="40" fillId="22" borderId="30" xfId="0" applyFont="1" applyFill="1" applyBorder="1" applyAlignment="1">
      <alignment horizontal="left" vertical="center"/>
    </xf>
    <xf numFmtId="0" fontId="49" fillId="21" borderId="0" xfId="0" applyFont="1" applyFill="1"/>
    <xf numFmtId="0" fontId="50" fillId="23" borderId="0" xfId="0" applyFont="1" applyFill="1" applyAlignment="1">
      <alignment horizontal="left" vertical="center"/>
    </xf>
    <xf numFmtId="0" fontId="46" fillId="21" borderId="0" xfId="0" applyFont="1" applyFill="1"/>
    <xf numFmtId="0" fontId="1" fillId="0" borderId="0" xfId="0" applyFont="1"/>
    <xf numFmtId="0" fontId="51" fillId="24" borderId="0" xfId="0" applyFont="1" applyFill="1" applyAlignment="1">
      <alignment horizontal="left" vertical="top" wrapText="1"/>
    </xf>
    <xf numFmtId="0" fontId="1" fillId="22" borderId="0" xfId="0" applyFont="1" applyFill="1"/>
    <xf numFmtId="0" fontId="52" fillId="23" borderId="0" xfId="0" applyFont="1" applyFill="1" applyAlignment="1">
      <alignment horizontal="left" vertical="center"/>
    </xf>
    <xf numFmtId="0" fontId="1" fillId="21" borderId="0" xfId="0" applyFont="1" applyFill="1"/>
    <xf numFmtId="0" fontId="53" fillId="25" borderId="0" xfId="0" applyFont="1" applyFill="1" applyAlignment="1">
      <alignment horizontal="left" vertical="center"/>
    </xf>
    <xf numFmtId="0" fontId="1" fillId="22" borderId="0" xfId="0" applyFont="1" applyFill="1"/>
    <xf numFmtId="0" fontId="54" fillId="19" borderId="0" xfId="0" applyFont="1" applyFill="1" applyAlignment="1">
      <alignment horizontal="left" vertical="center"/>
    </xf>
    <xf numFmtId="0" fontId="1" fillId="0" borderId="0" xfId="0" applyFont="1"/>
    <xf numFmtId="0" fontId="51" fillId="26" borderId="3" xfId="0" applyFont="1" applyFill="1" applyBorder="1" applyAlignment="1">
      <alignment horizontal="left" vertical="center" wrapText="1"/>
    </xf>
    <xf numFmtId="0" fontId="51" fillId="27" borderId="3" xfId="0" applyFont="1" applyFill="1" applyBorder="1" applyAlignment="1">
      <alignment horizontal="left" vertical="center" wrapText="1"/>
    </xf>
    <xf numFmtId="0" fontId="51" fillId="20" borderId="0" xfId="0" applyFont="1" applyFill="1" applyAlignment="1">
      <alignment horizontal="left" vertical="center" wrapText="1"/>
    </xf>
    <xf numFmtId="0" fontId="51" fillId="5" borderId="0" xfId="0" applyFont="1" applyFill="1" applyAlignment="1">
      <alignment horizontal="left" vertical="center" wrapText="1"/>
    </xf>
    <xf numFmtId="0" fontId="51" fillId="18" borderId="0" xfId="0" applyFont="1" applyFill="1" applyAlignment="1">
      <alignment horizontal="left" vertical="center"/>
    </xf>
    <xf numFmtId="0" fontId="42" fillId="19" borderId="0" xfId="0" applyFont="1" applyFill="1" applyAlignment="1">
      <alignment horizontal="left" vertical="center"/>
    </xf>
    <xf numFmtId="0" fontId="55" fillId="23" borderId="0" xfId="0" applyFont="1" applyFill="1" applyAlignment="1">
      <alignment horizontal="left" vertical="center"/>
    </xf>
    <xf numFmtId="0" fontId="43" fillId="22" borderId="30" xfId="0" applyFont="1" applyFill="1" applyBorder="1" applyAlignment="1">
      <alignment horizontal="left" vertical="center"/>
    </xf>
    <xf numFmtId="0" fontId="43" fillId="22" borderId="30" xfId="0" applyFont="1" applyFill="1" applyBorder="1" applyAlignment="1">
      <alignment horizontal="right" vertical="center"/>
    </xf>
    <xf numFmtId="3" fontId="43" fillId="22" borderId="30" xfId="0" applyNumberFormat="1" applyFont="1" applyFill="1" applyBorder="1" applyAlignment="1">
      <alignment horizontal="right" vertical="center"/>
    </xf>
    <xf numFmtId="185" fontId="43" fillId="22" borderId="30" xfId="0" applyNumberFormat="1" applyFont="1" applyFill="1" applyBorder="1" applyAlignment="1">
      <alignment horizontal="right" vertical="center"/>
    </xf>
    <xf numFmtId="0" fontId="44" fillId="22" borderId="30" xfId="0" applyFont="1" applyFill="1" applyBorder="1" applyAlignment="1">
      <alignment horizontal="left" vertical="center" indent="2"/>
    </xf>
    <xf numFmtId="0" fontId="44" fillId="22" borderId="30" xfId="0" applyFont="1" applyFill="1" applyBorder="1" applyAlignment="1">
      <alignment horizontal="right" vertical="center"/>
    </xf>
    <xf numFmtId="3" fontId="44" fillId="22" borderId="30" xfId="0" applyNumberFormat="1" applyFont="1" applyFill="1" applyBorder="1" applyAlignment="1">
      <alignment horizontal="right" vertical="center"/>
    </xf>
    <xf numFmtId="185" fontId="44" fillId="22" borderId="30" xfId="0" applyNumberFormat="1" applyFont="1" applyFill="1" applyBorder="1" applyAlignment="1">
      <alignment horizontal="right" vertical="center"/>
    </xf>
    <xf numFmtId="0" fontId="40" fillId="22" borderId="30" xfId="0" applyFont="1" applyFill="1" applyBorder="1" applyAlignment="1">
      <alignment horizontal="left" vertical="center" indent="1"/>
    </xf>
    <xf numFmtId="0" fontId="41" fillId="22" borderId="30" xfId="0" applyFont="1" applyFill="1" applyBorder="1" applyAlignment="1">
      <alignment horizontal="left" vertical="center" indent="2"/>
    </xf>
    <xf numFmtId="0" fontId="40" fillId="22" borderId="25" xfId="0" applyFont="1" applyFill="1" applyBorder="1" applyAlignment="1">
      <alignment horizontal="left" vertical="center"/>
    </xf>
    <xf numFmtId="0" fontId="40" fillId="22" borderId="25" xfId="0" applyFont="1" applyFill="1" applyBorder="1" applyAlignment="1">
      <alignment horizontal="center" vertical="center"/>
    </xf>
    <xf numFmtId="185" fontId="40" fillId="22" borderId="25" xfId="0" applyNumberFormat="1" applyFont="1" applyFill="1" applyBorder="1" applyAlignment="1">
      <alignment horizontal="right" vertical="center"/>
    </xf>
    <xf numFmtId="3" fontId="40" fillId="22" borderId="25" xfId="0" applyNumberFormat="1" applyFont="1" applyFill="1" applyBorder="1" applyAlignment="1">
      <alignment horizontal="right" vertical="center"/>
    </xf>
    <xf numFmtId="0" fontId="40" fillId="22" borderId="25" xfId="0" applyFont="1" applyFill="1" applyBorder="1" applyAlignment="1">
      <alignment horizontal="right" vertical="center"/>
    </xf>
    <xf numFmtId="0" fontId="56" fillId="22" borderId="25" xfId="0" applyFont="1" applyFill="1" applyBorder="1" applyAlignment="1">
      <alignment horizontal="center" vertical="center" wrapText="1"/>
    </xf>
    <xf numFmtId="0" fontId="56" fillId="22" borderId="25" xfId="0" applyFont="1" applyFill="1" applyBorder="1" applyAlignment="1">
      <alignment horizontal="center" vertical="center"/>
    </xf>
    <xf numFmtId="3" fontId="39" fillId="21" borderId="25" xfId="0" applyNumberFormat="1" applyFont="1" applyFill="1" applyBorder="1" applyAlignment="1">
      <alignment horizontal="right" vertical="center"/>
    </xf>
    <xf numFmtId="0" fontId="39" fillId="21" borderId="25" xfId="0" applyFont="1" applyFill="1" applyBorder="1" applyAlignment="1">
      <alignment horizontal="right" vertical="center"/>
    </xf>
    <xf numFmtId="0" fontId="17" fillId="28" borderId="0" xfId="0" applyFont="1" applyFill="1" applyAlignment="1">
      <alignment horizontal="center"/>
    </xf>
    <xf numFmtId="0" fontId="19" fillId="29" borderId="31" xfId="0" applyFont="1" applyFill="1" applyBorder="1" applyAlignment="1">
      <alignment horizontal="left"/>
    </xf>
    <xf numFmtId="166" fontId="16" fillId="22" borderId="32" xfId="0" applyNumberFormat="1" applyFont="1" applyFill="1" applyBorder="1" applyAlignment="1">
      <alignment horizontal="right"/>
    </xf>
    <xf numFmtId="166" fontId="16" fillId="22" borderId="33" xfId="0" applyNumberFormat="1" applyFont="1" applyFill="1" applyBorder="1" applyAlignment="1">
      <alignment horizontal="right"/>
    </xf>
    <xf numFmtId="0" fontId="19" fillId="29" borderId="34" xfId="0" applyFont="1" applyFill="1" applyBorder="1" applyAlignment="1">
      <alignment horizontal="left"/>
    </xf>
    <xf numFmtId="166" fontId="16" fillId="22" borderId="0" xfId="0" applyNumberFormat="1" applyFont="1" applyFill="1" applyBorder="1" applyAlignment="1">
      <alignment horizontal="right"/>
    </xf>
    <xf numFmtId="166" fontId="16" fillId="22" borderId="35" xfId="0" applyNumberFormat="1" applyFont="1" applyFill="1" applyBorder="1" applyAlignment="1">
      <alignment horizontal="right"/>
    </xf>
    <xf numFmtId="0" fontId="16" fillId="22" borderId="34" xfId="0" applyFont="1" applyFill="1" applyBorder="1" applyAlignment="1">
      <alignment horizontal="left"/>
    </xf>
    <xf numFmtId="0" fontId="19" fillId="22" borderId="34" xfId="0" applyFont="1" applyFill="1" applyBorder="1" applyAlignment="1">
      <alignment horizontal="left"/>
    </xf>
    <xf numFmtId="166" fontId="19" fillId="22" borderId="0" xfId="0" applyNumberFormat="1" applyFont="1" applyFill="1" applyBorder="1" applyAlignment="1">
      <alignment horizontal="right"/>
    </xf>
    <xf numFmtId="166" fontId="19" fillId="22" borderId="35" xfId="0" applyNumberFormat="1" applyFont="1" applyFill="1" applyBorder="1" applyAlignment="1">
      <alignment horizontal="right"/>
    </xf>
    <xf numFmtId="0" fontId="0" fillId="22" borderId="34" xfId="0" applyFill="1" applyBorder="1"/>
    <xf numFmtId="0" fontId="0" fillId="22" borderId="0" xfId="0" applyFill="1" applyBorder="1"/>
    <xf numFmtId="0" fontId="0" fillId="22" borderId="35" xfId="0" applyFill="1" applyBorder="1"/>
    <xf numFmtId="0" fontId="16" fillId="22" borderId="36" xfId="0" applyFont="1" applyFill="1" applyBorder="1" applyAlignment="1">
      <alignment horizontal="left"/>
    </xf>
    <xf numFmtId="166" fontId="16" fillId="22" borderId="11" xfId="0" applyNumberFormat="1" applyFont="1" applyFill="1" applyBorder="1" applyAlignment="1">
      <alignment horizontal="right"/>
    </xf>
    <xf numFmtId="166" fontId="16" fillId="22" borderId="37" xfId="0" applyNumberFormat="1" applyFont="1" applyFill="1" applyBorder="1" applyAlignment="1">
      <alignment horizontal="right"/>
    </xf>
    <xf numFmtId="0" fontId="12" fillId="22" borderId="3" xfId="0" applyFont="1" applyFill="1" applyBorder="1" applyAlignment="1">
      <alignment horizontal="center" vertical="center"/>
    </xf>
    <xf numFmtId="0" fontId="2" fillId="30" borderId="3" xfId="0" applyFont="1" applyFill="1" applyBorder="1" applyAlignment="1">
      <alignment horizontal="center" vertical="center" wrapText="1"/>
    </xf>
    <xf numFmtId="184" fontId="2" fillId="30" borderId="3" xfId="0" applyNumberFormat="1" applyFont="1" applyFill="1" applyBorder="1" applyAlignment="1">
      <alignment horizontal="center"/>
    </xf>
    <xf numFmtId="184" fontId="2" fillId="30" borderId="24" xfId="0" applyNumberFormat="1" applyFont="1" applyFill="1" applyBorder="1" applyAlignment="1">
      <alignment horizontal="center"/>
    </xf>
    <xf numFmtId="0" fontId="2" fillId="32" borderId="3" xfId="0" applyFont="1" applyFill="1" applyBorder="1" applyAlignment="1">
      <alignment horizontal="center" vertical="center"/>
    </xf>
    <xf numFmtId="4" fontId="12" fillId="32" borderId="3" xfId="0" applyNumberFormat="1" applyFont="1" applyFill="1" applyBorder="1" applyAlignment="1">
      <alignment horizontal="right"/>
    </xf>
    <xf numFmtId="4" fontId="12" fillId="32" borderId="24" xfId="0" applyNumberFormat="1" applyFont="1" applyFill="1" applyBorder="1" applyAlignment="1">
      <alignment horizontal="right"/>
    </xf>
    <xf numFmtId="0" fontId="12" fillId="31" borderId="3" xfId="0" applyFont="1" applyFill="1" applyBorder="1" applyAlignment="1">
      <alignment horizontal="center" vertical="center" wrapText="1"/>
    </xf>
    <xf numFmtId="4" fontId="12" fillId="31" borderId="3" xfId="0" applyNumberFormat="1" applyFont="1" applyFill="1" applyBorder="1" applyAlignment="1">
      <alignment horizontal="right"/>
    </xf>
    <xf numFmtId="4" fontId="12" fillId="31" borderId="24" xfId="0" applyNumberFormat="1" applyFont="1" applyFill="1" applyBorder="1" applyAlignment="1">
      <alignment horizontal="right"/>
    </xf>
    <xf numFmtId="0" fontId="12" fillId="33" borderId="3" xfId="0" applyFont="1" applyFill="1" applyBorder="1" applyAlignment="1">
      <alignment horizontal="center" vertical="center" wrapText="1"/>
    </xf>
    <xf numFmtId="4" fontId="12" fillId="33" borderId="3" xfId="0" applyNumberFormat="1" applyFont="1" applyFill="1" applyBorder="1" applyAlignment="1">
      <alignment horizontal="right"/>
    </xf>
    <xf numFmtId="4" fontId="12" fillId="33" borderId="24" xfId="0" applyNumberFormat="1" applyFont="1" applyFill="1" applyBorder="1" applyAlignment="1">
      <alignment horizontal="right"/>
    </xf>
    <xf numFmtId="0" fontId="12" fillId="33" borderId="3" xfId="0" applyFont="1" applyFill="1" applyBorder="1" applyAlignment="1">
      <alignment horizontal="center" vertical="center"/>
    </xf>
    <xf numFmtId="4" fontId="12" fillId="22" borderId="3" xfId="0" applyNumberFormat="1" applyFont="1" applyFill="1" applyBorder="1" applyAlignment="1">
      <alignment horizontal="right"/>
    </xf>
    <xf numFmtId="4" fontId="12" fillId="22" borderId="24" xfId="0" applyNumberFormat="1" applyFont="1" applyFill="1" applyBorder="1" applyAlignment="1">
      <alignment horizontal="right"/>
    </xf>
    <xf numFmtId="0" fontId="2" fillId="32" borderId="3" xfId="0" applyFont="1" applyFill="1" applyBorder="1" applyAlignment="1">
      <alignment horizontal="center" vertical="center" wrapText="1"/>
    </xf>
    <xf numFmtId="0" fontId="12" fillId="22" borderId="3" xfId="0" applyFont="1" applyFill="1" applyBorder="1" applyAlignment="1">
      <alignment horizontal="center" vertical="center" wrapText="1"/>
    </xf>
    <xf numFmtId="0" fontId="12" fillId="34" borderId="3" xfId="0" applyFont="1" applyFill="1" applyBorder="1" applyAlignment="1">
      <alignment horizontal="center" vertical="center" wrapText="1"/>
    </xf>
    <xf numFmtId="4" fontId="12" fillId="34" borderId="3" xfId="0" applyNumberFormat="1" applyFont="1" applyFill="1" applyBorder="1" applyAlignment="1">
      <alignment horizontal="right"/>
    </xf>
    <xf numFmtId="4" fontId="12" fillId="34" borderId="24" xfId="0" applyNumberFormat="1" applyFont="1" applyFill="1" applyBorder="1" applyAlignment="1">
      <alignment horizontal="right"/>
    </xf>
    <xf numFmtId="2" fontId="12" fillId="22" borderId="3" xfId="0" applyNumberFormat="1" applyFont="1" applyFill="1" applyBorder="1" applyAlignment="1">
      <alignment horizontal="right"/>
    </xf>
    <xf numFmtId="2" fontId="12" fillId="22" borderId="24" xfId="0" applyNumberFormat="1" applyFont="1" applyFill="1" applyBorder="1" applyAlignment="1">
      <alignment horizontal="right"/>
    </xf>
    <xf numFmtId="0" fontId="12" fillId="32" borderId="3" xfId="0" applyFont="1" applyFill="1" applyBorder="1" applyAlignment="1">
      <alignment horizontal="right"/>
    </xf>
    <xf numFmtId="0" fontId="12" fillId="32" borderId="24" xfId="0" applyFont="1" applyFill="1" applyBorder="1" applyAlignment="1">
      <alignment horizontal="right"/>
    </xf>
    <xf numFmtId="0" fontId="12" fillId="22" borderId="0" xfId="0" applyFont="1" applyFill="1"/>
    <xf numFmtId="0" fontId="12" fillId="22" borderId="0" xfId="0" applyFont="1" applyFill="1" applyAlignment="1">
      <alignment horizontal="right"/>
    </xf>
    <xf numFmtId="0" fontId="12" fillId="22" borderId="3" xfId="0" applyFont="1" applyFill="1" applyBorder="1"/>
    <xf numFmtId="0" fontId="0" fillId="21" borderId="4" xfId="0" applyFill="1" applyBorder="1"/>
    <xf numFmtId="0" fontId="0" fillId="21" borderId="5" xfId="0" applyFill="1" applyBorder="1"/>
    <xf numFmtId="0" fontId="8" fillId="35" borderId="3" xfId="0" applyFont="1" applyFill="1" applyBorder="1" applyAlignment="1">
      <alignment horizontal="center" vertical="center" wrapText="1"/>
    </xf>
    <xf numFmtId="0" fontId="49" fillId="21" borderId="4" xfId="0" applyFont="1" applyFill="1" applyBorder="1"/>
    <xf numFmtId="0" fontId="49" fillId="21" borderId="5" xfId="0" applyFont="1" applyFill="1" applyBorder="1"/>
    <xf numFmtId="0" fontId="49" fillId="21" borderId="3" xfId="0" applyFont="1" applyFill="1" applyBorder="1" applyAlignment="1">
      <alignment horizontal="center" vertical="center"/>
    </xf>
    <xf numFmtId="0" fontId="8" fillId="36" borderId="3" xfId="0" applyFont="1" applyFill="1" applyBorder="1" applyAlignment="1">
      <alignment horizontal="center" vertical="center"/>
    </xf>
    <xf numFmtId="0" fontId="15" fillId="21" borderId="3" xfId="0" applyFont="1" applyFill="1" applyBorder="1"/>
    <xf numFmtId="0" fontId="36" fillId="0" borderId="3" xfId="0" applyFont="1" applyBorder="1"/>
    <xf numFmtId="0" fontId="17" fillId="28" borderId="3" xfId="0" applyFont="1" applyFill="1" applyBorder="1" applyAlignment="1">
      <alignment horizontal="center"/>
    </xf>
    <xf numFmtId="0" fontId="19" fillId="0" borderId="3" xfId="0" applyFont="1" applyBorder="1" applyAlignment="1">
      <alignment horizontal="left"/>
    </xf>
    <xf numFmtId="166" fontId="19" fillId="0" borderId="3" xfId="0" applyNumberFormat="1" applyFont="1" applyBorder="1" applyAlignment="1">
      <alignment horizontal="right"/>
    </xf>
    <xf numFmtId="0" fontId="16" fillId="0" borderId="3" xfId="0" applyFont="1" applyBorder="1" applyAlignment="1">
      <alignment horizontal="left"/>
    </xf>
    <xf numFmtId="166" fontId="16" fillId="0" borderId="3" xfId="0" applyNumberFormat="1" applyFont="1" applyBorder="1" applyAlignment="1">
      <alignment horizontal="right"/>
    </xf>
    <xf numFmtId="0" fontId="57" fillId="0" borderId="3" xfId="0" applyFont="1" applyBorder="1"/>
    <xf numFmtId="0" fontId="1" fillId="0" borderId="3" xfId="0" applyFont="1" applyBorder="1"/>
    <xf numFmtId="0" fontId="58" fillId="0" borderId="3" xfId="0" applyFont="1" applyBorder="1"/>
    <xf numFmtId="0" fontId="1" fillId="22" borderId="3" xfId="0" applyFont="1" applyFill="1" applyBorder="1"/>
    <xf numFmtId="0" fontId="39" fillId="28" borderId="3" xfId="0" applyFont="1" applyFill="1" applyBorder="1" applyAlignment="1">
      <alignment horizontal="center"/>
    </xf>
    <xf numFmtId="0" fontId="40" fillId="29" borderId="3" xfId="0" applyFont="1" applyFill="1" applyBorder="1" applyAlignment="1">
      <alignment horizontal="left"/>
    </xf>
    <xf numFmtId="166" fontId="41" fillId="22" borderId="3" xfId="0" applyNumberFormat="1" applyFont="1" applyFill="1" applyBorder="1" applyAlignment="1">
      <alignment horizontal="right"/>
    </xf>
    <xf numFmtId="0" fontId="41" fillId="22" borderId="3" xfId="0" applyFont="1" applyFill="1" applyBorder="1" applyAlignment="1">
      <alignment horizontal="left"/>
    </xf>
    <xf numFmtId="0" fontId="40" fillId="22" borderId="3" xfId="0" applyFont="1" applyFill="1" applyBorder="1" applyAlignment="1">
      <alignment horizontal="left"/>
    </xf>
    <xf numFmtId="166" fontId="40" fillId="22" borderId="3" xfId="0" applyNumberFormat="1" applyFont="1" applyFill="1" applyBorder="1" applyAlignment="1">
      <alignment horizontal="right"/>
    </xf>
    <xf numFmtId="0" fontId="8" fillId="37" borderId="3" xfId="0" applyFont="1" applyFill="1" applyBorder="1" applyAlignment="1">
      <alignment horizontal="center"/>
    </xf>
    <xf numFmtId="0" fontId="8" fillId="37" borderId="3" xfId="0" applyFont="1" applyFill="1" applyBorder="1"/>
    <xf numFmtId="17" fontId="8" fillId="37" borderId="3" xfId="0" applyNumberFormat="1" applyFont="1" applyFill="1" applyBorder="1"/>
    <xf numFmtId="17" fontId="8" fillId="37" borderId="3" xfId="0" applyNumberFormat="1" applyFont="1" applyFill="1" applyBorder="1" applyAlignment="1">
      <alignment horizontal="center"/>
    </xf>
    <xf numFmtId="0" fontId="8" fillId="37" borderId="3" xfId="0" applyFont="1" applyFill="1" applyBorder="1" applyAlignment="1">
      <alignment horizontal="center"/>
    </xf>
    <xf numFmtId="0" fontId="8" fillId="38" borderId="3" xfId="0" applyFont="1" applyFill="1" applyBorder="1"/>
    <xf numFmtId="0" fontId="32" fillId="39" borderId="3" xfId="0" applyFont="1" applyFill="1" applyBorder="1" applyAlignment="1">
      <alignment horizontal="center"/>
    </xf>
    <xf numFmtId="0" fontId="33" fillId="25" borderId="3" xfId="0" applyFont="1" applyFill="1" applyBorder="1" applyAlignment="1">
      <alignment horizontal="center" vertical="center"/>
    </xf>
    <xf numFmtId="17" fontId="33" fillId="25" borderId="3" xfId="0" applyNumberFormat="1" applyFont="1" applyFill="1" applyBorder="1" applyAlignment="1">
      <alignment horizontal="center" vertical="center"/>
    </xf>
    <xf numFmtId="0" fontId="49" fillId="21" borderId="3" xfId="0" applyFont="1" applyFill="1" applyBorder="1"/>
    <xf numFmtId="0" fontId="59" fillId="40" borderId="9" xfId="0" applyFont="1" applyFill="1" applyBorder="1" applyAlignment="1">
      <alignment horizontal="center"/>
    </xf>
    <xf numFmtId="0" fontId="49" fillId="21" borderId="12" xfId="0" applyFont="1" applyFill="1" applyBorder="1"/>
    <xf numFmtId="0" fontId="8" fillId="40" borderId="3" xfId="0" applyFont="1" applyFill="1" applyBorder="1" applyAlignment="1">
      <alignment horizontal="center"/>
    </xf>
    <xf numFmtId="0" fontId="8" fillId="40" borderId="17" xfId="0" applyFont="1" applyFill="1" applyBorder="1" applyAlignment="1">
      <alignment horizontal="center"/>
    </xf>
    <xf numFmtId="0" fontId="49" fillId="21" borderId="18" xfId="0" applyFont="1" applyFill="1" applyBorder="1"/>
    <xf numFmtId="0" fontId="49" fillId="21" borderId="19" xfId="0" applyFont="1" applyFill="1" applyBorder="1"/>
    <xf numFmtId="10" fontId="8" fillId="40" borderId="16" xfId="0" applyNumberFormat="1" applyFont="1" applyFill="1" applyBorder="1"/>
    <xf numFmtId="180" fontId="0" fillId="0" borderId="3" xfId="0" applyNumberFormat="1" applyBorder="1"/>
    <xf numFmtId="2" fontId="0" fillId="0" borderId="3" xfId="0" applyNumberFormat="1" applyBorder="1"/>
    <xf numFmtId="181" fontId="0" fillId="0" borderId="3" xfId="0" applyNumberFormat="1" applyBorder="1"/>
    <xf numFmtId="2" fontId="4" fillId="0" borderId="3" xfId="0" applyNumberFormat="1" applyFont="1" applyBorder="1"/>
    <xf numFmtId="0" fontId="15" fillId="41" borderId="0" xfId="0" applyFont="1" applyFill="1" applyAlignment="1">
      <alignment horizontal="center" vertical="center"/>
    </xf>
    <xf numFmtId="0" fontId="17" fillId="41" borderId="3" xfId="0" applyFont="1" applyFill="1" applyBorder="1" applyAlignment="1">
      <alignment horizontal="center" vertical="center"/>
    </xf>
    <xf numFmtId="0" fontId="17" fillId="28" borderId="3" xfId="0" applyFont="1" applyFill="1" applyBorder="1" applyAlignment="1">
      <alignment horizontal="center" vertical="center"/>
    </xf>
    <xf numFmtId="0" fontId="17" fillId="42" borderId="3" xfId="0" applyFont="1" applyFill="1" applyBorder="1" applyAlignment="1">
      <alignment horizontal="center" vertical="center"/>
    </xf>
    <xf numFmtId="0" fontId="18" fillId="28" borderId="7" xfId="0" applyFont="1" applyFill="1" applyBorder="1" applyAlignment="1">
      <alignment horizontal="center" vertical="center" wrapText="1"/>
    </xf>
    <xf numFmtId="0" fontId="18" fillId="42" borderId="7" xfId="0" applyFont="1" applyFill="1" applyBorder="1" applyAlignment="1">
      <alignment horizontal="center" vertical="center" wrapText="1"/>
    </xf>
    <xf numFmtId="0" fontId="49" fillId="21" borderId="6" xfId="0" applyFont="1" applyFill="1" applyBorder="1"/>
    <xf numFmtId="0" fontId="18" fillId="41" borderId="3" xfId="0" applyFont="1" applyFill="1" applyBorder="1" applyAlignment="1">
      <alignment horizontal="center" vertical="center" wrapText="1"/>
    </xf>
    <xf numFmtId="0" fontId="18" fillId="28" borderId="3" xfId="0" applyFont="1" applyFill="1" applyBorder="1" applyAlignment="1">
      <alignment horizontal="center" vertical="center" wrapText="1"/>
    </xf>
    <xf numFmtId="0" fontId="18" fillId="42" borderId="3" xfId="0" applyFont="1" applyFill="1" applyBorder="1" applyAlignment="1">
      <alignment horizontal="center" vertical="center" wrapText="1"/>
    </xf>
    <xf numFmtId="0" fontId="60" fillId="41" borderId="3" xfId="0" applyFont="1" applyFill="1" applyBorder="1" applyAlignment="1">
      <alignment horizontal="center" vertical="center"/>
    </xf>
    <xf numFmtId="0" fontId="18" fillId="43" borderId="3" xfId="0" applyFont="1" applyFill="1" applyBorder="1" applyAlignment="1">
      <alignment horizontal="center" vertical="center" wrapText="1"/>
    </xf>
    <xf numFmtId="0" fontId="28" fillId="37" borderId="3" xfId="0" applyFont="1" applyFill="1" applyBorder="1" applyAlignment="1">
      <alignment horizontal="left" vertical="center"/>
    </xf>
    <xf numFmtId="0" fontId="28" fillId="37" borderId="3" xfId="0" applyFont="1" applyFill="1" applyBorder="1"/>
    <xf numFmtId="174" fontId="28" fillId="37" borderId="3" xfId="0" applyNumberFormat="1" applyFont="1" applyFill="1" applyBorder="1"/>
    <xf numFmtId="175" fontId="28" fillId="37" borderId="3" xfId="0" applyNumberFormat="1" applyFont="1" applyFill="1" applyBorder="1"/>
    <xf numFmtId="0" fontId="28" fillId="37" borderId="3" xfId="0" applyFont="1" applyFill="1" applyBorder="1" applyAlignment="1">
      <alignment horizontal="center" vertical="center"/>
    </xf>
    <xf numFmtId="0" fontId="60" fillId="37" borderId="3" xfId="0" applyFont="1" applyFill="1" applyBorder="1" applyAlignment="1">
      <alignment horizontal="left" vertical="center"/>
    </xf>
    <xf numFmtId="0" fontId="60" fillId="37" borderId="3" xfId="0" applyFont="1" applyFill="1" applyBorder="1"/>
    <xf numFmtId="0" fontId="60" fillId="37" borderId="3" xfId="0" applyFont="1" applyFill="1" applyBorder="1" applyAlignment="1">
      <alignment horizontal="center" vertical="center"/>
    </xf>
    <xf numFmtId="0" fontId="7" fillId="37" borderId="0" xfId="0" applyFont="1" applyFill="1"/>
    <xf numFmtId="0" fontId="8" fillId="37" borderId="0" xfId="0" applyFont="1" applyFill="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18507A"/>
      <rgbColor rgb="001D324E"/>
      <rgbColor rgb="00808000"/>
      <rgbColor rgb="00800080"/>
      <rgbColor rgb="002E5FA3"/>
      <rgbColor rgb="00BFBFBF"/>
      <rgbColor rgb="00888888"/>
      <rgbColor rgb="00D6E4F0"/>
      <rgbColor rgb="00C55A11"/>
      <rgbColor rgb="00FFF2CC"/>
      <rgbColor rgb="00DDEBF7"/>
      <rgbColor rgb="00660066"/>
      <rgbColor rgb="00FF8080"/>
      <rgbColor rgb="000563C1"/>
      <rgbColor rgb="00D9D9D9"/>
      <rgbColor rgb="001F3F5A"/>
      <rgbColor rgb="00FF00FF"/>
      <rgbColor rgb="00EBF3FB"/>
      <rgbColor rgb="0000FFFF"/>
      <rgbColor rgb="00800080"/>
      <rgbColor rgb="00800000"/>
      <rgbColor rgb="001A5276"/>
      <rgbColor rgb="000000FF"/>
      <rgbColor rgb="0000CCFF"/>
      <rgbColor rgb="00D5E8F5"/>
      <rgbColor rgb="00DCE6F1"/>
      <rgbColor rgb="00F2F2F2"/>
      <rgbColor rgb="00D6E4F7"/>
      <rgbColor rgb="00E0E0E0"/>
      <rgbColor rgb="00D9E1F2"/>
      <rgbColor rgb="00FBE5D6"/>
      <rgbColor rgb="003273B8"/>
      <rgbColor rgb="0033CCCC"/>
      <rgbColor rgb="0099CC00"/>
      <rgbColor rgb="00DAE3F3"/>
      <rgbColor rgb="00E49C1D"/>
      <rgbColor rgb="00ED7D31"/>
      <rgbColor rgb="005A89C0"/>
      <rgbColor rgb="00A7A7A7"/>
      <rgbColor rgb="00002060"/>
      <rgbColor rgb="001F4E79"/>
      <rgbColor rgb="001A1A2E"/>
      <rgbColor rgb="0022222F"/>
      <rgbColor rgb="00843C0B"/>
      <rgbColor rgb="00993366"/>
      <rgbColor rgb="001F3864"/>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Forecasting</a:t>
            </a:r>
            <a:endParaRPr lang="en-IN"/>
          </a:p>
        </c:rich>
      </c:tx>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cat>
            <c:numRef>
              <c:f>FORECASTING!$E$10:$E$14</c:f>
              <c:numCache>
                <c:formatCode>yyyy\E</c:formatCode>
                <c:ptCount val="5"/>
                <c:pt idx="0">
                  <c:v>46446</c:v>
                </c:pt>
                <c:pt idx="1">
                  <c:v>46811</c:v>
                </c:pt>
                <c:pt idx="2">
                  <c:v>47176</c:v>
                </c:pt>
                <c:pt idx="3">
                  <c:v>47541</c:v>
                </c:pt>
                <c:pt idx="4">
                  <c:v>47906</c:v>
                </c:pt>
              </c:numCache>
            </c:numRef>
          </c:cat>
          <c:val>
            <c:numRef>
              <c:f>FORECASTING!$F$10:$F$14</c:f>
              <c:numCache>
                <c:formatCode>0.00</c:formatCode>
                <c:ptCount val="5"/>
                <c:pt idx="0">
                  <c:v>3689.6460000000002</c:v>
                </c:pt>
                <c:pt idx="1">
                  <c:v>4079.172</c:v>
                </c:pt>
                <c:pt idx="2">
                  <c:v>4468.6980000000003</c:v>
                </c:pt>
                <c:pt idx="3">
                  <c:v>4858.2240000000002</c:v>
                </c:pt>
                <c:pt idx="4">
                  <c:v>5247.75</c:v>
                </c:pt>
              </c:numCache>
            </c:numRef>
          </c:val>
          <c:extLst>
            <c:ext xmlns:c16="http://schemas.microsoft.com/office/drawing/2014/chart" uri="{C3380CC4-5D6E-409C-BE32-E72D297353CC}">
              <c16:uniqueId val="{00000000-9898-4660-8C5C-AB3E6CFA59B8}"/>
            </c:ext>
          </c:extLst>
        </c:ser>
        <c:dLbls>
          <c:showLegendKey val="0"/>
          <c:showVal val="0"/>
          <c:showCatName val="0"/>
          <c:showSerName val="0"/>
          <c:showPercent val="0"/>
          <c:showBubbleSize val="0"/>
        </c:dLbls>
        <c:gapWidth val="219"/>
        <c:overlap val="-27"/>
        <c:axId val="631582088"/>
        <c:axId val="631583400"/>
      </c:barChart>
      <c:lineChart>
        <c:grouping val="standard"/>
        <c:varyColors val="0"/>
        <c:ser>
          <c:idx val="1"/>
          <c:order val="1"/>
          <c:spPr>
            <a:ln w="34925" cap="rnd">
              <a:solidFill>
                <a:schemeClr val="accent2"/>
              </a:solidFill>
              <a:round/>
            </a:ln>
            <a:effectLst/>
          </c:spPr>
          <c:marker>
            <c:symbol val="none"/>
          </c:marker>
          <c:cat>
            <c:numRef>
              <c:f>FORECASTING!$E$10:$E$14</c:f>
              <c:numCache>
                <c:formatCode>yyyy\E</c:formatCode>
                <c:ptCount val="5"/>
                <c:pt idx="0">
                  <c:v>46446</c:v>
                </c:pt>
                <c:pt idx="1">
                  <c:v>46811</c:v>
                </c:pt>
                <c:pt idx="2">
                  <c:v>47176</c:v>
                </c:pt>
                <c:pt idx="3">
                  <c:v>47541</c:v>
                </c:pt>
                <c:pt idx="4">
                  <c:v>47906</c:v>
                </c:pt>
              </c:numCache>
            </c:numRef>
          </c:cat>
          <c:val>
            <c:numRef>
              <c:f>FORECASTING!$G$10:$G$14</c:f>
              <c:numCache>
                <c:formatCode>0%</c:formatCode>
                <c:ptCount val="5"/>
                <c:pt idx="0">
                  <c:v>0.123272232420929</c:v>
                </c:pt>
                <c:pt idx="1">
                  <c:v>0.105572729741553</c:v>
                </c:pt>
                <c:pt idx="2">
                  <c:v>9.5491437968293499E-2</c:v>
                </c:pt>
                <c:pt idx="3">
                  <c:v>8.7167671657381998E-2</c:v>
                </c:pt>
                <c:pt idx="4">
                  <c:v>8.0178682580300906E-2</c:v>
                </c:pt>
              </c:numCache>
            </c:numRef>
          </c:val>
          <c:smooth val="0"/>
          <c:extLst>
            <c:ext xmlns:c16="http://schemas.microsoft.com/office/drawing/2014/chart" uri="{C3380CC4-5D6E-409C-BE32-E72D297353CC}">
              <c16:uniqueId val="{00000001-9898-4660-8C5C-AB3E6CFA59B8}"/>
            </c:ext>
          </c:extLst>
        </c:ser>
        <c:dLbls>
          <c:showLegendKey val="0"/>
          <c:showVal val="0"/>
          <c:showCatName val="0"/>
          <c:showSerName val="0"/>
          <c:showPercent val="0"/>
          <c:showBubbleSize val="0"/>
        </c:dLbls>
        <c:marker val="1"/>
        <c:smooth val="0"/>
        <c:axId val="628621392"/>
        <c:axId val="628625000"/>
      </c:lineChart>
      <c:dateAx>
        <c:axId val="631582088"/>
        <c:scaling>
          <c:orientation val="minMax"/>
        </c:scaling>
        <c:delete val="0"/>
        <c:axPos val="b"/>
        <c:numFmt formatCode="yyyy\E"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631583400"/>
        <c:crosses val="autoZero"/>
        <c:auto val="1"/>
        <c:lblOffset val="100"/>
        <c:baseTimeUnit val="years"/>
      </c:dateAx>
      <c:valAx>
        <c:axId val="63158340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631582088"/>
        <c:crosses val="autoZero"/>
        <c:crossBetween val="between"/>
      </c:valAx>
      <c:dateAx>
        <c:axId val="628621392"/>
        <c:scaling>
          <c:orientation val="minMax"/>
        </c:scaling>
        <c:delete val="1"/>
        <c:axPos val="b"/>
        <c:numFmt formatCode="yyyy\E" sourceLinked="1"/>
        <c:majorTickMark val="out"/>
        <c:minorTickMark val="none"/>
        <c:tickLblPos val="nextTo"/>
        <c:crossAx val="628625000"/>
        <c:crosses val="autoZero"/>
        <c:auto val="1"/>
        <c:lblOffset val="100"/>
        <c:baseTimeUnit val="years"/>
      </c:dateAx>
      <c:valAx>
        <c:axId val="62862500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62862139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66095aa-f9b1-4682-9fb2-efe093a9d191}"/>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EBITDA</a:t>
            </a:r>
            <a:r>
              <a:rPr lang="en-IN" baseline="0"/>
              <a:t> Forecasting</a:t>
            </a:r>
            <a:endParaRPr lang="en-IN"/>
          </a:p>
        </c:rich>
      </c:tx>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cat>
            <c:numRef>
              <c:f>FORECASTING!$J$10:$J$14</c:f>
              <c:numCache>
                <c:formatCode>yyyy\E</c:formatCode>
                <c:ptCount val="5"/>
                <c:pt idx="0">
                  <c:v>46446</c:v>
                </c:pt>
                <c:pt idx="1">
                  <c:v>46811</c:v>
                </c:pt>
                <c:pt idx="2">
                  <c:v>47176</c:v>
                </c:pt>
                <c:pt idx="3">
                  <c:v>47541</c:v>
                </c:pt>
                <c:pt idx="4">
                  <c:v>47906</c:v>
                </c:pt>
              </c:numCache>
            </c:numRef>
          </c:cat>
          <c:val>
            <c:numRef>
              <c:f>FORECASTING!$K$10:$K$14</c:f>
              <c:numCache>
                <c:formatCode>0.00</c:formatCode>
                <c:ptCount val="5"/>
                <c:pt idx="0">
                  <c:v>1363.442</c:v>
                </c:pt>
                <c:pt idx="1">
                  <c:v>1551.672</c:v>
                </c:pt>
                <c:pt idx="2">
                  <c:v>1739.902</c:v>
                </c:pt>
                <c:pt idx="3">
                  <c:v>1928.1320000000001</c:v>
                </c:pt>
                <c:pt idx="4">
                  <c:v>2116.3620000000001</c:v>
                </c:pt>
              </c:numCache>
            </c:numRef>
          </c:val>
          <c:extLst>
            <c:ext xmlns:c16="http://schemas.microsoft.com/office/drawing/2014/chart" uri="{C3380CC4-5D6E-409C-BE32-E72D297353CC}">
              <c16:uniqueId val="{00000000-9BFF-4A32-A13C-3BF0067DA968}"/>
            </c:ext>
          </c:extLst>
        </c:ser>
        <c:dLbls>
          <c:showLegendKey val="0"/>
          <c:showVal val="0"/>
          <c:showCatName val="0"/>
          <c:showSerName val="0"/>
          <c:showPercent val="0"/>
          <c:showBubbleSize val="0"/>
        </c:dLbls>
        <c:gapWidth val="219"/>
        <c:overlap val="-27"/>
        <c:axId val="424210336"/>
        <c:axId val="424210664"/>
      </c:barChart>
      <c:lineChart>
        <c:grouping val="standard"/>
        <c:varyColors val="0"/>
        <c:ser>
          <c:idx val="1"/>
          <c:order val="1"/>
          <c:spPr>
            <a:ln w="34925" cap="rnd">
              <a:solidFill>
                <a:schemeClr val="accent2"/>
              </a:solidFill>
              <a:round/>
            </a:ln>
            <a:effectLst/>
          </c:spPr>
          <c:marker>
            <c:symbol val="none"/>
          </c:marker>
          <c:cat>
            <c:numRef>
              <c:f>FORECASTING!$J$10:$J$14</c:f>
              <c:numCache>
                <c:formatCode>yyyy\E</c:formatCode>
                <c:ptCount val="5"/>
                <c:pt idx="0">
                  <c:v>46446</c:v>
                </c:pt>
                <c:pt idx="1">
                  <c:v>46811</c:v>
                </c:pt>
                <c:pt idx="2">
                  <c:v>47176</c:v>
                </c:pt>
                <c:pt idx="3">
                  <c:v>47541</c:v>
                </c:pt>
                <c:pt idx="4">
                  <c:v>47906</c:v>
                </c:pt>
              </c:numCache>
            </c:numRef>
          </c:cat>
          <c:val>
            <c:numRef>
              <c:f>FORECASTING!$L$10:$L$14</c:f>
              <c:numCache>
                <c:formatCode>0%</c:formatCode>
                <c:ptCount val="5"/>
                <c:pt idx="0">
                  <c:v>0.16313800428250899</c:v>
                </c:pt>
                <c:pt idx="1">
                  <c:v>0.13805501077420201</c:v>
                </c:pt>
                <c:pt idx="2">
                  <c:v>0.121307853721663</c:v>
                </c:pt>
                <c:pt idx="3">
                  <c:v>0.108184254055688</c:v>
                </c:pt>
                <c:pt idx="4">
                  <c:v>9.7622984318500902E-2</c:v>
                </c:pt>
              </c:numCache>
            </c:numRef>
          </c:val>
          <c:smooth val="0"/>
          <c:extLst>
            <c:ext xmlns:c16="http://schemas.microsoft.com/office/drawing/2014/chart" uri="{C3380CC4-5D6E-409C-BE32-E72D297353CC}">
              <c16:uniqueId val="{00000001-9BFF-4A32-A13C-3BF0067DA968}"/>
            </c:ext>
          </c:extLst>
        </c:ser>
        <c:dLbls>
          <c:showLegendKey val="0"/>
          <c:showVal val="0"/>
          <c:showCatName val="0"/>
          <c:showSerName val="0"/>
          <c:showPercent val="0"/>
          <c:showBubbleSize val="0"/>
        </c:dLbls>
        <c:marker val="1"/>
        <c:smooth val="0"/>
        <c:axId val="633157352"/>
        <c:axId val="633159976"/>
      </c:lineChart>
      <c:dateAx>
        <c:axId val="424210336"/>
        <c:scaling>
          <c:orientation val="minMax"/>
        </c:scaling>
        <c:delete val="0"/>
        <c:axPos val="b"/>
        <c:numFmt formatCode="yyyy\E"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424210664"/>
        <c:crosses val="autoZero"/>
        <c:auto val="1"/>
        <c:lblOffset val="100"/>
        <c:baseTimeUnit val="years"/>
      </c:dateAx>
      <c:valAx>
        <c:axId val="42421066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424210336"/>
        <c:crosses val="autoZero"/>
        <c:crossBetween val="between"/>
      </c:valAx>
      <c:dateAx>
        <c:axId val="633157352"/>
        <c:scaling>
          <c:orientation val="minMax"/>
        </c:scaling>
        <c:delete val="1"/>
        <c:axPos val="b"/>
        <c:numFmt formatCode="yyyy\E" sourceLinked="1"/>
        <c:majorTickMark val="out"/>
        <c:minorTickMark val="none"/>
        <c:tickLblPos val="nextTo"/>
        <c:crossAx val="633159976"/>
        <c:crosses val="autoZero"/>
        <c:auto val="1"/>
        <c:lblOffset val="100"/>
        <c:baseTimeUnit val="years"/>
      </c:dateAx>
      <c:valAx>
        <c:axId val="6331599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63315735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b5f89dec-839d-4824-b8ce-bab7f04abf07}"/>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EPS</a:t>
            </a:r>
            <a:r>
              <a:rPr lang="en-IN" baseline="0"/>
              <a:t> FORECasting</a:t>
            </a:r>
            <a:endParaRPr lang="en-IN"/>
          </a:p>
        </c:rich>
      </c:tx>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cat>
            <c:numRef>
              <c:f>FORECASTING!$O$10:$O$14</c:f>
              <c:numCache>
                <c:formatCode>yyyy\E</c:formatCode>
                <c:ptCount val="5"/>
                <c:pt idx="0">
                  <c:v>46446</c:v>
                </c:pt>
                <c:pt idx="1">
                  <c:v>46811</c:v>
                </c:pt>
                <c:pt idx="2">
                  <c:v>47176</c:v>
                </c:pt>
                <c:pt idx="3">
                  <c:v>47541</c:v>
                </c:pt>
                <c:pt idx="4">
                  <c:v>47906</c:v>
                </c:pt>
              </c:numCache>
            </c:numRef>
          </c:cat>
          <c:val>
            <c:numRef>
              <c:f>FORECASTING!$P$10:$P$14</c:f>
              <c:numCache>
                <c:formatCode>0.00</c:formatCode>
                <c:ptCount val="5"/>
                <c:pt idx="0">
                  <c:v>-361.5</c:v>
                </c:pt>
                <c:pt idx="1">
                  <c:v>-553</c:v>
                </c:pt>
                <c:pt idx="2">
                  <c:v>-744.5</c:v>
                </c:pt>
                <c:pt idx="3">
                  <c:v>-936</c:v>
                </c:pt>
                <c:pt idx="4">
                  <c:v>-1127.5</c:v>
                </c:pt>
              </c:numCache>
            </c:numRef>
          </c:val>
          <c:extLst>
            <c:ext xmlns:c16="http://schemas.microsoft.com/office/drawing/2014/chart" uri="{C3380CC4-5D6E-409C-BE32-E72D297353CC}">
              <c16:uniqueId val="{00000000-4C4C-475A-96A0-C3333264D041}"/>
            </c:ext>
          </c:extLst>
        </c:ser>
        <c:dLbls>
          <c:showLegendKey val="0"/>
          <c:showVal val="0"/>
          <c:showCatName val="0"/>
          <c:showSerName val="0"/>
          <c:showPercent val="0"/>
          <c:showBubbleSize val="0"/>
        </c:dLbls>
        <c:gapWidth val="219"/>
        <c:overlap val="-27"/>
        <c:axId val="630711632"/>
        <c:axId val="630713928"/>
      </c:barChart>
      <c:lineChart>
        <c:grouping val="standard"/>
        <c:varyColors val="0"/>
        <c:ser>
          <c:idx val="1"/>
          <c:order val="1"/>
          <c:spPr>
            <a:ln w="34925" cap="rnd">
              <a:solidFill>
                <a:schemeClr val="accent2"/>
              </a:solidFill>
              <a:round/>
            </a:ln>
            <a:effectLst/>
          </c:spPr>
          <c:marker>
            <c:symbol val="none"/>
          </c:marker>
          <c:cat>
            <c:numRef>
              <c:f>FORECASTING!$O$10:$O$14</c:f>
              <c:numCache>
                <c:formatCode>yyyy\E</c:formatCode>
                <c:ptCount val="5"/>
                <c:pt idx="0">
                  <c:v>46446</c:v>
                </c:pt>
                <c:pt idx="1">
                  <c:v>46811</c:v>
                </c:pt>
                <c:pt idx="2">
                  <c:v>47176</c:v>
                </c:pt>
                <c:pt idx="3">
                  <c:v>47541</c:v>
                </c:pt>
                <c:pt idx="4">
                  <c:v>47906</c:v>
                </c:pt>
              </c:numCache>
            </c:numRef>
          </c:cat>
          <c:val>
            <c:numRef>
              <c:f>FORECASTING!$Q$10:$Q$14</c:f>
              <c:numCache>
                <c:formatCode>0%</c:formatCode>
                <c:ptCount val="5"/>
                <c:pt idx="0">
                  <c:v>-17.431818181818201</c:v>
                </c:pt>
                <c:pt idx="1">
                  <c:v>0.52973720608575403</c:v>
                </c:pt>
                <c:pt idx="2">
                  <c:v>0.34629294755876999</c:v>
                </c:pt>
                <c:pt idx="3">
                  <c:v>0.25721961047683001</c:v>
                </c:pt>
                <c:pt idx="4">
                  <c:v>0.20459401709401701</c:v>
                </c:pt>
              </c:numCache>
            </c:numRef>
          </c:val>
          <c:smooth val="0"/>
          <c:extLst>
            <c:ext xmlns:c16="http://schemas.microsoft.com/office/drawing/2014/chart" uri="{C3380CC4-5D6E-409C-BE32-E72D297353CC}">
              <c16:uniqueId val="{00000001-4C4C-475A-96A0-C3333264D041}"/>
            </c:ext>
          </c:extLst>
        </c:ser>
        <c:dLbls>
          <c:showLegendKey val="0"/>
          <c:showVal val="0"/>
          <c:showCatName val="0"/>
          <c:showSerName val="0"/>
          <c:showPercent val="0"/>
          <c:showBubbleSize val="0"/>
        </c:dLbls>
        <c:marker val="1"/>
        <c:smooth val="0"/>
        <c:axId val="629979528"/>
        <c:axId val="629978544"/>
      </c:lineChart>
      <c:dateAx>
        <c:axId val="630711632"/>
        <c:scaling>
          <c:orientation val="minMax"/>
        </c:scaling>
        <c:delete val="0"/>
        <c:axPos val="b"/>
        <c:numFmt formatCode="yyyy\E"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630713928"/>
        <c:crosses val="autoZero"/>
        <c:auto val="1"/>
        <c:lblOffset val="100"/>
        <c:baseTimeUnit val="years"/>
      </c:dateAx>
      <c:valAx>
        <c:axId val="6307139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630711632"/>
        <c:crosses val="autoZero"/>
        <c:crossBetween val="between"/>
      </c:valAx>
      <c:dateAx>
        <c:axId val="629979528"/>
        <c:scaling>
          <c:orientation val="minMax"/>
        </c:scaling>
        <c:delete val="1"/>
        <c:axPos val="b"/>
        <c:numFmt formatCode="yyyy\E" sourceLinked="1"/>
        <c:majorTickMark val="out"/>
        <c:minorTickMark val="none"/>
        <c:tickLblPos val="nextTo"/>
        <c:crossAx val="629978544"/>
        <c:crosses val="autoZero"/>
        <c:auto val="1"/>
        <c:lblOffset val="100"/>
        <c:baseTimeUnit val="years"/>
      </c:dateAx>
      <c:valAx>
        <c:axId val="62997854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62997952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cd1499a-8fbf-412c-8ca4-58700d391ea3}"/>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579120</xdr:colOff>
      <xdr:row>14</xdr:row>
      <xdr:rowOff>19050</xdr:rowOff>
    </xdr:from>
    <xdr:to>
      <xdr:col>7</xdr:col>
      <xdr:colOff>45720</xdr:colOff>
      <xdr:row>29</xdr:row>
      <xdr:rowOff>19050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14</xdr:row>
      <xdr:rowOff>11430</xdr:rowOff>
    </xdr:from>
    <xdr:to>
      <xdr:col>12</xdr:col>
      <xdr:colOff>76200</xdr:colOff>
      <xdr:row>29</xdr:row>
      <xdr:rowOff>11430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586740</xdr:colOff>
      <xdr:row>14</xdr:row>
      <xdr:rowOff>11430</xdr:rowOff>
    </xdr:from>
    <xdr:to>
      <xdr:col>17</xdr:col>
      <xdr:colOff>38100</xdr:colOff>
      <xdr:row>29</xdr:row>
      <xdr:rowOff>11430</xdr:rowOff>
    </xdr:to>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screener.in/company/CRIZAC/consolidated/" TargetMode="External"/><Relationship Id="rId2" Type="http://schemas.openxmlformats.org/officeDocument/2006/relationships/hyperlink" Target="https://www.screener.in/company/JUSTDIAL/" TargetMode="External"/><Relationship Id="rId1" Type="http://schemas.openxmlformats.org/officeDocument/2006/relationships/hyperlink" Target="https://www.screener.in/company/INDIAMART/consolidated/" TargetMode="External"/><Relationship Id="rId4" Type="http://schemas.openxmlformats.org/officeDocument/2006/relationships/hyperlink" Target="https://www.screener.in/company/TCC/consolid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J62"/>
  <sheetViews>
    <sheetView showGridLines="0" tabSelected="1" zoomScale="90" zoomScaleNormal="90" workbookViewId="0">
      <selection activeCell="C3" sqref="C3:J3"/>
    </sheetView>
  </sheetViews>
  <sheetFormatPr defaultColWidth="8.6640625" defaultRowHeight="14.4" x14ac:dyDescent="0.3"/>
  <cols>
    <col min="1" max="2" width="2" customWidth="1"/>
    <col min="3" max="3" width="28" customWidth="1"/>
    <col min="4" max="4" width="32" customWidth="1"/>
    <col min="5" max="5" width="22" customWidth="1"/>
    <col min="6" max="6" width="36" customWidth="1"/>
    <col min="7" max="8" width="16" customWidth="1"/>
    <col min="9" max="10" width="12" customWidth="1"/>
  </cols>
  <sheetData>
    <row r="1" spans="3:10" ht="22.8" customHeight="1" x14ac:dyDescent="0.3">
      <c r="C1" s="196" t="s">
        <v>0</v>
      </c>
      <c r="D1" s="197"/>
      <c r="E1" s="197"/>
      <c r="F1" s="197"/>
      <c r="G1" s="197"/>
      <c r="H1" s="197"/>
      <c r="I1" s="197"/>
      <c r="J1" s="197"/>
    </row>
    <row r="2" spans="3:10" x14ac:dyDescent="0.3">
      <c r="C2" s="198"/>
      <c r="D2" s="198"/>
      <c r="E2" s="198"/>
      <c r="F2" s="198"/>
      <c r="G2" s="198"/>
      <c r="H2" s="198"/>
      <c r="I2" s="198"/>
      <c r="J2" s="198"/>
    </row>
    <row r="3" spans="3:10" ht="230.4" customHeight="1" x14ac:dyDescent="0.3">
      <c r="C3" s="199" t="s">
        <v>2186</v>
      </c>
      <c r="D3" s="200"/>
      <c r="E3" s="200"/>
      <c r="F3" s="200"/>
      <c r="G3" s="200"/>
      <c r="H3" s="200"/>
      <c r="I3" s="200"/>
      <c r="J3" s="200"/>
    </row>
    <row r="4" spans="3:10" x14ac:dyDescent="0.3">
      <c r="C4" s="198"/>
      <c r="D4" s="198"/>
      <c r="E4" s="198"/>
      <c r="F4" s="198"/>
      <c r="G4" s="198"/>
      <c r="H4" s="198"/>
      <c r="I4" s="198"/>
      <c r="J4" s="198"/>
    </row>
    <row r="5" spans="3:10" ht="17.399999999999999" customHeight="1" x14ac:dyDescent="0.3">
      <c r="C5" s="201" t="s">
        <v>1</v>
      </c>
      <c r="D5" s="202"/>
      <c r="E5" s="202"/>
      <c r="F5" s="202"/>
      <c r="G5" s="202"/>
      <c r="H5" s="202"/>
      <c r="I5" s="202"/>
      <c r="J5" s="202"/>
    </row>
    <row r="6" spans="3:10" x14ac:dyDescent="0.3">
      <c r="C6" s="203" t="s">
        <v>2</v>
      </c>
      <c r="D6" s="203" t="s">
        <v>3</v>
      </c>
      <c r="E6" s="203" t="s">
        <v>4</v>
      </c>
      <c r="F6" s="203" t="s">
        <v>5</v>
      </c>
      <c r="G6" s="198"/>
      <c r="H6" s="198"/>
      <c r="I6" s="198"/>
      <c r="J6" s="198"/>
    </row>
    <row r="7" spans="3:10" ht="72" x14ac:dyDescent="0.3">
      <c r="C7" s="207" t="s">
        <v>6</v>
      </c>
      <c r="D7" s="207" t="s">
        <v>7</v>
      </c>
      <c r="E7" s="207" t="s">
        <v>8</v>
      </c>
      <c r="F7" s="207" t="s">
        <v>9</v>
      </c>
      <c r="G7" s="204"/>
      <c r="H7" s="204"/>
      <c r="I7" s="204"/>
      <c r="J7" s="204"/>
    </row>
    <row r="8" spans="3:10" ht="72" x14ac:dyDescent="0.3">
      <c r="C8" s="208" t="s">
        <v>10</v>
      </c>
      <c r="D8" s="208" t="s">
        <v>11</v>
      </c>
      <c r="E8" s="208" t="s">
        <v>12</v>
      </c>
      <c r="F8" s="208" t="s">
        <v>13</v>
      </c>
      <c r="G8" s="204"/>
      <c r="H8" s="204"/>
      <c r="I8" s="204"/>
      <c r="J8" s="204"/>
    </row>
    <row r="9" spans="3:10" ht="72" x14ac:dyDescent="0.3">
      <c r="C9" s="207" t="s">
        <v>14</v>
      </c>
      <c r="D9" s="207" t="s">
        <v>15</v>
      </c>
      <c r="E9" s="207" t="s">
        <v>16</v>
      </c>
      <c r="F9" s="207" t="s">
        <v>17</v>
      </c>
      <c r="G9" s="204"/>
      <c r="H9" s="204"/>
      <c r="I9" s="204"/>
      <c r="J9" s="204"/>
    </row>
    <row r="10" spans="3:10" ht="72" x14ac:dyDescent="0.3">
      <c r="C10" s="208" t="s">
        <v>18</v>
      </c>
      <c r="D10" s="208" t="s">
        <v>19</v>
      </c>
      <c r="E10" s="208" t="s">
        <v>20</v>
      </c>
      <c r="F10" s="208" t="s">
        <v>21</v>
      </c>
      <c r="G10" s="204"/>
      <c r="H10" s="204"/>
      <c r="I10" s="204"/>
      <c r="J10" s="204"/>
    </row>
    <row r="11" spans="3:10" x14ac:dyDescent="0.3">
      <c r="C11" s="204"/>
      <c r="D11" s="204"/>
      <c r="E11" s="204"/>
      <c r="F11" s="204"/>
      <c r="G11" s="204"/>
      <c r="H11" s="204"/>
      <c r="I11" s="204"/>
      <c r="J11" s="204"/>
    </row>
    <row r="12" spans="3:10" ht="17.399999999999999" customHeight="1" x14ac:dyDescent="0.3">
      <c r="C12" s="201" t="s">
        <v>22</v>
      </c>
      <c r="D12" s="202"/>
      <c r="E12" s="202"/>
      <c r="F12" s="202"/>
      <c r="G12" s="202"/>
      <c r="H12" s="202"/>
      <c r="I12" s="202"/>
      <c r="J12" s="202"/>
    </row>
    <row r="13" spans="3:10" x14ac:dyDescent="0.3">
      <c r="C13" s="205" t="s">
        <v>23</v>
      </c>
      <c r="D13" s="205" t="s">
        <v>24</v>
      </c>
      <c r="E13" s="205" t="s">
        <v>25</v>
      </c>
      <c r="F13" s="205" t="s">
        <v>26</v>
      </c>
      <c r="G13" s="198"/>
      <c r="H13" s="198"/>
      <c r="I13" s="198"/>
      <c r="J13" s="198"/>
    </row>
    <row r="14" spans="3:10" ht="26.4" customHeight="1" x14ac:dyDescent="0.3">
      <c r="C14" s="209">
        <v>1</v>
      </c>
      <c r="D14" s="209" t="s">
        <v>27</v>
      </c>
      <c r="E14" s="209" t="s">
        <v>28</v>
      </c>
      <c r="F14" s="209" t="s">
        <v>29</v>
      </c>
      <c r="G14" s="198"/>
      <c r="H14" s="198"/>
      <c r="I14" s="198"/>
      <c r="J14" s="198"/>
    </row>
    <row r="15" spans="3:10" ht="26.4" customHeight="1" x14ac:dyDescent="0.3">
      <c r="C15" s="210">
        <v>2</v>
      </c>
      <c r="D15" s="210" t="s">
        <v>30</v>
      </c>
      <c r="E15" s="210" t="s">
        <v>31</v>
      </c>
      <c r="F15" s="210" t="s">
        <v>32</v>
      </c>
      <c r="G15" s="198"/>
      <c r="H15" s="198"/>
      <c r="I15" s="198"/>
      <c r="J15" s="198"/>
    </row>
    <row r="16" spans="3:10" ht="26.4" customHeight="1" x14ac:dyDescent="0.3">
      <c r="C16" s="209">
        <v>3</v>
      </c>
      <c r="D16" s="209" t="s">
        <v>33</v>
      </c>
      <c r="E16" s="209" t="s">
        <v>31</v>
      </c>
      <c r="F16" s="209" t="s">
        <v>14</v>
      </c>
      <c r="G16" s="198"/>
      <c r="H16" s="198"/>
      <c r="I16" s="198"/>
      <c r="J16" s="198"/>
    </row>
    <row r="17" spans="3:10" ht="26.4" customHeight="1" x14ac:dyDescent="0.3">
      <c r="C17" s="210">
        <v>4</v>
      </c>
      <c r="D17" s="210" t="s">
        <v>34</v>
      </c>
      <c r="E17" s="210" t="s">
        <v>31</v>
      </c>
      <c r="F17" s="210" t="s">
        <v>6</v>
      </c>
      <c r="G17" s="198"/>
      <c r="H17" s="198"/>
      <c r="I17" s="198"/>
      <c r="J17" s="198"/>
    </row>
    <row r="18" spans="3:10" x14ac:dyDescent="0.3">
      <c r="C18" s="209">
        <v>5</v>
      </c>
      <c r="D18" s="209" t="s">
        <v>35</v>
      </c>
      <c r="E18" s="209" t="s">
        <v>36</v>
      </c>
      <c r="F18" s="209" t="s">
        <v>37</v>
      </c>
      <c r="G18" s="198"/>
      <c r="H18" s="198"/>
      <c r="I18" s="198"/>
      <c r="J18" s="198"/>
    </row>
    <row r="19" spans="3:10" ht="26.4" customHeight="1" x14ac:dyDescent="0.3">
      <c r="C19" s="210">
        <v>6</v>
      </c>
      <c r="D19" s="210" t="s">
        <v>38</v>
      </c>
      <c r="E19" s="210" t="s">
        <v>39</v>
      </c>
      <c r="F19" s="210" t="s">
        <v>40</v>
      </c>
      <c r="G19" s="198"/>
      <c r="H19" s="198"/>
      <c r="I19" s="198"/>
      <c r="J19" s="198"/>
    </row>
    <row r="20" spans="3:10" x14ac:dyDescent="0.3">
      <c r="C20" s="209">
        <v>7</v>
      </c>
      <c r="D20" s="209" t="s">
        <v>41</v>
      </c>
      <c r="E20" s="209" t="s">
        <v>42</v>
      </c>
      <c r="F20" s="209" t="s">
        <v>43</v>
      </c>
      <c r="G20" s="198"/>
      <c r="H20" s="198"/>
      <c r="I20" s="198"/>
      <c r="J20" s="198"/>
    </row>
    <row r="21" spans="3:10" ht="26.4" customHeight="1" x14ac:dyDescent="0.3">
      <c r="C21" s="210">
        <v>8</v>
      </c>
      <c r="D21" s="210" t="s">
        <v>44</v>
      </c>
      <c r="E21" s="210" t="s">
        <v>45</v>
      </c>
      <c r="F21" s="210" t="s">
        <v>46</v>
      </c>
      <c r="G21" s="198"/>
      <c r="H21" s="198"/>
      <c r="I21" s="198"/>
      <c r="J21" s="198"/>
    </row>
    <row r="22" spans="3:10" ht="26.4" customHeight="1" x14ac:dyDescent="0.3">
      <c r="C22" s="209">
        <v>9</v>
      </c>
      <c r="D22" s="209" t="s">
        <v>47</v>
      </c>
      <c r="E22" s="209" t="s">
        <v>48</v>
      </c>
      <c r="F22" s="209" t="s">
        <v>49</v>
      </c>
      <c r="G22" s="198"/>
      <c r="H22" s="198"/>
      <c r="I22" s="198"/>
      <c r="J22" s="198"/>
    </row>
    <row r="23" spans="3:10" x14ac:dyDescent="0.3">
      <c r="C23" s="198"/>
      <c r="D23" s="198"/>
      <c r="E23" s="198"/>
      <c r="F23" s="198"/>
      <c r="G23" s="198"/>
      <c r="H23" s="198"/>
      <c r="I23" s="198"/>
      <c r="J23" s="198"/>
    </row>
    <row r="24" spans="3:10" ht="17.399999999999999" customHeight="1" x14ac:dyDescent="0.3">
      <c r="C24" s="201" t="s">
        <v>50</v>
      </c>
      <c r="D24" s="202"/>
      <c r="E24" s="202"/>
      <c r="F24" s="202"/>
      <c r="G24" s="202"/>
      <c r="H24" s="202"/>
      <c r="I24" s="202"/>
      <c r="J24" s="202"/>
    </row>
    <row r="25" spans="3:10" x14ac:dyDescent="0.3">
      <c r="C25" s="211" t="s">
        <v>51</v>
      </c>
      <c r="D25" s="206"/>
      <c r="E25" s="206"/>
      <c r="F25" s="206"/>
      <c r="G25" s="206"/>
      <c r="H25" s="206"/>
      <c r="I25" s="206"/>
      <c r="J25" s="206"/>
    </row>
    <row r="26" spans="3:10" x14ac:dyDescent="0.3">
      <c r="C26" s="211" t="s">
        <v>52</v>
      </c>
      <c r="D26" s="206"/>
      <c r="E26" s="206"/>
      <c r="F26" s="206"/>
      <c r="G26" s="206"/>
      <c r="H26" s="206"/>
      <c r="I26" s="206"/>
      <c r="J26" s="206"/>
    </row>
    <row r="27" spans="3:10" x14ac:dyDescent="0.3">
      <c r="C27" s="211" t="s">
        <v>53</v>
      </c>
      <c r="D27" s="206"/>
      <c r="E27" s="206"/>
      <c r="F27" s="206"/>
      <c r="G27" s="206"/>
      <c r="H27" s="206"/>
      <c r="I27" s="206"/>
      <c r="J27" s="206"/>
    </row>
    <row r="28" spans="3:10" x14ac:dyDescent="0.3">
      <c r="C28" s="211" t="s">
        <v>54</v>
      </c>
      <c r="D28" s="206"/>
      <c r="E28" s="206"/>
      <c r="F28" s="206"/>
      <c r="G28" s="206"/>
      <c r="H28" s="206"/>
      <c r="I28" s="206"/>
      <c r="J28" s="206"/>
    </row>
    <row r="29" spans="3:10" x14ac:dyDescent="0.3">
      <c r="C29" s="211" t="s">
        <v>55</v>
      </c>
      <c r="D29" s="206"/>
      <c r="E29" s="206"/>
      <c r="F29" s="206"/>
      <c r="G29" s="206"/>
      <c r="H29" s="206"/>
      <c r="I29" s="206"/>
      <c r="J29" s="206"/>
    </row>
    <row r="30" spans="3:10" x14ac:dyDescent="0.3">
      <c r="C30" s="211" t="s">
        <v>56</v>
      </c>
      <c r="D30" s="206"/>
      <c r="E30" s="206"/>
      <c r="F30" s="206"/>
      <c r="G30" s="206"/>
      <c r="H30" s="206"/>
      <c r="I30" s="206"/>
      <c r="J30" s="206"/>
    </row>
    <row r="31" spans="3:10" x14ac:dyDescent="0.3">
      <c r="C31" s="198"/>
      <c r="D31" s="198"/>
      <c r="E31" s="198"/>
      <c r="F31" s="198"/>
      <c r="G31" s="198"/>
      <c r="H31" s="198"/>
      <c r="I31" s="198"/>
      <c r="J31" s="198"/>
    </row>
    <row r="32" spans="3:10" ht="17.399999999999999" customHeight="1" x14ac:dyDescent="0.3">
      <c r="C32" s="213" t="s">
        <v>57</v>
      </c>
      <c r="D32" s="197"/>
      <c r="E32" s="197"/>
      <c r="F32" s="197"/>
      <c r="G32" s="197"/>
      <c r="H32" s="197"/>
      <c r="I32" s="197"/>
      <c r="J32" s="197"/>
    </row>
    <row r="33" spans="3:10" x14ac:dyDescent="0.3">
      <c r="C33" s="212" t="s">
        <v>58</v>
      </c>
      <c r="D33" s="212" t="s">
        <v>59</v>
      </c>
      <c r="E33" s="212" t="s">
        <v>60</v>
      </c>
      <c r="F33" s="212" t="s">
        <v>61</v>
      </c>
      <c r="G33" s="198"/>
      <c r="H33" s="198"/>
      <c r="I33" s="198"/>
      <c r="J33" s="198"/>
    </row>
    <row r="34" spans="3:10" x14ac:dyDescent="0.3">
      <c r="C34" s="209" t="s">
        <v>62</v>
      </c>
      <c r="D34" s="209" t="s">
        <v>63</v>
      </c>
      <c r="E34" s="209" t="s">
        <v>64</v>
      </c>
      <c r="F34" s="209" t="s">
        <v>65</v>
      </c>
      <c r="G34" s="198"/>
      <c r="H34" s="198"/>
      <c r="I34" s="198"/>
      <c r="J34" s="198"/>
    </row>
    <row r="35" spans="3:10" x14ac:dyDescent="0.3">
      <c r="C35" s="210" t="s">
        <v>66</v>
      </c>
      <c r="D35" s="210" t="s">
        <v>67</v>
      </c>
      <c r="E35" s="210" t="s">
        <v>68</v>
      </c>
      <c r="F35" s="210" t="s">
        <v>69</v>
      </c>
      <c r="G35" s="198"/>
      <c r="H35" s="198"/>
      <c r="I35" s="198"/>
      <c r="J35" s="198"/>
    </row>
    <row r="36" spans="3:10" x14ac:dyDescent="0.3">
      <c r="C36" s="209" t="s">
        <v>70</v>
      </c>
      <c r="D36" s="209" t="s">
        <v>67</v>
      </c>
      <c r="E36" s="209" t="s">
        <v>71</v>
      </c>
      <c r="F36" s="209" t="s">
        <v>72</v>
      </c>
      <c r="G36" s="198"/>
      <c r="H36" s="198"/>
      <c r="I36" s="198"/>
      <c r="J36" s="198"/>
    </row>
    <row r="37" spans="3:10" x14ac:dyDescent="0.3">
      <c r="C37" s="210" t="s">
        <v>73</v>
      </c>
      <c r="D37" s="210" t="s">
        <v>11</v>
      </c>
      <c r="E37" s="210" t="s">
        <v>71</v>
      </c>
      <c r="F37" s="210" t="s">
        <v>74</v>
      </c>
      <c r="G37" s="198"/>
      <c r="H37" s="198"/>
      <c r="I37" s="198"/>
      <c r="J37" s="198"/>
    </row>
    <row r="38" spans="3:10" x14ac:dyDescent="0.3">
      <c r="C38" s="209" t="s">
        <v>75</v>
      </c>
      <c r="D38" s="209" t="s">
        <v>19</v>
      </c>
      <c r="E38" s="209" t="s">
        <v>76</v>
      </c>
      <c r="F38" s="209" t="s">
        <v>77</v>
      </c>
      <c r="G38" s="198"/>
      <c r="H38" s="198"/>
      <c r="I38" s="198"/>
      <c r="J38" s="198"/>
    </row>
    <row r="39" spans="3:10" x14ac:dyDescent="0.3">
      <c r="C39" s="210" t="s">
        <v>78</v>
      </c>
      <c r="D39" s="210" t="s">
        <v>79</v>
      </c>
      <c r="E39" s="210" t="s">
        <v>80</v>
      </c>
      <c r="F39" s="210" t="s">
        <v>81</v>
      </c>
      <c r="G39" s="198"/>
      <c r="H39" s="198"/>
      <c r="I39" s="198"/>
      <c r="J39" s="198"/>
    </row>
    <row r="40" spans="3:10" x14ac:dyDescent="0.3">
      <c r="C40" s="209" t="s">
        <v>82</v>
      </c>
      <c r="D40" s="209" t="s">
        <v>79</v>
      </c>
      <c r="E40" s="209" t="s">
        <v>83</v>
      </c>
      <c r="F40" s="209" t="s">
        <v>84</v>
      </c>
      <c r="G40" s="198"/>
      <c r="H40" s="198"/>
      <c r="I40" s="198"/>
      <c r="J40" s="198"/>
    </row>
    <row r="41" spans="3:10" x14ac:dyDescent="0.3">
      <c r="C41" s="210" t="s">
        <v>85</v>
      </c>
      <c r="D41" s="210" t="s">
        <v>86</v>
      </c>
      <c r="E41" s="210" t="s">
        <v>87</v>
      </c>
      <c r="F41" s="210" t="s">
        <v>88</v>
      </c>
      <c r="G41" s="198"/>
      <c r="H41" s="198"/>
      <c r="I41" s="198"/>
      <c r="J41" s="198"/>
    </row>
    <row r="42" spans="3:10" x14ac:dyDescent="0.3">
      <c r="C42" s="198"/>
      <c r="D42" s="198"/>
      <c r="E42" s="198"/>
      <c r="F42" s="198"/>
      <c r="G42" s="198"/>
      <c r="H42" s="198"/>
      <c r="I42" s="198"/>
      <c r="J42" s="198"/>
    </row>
    <row r="43" spans="3:10" ht="17.399999999999999" customHeight="1" x14ac:dyDescent="0.3">
      <c r="C43" s="201" t="s">
        <v>89</v>
      </c>
      <c r="D43" s="202"/>
      <c r="E43" s="202"/>
      <c r="F43" s="202"/>
      <c r="G43" s="202"/>
      <c r="H43" s="202"/>
      <c r="I43" s="202"/>
      <c r="J43" s="202"/>
    </row>
    <row r="44" spans="3:10" x14ac:dyDescent="0.3">
      <c r="C44" s="212" t="s">
        <v>90</v>
      </c>
      <c r="D44" s="212" t="s">
        <v>91</v>
      </c>
      <c r="E44" s="198"/>
      <c r="F44" s="198"/>
      <c r="G44" s="198"/>
      <c r="H44" s="198"/>
      <c r="I44" s="198"/>
      <c r="J44" s="198"/>
    </row>
    <row r="45" spans="3:10" x14ac:dyDescent="0.3">
      <c r="C45" s="209" t="s">
        <v>92</v>
      </c>
      <c r="D45" s="209" t="s">
        <v>93</v>
      </c>
      <c r="E45" s="198"/>
      <c r="F45" s="198"/>
      <c r="G45" s="198"/>
      <c r="H45" s="198"/>
      <c r="I45" s="198"/>
      <c r="J45" s="198"/>
    </row>
    <row r="46" spans="3:10" x14ac:dyDescent="0.3">
      <c r="C46" s="210" t="s">
        <v>94</v>
      </c>
      <c r="D46" s="210" t="s">
        <v>95</v>
      </c>
      <c r="E46" s="198"/>
      <c r="F46" s="198"/>
      <c r="G46" s="198"/>
      <c r="H46" s="198"/>
      <c r="I46" s="198"/>
      <c r="J46" s="198"/>
    </row>
    <row r="47" spans="3:10" ht="26.4" customHeight="1" x14ac:dyDescent="0.3">
      <c r="C47" s="209" t="s">
        <v>96</v>
      </c>
      <c r="D47" s="209" t="s">
        <v>97</v>
      </c>
      <c r="E47" s="198"/>
      <c r="F47" s="198"/>
      <c r="G47" s="198"/>
      <c r="H47" s="198"/>
      <c r="I47" s="198"/>
      <c r="J47" s="198"/>
    </row>
    <row r="48" spans="3:10" x14ac:dyDescent="0.3">
      <c r="C48" s="210" t="s">
        <v>98</v>
      </c>
      <c r="D48" s="210" t="s">
        <v>99</v>
      </c>
      <c r="E48" s="198"/>
      <c r="F48" s="198"/>
      <c r="G48" s="198"/>
      <c r="H48" s="198"/>
      <c r="I48" s="198"/>
      <c r="J48" s="198"/>
    </row>
    <row r="49" spans="3:10" ht="26.4" customHeight="1" x14ac:dyDescent="0.3">
      <c r="C49" s="209" t="s">
        <v>100</v>
      </c>
      <c r="D49" s="209" t="s">
        <v>101</v>
      </c>
      <c r="E49" s="198"/>
      <c r="F49" s="198"/>
      <c r="G49" s="198"/>
      <c r="H49" s="198"/>
      <c r="I49" s="198"/>
      <c r="J49" s="198"/>
    </row>
    <row r="50" spans="3:10" x14ac:dyDescent="0.3">
      <c r="C50" s="210" t="s">
        <v>102</v>
      </c>
      <c r="D50" s="210" t="s">
        <v>103</v>
      </c>
      <c r="E50" s="198"/>
      <c r="F50" s="198"/>
      <c r="G50" s="198"/>
      <c r="H50" s="198"/>
      <c r="I50" s="198"/>
      <c r="J50" s="198"/>
    </row>
    <row r="51" spans="3:10" x14ac:dyDescent="0.3">
      <c r="C51" s="209" t="s">
        <v>104</v>
      </c>
      <c r="D51" s="209" t="s">
        <v>103</v>
      </c>
      <c r="E51" s="198"/>
      <c r="F51" s="198"/>
      <c r="G51" s="198"/>
      <c r="H51" s="198"/>
      <c r="I51" s="198"/>
      <c r="J51" s="198"/>
    </row>
    <row r="52" spans="3:10" x14ac:dyDescent="0.3">
      <c r="C52" s="210" t="s">
        <v>105</v>
      </c>
      <c r="D52" s="210" t="s">
        <v>103</v>
      </c>
      <c r="E52" s="198"/>
      <c r="F52" s="198"/>
      <c r="G52" s="198"/>
      <c r="H52" s="198"/>
      <c r="I52" s="198"/>
      <c r="J52" s="198"/>
    </row>
    <row r="53" spans="3:10" ht="26.4" customHeight="1" x14ac:dyDescent="0.3">
      <c r="C53" s="209" t="s">
        <v>106</v>
      </c>
      <c r="D53" s="209" t="s">
        <v>103</v>
      </c>
      <c r="E53" s="198"/>
      <c r="F53" s="198"/>
      <c r="G53" s="198"/>
      <c r="H53" s="198"/>
      <c r="I53" s="198"/>
      <c r="J53" s="198"/>
    </row>
    <row r="54" spans="3:10" x14ac:dyDescent="0.3">
      <c r="C54" s="210" t="s">
        <v>107</v>
      </c>
      <c r="D54" s="210" t="s">
        <v>103</v>
      </c>
      <c r="E54" s="198"/>
      <c r="F54" s="198"/>
      <c r="G54" s="198"/>
      <c r="H54" s="198"/>
      <c r="I54" s="198"/>
      <c r="J54" s="198"/>
    </row>
    <row r="55" spans="3:10" x14ac:dyDescent="0.3">
      <c r="C55" s="198"/>
      <c r="D55" s="198"/>
      <c r="E55" s="198"/>
      <c r="F55" s="198"/>
      <c r="G55" s="198"/>
      <c r="H55" s="198"/>
      <c r="I55" s="198"/>
      <c r="J55" s="198"/>
    </row>
    <row r="56" spans="3:10" ht="17.399999999999999" customHeight="1" x14ac:dyDescent="0.3">
      <c r="C56" s="213" t="s">
        <v>108</v>
      </c>
      <c r="D56" s="197"/>
      <c r="E56" s="197"/>
      <c r="F56" s="197"/>
      <c r="G56" s="197"/>
      <c r="H56" s="197"/>
      <c r="I56" s="197"/>
      <c r="J56" s="197"/>
    </row>
    <row r="57" spans="3:10" x14ac:dyDescent="0.3">
      <c r="C57" s="212" t="s">
        <v>90</v>
      </c>
      <c r="D57" s="212" t="s">
        <v>109</v>
      </c>
      <c r="E57" s="198"/>
      <c r="F57" s="198"/>
      <c r="G57" s="198"/>
      <c r="H57" s="198"/>
      <c r="I57" s="198"/>
      <c r="J57" s="198"/>
    </row>
    <row r="58" spans="3:10" ht="26.4" customHeight="1" x14ac:dyDescent="0.3">
      <c r="C58" s="209" t="s">
        <v>96</v>
      </c>
      <c r="D58" s="209" t="s">
        <v>110</v>
      </c>
      <c r="E58" s="198"/>
      <c r="F58" s="198"/>
      <c r="G58" s="198"/>
      <c r="H58" s="198"/>
      <c r="I58" s="198"/>
      <c r="J58" s="198"/>
    </row>
    <row r="59" spans="3:10" ht="26.4" customHeight="1" x14ac:dyDescent="0.3">
      <c r="C59" s="210" t="s">
        <v>98</v>
      </c>
      <c r="D59" s="210" t="s">
        <v>111</v>
      </c>
      <c r="E59" s="198"/>
      <c r="F59" s="198"/>
      <c r="G59" s="198"/>
      <c r="H59" s="198"/>
      <c r="I59" s="198"/>
      <c r="J59" s="198"/>
    </row>
    <row r="60" spans="3:10" x14ac:dyDescent="0.3">
      <c r="C60" s="209" t="s">
        <v>112</v>
      </c>
      <c r="D60" s="209" t="s">
        <v>113</v>
      </c>
      <c r="E60" s="198"/>
      <c r="F60" s="198"/>
      <c r="G60" s="198"/>
      <c r="H60" s="198"/>
      <c r="I60" s="198"/>
      <c r="J60" s="198"/>
    </row>
    <row r="62" spans="3:10" x14ac:dyDescent="0.3">
      <c r="C62" s="160" t="s">
        <v>114</v>
      </c>
      <c r="D62" s="159"/>
      <c r="E62" s="159"/>
      <c r="F62" s="159"/>
      <c r="G62" s="159"/>
      <c r="H62" s="159"/>
      <c r="I62" s="159"/>
      <c r="J62" s="159"/>
    </row>
  </sheetData>
  <mergeCells count="15">
    <mergeCell ref="C30:J30"/>
    <mergeCell ref="C32:J32"/>
    <mergeCell ref="C43:J43"/>
    <mergeCell ref="C56:J56"/>
    <mergeCell ref="C62:J62"/>
    <mergeCell ref="C25:J25"/>
    <mergeCell ref="C26:J26"/>
    <mergeCell ref="C27:J27"/>
    <mergeCell ref="C28:J28"/>
    <mergeCell ref="C29:J29"/>
    <mergeCell ref="C1:J1"/>
    <mergeCell ref="C3:J3"/>
    <mergeCell ref="C5:J5"/>
    <mergeCell ref="C12:J12"/>
    <mergeCell ref="C24:J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5"/>
  <sheetViews>
    <sheetView showGridLines="0" topLeftCell="A16" workbookViewId="0">
      <selection activeCell="C25" sqref="C25"/>
    </sheetView>
  </sheetViews>
  <sheetFormatPr defaultColWidth="8.6640625" defaultRowHeight="14.4" x14ac:dyDescent="0.3"/>
  <cols>
    <col min="1" max="1" width="90.44140625" customWidth="1"/>
    <col min="2" max="2" width="14" customWidth="1"/>
    <col min="3" max="3" width="12" customWidth="1"/>
    <col min="4" max="4" width="18" customWidth="1"/>
    <col min="5" max="5" width="16" customWidth="1"/>
    <col min="6" max="6" width="14" customWidth="1"/>
    <col min="7" max="7" width="18" customWidth="1"/>
    <col min="8" max="8" width="12" customWidth="1"/>
    <col min="9" max="9" width="18" customWidth="1"/>
    <col min="10" max="10" width="14" customWidth="1"/>
    <col min="11" max="11" width="18" customWidth="1"/>
  </cols>
  <sheetData>
    <row r="1" spans="1:11" ht="28.05" customHeight="1" x14ac:dyDescent="0.3">
      <c r="A1" s="171" t="s">
        <v>115</v>
      </c>
      <c r="B1" s="159"/>
      <c r="C1" s="159"/>
      <c r="D1" s="159"/>
      <c r="E1" s="159"/>
      <c r="F1" s="159"/>
      <c r="G1" s="159"/>
      <c r="H1" s="159"/>
      <c r="I1" s="159"/>
      <c r="J1" s="159"/>
      <c r="K1" s="159"/>
    </row>
    <row r="2" spans="1:11" ht="19.95" customHeight="1" x14ac:dyDescent="0.3">
      <c r="A2" s="172" t="s">
        <v>116</v>
      </c>
      <c r="B2" s="161" t="s">
        <v>117</v>
      </c>
      <c r="C2" s="161" t="s">
        <v>118</v>
      </c>
      <c r="D2" s="161" t="s">
        <v>119</v>
      </c>
      <c r="E2" s="161" t="s">
        <v>120</v>
      </c>
      <c r="F2" s="161" t="s">
        <v>121</v>
      </c>
      <c r="G2" s="229" t="s">
        <v>122</v>
      </c>
      <c r="H2" s="164"/>
      <c r="I2" s="161" t="s">
        <v>123</v>
      </c>
      <c r="J2" s="161" t="s">
        <v>124</v>
      </c>
      <c r="K2" s="161" t="s">
        <v>125</v>
      </c>
    </row>
    <row r="3" spans="1:11" ht="18" customHeight="1" x14ac:dyDescent="0.3">
      <c r="A3" s="173"/>
      <c r="B3" s="162"/>
      <c r="C3" s="162"/>
      <c r="D3" s="162"/>
      <c r="E3" s="162"/>
      <c r="F3" s="162"/>
      <c r="G3" s="230" t="s">
        <v>126</v>
      </c>
      <c r="H3" s="163" t="s">
        <v>127</v>
      </c>
      <c r="I3" s="162"/>
      <c r="J3" s="162"/>
      <c r="K3" s="162"/>
    </row>
    <row r="4" spans="1:11" ht="18" customHeight="1" x14ac:dyDescent="0.3">
      <c r="A4" s="150"/>
      <c r="B4" s="150"/>
      <c r="C4" s="150"/>
      <c r="D4" s="150"/>
      <c r="E4" s="150"/>
      <c r="F4" s="150"/>
      <c r="G4" s="150"/>
      <c r="H4" s="150"/>
      <c r="I4" s="150"/>
      <c r="J4" s="150"/>
      <c r="K4" s="150"/>
    </row>
    <row r="5" spans="1:11" ht="18" customHeight="1" x14ac:dyDescent="0.3">
      <c r="A5" s="177" t="s">
        <v>128</v>
      </c>
      <c r="B5" s="178"/>
      <c r="C5" s="178" t="s">
        <v>129</v>
      </c>
      <c r="D5" s="178" t="s">
        <v>129</v>
      </c>
      <c r="E5" s="178" t="s">
        <v>129</v>
      </c>
      <c r="F5" s="179">
        <v>0</v>
      </c>
      <c r="G5" s="178" t="s">
        <v>129</v>
      </c>
      <c r="H5" s="179">
        <v>0</v>
      </c>
      <c r="I5" s="178" t="s">
        <v>129</v>
      </c>
      <c r="J5" s="179">
        <v>0</v>
      </c>
      <c r="K5" s="178" t="s">
        <v>129</v>
      </c>
    </row>
    <row r="6" spans="1:11" ht="18" customHeight="1" x14ac:dyDescent="0.3">
      <c r="A6" s="214" t="s">
        <v>130</v>
      </c>
      <c r="B6" s="215"/>
      <c r="C6" s="216">
        <v>4</v>
      </c>
      <c r="D6" s="216">
        <v>202814070</v>
      </c>
      <c r="E6" s="216">
        <v>202814070</v>
      </c>
      <c r="F6" s="217">
        <v>31.28</v>
      </c>
      <c r="G6" s="216">
        <v>202814070</v>
      </c>
      <c r="H6" s="217">
        <v>31.28</v>
      </c>
      <c r="I6" s="216">
        <v>202814070</v>
      </c>
      <c r="J6" s="217">
        <v>31.28</v>
      </c>
      <c r="K6" s="216">
        <v>202814070</v>
      </c>
    </row>
    <row r="7" spans="1:11" ht="18" customHeight="1" x14ac:dyDescent="0.3">
      <c r="A7" s="185" t="s">
        <v>131</v>
      </c>
      <c r="B7" s="188" t="s">
        <v>132</v>
      </c>
      <c r="C7" s="186">
        <v>1</v>
      </c>
      <c r="D7" s="186">
        <v>155995490</v>
      </c>
      <c r="E7" s="186">
        <v>155995490</v>
      </c>
      <c r="F7" s="187">
        <v>24.06</v>
      </c>
      <c r="G7" s="186">
        <v>155995490</v>
      </c>
      <c r="H7" s="187">
        <v>24.06</v>
      </c>
      <c r="I7" s="186">
        <v>155995490</v>
      </c>
      <c r="J7" s="187">
        <v>24.06</v>
      </c>
      <c r="K7" s="186">
        <v>155995490</v>
      </c>
    </row>
    <row r="8" spans="1:11" ht="18" customHeight="1" x14ac:dyDescent="0.3">
      <c r="A8" s="185" t="s">
        <v>133</v>
      </c>
      <c r="B8" s="188" t="s">
        <v>132</v>
      </c>
      <c r="C8" s="186">
        <v>1</v>
      </c>
      <c r="D8" s="186">
        <v>32007350</v>
      </c>
      <c r="E8" s="186">
        <v>32007350</v>
      </c>
      <c r="F8" s="187">
        <v>4.9400000000000004</v>
      </c>
      <c r="G8" s="186">
        <v>32007350</v>
      </c>
      <c r="H8" s="187">
        <v>4.9400000000000004</v>
      </c>
      <c r="I8" s="186">
        <v>32007350</v>
      </c>
      <c r="J8" s="187">
        <v>4.9400000000000004</v>
      </c>
      <c r="K8" s="186">
        <v>32007350</v>
      </c>
    </row>
    <row r="9" spans="1:11" ht="18" customHeight="1" x14ac:dyDescent="0.3">
      <c r="A9" s="218" t="s">
        <v>134</v>
      </c>
      <c r="B9" s="219" t="s">
        <v>135</v>
      </c>
      <c r="C9" s="220">
        <v>1</v>
      </c>
      <c r="D9" s="220">
        <v>7470160</v>
      </c>
      <c r="E9" s="220">
        <v>7470160</v>
      </c>
      <c r="F9" s="221">
        <v>1.1499999999999999</v>
      </c>
      <c r="G9" s="220">
        <v>7470160</v>
      </c>
      <c r="H9" s="221">
        <v>1.1499999999999999</v>
      </c>
      <c r="I9" s="220">
        <v>7470160</v>
      </c>
      <c r="J9" s="221">
        <v>1.1499999999999999</v>
      </c>
      <c r="K9" s="220">
        <v>7470160</v>
      </c>
    </row>
    <row r="10" spans="1:11" ht="18" customHeight="1" x14ac:dyDescent="0.3">
      <c r="A10" s="218" t="s">
        <v>136</v>
      </c>
      <c r="B10" s="219" t="s">
        <v>135</v>
      </c>
      <c r="C10" s="220">
        <v>1</v>
      </c>
      <c r="D10" s="220">
        <v>7341070</v>
      </c>
      <c r="E10" s="220">
        <v>7341070</v>
      </c>
      <c r="F10" s="221">
        <v>1.1299999999999999</v>
      </c>
      <c r="G10" s="220">
        <v>7341070</v>
      </c>
      <c r="H10" s="221">
        <v>1.1299999999999999</v>
      </c>
      <c r="I10" s="220">
        <v>7341070</v>
      </c>
      <c r="J10" s="221">
        <v>1.1299999999999999</v>
      </c>
      <c r="K10" s="220">
        <v>7341070</v>
      </c>
    </row>
    <row r="11" spans="1:11" ht="18" customHeight="1" x14ac:dyDescent="0.3">
      <c r="A11" s="218" t="s">
        <v>137</v>
      </c>
      <c r="B11" s="219" t="s">
        <v>135</v>
      </c>
      <c r="C11" s="219" t="s">
        <v>129</v>
      </c>
      <c r="D11" s="219" t="s">
        <v>129</v>
      </c>
      <c r="E11" s="219" t="s">
        <v>129</v>
      </c>
      <c r="F11" s="221">
        <v>0</v>
      </c>
      <c r="G11" s="219" t="s">
        <v>129</v>
      </c>
      <c r="H11" s="221">
        <v>0</v>
      </c>
      <c r="I11" s="219" t="s">
        <v>129</v>
      </c>
      <c r="J11" s="221">
        <v>0</v>
      </c>
      <c r="K11" s="219" t="s">
        <v>129</v>
      </c>
    </row>
    <row r="12" spans="1:11" ht="18" customHeight="1" x14ac:dyDescent="0.3">
      <c r="A12" s="218" t="s">
        <v>138</v>
      </c>
      <c r="B12" s="219" t="s">
        <v>135</v>
      </c>
      <c r="C12" s="219" t="s">
        <v>129</v>
      </c>
      <c r="D12" s="219" t="s">
        <v>129</v>
      </c>
      <c r="E12" s="219" t="s">
        <v>129</v>
      </c>
      <c r="F12" s="221">
        <v>0</v>
      </c>
      <c r="G12" s="219" t="s">
        <v>129</v>
      </c>
      <c r="H12" s="221">
        <v>0</v>
      </c>
      <c r="I12" s="219" t="s">
        <v>129</v>
      </c>
      <c r="J12" s="221">
        <v>0</v>
      </c>
      <c r="K12" s="219" t="s">
        <v>129</v>
      </c>
    </row>
    <row r="13" spans="1:11" ht="18" customHeight="1" x14ac:dyDescent="0.3">
      <c r="A13" s="218" t="s">
        <v>139</v>
      </c>
      <c r="B13" s="219" t="s">
        <v>135</v>
      </c>
      <c r="C13" s="219" t="s">
        <v>129</v>
      </c>
      <c r="D13" s="219" t="s">
        <v>129</v>
      </c>
      <c r="E13" s="219" t="s">
        <v>129</v>
      </c>
      <c r="F13" s="221">
        <v>0</v>
      </c>
      <c r="G13" s="219" t="s">
        <v>129</v>
      </c>
      <c r="H13" s="221">
        <v>0</v>
      </c>
      <c r="I13" s="219" t="s">
        <v>129</v>
      </c>
      <c r="J13" s="221">
        <v>0</v>
      </c>
      <c r="K13" s="219" t="s">
        <v>129</v>
      </c>
    </row>
    <row r="14" spans="1:11" ht="18" customHeight="1" x14ac:dyDescent="0.3">
      <c r="A14" s="218" t="s">
        <v>140</v>
      </c>
      <c r="B14" s="219" t="s">
        <v>135</v>
      </c>
      <c r="C14" s="219" t="s">
        <v>129</v>
      </c>
      <c r="D14" s="219" t="s">
        <v>129</v>
      </c>
      <c r="E14" s="219" t="s">
        <v>129</v>
      </c>
      <c r="F14" s="221">
        <v>0</v>
      </c>
      <c r="G14" s="219" t="s">
        <v>129</v>
      </c>
      <c r="H14" s="221">
        <v>0</v>
      </c>
      <c r="I14" s="219" t="s">
        <v>129</v>
      </c>
      <c r="J14" s="221">
        <v>0</v>
      </c>
      <c r="K14" s="219" t="s">
        <v>129</v>
      </c>
    </row>
    <row r="15" spans="1:11" ht="18" customHeight="1" x14ac:dyDescent="0.3">
      <c r="A15" s="218" t="s">
        <v>141</v>
      </c>
      <c r="B15" s="219" t="s">
        <v>135</v>
      </c>
      <c r="C15" s="219" t="s">
        <v>129</v>
      </c>
      <c r="D15" s="219" t="s">
        <v>129</v>
      </c>
      <c r="E15" s="219" t="s">
        <v>129</v>
      </c>
      <c r="F15" s="221">
        <v>0</v>
      </c>
      <c r="G15" s="219" t="s">
        <v>129</v>
      </c>
      <c r="H15" s="221">
        <v>0</v>
      </c>
      <c r="I15" s="219" t="s">
        <v>129</v>
      </c>
      <c r="J15" s="221">
        <v>0</v>
      </c>
      <c r="K15" s="219" t="s">
        <v>129</v>
      </c>
    </row>
    <row r="16" spans="1:11" ht="18" customHeight="1" x14ac:dyDescent="0.3">
      <c r="A16" s="218" t="s">
        <v>142</v>
      </c>
      <c r="B16" s="219" t="s">
        <v>135</v>
      </c>
      <c r="C16" s="219" t="s">
        <v>129</v>
      </c>
      <c r="D16" s="219" t="s">
        <v>129</v>
      </c>
      <c r="E16" s="219" t="s">
        <v>129</v>
      </c>
      <c r="F16" s="221">
        <v>0</v>
      </c>
      <c r="G16" s="219" t="s">
        <v>129</v>
      </c>
      <c r="H16" s="221">
        <v>0</v>
      </c>
      <c r="I16" s="219" t="s">
        <v>129</v>
      </c>
      <c r="J16" s="221">
        <v>0</v>
      </c>
      <c r="K16" s="219" t="s">
        <v>129</v>
      </c>
    </row>
    <row r="17" spans="1:11" ht="18" customHeight="1" x14ac:dyDescent="0.3">
      <c r="A17" s="218" t="s">
        <v>143</v>
      </c>
      <c r="B17" s="219" t="s">
        <v>135</v>
      </c>
      <c r="C17" s="219" t="s">
        <v>129</v>
      </c>
      <c r="D17" s="219" t="s">
        <v>129</v>
      </c>
      <c r="E17" s="219" t="s">
        <v>129</v>
      </c>
      <c r="F17" s="221">
        <v>0</v>
      </c>
      <c r="G17" s="219" t="s">
        <v>129</v>
      </c>
      <c r="H17" s="221">
        <v>0</v>
      </c>
      <c r="I17" s="219" t="s">
        <v>129</v>
      </c>
      <c r="J17" s="221">
        <v>0</v>
      </c>
      <c r="K17" s="219" t="s">
        <v>129</v>
      </c>
    </row>
    <row r="18" spans="1:11" ht="18" customHeight="1" x14ac:dyDescent="0.3">
      <c r="A18" s="218" t="s">
        <v>144</v>
      </c>
      <c r="B18" s="219" t="s">
        <v>135</v>
      </c>
      <c r="C18" s="219" t="s">
        <v>129</v>
      </c>
      <c r="D18" s="219" t="s">
        <v>129</v>
      </c>
      <c r="E18" s="219" t="s">
        <v>129</v>
      </c>
      <c r="F18" s="221">
        <v>0</v>
      </c>
      <c r="G18" s="219" t="s">
        <v>129</v>
      </c>
      <c r="H18" s="221">
        <v>0</v>
      </c>
      <c r="I18" s="219" t="s">
        <v>129</v>
      </c>
      <c r="J18" s="221">
        <v>0</v>
      </c>
      <c r="K18" s="219" t="s">
        <v>129</v>
      </c>
    </row>
    <row r="19" spans="1:11" ht="18" customHeight="1" x14ac:dyDescent="0.3">
      <c r="A19" s="218" t="s">
        <v>145</v>
      </c>
      <c r="B19" s="219" t="s">
        <v>135</v>
      </c>
      <c r="C19" s="219" t="s">
        <v>129</v>
      </c>
      <c r="D19" s="219" t="s">
        <v>129</v>
      </c>
      <c r="E19" s="219" t="s">
        <v>129</v>
      </c>
      <c r="F19" s="221">
        <v>0</v>
      </c>
      <c r="G19" s="219" t="s">
        <v>129</v>
      </c>
      <c r="H19" s="221">
        <v>0</v>
      </c>
      <c r="I19" s="219" t="s">
        <v>129</v>
      </c>
      <c r="J19" s="221">
        <v>0</v>
      </c>
      <c r="K19" s="219" t="s">
        <v>129</v>
      </c>
    </row>
    <row r="20" spans="1:11" ht="18" customHeight="1" x14ac:dyDescent="0.3">
      <c r="A20" s="218" t="s">
        <v>146</v>
      </c>
      <c r="B20" s="219" t="s">
        <v>135</v>
      </c>
      <c r="C20" s="219" t="s">
        <v>129</v>
      </c>
      <c r="D20" s="219" t="s">
        <v>129</v>
      </c>
      <c r="E20" s="219" t="s">
        <v>129</v>
      </c>
      <c r="F20" s="221">
        <v>0</v>
      </c>
      <c r="G20" s="219" t="s">
        <v>129</v>
      </c>
      <c r="H20" s="221">
        <v>0</v>
      </c>
      <c r="I20" s="219" t="s">
        <v>129</v>
      </c>
      <c r="J20" s="221">
        <v>0</v>
      </c>
      <c r="K20" s="219" t="s">
        <v>129</v>
      </c>
    </row>
    <row r="21" spans="1:11" ht="18" customHeight="1" x14ac:dyDescent="0.3">
      <c r="A21" s="218" t="s">
        <v>147</v>
      </c>
      <c r="B21" s="219" t="s">
        <v>135</v>
      </c>
      <c r="C21" s="219" t="s">
        <v>129</v>
      </c>
      <c r="D21" s="219" t="s">
        <v>129</v>
      </c>
      <c r="E21" s="219" t="s">
        <v>129</v>
      </c>
      <c r="F21" s="221">
        <v>0</v>
      </c>
      <c r="G21" s="219" t="s">
        <v>129</v>
      </c>
      <c r="H21" s="221">
        <v>0</v>
      </c>
      <c r="I21" s="219" t="s">
        <v>129</v>
      </c>
      <c r="J21" s="221">
        <v>0</v>
      </c>
      <c r="K21" s="219" t="s">
        <v>129</v>
      </c>
    </row>
    <row r="22" spans="1:11" ht="18" customHeight="1" x14ac:dyDescent="0.3">
      <c r="A22" s="218" t="s">
        <v>148</v>
      </c>
      <c r="B22" s="219" t="s">
        <v>135</v>
      </c>
      <c r="C22" s="219" t="s">
        <v>129</v>
      </c>
      <c r="D22" s="219" t="s">
        <v>129</v>
      </c>
      <c r="E22" s="219" t="s">
        <v>129</v>
      </c>
      <c r="F22" s="221">
        <v>0</v>
      </c>
      <c r="G22" s="219" t="s">
        <v>129</v>
      </c>
      <c r="H22" s="221">
        <v>0</v>
      </c>
      <c r="I22" s="219" t="s">
        <v>129</v>
      </c>
      <c r="J22" s="221">
        <v>0</v>
      </c>
      <c r="K22" s="219" t="s">
        <v>129</v>
      </c>
    </row>
    <row r="23" spans="1:11" ht="18" customHeight="1" x14ac:dyDescent="0.3">
      <c r="A23" s="218" t="s">
        <v>149</v>
      </c>
      <c r="B23" s="219" t="s">
        <v>135</v>
      </c>
      <c r="C23" s="219" t="s">
        <v>129</v>
      </c>
      <c r="D23" s="219" t="s">
        <v>129</v>
      </c>
      <c r="E23" s="219" t="s">
        <v>129</v>
      </c>
      <c r="F23" s="221">
        <v>0</v>
      </c>
      <c r="G23" s="219" t="s">
        <v>129</v>
      </c>
      <c r="H23" s="221">
        <v>0</v>
      </c>
      <c r="I23" s="219" t="s">
        <v>129</v>
      </c>
      <c r="J23" s="221">
        <v>0</v>
      </c>
      <c r="K23" s="219" t="s">
        <v>129</v>
      </c>
    </row>
    <row r="24" spans="1:11" ht="18" customHeight="1" x14ac:dyDescent="0.3">
      <c r="A24" s="218" t="s">
        <v>150</v>
      </c>
      <c r="B24" s="219" t="s">
        <v>135</v>
      </c>
      <c r="C24" s="219" t="s">
        <v>129</v>
      </c>
      <c r="D24" s="219" t="s">
        <v>129</v>
      </c>
      <c r="E24" s="219" t="s">
        <v>129</v>
      </c>
      <c r="F24" s="221">
        <v>0</v>
      </c>
      <c r="G24" s="219" t="s">
        <v>129</v>
      </c>
      <c r="H24" s="221">
        <v>0</v>
      </c>
      <c r="I24" s="219" t="s">
        <v>129</v>
      </c>
      <c r="J24" s="221">
        <v>0</v>
      </c>
      <c r="K24" s="219" t="s">
        <v>129</v>
      </c>
    </row>
    <row r="25" spans="1:11" ht="18" customHeight="1" x14ac:dyDescent="0.3">
      <c r="A25" s="218" t="s">
        <v>151</v>
      </c>
      <c r="B25" s="219" t="s">
        <v>135</v>
      </c>
      <c r="C25" s="219" t="s">
        <v>129</v>
      </c>
      <c r="D25" s="219" t="s">
        <v>129</v>
      </c>
      <c r="E25" s="219" t="s">
        <v>129</v>
      </c>
      <c r="F25" s="221">
        <v>0</v>
      </c>
      <c r="G25" s="219" t="s">
        <v>129</v>
      </c>
      <c r="H25" s="221">
        <v>0</v>
      </c>
      <c r="I25" s="219" t="s">
        <v>129</v>
      </c>
      <c r="J25" s="221">
        <v>0</v>
      </c>
      <c r="K25" s="219" t="s">
        <v>129</v>
      </c>
    </row>
    <row r="26" spans="1:11" ht="18" customHeight="1" x14ac:dyDescent="0.3">
      <c r="A26" s="218" t="s">
        <v>152</v>
      </c>
      <c r="B26" s="219" t="s">
        <v>135</v>
      </c>
      <c r="C26" s="219" t="s">
        <v>129</v>
      </c>
      <c r="D26" s="219" t="s">
        <v>129</v>
      </c>
      <c r="E26" s="219" t="s">
        <v>129</v>
      </c>
      <c r="F26" s="221">
        <v>0</v>
      </c>
      <c r="G26" s="219" t="s">
        <v>129</v>
      </c>
      <c r="H26" s="221">
        <v>0</v>
      </c>
      <c r="I26" s="219" t="s">
        <v>129</v>
      </c>
      <c r="J26" s="221">
        <v>0</v>
      </c>
      <c r="K26" s="219" t="s">
        <v>129</v>
      </c>
    </row>
    <row r="27" spans="1:11" ht="18" customHeight="1" x14ac:dyDescent="0.3">
      <c r="A27" s="218" t="s">
        <v>153</v>
      </c>
      <c r="B27" s="219" t="s">
        <v>135</v>
      </c>
      <c r="C27" s="219" t="s">
        <v>129</v>
      </c>
      <c r="D27" s="219" t="s">
        <v>129</v>
      </c>
      <c r="E27" s="219" t="s">
        <v>129</v>
      </c>
      <c r="F27" s="221">
        <v>0</v>
      </c>
      <c r="G27" s="219" t="s">
        <v>129</v>
      </c>
      <c r="H27" s="221">
        <v>0</v>
      </c>
      <c r="I27" s="219" t="s">
        <v>129</v>
      </c>
      <c r="J27" s="221">
        <v>0</v>
      </c>
      <c r="K27" s="219" t="s">
        <v>129</v>
      </c>
    </row>
    <row r="28" spans="1:11" ht="18" customHeight="1" x14ac:dyDescent="0.3">
      <c r="A28" s="177" t="s">
        <v>154</v>
      </c>
      <c r="B28" s="178"/>
      <c r="C28" s="231">
        <v>1</v>
      </c>
      <c r="D28" s="231">
        <v>40312605</v>
      </c>
      <c r="E28" s="231">
        <v>40312605</v>
      </c>
      <c r="F28" s="179">
        <v>6.22</v>
      </c>
      <c r="G28" s="231">
        <v>40312605</v>
      </c>
      <c r="H28" s="179">
        <v>6.22</v>
      </c>
      <c r="I28" s="231">
        <v>40312605</v>
      </c>
      <c r="J28" s="179">
        <v>6.22</v>
      </c>
      <c r="K28" s="231">
        <v>40312605</v>
      </c>
    </row>
    <row r="29" spans="1:11" ht="18" customHeight="1" x14ac:dyDescent="0.3">
      <c r="A29" s="222" t="s">
        <v>155</v>
      </c>
      <c r="B29" s="188" t="s">
        <v>135</v>
      </c>
      <c r="C29" s="186">
        <v>1</v>
      </c>
      <c r="D29" s="186">
        <v>40312605</v>
      </c>
      <c r="E29" s="186">
        <v>40312605</v>
      </c>
      <c r="F29" s="187">
        <v>6.22</v>
      </c>
      <c r="G29" s="186">
        <v>40312605</v>
      </c>
      <c r="H29" s="187">
        <v>6.22</v>
      </c>
      <c r="I29" s="186">
        <v>40312605</v>
      </c>
      <c r="J29" s="187">
        <v>6.22</v>
      </c>
      <c r="K29" s="186">
        <v>40312605</v>
      </c>
    </row>
    <row r="30" spans="1:11" ht="18" customHeight="1" x14ac:dyDescent="0.3">
      <c r="A30" s="223" t="s">
        <v>156</v>
      </c>
      <c r="B30" s="192" t="s">
        <v>135</v>
      </c>
      <c r="C30" s="192" t="s">
        <v>129</v>
      </c>
      <c r="D30" s="192" t="s">
        <v>129</v>
      </c>
      <c r="E30" s="192" t="s">
        <v>129</v>
      </c>
      <c r="F30" s="191">
        <v>0</v>
      </c>
      <c r="G30" s="192" t="s">
        <v>129</v>
      </c>
      <c r="H30" s="191">
        <v>0</v>
      </c>
      <c r="I30" s="192" t="s">
        <v>129</v>
      </c>
      <c r="J30" s="191">
        <v>0</v>
      </c>
      <c r="K30" s="192" t="s">
        <v>129</v>
      </c>
    </row>
    <row r="31" spans="1:11" ht="18" customHeight="1" x14ac:dyDescent="0.3">
      <c r="A31" s="223" t="s">
        <v>157</v>
      </c>
      <c r="B31" s="192" t="s">
        <v>135</v>
      </c>
      <c r="C31" s="192" t="s">
        <v>129</v>
      </c>
      <c r="D31" s="192" t="s">
        <v>129</v>
      </c>
      <c r="E31" s="192" t="s">
        <v>129</v>
      </c>
      <c r="F31" s="191">
        <v>0</v>
      </c>
      <c r="G31" s="192" t="s">
        <v>129</v>
      </c>
      <c r="H31" s="191">
        <v>0</v>
      </c>
      <c r="I31" s="192" t="s">
        <v>129</v>
      </c>
      <c r="J31" s="191">
        <v>0</v>
      </c>
      <c r="K31" s="192" t="s">
        <v>129</v>
      </c>
    </row>
    <row r="32" spans="1:11" ht="18" customHeight="1" x14ac:dyDescent="0.3">
      <c r="A32" s="223" t="s">
        <v>158</v>
      </c>
      <c r="B32" s="192" t="s">
        <v>135</v>
      </c>
      <c r="C32" s="192" t="s">
        <v>129</v>
      </c>
      <c r="D32" s="192" t="s">
        <v>129</v>
      </c>
      <c r="E32" s="192" t="s">
        <v>129</v>
      </c>
      <c r="F32" s="191">
        <v>0</v>
      </c>
      <c r="G32" s="192" t="s">
        <v>129</v>
      </c>
      <c r="H32" s="191">
        <v>0</v>
      </c>
      <c r="I32" s="192" t="s">
        <v>129</v>
      </c>
      <c r="J32" s="191">
        <v>0</v>
      </c>
      <c r="K32" s="192" t="s">
        <v>129</v>
      </c>
    </row>
    <row r="33" spans="1:11" ht="18" customHeight="1" x14ac:dyDescent="0.3">
      <c r="A33" s="194" t="s">
        <v>159</v>
      </c>
      <c r="B33" s="188"/>
      <c r="C33" s="186">
        <v>5</v>
      </c>
      <c r="D33" s="186">
        <v>243126675</v>
      </c>
      <c r="E33" s="186">
        <v>243126675</v>
      </c>
      <c r="F33" s="187">
        <v>37.5</v>
      </c>
      <c r="G33" s="186">
        <v>243126675</v>
      </c>
      <c r="H33" s="187">
        <v>37.5</v>
      </c>
      <c r="I33" s="186">
        <v>243126675</v>
      </c>
      <c r="J33" s="187">
        <v>37.5</v>
      </c>
      <c r="K33" s="186">
        <v>243126675</v>
      </c>
    </row>
    <row r="34" spans="1:11" ht="18" customHeight="1" x14ac:dyDescent="0.3">
      <c r="A34" s="224" t="s">
        <v>160</v>
      </c>
      <c r="B34" s="225"/>
      <c r="C34" s="225" t="s">
        <v>129</v>
      </c>
      <c r="D34" s="225" t="s">
        <v>129</v>
      </c>
      <c r="E34" s="225" t="s">
        <v>129</v>
      </c>
      <c r="F34" s="226">
        <v>0</v>
      </c>
      <c r="G34" s="225" t="s">
        <v>129</v>
      </c>
      <c r="H34" s="226">
        <v>0</v>
      </c>
      <c r="I34" s="225" t="s">
        <v>129</v>
      </c>
      <c r="J34" s="226">
        <v>0</v>
      </c>
      <c r="K34" s="225" t="s">
        <v>129</v>
      </c>
    </row>
    <row r="35" spans="1:11" ht="15" customHeight="1" x14ac:dyDescent="0.3">
      <c r="A35" s="224" t="s">
        <v>161</v>
      </c>
      <c r="B35" s="228"/>
      <c r="C35" s="227">
        <v>5</v>
      </c>
      <c r="D35" s="227">
        <v>243126675</v>
      </c>
      <c r="E35" s="227">
        <v>243126675</v>
      </c>
      <c r="F35" s="226">
        <v>37.5</v>
      </c>
      <c r="G35" s="227">
        <v>243126675</v>
      </c>
      <c r="H35" s="226">
        <v>37.5</v>
      </c>
      <c r="I35" s="227">
        <v>243126675</v>
      </c>
      <c r="J35" s="226">
        <v>37.5</v>
      </c>
      <c r="K35" s="227">
        <v>243126675</v>
      </c>
    </row>
  </sheetData>
  <mergeCells count="12">
    <mergeCell ref="I1:I3"/>
    <mergeCell ref="J1:J3"/>
    <mergeCell ref="K1:K3"/>
    <mergeCell ref="G1:H1"/>
    <mergeCell ref="A1:A3"/>
    <mergeCell ref="B1:B3"/>
    <mergeCell ref="C1:C3"/>
    <mergeCell ref="D1:D3"/>
    <mergeCell ref="E1:E3"/>
    <mergeCell ref="F1:F3"/>
    <mergeCell ref="G2:G3"/>
    <mergeCell ref="H2:H3"/>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7"/>
  <sheetViews>
    <sheetView showGridLines="0" topLeftCell="A31" workbookViewId="0">
      <selection activeCell="A49" sqref="A49"/>
    </sheetView>
  </sheetViews>
  <sheetFormatPr defaultColWidth="8.6640625" defaultRowHeight="14.4" x14ac:dyDescent="0.3"/>
  <cols>
    <col min="1" max="1" width="91.33203125" customWidth="1"/>
    <col min="2" max="2" width="14" customWidth="1"/>
    <col min="3" max="3" width="18" customWidth="1"/>
    <col min="4" max="4" width="16" customWidth="1"/>
    <col min="5" max="5" width="14" customWidth="1"/>
    <col min="6" max="6" width="16" customWidth="1"/>
    <col min="7" max="7" width="14" customWidth="1"/>
    <col min="8" max="8" width="18" customWidth="1"/>
    <col min="9" max="9" width="14" customWidth="1"/>
    <col min="10" max="10" width="18" customWidth="1"/>
    <col min="11" max="13" width="14" customWidth="1"/>
  </cols>
  <sheetData>
    <row r="1" spans="1:13" ht="28.05" customHeight="1" x14ac:dyDescent="0.3">
      <c r="A1" s="174" t="s">
        <v>162</v>
      </c>
      <c r="B1" s="159"/>
      <c r="C1" s="159"/>
      <c r="D1" s="159"/>
      <c r="E1" s="159"/>
      <c r="F1" s="159"/>
      <c r="G1" s="159"/>
      <c r="H1" s="159"/>
      <c r="I1" s="159"/>
      <c r="J1" s="159"/>
      <c r="K1" s="159"/>
      <c r="L1" s="159"/>
      <c r="M1" s="159"/>
    </row>
    <row r="2" spans="1:13" ht="22.05" customHeight="1" x14ac:dyDescent="0.3">
      <c r="A2" s="175" t="s">
        <v>163</v>
      </c>
      <c r="B2" s="161" t="s">
        <v>164</v>
      </c>
      <c r="C2" s="161" t="s">
        <v>119</v>
      </c>
      <c r="D2" s="161" t="s">
        <v>165</v>
      </c>
      <c r="E2" s="161" t="s">
        <v>166</v>
      </c>
      <c r="F2" s="161" t="s">
        <v>167</v>
      </c>
      <c r="G2" s="161" t="s">
        <v>168</v>
      </c>
      <c r="H2" s="161" t="s">
        <v>123</v>
      </c>
      <c r="I2" s="161" t="s">
        <v>124</v>
      </c>
      <c r="J2" s="161" t="s">
        <v>169</v>
      </c>
      <c r="K2" s="175" t="s">
        <v>170</v>
      </c>
      <c r="L2" s="180"/>
      <c r="M2" s="181"/>
    </row>
    <row r="3" spans="1:13" ht="22.05" customHeight="1" x14ac:dyDescent="0.3">
      <c r="A3" s="176"/>
      <c r="B3" s="162"/>
      <c r="C3" s="162"/>
      <c r="D3" s="162"/>
      <c r="E3" s="162"/>
      <c r="F3" s="162"/>
      <c r="G3" s="162"/>
      <c r="H3" s="162"/>
      <c r="I3" s="162"/>
      <c r="J3" s="162"/>
      <c r="K3" s="182" t="s">
        <v>171</v>
      </c>
      <c r="L3" s="183"/>
      <c r="M3" s="184"/>
    </row>
    <row r="4" spans="1:13" ht="18" customHeight="1" x14ac:dyDescent="0.3">
      <c r="A4" s="150"/>
      <c r="B4" s="150"/>
      <c r="C4" s="150"/>
      <c r="D4" s="150"/>
      <c r="E4" s="150"/>
      <c r="F4" s="150"/>
      <c r="G4" s="150"/>
      <c r="H4" s="150"/>
      <c r="I4" s="150"/>
      <c r="J4" s="150"/>
      <c r="K4" s="182" t="s">
        <v>172</v>
      </c>
      <c r="L4" s="182" t="s">
        <v>173</v>
      </c>
      <c r="M4" s="182" t="s">
        <v>174</v>
      </c>
    </row>
    <row r="5" spans="1:13" ht="18" customHeight="1" x14ac:dyDescent="0.3">
      <c r="A5" s="177" t="s">
        <v>175</v>
      </c>
      <c r="B5" s="178">
        <v>0</v>
      </c>
      <c r="C5" s="178">
        <v>0</v>
      </c>
      <c r="D5" s="178" t="s">
        <v>129</v>
      </c>
      <c r="E5" s="179">
        <v>0</v>
      </c>
      <c r="F5" s="178" t="s">
        <v>129</v>
      </c>
      <c r="G5" s="179">
        <v>0</v>
      </c>
      <c r="H5" s="178" t="s">
        <v>129</v>
      </c>
      <c r="I5" s="179">
        <v>0</v>
      </c>
      <c r="J5" s="178" t="s">
        <v>129</v>
      </c>
      <c r="K5" s="178" t="s">
        <v>129</v>
      </c>
      <c r="L5" s="178" t="s">
        <v>129</v>
      </c>
      <c r="M5" s="178" t="s">
        <v>129</v>
      </c>
    </row>
    <row r="6" spans="1:13" ht="18" customHeight="1" x14ac:dyDescent="0.3">
      <c r="A6" s="177" t="s">
        <v>176</v>
      </c>
      <c r="B6" s="178">
        <v>0</v>
      </c>
      <c r="C6" s="178">
        <v>0</v>
      </c>
      <c r="D6" s="178" t="s">
        <v>129</v>
      </c>
      <c r="E6" s="179">
        <v>0</v>
      </c>
      <c r="F6" s="178" t="s">
        <v>129</v>
      </c>
      <c r="G6" s="179">
        <v>0</v>
      </c>
      <c r="H6" s="178" t="s">
        <v>129</v>
      </c>
      <c r="I6" s="179">
        <v>0</v>
      </c>
      <c r="J6" s="178" t="s">
        <v>129</v>
      </c>
      <c r="K6" s="178" t="s">
        <v>129</v>
      </c>
      <c r="L6" s="178" t="s">
        <v>129</v>
      </c>
      <c r="M6" s="178" t="s">
        <v>129</v>
      </c>
    </row>
    <row r="7" spans="1:13" ht="18" customHeight="1" x14ac:dyDescent="0.3">
      <c r="A7" s="185" t="s">
        <v>177</v>
      </c>
      <c r="B7" s="186">
        <v>33</v>
      </c>
      <c r="C7" s="186">
        <v>101047661</v>
      </c>
      <c r="D7" s="186">
        <v>101047661</v>
      </c>
      <c r="E7" s="187">
        <v>15.58</v>
      </c>
      <c r="F7" s="186">
        <v>101047661</v>
      </c>
      <c r="G7" s="187">
        <v>15.58</v>
      </c>
      <c r="H7" s="186">
        <v>101047661</v>
      </c>
      <c r="I7" s="187">
        <v>15.58</v>
      </c>
      <c r="J7" s="186">
        <v>101047661</v>
      </c>
      <c r="K7" s="188" t="s">
        <v>129</v>
      </c>
      <c r="L7" s="188" t="s">
        <v>129</v>
      </c>
      <c r="M7" s="188" t="s">
        <v>129</v>
      </c>
    </row>
    <row r="8" spans="1:13" ht="18" customHeight="1" x14ac:dyDescent="0.3">
      <c r="A8" s="185" t="s">
        <v>178</v>
      </c>
      <c r="B8" s="186">
        <v>1</v>
      </c>
      <c r="C8" s="186">
        <v>11217402</v>
      </c>
      <c r="D8" s="186">
        <v>11217402</v>
      </c>
      <c r="E8" s="187">
        <v>1.73</v>
      </c>
      <c r="F8" s="186">
        <v>11217402</v>
      </c>
      <c r="G8" s="187">
        <v>1.73</v>
      </c>
      <c r="H8" s="186">
        <v>11217402</v>
      </c>
      <c r="I8" s="187">
        <v>1.73</v>
      </c>
      <c r="J8" s="186">
        <v>11217402</v>
      </c>
      <c r="K8" s="188" t="s">
        <v>129</v>
      </c>
      <c r="L8" s="188" t="s">
        <v>129</v>
      </c>
      <c r="M8" s="188" t="s">
        <v>129</v>
      </c>
    </row>
    <row r="9" spans="1:13" ht="18" customHeight="1" x14ac:dyDescent="0.3">
      <c r="A9" s="185" t="s">
        <v>179</v>
      </c>
      <c r="B9" s="186">
        <v>1</v>
      </c>
      <c r="C9" s="186">
        <v>15085692</v>
      </c>
      <c r="D9" s="186">
        <v>15085692</v>
      </c>
      <c r="E9" s="187">
        <v>2.33</v>
      </c>
      <c r="F9" s="186">
        <v>15085692</v>
      </c>
      <c r="G9" s="187">
        <v>2.33</v>
      </c>
      <c r="H9" s="186">
        <v>15085692</v>
      </c>
      <c r="I9" s="187">
        <v>2.33</v>
      </c>
      <c r="J9" s="186">
        <v>15085692</v>
      </c>
      <c r="K9" s="188" t="s">
        <v>129</v>
      </c>
      <c r="L9" s="188" t="s">
        <v>129</v>
      </c>
      <c r="M9" s="188" t="s">
        <v>129</v>
      </c>
    </row>
    <row r="10" spans="1:13" ht="18" customHeight="1" x14ac:dyDescent="0.3">
      <c r="A10" s="185" t="s">
        <v>180</v>
      </c>
      <c r="B10" s="186">
        <v>1</v>
      </c>
      <c r="C10" s="186">
        <v>40392595</v>
      </c>
      <c r="D10" s="186">
        <v>40392595</v>
      </c>
      <c r="E10" s="187">
        <v>6.23</v>
      </c>
      <c r="F10" s="186">
        <v>40392595</v>
      </c>
      <c r="G10" s="187">
        <v>6.23</v>
      </c>
      <c r="H10" s="186">
        <v>40392595</v>
      </c>
      <c r="I10" s="187">
        <v>6.23</v>
      </c>
      <c r="J10" s="186">
        <v>40392595</v>
      </c>
      <c r="K10" s="188" t="s">
        <v>129</v>
      </c>
      <c r="L10" s="188" t="s">
        <v>129</v>
      </c>
      <c r="M10" s="188" t="s">
        <v>129</v>
      </c>
    </row>
    <row r="11" spans="1:13" ht="18" customHeight="1" x14ac:dyDescent="0.3">
      <c r="A11" s="189" t="s">
        <v>181</v>
      </c>
      <c r="B11" s="190">
        <v>18</v>
      </c>
      <c r="C11" s="190">
        <v>2156178</v>
      </c>
      <c r="D11" s="190">
        <v>2156178</v>
      </c>
      <c r="E11" s="191">
        <v>0.33</v>
      </c>
      <c r="F11" s="190">
        <v>2156178</v>
      </c>
      <c r="G11" s="191">
        <v>0.33</v>
      </c>
      <c r="H11" s="190">
        <v>2156178</v>
      </c>
      <c r="I11" s="191">
        <v>0.33</v>
      </c>
      <c r="J11" s="190">
        <v>2156178</v>
      </c>
      <c r="K11" s="192" t="s">
        <v>129</v>
      </c>
      <c r="L11" s="192" t="s">
        <v>129</v>
      </c>
      <c r="M11" s="192" t="s">
        <v>129</v>
      </c>
    </row>
    <row r="12" spans="1:13" ht="18" customHeight="1" x14ac:dyDescent="0.3">
      <c r="A12" s="185" t="s">
        <v>182</v>
      </c>
      <c r="B12" s="186">
        <v>16</v>
      </c>
      <c r="C12" s="186">
        <v>39209464</v>
      </c>
      <c r="D12" s="186">
        <v>39209464</v>
      </c>
      <c r="E12" s="187">
        <v>6.05</v>
      </c>
      <c r="F12" s="186">
        <v>39209464</v>
      </c>
      <c r="G12" s="187">
        <v>6.05</v>
      </c>
      <c r="H12" s="186">
        <v>39209464</v>
      </c>
      <c r="I12" s="187">
        <v>6.05</v>
      </c>
      <c r="J12" s="186">
        <v>39209464</v>
      </c>
      <c r="K12" s="188" t="s">
        <v>129</v>
      </c>
      <c r="L12" s="188" t="s">
        <v>129</v>
      </c>
      <c r="M12" s="188" t="s">
        <v>129</v>
      </c>
    </row>
    <row r="13" spans="1:13" ht="18" customHeight="1" x14ac:dyDescent="0.3">
      <c r="A13" s="185" t="s">
        <v>183</v>
      </c>
      <c r="B13" s="186">
        <v>1</v>
      </c>
      <c r="C13" s="186">
        <v>24285548</v>
      </c>
      <c r="D13" s="186">
        <v>24285548</v>
      </c>
      <c r="E13" s="187">
        <v>3.75</v>
      </c>
      <c r="F13" s="186">
        <v>24285548</v>
      </c>
      <c r="G13" s="187">
        <v>3.75</v>
      </c>
      <c r="H13" s="186">
        <v>24285548</v>
      </c>
      <c r="I13" s="187">
        <v>3.75</v>
      </c>
      <c r="J13" s="186">
        <v>24285548</v>
      </c>
      <c r="K13" s="188" t="s">
        <v>129</v>
      </c>
      <c r="L13" s="188" t="s">
        <v>129</v>
      </c>
      <c r="M13" s="188" t="s">
        <v>129</v>
      </c>
    </row>
    <row r="14" spans="1:13" ht="18" customHeight="1" x14ac:dyDescent="0.3">
      <c r="A14" s="193" t="s">
        <v>184</v>
      </c>
      <c r="B14" s="186">
        <v>1</v>
      </c>
      <c r="C14" s="186">
        <v>9500403</v>
      </c>
      <c r="D14" s="186">
        <v>9500403</v>
      </c>
      <c r="E14" s="187">
        <v>1.47</v>
      </c>
      <c r="F14" s="186">
        <v>9500403</v>
      </c>
      <c r="G14" s="187">
        <v>1.47</v>
      </c>
      <c r="H14" s="186">
        <v>9500403</v>
      </c>
      <c r="I14" s="187">
        <v>1.47</v>
      </c>
      <c r="J14" s="186">
        <v>9500403</v>
      </c>
      <c r="K14" s="188" t="s">
        <v>129</v>
      </c>
      <c r="L14" s="188" t="s">
        <v>129</v>
      </c>
      <c r="M14" s="188" t="s">
        <v>129</v>
      </c>
    </row>
    <row r="15" spans="1:13" ht="18" customHeight="1" x14ac:dyDescent="0.3">
      <c r="A15" s="185" t="s">
        <v>185</v>
      </c>
      <c r="B15" s="186">
        <v>1</v>
      </c>
      <c r="C15" s="186">
        <v>9500403</v>
      </c>
      <c r="D15" s="186">
        <v>9500403</v>
      </c>
      <c r="E15" s="187">
        <v>1.47</v>
      </c>
      <c r="F15" s="186">
        <v>9500403</v>
      </c>
      <c r="G15" s="187">
        <v>1.47</v>
      </c>
      <c r="H15" s="186">
        <v>9500403</v>
      </c>
      <c r="I15" s="187">
        <v>1.47</v>
      </c>
      <c r="J15" s="186">
        <v>9500403</v>
      </c>
      <c r="K15" s="188" t="s">
        <v>129</v>
      </c>
      <c r="L15" s="188" t="s">
        <v>129</v>
      </c>
      <c r="M15" s="188" t="s">
        <v>129</v>
      </c>
    </row>
    <row r="16" spans="1:13" ht="18" customHeight="1" x14ac:dyDescent="0.3">
      <c r="A16" s="189" t="s">
        <v>186</v>
      </c>
      <c r="B16" s="190">
        <v>2</v>
      </c>
      <c r="C16" s="190">
        <v>4257235</v>
      </c>
      <c r="D16" s="190">
        <v>4257235</v>
      </c>
      <c r="E16" s="191">
        <v>0.66</v>
      </c>
      <c r="F16" s="190">
        <v>4257235</v>
      </c>
      <c r="G16" s="191">
        <v>0.66</v>
      </c>
      <c r="H16" s="190">
        <v>4257235</v>
      </c>
      <c r="I16" s="191">
        <v>0.66</v>
      </c>
      <c r="J16" s="190">
        <v>4257235</v>
      </c>
      <c r="K16" s="192" t="s">
        <v>129</v>
      </c>
      <c r="L16" s="192" t="s">
        <v>129</v>
      </c>
      <c r="M16" s="192" t="s">
        <v>129</v>
      </c>
    </row>
    <row r="17" spans="1:13" ht="18" customHeight="1" x14ac:dyDescent="0.3">
      <c r="A17" s="189" t="s">
        <v>187</v>
      </c>
      <c r="B17" s="190">
        <v>1</v>
      </c>
      <c r="C17" s="190">
        <v>39</v>
      </c>
      <c r="D17" s="190">
        <v>39</v>
      </c>
      <c r="E17" s="191">
        <v>0</v>
      </c>
      <c r="F17" s="190">
        <v>39</v>
      </c>
      <c r="G17" s="191">
        <v>0</v>
      </c>
      <c r="H17" s="190">
        <v>39</v>
      </c>
      <c r="I17" s="191">
        <v>0</v>
      </c>
      <c r="J17" s="190">
        <v>39</v>
      </c>
      <c r="K17" s="192" t="s">
        <v>129</v>
      </c>
      <c r="L17" s="192" t="s">
        <v>129</v>
      </c>
      <c r="M17" s="192" t="s">
        <v>129</v>
      </c>
    </row>
    <row r="18" spans="1:13" ht="18" customHeight="1" x14ac:dyDescent="0.3">
      <c r="A18" s="194" t="s">
        <v>188</v>
      </c>
      <c r="B18" s="186">
        <v>71</v>
      </c>
      <c r="C18" s="186">
        <v>156170980</v>
      </c>
      <c r="D18" s="186">
        <v>156170980</v>
      </c>
      <c r="E18" s="187">
        <v>24.08</v>
      </c>
      <c r="F18" s="186">
        <v>156170980</v>
      </c>
      <c r="G18" s="187">
        <v>24.08</v>
      </c>
      <c r="H18" s="186">
        <v>156170980</v>
      </c>
      <c r="I18" s="187">
        <v>24.08</v>
      </c>
      <c r="J18" s="186">
        <v>156170980</v>
      </c>
      <c r="K18" s="188" t="s">
        <v>129</v>
      </c>
      <c r="L18" s="188" t="s">
        <v>129</v>
      </c>
      <c r="M18" s="188" t="s">
        <v>129</v>
      </c>
    </row>
    <row r="19" spans="1:13" ht="18" customHeight="1" x14ac:dyDescent="0.3">
      <c r="A19" s="177" t="s">
        <v>189</v>
      </c>
      <c r="B19" s="178">
        <v>0</v>
      </c>
      <c r="C19" s="178">
        <v>0</v>
      </c>
      <c r="D19" s="178" t="s">
        <v>129</v>
      </c>
      <c r="E19" s="179">
        <v>0</v>
      </c>
      <c r="F19" s="178" t="s">
        <v>129</v>
      </c>
      <c r="G19" s="179">
        <v>0</v>
      </c>
      <c r="H19" s="178" t="s">
        <v>129</v>
      </c>
      <c r="I19" s="179">
        <v>0</v>
      </c>
      <c r="J19" s="178" t="s">
        <v>129</v>
      </c>
      <c r="K19" s="178" t="s">
        <v>129</v>
      </c>
      <c r="L19" s="178" t="s">
        <v>129</v>
      </c>
      <c r="M19" s="178" t="s">
        <v>129</v>
      </c>
    </row>
    <row r="20" spans="1:13" ht="18" customHeight="1" x14ac:dyDescent="0.3">
      <c r="A20" s="185" t="s">
        <v>190</v>
      </c>
      <c r="B20" s="186">
        <v>663</v>
      </c>
      <c r="C20" s="186">
        <v>174076658</v>
      </c>
      <c r="D20" s="186">
        <v>174076658</v>
      </c>
      <c r="E20" s="187">
        <v>26.85</v>
      </c>
      <c r="F20" s="186">
        <v>174076658</v>
      </c>
      <c r="G20" s="187">
        <v>26.85</v>
      </c>
      <c r="H20" s="186">
        <v>174076658</v>
      </c>
      <c r="I20" s="187">
        <v>26.85</v>
      </c>
      <c r="J20" s="186">
        <v>174076658</v>
      </c>
      <c r="K20" s="188" t="s">
        <v>129</v>
      </c>
      <c r="L20" s="188" t="s">
        <v>129</v>
      </c>
      <c r="M20" s="188" t="s">
        <v>129</v>
      </c>
    </row>
    <row r="21" spans="1:13" ht="18" customHeight="1" x14ac:dyDescent="0.3">
      <c r="A21" s="185" t="s">
        <v>191</v>
      </c>
      <c r="B21" s="186">
        <v>1</v>
      </c>
      <c r="C21" s="186">
        <v>12411886</v>
      </c>
      <c r="D21" s="186">
        <v>12411886</v>
      </c>
      <c r="E21" s="187">
        <v>1.91</v>
      </c>
      <c r="F21" s="186">
        <v>12411886</v>
      </c>
      <c r="G21" s="187">
        <v>1.91</v>
      </c>
      <c r="H21" s="186">
        <v>12411886</v>
      </c>
      <c r="I21" s="187">
        <v>1.91</v>
      </c>
      <c r="J21" s="186">
        <v>12411886</v>
      </c>
      <c r="K21" s="188" t="s">
        <v>129</v>
      </c>
      <c r="L21" s="188" t="s">
        <v>129</v>
      </c>
      <c r="M21" s="188" t="s">
        <v>129</v>
      </c>
    </row>
    <row r="22" spans="1:13" ht="18" customHeight="1" x14ac:dyDescent="0.3">
      <c r="A22" s="185" t="s">
        <v>192</v>
      </c>
      <c r="B22" s="186">
        <v>1</v>
      </c>
      <c r="C22" s="186">
        <v>17912369</v>
      </c>
      <c r="D22" s="186">
        <v>17912369</v>
      </c>
      <c r="E22" s="187">
        <v>2.76</v>
      </c>
      <c r="F22" s="186">
        <v>17912369</v>
      </c>
      <c r="G22" s="187">
        <v>2.76</v>
      </c>
      <c r="H22" s="186">
        <v>17912369</v>
      </c>
      <c r="I22" s="187">
        <v>2.76</v>
      </c>
      <c r="J22" s="186">
        <v>17912369</v>
      </c>
      <c r="K22" s="188" t="s">
        <v>129</v>
      </c>
      <c r="L22" s="188" t="s">
        <v>129</v>
      </c>
      <c r="M22" s="188" t="s">
        <v>129</v>
      </c>
    </row>
    <row r="23" spans="1:13" ht="18" customHeight="1" x14ac:dyDescent="0.3">
      <c r="A23" s="185" t="s">
        <v>193</v>
      </c>
      <c r="B23" s="186">
        <v>1</v>
      </c>
      <c r="C23" s="186">
        <v>18318465</v>
      </c>
      <c r="D23" s="186">
        <v>18318465</v>
      </c>
      <c r="E23" s="187">
        <v>2.83</v>
      </c>
      <c r="F23" s="186">
        <v>18318465</v>
      </c>
      <c r="G23" s="187">
        <v>2.83</v>
      </c>
      <c r="H23" s="186">
        <v>18318465</v>
      </c>
      <c r="I23" s="187">
        <v>2.83</v>
      </c>
      <c r="J23" s="186">
        <v>18318465</v>
      </c>
      <c r="K23" s="188" t="s">
        <v>129</v>
      </c>
      <c r="L23" s="188" t="s">
        <v>129</v>
      </c>
      <c r="M23" s="188" t="s">
        <v>129</v>
      </c>
    </row>
    <row r="24" spans="1:13" ht="18" customHeight="1" x14ac:dyDescent="0.3">
      <c r="A24" s="185" t="s">
        <v>194</v>
      </c>
      <c r="B24" s="186">
        <v>30</v>
      </c>
      <c r="C24" s="186">
        <v>7271994</v>
      </c>
      <c r="D24" s="186">
        <v>7271994</v>
      </c>
      <c r="E24" s="187">
        <v>1.1200000000000001</v>
      </c>
      <c r="F24" s="186">
        <v>7271994</v>
      </c>
      <c r="G24" s="187">
        <v>1.1200000000000001</v>
      </c>
      <c r="H24" s="186">
        <v>7271994</v>
      </c>
      <c r="I24" s="187">
        <v>1.1200000000000001</v>
      </c>
      <c r="J24" s="186">
        <v>7271994</v>
      </c>
      <c r="K24" s="188" t="s">
        <v>129</v>
      </c>
      <c r="L24" s="188" t="s">
        <v>129</v>
      </c>
      <c r="M24" s="188" t="s">
        <v>129</v>
      </c>
    </row>
    <row r="25" spans="1:13" ht="18" customHeight="1" x14ac:dyDescent="0.3">
      <c r="A25" s="155" t="s">
        <v>195</v>
      </c>
      <c r="B25" s="156">
        <v>693</v>
      </c>
      <c r="C25" s="156">
        <v>181348652</v>
      </c>
      <c r="D25" s="156">
        <v>181348652</v>
      </c>
      <c r="E25" s="157">
        <v>27.97</v>
      </c>
      <c r="F25" s="156">
        <v>181348652</v>
      </c>
      <c r="G25" s="157">
        <v>27.97</v>
      </c>
      <c r="H25" s="156">
        <v>181348652</v>
      </c>
      <c r="I25" s="157">
        <v>27.97</v>
      </c>
      <c r="J25" s="156">
        <v>181348652</v>
      </c>
      <c r="K25" s="158" t="s">
        <v>129</v>
      </c>
      <c r="L25" s="158" t="s">
        <v>129</v>
      </c>
      <c r="M25" s="158" t="s">
        <v>129</v>
      </c>
    </row>
    <row r="26" spans="1:13" ht="18" customHeight="1" x14ac:dyDescent="0.3">
      <c r="A26" s="177" t="s">
        <v>196</v>
      </c>
      <c r="B26" s="178">
        <v>0</v>
      </c>
      <c r="C26" s="178">
        <v>0</v>
      </c>
      <c r="D26" s="178" t="s">
        <v>129</v>
      </c>
      <c r="E26" s="179">
        <v>0</v>
      </c>
      <c r="F26" s="178" t="s">
        <v>129</v>
      </c>
      <c r="G26" s="179">
        <v>0</v>
      </c>
      <c r="H26" s="178" t="s">
        <v>129</v>
      </c>
      <c r="I26" s="179">
        <v>0</v>
      </c>
      <c r="J26" s="178" t="s">
        <v>129</v>
      </c>
      <c r="K26" s="178" t="s">
        <v>129</v>
      </c>
      <c r="L26" s="178" t="s">
        <v>129</v>
      </c>
      <c r="M26" s="178" t="s">
        <v>129</v>
      </c>
    </row>
    <row r="27" spans="1:13" ht="18" customHeight="1" x14ac:dyDescent="0.3">
      <c r="A27" s="151" t="s">
        <v>197</v>
      </c>
      <c r="B27" s="152">
        <v>1</v>
      </c>
      <c r="C27" s="152">
        <v>26949</v>
      </c>
      <c r="D27" s="152">
        <v>26949</v>
      </c>
      <c r="E27" s="153">
        <v>0</v>
      </c>
      <c r="F27" s="152">
        <v>26949</v>
      </c>
      <c r="G27" s="153">
        <v>0</v>
      </c>
      <c r="H27" s="152">
        <v>26949</v>
      </c>
      <c r="I27" s="153">
        <v>0</v>
      </c>
      <c r="J27" s="152">
        <v>26949</v>
      </c>
      <c r="K27" s="154" t="s">
        <v>129</v>
      </c>
      <c r="L27" s="154" t="s">
        <v>129</v>
      </c>
      <c r="M27" s="154" t="s">
        <v>129</v>
      </c>
    </row>
    <row r="28" spans="1:13" ht="18" customHeight="1" x14ac:dyDescent="0.3">
      <c r="A28" s="155" t="s">
        <v>198</v>
      </c>
      <c r="B28" s="156">
        <v>1</v>
      </c>
      <c r="C28" s="156">
        <v>26949</v>
      </c>
      <c r="D28" s="156">
        <v>26949</v>
      </c>
      <c r="E28" s="157">
        <v>0</v>
      </c>
      <c r="F28" s="156">
        <v>26949</v>
      </c>
      <c r="G28" s="157">
        <v>0</v>
      </c>
      <c r="H28" s="156">
        <v>26949</v>
      </c>
      <c r="I28" s="157">
        <v>0</v>
      </c>
      <c r="J28" s="156">
        <v>26949</v>
      </c>
      <c r="K28" s="158" t="s">
        <v>129</v>
      </c>
      <c r="L28" s="158" t="s">
        <v>129</v>
      </c>
      <c r="M28" s="158" t="s">
        <v>129</v>
      </c>
    </row>
    <row r="29" spans="1:13" ht="18" customHeight="1" x14ac:dyDescent="0.3">
      <c r="A29" s="177" t="s">
        <v>199</v>
      </c>
      <c r="B29" s="178">
        <v>0</v>
      </c>
      <c r="C29" s="178">
        <v>0</v>
      </c>
      <c r="D29" s="178" t="s">
        <v>129</v>
      </c>
      <c r="E29" s="179">
        <v>0</v>
      </c>
      <c r="F29" s="178" t="s">
        <v>129</v>
      </c>
      <c r="G29" s="179">
        <v>0</v>
      </c>
      <c r="H29" s="178" t="s">
        <v>129</v>
      </c>
      <c r="I29" s="179">
        <v>0</v>
      </c>
      <c r="J29" s="178" t="s">
        <v>129</v>
      </c>
      <c r="K29" s="178" t="s">
        <v>129</v>
      </c>
      <c r="L29" s="178" t="s">
        <v>129</v>
      </c>
      <c r="M29" s="178" t="s">
        <v>129</v>
      </c>
    </row>
    <row r="30" spans="1:13" ht="18" customHeight="1" x14ac:dyDescent="0.3">
      <c r="A30" s="185" t="s">
        <v>200</v>
      </c>
      <c r="B30" s="186">
        <v>2</v>
      </c>
      <c r="C30" s="186">
        <v>11641497</v>
      </c>
      <c r="D30" s="186">
        <v>11641497</v>
      </c>
      <c r="E30" s="187">
        <v>1.8</v>
      </c>
      <c r="F30" s="186">
        <v>11641497</v>
      </c>
      <c r="G30" s="187">
        <v>1.8</v>
      </c>
      <c r="H30" s="186">
        <v>11641497</v>
      </c>
      <c r="I30" s="187">
        <v>1.8</v>
      </c>
      <c r="J30" s="186">
        <v>11641497</v>
      </c>
      <c r="K30" s="188" t="s">
        <v>129</v>
      </c>
      <c r="L30" s="188" t="s">
        <v>129</v>
      </c>
      <c r="M30" s="188" t="s">
        <v>129</v>
      </c>
    </row>
    <row r="31" spans="1:13" ht="18" customHeight="1" x14ac:dyDescent="0.3">
      <c r="A31" s="185" t="s">
        <v>201</v>
      </c>
      <c r="B31" s="186">
        <v>1</v>
      </c>
      <c r="C31" s="186">
        <v>11555795</v>
      </c>
      <c r="D31" s="186">
        <v>11555795</v>
      </c>
      <c r="E31" s="187">
        <v>1.78</v>
      </c>
      <c r="F31" s="186">
        <v>11555795</v>
      </c>
      <c r="G31" s="187">
        <v>1.78</v>
      </c>
      <c r="H31" s="186">
        <v>11555795</v>
      </c>
      <c r="I31" s="187">
        <v>1.78</v>
      </c>
      <c r="J31" s="186">
        <v>11555795</v>
      </c>
      <c r="K31" s="188" t="s">
        <v>129</v>
      </c>
      <c r="L31" s="188" t="s">
        <v>129</v>
      </c>
      <c r="M31" s="188" t="s">
        <v>129</v>
      </c>
    </row>
    <row r="32" spans="1:13" ht="18" customHeight="1" x14ac:dyDescent="0.3">
      <c r="A32" s="185" t="s">
        <v>202</v>
      </c>
      <c r="B32" s="186">
        <v>1</v>
      </c>
      <c r="C32" s="186">
        <v>6815145</v>
      </c>
      <c r="D32" s="186">
        <v>6815145</v>
      </c>
      <c r="E32" s="187">
        <v>1.05</v>
      </c>
      <c r="F32" s="186">
        <v>6815145</v>
      </c>
      <c r="G32" s="187">
        <v>1.05</v>
      </c>
      <c r="H32" s="186">
        <v>6815145</v>
      </c>
      <c r="I32" s="187">
        <v>1.05</v>
      </c>
      <c r="J32" s="186">
        <v>6815145</v>
      </c>
      <c r="K32" s="188" t="s">
        <v>129</v>
      </c>
      <c r="L32" s="188" t="s">
        <v>129</v>
      </c>
      <c r="M32" s="188" t="s">
        <v>129</v>
      </c>
    </row>
    <row r="33" spans="1:13" ht="18" customHeight="1" x14ac:dyDescent="0.3">
      <c r="A33" s="185" t="s">
        <v>203</v>
      </c>
      <c r="B33" s="186">
        <v>1</v>
      </c>
      <c r="C33" s="186">
        <v>6815145</v>
      </c>
      <c r="D33" s="186">
        <v>6815145</v>
      </c>
      <c r="E33" s="187">
        <v>1.05</v>
      </c>
      <c r="F33" s="186">
        <v>6815145</v>
      </c>
      <c r="G33" s="187">
        <v>1.05</v>
      </c>
      <c r="H33" s="186">
        <v>6815145</v>
      </c>
      <c r="I33" s="187">
        <v>1.05</v>
      </c>
      <c r="J33" s="186">
        <v>6815145</v>
      </c>
      <c r="K33" s="188" t="s">
        <v>129</v>
      </c>
      <c r="L33" s="188" t="s">
        <v>129</v>
      </c>
      <c r="M33" s="188" t="s">
        <v>129</v>
      </c>
    </row>
    <row r="34" spans="1:13" ht="18" customHeight="1" x14ac:dyDescent="0.3">
      <c r="A34" s="189" t="s">
        <v>204</v>
      </c>
      <c r="B34" s="190">
        <v>1</v>
      </c>
      <c r="C34" s="190">
        <v>53070</v>
      </c>
      <c r="D34" s="190">
        <v>53070</v>
      </c>
      <c r="E34" s="191">
        <v>0.01</v>
      </c>
      <c r="F34" s="190">
        <v>53070</v>
      </c>
      <c r="G34" s="191">
        <v>0.01</v>
      </c>
      <c r="H34" s="190">
        <v>53070</v>
      </c>
      <c r="I34" s="191">
        <v>0.01</v>
      </c>
      <c r="J34" s="190">
        <v>53070</v>
      </c>
      <c r="K34" s="192" t="s">
        <v>129</v>
      </c>
      <c r="L34" s="192" t="s">
        <v>129</v>
      </c>
      <c r="M34" s="192" t="s">
        <v>129</v>
      </c>
    </row>
    <row r="35" spans="1:13" ht="18" customHeight="1" x14ac:dyDescent="0.3">
      <c r="A35" s="185" t="s">
        <v>205</v>
      </c>
      <c r="B35" s="186">
        <v>223109</v>
      </c>
      <c r="C35" s="186">
        <v>21427661</v>
      </c>
      <c r="D35" s="186">
        <v>21427661</v>
      </c>
      <c r="E35" s="187">
        <v>3.3</v>
      </c>
      <c r="F35" s="186">
        <v>21427661</v>
      </c>
      <c r="G35" s="187">
        <v>3.3</v>
      </c>
      <c r="H35" s="186">
        <v>21427661</v>
      </c>
      <c r="I35" s="187">
        <v>3.3</v>
      </c>
      <c r="J35" s="186">
        <v>21421006</v>
      </c>
      <c r="K35" s="188" t="s">
        <v>129</v>
      </c>
      <c r="L35" s="188" t="s">
        <v>129</v>
      </c>
      <c r="M35" s="188" t="s">
        <v>129</v>
      </c>
    </row>
    <row r="36" spans="1:13" ht="18" customHeight="1" x14ac:dyDescent="0.3">
      <c r="A36" s="185" t="s">
        <v>206</v>
      </c>
      <c r="B36" s="186">
        <v>20</v>
      </c>
      <c r="C36" s="186">
        <v>19257629</v>
      </c>
      <c r="D36" s="186">
        <v>19257629</v>
      </c>
      <c r="E36" s="187">
        <v>2.97</v>
      </c>
      <c r="F36" s="186">
        <v>19257629</v>
      </c>
      <c r="G36" s="187">
        <v>2.97</v>
      </c>
      <c r="H36" s="186">
        <v>19257629</v>
      </c>
      <c r="I36" s="187">
        <v>2.97</v>
      </c>
      <c r="J36" s="186">
        <v>19257629</v>
      </c>
      <c r="K36" s="188" t="s">
        <v>129</v>
      </c>
      <c r="L36" s="188" t="s">
        <v>129</v>
      </c>
      <c r="M36" s="188" t="s">
        <v>129</v>
      </c>
    </row>
    <row r="37" spans="1:13" ht="18" customHeight="1" x14ac:dyDescent="0.3">
      <c r="A37" s="185" t="s">
        <v>207</v>
      </c>
      <c r="B37" s="186">
        <v>1</v>
      </c>
      <c r="C37" s="186">
        <v>15667375</v>
      </c>
      <c r="D37" s="186">
        <v>15667375</v>
      </c>
      <c r="E37" s="187">
        <v>2.42</v>
      </c>
      <c r="F37" s="186">
        <v>15667375</v>
      </c>
      <c r="G37" s="187">
        <v>2.42</v>
      </c>
      <c r="H37" s="186">
        <v>15667375</v>
      </c>
      <c r="I37" s="187">
        <v>2.42</v>
      </c>
      <c r="J37" s="186">
        <v>15667375</v>
      </c>
      <c r="K37" s="188" t="s">
        <v>129</v>
      </c>
      <c r="L37" s="188" t="s">
        <v>129</v>
      </c>
      <c r="M37" s="188" t="s">
        <v>129</v>
      </c>
    </row>
    <row r="38" spans="1:13" ht="18" customHeight="1" x14ac:dyDescent="0.3">
      <c r="A38" s="189" t="s">
        <v>208</v>
      </c>
      <c r="B38" s="190">
        <v>5987</v>
      </c>
      <c r="C38" s="190">
        <v>4238493</v>
      </c>
      <c r="D38" s="190">
        <v>4238493</v>
      </c>
      <c r="E38" s="191">
        <v>0.65</v>
      </c>
      <c r="F38" s="190">
        <v>4238493</v>
      </c>
      <c r="G38" s="191">
        <v>0.65</v>
      </c>
      <c r="H38" s="190">
        <v>4238493</v>
      </c>
      <c r="I38" s="191">
        <v>0.65</v>
      </c>
      <c r="J38" s="190">
        <v>4238493</v>
      </c>
      <c r="K38" s="192" t="s">
        <v>129</v>
      </c>
      <c r="L38" s="192" t="s">
        <v>129</v>
      </c>
      <c r="M38" s="192" t="s">
        <v>129</v>
      </c>
    </row>
    <row r="39" spans="1:13" ht="18" customHeight="1" x14ac:dyDescent="0.3">
      <c r="A39" s="189" t="s">
        <v>209</v>
      </c>
      <c r="B39" s="190">
        <v>1027</v>
      </c>
      <c r="C39" s="190">
        <v>1438787</v>
      </c>
      <c r="D39" s="190">
        <v>1438787</v>
      </c>
      <c r="E39" s="191">
        <v>0.22</v>
      </c>
      <c r="F39" s="190">
        <v>1438787</v>
      </c>
      <c r="G39" s="191">
        <v>0.22</v>
      </c>
      <c r="H39" s="190">
        <v>1438787</v>
      </c>
      <c r="I39" s="191">
        <v>0.22</v>
      </c>
      <c r="J39" s="190">
        <v>1438787</v>
      </c>
      <c r="K39" s="192" t="s">
        <v>129</v>
      </c>
      <c r="L39" s="192" t="s">
        <v>129</v>
      </c>
      <c r="M39" s="192" t="s">
        <v>129</v>
      </c>
    </row>
    <row r="40" spans="1:13" ht="18" customHeight="1" x14ac:dyDescent="0.3">
      <c r="A40" s="189" t="s">
        <v>154</v>
      </c>
      <c r="B40" s="190">
        <v>6043</v>
      </c>
      <c r="C40" s="190">
        <v>2191900</v>
      </c>
      <c r="D40" s="190">
        <v>2191900</v>
      </c>
      <c r="E40" s="191">
        <v>0.34</v>
      </c>
      <c r="F40" s="190">
        <v>2191900</v>
      </c>
      <c r="G40" s="191">
        <v>0.34</v>
      </c>
      <c r="H40" s="190">
        <v>2191900</v>
      </c>
      <c r="I40" s="191">
        <v>0.34</v>
      </c>
      <c r="J40" s="190">
        <v>2191900</v>
      </c>
      <c r="K40" s="192" t="s">
        <v>129</v>
      </c>
      <c r="L40" s="192" t="s">
        <v>129</v>
      </c>
      <c r="M40" s="192" t="s">
        <v>129</v>
      </c>
    </row>
    <row r="41" spans="1:13" ht="18" customHeight="1" x14ac:dyDescent="0.3">
      <c r="A41" s="189" t="s">
        <v>154</v>
      </c>
      <c r="B41" s="190">
        <v>27</v>
      </c>
      <c r="C41" s="190">
        <v>900079</v>
      </c>
      <c r="D41" s="190">
        <v>900079</v>
      </c>
      <c r="E41" s="191">
        <v>0.14000000000000001</v>
      </c>
      <c r="F41" s="190">
        <v>900079</v>
      </c>
      <c r="G41" s="191">
        <v>0.14000000000000001</v>
      </c>
      <c r="H41" s="190">
        <v>900079</v>
      </c>
      <c r="I41" s="191">
        <v>0.14000000000000001</v>
      </c>
      <c r="J41" s="190">
        <v>900079</v>
      </c>
      <c r="K41" s="192" t="s">
        <v>129</v>
      </c>
      <c r="L41" s="192" t="s">
        <v>129</v>
      </c>
      <c r="M41" s="192" t="s">
        <v>129</v>
      </c>
    </row>
    <row r="42" spans="1:13" ht="18" customHeight="1" x14ac:dyDescent="0.3">
      <c r="A42" s="189" t="s">
        <v>154</v>
      </c>
      <c r="B42" s="190">
        <v>4</v>
      </c>
      <c r="C42" s="190">
        <v>518410</v>
      </c>
      <c r="D42" s="190">
        <v>518410</v>
      </c>
      <c r="E42" s="191">
        <v>0.08</v>
      </c>
      <c r="F42" s="190">
        <v>518410</v>
      </c>
      <c r="G42" s="191">
        <v>0.08</v>
      </c>
      <c r="H42" s="190">
        <v>518410</v>
      </c>
      <c r="I42" s="191">
        <v>0.08</v>
      </c>
      <c r="J42" s="190">
        <v>518410</v>
      </c>
      <c r="K42" s="192" t="s">
        <v>129</v>
      </c>
      <c r="L42" s="192" t="s">
        <v>129</v>
      </c>
      <c r="M42" s="192" t="s">
        <v>129</v>
      </c>
    </row>
    <row r="43" spans="1:13" ht="18" customHeight="1" x14ac:dyDescent="0.3">
      <c r="A43" s="189" t="s">
        <v>210</v>
      </c>
      <c r="B43" s="190">
        <v>129</v>
      </c>
      <c r="C43" s="190">
        <v>222095</v>
      </c>
      <c r="D43" s="190">
        <v>222095</v>
      </c>
      <c r="E43" s="191">
        <v>0.03</v>
      </c>
      <c r="F43" s="190">
        <v>222095</v>
      </c>
      <c r="G43" s="191">
        <v>0.03</v>
      </c>
      <c r="H43" s="190">
        <v>222095</v>
      </c>
      <c r="I43" s="191">
        <v>0.03</v>
      </c>
      <c r="J43" s="190">
        <v>222095</v>
      </c>
      <c r="K43" s="192" t="s">
        <v>129</v>
      </c>
      <c r="L43" s="192" t="s">
        <v>129</v>
      </c>
      <c r="M43" s="192" t="s">
        <v>129</v>
      </c>
    </row>
    <row r="44" spans="1:13" ht="18" customHeight="1" x14ac:dyDescent="0.3">
      <c r="A44" s="189" t="s">
        <v>154</v>
      </c>
      <c r="B44" s="190">
        <v>5855</v>
      </c>
      <c r="C44" s="190">
        <v>421783</v>
      </c>
      <c r="D44" s="190">
        <v>421783</v>
      </c>
      <c r="E44" s="191">
        <v>7.0000000000000007E-2</v>
      </c>
      <c r="F44" s="190">
        <v>421783</v>
      </c>
      <c r="G44" s="191">
        <v>7.0000000000000007E-2</v>
      </c>
      <c r="H44" s="190">
        <v>421783</v>
      </c>
      <c r="I44" s="191">
        <v>7.0000000000000007E-2</v>
      </c>
      <c r="J44" s="190">
        <v>421783</v>
      </c>
      <c r="K44" s="192" t="s">
        <v>129</v>
      </c>
      <c r="L44" s="192" t="s">
        <v>129</v>
      </c>
      <c r="M44" s="192" t="s">
        <v>129</v>
      </c>
    </row>
    <row r="45" spans="1:13" ht="18" customHeight="1" x14ac:dyDescent="0.3">
      <c r="A45" s="189" t="s">
        <v>154</v>
      </c>
      <c r="B45" s="190">
        <v>28</v>
      </c>
      <c r="C45" s="190">
        <v>129533</v>
      </c>
      <c r="D45" s="190">
        <v>129533</v>
      </c>
      <c r="E45" s="191">
        <v>0.02</v>
      </c>
      <c r="F45" s="190">
        <v>129533</v>
      </c>
      <c r="G45" s="191">
        <v>0.02</v>
      </c>
      <c r="H45" s="190">
        <v>129533</v>
      </c>
      <c r="I45" s="191">
        <v>0.02</v>
      </c>
      <c r="J45" s="190">
        <v>129533</v>
      </c>
      <c r="K45" s="192" t="s">
        <v>129</v>
      </c>
      <c r="L45" s="192" t="s">
        <v>129</v>
      </c>
      <c r="M45" s="192" t="s">
        <v>129</v>
      </c>
    </row>
    <row r="46" spans="1:13" ht="18" customHeight="1" x14ac:dyDescent="0.3">
      <c r="A46" s="194" t="s">
        <v>211</v>
      </c>
      <c r="B46" s="186">
        <v>236190</v>
      </c>
      <c r="C46" s="186">
        <v>67064182</v>
      </c>
      <c r="D46" s="186">
        <v>67064182</v>
      </c>
      <c r="E46" s="187">
        <v>10.34</v>
      </c>
      <c r="F46" s="186">
        <v>67064182</v>
      </c>
      <c r="G46" s="187">
        <v>10.34</v>
      </c>
      <c r="H46" s="186">
        <v>67064182</v>
      </c>
      <c r="I46" s="187">
        <v>10.34</v>
      </c>
      <c r="J46" s="186">
        <v>67057527</v>
      </c>
      <c r="K46" s="188" t="s">
        <v>129</v>
      </c>
      <c r="L46" s="188" t="s">
        <v>129</v>
      </c>
      <c r="M46" s="188" t="s">
        <v>129</v>
      </c>
    </row>
    <row r="47" spans="1:13" x14ac:dyDescent="0.3">
      <c r="A47" s="177" t="s">
        <v>212</v>
      </c>
      <c r="B47" s="231">
        <v>236955</v>
      </c>
      <c r="C47" s="231">
        <v>404610763</v>
      </c>
      <c r="D47" s="231">
        <v>404610763</v>
      </c>
      <c r="E47" s="179">
        <v>62.4</v>
      </c>
      <c r="F47" s="231">
        <v>404610763</v>
      </c>
      <c r="G47" s="179">
        <v>62.4</v>
      </c>
      <c r="H47" s="231">
        <v>404610763</v>
      </c>
      <c r="I47" s="179">
        <v>62.4</v>
      </c>
      <c r="J47" s="231">
        <v>404604108</v>
      </c>
      <c r="K47" s="232" t="s">
        <v>129</v>
      </c>
      <c r="L47" s="232" t="s">
        <v>129</v>
      </c>
      <c r="M47" s="232" t="s">
        <v>129</v>
      </c>
    </row>
  </sheetData>
  <mergeCells count="12">
    <mergeCell ref="K1:M1"/>
    <mergeCell ref="K2:M2"/>
    <mergeCell ref="A1:A3"/>
    <mergeCell ref="B1:B3"/>
    <mergeCell ref="C1:C3"/>
    <mergeCell ref="D1:D3"/>
    <mergeCell ref="E1:E3"/>
    <mergeCell ref="F1:F3"/>
    <mergeCell ref="G1:G3"/>
    <mergeCell ref="H1:H3"/>
    <mergeCell ref="I1:I3"/>
    <mergeCell ref="J1:J3"/>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1"/>
  <sheetViews>
    <sheetView showGridLines="0" topLeftCell="A36" workbookViewId="0">
      <selection activeCell="H15" sqref="H15"/>
    </sheetView>
  </sheetViews>
  <sheetFormatPr defaultColWidth="8.6640625" defaultRowHeight="14.4" x14ac:dyDescent="0.3"/>
  <cols>
    <col min="1" max="1" width="60.77734375" customWidth="1"/>
    <col min="2" max="6" width="12" customWidth="1"/>
  </cols>
  <sheetData>
    <row r="1" spans="1:6" ht="15" customHeight="1" x14ac:dyDescent="0.3">
      <c r="A1" s="147" t="s">
        <v>213</v>
      </c>
    </row>
    <row r="2" spans="1:6" ht="14.25" customHeight="1" x14ac:dyDescent="0.3">
      <c r="A2" s="148" t="s">
        <v>214</v>
      </c>
    </row>
    <row r="3" spans="1:6" ht="14.25" customHeight="1" thickBot="1" x14ac:dyDescent="0.35">
      <c r="A3" s="233" t="s">
        <v>215</v>
      </c>
      <c r="B3" s="233" t="s">
        <v>216</v>
      </c>
      <c r="C3" s="233" t="s">
        <v>217</v>
      </c>
      <c r="D3" s="233" t="s">
        <v>218</v>
      </c>
      <c r="E3" s="233" t="s">
        <v>219</v>
      </c>
      <c r="F3" s="233" t="s">
        <v>220</v>
      </c>
    </row>
    <row r="4" spans="1:6" ht="14.25" customHeight="1" x14ac:dyDescent="0.3">
      <c r="A4" s="234" t="s">
        <v>221</v>
      </c>
      <c r="B4" s="235"/>
      <c r="C4" s="235"/>
      <c r="D4" s="235"/>
      <c r="E4" s="235"/>
      <c r="F4" s="236"/>
    </row>
    <row r="5" spans="1:6" ht="14.25" customHeight="1" x14ac:dyDescent="0.3">
      <c r="A5" s="237" t="s">
        <v>222</v>
      </c>
      <c r="B5" s="238"/>
      <c r="C5" s="238"/>
      <c r="D5" s="238"/>
      <c r="E5" s="238"/>
      <c r="F5" s="239"/>
    </row>
    <row r="6" spans="1:6" ht="14.25" customHeight="1" x14ac:dyDescent="0.3">
      <c r="A6" s="240" t="s">
        <v>223</v>
      </c>
      <c r="B6" s="238">
        <v>128.71</v>
      </c>
      <c r="C6" s="238">
        <v>129.01</v>
      </c>
      <c r="D6" s="238">
        <v>129.13</v>
      </c>
      <c r="E6" s="238">
        <v>129.43</v>
      </c>
      <c r="F6" s="239">
        <v>129.55000000000001</v>
      </c>
    </row>
    <row r="7" spans="1:6" ht="14.25" customHeight="1" x14ac:dyDescent="0.3">
      <c r="A7" s="241" t="s">
        <v>224</v>
      </c>
      <c r="B7" s="242">
        <v>128.71</v>
      </c>
      <c r="C7" s="242">
        <v>129.01</v>
      </c>
      <c r="D7" s="242">
        <v>129.13</v>
      </c>
      <c r="E7" s="242">
        <v>129.43</v>
      </c>
      <c r="F7" s="243">
        <v>129.55000000000001</v>
      </c>
    </row>
    <row r="8" spans="1:6" ht="14.25" customHeight="1" x14ac:dyDescent="0.3">
      <c r="A8" s="240" t="s">
        <v>225</v>
      </c>
      <c r="B8" s="238">
        <v>17112.66</v>
      </c>
      <c r="C8" s="238">
        <v>13104.8</v>
      </c>
      <c r="D8" s="238">
        <v>29945.43</v>
      </c>
      <c r="E8" s="238">
        <v>34773.629999999997</v>
      </c>
      <c r="F8" s="239">
        <v>37783.589999999997</v>
      </c>
    </row>
    <row r="9" spans="1:6" ht="14.25" customHeight="1" x14ac:dyDescent="0.3">
      <c r="A9" s="241" t="s">
        <v>226</v>
      </c>
      <c r="B9" s="242">
        <v>17112.66</v>
      </c>
      <c r="C9" s="242">
        <v>13104.8</v>
      </c>
      <c r="D9" s="242">
        <v>29945.43</v>
      </c>
      <c r="E9" s="242">
        <v>34773.629999999997</v>
      </c>
      <c r="F9" s="243">
        <v>37783.589999999997</v>
      </c>
    </row>
    <row r="10" spans="1:6" ht="14.25" customHeight="1" x14ac:dyDescent="0.3">
      <c r="A10" s="240" t="s">
        <v>227</v>
      </c>
      <c r="B10" s="238">
        <v>0</v>
      </c>
      <c r="C10" s="238">
        <v>164.21</v>
      </c>
      <c r="D10" s="238">
        <v>187.73</v>
      </c>
      <c r="E10" s="238">
        <v>0</v>
      </c>
      <c r="F10" s="239">
        <v>0</v>
      </c>
    </row>
    <row r="11" spans="1:6" ht="14.25" customHeight="1" x14ac:dyDescent="0.3">
      <c r="A11" s="241" t="s">
        <v>228</v>
      </c>
      <c r="B11" s="242">
        <v>17241.36</v>
      </c>
      <c r="C11" s="242">
        <v>13398.02</v>
      </c>
      <c r="D11" s="242">
        <v>30262.29</v>
      </c>
      <c r="E11" s="242">
        <v>34903.06</v>
      </c>
      <c r="F11" s="243">
        <v>37913.129999999997</v>
      </c>
    </row>
    <row r="12" spans="1:6" ht="14.25" customHeight="1" x14ac:dyDescent="0.3">
      <c r="A12" s="240" t="s">
        <v>229</v>
      </c>
      <c r="B12" s="238">
        <v>809.32</v>
      </c>
      <c r="C12" s="238">
        <v>1027.8499999999999</v>
      </c>
      <c r="D12" s="238">
        <v>1366.2</v>
      </c>
      <c r="E12" s="238">
        <v>1913.31</v>
      </c>
      <c r="F12" s="239">
        <v>2456.31</v>
      </c>
    </row>
    <row r="13" spans="1:6" ht="14.25" customHeight="1" x14ac:dyDescent="0.3">
      <c r="A13" s="237" t="s">
        <v>230</v>
      </c>
      <c r="B13" s="238"/>
      <c r="C13" s="238"/>
      <c r="D13" s="238"/>
      <c r="E13" s="238"/>
      <c r="F13" s="239"/>
    </row>
    <row r="14" spans="1:6" ht="14.25" customHeight="1" x14ac:dyDescent="0.3">
      <c r="A14" s="240" t="s">
        <v>231</v>
      </c>
      <c r="B14" s="238">
        <v>0.65</v>
      </c>
      <c r="C14" s="238">
        <v>1.4</v>
      </c>
      <c r="D14" s="238">
        <v>1.27</v>
      </c>
      <c r="E14" s="238">
        <v>0.43</v>
      </c>
      <c r="F14" s="239">
        <v>0.09</v>
      </c>
    </row>
    <row r="15" spans="1:6" ht="14.25" customHeight="1" x14ac:dyDescent="0.3">
      <c r="A15" s="240" t="s">
        <v>232</v>
      </c>
      <c r="B15" s="238">
        <v>1245.1199999999999</v>
      </c>
      <c r="C15" s="238">
        <v>800.43</v>
      </c>
      <c r="D15" s="238">
        <v>2746.21</v>
      </c>
      <c r="E15" s="238">
        <v>3987.72</v>
      </c>
      <c r="F15" s="239">
        <v>4988.04</v>
      </c>
    </row>
    <row r="16" spans="1:6" ht="14.25" customHeight="1" x14ac:dyDescent="0.3">
      <c r="A16" s="240" t="s">
        <v>233</v>
      </c>
      <c r="B16" s="238">
        <v>45.49</v>
      </c>
      <c r="C16" s="238">
        <v>82.05</v>
      </c>
      <c r="D16" s="238">
        <v>217.93</v>
      </c>
      <c r="E16" s="238">
        <v>234.79</v>
      </c>
      <c r="F16" s="239">
        <v>218.43</v>
      </c>
    </row>
    <row r="17" spans="1:6" ht="14.25" customHeight="1" x14ac:dyDescent="0.3">
      <c r="A17" s="240" t="s">
        <v>234</v>
      </c>
      <c r="B17" s="238">
        <v>0.55000000000000004</v>
      </c>
      <c r="C17" s="238">
        <v>1.61</v>
      </c>
      <c r="D17" s="238">
        <v>1.27</v>
      </c>
      <c r="E17" s="238">
        <v>1.01</v>
      </c>
      <c r="F17" s="239">
        <v>1.36</v>
      </c>
    </row>
    <row r="18" spans="1:6" ht="14.25" customHeight="1" x14ac:dyDescent="0.3">
      <c r="A18" s="241" t="s">
        <v>235</v>
      </c>
      <c r="B18" s="242">
        <v>1291.81</v>
      </c>
      <c r="C18" s="242">
        <v>885.49</v>
      </c>
      <c r="D18" s="242">
        <v>2966.69</v>
      </c>
      <c r="E18" s="242">
        <v>4223.95</v>
      </c>
      <c r="F18" s="243">
        <v>5207.92</v>
      </c>
    </row>
    <row r="19" spans="1:6" ht="14.25" customHeight="1" x14ac:dyDescent="0.3">
      <c r="A19" s="237" t="s">
        <v>236</v>
      </c>
      <c r="B19" s="238"/>
      <c r="C19" s="238"/>
      <c r="D19" s="238"/>
      <c r="E19" s="238"/>
      <c r="F19" s="239"/>
    </row>
    <row r="20" spans="1:6" ht="14.25" customHeight="1" x14ac:dyDescent="0.3">
      <c r="A20" s="240" t="s">
        <v>237</v>
      </c>
      <c r="B20" s="238">
        <v>0</v>
      </c>
      <c r="C20" s="238">
        <v>1.02</v>
      </c>
      <c r="D20" s="238">
        <v>1.31</v>
      </c>
      <c r="E20" s="238">
        <v>0.84</v>
      </c>
      <c r="F20" s="239">
        <v>0.34</v>
      </c>
    </row>
    <row r="21" spans="1:6" ht="14.25" customHeight="1" x14ac:dyDescent="0.3">
      <c r="A21" s="240" t="s">
        <v>238</v>
      </c>
      <c r="B21" s="238">
        <v>120.77</v>
      </c>
      <c r="C21" s="238">
        <v>94.59</v>
      </c>
      <c r="D21" s="238">
        <v>88.9</v>
      </c>
      <c r="E21" s="238">
        <v>75.39</v>
      </c>
      <c r="F21" s="239">
        <v>116.74</v>
      </c>
    </row>
    <row r="22" spans="1:6" ht="14.25" customHeight="1" x14ac:dyDescent="0.3">
      <c r="A22" s="240" t="s">
        <v>239</v>
      </c>
      <c r="B22" s="238">
        <v>930.94</v>
      </c>
      <c r="C22" s="238">
        <v>1156.1099999999999</v>
      </c>
      <c r="D22" s="238">
        <v>1281.3</v>
      </c>
      <c r="E22" s="238">
        <v>1516.05</v>
      </c>
      <c r="F22" s="239">
        <v>1684.69</v>
      </c>
    </row>
    <row r="23" spans="1:6" ht="14.25" customHeight="1" x14ac:dyDescent="0.3">
      <c r="A23" s="240" t="s">
        <v>240</v>
      </c>
      <c r="B23" s="238">
        <v>88.69</v>
      </c>
      <c r="C23" s="238">
        <v>97.22</v>
      </c>
      <c r="D23" s="238">
        <v>124.13</v>
      </c>
      <c r="E23" s="238">
        <v>138.75</v>
      </c>
      <c r="F23" s="239">
        <v>180.34</v>
      </c>
    </row>
    <row r="24" spans="1:6" ht="14.25" customHeight="1" x14ac:dyDescent="0.3">
      <c r="A24" s="241" t="s">
        <v>241</v>
      </c>
      <c r="B24" s="242">
        <v>1140.4000000000001</v>
      </c>
      <c r="C24" s="242">
        <v>1348.94</v>
      </c>
      <c r="D24" s="242">
        <v>1495.64</v>
      </c>
      <c r="E24" s="242">
        <v>1731.03</v>
      </c>
      <c r="F24" s="243">
        <v>1982.12</v>
      </c>
    </row>
    <row r="25" spans="1:6" ht="14.25" customHeight="1" x14ac:dyDescent="0.3">
      <c r="A25" s="241" t="s">
        <v>242</v>
      </c>
      <c r="B25" s="242">
        <v>20482.89</v>
      </c>
      <c r="C25" s="242">
        <v>16660.3</v>
      </c>
      <c r="D25" s="242">
        <v>36090.82</v>
      </c>
      <c r="E25" s="242">
        <v>42771.35</v>
      </c>
      <c r="F25" s="243">
        <v>47559.48</v>
      </c>
    </row>
    <row r="26" spans="1:6" ht="14.25" customHeight="1" x14ac:dyDescent="0.3">
      <c r="A26" s="237" t="s">
        <v>243</v>
      </c>
      <c r="B26" s="238"/>
      <c r="C26" s="238"/>
      <c r="D26" s="238"/>
      <c r="E26" s="238"/>
      <c r="F26" s="239"/>
    </row>
    <row r="27" spans="1:6" ht="14.25" customHeight="1" x14ac:dyDescent="0.3">
      <c r="A27" s="237" t="s">
        <v>244</v>
      </c>
      <c r="B27" s="238"/>
      <c r="C27" s="238"/>
      <c r="D27" s="238"/>
      <c r="E27" s="238"/>
      <c r="F27" s="239"/>
    </row>
    <row r="28" spans="1:6" ht="14.25" customHeight="1" x14ac:dyDescent="0.3">
      <c r="A28" s="240" t="s">
        <v>245</v>
      </c>
      <c r="B28" s="238">
        <v>131.03</v>
      </c>
      <c r="C28" s="238">
        <v>202.75</v>
      </c>
      <c r="D28" s="238">
        <v>350.02</v>
      </c>
      <c r="E28" s="238">
        <v>398.67</v>
      </c>
      <c r="F28" s="239">
        <v>390.97</v>
      </c>
    </row>
    <row r="29" spans="1:6" ht="14.25" customHeight="1" x14ac:dyDescent="0.3">
      <c r="A29" s="240" t="s">
        <v>246</v>
      </c>
      <c r="B29" s="238">
        <v>61.12</v>
      </c>
      <c r="C29" s="238">
        <v>120.03</v>
      </c>
      <c r="D29" s="238">
        <v>89.61</v>
      </c>
      <c r="E29" s="238">
        <v>63.67</v>
      </c>
      <c r="F29" s="239">
        <v>36.71</v>
      </c>
    </row>
    <row r="30" spans="1:6" ht="14.25" customHeight="1" x14ac:dyDescent="0.3">
      <c r="A30" s="240" t="s">
        <v>247</v>
      </c>
      <c r="B30" s="238">
        <v>0</v>
      </c>
      <c r="C30" s="238">
        <v>4.2</v>
      </c>
      <c r="D30" s="238">
        <v>0</v>
      </c>
      <c r="E30" s="238">
        <v>2.63</v>
      </c>
      <c r="F30" s="239">
        <v>17.53</v>
      </c>
    </row>
    <row r="31" spans="1:6" ht="14.25" customHeight="1" x14ac:dyDescent="0.3">
      <c r="A31" s="240" t="s">
        <v>248</v>
      </c>
      <c r="B31" s="238">
        <v>0</v>
      </c>
      <c r="C31" s="238">
        <v>0</v>
      </c>
      <c r="D31" s="238">
        <v>0</v>
      </c>
      <c r="E31" s="238">
        <v>0.22</v>
      </c>
      <c r="F31" s="239">
        <v>0</v>
      </c>
    </row>
    <row r="32" spans="1:6" ht="14.25" customHeight="1" x14ac:dyDescent="0.3">
      <c r="A32" s="241" t="s">
        <v>249</v>
      </c>
      <c r="B32" s="242">
        <v>192.15</v>
      </c>
      <c r="C32" s="242">
        <v>326.98</v>
      </c>
      <c r="D32" s="242">
        <v>439.64</v>
      </c>
      <c r="E32" s="242">
        <v>465.19</v>
      </c>
      <c r="F32" s="243">
        <v>445.21</v>
      </c>
    </row>
    <row r="33" spans="1:6" ht="14.25" customHeight="1" x14ac:dyDescent="0.3">
      <c r="A33" s="240" t="s">
        <v>250</v>
      </c>
      <c r="B33" s="238">
        <v>15173.26</v>
      </c>
      <c r="C33" s="238">
        <v>11648.67</v>
      </c>
      <c r="D33" s="238">
        <v>30475.88</v>
      </c>
      <c r="E33" s="238">
        <v>36512.61</v>
      </c>
      <c r="F33" s="239">
        <v>41039.51</v>
      </c>
    </row>
    <row r="34" spans="1:6" ht="14.25" customHeight="1" x14ac:dyDescent="0.3">
      <c r="A34" s="240" t="s">
        <v>251</v>
      </c>
      <c r="B34" s="238">
        <v>0.01</v>
      </c>
      <c r="C34" s="238">
        <v>1.9</v>
      </c>
      <c r="D34" s="238">
        <v>1.41</v>
      </c>
      <c r="E34" s="238">
        <v>0.66</v>
      </c>
      <c r="F34" s="239">
        <v>0.72</v>
      </c>
    </row>
    <row r="35" spans="1:6" ht="14.25" customHeight="1" x14ac:dyDescent="0.3">
      <c r="A35" s="240" t="s">
        <v>252</v>
      </c>
      <c r="B35" s="238">
        <v>805.29</v>
      </c>
      <c r="C35" s="238">
        <v>514.14</v>
      </c>
      <c r="D35" s="238">
        <v>467.73</v>
      </c>
      <c r="E35" s="238">
        <v>1023.38</v>
      </c>
      <c r="F35" s="239">
        <v>859.66</v>
      </c>
    </row>
    <row r="36" spans="1:6" ht="14.25" customHeight="1" x14ac:dyDescent="0.3">
      <c r="A36" s="241" t="s">
        <v>253</v>
      </c>
      <c r="B36" s="242">
        <v>17011.099999999999</v>
      </c>
      <c r="C36" s="242">
        <v>12969.67</v>
      </c>
      <c r="D36" s="242">
        <v>31754.639999999999</v>
      </c>
      <c r="E36" s="242">
        <v>38324.29</v>
      </c>
      <c r="F36" s="243">
        <v>42667.59</v>
      </c>
    </row>
    <row r="37" spans="1:6" ht="14.25" customHeight="1" x14ac:dyDescent="0.3">
      <c r="A37" s="237" t="s">
        <v>254</v>
      </c>
      <c r="B37" s="238"/>
      <c r="C37" s="238"/>
      <c r="D37" s="238"/>
      <c r="E37" s="238"/>
      <c r="F37" s="239"/>
    </row>
    <row r="38" spans="1:6" ht="14.25" customHeight="1" x14ac:dyDescent="0.3">
      <c r="A38" s="240" t="s">
        <v>255</v>
      </c>
      <c r="B38" s="238">
        <v>440.93</v>
      </c>
      <c r="C38" s="238">
        <v>754.68</v>
      </c>
      <c r="D38" s="238">
        <v>726.74</v>
      </c>
      <c r="E38" s="238">
        <v>1148.3699999999999</v>
      </c>
      <c r="F38" s="239">
        <v>1259.81</v>
      </c>
    </row>
    <row r="39" spans="1:6" ht="14.25" customHeight="1" x14ac:dyDescent="0.3">
      <c r="A39" s="240" t="s">
        <v>256</v>
      </c>
      <c r="B39" s="238">
        <v>30.02</v>
      </c>
      <c r="C39" s="238">
        <v>12.62</v>
      </c>
      <c r="D39" s="238">
        <v>10.65</v>
      </c>
      <c r="E39" s="238">
        <v>13.19</v>
      </c>
      <c r="F39" s="239">
        <v>11.02</v>
      </c>
    </row>
    <row r="40" spans="1:6" ht="14.25" customHeight="1" x14ac:dyDescent="0.3">
      <c r="A40" s="240" t="s">
        <v>257</v>
      </c>
      <c r="B40" s="238">
        <v>368.29</v>
      </c>
      <c r="C40" s="238">
        <v>571.46</v>
      </c>
      <c r="D40" s="238">
        <v>1192.98</v>
      </c>
      <c r="E40" s="238">
        <v>267.13</v>
      </c>
      <c r="F40" s="239">
        <v>375.91</v>
      </c>
    </row>
    <row r="41" spans="1:6" ht="14.25" customHeight="1" x14ac:dyDescent="0.3">
      <c r="A41" s="240" t="s">
        <v>258</v>
      </c>
      <c r="B41" s="238">
        <v>8.3699999999999992</v>
      </c>
      <c r="C41" s="238">
        <v>0</v>
      </c>
      <c r="D41" s="238">
        <v>1</v>
      </c>
      <c r="E41" s="238">
        <v>1</v>
      </c>
      <c r="F41" s="239">
        <v>1.5</v>
      </c>
    </row>
    <row r="42" spans="1:6" ht="14.25" customHeight="1" x14ac:dyDescent="0.3">
      <c r="A42" s="240" t="s">
        <v>259</v>
      </c>
      <c r="B42" s="238">
        <v>2624.19</v>
      </c>
      <c r="C42" s="238">
        <v>2351.88</v>
      </c>
      <c r="D42" s="238">
        <v>2404.8200000000002</v>
      </c>
      <c r="E42" s="238">
        <v>3017.37</v>
      </c>
      <c r="F42" s="239">
        <v>3243.65</v>
      </c>
    </row>
    <row r="43" spans="1:6" ht="14.25" customHeight="1" x14ac:dyDescent="0.3">
      <c r="A43" s="241" t="s">
        <v>260</v>
      </c>
      <c r="B43" s="242">
        <v>3471.79</v>
      </c>
      <c r="C43" s="242">
        <v>3690.63</v>
      </c>
      <c r="D43" s="242">
        <v>4336.18</v>
      </c>
      <c r="E43" s="242">
        <v>4447.0600000000004</v>
      </c>
      <c r="F43" s="243">
        <v>4891.8900000000003</v>
      </c>
    </row>
    <row r="44" spans="1:6" ht="14.25" customHeight="1" x14ac:dyDescent="0.3">
      <c r="A44" s="241" t="s">
        <v>261</v>
      </c>
      <c r="B44" s="242">
        <v>20482.89</v>
      </c>
      <c r="C44" s="242">
        <v>16660.3</v>
      </c>
      <c r="D44" s="242">
        <v>36090.82</v>
      </c>
      <c r="E44" s="242">
        <v>42771.35</v>
      </c>
      <c r="F44" s="243">
        <v>47559.48</v>
      </c>
    </row>
    <row r="45" spans="1:6" x14ac:dyDescent="0.3">
      <c r="A45" s="244"/>
      <c r="B45" s="245"/>
      <c r="C45" s="245"/>
      <c r="D45" s="245"/>
      <c r="E45" s="245"/>
      <c r="F45" s="246"/>
    </row>
    <row r="46" spans="1:6" ht="14.25" customHeight="1" x14ac:dyDescent="0.3">
      <c r="A46" s="237" t="s">
        <v>262</v>
      </c>
      <c r="B46" s="238"/>
      <c r="C46" s="238"/>
      <c r="D46" s="238"/>
      <c r="E46" s="238"/>
      <c r="F46" s="239"/>
    </row>
    <row r="47" spans="1:6" ht="14.25" customHeight="1" x14ac:dyDescent="0.3">
      <c r="A47" s="240" t="s">
        <v>263</v>
      </c>
      <c r="B47" s="238"/>
      <c r="C47" s="238">
        <v>15.06</v>
      </c>
      <c r="D47" s="238">
        <v>3.78</v>
      </c>
      <c r="E47" s="238"/>
      <c r="F47" s="239"/>
    </row>
    <row r="48" spans="1:6" ht="14.25" customHeight="1" x14ac:dyDescent="0.3">
      <c r="A48" s="240" t="s">
        <v>264</v>
      </c>
      <c r="B48" s="238">
        <v>103.59</v>
      </c>
      <c r="C48" s="238">
        <v>103.59</v>
      </c>
      <c r="D48" s="238">
        <v>103.59</v>
      </c>
      <c r="E48" s="238">
        <v>103.59</v>
      </c>
      <c r="F48" s="239"/>
    </row>
    <row r="49" spans="1:6" ht="14.25" customHeight="1" x14ac:dyDescent="0.3">
      <c r="A49" s="240" t="s">
        <v>265</v>
      </c>
      <c r="B49" s="238"/>
      <c r="C49" s="238">
        <v>7872.53</v>
      </c>
      <c r="D49" s="238">
        <v>24939.16</v>
      </c>
      <c r="E49" s="238"/>
      <c r="F49" s="239"/>
    </row>
    <row r="50" spans="1:6" ht="14.25" customHeight="1" x14ac:dyDescent="0.3">
      <c r="A50" s="240" t="s">
        <v>266</v>
      </c>
      <c r="B50" s="238">
        <v>12745.77</v>
      </c>
      <c r="C50" s="238">
        <v>1703.39</v>
      </c>
      <c r="D50" s="238">
        <v>2370.77</v>
      </c>
      <c r="E50" s="238"/>
      <c r="F50" s="239"/>
    </row>
    <row r="51" spans="1:6" ht="14.25" customHeight="1" thickBot="1" x14ac:dyDescent="0.35">
      <c r="A51" s="247" t="s">
        <v>267</v>
      </c>
      <c r="B51" s="248"/>
      <c r="C51" s="248">
        <v>754.68</v>
      </c>
      <c r="D51" s="248">
        <v>726.74</v>
      </c>
      <c r="E51" s="248">
        <v>1148.3699999999999</v>
      </c>
      <c r="F51" s="249"/>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4"/>
  <sheetViews>
    <sheetView showGridLines="0" zoomScale="86" zoomScaleNormal="86" workbookViewId="0">
      <selection activeCell="A3" sqref="A3:F34"/>
    </sheetView>
  </sheetViews>
  <sheetFormatPr defaultColWidth="8.6640625" defaultRowHeight="14.4" x14ac:dyDescent="0.3"/>
  <cols>
    <col min="1" max="1" width="71.33203125" customWidth="1"/>
    <col min="2" max="6" width="12" customWidth="1"/>
  </cols>
  <sheetData>
    <row r="1" spans="1:6" ht="15" customHeight="1" x14ac:dyDescent="0.3">
      <c r="A1" s="292" t="s">
        <v>268</v>
      </c>
      <c r="B1" s="293"/>
      <c r="C1" s="293"/>
      <c r="D1" s="293"/>
      <c r="E1" s="293"/>
      <c r="F1" s="293"/>
    </row>
    <row r="2" spans="1:6" ht="14.25" customHeight="1" x14ac:dyDescent="0.3">
      <c r="A2" s="294" t="s">
        <v>214</v>
      </c>
      <c r="B2" s="293"/>
      <c r="C2" s="293"/>
      <c r="D2" s="293"/>
      <c r="E2" s="293"/>
      <c r="F2" s="293"/>
    </row>
    <row r="3" spans="1:6" ht="14.25" customHeight="1" x14ac:dyDescent="0.3">
      <c r="A3" s="296" t="s">
        <v>215</v>
      </c>
      <c r="B3" s="296" t="s">
        <v>216</v>
      </c>
      <c r="C3" s="296" t="s">
        <v>217</v>
      </c>
      <c r="D3" s="296" t="s">
        <v>218</v>
      </c>
      <c r="E3" s="296" t="s">
        <v>219</v>
      </c>
      <c r="F3" s="296" t="s">
        <v>220</v>
      </c>
    </row>
    <row r="4" spans="1:6" ht="14.25" customHeight="1" x14ac:dyDescent="0.3">
      <c r="A4" s="297" t="s">
        <v>269</v>
      </c>
      <c r="B4" s="298"/>
      <c r="C4" s="298"/>
      <c r="D4" s="298"/>
      <c r="E4" s="298"/>
      <c r="F4" s="298"/>
    </row>
    <row r="5" spans="1:6" ht="14.25" customHeight="1" x14ac:dyDescent="0.3">
      <c r="A5" s="299" t="s">
        <v>270</v>
      </c>
      <c r="B5" s="298">
        <v>1589.03</v>
      </c>
      <c r="C5" s="298">
        <v>2345.69</v>
      </c>
      <c r="D5" s="298">
        <v>2536.34</v>
      </c>
      <c r="E5" s="298">
        <v>2849.55</v>
      </c>
      <c r="F5" s="298">
        <v>3284.73</v>
      </c>
    </row>
    <row r="6" spans="1:6" ht="14.25" customHeight="1" x14ac:dyDescent="0.3">
      <c r="A6" s="299" t="s">
        <v>271</v>
      </c>
      <c r="B6" s="298">
        <v>1589.03</v>
      </c>
      <c r="C6" s="298">
        <v>2345.69</v>
      </c>
      <c r="D6" s="298">
        <v>2536.34</v>
      </c>
      <c r="E6" s="298">
        <v>2849.55</v>
      </c>
      <c r="F6" s="298">
        <v>3284.73</v>
      </c>
    </row>
    <row r="7" spans="1:6" ht="14.25" customHeight="1" x14ac:dyDescent="0.3">
      <c r="A7" s="300" t="s">
        <v>272</v>
      </c>
      <c r="B7" s="301">
        <v>1589.03</v>
      </c>
      <c r="C7" s="301">
        <v>2345.69</v>
      </c>
      <c r="D7" s="301">
        <v>2536.34</v>
      </c>
      <c r="E7" s="301">
        <v>2849.55</v>
      </c>
      <c r="F7" s="301">
        <v>3284.73</v>
      </c>
    </row>
    <row r="8" spans="1:6" ht="14.25" customHeight="1" x14ac:dyDescent="0.3">
      <c r="A8" s="299" t="s">
        <v>273</v>
      </c>
      <c r="B8" s="298">
        <v>440.36</v>
      </c>
      <c r="C8" s="298">
        <v>392.85</v>
      </c>
      <c r="D8" s="298">
        <v>413.74</v>
      </c>
      <c r="E8" s="298">
        <v>1073.25</v>
      </c>
      <c r="F8" s="298">
        <v>1058.55</v>
      </c>
    </row>
    <row r="9" spans="1:6" ht="14.25" customHeight="1" x14ac:dyDescent="0.3">
      <c r="A9" s="300" t="s">
        <v>274</v>
      </c>
      <c r="B9" s="301">
        <v>2029.39</v>
      </c>
      <c r="C9" s="301">
        <v>2738.54</v>
      </c>
      <c r="D9" s="301">
        <v>2950.08</v>
      </c>
      <c r="E9" s="301">
        <v>3922.8</v>
      </c>
      <c r="F9" s="301">
        <v>4343.29</v>
      </c>
    </row>
    <row r="10" spans="1:6" ht="14.25" customHeight="1" x14ac:dyDescent="0.3">
      <c r="A10" s="297" t="s">
        <v>275</v>
      </c>
      <c r="B10" s="298"/>
      <c r="C10" s="298"/>
      <c r="D10" s="298"/>
      <c r="E10" s="298"/>
      <c r="F10" s="298"/>
    </row>
    <row r="11" spans="1:6" ht="14.25" customHeight="1" x14ac:dyDescent="0.3">
      <c r="A11" s="299" t="s">
        <v>276</v>
      </c>
      <c r="B11" s="298">
        <v>34.020000000000003</v>
      </c>
      <c r="C11" s="298">
        <v>63.37</v>
      </c>
      <c r="D11" s="298">
        <v>74.709999999999994</v>
      </c>
      <c r="E11" s="298">
        <v>78.3</v>
      </c>
      <c r="F11" s="298">
        <v>0</v>
      </c>
    </row>
    <row r="12" spans="1:6" ht="14.25" customHeight="1" x14ac:dyDescent="0.3">
      <c r="A12" s="299" t="s">
        <v>277</v>
      </c>
      <c r="B12" s="298">
        <v>746.31</v>
      </c>
      <c r="C12" s="298">
        <v>1097.31</v>
      </c>
      <c r="D12" s="298">
        <v>1128.24</v>
      </c>
      <c r="E12" s="298">
        <v>1235.3399999999999</v>
      </c>
      <c r="F12" s="298">
        <v>1341.5</v>
      </c>
    </row>
    <row r="13" spans="1:6" ht="14.25" customHeight="1" x14ac:dyDescent="0.3">
      <c r="A13" s="299" t="s">
        <v>278</v>
      </c>
      <c r="B13" s="298">
        <v>4.6500000000000004</v>
      </c>
      <c r="C13" s="298">
        <v>7.34</v>
      </c>
      <c r="D13" s="298">
        <v>22.26</v>
      </c>
      <c r="E13" s="298">
        <v>24.24</v>
      </c>
      <c r="F13" s="298">
        <v>27.43</v>
      </c>
    </row>
    <row r="14" spans="1:6" ht="14.25" customHeight="1" x14ac:dyDescent="0.3">
      <c r="A14" s="299" t="s">
        <v>279</v>
      </c>
      <c r="B14" s="298">
        <v>44.91</v>
      </c>
      <c r="C14" s="298">
        <v>73.02</v>
      </c>
      <c r="D14" s="298">
        <v>101.13</v>
      </c>
      <c r="E14" s="298">
        <v>113.09</v>
      </c>
      <c r="F14" s="298">
        <v>122.58</v>
      </c>
    </row>
    <row r="15" spans="1:6" ht="14.25" customHeight="1" x14ac:dyDescent="0.3">
      <c r="A15" s="299" t="s">
        <v>280</v>
      </c>
      <c r="B15" s="298">
        <v>369.47</v>
      </c>
      <c r="C15" s="298">
        <v>616.64</v>
      </c>
      <c r="D15" s="298">
        <v>504.15</v>
      </c>
      <c r="E15" s="298">
        <v>551.20000000000005</v>
      </c>
      <c r="F15" s="298">
        <v>771.02</v>
      </c>
    </row>
    <row r="16" spans="1:6" ht="14.25" customHeight="1" x14ac:dyDescent="0.3">
      <c r="A16" s="300" t="s">
        <v>281</v>
      </c>
      <c r="B16" s="301">
        <v>1199.3499999999999</v>
      </c>
      <c r="C16" s="301">
        <v>1857.67</v>
      </c>
      <c r="D16" s="301">
        <v>1830.48</v>
      </c>
      <c r="E16" s="301">
        <v>2002.16</v>
      </c>
      <c r="F16" s="301">
        <v>2262.52</v>
      </c>
    </row>
    <row r="17" spans="1:6" ht="14.25" customHeight="1" x14ac:dyDescent="0.3">
      <c r="A17" s="300" t="s">
        <v>282</v>
      </c>
      <c r="B17" s="301">
        <v>830.04</v>
      </c>
      <c r="C17" s="301">
        <v>880.88</v>
      </c>
      <c r="D17" s="301">
        <v>1119.5899999999999</v>
      </c>
      <c r="E17" s="301">
        <v>1920.64</v>
      </c>
      <c r="F17" s="301">
        <v>2080.77</v>
      </c>
    </row>
    <row r="18" spans="1:6" ht="14.25" customHeight="1" x14ac:dyDescent="0.3">
      <c r="A18" s="299" t="s">
        <v>283</v>
      </c>
      <c r="B18" s="298">
        <v>11174.71</v>
      </c>
      <c r="C18" s="298">
        <v>-509.25</v>
      </c>
      <c r="D18" s="298">
        <v>-110.58</v>
      </c>
      <c r="E18" s="298">
        <v>146.97999999999999</v>
      </c>
      <c r="F18" s="298">
        <v>38.81</v>
      </c>
    </row>
    <row r="19" spans="1:6" ht="14.25" customHeight="1" x14ac:dyDescent="0.3">
      <c r="A19" s="300" t="s">
        <v>284</v>
      </c>
      <c r="B19" s="301">
        <v>12004.75</v>
      </c>
      <c r="C19" s="301">
        <v>371.63</v>
      </c>
      <c r="D19" s="301">
        <v>1009.02</v>
      </c>
      <c r="E19" s="301">
        <v>2067.61</v>
      </c>
      <c r="F19" s="301">
        <v>2119.5700000000002</v>
      </c>
    </row>
    <row r="20" spans="1:6" ht="14.25" customHeight="1" x14ac:dyDescent="0.3">
      <c r="A20" s="297" t="s">
        <v>285</v>
      </c>
      <c r="B20" s="298"/>
      <c r="C20" s="298"/>
      <c r="D20" s="298"/>
      <c r="E20" s="298"/>
      <c r="F20" s="298"/>
    </row>
    <row r="21" spans="1:6" ht="14.25" customHeight="1" x14ac:dyDescent="0.3">
      <c r="A21" s="299" t="s">
        <v>286</v>
      </c>
      <c r="B21" s="298">
        <v>153.02000000000001</v>
      </c>
      <c r="C21" s="298">
        <v>227.94</v>
      </c>
      <c r="D21" s="298">
        <v>289.64</v>
      </c>
      <c r="E21" s="298">
        <v>286.85000000000002</v>
      </c>
      <c r="F21" s="298">
        <v>358.55</v>
      </c>
    </row>
    <row r="22" spans="1:6" ht="14.25" customHeight="1" x14ac:dyDescent="0.3">
      <c r="A22" s="299" t="s">
        <v>287</v>
      </c>
      <c r="B22" s="298">
        <v>1164.8699999999999</v>
      </c>
      <c r="C22" s="298">
        <v>-16.87</v>
      </c>
      <c r="D22" s="298">
        <v>-6.16</v>
      </c>
      <c r="E22" s="298">
        <v>347.87</v>
      </c>
      <c r="F22" s="298">
        <v>0</v>
      </c>
    </row>
    <row r="23" spans="1:6" ht="14.25" customHeight="1" x14ac:dyDescent="0.3">
      <c r="A23" s="300" t="s">
        <v>288</v>
      </c>
      <c r="B23" s="301">
        <v>1317.88</v>
      </c>
      <c r="C23" s="301">
        <v>211.07</v>
      </c>
      <c r="D23" s="301">
        <v>283.48</v>
      </c>
      <c r="E23" s="301">
        <v>634.72</v>
      </c>
      <c r="F23" s="301">
        <v>358.55</v>
      </c>
    </row>
    <row r="24" spans="1:6" ht="14.25" customHeight="1" x14ac:dyDescent="0.3">
      <c r="A24" s="300" t="s">
        <v>289</v>
      </c>
      <c r="B24" s="301">
        <v>10686.87</v>
      </c>
      <c r="C24" s="301">
        <v>160.56</v>
      </c>
      <c r="D24" s="301">
        <v>725.54</v>
      </c>
      <c r="E24" s="301">
        <v>1432.89</v>
      </c>
      <c r="F24" s="301">
        <v>1761.02</v>
      </c>
    </row>
    <row r="25" spans="1:6" ht="14.25" customHeight="1" x14ac:dyDescent="0.3">
      <c r="A25" s="299" t="s">
        <v>290</v>
      </c>
      <c r="B25" s="298">
        <v>10686.87</v>
      </c>
      <c r="C25" s="298">
        <v>160.56</v>
      </c>
      <c r="D25" s="298">
        <v>725.54</v>
      </c>
      <c r="E25" s="298">
        <v>1432.89</v>
      </c>
      <c r="F25" s="298">
        <v>1761.02</v>
      </c>
    </row>
    <row r="26" spans="1:6" ht="14.25" customHeight="1" x14ac:dyDescent="0.3">
      <c r="A26" s="300" t="s">
        <v>291</v>
      </c>
      <c r="B26" s="301">
        <v>10686.87</v>
      </c>
      <c r="C26" s="301">
        <v>160.56</v>
      </c>
      <c r="D26" s="301">
        <v>725.54</v>
      </c>
      <c r="E26" s="301">
        <v>1432.89</v>
      </c>
      <c r="F26" s="301">
        <v>1761.02</v>
      </c>
    </row>
    <row r="27" spans="1:6" ht="14.25" customHeight="1" x14ac:dyDescent="0.3">
      <c r="A27" s="299" t="s">
        <v>229</v>
      </c>
      <c r="B27" s="298">
        <v>-122.66</v>
      </c>
      <c r="C27" s="298">
        <v>-36.950000000000003</v>
      </c>
      <c r="D27" s="298">
        <v>-19.350000000000001</v>
      </c>
      <c r="E27" s="298">
        <v>-347.76</v>
      </c>
      <c r="F27" s="298">
        <v>-313.02999999999997</v>
      </c>
    </row>
    <row r="28" spans="1:6" ht="14.25" customHeight="1" x14ac:dyDescent="0.3">
      <c r="A28" s="299" t="s">
        <v>292</v>
      </c>
      <c r="B28" s="298">
        <v>2195.36</v>
      </c>
      <c r="C28" s="298">
        <v>-231.01</v>
      </c>
      <c r="D28" s="298">
        <v>-130.97999999999999</v>
      </c>
      <c r="E28" s="298">
        <v>-122.99</v>
      </c>
      <c r="F28" s="298">
        <v>1.82</v>
      </c>
    </row>
    <row r="29" spans="1:6" ht="14.25" customHeight="1" x14ac:dyDescent="0.3">
      <c r="A29" s="300" t="s">
        <v>293</v>
      </c>
      <c r="B29" s="301">
        <v>12759.57</v>
      </c>
      <c r="C29" s="301">
        <v>-107.41</v>
      </c>
      <c r="D29" s="301">
        <v>575.21</v>
      </c>
      <c r="E29" s="301">
        <v>962.14</v>
      </c>
      <c r="F29" s="301">
        <v>1449.81</v>
      </c>
    </row>
    <row r="30" spans="1:6" x14ac:dyDescent="0.3">
      <c r="A30" s="295"/>
      <c r="B30" s="295"/>
      <c r="C30" s="295"/>
      <c r="D30" s="295"/>
      <c r="E30" s="295"/>
      <c r="F30" s="295"/>
    </row>
    <row r="31" spans="1:6" ht="14.25" customHeight="1" x14ac:dyDescent="0.3">
      <c r="A31" s="297" t="s">
        <v>262</v>
      </c>
      <c r="B31" s="298"/>
      <c r="C31" s="298"/>
      <c r="D31" s="298"/>
      <c r="E31" s="298"/>
      <c r="F31" s="298"/>
    </row>
    <row r="32" spans="1:6" ht="14.25" customHeight="1" x14ac:dyDescent="0.3">
      <c r="A32" s="299" t="s">
        <v>294</v>
      </c>
      <c r="B32" s="298">
        <v>991</v>
      </c>
      <c r="C32" s="298">
        <v>-8</v>
      </c>
      <c r="D32" s="298">
        <v>45</v>
      </c>
      <c r="E32" s="298">
        <v>15</v>
      </c>
      <c r="F32" s="298">
        <v>22</v>
      </c>
    </row>
    <row r="33" spans="1:6" ht="14.25" customHeight="1" x14ac:dyDescent="0.3">
      <c r="A33" s="299" t="s">
        <v>295</v>
      </c>
      <c r="B33" s="298">
        <v>986</v>
      </c>
      <c r="C33" s="298">
        <v>-8</v>
      </c>
      <c r="D33" s="298">
        <v>44</v>
      </c>
      <c r="E33" s="298">
        <v>18</v>
      </c>
      <c r="F33" s="298">
        <v>22</v>
      </c>
    </row>
    <row r="34" spans="1:6" ht="14.25" customHeight="1" x14ac:dyDescent="0.3">
      <c r="A34" s="299" t="s">
        <v>296</v>
      </c>
      <c r="B34" s="298">
        <v>205.78</v>
      </c>
      <c r="C34" s="298">
        <v>193.16</v>
      </c>
      <c r="D34" s="298">
        <v>245.21</v>
      </c>
      <c r="E34" s="298">
        <v>310.20999999999998</v>
      </c>
      <c r="F34" s="298">
        <v>0</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D1:K51"/>
  <sheetViews>
    <sheetView showGridLines="0" topLeftCell="A30" workbookViewId="0">
      <selection activeCell="D1" sqref="D1:K51"/>
    </sheetView>
  </sheetViews>
  <sheetFormatPr defaultColWidth="8.6640625" defaultRowHeight="14.4" x14ac:dyDescent="0.3"/>
  <cols>
    <col min="4" max="4" width="42" customWidth="1"/>
    <col min="5" max="9" width="12" customWidth="1"/>
    <col min="10" max="11" width="10" customWidth="1"/>
  </cols>
  <sheetData>
    <row r="1" spans="4:11" ht="14.25" customHeight="1" x14ac:dyDescent="0.3">
      <c r="D1" s="280" t="s">
        <v>297</v>
      </c>
      <c r="E1" s="281"/>
      <c r="F1" s="281"/>
      <c r="G1" s="281"/>
      <c r="H1" s="281"/>
      <c r="I1" s="282"/>
      <c r="J1" s="39"/>
      <c r="K1" s="39"/>
    </row>
    <row r="2" spans="4:11" x14ac:dyDescent="0.3">
      <c r="D2" s="283"/>
      <c r="E2" s="284" t="s">
        <v>298</v>
      </c>
      <c r="F2" s="281"/>
      <c r="G2" s="282"/>
      <c r="H2" s="284" t="s">
        <v>299</v>
      </c>
      <c r="I2" s="282"/>
      <c r="J2" s="167" t="s">
        <v>300</v>
      </c>
      <c r="K2" s="166"/>
    </row>
    <row r="3" spans="4:11" ht="28.5" customHeight="1" x14ac:dyDescent="0.3">
      <c r="D3" s="251" t="s">
        <v>301</v>
      </c>
      <c r="E3" s="252">
        <v>46082</v>
      </c>
      <c r="F3" s="252">
        <v>45992</v>
      </c>
      <c r="G3" s="252">
        <v>45901</v>
      </c>
      <c r="H3" s="252">
        <v>46082</v>
      </c>
      <c r="I3" s="253">
        <v>45717</v>
      </c>
      <c r="J3" s="133" t="s">
        <v>302</v>
      </c>
      <c r="K3" s="133" t="s">
        <v>303</v>
      </c>
    </row>
    <row r="4" spans="4:11" x14ac:dyDescent="0.3">
      <c r="D4" s="254" t="s">
        <v>304</v>
      </c>
      <c r="E4" s="255"/>
      <c r="F4" s="255"/>
      <c r="G4" s="255"/>
      <c r="H4" s="255"/>
      <c r="I4" s="256"/>
      <c r="J4" s="34"/>
      <c r="K4" s="34"/>
    </row>
    <row r="5" spans="4:11" x14ac:dyDescent="0.3">
      <c r="D5" s="257" t="s">
        <v>305</v>
      </c>
      <c r="E5" s="258">
        <v>869</v>
      </c>
      <c r="F5" s="258">
        <v>819</v>
      </c>
      <c r="G5" s="258">
        <v>805</v>
      </c>
      <c r="H5" s="258">
        <v>3284</v>
      </c>
      <c r="I5" s="259">
        <v>2849</v>
      </c>
      <c r="J5" s="149">
        <f>IF(F5=0,"",((E5-F5)/F5))</f>
        <v>6.1050061050061E-2</v>
      </c>
      <c r="K5" s="149">
        <f>IF(I5=0,"",((H5-I5)/I5))</f>
        <v>0.15268515268515301</v>
      </c>
    </row>
    <row r="6" spans="4:11" x14ac:dyDescent="0.3">
      <c r="D6" s="257" t="s">
        <v>306</v>
      </c>
      <c r="E6" s="258"/>
      <c r="F6" s="258"/>
      <c r="G6" s="258"/>
      <c r="H6" s="258"/>
      <c r="I6" s="259"/>
      <c r="J6" s="34"/>
      <c r="K6" s="34"/>
    </row>
    <row r="7" spans="4:11" x14ac:dyDescent="0.3">
      <c r="D7" s="260" t="s">
        <v>307</v>
      </c>
      <c r="E7" s="261">
        <v>869</v>
      </c>
      <c r="F7" s="261">
        <v>819</v>
      </c>
      <c r="G7" s="261">
        <v>805</v>
      </c>
      <c r="H7" s="261">
        <v>3284</v>
      </c>
      <c r="I7" s="262">
        <v>2849</v>
      </c>
      <c r="J7" s="149">
        <f>IF(F7=0,"",((E7-F7)/F7))</f>
        <v>6.1050061050061E-2</v>
      </c>
      <c r="K7" s="149">
        <f>IF(I7=0,"",((H7-I7)/I7))</f>
        <v>0.15268515268515301</v>
      </c>
    </row>
    <row r="8" spans="4:11" x14ac:dyDescent="0.3">
      <c r="D8" s="263"/>
      <c r="E8" s="264"/>
      <c r="F8" s="264"/>
      <c r="G8" s="264"/>
      <c r="H8" s="264"/>
      <c r="I8" s="265"/>
      <c r="J8" s="34"/>
      <c r="K8" s="34"/>
    </row>
    <row r="9" spans="4:11" x14ac:dyDescent="0.3">
      <c r="D9" s="266" t="s">
        <v>308</v>
      </c>
      <c r="E9" s="255"/>
      <c r="F9" s="255"/>
      <c r="G9" s="255"/>
      <c r="H9" s="255"/>
      <c r="I9" s="256"/>
      <c r="J9" s="34"/>
      <c r="K9" s="34"/>
    </row>
    <row r="10" spans="4:11" x14ac:dyDescent="0.3">
      <c r="D10" s="267" t="s">
        <v>309</v>
      </c>
      <c r="E10" s="264"/>
      <c r="F10" s="264"/>
      <c r="G10" s="264"/>
      <c r="H10" s="264"/>
      <c r="I10" s="265"/>
      <c r="J10" s="34"/>
      <c r="K10" s="34"/>
    </row>
    <row r="11" spans="4:11" x14ac:dyDescent="0.3">
      <c r="D11" s="267" t="s">
        <v>310</v>
      </c>
      <c r="E11" s="264"/>
      <c r="F11" s="264"/>
      <c r="G11" s="264"/>
      <c r="H11" s="264"/>
      <c r="I11" s="265"/>
      <c r="J11" s="34"/>
      <c r="K11" s="34"/>
    </row>
    <row r="12" spans="4:11" x14ac:dyDescent="0.3">
      <c r="D12" s="267" t="s">
        <v>311</v>
      </c>
      <c r="E12" s="264"/>
      <c r="F12" s="264"/>
      <c r="G12" s="264"/>
      <c r="H12" s="264"/>
      <c r="I12" s="265"/>
      <c r="J12" s="34"/>
      <c r="K12" s="34"/>
    </row>
    <row r="13" spans="4:11" x14ac:dyDescent="0.3">
      <c r="D13" s="257" t="s">
        <v>312</v>
      </c>
      <c r="E13" s="258"/>
      <c r="F13" s="258"/>
      <c r="G13" s="258"/>
      <c r="H13" s="258"/>
      <c r="I13" s="259"/>
      <c r="J13" s="34"/>
      <c r="K13" s="34"/>
    </row>
    <row r="14" spans="4:11" x14ac:dyDescent="0.3">
      <c r="D14" s="250" t="s">
        <v>313</v>
      </c>
      <c r="E14" s="264">
        <v>331</v>
      </c>
      <c r="F14" s="264">
        <v>342</v>
      </c>
      <c r="G14" s="264">
        <v>340</v>
      </c>
      <c r="H14" s="264">
        <v>1341</v>
      </c>
      <c r="I14" s="265">
        <v>1235</v>
      </c>
      <c r="J14" s="149">
        <f>IF(F14=0,"",((E14-F14)/F14))</f>
        <v>-3.2163742690058499E-2</v>
      </c>
      <c r="K14" s="149">
        <f>IF(I14=0,"",((H14-I14)/I14))</f>
        <v>8.5829959514169996E-2</v>
      </c>
    </row>
    <row r="15" spans="4:11" x14ac:dyDescent="0.3">
      <c r="D15" s="267" t="s">
        <v>314</v>
      </c>
      <c r="E15" s="264">
        <v>30</v>
      </c>
      <c r="F15" s="264">
        <v>30</v>
      </c>
      <c r="G15" s="264">
        <v>30</v>
      </c>
      <c r="H15" s="264">
        <v>122</v>
      </c>
      <c r="I15" s="265">
        <v>113</v>
      </c>
      <c r="J15" s="149">
        <f>IF(F15=0,"",((E15-F15)/F15))</f>
        <v>0</v>
      </c>
      <c r="K15" s="149">
        <f>IF(I15=0,"",((H15-I15)/I15))</f>
        <v>7.9646017699115002E-2</v>
      </c>
    </row>
    <row r="16" spans="4:11" x14ac:dyDescent="0.3">
      <c r="D16" s="267" t="s">
        <v>315</v>
      </c>
      <c r="E16" s="264"/>
      <c r="F16" s="264"/>
      <c r="G16" s="264"/>
      <c r="H16" s="264"/>
      <c r="I16" s="265"/>
      <c r="J16" s="34"/>
      <c r="K16" s="34"/>
    </row>
    <row r="17" spans="4:11" x14ac:dyDescent="0.3">
      <c r="D17" s="267" t="s">
        <v>316</v>
      </c>
      <c r="E17" s="264"/>
      <c r="F17" s="264"/>
      <c r="G17" s="264"/>
      <c r="H17" s="264"/>
      <c r="I17" s="265"/>
      <c r="J17" s="34"/>
      <c r="K17" s="34"/>
    </row>
    <row r="18" spans="4:11" x14ac:dyDescent="0.3">
      <c r="D18" s="267" t="s">
        <v>317</v>
      </c>
      <c r="E18" s="264"/>
      <c r="F18" s="264"/>
      <c r="G18" s="264"/>
      <c r="H18" s="264"/>
      <c r="I18" s="265"/>
      <c r="J18" s="34"/>
      <c r="K18" s="34"/>
    </row>
    <row r="19" spans="4:11" x14ac:dyDescent="0.3">
      <c r="D19" s="267" t="s">
        <v>318</v>
      </c>
      <c r="E19" s="264"/>
      <c r="F19" s="264"/>
      <c r="G19" s="264"/>
      <c r="H19" s="264"/>
      <c r="I19" s="265"/>
      <c r="J19" s="34"/>
      <c r="K19" s="34"/>
    </row>
    <row r="20" spans="4:11" x14ac:dyDescent="0.3">
      <c r="D20" s="257" t="s">
        <v>319</v>
      </c>
      <c r="E20" s="258"/>
      <c r="F20" s="258"/>
      <c r="G20" s="258"/>
      <c r="H20" s="258"/>
      <c r="I20" s="259"/>
      <c r="J20" s="34"/>
      <c r="K20" s="34"/>
    </row>
    <row r="21" spans="4:11" x14ac:dyDescent="0.3">
      <c r="D21" s="257" t="s">
        <v>280</v>
      </c>
      <c r="E21" s="258">
        <v>203</v>
      </c>
      <c r="F21" s="258">
        <v>182</v>
      </c>
      <c r="G21" s="258">
        <v>185</v>
      </c>
      <c r="H21" s="258">
        <v>771</v>
      </c>
      <c r="I21" s="259">
        <v>551</v>
      </c>
      <c r="J21" s="149">
        <f>IF(F21=0,"",((E21-F21)/F21))</f>
        <v>0.115384615384615</v>
      </c>
      <c r="K21" s="149">
        <f>IF(I21=0,"",((H21-I21)/I21))</f>
        <v>0.39927404718693299</v>
      </c>
    </row>
    <row r="22" spans="4:11" x14ac:dyDescent="0.3">
      <c r="D22" s="260" t="s">
        <v>281</v>
      </c>
      <c r="E22" s="261"/>
      <c r="F22" s="261"/>
      <c r="G22" s="261"/>
      <c r="H22" s="261"/>
      <c r="I22" s="262"/>
      <c r="J22" s="34"/>
      <c r="K22" s="34"/>
    </row>
    <row r="23" spans="4:11" x14ac:dyDescent="0.3">
      <c r="D23" s="263"/>
      <c r="E23" s="264"/>
      <c r="F23" s="264"/>
      <c r="G23" s="264"/>
      <c r="H23" s="264"/>
      <c r="I23" s="265"/>
      <c r="J23" s="34"/>
      <c r="K23" s="34"/>
    </row>
    <row r="24" spans="4:11" x14ac:dyDescent="0.3">
      <c r="D24" s="266" t="s">
        <v>320</v>
      </c>
      <c r="E24" s="255"/>
      <c r="F24" s="255"/>
      <c r="G24" s="255"/>
      <c r="H24" s="255"/>
      <c r="I24" s="256"/>
      <c r="J24" s="34"/>
      <c r="K24" s="34"/>
    </row>
    <row r="25" spans="4:11" x14ac:dyDescent="0.3">
      <c r="D25" s="267" t="s">
        <v>321</v>
      </c>
      <c r="E25" s="264">
        <v>303</v>
      </c>
      <c r="F25" s="264">
        <v>263</v>
      </c>
      <c r="G25" s="264">
        <v>248</v>
      </c>
      <c r="H25" s="264">
        <v>1049</v>
      </c>
      <c r="I25" s="265">
        <v>871</v>
      </c>
      <c r="J25" s="149">
        <f t="shared" ref="J25:J33" si="0">IF(F25=0,"",((E25-F25)/F25))</f>
        <v>0.15209125475285201</v>
      </c>
      <c r="K25" s="149">
        <f t="shared" ref="K25:K33" si="1">IF(I25=0,"",((H25-I25)/I25))</f>
        <v>0.204362801377727</v>
      </c>
    </row>
    <row r="26" spans="4:11" x14ac:dyDescent="0.3">
      <c r="D26" s="267" t="s">
        <v>273</v>
      </c>
      <c r="E26" s="264">
        <v>496</v>
      </c>
      <c r="F26" s="264">
        <v>187</v>
      </c>
      <c r="G26" s="264">
        <v>161</v>
      </c>
      <c r="H26" s="264">
        <v>1058</v>
      </c>
      <c r="I26" s="265">
        <v>1073</v>
      </c>
      <c r="J26" s="149">
        <f t="shared" si="0"/>
        <v>1.6524064171123001</v>
      </c>
      <c r="K26" s="149">
        <f t="shared" si="1"/>
        <v>-1.39794967381174E-2</v>
      </c>
    </row>
    <row r="27" spans="4:11" x14ac:dyDescent="0.3">
      <c r="D27" s="268" t="s">
        <v>322</v>
      </c>
      <c r="E27" s="269">
        <v>799</v>
      </c>
      <c r="F27" s="269">
        <v>451</v>
      </c>
      <c r="G27" s="269">
        <v>410</v>
      </c>
      <c r="H27" s="269">
        <v>2108</v>
      </c>
      <c r="I27" s="270">
        <v>1944</v>
      </c>
      <c r="J27" s="149">
        <f t="shared" si="0"/>
        <v>0.77161862527716196</v>
      </c>
      <c r="K27" s="149">
        <f t="shared" si="1"/>
        <v>8.4362139917695506E-2</v>
      </c>
    </row>
    <row r="28" spans="4:11" x14ac:dyDescent="0.3">
      <c r="D28" s="267" t="s">
        <v>323</v>
      </c>
      <c r="E28" s="264">
        <v>7</v>
      </c>
      <c r="F28" s="264">
        <v>6</v>
      </c>
      <c r="G28" s="264">
        <v>6</v>
      </c>
      <c r="H28" s="264">
        <v>27</v>
      </c>
      <c r="I28" s="265">
        <v>24</v>
      </c>
      <c r="J28" s="149">
        <f t="shared" si="0"/>
        <v>0.16666666666666699</v>
      </c>
      <c r="K28" s="149">
        <f t="shared" si="1"/>
        <v>0.125</v>
      </c>
    </row>
    <row r="29" spans="4:11" x14ac:dyDescent="0.3">
      <c r="D29" s="257" t="s">
        <v>324</v>
      </c>
      <c r="E29" s="258">
        <v>792</v>
      </c>
      <c r="F29" s="258">
        <v>444</v>
      </c>
      <c r="G29" s="258">
        <v>403</v>
      </c>
      <c r="H29" s="258">
        <v>2080</v>
      </c>
      <c r="I29" s="259">
        <v>1920</v>
      </c>
      <c r="J29" s="149">
        <f t="shared" si="0"/>
        <v>0.78378378378378399</v>
      </c>
      <c r="K29" s="149">
        <f t="shared" si="1"/>
        <v>8.3333333333333301E-2</v>
      </c>
    </row>
    <row r="30" spans="4:11" x14ac:dyDescent="0.3">
      <c r="D30" s="257" t="s">
        <v>283</v>
      </c>
      <c r="E30" s="258">
        <v>70</v>
      </c>
      <c r="F30" s="258">
        <v>-51</v>
      </c>
      <c r="G30" s="258">
        <v>25</v>
      </c>
      <c r="H30" s="258">
        <v>38</v>
      </c>
      <c r="I30" s="259">
        <v>146</v>
      </c>
      <c r="J30" s="149">
        <f t="shared" si="0"/>
        <v>-2.37254901960784</v>
      </c>
      <c r="K30" s="149">
        <f t="shared" si="1"/>
        <v>-0.73972602739726001</v>
      </c>
    </row>
    <row r="31" spans="4:11" x14ac:dyDescent="0.3">
      <c r="D31" s="260" t="s">
        <v>325</v>
      </c>
      <c r="E31" s="261">
        <v>862</v>
      </c>
      <c r="F31" s="261">
        <v>392</v>
      </c>
      <c r="G31" s="261">
        <v>428</v>
      </c>
      <c r="H31" s="261">
        <v>2119</v>
      </c>
      <c r="I31" s="262">
        <v>2067</v>
      </c>
      <c r="J31" s="149">
        <f t="shared" si="0"/>
        <v>1.1989795918367301</v>
      </c>
      <c r="K31" s="149">
        <f t="shared" si="1"/>
        <v>2.51572327044025E-2</v>
      </c>
    </row>
    <row r="32" spans="4:11" x14ac:dyDescent="0.3">
      <c r="D32" s="257" t="s">
        <v>326</v>
      </c>
      <c r="E32" s="258">
        <v>112</v>
      </c>
      <c r="F32" s="258">
        <v>76</v>
      </c>
      <c r="G32" s="258">
        <v>81</v>
      </c>
      <c r="H32" s="258">
        <v>358</v>
      </c>
      <c r="I32" s="259">
        <v>634</v>
      </c>
      <c r="J32" s="149">
        <f t="shared" si="0"/>
        <v>0.47368421052631599</v>
      </c>
      <c r="K32" s="149">
        <f t="shared" si="1"/>
        <v>-0.43533123028391202</v>
      </c>
    </row>
    <row r="33" spans="4:11" x14ac:dyDescent="0.3">
      <c r="D33" s="260" t="s">
        <v>327</v>
      </c>
      <c r="E33" s="261">
        <v>749</v>
      </c>
      <c r="F33" s="261">
        <v>316</v>
      </c>
      <c r="G33" s="261">
        <v>347</v>
      </c>
      <c r="H33" s="261">
        <v>1761</v>
      </c>
      <c r="I33" s="262">
        <v>1432</v>
      </c>
      <c r="J33" s="149">
        <f t="shared" si="0"/>
        <v>1.37025316455696</v>
      </c>
      <c r="K33" s="149">
        <f t="shared" si="1"/>
        <v>0.22974860335195499</v>
      </c>
    </row>
    <row r="34" spans="4:11" x14ac:dyDescent="0.3">
      <c r="D34" s="267" t="s">
        <v>328</v>
      </c>
      <c r="E34" s="264"/>
      <c r="F34" s="264"/>
      <c r="G34" s="264"/>
      <c r="H34" s="264"/>
      <c r="I34" s="265"/>
      <c r="J34" s="34"/>
      <c r="K34" s="34"/>
    </row>
    <row r="35" spans="4:11" x14ac:dyDescent="0.3">
      <c r="D35" s="257" t="s">
        <v>329</v>
      </c>
      <c r="E35" s="258"/>
      <c r="F35" s="258"/>
      <c r="G35" s="258"/>
      <c r="H35" s="258"/>
      <c r="I35" s="259"/>
      <c r="J35" s="34"/>
      <c r="K35" s="34"/>
    </row>
    <row r="36" spans="4:11" x14ac:dyDescent="0.3">
      <c r="D36" s="260" t="s">
        <v>330</v>
      </c>
      <c r="E36" s="261">
        <v>749</v>
      </c>
      <c r="F36" s="261">
        <v>316</v>
      </c>
      <c r="G36" s="261">
        <v>347</v>
      </c>
      <c r="H36" s="261">
        <v>1761</v>
      </c>
      <c r="I36" s="262">
        <v>1432</v>
      </c>
      <c r="J36" s="149">
        <f>IF(F36=0,"",((E36-F36)/F36))</f>
        <v>1.37025316455696</v>
      </c>
      <c r="K36" s="149">
        <f>IF(I36=0,"",((H36-I36)/I36))</f>
        <v>0.22974860335195499</v>
      </c>
    </row>
    <row r="37" spans="4:11" x14ac:dyDescent="0.3">
      <c r="D37" s="260"/>
      <c r="E37" s="261"/>
      <c r="F37" s="261"/>
      <c r="G37" s="261"/>
      <c r="H37" s="261"/>
      <c r="I37" s="262"/>
      <c r="J37" s="34"/>
      <c r="K37" s="34"/>
    </row>
    <row r="38" spans="4:11" x14ac:dyDescent="0.3">
      <c r="D38" s="267" t="s">
        <v>229</v>
      </c>
      <c r="E38" s="264">
        <v>-189</v>
      </c>
      <c r="F38" s="264">
        <v>-45</v>
      </c>
      <c r="G38" s="264">
        <v>-31</v>
      </c>
      <c r="H38" s="264">
        <v>-313</v>
      </c>
      <c r="I38" s="265">
        <v>-347</v>
      </c>
      <c r="J38" s="149">
        <f>IF(F38=0,"",((E38-F38)/F38))</f>
        <v>3.2</v>
      </c>
      <c r="K38" s="149">
        <f>IF(I38=0,"",((H38-I38)/I38))</f>
        <v>-9.7982708933717605E-2</v>
      </c>
    </row>
    <row r="39" spans="4:11" x14ac:dyDescent="0.3">
      <c r="D39" s="267" t="s">
        <v>331</v>
      </c>
      <c r="E39" s="264">
        <v>6</v>
      </c>
      <c r="F39" s="264">
        <v>0</v>
      </c>
      <c r="G39" s="264">
        <v>0</v>
      </c>
      <c r="H39" s="264">
        <v>1</v>
      </c>
      <c r="I39" s="265">
        <v>-122</v>
      </c>
      <c r="J39" s="34"/>
      <c r="K39" s="149">
        <f>IF(I39=0,"",((H39-I39)/I39))</f>
        <v>-1.00819672131148</v>
      </c>
    </row>
    <row r="40" spans="4:11" x14ac:dyDescent="0.3">
      <c r="D40" s="267" t="s">
        <v>332</v>
      </c>
      <c r="E40" s="264">
        <v>565</v>
      </c>
      <c r="F40" s="264">
        <v>271</v>
      </c>
      <c r="G40" s="264">
        <v>316</v>
      </c>
      <c r="H40" s="264">
        <v>1449</v>
      </c>
      <c r="I40" s="265">
        <v>962</v>
      </c>
      <c r="J40" s="149">
        <f>IF(F40=0,"",((E40-F40)/F40))</f>
        <v>1.0848708487084899</v>
      </c>
      <c r="K40" s="149">
        <f>IF(I40=0,"",((H40-I40)/I40))</f>
        <v>0.50623700623700596</v>
      </c>
    </row>
    <row r="41" spans="4:11" x14ac:dyDescent="0.3">
      <c r="D41" s="263"/>
      <c r="E41" s="264"/>
      <c r="F41" s="264"/>
      <c r="G41" s="264"/>
      <c r="H41" s="264"/>
      <c r="I41" s="265"/>
      <c r="J41" s="34"/>
      <c r="K41" s="34"/>
    </row>
    <row r="42" spans="4:11" x14ac:dyDescent="0.3">
      <c r="D42" s="257" t="s">
        <v>223</v>
      </c>
      <c r="E42" s="258">
        <v>129</v>
      </c>
      <c r="F42" s="258">
        <v>129</v>
      </c>
      <c r="G42" s="258">
        <v>129</v>
      </c>
      <c r="H42" s="258">
        <v>129</v>
      </c>
      <c r="I42" s="259">
        <v>129</v>
      </c>
      <c r="J42" s="149">
        <f>IF(F42=0,"",((E42-F42)/F42))</f>
        <v>0</v>
      </c>
      <c r="K42" s="149">
        <f>IF(I42=0,"",((H42-I42)/I42))</f>
        <v>0</v>
      </c>
    </row>
    <row r="43" spans="4:11" x14ac:dyDescent="0.3">
      <c r="D43" s="263" t="s">
        <v>333</v>
      </c>
      <c r="E43" s="271"/>
      <c r="F43" s="271"/>
      <c r="G43" s="271"/>
      <c r="H43" s="271"/>
      <c r="I43" s="272"/>
      <c r="J43" s="34"/>
      <c r="K43" s="34"/>
    </row>
    <row r="44" spans="4:11" x14ac:dyDescent="0.3">
      <c r="D44" s="267" t="s">
        <v>334</v>
      </c>
      <c r="E44" s="271"/>
      <c r="F44" s="271"/>
      <c r="G44" s="271"/>
      <c r="H44" s="271"/>
      <c r="I44" s="272"/>
      <c r="J44" s="34"/>
      <c r="K44" s="34"/>
    </row>
    <row r="45" spans="4:11" x14ac:dyDescent="0.3">
      <c r="D45" s="267"/>
      <c r="E45" s="271"/>
      <c r="F45" s="271"/>
      <c r="G45" s="271"/>
      <c r="H45" s="271"/>
      <c r="I45" s="272"/>
      <c r="J45" s="34"/>
      <c r="K45" s="34"/>
    </row>
    <row r="46" spans="4:11" x14ac:dyDescent="0.3">
      <c r="D46" s="254" t="s">
        <v>335</v>
      </c>
      <c r="E46" s="273"/>
      <c r="F46" s="273"/>
      <c r="G46" s="273"/>
      <c r="H46" s="273"/>
      <c r="I46" s="274"/>
      <c r="J46" s="34"/>
      <c r="K46" s="34"/>
    </row>
    <row r="47" spans="4:11" x14ac:dyDescent="0.3">
      <c r="D47" s="257" t="s">
        <v>336</v>
      </c>
      <c r="E47" s="258">
        <v>8.73</v>
      </c>
      <c r="F47" s="258">
        <v>4.8</v>
      </c>
      <c r="G47" s="258">
        <v>4.5</v>
      </c>
      <c r="H47" s="258">
        <v>22.39</v>
      </c>
      <c r="I47" s="259">
        <v>14.88</v>
      </c>
      <c r="J47" s="149">
        <f>IF(F47=0,"",((E47-F47)/F47))</f>
        <v>0.81874999999999998</v>
      </c>
      <c r="K47" s="149">
        <f>IF(I47=0,"",((H47-I47)/I47))</f>
        <v>0.50470430107526898</v>
      </c>
    </row>
    <row r="48" spans="4:11" x14ac:dyDescent="0.3">
      <c r="D48" s="257" t="s">
        <v>337</v>
      </c>
      <c r="E48" s="258">
        <v>8.7200000000000006</v>
      </c>
      <c r="F48" s="258">
        <v>4.78</v>
      </c>
      <c r="G48" s="258">
        <v>4.49</v>
      </c>
      <c r="H48" s="258">
        <v>22.36</v>
      </c>
      <c r="I48" s="259">
        <v>17.82</v>
      </c>
      <c r="J48" s="149">
        <f>IF(F48=0,"",((E48-F48)/F48))</f>
        <v>0.82426778242677801</v>
      </c>
      <c r="K48" s="149">
        <f>IF(I48=0,"",((H48-I48)/I48))</f>
        <v>0.254769921436588</v>
      </c>
    </row>
    <row r="49" spans="4:11" x14ac:dyDescent="0.3">
      <c r="D49" s="275"/>
      <c r="E49" s="276"/>
      <c r="F49" s="276"/>
      <c r="G49" s="276"/>
      <c r="H49" s="276"/>
      <c r="I49" s="276"/>
      <c r="J49" s="34"/>
      <c r="K49" s="34"/>
    </row>
    <row r="50" spans="4:11" x14ac:dyDescent="0.3">
      <c r="D50" s="277" t="s">
        <v>338</v>
      </c>
      <c r="E50" s="264">
        <v>8.73</v>
      </c>
      <c r="F50" s="264">
        <v>4.2</v>
      </c>
      <c r="G50" s="264">
        <v>4.8899999999999997</v>
      </c>
      <c r="H50" s="264">
        <v>22.39</v>
      </c>
      <c r="I50" s="264">
        <v>14.88</v>
      </c>
      <c r="J50" s="149">
        <f>IF(F50=0,"",((E50-F50)/F50))</f>
        <v>1.0785714285714301</v>
      </c>
      <c r="K50" s="149">
        <f>IF(I50=0,"",((H50-I50)/I50))</f>
        <v>0.50470430107526898</v>
      </c>
    </row>
    <row r="51" spans="4:11" x14ac:dyDescent="0.3">
      <c r="D51" s="277" t="s">
        <v>339</v>
      </c>
      <c r="E51" s="264">
        <v>8.7200000000000006</v>
      </c>
      <c r="F51" s="264">
        <v>4.1900000000000004</v>
      </c>
      <c r="G51" s="264">
        <v>4.88</v>
      </c>
      <c r="H51" s="264">
        <v>22.36</v>
      </c>
      <c r="I51" s="264">
        <v>17.82</v>
      </c>
      <c r="J51" s="149">
        <f>IF(F51=0,"",((E51-F51)/F51))</f>
        <v>1.08114558472554</v>
      </c>
      <c r="K51" s="149">
        <f>IF(I51=0,"",((H51-I51)/I51))</f>
        <v>0.254769921436588</v>
      </c>
    </row>
  </sheetData>
  <mergeCells count="4">
    <mergeCell ref="D1:I1"/>
    <mergeCell ref="E2:G2"/>
    <mergeCell ref="H2:I2"/>
    <mergeCell ref="J2:K2"/>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showGridLines="0" workbookViewId="0">
      <selection sqref="A1:F10"/>
    </sheetView>
  </sheetViews>
  <sheetFormatPr defaultColWidth="8.6640625" defaultRowHeight="14.4" x14ac:dyDescent="0.3"/>
  <cols>
    <col min="1" max="1" width="70.109375" customWidth="1"/>
    <col min="2" max="6" width="12" customWidth="1"/>
  </cols>
  <sheetData>
    <row r="1" spans="1:6" ht="15" customHeight="1" x14ac:dyDescent="0.3">
      <c r="A1" s="285" t="s">
        <v>340</v>
      </c>
      <c r="B1" s="130"/>
      <c r="C1" s="130"/>
      <c r="D1" s="130"/>
      <c r="E1" s="130"/>
      <c r="F1" s="130"/>
    </row>
    <row r="2" spans="1:6" ht="14.25" customHeight="1" x14ac:dyDescent="0.3">
      <c r="A2" s="286" t="s">
        <v>214</v>
      </c>
      <c r="B2" s="130"/>
      <c r="C2" s="130"/>
      <c r="D2" s="130"/>
      <c r="E2" s="130"/>
      <c r="F2" s="130"/>
    </row>
    <row r="3" spans="1:6" ht="14.25" customHeight="1" x14ac:dyDescent="0.3">
      <c r="A3" s="287" t="s">
        <v>215</v>
      </c>
      <c r="B3" s="287" t="s">
        <v>216</v>
      </c>
      <c r="C3" s="287" t="s">
        <v>217</v>
      </c>
      <c r="D3" s="287" t="s">
        <v>218</v>
      </c>
      <c r="E3" s="287" t="s">
        <v>219</v>
      </c>
      <c r="F3" s="287" t="s">
        <v>220</v>
      </c>
    </row>
    <row r="4" spans="1:6" ht="14.25" customHeight="1" x14ac:dyDescent="0.3">
      <c r="A4" s="288" t="s">
        <v>341</v>
      </c>
      <c r="B4" s="289">
        <v>3025.4</v>
      </c>
      <c r="C4" s="289">
        <v>649.86</v>
      </c>
      <c r="D4" s="289">
        <v>988.61</v>
      </c>
      <c r="E4" s="289">
        <v>1797.64</v>
      </c>
      <c r="F4" s="289">
        <v>2119.5700000000002</v>
      </c>
    </row>
    <row r="5" spans="1:6" ht="14.25" customHeight="1" x14ac:dyDescent="0.3">
      <c r="A5" s="288" t="s">
        <v>342</v>
      </c>
      <c r="B5" s="289">
        <v>706.75</v>
      </c>
      <c r="C5" s="289">
        <v>520.79</v>
      </c>
      <c r="D5" s="289">
        <v>702.3</v>
      </c>
      <c r="E5" s="289">
        <v>875.84</v>
      </c>
      <c r="F5" s="289">
        <v>1076.43</v>
      </c>
    </row>
    <row r="6" spans="1:6" ht="14.25" customHeight="1" x14ac:dyDescent="0.3">
      <c r="A6" s="288" t="s">
        <v>343</v>
      </c>
      <c r="B6" s="289">
        <v>-1176.53</v>
      </c>
      <c r="C6" s="289">
        <v>-366.62</v>
      </c>
      <c r="D6" s="289">
        <v>-851.7</v>
      </c>
      <c r="E6" s="289">
        <v>-817.77</v>
      </c>
      <c r="F6" s="289">
        <v>-610.71</v>
      </c>
    </row>
    <row r="7" spans="1:6" ht="14.25" customHeight="1" x14ac:dyDescent="0.3">
      <c r="A7" s="288" t="s">
        <v>344</v>
      </c>
      <c r="B7" s="289">
        <v>34.64</v>
      </c>
      <c r="C7" s="289">
        <v>1.97</v>
      </c>
      <c r="D7" s="289">
        <v>120</v>
      </c>
      <c r="E7" s="289">
        <v>-126.99</v>
      </c>
      <c r="F7" s="289">
        <v>-363.28</v>
      </c>
    </row>
    <row r="8" spans="1:6" ht="14.25" customHeight="1" x14ac:dyDescent="0.3">
      <c r="A8" s="288" t="s">
        <v>345</v>
      </c>
      <c r="B8" s="289">
        <v>-435.15</v>
      </c>
      <c r="C8" s="289">
        <v>156.13999999999999</v>
      </c>
      <c r="D8" s="289">
        <v>-29.4</v>
      </c>
      <c r="E8" s="289">
        <v>-68.92</v>
      </c>
      <c r="F8" s="289">
        <v>102.44</v>
      </c>
    </row>
    <row r="9" spans="1:6" ht="14.25" customHeight="1" x14ac:dyDescent="0.3">
      <c r="A9" s="290" t="s">
        <v>346</v>
      </c>
      <c r="B9" s="291">
        <v>640.29999999999995</v>
      </c>
      <c r="C9" s="291">
        <v>205.15</v>
      </c>
      <c r="D9" s="291">
        <v>361.3</v>
      </c>
      <c r="E9" s="291">
        <v>331.9</v>
      </c>
      <c r="F9" s="291">
        <v>262.98</v>
      </c>
    </row>
    <row r="10" spans="1:6" ht="14.25" customHeight="1" x14ac:dyDescent="0.3">
      <c r="A10" s="288" t="s">
        <v>347</v>
      </c>
      <c r="B10" s="289">
        <v>205.15</v>
      </c>
      <c r="C10" s="289">
        <v>361.3</v>
      </c>
      <c r="D10" s="289">
        <v>331.9</v>
      </c>
      <c r="E10" s="289">
        <v>262.98</v>
      </c>
      <c r="F10" s="289">
        <v>365.42</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0"/>
  <sheetViews>
    <sheetView showGridLines="0" workbookViewId="0">
      <selection sqref="A1:I2"/>
    </sheetView>
  </sheetViews>
  <sheetFormatPr defaultColWidth="8.6640625" defaultRowHeight="14.4" x14ac:dyDescent="0.3"/>
  <cols>
    <col min="1" max="1" width="24.33203125" customWidth="1"/>
    <col min="2" max="2" width="7.88671875" customWidth="1"/>
    <col min="3" max="4" width="8.5546875" customWidth="1"/>
    <col min="5" max="5" width="7.109375" customWidth="1"/>
    <col min="6" max="6" width="8.5546875" customWidth="1"/>
    <col min="7" max="7" width="14.88671875" customWidth="1"/>
    <col min="8" max="8" width="7.88671875" customWidth="1"/>
    <col min="9" max="9" width="7.44140625" customWidth="1"/>
  </cols>
  <sheetData>
    <row r="1" spans="1:9" ht="14.25" customHeight="1" x14ac:dyDescent="0.3">
      <c r="A1" s="302" t="s">
        <v>348</v>
      </c>
      <c r="B1" s="278"/>
      <c r="C1" s="278"/>
      <c r="D1" s="278"/>
      <c r="E1" s="278"/>
      <c r="F1" s="278"/>
      <c r="G1" s="278"/>
      <c r="H1" s="278"/>
      <c r="I1" s="279"/>
    </row>
    <row r="2" spans="1:9" ht="14.25" customHeight="1" x14ac:dyDescent="0.3">
      <c r="A2" s="303" t="s">
        <v>299</v>
      </c>
      <c r="B2" s="304">
        <v>44621</v>
      </c>
      <c r="C2" s="304">
        <v>44986</v>
      </c>
      <c r="D2" s="304">
        <v>45352</v>
      </c>
      <c r="E2" s="304">
        <v>45717</v>
      </c>
      <c r="F2" s="304">
        <v>46082</v>
      </c>
      <c r="G2" s="305" t="s">
        <v>349</v>
      </c>
      <c r="H2" s="306" t="s">
        <v>350</v>
      </c>
      <c r="I2" s="306" t="s">
        <v>351</v>
      </c>
    </row>
    <row r="3" spans="1:9" ht="14.25" customHeight="1" x14ac:dyDescent="0.3">
      <c r="A3" s="130"/>
      <c r="B3" s="34"/>
      <c r="C3" s="34"/>
      <c r="D3" s="34"/>
      <c r="E3" s="34"/>
      <c r="F3" s="34"/>
      <c r="G3" s="34"/>
      <c r="H3" s="34"/>
      <c r="I3" s="34"/>
    </row>
    <row r="4" spans="1:9" ht="14.25" customHeight="1" x14ac:dyDescent="0.3">
      <c r="A4" s="130" t="s">
        <v>352</v>
      </c>
      <c r="B4" s="106"/>
      <c r="C4" s="141">
        <f>('consolidated P&amp;l '!C6-'consolidated P&amp;l '!B6)/'consolidated P&amp;l '!B6</f>
        <v>0.47617729054832197</v>
      </c>
      <c r="D4" s="141">
        <f>('consolidated P&amp;l '!D6-'consolidated P&amp;l '!C6)/'consolidated P&amp;l '!C6</f>
        <v>8.1276724545869303E-2</v>
      </c>
      <c r="E4" s="141">
        <f>('consolidated P&amp;l '!E6-'consolidated P&amp;l '!D6)/'consolidated P&amp;l '!D6</f>
        <v>0.12348896441328799</v>
      </c>
      <c r="F4" s="141">
        <f>('consolidated P&amp;l '!F6-'consolidated P&amp;l '!E6)/'consolidated P&amp;l '!E6</f>
        <v>0.15271885034479099</v>
      </c>
      <c r="G4" s="34"/>
      <c r="H4" s="142">
        <f>AVERAGE(C4:F4)</f>
        <v>0.208415457463068</v>
      </c>
      <c r="I4" s="142">
        <f>MEDIAN(C4:F4)</f>
        <v>0.13810390737903999</v>
      </c>
    </row>
    <row r="5" spans="1:9" ht="14.25" customHeight="1" x14ac:dyDescent="0.3">
      <c r="A5" s="130" t="s">
        <v>353</v>
      </c>
      <c r="B5" s="106"/>
      <c r="C5" s="141">
        <f>(('consolidated P&amp;l '!C17+'consolidated P&amp;l '!C14)-('consolidated P&amp;l '!B17+'consolidated P&amp;l '!B14))/('consolidated P&amp;l '!B17+'consolidated P&amp;l '!B14)</f>
        <v>9.0233727641579595E-2</v>
      </c>
      <c r="D5" s="141">
        <f>(('consolidated P&amp;l '!D17+'consolidated P&amp;l '!D14)-('consolidated P&amp;l '!C17+'consolidated P&amp;l '!C14))/('consolidated P&amp;l '!C17+'consolidated P&amp;l '!C14)</f>
        <v>0.27971485480658298</v>
      </c>
      <c r="E5" s="141">
        <f>(('consolidated P&amp;l '!E17+'consolidated P&amp;l '!E14)-('consolidated P&amp;l '!D17+'consolidated P&amp;l '!D14))/('consolidated P&amp;l '!D17+'consolidated P&amp;l '!D14)</f>
        <v>0.66600858509731997</v>
      </c>
      <c r="F5" s="141">
        <f>(('consolidated P&amp;l '!F17+'consolidated P&amp;l '!F14)-('consolidated P&amp;l '!E17+'consolidated P&amp;l '!E14))/('consolidated P&amp;l '!E17+'consolidated P&amp;l '!E14)</f>
        <v>8.3403401631484894E-2</v>
      </c>
      <c r="G5" s="34"/>
      <c r="H5" s="142">
        <f>AVERAGE(C5:F5)</f>
        <v>0.27984014229424198</v>
      </c>
      <c r="I5" s="142">
        <f>MEDIAN(C5:F5)</f>
        <v>0.18497429122408099</v>
      </c>
    </row>
    <row r="6" spans="1:9" ht="14.25" customHeight="1" x14ac:dyDescent="0.3">
      <c r="A6" s="130" t="s">
        <v>354</v>
      </c>
      <c r="B6" s="106"/>
      <c r="C6" s="141">
        <f>('consolidated P&amp;l '!C17-'consolidated P&amp;l '!B17)/'consolidated P&amp;l '!B17</f>
        <v>6.1250060238060899E-2</v>
      </c>
      <c r="D6" s="141">
        <f>('consolidated P&amp;l '!D17-'consolidated P&amp;l '!C17)/'consolidated P&amp;l '!C17</f>
        <v>0.27099037326309999</v>
      </c>
      <c r="E6" s="141">
        <f>('consolidated P&amp;l '!E17-'consolidated P&amp;l '!D17)/'consolidated P&amp;l '!D17</f>
        <v>0.71548513295045502</v>
      </c>
      <c r="F6" s="141">
        <f>('consolidated P&amp;l '!F17-'consolidated P&amp;l '!E17)/'consolidated P&amp;l '!E17</f>
        <v>8.3373250583138894E-2</v>
      </c>
      <c r="G6" s="34"/>
      <c r="H6" s="142">
        <f>AVERAGE(C6:F6)</f>
        <v>0.282774704258689</v>
      </c>
      <c r="I6" s="142">
        <f>MEDIAN(C6:F6)</f>
        <v>0.17718181192311999</v>
      </c>
    </row>
    <row r="7" spans="1:9" ht="14.25" customHeight="1" x14ac:dyDescent="0.3">
      <c r="A7" s="130" t="s">
        <v>355</v>
      </c>
      <c r="B7" s="106"/>
      <c r="C7" s="141">
        <f>('consolidated P&amp;l '!C29-'consolidated P&amp;l '!B29)/'consolidated P&amp;l '!B29</f>
        <v>-1.0084179952772701</v>
      </c>
      <c r="D7" s="141">
        <f>('consolidated P&amp;l '!D29-'consolidated P&amp;l '!C29)/'consolidated P&amp;l '!C29</f>
        <v>-6.3552741830369603</v>
      </c>
      <c r="E7" s="141">
        <f>('consolidated P&amp;l '!E29-'consolidated P&amp;l '!D29)/'consolidated P&amp;l '!D29</f>
        <v>0.67267606613236897</v>
      </c>
      <c r="F7" s="141">
        <f>('consolidated P&amp;l '!F29-'consolidated P&amp;l '!E29)/'consolidated P&amp;l '!E29</f>
        <v>0.50685970856632101</v>
      </c>
      <c r="G7" s="34"/>
      <c r="H7" s="142">
        <f>AVERAGE(C7:F7)</f>
        <v>-1.5460391009038901</v>
      </c>
      <c r="I7" s="142">
        <f>MEDIAN(C7:F7)</f>
        <v>-0.25077914335547502</v>
      </c>
    </row>
    <row r="8" spans="1:9" ht="14.25" customHeight="1" x14ac:dyDescent="0.3">
      <c r="A8" s="130" t="s">
        <v>356</v>
      </c>
      <c r="B8" s="106"/>
      <c r="C8" s="141">
        <f>IF('consolidated P&amp;l '!B34=0,"",('consolidated P&amp;l '!C34-'consolidated P&amp;l '!B34)/'consolidated P&amp;l '!B34)</f>
        <v>-6.1327631451064298E-2</v>
      </c>
      <c r="D8" s="141">
        <f>IF('consolidated P&amp;l '!C34=0,"",('consolidated P&amp;l '!D34-'consolidated P&amp;l '!C34)/'consolidated P&amp;l '!C34)</f>
        <v>0.26946572789397399</v>
      </c>
      <c r="E8" s="141">
        <f>IF('consolidated P&amp;l '!D34=0,"",('consolidated P&amp;l '!E34-'consolidated P&amp;l '!D34)/'consolidated P&amp;l '!D34)</f>
        <v>0.26507891195302002</v>
      </c>
      <c r="F8" s="141">
        <f>IF('consolidated P&amp;l '!E34=0,"",('consolidated P&amp;l '!F34-'consolidated P&amp;l '!E34)/'consolidated P&amp;l '!E34)</f>
        <v>-1</v>
      </c>
      <c r="G8" s="34"/>
      <c r="H8" s="142">
        <f>IFERROR(AVERAGE(C8:F8),"")</f>
        <v>-0.13169574790101801</v>
      </c>
      <c r="I8" s="142">
        <f>IFERROR(MEDIAN(C8:F8),"")</f>
        <v>0.10187564025097801</v>
      </c>
    </row>
    <row r="9" spans="1:9" ht="14.25" customHeight="1" x14ac:dyDescent="0.3">
      <c r="A9" s="130"/>
      <c r="B9" s="34"/>
      <c r="C9" s="34"/>
      <c r="D9" s="34"/>
      <c r="E9" s="34"/>
      <c r="F9" s="34"/>
      <c r="G9" s="34"/>
      <c r="H9" s="143"/>
      <c r="I9" s="143"/>
    </row>
    <row r="10" spans="1:9" ht="14.25" customHeight="1" x14ac:dyDescent="0.3">
      <c r="A10" s="130" t="s">
        <v>357</v>
      </c>
      <c r="B10" s="141">
        <f>('consolidated P&amp;l '!B6-'consolidated P&amp;l '!B11)/'consolidated P&amp;l '!B6</f>
        <v>0.97859071257307895</v>
      </c>
      <c r="C10" s="141">
        <f>('consolidated P&amp;l '!C6-'consolidated P&amp;l '!C11)/'consolidated P&amp;l '!C6</f>
        <v>0.97298449496736605</v>
      </c>
      <c r="D10" s="141">
        <f>('consolidated P&amp;l '!D6-'consolidated P&amp;l '!D11)/'consolidated P&amp;l '!D6</f>
        <v>0.97054416994567005</v>
      </c>
      <c r="E10" s="141">
        <f>('consolidated P&amp;l '!E6-'consolidated P&amp;l '!E11)/'consolidated P&amp;l '!E6</f>
        <v>0.97252197715428701</v>
      </c>
      <c r="F10" s="141">
        <f>('consolidated P&amp;l '!F6-'consolidated P&amp;l '!F11)/'consolidated P&amp;l '!F6</f>
        <v>1</v>
      </c>
      <c r="G10" s="34"/>
      <c r="H10" s="142">
        <f>AVERAGE(B10:F10)</f>
        <v>0.97892827092807999</v>
      </c>
      <c r="I10" s="142">
        <f>MEDIAN(B10:F10)</f>
        <v>0.97298449496736605</v>
      </c>
    </row>
    <row r="11" spans="1:9" ht="14.25" customHeight="1" x14ac:dyDescent="0.3">
      <c r="A11" s="130" t="s">
        <v>358</v>
      </c>
      <c r="B11" s="141">
        <f>('consolidated P&amp;l '!B17+'consolidated P&amp;l '!B14)/'consolidated P&amp;l '!B6</f>
        <v>0.55061893104598403</v>
      </c>
      <c r="C11" s="141">
        <f>('consolidated P&amp;l '!C17+'consolidated P&amp;l '!C14)/'consolidated P&amp;l '!C6</f>
        <v>0.40666072669449099</v>
      </c>
      <c r="D11" s="141">
        <f>('consolidated P&amp;l '!D17+'consolidated P&amp;l '!D14)/'consolidated P&amp;l '!D6</f>
        <v>0.481291940355</v>
      </c>
      <c r="E11" s="141">
        <f>('consolidated P&amp;l '!E17+'consolidated P&amp;l '!E14)/'consolidated P&amp;l '!E6</f>
        <v>0.7137021634995</v>
      </c>
      <c r="F11" s="141">
        <f>('consolidated P&amp;l '!F17+'consolidated P&amp;l '!F14)/'consolidated P&amp;l '!F6</f>
        <v>0.670785726680732</v>
      </c>
      <c r="G11" s="34"/>
      <c r="H11" s="142">
        <f>AVERAGE(B11:F11)</f>
        <v>0.56461189765514097</v>
      </c>
      <c r="I11" s="142">
        <f>MEDIAN(B11:F11)</f>
        <v>0.55061893104598403</v>
      </c>
    </row>
    <row r="12" spans="1:9" ht="14.25" customHeight="1" x14ac:dyDescent="0.3">
      <c r="A12" s="130" t="s">
        <v>359</v>
      </c>
      <c r="B12" s="141">
        <f>'consolidated P&amp;l '!B17/'consolidated P&amp;l '!B6</f>
        <v>0.52235640610938705</v>
      </c>
      <c r="C12" s="141">
        <f>'consolidated P&amp;l '!C17/'consolidated P&amp;l '!C6</f>
        <v>0.37553129356394099</v>
      </c>
      <c r="D12" s="141">
        <f>'consolidated P&amp;l '!D17/'consolidated P&amp;l '!D6</f>
        <v>0.44141952577335802</v>
      </c>
      <c r="E12" s="141">
        <f>'consolidated P&amp;l '!E17/'consolidated P&amp;l '!E6</f>
        <v>0.67401519538172705</v>
      </c>
      <c r="F12" s="141">
        <f>'consolidated P&amp;l '!F17/'consolidated P&amp;l '!F6</f>
        <v>0.63346759094354799</v>
      </c>
      <c r="G12" s="34"/>
      <c r="H12" s="142">
        <f>AVERAGE(B12:F12)</f>
        <v>0.52935800235439201</v>
      </c>
      <c r="I12" s="142">
        <f>MEDIAN(B12:F12)</f>
        <v>0.52235640610938705</v>
      </c>
    </row>
    <row r="13" spans="1:9" ht="14.25" customHeight="1" x14ac:dyDescent="0.3">
      <c r="A13" s="130" t="s">
        <v>360</v>
      </c>
      <c r="B13" s="141">
        <f>'consolidated P&amp;l '!B19/'consolidated P&amp;l '!B6</f>
        <v>7.5547661151771797</v>
      </c>
      <c r="C13" s="141">
        <f>'consolidated P&amp;l '!C19/'consolidated P&amp;l '!C6</f>
        <v>0.15843099471797201</v>
      </c>
      <c r="D13" s="141">
        <f>'consolidated P&amp;l '!D19/'consolidated P&amp;l '!D6</f>
        <v>0.39782521270807503</v>
      </c>
      <c r="E13" s="141">
        <f>'consolidated P&amp;l '!E19/'consolidated P&amp;l '!E6</f>
        <v>0.72559176010247195</v>
      </c>
      <c r="F13" s="141">
        <f>'consolidated P&amp;l '!F19/'consolidated P&amp;l '!F6</f>
        <v>0.64527982513022397</v>
      </c>
      <c r="G13" s="34"/>
      <c r="H13" s="142">
        <f>AVERAGE(B13:F13)</f>
        <v>1.89637878156719</v>
      </c>
      <c r="I13" s="142">
        <f>MEDIAN(B13:F13)</f>
        <v>0.64527982513022397</v>
      </c>
    </row>
    <row r="14" spans="1:9" ht="14.25" customHeight="1" x14ac:dyDescent="0.3">
      <c r="A14" s="130" t="s">
        <v>361</v>
      </c>
      <c r="B14" s="141">
        <f>'consolidated P&amp;l '!B29/'consolidated P&amp;l '!B6</f>
        <v>8.0297854666054107</v>
      </c>
      <c r="C14" s="141">
        <f>'consolidated P&amp;l '!C29/'consolidated P&amp;l '!C6</f>
        <v>-4.5790364455661203E-2</v>
      </c>
      <c r="D14" s="141">
        <f>'consolidated P&amp;l '!D29/'consolidated P&amp;l '!D6</f>
        <v>0.22678741809063499</v>
      </c>
      <c r="E14" s="141">
        <f>'consolidated P&amp;l '!E29/'consolidated P&amp;l '!E6</f>
        <v>0.33764629502903998</v>
      </c>
      <c r="F14" s="141">
        <f>'consolidated P&amp;l '!F29/'consolidated P&amp;l '!F6</f>
        <v>0.44137874345836597</v>
      </c>
      <c r="G14" s="34"/>
      <c r="H14" s="142">
        <f>AVERAGE(B14:F14)</f>
        <v>1.7979615117455601</v>
      </c>
      <c r="I14" s="142">
        <f>MEDIAN(B14:F14)</f>
        <v>0.33764629502903998</v>
      </c>
    </row>
    <row r="15" spans="1:9" ht="14.25" customHeight="1" x14ac:dyDescent="0.3">
      <c r="A15" s="130"/>
      <c r="B15" s="34"/>
      <c r="C15" s="34"/>
      <c r="D15" s="34"/>
      <c r="E15" s="34"/>
      <c r="F15" s="34"/>
      <c r="G15" s="34"/>
      <c r="H15" s="143"/>
      <c r="I15" s="143"/>
    </row>
    <row r="16" spans="1:9" ht="14.25" customHeight="1" x14ac:dyDescent="0.3">
      <c r="A16" s="130" t="s">
        <v>362</v>
      </c>
      <c r="B16" s="141">
        <f>'consolidated P&amp;l '!B16/'consolidated P&amp;l '!B6</f>
        <v>0.75476863243614001</v>
      </c>
      <c r="C16" s="141">
        <f>'consolidated P&amp;l '!C16/'consolidated P&amp;l '!C6</f>
        <v>0.791950342969446</v>
      </c>
      <c r="D16" s="141">
        <f>'consolidated P&amp;l '!D16/'consolidated P&amp;l '!D6</f>
        <v>0.72170134918819995</v>
      </c>
      <c r="E16" s="141">
        <f>'consolidated P&amp;l '!E16/'consolidated P&amp;l '!E6</f>
        <v>0.70262322121036702</v>
      </c>
      <c r="F16" s="141">
        <f>'consolidated P&amp;l '!F16/'consolidated P&amp;l '!F6</f>
        <v>0.68879938381541295</v>
      </c>
      <c r="G16" s="34"/>
      <c r="H16" s="142">
        <f>AVERAGE(B16:F16)</f>
        <v>0.73196858592391301</v>
      </c>
      <c r="I16" s="142">
        <f>MEDIAN(B16:F16)</f>
        <v>0.72170134918819995</v>
      </c>
    </row>
    <row r="17" spans="1:9" ht="14.25" customHeight="1" x14ac:dyDescent="0.3">
      <c r="A17" s="130" t="s">
        <v>363</v>
      </c>
      <c r="B17" s="141">
        <f>'consolidated P&amp;l '!B14/'consolidated P&amp;l '!B6</f>
        <v>2.8262524936596499E-2</v>
      </c>
      <c r="C17" s="141">
        <f>'consolidated P&amp;l '!C14/'consolidated P&amp;l '!C6</f>
        <v>3.11294331305501E-2</v>
      </c>
      <c r="D17" s="141">
        <f>'consolidated P&amp;l '!D14/'consolidated P&amp;l '!D6</f>
        <v>3.9872414581641299E-2</v>
      </c>
      <c r="E17" s="141">
        <f>'consolidated P&amp;l '!E14/'consolidated P&amp;l '!E6</f>
        <v>3.9686968117773003E-2</v>
      </c>
      <c r="F17" s="141">
        <f>'consolidated P&amp;l '!F14/'consolidated P&amp;l '!F6</f>
        <v>3.73181357371839E-2</v>
      </c>
      <c r="G17" s="34"/>
      <c r="H17" s="142">
        <f>AVERAGE(B17:F17)</f>
        <v>3.5253895300748898E-2</v>
      </c>
      <c r="I17" s="142">
        <f>MEDIAN(B17:F17)</f>
        <v>3.73181357371839E-2</v>
      </c>
    </row>
    <row r="18" spans="1:9" ht="14.25" customHeight="1" x14ac:dyDescent="0.3">
      <c r="A18" s="130" t="s">
        <v>364</v>
      </c>
      <c r="B18" s="141">
        <f>'consolidated P&amp;l '!B17/'consolidated P&amp;l '!B6</f>
        <v>0.52235640610938705</v>
      </c>
      <c r="C18" s="141">
        <f>'consolidated P&amp;l '!C17/'consolidated P&amp;l '!C6</f>
        <v>0.37553129356394099</v>
      </c>
      <c r="D18" s="141">
        <f>'consolidated P&amp;l '!D17/'consolidated P&amp;l '!D6</f>
        <v>0.44141952577335802</v>
      </c>
      <c r="E18" s="141">
        <f>'consolidated P&amp;l '!E17/'consolidated P&amp;l '!E6</f>
        <v>0.67401519538172705</v>
      </c>
      <c r="F18" s="141">
        <f>'consolidated P&amp;l '!F17/'consolidated P&amp;l '!F6</f>
        <v>0.63346759094354799</v>
      </c>
      <c r="G18" s="34"/>
      <c r="H18" s="142">
        <f>AVERAGE(B18:F18)</f>
        <v>0.52935800235439201</v>
      </c>
      <c r="I18" s="142">
        <f>MEDIAN(B18:F18)</f>
        <v>0.52235640610938705</v>
      </c>
    </row>
    <row r="19" spans="1:9" ht="14.25" customHeight="1" x14ac:dyDescent="0.3">
      <c r="A19" s="130"/>
      <c r="B19" s="34"/>
      <c r="C19" s="34"/>
      <c r="D19" s="34"/>
      <c r="E19" s="34"/>
      <c r="F19" s="34"/>
      <c r="G19" s="34"/>
      <c r="H19" s="143"/>
      <c r="I19" s="143"/>
    </row>
    <row r="20" spans="1:9" ht="14.25" customHeight="1" x14ac:dyDescent="0.3">
      <c r="A20" s="130" t="s">
        <v>365</v>
      </c>
      <c r="B20" s="141">
        <f>'consolidated P&amp;l '!B17/('consolidated balance sheet'!B11+'consolidated balance sheet'!B14+'consolidated balance sheet'!B20)</f>
        <v>4.8140559018351098E-2</v>
      </c>
      <c r="C20" s="141">
        <f>'consolidated P&amp;l '!C17/('consolidated balance sheet'!C11+'consolidated balance sheet'!C14+'consolidated balance sheet'!C20)</f>
        <v>6.5735154965060799E-2</v>
      </c>
      <c r="D20" s="141">
        <f>'consolidated P&amp;l '!D17/('consolidated balance sheet'!D11+'consolidated balance sheet'!D14+'consolidated balance sheet'!D20)</f>
        <v>3.6993054984211099E-2</v>
      </c>
      <c r="E20" s="141">
        <f>'consolidated P&amp;l '!E17/('consolidated balance sheet'!E11+'consolidated balance sheet'!E14+'consolidated balance sheet'!E20)</f>
        <v>5.5025837768551897E-2</v>
      </c>
      <c r="F20" s="141">
        <f>'consolidated P&amp;l '!F17/('consolidated balance sheet'!F11+'consolidated balance sheet'!F14+'consolidated balance sheet'!F20)</f>
        <v>5.4881947250535197E-2</v>
      </c>
      <c r="G20" s="34"/>
      <c r="H20" s="142">
        <f>AVERAGE(B20:F20)</f>
        <v>5.2155310797342001E-2</v>
      </c>
      <c r="I20" s="142">
        <f>MEDIAN(B20:F20)</f>
        <v>5.4881947250535197E-2</v>
      </c>
    </row>
    <row r="21" spans="1:9" ht="14.25" customHeight="1" x14ac:dyDescent="0.3">
      <c r="A21" s="130" t="s">
        <v>366</v>
      </c>
      <c r="B21" s="141">
        <f>IF('consolidated P&amp;l '!B29=0,"",('consolidated P&amp;l '!B29-'consolidated P&amp;l '!B34)/'consolidated P&amp;l '!B29)</f>
        <v>0.98387249727067605</v>
      </c>
      <c r="C21" s="141">
        <f>IF('consolidated P&amp;l '!C29=0,"",('consolidated P&amp;l '!C29-'consolidated P&amp;l '!C34)/'consolidated P&amp;l '!C29)</f>
        <v>2.7983427986220999</v>
      </c>
      <c r="D21" s="141">
        <f>IF('consolidated P&amp;l '!D29=0,"",('consolidated P&amp;l '!D29-'consolidated P&amp;l '!D34)/'consolidated P&amp;l '!D29)</f>
        <v>0.57370351697640898</v>
      </c>
      <c r="E21" s="141">
        <f>IF('consolidated P&amp;l '!E29=0,"",('consolidated P&amp;l '!E29-'consolidated P&amp;l '!E34)/'consolidated P&amp;l '!E29)</f>
        <v>0.67758330388509003</v>
      </c>
      <c r="F21" s="141">
        <f>IF('consolidated P&amp;l '!F29=0,"",('consolidated P&amp;l '!F29-'consolidated P&amp;l '!F34)/'consolidated P&amp;l '!F29)</f>
        <v>1</v>
      </c>
      <c r="G21" s="34"/>
      <c r="H21" s="142">
        <f>IFERROR(AVERAGE(B21:F21),"")</f>
        <v>1.20670042335086</v>
      </c>
      <c r="I21" s="142">
        <f>IFERROR(MEDIAN(B21:F21),"")</f>
        <v>0.98387249727067605</v>
      </c>
    </row>
    <row r="22" spans="1:9" ht="14.25" customHeight="1" x14ac:dyDescent="0.3">
      <c r="A22" s="130" t="s">
        <v>367</v>
      </c>
      <c r="B22" s="141">
        <f>'consolidated P&amp;l '!B29/'consolidated balance sheet'!B11</f>
        <v>0.74005588886259499</v>
      </c>
      <c r="C22" s="141">
        <f>'consolidated P&amp;l '!C29/'consolidated balance sheet'!C11</f>
        <v>-8.0168562220387807E-3</v>
      </c>
      <c r="D22" s="141">
        <f>'consolidated P&amp;l '!D29/'consolidated balance sheet'!D11</f>
        <v>1.9007484232026101E-2</v>
      </c>
      <c r="E22" s="141">
        <f>'consolidated P&amp;l '!E29/'consolidated balance sheet'!E11</f>
        <v>2.75660644081063E-2</v>
      </c>
      <c r="F22" s="141">
        <f>'consolidated P&amp;l '!F29/'consolidated balance sheet'!F11</f>
        <v>3.8240314107540099E-2</v>
      </c>
      <c r="G22" s="34"/>
      <c r="H22" s="142">
        <f>AVERAGE(B22:F22)</f>
        <v>0.16337057907764599</v>
      </c>
      <c r="I22" s="142">
        <f>MEDIAN(B22:F22)</f>
        <v>2.75660644081063E-2</v>
      </c>
    </row>
    <row r="23" spans="1:9" ht="14.25" customHeight="1" x14ac:dyDescent="0.3">
      <c r="A23" s="130" t="s">
        <v>368</v>
      </c>
      <c r="B23" s="141">
        <f>B22*B21</f>
        <v>0.72812063549511197</v>
      </c>
      <c r="C23" s="141">
        <f>C22*C21</f>
        <v>-2.2433911876531001E-2</v>
      </c>
      <c r="D23" s="141">
        <f>D22*D21</f>
        <v>1.0904660552787E-2</v>
      </c>
      <c r="E23" s="141">
        <f>E22*E21</f>
        <v>1.8678304996753901E-2</v>
      </c>
      <c r="F23" s="141">
        <f>F22*F21</f>
        <v>3.8240314107540099E-2</v>
      </c>
      <c r="G23" s="34"/>
      <c r="H23" s="142">
        <f>IFERROR(AVERAGE(B23:F23),"")</f>
        <v>0.15470200065513201</v>
      </c>
      <c r="I23" s="142">
        <f>IFERROR(MEDIAN(B23:F23),"")</f>
        <v>1.8678304996753901E-2</v>
      </c>
    </row>
    <row r="24" spans="1:9" ht="14.25" customHeight="1" x14ac:dyDescent="0.3">
      <c r="A24" s="130" t="s">
        <v>369</v>
      </c>
      <c r="B24" s="144">
        <f>IF('consolidated P&amp;l '!B13=0,"",'consolidated P&amp;l '!B17/'consolidated P&amp;l '!B13)</f>
        <v>178.50322580645201</v>
      </c>
      <c r="C24" s="144">
        <f>IF('consolidated P&amp;l '!C13=0,"",'consolidated P&amp;l '!C17/'consolidated P&amp;l '!C13)</f>
        <v>120.010899182561</v>
      </c>
      <c r="D24" s="144">
        <f>IF('consolidated P&amp;l '!D13=0,"",'consolidated P&amp;l '!D17/'consolidated P&amp;l '!D13)</f>
        <v>50.296046720574999</v>
      </c>
      <c r="E24" s="144">
        <f>IF('consolidated P&amp;l '!E13=0,"",'consolidated P&amp;l '!E17/'consolidated P&amp;l '!E13)</f>
        <v>79.234323432343203</v>
      </c>
      <c r="F24" s="144">
        <f>IF('consolidated P&amp;l '!F13=0,"",'consolidated P&amp;l '!F17/'consolidated P&amp;l '!F13)</f>
        <v>75.857455340867702</v>
      </c>
      <c r="G24" s="34"/>
      <c r="H24" s="144">
        <f>IFERROR(AVERAGE(B24:F24),"")</f>
        <v>100.78039009656</v>
      </c>
      <c r="I24" s="144">
        <f>IFERROR(MEDIAN(B24:F24),"")</f>
        <v>79.234323432343203</v>
      </c>
    </row>
    <row r="25" spans="1:9" ht="14.25" customHeight="1" x14ac:dyDescent="0.3">
      <c r="A25" s="130"/>
      <c r="B25" s="34"/>
      <c r="C25" s="34"/>
      <c r="D25" s="34"/>
      <c r="E25" s="34"/>
      <c r="F25" s="34"/>
      <c r="G25" s="34"/>
      <c r="H25" s="143"/>
      <c r="I25" s="143"/>
    </row>
    <row r="26" spans="1:9" ht="14.25" customHeight="1" x14ac:dyDescent="0.3">
      <c r="A26" s="130" t="s">
        <v>370</v>
      </c>
      <c r="B26" s="144">
        <f>'consolidated P&amp;l '!B6/'consolidated balance sheet'!B39</f>
        <v>52.932378414390399</v>
      </c>
      <c r="C26" s="144">
        <f>'consolidated P&amp;l '!C6/'consolidated balance sheet'!C39</f>
        <v>185.870839936609</v>
      </c>
      <c r="D26" s="144">
        <f>'consolidated P&amp;l '!D6/'consolidated balance sheet'!D39</f>
        <v>238.153990610329</v>
      </c>
      <c r="E26" s="144">
        <f>'consolidated P&amp;l '!E6/'consolidated balance sheet'!E39</f>
        <v>216.0386656558</v>
      </c>
      <c r="F26" s="144">
        <f>'consolidated P&amp;l '!F6/'consolidated balance sheet'!F39</f>
        <v>298.06987295825797</v>
      </c>
      <c r="G26" s="34"/>
      <c r="H26" s="144">
        <f>AVERAGE(B26:F26)</f>
        <v>198.21314951507699</v>
      </c>
      <c r="I26" s="144">
        <f>MEDIAN(B26:F26)</f>
        <v>216.0386656558</v>
      </c>
    </row>
    <row r="27" spans="1:9" ht="14.25" customHeight="1" x14ac:dyDescent="0.3">
      <c r="A27" s="130" t="s">
        <v>371</v>
      </c>
      <c r="B27" s="144">
        <f>'consolidated P&amp;l '!B16/'consolidated balance sheet'!B21</f>
        <v>9.9308603129916406</v>
      </c>
      <c r="C27" s="144">
        <f>'consolidated P&amp;l '!C16/'consolidated balance sheet'!C21</f>
        <v>19.639179617295699</v>
      </c>
      <c r="D27" s="144">
        <f>'consolidated P&amp;l '!D16/'consolidated balance sheet'!D21</f>
        <v>20.5903262092238</v>
      </c>
      <c r="E27" s="144">
        <f>'consolidated P&amp;l '!E16/'consolidated balance sheet'!E21</f>
        <v>26.5573683512402</v>
      </c>
      <c r="F27" s="144">
        <f>'consolidated P&amp;l '!F16/'consolidated balance sheet'!F21</f>
        <v>19.380846325166999</v>
      </c>
      <c r="G27" s="34"/>
      <c r="H27" s="144">
        <f>AVERAGE(B27:F27)</f>
        <v>19.219716163183701</v>
      </c>
      <c r="I27" s="144">
        <f>MEDIAN(B27:F27)</f>
        <v>19.639179617295699</v>
      </c>
    </row>
    <row r="28" spans="1:9" ht="14.25" customHeight="1" x14ac:dyDescent="0.3">
      <c r="A28" s="130" t="s">
        <v>372</v>
      </c>
      <c r="B28" s="102"/>
      <c r="C28" s="102"/>
      <c r="D28" s="102"/>
      <c r="E28" s="102"/>
      <c r="F28" s="102"/>
      <c r="G28" s="34"/>
      <c r="H28" s="102"/>
      <c r="I28" s="102"/>
    </row>
    <row r="29" spans="1:9" ht="14.25" customHeight="1" x14ac:dyDescent="0.3">
      <c r="A29" s="130" t="s">
        <v>373</v>
      </c>
      <c r="B29" s="144">
        <f>'consolidated P&amp;l '!B6/'consolidated balance sheet'!B32</f>
        <v>8.2697371844912801</v>
      </c>
      <c r="C29" s="144">
        <f>'consolidated P&amp;l '!C6/'consolidated balance sheet'!C32</f>
        <v>7.1738026790629403</v>
      </c>
      <c r="D29" s="144">
        <f>'consolidated P&amp;l '!D6/'consolidated balance sheet'!D32</f>
        <v>5.7691292875989504</v>
      </c>
      <c r="E29" s="144">
        <f>'consolidated P&amp;l '!E6/'consolidated balance sheet'!E32</f>
        <v>6.1255615984866401</v>
      </c>
      <c r="F29" s="144">
        <f>'consolidated P&amp;l '!F6/'consolidated balance sheet'!F32</f>
        <v>7.3779340086700698</v>
      </c>
      <c r="G29" s="34"/>
      <c r="H29" s="144">
        <f>AVERAGE(B29:F29)</f>
        <v>6.9432329516619697</v>
      </c>
      <c r="I29" s="144">
        <f>MEDIAN(B29:F29)</f>
        <v>7.1738026790629403</v>
      </c>
    </row>
    <row r="30" spans="1:9" ht="14.25" customHeight="1" x14ac:dyDescent="0.3">
      <c r="A30" s="130" t="s">
        <v>374</v>
      </c>
      <c r="B30" s="144">
        <f>'consolidated P&amp;l '!B6/('consolidated balance sheet'!B11+'consolidated balance sheet'!B14+'consolidated balance sheet'!B20)</f>
        <v>9.21603687737102E-2</v>
      </c>
      <c r="C30" s="144">
        <f>'consolidated P&amp;l '!C6/('consolidated balance sheet'!C11+'consolidated balance sheet'!C14+'consolidated balance sheet'!C20)</f>
        <v>0.17504574476658999</v>
      </c>
      <c r="D30" s="144">
        <f>'consolidated P&amp;l '!D6/('consolidated balance sheet'!D11+'consolidated balance sheet'!D14+'consolidated balance sheet'!D20)</f>
        <v>8.3804754489280806E-2</v>
      </c>
      <c r="E30" s="144">
        <f>'consolidated P&amp;l '!E6/('consolidated balance sheet'!E11+'consolidated balance sheet'!E14+'consolidated balance sheet'!E20)</f>
        <v>8.1638868300867001E-2</v>
      </c>
      <c r="F30" s="144">
        <f>'consolidated P&amp;l '!F6/('consolidated balance sheet'!F11+'consolidated balance sheet'!F14+'consolidated balance sheet'!F20)</f>
        <v>8.6637340307794894E-2</v>
      </c>
      <c r="G30" s="34"/>
      <c r="H30" s="144">
        <f>AVERAGE(B30:F30)</f>
        <v>0.103857415327649</v>
      </c>
      <c r="I30" s="144">
        <f>MEDIAN(B30:F30)</f>
        <v>8.6637340307794894E-2</v>
      </c>
    </row>
    <row r="31" spans="1:9" ht="14.25" customHeight="1" x14ac:dyDescent="0.3">
      <c r="A31" s="130"/>
      <c r="B31" s="34"/>
      <c r="C31" s="34"/>
      <c r="D31" s="34"/>
      <c r="E31" s="34"/>
      <c r="F31" s="34"/>
      <c r="G31" s="34"/>
      <c r="H31" s="143"/>
      <c r="I31" s="143"/>
    </row>
    <row r="32" spans="1:9" ht="14.25" customHeight="1" x14ac:dyDescent="0.3">
      <c r="A32" s="145" t="s">
        <v>375</v>
      </c>
      <c r="B32" s="34"/>
      <c r="C32" s="34"/>
      <c r="D32" s="34"/>
      <c r="E32" s="34"/>
      <c r="F32" s="34"/>
      <c r="G32" s="34"/>
      <c r="H32" s="143"/>
      <c r="I32" s="143"/>
    </row>
    <row r="33" spans="1:9" ht="14.25" customHeight="1" x14ac:dyDescent="0.3">
      <c r="A33" s="130" t="s">
        <v>376</v>
      </c>
      <c r="B33" s="146">
        <f t="shared" ref="B33:F34" si="0">365/B26</f>
        <v>6.8955903916225596</v>
      </c>
      <c r="C33" s="146">
        <f t="shared" si="0"/>
        <v>1.9637292225315399</v>
      </c>
      <c r="D33" s="146">
        <f t="shared" si="0"/>
        <v>1.5326218093788699</v>
      </c>
      <c r="E33" s="146">
        <f t="shared" si="0"/>
        <v>1.6895123791475799</v>
      </c>
      <c r="F33" s="146">
        <f t="shared" si="0"/>
        <v>1.2245450919862499</v>
      </c>
      <c r="G33" s="34"/>
      <c r="H33" s="146">
        <f>AVERAGE(B33:F33)</f>
        <v>2.6611997789333599</v>
      </c>
      <c r="I33" s="146">
        <f>MEDIAN(B33:F33)</f>
        <v>1.6895123791475799</v>
      </c>
    </row>
    <row r="34" spans="1:9" ht="14.25" customHeight="1" x14ac:dyDescent="0.3">
      <c r="A34" s="130" t="s">
        <v>377</v>
      </c>
      <c r="B34" s="146">
        <f t="shared" si="0"/>
        <v>36.754116813273903</v>
      </c>
      <c r="C34" s="146">
        <f t="shared" si="0"/>
        <v>18.585297711649499</v>
      </c>
      <c r="D34" s="146">
        <f t="shared" si="0"/>
        <v>17.7267711201434</v>
      </c>
      <c r="E34" s="146">
        <f t="shared" si="0"/>
        <v>13.7438316618053</v>
      </c>
      <c r="F34" s="146">
        <f t="shared" si="0"/>
        <v>18.83302689037</v>
      </c>
      <c r="G34" s="34"/>
      <c r="H34" s="146">
        <f>AVERAGE(B34:F34)</f>
        <v>21.1286088394484</v>
      </c>
      <c r="I34" s="146">
        <f>MEDIAN(B34:F34)</f>
        <v>18.585297711649499</v>
      </c>
    </row>
    <row r="35" spans="1:9" ht="14.25" customHeight="1" x14ac:dyDescent="0.3">
      <c r="A35" s="130" t="s">
        <v>378</v>
      </c>
      <c r="B35" s="102"/>
      <c r="C35" s="102"/>
      <c r="D35" s="102"/>
      <c r="E35" s="102"/>
      <c r="F35" s="102"/>
      <c r="G35" s="34"/>
      <c r="H35" s="102"/>
      <c r="I35" s="102"/>
    </row>
    <row r="36" spans="1:9" ht="14.25" customHeight="1" x14ac:dyDescent="0.3">
      <c r="A36" s="130" t="s">
        <v>379</v>
      </c>
      <c r="B36" s="146">
        <f>B33-B34</f>
        <v>-29.858526421651302</v>
      </c>
      <c r="C36" s="146">
        <f>C33-C34</f>
        <v>-16.621568489118001</v>
      </c>
      <c r="D36" s="146">
        <f>D33-D34</f>
        <v>-16.194149310764502</v>
      </c>
      <c r="E36" s="146">
        <f>E33-E34</f>
        <v>-12.054319282657699</v>
      </c>
      <c r="F36" s="146">
        <f>F33-F34</f>
        <v>-17.608481798383799</v>
      </c>
      <c r="G36" s="34"/>
      <c r="H36" s="146">
        <f>AVERAGE(B36:F36)</f>
        <v>-18.467409060514999</v>
      </c>
      <c r="I36" s="146">
        <f>MEDIAN(B36:F36)</f>
        <v>-16.621568489118001</v>
      </c>
    </row>
    <row r="37" spans="1:9" ht="14.25" customHeight="1" x14ac:dyDescent="0.3">
      <c r="A37" s="130"/>
      <c r="B37" s="34"/>
      <c r="C37" s="34"/>
      <c r="D37" s="34"/>
      <c r="E37" s="34"/>
      <c r="F37" s="34"/>
      <c r="G37" s="34"/>
      <c r="H37" s="143"/>
      <c r="I37" s="143"/>
    </row>
    <row r="38" spans="1:9" ht="14.25" customHeight="1" x14ac:dyDescent="0.3">
      <c r="A38" s="130" t="s">
        <v>380</v>
      </c>
      <c r="B38" s="141">
        <f>'cash flow statement '!B5/'consolidated P&amp;l '!B6</f>
        <v>0.44476819191582301</v>
      </c>
      <c r="C38" s="141">
        <f>'cash flow statement '!C5/'consolidated P&amp;l '!C6</f>
        <v>0.22201996001176599</v>
      </c>
      <c r="D38" s="141">
        <f>'cash flow statement '!D5/'consolidated P&amp;l '!D6</f>
        <v>0.27689505350229099</v>
      </c>
      <c r="E38" s="141">
        <f>'cash flow statement '!E5/'consolidated P&amp;l '!E6</f>
        <v>0.30736081135617899</v>
      </c>
      <c r="F38" s="141">
        <f>'cash flow statement '!F5/'consolidated P&amp;l '!F6</f>
        <v>0.327707300143391</v>
      </c>
      <c r="G38" s="34"/>
      <c r="H38" s="142">
        <f>AVERAGE(B38:F38)</f>
        <v>0.31575026338589002</v>
      </c>
      <c r="I38" s="142">
        <f>MEDIAN(B38:F38)</f>
        <v>0.30736081135617899</v>
      </c>
    </row>
    <row r="39" spans="1:9" ht="14.25" customHeight="1" x14ac:dyDescent="0.3">
      <c r="A39" s="130" t="s">
        <v>381</v>
      </c>
      <c r="B39" s="141">
        <f>'cash flow statement '!B5/'consolidated balance sheet'!B44</f>
        <v>3.4504408313475302E-2</v>
      </c>
      <c r="C39" s="141">
        <f>'cash flow statement '!C5/'consolidated balance sheet'!C44</f>
        <v>3.12593410682881E-2</v>
      </c>
      <c r="D39" s="141">
        <f>'cash flow statement '!D5/'consolidated balance sheet'!D44</f>
        <v>1.9459241990068401E-2</v>
      </c>
      <c r="E39" s="141">
        <f>'cash flow statement '!E5/'consolidated balance sheet'!E44</f>
        <v>2.0477258725759201E-2</v>
      </c>
      <c r="F39" s="141">
        <f>'cash flow statement '!F5/'consolidated balance sheet'!F44</f>
        <v>2.2633342500801099E-2</v>
      </c>
      <c r="G39" s="34"/>
      <c r="H39" s="142">
        <f>AVERAGE(B39:F39)</f>
        <v>2.5666718519678399E-2</v>
      </c>
      <c r="I39" s="142">
        <f>MEDIAN(B39:F39)</f>
        <v>2.2633342500801099E-2</v>
      </c>
    </row>
    <row r="40" spans="1:9" ht="14.25" customHeight="1" x14ac:dyDescent="0.3">
      <c r="A40" s="130" t="s">
        <v>382</v>
      </c>
      <c r="B40" s="144">
        <f>IF(('consolidated balance sheet'!B14+'consolidated balance sheet'!B20)=0,"",'cash flow statement '!B5/('consolidated balance sheet'!B14+'consolidated balance sheet'!B20))</f>
        <v>1087.3076923076901</v>
      </c>
      <c r="C40" s="144">
        <f>IF(('consolidated balance sheet'!C14+'consolidated balance sheet'!C20)=0,"",'cash flow statement '!C5/('consolidated balance sheet'!C14+'consolidated balance sheet'!C20))</f>
        <v>215.20247933884301</v>
      </c>
      <c r="D40" s="144">
        <f>IF(('consolidated balance sheet'!D14+'consolidated balance sheet'!D20)=0,"",'cash flow statement '!D5/('consolidated balance sheet'!D14+'consolidated balance sheet'!D20))</f>
        <v>272.20930232558101</v>
      </c>
      <c r="E40" s="144">
        <f>IF(('consolidated balance sheet'!E14+'consolidated balance sheet'!E20)=0,"",'cash flow statement '!E5/('consolidated balance sheet'!E14+'consolidated balance sheet'!E20))</f>
        <v>689.63779527559097</v>
      </c>
      <c r="F40" s="144">
        <f>IF(('consolidated balance sheet'!F14+'consolidated balance sheet'!F20)=0,"",'cash flow statement '!F5/('consolidated balance sheet'!F14+'consolidated balance sheet'!F20))</f>
        <v>2503.3255813953501</v>
      </c>
      <c r="G40" s="34"/>
      <c r="H40" s="144">
        <f>IFERROR(AVERAGE(B40:F40),"")</f>
        <v>953.53657012861095</v>
      </c>
      <c r="I40" s="144">
        <f>IFERROR(MEDIAN(B40:F40),"")</f>
        <v>689.63779527559097</v>
      </c>
    </row>
  </sheetData>
  <mergeCells count="1">
    <mergeCell ref="A1:I1"/>
  </mergeCells>
  <pageMargins left="0.7" right="0.7" top="0.75" bottom="0.75" header="0.511811023622047" footer="0.511811023622047"/>
  <pageSetup paperSize="9" orientation="portrait" horizontalDpi="300" verticalDpi="300"/>
  <extLst>
    <ext xmlns:x14="http://schemas.microsoft.com/office/spreadsheetml/2009/9/main" uri="{05C60535-1F16-4fd2-B633-F4F36F0B64E0}">
      <x14:sparklineGroups xmlns:xm="http://schemas.microsoft.com/office/excel/2006/main">
        <x14:sparklineGroup displayEmptyCellsAs="gap" xr2:uid="{00000000-0003-0000-0700-000008000000}">
          <x14:colorSeries rgb="FF376092"/>
          <x14:colorNegative rgb="FFD00000"/>
          <x14:colorAxis rgb="FF000000"/>
          <x14:colorMarkers rgb="FFD00000"/>
          <x14:colorFirst rgb="FFD00000"/>
          <x14:colorLast rgb="FFD00000"/>
          <x14:colorHigh rgb="FFD00000"/>
          <x14:colorLow rgb="FFD00000"/>
          <x14:sparklines>
            <x14:sparkline>
              <xm:f>'Ratio Analysis'!B38:F38</xm:f>
              <xm:sqref>G38</xm:sqref>
            </x14:sparkline>
            <x14:sparkline>
              <xm:f>'Ratio Analysis'!B39:F39</xm:f>
              <xm:sqref>G39</xm:sqref>
            </x14:sparkline>
            <x14:sparkline>
              <xm:f>'Ratio Analysis'!B40:F40</xm:f>
              <xm:sqref>G40</xm:sqref>
            </x14:sparkline>
          </x14:sparklines>
        </x14:sparklineGroup>
        <x14:sparklineGroup displayEmptyCellsAs="gap" xr2:uid="{00000000-0003-0000-0700-000007000000}">
          <x14:colorSeries rgb="FF376092"/>
          <x14:colorNegative rgb="FFD00000"/>
          <x14:colorAxis rgb="FF000000"/>
          <x14:colorMarkers rgb="FFD00000"/>
          <x14:colorFirst rgb="FFD00000"/>
          <x14:colorLast rgb="FFD00000"/>
          <x14:colorHigh rgb="FFD00000"/>
          <x14:colorLow rgb="FFD00000"/>
          <x14:sparklines>
            <x14:sparkline>
              <xm:f>'Ratio Analysis'!B36:F36</xm:f>
              <xm:sqref>G36</xm:sqref>
            </x14:sparkline>
          </x14:sparklines>
        </x14:sparklineGroup>
        <x14:sparklineGroup displayEmptyCellsAs="gap" xr2:uid="{00000000-0003-0000-0700-000006000000}">
          <x14:colorSeries rgb="FF376092"/>
          <x14:colorNegative rgb="FFD00000"/>
          <x14:colorAxis rgb="FF000000"/>
          <x14:colorMarkers rgb="FFD00000"/>
          <x14:colorFirst rgb="FFD00000"/>
          <x14:colorLast rgb="FFD00000"/>
          <x14:colorHigh rgb="FFD00000"/>
          <x14:colorLow rgb="FFD00000"/>
          <x14:sparklines>
            <x14:sparkline>
              <xm:f>'Ratio Analysis'!B33:F33</xm:f>
              <xm:sqref>G33</xm:sqref>
            </x14:sparkline>
            <x14:sparkline>
              <xm:f>'Ratio Analysis'!B34:F34</xm:f>
              <xm:sqref>G34</xm:sqref>
            </x14:sparkline>
          </x14:sparklines>
        </x14:sparklineGroup>
        <x14:sparklineGroup displayEmptyCellsAs="gap" xr2:uid="{00000000-0003-0000-0700-000005000000}">
          <x14:colorSeries rgb="FF376092"/>
          <x14:colorNegative rgb="FFD00000"/>
          <x14:colorAxis rgb="FF000000"/>
          <x14:colorMarkers rgb="FFD00000"/>
          <x14:colorFirst rgb="FFD00000"/>
          <x14:colorLast rgb="FFD00000"/>
          <x14:colorHigh rgb="FFD00000"/>
          <x14:colorLow rgb="FFD00000"/>
          <x14:sparklines>
            <x14:sparkline>
              <xm:f>'Ratio Analysis'!B29:F29</xm:f>
              <xm:sqref>G29</xm:sqref>
            </x14:sparkline>
            <x14:sparkline>
              <xm:f>'Ratio Analysis'!B30:F30</xm:f>
              <xm:sqref>G30</xm:sqref>
            </x14:sparkline>
          </x14:sparklines>
        </x14:sparklineGroup>
        <x14:sparklineGroup displayEmptyCellsAs="gap" xr2:uid="{00000000-0003-0000-0700-000004000000}">
          <x14:colorSeries rgb="FF376092"/>
          <x14:colorNegative rgb="FFD00000"/>
          <x14:colorAxis rgb="FF000000"/>
          <x14:colorMarkers rgb="FFD00000"/>
          <x14:colorFirst rgb="FFD00000"/>
          <x14:colorLast rgb="FFD00000"/>
          <x14:colorHigh rgb="FFD00000"/>
          <x14:colorLow rgb="FFD00000"/>
          <x14:sparklines>
            <x14:sparkline>
              <xm:f>'Ratio Analysis'!B26:F26</xm:f>
              <xm:sqref>G26</xm:sqref>
            </x14:sparkline>
            <x14:sparkline>
              <xm:f>'Ratio Analysis'!B27:F27</xm:f>
              <xm:sqref>G27</xm:sqref>
            </x14:sparkline>
          </x14:sparklines>
        </x14:sparklineGroup>
        <x14:sparklineGroup displayEmptyCellsAs="gap" xr2:uid="{00000000-0003-0000-0700-000003000000}">
          <x14:colorSeries rgb="FF376092"/>
          <x14:colorNegative rgb="FFD00000"/>
          <x14:colorAxis rgb="FF000000"/>
          <x14:colorMarkers rgb="FFD00000"/>
          <x14:colorFirst rgb="FFD00000"/>
          <x14:colorLast rgb="FFD00000"/>
          <x14:colorHigh rgb="FFD00000"/>
          <x14:colorLow rgb="FFD00000"/>
          <x14:sparklines>
            <x14:sparkline>
              <xm:f>'Ratio Analysis'!B20:F20</xm:f>
              <xm:sqref>G20</xm:sqref>
            </x14:sparkline>
            <x14:sparkline>
              <xm:f>'Ratio Analysis'!B21:F21</xm:f>
              <xm:sqref>G21</xm:sqref>
            </x14:sparkline>
            <x14:sparkline>
              <xm:f>'Ratio Analysis'!B22:F22</xm:f>
              <xm:sqref>G22</xm:sqref>
            </x14:sparkline>
            <x14:sparkline>
              <xm:f>'Ratio Analysis'!B23:F23</xm:f>
              <xm:sqref>G23</xm:sqref>
            </x14:sparkline>
            <x14:sparkline>
              <xm:f>'Ratio Analysis'!B24:F24</xm:f>
              <xm:sqref>G24</xm:sqref>
            </x14:sparkline>
          </x14:sparklines>
        </x14:sparklineGroup>
        <x14:sparklineGroup displayEmptyCellsAs="gap" xr2:uid="{00000000-0003-0000-0700-000002000000}">
          <x14:colorSeries rgb="FF376092"/>
          <x14:colorNegative rgb="FFD00000"/>
          <x14:colorAxis rgb="FF000000"/>
          <x14:colorMarkers rgb="FFD00000"/>
          <x14:colorFirst rgb="FFD00000"/>
          <x14:colorLast rgb="FFD00000"/>
          <x14:colorHigh rgb="FFD00000"/>
          <x14:colorLow rgb="FFD00000"/>
          <x14:sparklines>
            <x14:sparkline>
              <xm:f>'Ratio Analysis'!B16:F16</xm:f>
              <xm:sqref>G16</xm:sqref>
            </x14:sparkline>
            <x14:sparkline>
              <xm:f>'Ratio Analysis'!B17:F17</xm:f>
              <xm:sqref>G17</xm:sqref>
            </x14:sparkline>
            <x14:sparkline>
              <xm:f>'Ratio Analysis'!B18:F18</xm:f>
              <xm:sqref>G18</xm:sqref>
            </x14:sparkline>
          </x14:sparklines>
        </x14:sparklineGroup>
        <x14:sparklineGroup displayEmptyCellsAs="gap" xr2:uid="{00000000-0003-0000-0700-000001000000}">
          <x14:colorSeries rgb="FF376092"/>
          <x14:colorNegative rgb="FFD00000"/>
          <x14:colorAxis rgb="FF000000"/>
          <x14:colorMarkers rgb="FFD00000"/>
          <x14:colorFirst rgb="FFD00000"/>
          <x14:colorLast rgb="FFD00000"/>
          <x14:colorHigh rgb="FFD00000"/>
          <x14:colorLow rgb="FFD00000"/>
          <x14:sparklines>
            <x14:sparkline>
              <xm:f>'Ratio Analysis'!B10:F10</xm:f>
              <xm:sqref>G10</xm:sqref>
            </x14:sparkline>
            <x14:sparkline>
              <xm:f>'Ratio Analysis'!B11:F11</xm:f>
              <xm:sqref>G11</xm:sqref>
            </x14:sparkline>
            <x14:sparkline>
              <xm:f>'Ratio Analysis'!B12:F12</xm:f>
              <xm:sqref>G12</xm:sqref>
            </x14:sparkline>
            <x14:sparkline>
              <xm:f>'Ratio Analysis'!B13:F13</xm:f>
              <xm:sqref>G13</xm:sqref>
            </x14:sparkline>
            <x14:sparkline>
              <xm:f>'Ratio Analysis'!B14:F14</xm:f>
              <xm:sqref>G14</xm:sqref>
            </x14:sparkline>
          </x14:sparklines>
        </x14:sparklineGroup>
        <x14:sparklineGroup displayEmptyCellsAs="gap" xr2:uid="{00000000-0003-0000-0700-000000000000}">
          <x14:colorSeries rgb="FF376092"/>
          <x14:colorNegative rgb="FFD00000"/>
          <x14:colorAxis rgb="FF000000"/>
          <x14:colorMarkers rgb="FFD00000"/>
          <x14:colorFirst rgb="FFD00000"/>
          <x14:colorLast rgb="FFD00000"/>
          <x14:colorHigh rgb="FFD00000"/>
          <x14:colorLow rgb="FFD00000"/>
          <x14:sparklines>
            <x14:sparkline>
              <xm:f>'Ratio Analysis'!C4:F4</xm:f>
              <xm:sqref>G4</xm:sqref>
            </x14:sparkline>
            <x14:sparkline>
              <xm:f>'Ratio Analysis'!C5:F5</xm:f>
              <xm:sqref>G5</xm:sqref>
            </x14:sparkline>
            <x14:sparkline>
              <xm:f>'Ratio Analysis'!C6:F6</xm:f>
              <xm:sqref>G6</xm:sqref>
            </x14:sparkline>
            <x14:sparkline>
              <xm:f>'Ratio Analysis'!C7:F7</xm:f>
              <xm:sqref>G7</xm:sqref>
            </x14:sparkline>
            <x14:sparkline>
              <xm:f>'Ratio Analysis'!C8:F8</xm:f>
              <xm:sqref>G8</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
  <sheetViews>
    <sheetView showGridLines="0" workbookViewId="0">
      <selection sqref="A1:F1"/>
    </sheetView>
  </sheetViews>
  <sheetFormatPr defaultColWidth="8.6640625" defaultRowHeight="14.4" x14ac:dyDescent="0.3"/>
  <cols>
    <col min="1" max="1" width="39.88671875" customWidth="1"/>
    <col min="2" max="2" width="8" customWidth="1"/>
    <col min="3" max="3" width="9" customWidth="1"/>
    <col min="4" max="4" width="9.6640625" customWidth="1"/>
    <col min="5" max="5" width="8" customWidth="1"/>
  </cols>
  <sheetData>
    <row r="1" spans="1:6" ht="14.25" customHeight="1" x14ac:dyDescent="0.3">
      <c r="A1" s="307" t="s">
        <v>383</v>
      </c>
      <c r="B1" s="304">
        <v>44621</v>
      </c>
      <c r="C1" s="304">
        <v>44986</v>
      </c>
      <c r="D1" s="304">
        <v>45352</v>
      </c>
      <c r="E1" s="304">
        <v>45717</v>
      </c>
      <c r="F1" s="304">
        <v>46082</v>
      </c>
    </row>
    <row r="2" spans="1:6" ht="14.25" customHeight="1" x14ac:dyDescent="0.3">
      <c r="A2" s="33" t="s">
        <v>384</v>
      </c>
      <c r="B2" s="131">
        <f>'consolidated P&amp;l '!B17</f>
        <v>830.04</v>
      </c>
      <c r="C2" s="131">
        <f>'consolidated P&amp;l '!C17</f>
        <v>880.88</v>
      </c>
      <c r="D2" s="131">
        <f>'consolidated P&amp;l '!D17</f>
        <v>1119.5899999999999</v>
      </c>
      <c r="E2" s="131">
        <f>'consolidated P&amp;l '!E17</f>
        <v>1920.64</v>
      </c>
      <c r="F2" s="131">
        <f>'consolidated P&amp;l '!F17</f>
        <v>2080.77</v>
      </c>
    </row>
    <row r="3" spans="1:6" ht="14.25" customHeight="1" x14ac:dyDescent="0.3">
      <c r="A3" s="34" t="s">
        <v>385</v>
      </c>
      <c r="B3" s="131">
        <f>IF('consolidated P&amp;l '!B19=0,"",B2*(ABS('consolidated P&amp;l '!B23)/ABS('consolidated P&amp;l '!B19)))</f>
        <v>91.121690597471797</v>
      </c>
      <c r="C3" s="131">
        <f>IF('consolidated P&amp;l '!C19=0,"",C2*(ABS('consolidated P&amp;l '!C23)/ABS('consolidated P&amp;l '!C19)))</f>
        <v>500.30229421736698</v>
      </c>
      <c r="D3" s="131">
        <f>IF('consolidated P&amp;l '!D19=0,"",D2*(ABS('consolidated P&amp;l '!D23)/ABS('consolidated P&amp;l '!D19)))</f>
        <v>314.54418465441699</v>
      </c>
      <c r="E3" s="131">
        <f>IF('consolidated P&amp;l '!E19=0,"",E2*(ABS('consolidated P&amp;l '!E23)/ABS('consolidated P&amp;l '!E19)))</f>
        <v>589.60278814670096</v>
      </c>
      <c r="F3" s="131">
        <f>IF('consolidated P&amp;l '!F19=0,"",F2*(ABS('consolidated P&amp;l '!F23)/ABS('consolidated P&amp;l '!F19)))</f>
        <v>351.98652722014401</v>
      </c>
    </row>
    <row r="4" spans="1:6" ht="14.25" customHeight="1" x14ac:dyDescent="0.3">
      <c r="A4" s="33" t="s">
        <v>386</v>
      </c>
      <c r="B4" s="131">
        <f>B2-B3</f>
        <v>738.91830940252805</v>
      </c>
      <c r="C4" s="131">
        <f>C2-C3</f>
        <v>380.57770578263302</v>
      </c>
      <c r="D4" s="131">
        <f>D2-D3</f>
        <v>805.04581534558304</v>
      </c>
      <c r="E4" s="131">
        <f>E2-E3</f>
        <v>1331.0372118533001</v>
      </c>
      <c r="F4" s="131">
        <f>F2-F3</f>
        <v>1728.7834727798599</v>
      </c>
    </row>
    <row r="5" spans="1:6" ht="14.25" customHeight="1" x14ac:dyDescent="0.3">
      <c r="A5" s="34" t="s">
        <v>387</v>
      </c>
      <c r="B5" s="102"/>
      <c r="C5" s="131">
        <f>'Fixed Asset scheduled'!C8</f>
        <v>134.83000000000001</v>
      </c>
      <c r="D5" s="131">
        <f>'Fixed Asset scheduled'!D8</f>
        <v>112.66</v>
      </c>
      <c r="E5" s="131">
        <f>'Fixed Asset scheduled'!E8</f>
        <v>25.55</v>
      </c>
      <c r="F5" s="131">
        <f>'Fixed Asset scheduled'!F8</f>
        <v>-19.98</v>
      </c>
    </row>
    <row r="6" spans="1:6" ht="14.25" customHeight="1" x14ac:dyDescent="0.3">
      <c r="A6" s="34" t="s">
        <v>388</v>
      </c>
      <c r="B6" s="102"/>
      <c r="C6" s="131">
        <f>'Change in working capital'!C6</f>
        <v>8.7799999999999994</v>
      </c>
      <c r="D6" s="131">
        <f>'Change in working capital'!D6</f>
        <v>3.72</v>
      </c>
      <c r="E6" s="131">
        <f>'Change in working capital'!E6</f>
        <v>16.05</v>
      </c>
      <c r="F6" s="131">
        <f>'Change in working capital'!F6</f>
        <v>-43.52</v>
      </c>
    </row>
    <row r="7" spans="1:6" ht="14.25" customHeight="1" x14ac:dyDescent="0.3">
      <c r="A7" s="34" t="s">
        <v>389</v>
      </c>
      <c r="B7" s="102"/>
      <c r="C7" s="131">
        <f>C5+C6</f>
        <v>143.61000000000001</v>
      </c>
      <c r="D7" s="131">
        <f>D5+D6</f>
        <v>116.38</v>
      </c>
      <c r="E7" s="131">
        <f>E5+E6</f>
        <v>41.6</v>
      </c>
      <c r="F7" s="131">
        <f>F5+F6</f>
        <v>-63.5</v>
      </c>
    </row>
    <row r="8" spans="1:6" ht="14.25" customHeight="1" x14ac:dyDescent="0.3">
      <c r="A8" s="33" t="s">
        <v>390</v>
      </c>
      <c r="B8" s="139"/>
      <c r="C8" s="131">
        <f>C4-C7</f>
        <v>236.967705782633</v>
      </c>
      <c r="D8" s="131">
        <f>D4-D7</f>
        <v>688.66581534558304</v>
      </c>
      <c r="E8" s="131">
        <f>E4-E7</f>
        <v>1289.4372118532999</v>
      </c>
      <c r="F8" s="131">
        <f>F4-F7</f>
        <v>1792.2834727798599</v>
      </c>
    </row>
    <row r="9" spans="1:6" ht="14.25" customHeight="1" x14ac:dyDescent="0.3">
      <c r="A9" s="33"/>
      <c r="B9" s="34"/>
      <c r="C9" s="102"/>
      <c r="D9" s="102"/>
      <c r="E9" s="102"/>
      <c r="F9" s="102"/>
    </row>
    <row r="10" spans="1:6" ht="14.25" customHeight="1" x14ac:dyDescent="0.3">
      <c r="A10" s="34" t="s">
        <v>391</v>
      </c>
      <c r="B10" s="106"/>
      <c r="C10" s="132">
        <f>IF(C4=0,"",C7/C4)</f>
        <v>0.37734737957042302</v>
      </c>
      <c r="D10" s="132">
        <f>IF(D4=0,"",D7/D4)</f>
        <v>0.14456320097762601</v>
      </c>
      <c r="E10" s="132">
        <f>IF(E4=0,"",E7/E4)</f>
        <v>3.1253821928898098E-2</v>
      </c>
      <c r="F10" s="132">
        <f>IF(F4=0,"",F7/F4)</f>
        <v>-3.6731031386997799E-2</v>
      </c>
    </row>
    <row r="11" spans="1:6" ht="14.25" customHeight="1" x14ac:dyDescent="0.3">
      <c r="A11" s="39"/>
      <c r="B11" s="39"/>
      <c r="C11" s="39"/>
      <c r="D11" s="39"/>
      <c r="E11" s="39"/>
      <c r="F11" s="39"/>
    </row>
    <row r="12" spans="1:6" ht="14.25" customHeight="1" x14ac:dyDescent="0.3">
      <c r="A12" s="34" t="s">
        <v>392</v>
      </c>
      <c r="B12" s="38"/>
      <c r="C12" s="140">
        <f>MEDIAN(C10:F10)</f>
        <v>8.7908511453261798E-2</v>
      </c>
      <c r="D12" s="39"/>
      <c r="E12" s="39"/>
      <c r="F12" s="39"/>
    </row>
    <row r="13" spans="1:6" ht="14.25" customHeight="1" x14ac:dyDescent="0.3">
      <c r="A13" s="34" t="s">
        <v>393</v>
      </c>
      <c r="B13" s="38"/>
      <c r="C13" s="140">
        <f>AVERAGE(C10:F10)</f>
        <v>0.12910834277248701</v>
      </c>
      <c r="D13" s="39"/>
      <c r="E13" s="39"/>
      <c r="F13" s="39"/>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2"/>
  <sheetViews>
    <sheetView showGridLines="0" workbookViewId="0">
      <selection sqref="A1:F1"/>
    </sheetView>
  </sheetViews>
  <sheetFormatPr defaultColWidth="8.6640625" defaultRowHeight="14.4" x14ac:dyDescent="0.3"/>
  <cols>
    <col min="1" max="1" width="40.33203125" customWidth="1"/>
    <col min="2" max="3" width="9" customWidth="1"/>
    <col min="4" max="4" width="9.6640625" customWidth="1"/>
    <col min="5" max="5" width="8" customWidth="1"/>
    <col min="6" max="6" width="9" customWidth="1"/>
  </cols>
  <sheetData>
    <row r="1" spans="1:6" ht="14.25" customHeight="1" x14ac:dyDescent="0.3">
      <c r="A1" s="307" t="s">
        <v>383</v>
      </c>
      <c r="B1" s="304">
        <v>44621</v>
      </c>
      <c r="C1" s="304">
        <v>44986</v>
      </c>
      <c r="D1" s="304">
        <v>45352</v>
      </c>
      <c r="E1" s="304">
        <v>45717</v>
      </c>
      <c r="F1" s="304">
        <v>46082</v>
      </c>
    </row>
    <row r="2" spans="1:6" ht="14.25" customHeight="1" x14ac:dyDescent="0.3">
      <c r="A2" s="34" t="s">
        <v>394</v>
      </c>
      <c r="B2" s="102"/>
      <c r="C2" s="131">
        <f>B6</f>
        <v>192.15</v>
      </c>
      <c r="D2" s="131">
        <f>C6</f>
        <v>326.98</v>
      </c>
      <c r="E2" s="138">
        <f>D6</f>
        <v>439.64</v>
      </c>
      <c r="F2" s="131">
        <f>E6</f>
        <v>465.19</v>
      </c>
    </row>
    <row r="3" spans="1:6" ht="14.25" customHeight="1" x14ac:dyDescent="0.3">
      <c r="A3" s="33" t="s">
        <v>395</v>
      </c>
      <c r="B3" s="139"/>
      <c r="C3" s="131">
        <f>C6+C5-C2</f>
        <v>207.85</v>
      </c>
      <c r="D3" s="131">
        <f>D6+D5-D2</f>
        <v>213.79</v>
      </c>
      <c r="E3" s="131">
        <f>E6+E5-E2</f>
        <v>138.63999999999999</v>
      </c>
      <c r="F3" s="131">
        <f>F6+F5-F2</f>
        <v>102.6</v>
      </c>
    </row>
    <row r="4" spans="1:6" ht="14.25" customHeight="1" x14ac:dyDescent="0.3">
      <c r="A4" s="33" t="s">
        <v>396</v>
      </c>
      <c r="B4" s="131">
        <f>'consolidated balance sheet'!B32</f>
        <v>192.15</v>
      </c>
      <c r="C4" s="131">
        <f>C2+C3</f>
        <v>400</v>
      </c>
      <c r="D4" s="131">
        <f>D2+D3</f>
        <v>540.77</v>
      </c>
      <c r="E4" s="131">
        <f>E2+E3</f>
        <v>578.28</v>
      </c>
      <c r="F4" s="131">
        <f>F2+F3</f>
        <v>567.79</v>
      </c>
    </row>
    <row r="5" spans="1:6" ht="14.25" customHeight="1" x14ac:dyDescent="0.3">
      <c r="A5" s="33" t="s">
        <v>397</v>
      </c>
      <c r="B5" s="131">
        <f>'consolidated P&amp;l '!B14</f>
        <v>44.91</v>
      </c>
      <c r="C5" s="131">
        <f>'consolidated P&amp;l '!C14</f>
        <v>73.02</v>
      </c>
      <c r="D5" s="131">
        <f>'consolidated P&amp;l '!D14</f>
        <v>101.13</v>
      </c>
      <c r="E5" s="131">
        <f>'consolidated P&amp;l '!E14</f>
        <v>113.09</v>
      </c>
      <c r="F5" s="131">
        <f>'consolidated P&amp;l '!F14</f>
        <v>122.58</v>
      </c>
    </row>
    <row r="6" spans="1:6" ht="14.25" customHeight="1" x14ac:dyDescent="0.3">
      <c r="A6" s="34" t="s">
        <v>398</v>
      </c>
      <c r="B6" s="131">
        <f>'consolidated balance sheet'!B32</f>
        <v>192.15</v>
      </c>
      <c r="C6" s="131">
        <f>'consolidated balance sheet'!C32</f>
        <v>326.98</v>
      </c>
      <c r="D6" s="131">
        <f>'consolidated balance sheet'!D32</f>
        <v>439.64</v>
      </c>
      <c r="E6" s="131">
        <f>'consolidated balance sheet'!E32</f>
        <v>465.19</v>
      </c>
      <c r="F6" s="131">
        <f>'consolidated balance sheet'!F32</f>
        <v>445.21</v>
      </c>
    </row>
    <row r="7" spans="1:6" ht="14.25" customHeight="1" x14ac:dyDescent="0.3">
      <c r="A7" s="39"/>
      <c r="B7" s="39"/>
      <c r="C7" s="39"/>
      <c r="D7" s="39"/>
      <c r="E7" s="39"/>
      <c r="F7" s="39"/>
    </row>
    <row r="8" spans="1:6" ht="14.25" customHeight="1" x14ac:dyDescent="0.3">
      <c r="A8" s="33" t="s">
        <v>399</v>
      </c>
      <c r="B8" s="139"/>
      <c r="C8" s="131">
        <f>C3-C5</f>
        <v>134.83000000000001</v>
      </c>
      <c r="D8" s="131">
        <f>D3-D5</f>
        <v>112.66</v>
      </c>
      <c r="E8" s="131">
        <f>E3-E5</f>
        <v>25.55</v>
      </c>
      <c r="F8" s="131">
        <f>F3-F5</f>
        <v>-19.98</v>
      </c>
    </row>
    <row r="9" spans="1:6" ht="14.25" customHeight="1" x14ac:dyDescent="0.3">
      <c r="A9" s="34" t="s">
        <v>400</v>
      </c>
      <c r="B9" s="106"/>
      <c r="C9" s="132">
        <f>C8/'consolidated P&amp;l '!C6</f>
        <v>5.7479888646837403E-2</v>
      </c>
      <c r="D9" s="132">
        <f>D8/'consolidated P&amp;l '!D6</f>
        <v>4.4418335081258802E-2</v>
      </c>
      <c r="E9" s="132">
        <f>E8/'consolidated P&amp;l '!E6</f>
        <v>8.9663280167043904E-3</v>
      </c>
      <c r="F9" s="132">
        <f>F8/'consolidated P&amp;l '!F6</f>
        <v>-6.0826917280872497E-3</v>
      </c>
    </row>
    <row r="10" spans="1:6" ht="14.25" customHeight="1" x14ac:dyDescent="0.3">
      <c r="A10" s="39"/>
      <c r="B10" s="39"/>
      <c r="C10" s="39"/>
      <c r="D10" s="39"/>
      <c r="E10" s="39"/>
      <c r="F10" s="39"/>
    </row>
    <row r="11" spans="1:6" ht="14.25" customHeight="1" x14ac:dyDescent="0.3">
      <c r="A11" s="34" t="s">
        <v>401</v>
      </c>
      <c r="B11" s="39"/>
      <c r="C11" s="132">
        <f>MEDIAN(C9:F9)</f>
        <v>2.6692331548981599E-2</v>
      </c>
      <c r="D11" s="39"/>
      <c r="E11" s="39"/>
      <c r="F11" s="39"/>
    </row>
    <row r="12" spans="1:6" ht="14.25" customHeight="1" x14ac:dyDescent="0.3">
      <c r="A12" s="34" t="s">
        <v>402</v>
      </c>
      <c r="B12" s="39"/>
      <c r="C12" s="132">
        <f>AVERAGE(C9:F9)</f>
        <v>2.6195465004178301E-2</v>
      </c>
      <c r="D12" s="39"/>
      <c r="E12" s="39"/>
      <c r="F12" s="39"/>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
  <sheetViews>
    <sheetView showGridLines="0" workbookViewId="0">
      <selection sqref="A1:F1"/>
    </sheetView>
  </sheetViews>
  <sheetFormatPr defaultColWidth="8.6640625" defaultRowHeight="14.4" x14ac:dyDescent="0.3"/>
  <cols>
    <col min="1" max="1" width="46" customWidth="1"/>
    <col min="2" max="5" width="8" customWidth="1"/>
    <col min="6" max="6" width="9" customWidth="1"/>
  </cols>
  <sheetData>
    <row r="1" spans="1:6" ht="14.25" customHeight="1" x14ac:dyDescent="0.3">
      <c r="A1" s="307" t="s">
        <v>383</v>
      </c>
      <c r="B1" s="304">
        <v>44621</v>
      </c>
      <c r="C1" s="304">
        <v>44986</v>
      </c>
      <c r="D1" s="304">
        <v>45352</v>
      </c>
      <c r="E1" s="304">
        <v>45717</v>
      </c>
      <c r="F1" s="304">
        <v>46082</v>
      </c>
    </row>
    <row r="2" spans="1:6" ht="14.25" customHeight="1" x14ac:dyDescent="0.3">
      <c r="A2" s="34" t="s">
        <v>403</v>
      </c>
      <c r="B2" s="131">
        <v>0</v>
      </c>
      <c r="C2" s="131">
        <v>0</v>
      </c>
      <c r="D2" s="131">
        <v>0</v>
      </c>
      <c r="E2" s="131">
        <v>0</v>
      </c>
      <c r="F2" s="131">
        <v>0</v>
      </c>
    </row>
    <row r="3" spans="1:6" ht="14.25" customHeight="1" x14ac:dyDescent="0.3">
      <c r="A3" s="34" t="s">
        <v>404</v>
      </c>
      <c r="B3" s="131">
        <f>'consolidated balance sheet'!B39</f>
        <v>30.02</v>
      </c>
      <c r="C3" s="131">
        <f>'consolidated balance sheet'!C39</f>
        <v>12.62</v>
      </c>
      <c r="D3" s="131">
        <f>'consolidated balance sheet'!D39</f>
        <v>10.65</v>
      </c>
      <c r="E3" s="131">
        <f>'consolidated balance sheet'!E39</f>
        <v>13.19</v>
      </c>
      <c r="F3" s="131">
        <f>'consolidated balance sheet'!F39</f>
        <v>11.02</v>
      </c>
    </row>
    <row r="4" spans="1:6" ht="14.25" customHeight="1" x14ac:dyDescent="0.3">
      <c r="A4" s="34" t="s">
        <v>405</v>
      </c>
      <c r="B4" s="131">
        <f>'consolidated balance sheet'!B21</f>
        <v>120.77</v>
      </c>
      <c r="C4" s="131">
        <f>'consolidated balance sheet'!C21</f>
        <v>94.59</v>
      </c>
      <c r="D4" s="131">
        <f>'consolidated balance sheet'!D21</f>
        <v>88.9</v>
      </c>
      <c r="E4" s="131">
        <f>'consolidated balance sheet'!E21</f>
        <v>75.39</v>
      </c>
      <c r="F4" s="131">
        <f>'consolidated balance sheet'!F21</f>
        <v>116.74</v>
      </c>
    </row>
    <row r="5" spans="1:6" ht="14.25" customHeight="1" x14ac:dyDescent="0.3">
      <c r="A5" s="34" t="s">
        <v>406</v>
      </c>
      <c r="B5" s="131">
        <f>B2+B3-B4</f>
        <v>-90.75</v>
      </c>
      <c r="C5" s="131">
        <f>C2+C3-C4</f>
        <v>-81.97</v>
      </c>
      <c r="D5" s="131">
        <f>D2+D3-D4</f>
        <v>-78.25</v>
      </c>
      <c r="E5" s="131">
        <f>E2+E3-E4</f>
        <v>-62.2</v>
      </c>
      <c r="F5" s="131">
        <f>F2+F3-F4</f>
        <v>-105.72</v>
      </c>
    </row>
    <row r="6" spans="1:6" ht="14.25" customHeight="1" x14ac:dyDescent="0.3">
      <c r="A6" s="33" t="s">
        <v>407</v>
      </c>
      <c r="B6" s="102"/>
      <c r="C6" s="131">
        <f>C5-B5</f>
        <v>8.7799999999999994</v>
      </c>
      <c r="D6" s="131">
        <f>D5-C5</f>
        <v>3.72</v>
      </c>
      <c r="E6" s="131">
        <f>E5-D5</f>
        <v>16.05</v>
      </c>
      <c r="F6" s="131">
        <f>F5-E5</f>
        <v>-43.52</v>
      </c>
    </row>
    <row r="7" spans="1:6" ht="14.25" customHeight="1" x14ac:dyDescent="0.3">
      <c r="A7" s="34" t="s">
        <v>408</v>
      </c>
      <c r="B7" s="106"/>
      <c r="C7" s="132">
        <f>C6/'consolidated P&amp;l '!C6</f>
        <v>3.74303509841454E-3</v>
      </c>
      <c r="D7" s="132">
        <f>D6/'consolidated P&amp;l '!D6</f>
        <v>1.46668033465545E-3</v>
      </c>
      <c r="E7" s="132">
        <f>E6/'consolidated P&amp;l '!E6</f>
        <v>5.6324682844659697E-3</v>
      </c>
      <c r="F7" s="132">
        <f>F6/'consolidated P&amp;l '!F6</f>
        <v>-1.32491863867045E-2</v>
      </c>
    </row>
    <row r="8" spans="1:6" ht="14.25" customHeight="1" x14ac:dyDescent="0.3">
      <c r="A8" s="39"/>
      <c r="B8" s="39"/>
      <c r="C8" s="39"/>
      <c r="D8" s="39"/>
      <c r="E8" s="39"/>
      <c r="F8" s="39"/>
    </row>
    <row r="9" spans="1:6" ht="14.25" customHeight="1" x14ac:dyDescent="0.3">
      <c r="A9" s="34" t="s">
        <v>409</v>
      </c>
      <c r="B9" s="39"/>
      <c r="C9" s="132">
        <f>MEDIAN(C5:F5)/MEDIAN('consolidated P&amp;l '!C6:F6)</f>
        <v>-2.9748101056649899E-2</v>
      </c>
      <c r="D9" s="39"/>
      <c r="E9" s="39"/>
      <c r="F9" s="39"/>
    </row>
    <row r="10" spans="1:6" ht="14.25" customHeight="1" x14ac:dyDescent="0.3">
      <c r="A10" s="34" t="s">
        <v>410</v>
      </c>
      <c r="B10" s="39"/>
      <c r="C10" s="132">
        <f>AVERAGE(C5:F5)/AVERAGE('consolidated P&amp;l '!C6:F6)</f>
        <v>-2.9786743473994501E-2</v>
      </c>
      <c r="D10" s="39"/>
      <c r="E10" s="39"/>
      <c r="F10" s="39"/>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8"/>
  <sheetViews>
    <sheetView showGridLines="0" topLeftCell="A28" workbookViewId="0">
      <selection activeCell="A2" sqref="A2"/>
    </sheetView>
  </sheetViews>
  <sheetFormatPr defaultColWidth="8.6640625" defaultRowHeight="14.4" x14ac:dyDescent="0.3"/>
  <cols>
    <col min="1" max="1" width="39.77734375" customWidth="1"/>
    <col min="2" max="6" width="9" customWidth="1"/>
  </cols>
  <sheetData>
    <row r="1" spans="1:6" ht="25.5" customHeight="1" x14ac:dyDescent="0.5">
      <c r="A1" s="308" t="s">
        <v>411</v>
      </c>
      <c r="B1" s="281"/>
      <c r="C1" s="281"/>
      <c r="D1" s="281"/>
      <c r="E1" s="281"/>
      <c r="F1" s="282"/>
    </row>
    <row r="2" spans="1:6" ht="14.25" customHeight="1" x14ac:dyDescent="0.3">
      <c r="A2" s="311" t="s">
        <v>412</v>
      </c>
      <c r="B2" s="309" t="s">
        <v>216</v>
      </c>
      <c r="C2" s="309" t="s">
        <v>217</v>
      </c>
      <c r="D2" s="309" t="s">
        <v>218</v>
      </c>
      <c r="E2" s="309" t="s">
        <v>219</v>
      </c>
      <c r="F2" s="310">
        <v>46082</v>
      </c>
    </row>
    <row r="3" spans="1:6" ht="14.25" customHeight="1" x14ac:dyDescent="0.3">
      <c r="A3" s="33" t="s">
        <v>413</v>
      </c>
      <c r="B3" s="131">
        <f>'consolidated P&amp;l '!B6</f>
        <v>1589.03</v>
      </c>
      <c r="C3" s="131">
        <f>'consolidated P&amp;l '!C6</f>
        <v>2345.69</v>
      </c>
      <c r="D3" s="131">
        <f>'consolidated P&amp;l '!D6</f>
        <v>2536.34</v>
      </c>
      <c r="E3" s="131">
        <f>'consolidated P&amp;l '!E6</f>
        <v>2849.55</v>
      </c>
      <c r="F3" s="131">
        <f>'consolidated P&amp;l '!F6</f>
        <v>3284.73</v>
      </c>
    </row>
    <row r="4" spans="1:6" ht="14.25" customHeight="1" x14ac:dyDescent="0.3">
      <c r="A4" s="34" t="s">
        <v>414</v>
      </c>
      <c r="B4" s="34"/>
      <c r="C4" s="132">
        <f>(C3-B3)/B3</f>
        <v>0.47617729054832197</v>
      </c>
      <c r="D4" s="132">
        <f>(D3-C3)/C3</f>
        <v>8.1276724545869303E-2</v>
      </c>
      <c r="E4" s="132">
        <f>(E3-D3)/D3</f>
        <v>0.12348896441328799</v>
      </c>
      <c r="F4" s="132">
        <f>(F3-E3)/E3</f>
        <v>0.15271885034479099</v>
      </c>
    </row>
    <row r="5" spans="1:6" ht="14.25" customHeight="1" x14ac:dyDescent="0.3">
      <c r="A5" s="34" t="s">
        <v>415</v>
      </c>
      <c r="B5" s="131">
        <f>'consolidated P&amp;l '!B11</f>
        <v>34.020000000000003</v>
      </c>
      <c r="C5" s="131">
        <f>'consolidated P&amp;l '!C11</f>
        <v>63.37</v>
      </c>
      <c r="D5" s="131">
        <f>'consolidated P&amp;l '!D11</f>
        <v>74.709999999999994</v>
      </c>
      <c r="E5" s="131">
        <f>'consolidated P&amp;l '!E11</f>
        <v>78.3</v>
      </c>
      <c r="F5" s="131">
        <f>'consolidated P&amp;l '!F11</f>
        <v>0</v>
      </c>
    </row>
    <row r="6" spans="1:6" ht="14.25" customHeight="1" x14ac:dyDescent="0.3">
      <c r="A6" s="34" t="s">
        <v>416</v>
      </c>
      <c r="B6" s="131">
        <f>'consolidated P&amp;l '!B12</f>
        <v>746.31</v>
      </c>
      <c r="C6" s="131">
        <f>'consolidated P&amp;l '!C12</f>
        <v>1097.31</v>
      </c>
      <c r="D6" s="131">
        <f>'consolidated P&amp;l '!D12</f>
        <v>1128.24</v>
      </c>
      <c r="E6" s="131">
        <f>'consolidated P&amp;l '!E12</f>
        <v>1235.3399999999999</v>
      </c>
      <c r="F6" s="131">
        <f>'consolidated P&amp;l '!F12</f>
        <v>1341.5</v>
      </c>
    </row>
    <row r="7" spans="1:6" ht="14.25" customHeight="1" x14ac:dyDescent="0.3">
      <c r="A7" s="34" t="s">
        <v>417</v>
      </c>
      <c r="B7" s="131">
        <f>'consolidated P&amp;l '!B15</f>
        <v>369.47</v>
      </c>
      <c r="C7" s="131">
        <f>'consolidated P&amp;l '!C15</f>
        <v>616.64</v>
      </c>
      <c r="D7" s="131">
        <f>'consolidated P&amp;l '!D15</f>
        <v>504.15</v>
      </c>
      <c r="E7" s="131">
        <f>'consolidated P&amp;l '!E15</f>
        <v>551.20000000000005</v>
      </c>
      <c r="F7" s="131">
        <f>'consolidated P&amp;l '!F15</f>
        <v>771.02</v>
      </c>
    </row>
    <row r="8" spans="1:6" ht="14.25" customHeight="1" x14ac:dyDescent="0.3">
      <c r="A8" s="33" t="s">
        <v>281</v>
      </c>
      <c r="B8" s="131">
        <f>B5+B6+B7</f>
        <v>1149.8</v>
      </c>
      <c r="C8" s="131">
        <f>C5+C6+C7</f>
        <v>1777.32</v>
      </c>
      <c r="D8" s="131">
        <f>D5+D6+D7</f>
        <v>1707.1</v>
      </c>
      <c r="E8" s="131">
        <f>E5+E6+E7</f>
        <v>1864.84</v>
      </c>
      <c r="F8" s="131">
        <f>F5+F6+F7</f>
        <v>2112.52</v>
      </c>
    </row>
    <row r="9" spans="1:6" ht="14.25" customHeight="1" x14ac:dyDescent="0.3">
      <c r="A9" s="33" t="s">
        <v>418</v>
      </c>
      <c r="B9" s="131">
        <f>B3-B8</f>
        <v>439.23</v>
      </c>
      <c r="C9" s="131">
        <f>C3-C8</f>
        <v>568.37</v>
      </c>
      <c r="D9" s="131">
        <f>D3-D8</f>
        <v>829.24</v>
      </c>
      <c r="E9" s="131">
        <f>E3-E8</f>
        <v>984.71</v>
      </c>
      <c r="F9" s="131">
        <f>F3-F8</f>
        <v>1172.21</v>
      </c>
    </row>
    <row r="10" spans="1:6" ht="14.25" customHeight="1" x14ac:dyDescent="0.3">
      <c r="A10" s="34" t="s">
        <v>419</v>
      </c>
      <c r="B10" s="131">
        <f>'consolidated P&amp;l '!B14</f>
        <v>44.91</v>
      </c>
      <c r="C10" s="131">
        <f>'consolidated P&amp;l '!C14</f>
        <v>73.02</v>
      </c>
      <c r="D10" s="131">
        <f>'consolidated P&amp;l '!D14</f>
        <v>101.13</v>
      </c>
      <c r="E10" s="131">
        <f>'consolidated P&amp;l '!E14</f>
        <v>113.09</v>
      </c>
      <c r="F10" s="131">
        <f>'consolidated P&amp;l '!F14</f>
        <v>122.58</v>
      </c>
    </row>
    <row r="11" spans="1:6" ht="14.25" customHeight="1" x14ac:dyDescent="0.3">
      <c r="A11" s="33" t="s">
        <v>420</v>
      </c>
      <c r="B11" s="131">
        <f>B9-B10</f>
        <v>394.32</v>
      </c>
      <c r="C11" s="131">
        <f>C9-C10</f>
        <v>495.35</v>
      </c>
      <c r="D11" s="131">
        <f>D9-D10</f>
        <v>728.11</v>
      </c>
      <c r="E11" s="131">
        <f>E9-E10</f>
        <v>871.62</v>
      </c>
      <c r="F11" s="131">
        <f>F9-F10</f>
        <v>1049.6300000000001</v>
      </c>
    </row>
    <row r="12" spans="1:6" ht="14.25" customHeight="1" x14ac:dyDescent="0.3">
      <c r="A12" s="34" t="s">
        <v>421</v>
      </c>
      <c r="B12" s="131">
        <f>'consolidated P&amp;l '!B8</f>
        <v>440.36</v>
      </c>
      <c r="C12" s="131">
        <f>'consolidated P&amp;l '!C8</f>
        <v>392.85</v>
      </c>
      <c r="D12" s="131">
        <f>'consolidated P&amp;l '!D8</f>
        <v>413.74</v>
      </c>
      <c r="E12" s="131">
        <f>'consolidated P&amp;l '!E8</f>
        <v>1073.25</v>
      </c>
      <c r="F12" s="131">
        <f>'consolidated P&amp;l '!F8</f>
        <v>1058.55</v>
      </c>
    </row>
    <row r="13" spans="1:6" ht="14.25" customHeight="1" x14ac:dyDescent="0.3">
      <c r="A13" s="34" t="s">
        <v>422</v>
      </c>
      <c r="B13" s="131">
        <f>'consolidated P&amp;l '!B13</f>
        <v>4.6500000000000004</v>
      </c>
      <c r="C13" s="131">
        <f>'consolidated P&amp;l '!C13</f>
        <v>7.34</v>
      </c>
      <c r="D13" s="131">
        <f>'consolidated P&amp;l '!D13</f>
        <v>22.26</v>
      </c>
      <c r="E13" s="131">
        <f>'consolidated P&amp;l '!E13</f>
        <v>24.24</v>
      </c>
      <c r="F13" s="131">
        <f>'consolidated P&amp;l '!F13</f>
        <v>27.43</v>
      </c>
    </row>
    <row r="14" spans="1:6" ht="14.25" customHeight="1" x14ac:dyDescent="0.3">
      <c r="A14" s="33" t="s">
        <v>423</v>
      </c>
      <c r="B14" s="131">
        <f>B11+B12-B13</f>
        <v>830.03</v>
      </c>
      <c r="C14" s="131">
        <f>C11+C12-C13</f>
        <v>880.86</v>
      </c>
      <c r="D14" s="131">
        <f>D11+D12-D13</f>
        <v>1119.5899999999999</v>
      </c>
      <c r="E14" s="131">
        <f>E11+E12-E13</f>
        <v>1920.63</v>
      </c>
      <c r="F14" s="131">
        <f>F11+F12-F13</f>
        <v>2080.75</v>
      </c>
    </row>
    <row r="15" spans="1:6" ht="14.25" customHeight="1" x14ac:dyDescent="0.3">
      <c r="A15" s="33" t="s">
        <v>424</v>
      </c>
      <c r="B15" s="131">
        <f>'consolidated P&amp;l '!B23</f>
        <v>1317.88</v>
      </c>
      <c r="C15" s="131">
        <f>'consolidated P&amp;l '!C23</f>
        <v>211.07</v>
      </c>
      <c r="D15" s="131">
        <f>'consolidated P&amp;l '!D23</f>
        <v>283.48</v>
      </c>
      <c r="E15" s="131">
        <f>'consolidated P&amp;l '!E23</f>
        <v>634.72</v>
      </c>
      <c r="F15" s="131">
        <f>'consolidated P&amp;l '!F23</f>
        <v>358.55</v>
      </c>
    </row>
    <row r="16" spans="1:6" ht="14.25" customHeight="1" x14ac:dyDescent="0.3">
      <c r="A16" s="34" t="s">
        <v>425</v>
      </c>
      <c r="B16" s="131">
        <f>ABS('consolidated P&amp;l '!B27)</f>
        <v>122.66</v>
      </c>
      <c r="C16" s="131">
        <f>ABS('consolidated P&amp;l '!C27)</f>
        <v>36.950000000000003</v>
      </c>
      <c r="D16" s="131">
        <f>ABS('consolidated P&amp;l '!D27)</f>
        <v>19.350000000000001</v>
      </c>
      <c r="E16" s="131">
        <f>ABS('consolidated P&amp;l '!E27)</f>
        <v>347.76</v>
      </c>
      <c r="F16" s="131">
        <f>ABS('consolidated P&amp;l '!F27)</f>
        <v>313.02999999999997</v>
      </c>
    </row>
    <row r="17" spans="1:6" ht="14.25" customHeight="1" x14ac:dyDescent="0.3">
      <c r="A17" s="33" t="s">
        <v>426</v>
      </c>
      <c r="B17" s="131">
        <f>B14-B15-B16</f>
        <v>-610.51</v>
      </c>
      <c r="C17" s="131">
        <f>C14-C15-C16</f>
        <v>632.84</v>
      </c>
      <c r="D17" s="131">
        <f>D14-D15-D16</f>
        <v>816.76</v>
      </c>
      <c r="E17" s="131">
        <f>E14-E15-E16</f>
        <v>938.15</v>
      </c>
      <c r="F17" s="131">
        <f>F14-F15-F16</f>
        <v>1409.17</v>
      </c>
    </row>
    <row r="18" spans="1:6" ht="14.25" customHeight="1" x14ac:dyDescent="0.3">
      <c r="A18" s="34"/>
      <c r="B18" s="34"/>
      <c r="C18" s="34"/>
      <c r="D18" s="34"/>
      <c r="E18" s="34"/>
      <c r="F18" s="34"/>
    </row>
    <row r="19" spans="1:6" ht="14.25" customHeight="1" x14ac:dyDescent="0.3">
      <c r="A19" s="39"/>
      <c r="B19" s="39"/>
      <c r="C19" s="39"/>
      <c r="D19" s="39"/>
      <c r="E19" s="39"/>
      <c r="F19" s="39"/>
    </row>
    <row r="20" spans="1:6" ht="14.25" customHeight="1" x14ac:dyDescent="0.3">
      <c r="A20" s="39"/>
      <c r="B20" s="39"/>
      <c r="C20" s="39"/>
      <c r="D20" s="39"/>
      <c r="E20" s="39"/>
      <c r="F20" s="39"/>
    </row>
    <row r="21" spans="1:6" ht="14.25" customHeight="1" x14ac:dyDescent="0.3">
      <c r="A21" s="39"/>
      <c r="B21" s="39"/>
      <c r="C21" s="39"/>
      <c r="D21" s="39"/>
      <c r="E21" s="39"/>
      <c r="F21" s="39"/>
    </row>
    <row r="22" spans="1:6" ht="14.25" customHeight="1" x14ac:dyDescent="0.3">
      <c r="A22" s="39"/>
      <c r="B22" s="39"/>
      <c r="C22" s="39"/>
      <c r="D22" s="39"/>
      <c r="E22" s="39"/>
      <c r="F22" s="39"/>
    </row>
    <row r="23" spans="1:6" ht="14.25" customHeight="1" x14ac:dyDescent="0.3">
      <c r="A23" s="167" t="s">
        <v>427</v>
      </c>
      <c r="B23" s="165"/>
      <c r="C23" s="166"/>
      <c r="D23" s="39"/>
      <c r="E23" s="39"/>
      <c r="F23" s="39"/>
    </row>
    <row r="24" spans="1:6" ht="14.25" customHeight="1" x14ac:dyDescent="0.3">
      <c r="A24" s="34" t="s">
        <v>428</v>
      </c>
      <c r="B24" s="132">
        <f>AVERAGE(C4:F4)</f>
        <v>0.208415457463068</v>
      </c>
      <c r="C24" s="34"/>
      <c r="D24" s="39"/>
      <c r="E24" s="39"/>
      <c r="F24" s="39"/>
    </row>
    <row r="25" spans="1:6" ht="14.25" customHeight="1" x14ac:dyDescent="0.3">
      <c r="A25" s="34" t="s">
        <v>429</v>
      </c>
      <c r="B25" s="132">
        <f>(F3/B3)^(1/5)-1</f>
        <v>0.15630796204070899</v>
      </c>
      <c r="C25" s="132">
        <f>_xlfn.RRI(5,B3,F3)</f>
        <v>0.15630796204070899</v>
      </c>
      <c r="D25" s="39" t="s">
        <v>430</v>
      </c>
      <c r="E25" s="39"/>
      <c r="F25" s="39"/>
    </row>
    <row r="26" spans="1:6" ht="14.25" customHeight="1" x14ac:dyDescent="0.3">
      <c r="A26" s="39"/>
      <c r="B26" s="39"/>
      <c r="C26" s="39"/>
      <c r="D26" s="39"/>
      <c r="E26" s="39"/>
      <c r="F26" s="39"/>
    </row>
    <row r="27" spans="1:6" ht="14.25" customHeight="1" x14ac:dyDescent="0.3">
      <c r="A27" s="134" t="s">
        <v>431</v>
      </c>
      <c r="B27" s="39"/>
      <c r="C27" s="39"/>
      <c r="D27" s="39"/>
      <c r="E27" s="39"/>
      <c r="F27" s="39"/>
    </row>
    <row r="28" spans="1:6" ht="14.25" customHeight="1" x14ac:dyDescent="0.3">
      <c r="A28" s="135" t="s">
        <v>418</v>
      </c>
      <c r="B28" s="132">
        <f>B9/B3</f>
        <v>0.27641391289025402</v>
      </c>
      <c r="C28" s="132">
        <f>C9/C3</f>
        <v>0.24230397026035</v>
      </c>
      <c r="D28" s="132">
        <f>D9/D3</f>
        <v>0.326943548577872</v>
      </c>
      <c r="E28" s="132">
        <f>E9/E3</f>
        <v>0.34556684388763098</v>
      </c>
      <c r="F28" s="132">
        <f>F9/F3</f>
        <v>0.35686646999905602</v>
      </c>
    </row>
    <row r="29" spans="1:6" ht="14.25" customHeight="1" x14ac:dyDescent="0.3">
      <c r="A29" s="135" t="s">
        <v>384</v>
      </c>
      <c r="B29" s="132">
        <f>B11/B3</f>
        <v>0.24815138795365699</v>
      </c>
      <c r="C29" s="132">
        <f>C11/C3</f>
        <v>0.2111745371298</v>
      </c>
      <c r="D29" s="132">
        <f>D11/D3</f>
        <v>0.28707113399623102</v>
      </c>
      <c r="E29" s="132">
        <f>E11/E3</f>
        <v>0.30587987576985798</v>
      </c>
      <c r="F29" s="132">
        <f>F11/F3</f>
        <v>0.31954833426187201</v>
      </c>
    </row>
    <row r="30" spans="1:6" ht="14.25" customHeight="1" x14ac:dyDescent="0.3">
      <c r="A30" s="135" t="s">
        <v>423</v>
      </c>
      <c r="B30" s="132">
        <f>B14/B3</f>
        <v>0.52235011296199596</v>
      </c>
      <c r="C30" s="132">
        <f>C14/C3</f>
        <v>0.37552276728808998</v>
      </c>
      <c r="D30" s="132">
        <f>D14/D3</f>
        <v>0.44141952577335902</v>
      </c>
      <c r="E30" s="132">
        <f>E14/E3</f>
        <v>0.67401168605569295</v>
      </c>
      <c r="F30" s="132">
        <f>F14/F3</f>
        <v>0.63346150216303898</v>
      </c>
    </row>
    <row r="31" spans="1:6" ht="14.25" customHeight="1" x14ac:dyDescent="0.3">
      <c r="A31" s="135" t="s">
        <v>432</v>
      </c>
      <c r="B31" s="132">
        <f>B17/B3</f>
        <v>-0.38420294141709099</v>
      </c>
      <c r="C31" s="132">
        <f>C17/C3</f>
        <v>0.26978842046476698</v>
      </c>
      <c r="D31" s="132">
        <f>D17/D3</f>
        <v>0.32202307261644703</v>
      </c>
      <c r="E31" s="132">
        <f>E17/E3</f>
        <v>0.32922742187362902</v>
      </c>
      <c r="F31" s="132">
        <f>F17/F3</f>
        <v>0.42900634146490002</v>
      </c>
    </row>
    <row r="32" spans="1:6" ht="14.25" customHeight="1" x14ac:dyDescent="0.3">
      <c r="A32" s="39"/>
      <c r="B32" s="39"/>
      <c r="C32" s="39"/>
      <c r="D32" s="39"/>
      <c r="E32" s="39"/>
      <c r="F32" s="39"/>
    </row>
    <row r="33" spans="1:7" ht="14.25" customHeight="1" x14ac:dyDescent="0.3">
      <c r="A33" s="134" t="s">
        <v>433</v>
      </c>
      <c r="B33" s="39"/>
      <c r="C33" s="39"/>
      <c r="D33" s="39"/>
      <c r="E33" s="39"/>
      <c r="F33" s="39"/>
    </row>
    <row r="34" spans="1:7" ht="14.25" customHeight="1" x14ac:dyDescent="0.3">
      <c r="A34" s="135" t="s">
        <v>434</v>
      </c>
      <c r="B34" s="132">
        <f>B15/B14</f>
        <v>1.5877498403672199</v>
      </c>
      <c r="C34" s="132">
        <f>C15/C14</f>
        <v>0.23961810049269999</v>
      </c>
      <c r="D34" s="132">
        <f>D15/D14</f>
        <v>0.25319983208138702</v>
      </c>
      <c r="E34" s="132">
        <f>E15/E14</f>
        <v>0.33047489625799897</v>
      </c>
      <c r="F34" s="132">
        <f>F15/F14</f>
        <v>0.172317673915655</v>
      </c>
      <c r="G34" s="136">
        <f>AVERAGE(B34:F34)</f>
        <v>0.51667206862299098</v>
      </c>
    </row>
    <row r="35" spans="1:7" ht="14.25" customHeight="1" x14ac:dyDescent="0.3">
      <c r="A35" s="135" t="s">
        <v>435</v>
      </c>
      <c r="B35" s="132">
        <v>0.3</v>
      </c>
      <c r="C35" s="132">
        <f>B35</f>
        <v>0.3</v>
      </c>
      <c r="D35" s="132">
        <f>C35</f>
        <v>0.3</v>
      </c>
      <c r="E35" s="132">
        <f>D35</f>
        <v>0.3</v>
      </c>
      <c r="F35" s="132">
        <f>E35</f>
        <v>0.3</v>
      </c>
    </row>
    <row r="36" spans="1:7" ht="14.25" customHeight="1" x14ac:dyDescent="0.3">
      <c r="A36" s="39"/>
      <c r="B36" s="39"/>
      <c r="C36" s="39"/>
      <c r="D36" s="39"/>
      <c r="E36" s="39"/>
      <c r="F36" s="39"/>
    </row>
    <row r="37" spans="1:7" ht="14.25" customHeight="1" x14ac:dyDescent="0.3">
      <c r="A37" s="134" t="s">
        <v>436</v>
      </c>
      <c r="B37" s="39"/>
      <c r="C37" s="39"/>
      <c r="D37" s="39"/>
      <c r="E37" s="39"/>
      <c r="F37" s="39"/>
    </row>
    <row r="38" spans="1:7" ht="14.25" customHeight="1" x14ac:dyDescent="0.3">
      <c r="A38" s="135" t="s">
        <v>437</v>
      </c>
      <c r="B38" s="131">
        <f>B11*(1-B35)</f>
        <v>276.024</v>
      </c>
      <c r="C38" s="131">
        <f>C11*(1-C35)</f>
        <v>346.745</v>
      </c>
      <c r="D38" s="131">
        <f>D11*(1-D35)</f>
        <v>509.67700000000002</v>
      </c>
      <c r="E38" s="131">
        <f>E11*(1-E35)</f>
        <v>610.13400000000001</v>
      </c>
      <c r="F38" s="131">
        <f>F11*(1-F35)</f>
        <v>734.74099999999999</v>
      </c>
    </row>
    <row r="39" spans="1:7" ht="14.25" customHeight="1" x14ac:dyDescent="0.3">
      <c r="A39" s="135" t="s">
        <v>438</v>
      </c>
      <c r="B39" s="131">
        <f>'consolidated balance sheet'!B11</f>
        <v>17241.36</v>
      </c>
      <c r="C39" s="131">
        <f>'consolidated balance sheet'!C11</f>
        <v>13398.02</v>
      </c>
      <c r="D39" s="131">
        <f>'consolidated balance sheet'!D11</f>
        <v>30262.29</v>
      </c>
      <c r="E39" s="131">
        <f>'consolidated balance sheet'!E11</f>
        <v>34903.06</v>
      </c>
      <c r="F39" s="131">
        <f>'consolidated balance sheet'!F11</f>
        <v>37913.129999999997</v>
      </c>
    </row>
    <row r="40" spans="1:7" ht="14.25" customHeight="1" x14ac:dyDescent="0.3">
      <c r="A40" s="135" t="s">
        <v>439</v>
      </c>
      <c r="B40" s="131">
        <f>'consolidated balance sheet'!B14+'consolidated balance sheet'!B20</f>
        <v>0.65</v>
      </c>
      <c r="C40" s="131">
        <f>'consolidated balance sheet'!C14+'consolidated balance sheet'!C20</f>
        <v>2.42</v>
      </c>
      <c r="D40" s="131">
        <f>'consolidated balance sheet'!D14+'consolidated balance sheet'!D20</f>
        <v>2.58</v>
      </c>
      <c r="E40" s="131">
        <f>'consolidated balance sheet'!E14+'consolidated balance sheet'!E20</f>
        <v>1.27</v>
      </c>
      <c r="F40" s="131">
        <f>'consolidated balance sheet'!F14+'consolidated balance sheet'!F20</f>
        <v>0.43</v>
      </c>
    </row>
    <row r="41" spans="1:7" ht="14.25" customHeight="1" x14ac:dyDescent="0.3">
      <c r="A41" s="135" t="s">
        <v>440</v>
      </c>
      <c r="B41" s="131">
        <f>'consolidated balance sheet'!B40</f>
        <v>368.29</v>
      </c>
      <c r="C41" s="131">
        <f>'consolidated balance sheet'!C40</f>
        <v>571.46</v>
      </c>
      <c r="D41" s="131">
        <f>'consolidated balance sheet'!D40</f>
        <v>1192.98</v>
      </c>
      <c r="E41" s="131">
        <f>'consolidated balance sheet'!E40</f>
        <v>267.13</v>
      </c>
      <c r="F41" s="131">
        <f>'consolidated balance sheet'!F40</f>
        <v>375.91</v>
      </c>
    </row>
    <row r="42" spans="1:7" ht="14.25" customHeight="1" x14ac:dyDescent="0.3">
      <c r="A42" s="135" t="s">
        <v>441</v>
      </c>
      <c r="B42" s="131">
        <f>B39+B40-B41</f>
        <v>16873.72</v>
      </c>
      <c r="C42" s="131">
        <f>C39+C40-C41</f>
        <v>12828.98</v>
      </c>
      <c r="D42" s="131">
        <f>D39+D40-D41</f>
        <v>29071.89</v>
      </c>
      <c r="E42" s="131">
        <f>E39+E40-E41</f>
        <v>34637.199999999997</v>
      </c>
      <c r="F42" s="131">
        <f>F39+F40-F41</f>
        <v>37537.65</v>
      </c>
    </row>
    <row r="43" spans="1:7" ht="14.25" customHeight="1" x14ac:dyDescent="0.3">
      <c r="A43" s="39"/>
      <c r="B43" s="39"/>
      <c r="C43" s="39"/>
      <c r="D43" s="39"/>
      <c r="E43" s="39"/>
      <c r="F43" s="39"/>
    </row>
    <row r="44" spans="1:7" ht="14.25" customHeight="1" x14ac:dyDescent="0.3">
      <c r="A44" s="135" t="s">
        <v>442</v>
      </c>
      <c r="B44" s="132">
        <f>B11/B42</f>
        <v>2.33688836842143E-2</v>
      </c>
      <c r="C44" s="132">
        <f>C11/C42</f>
        <v>3.8611799223321003E-2</v>
      </c>
      <c r="D44" s="132">
        <f>D11/D42</f>
        <v>2.5045155302940401E-2</v>
      </c>
      <c r="E44" s="132">
        <f>E11/E42</f>
        <v>2.5164274248495801E-2</v>
      </c>
      <c r="F44" s="132">
        <f>F11/F42</f>
        <v>2.796205942567E-2</v>
      </c>
    </row>
    <row r="45" spans="1:7" ht="14.25" customHeight="1" x14ac:dyDescent="0.3">
      <c r="A45" s="135" t="s">
        <v>443</v>
      </c>
      <c r="B45" s="132">
        <f>B38/B42</f>
        <v>1.635821857895E-2</v>
      </c>
      <c r="C45" s="132">
        <f>C38/C42</f>
        <v>2.7028259456324699E-2</v>
      </c>
      <c r="D45" s="132">
        <f>D38/D42</f>
        <v>1.7531608712058298E-2</v>
      </c>
      <c r="E45" s="132">
        <f>E38/E42</f>
        <v>1.76149919739471E-2</v>
      </c>
      <c r="F45" s="132">
        <f>F38/F42</f>
        <v>1.9573441597969001E-2</v>
      </c>
    </row>
    <row r="46" spans="1:7" ht="14.25" customHeight="1" x14ac:dyDescent="0.3">
      <c r="A46" s="39"/>
      <c r="B46" s="39"/>
      <c r="C46" s="39"/>
      <c r="D46" s="39"/>
      <c r="E46" s="39"/>
      <c r="F46" s="39"/>
    </row>
    <row r="47" spans="1:7" ht="14.25" customHeight="1" x14ac:dyDescent="0.3">
      <c r="A47" s="137" t="s">
        <v>444</v>
      </c>
      <c r="B47" s="132">
        <f>FCFF!C12*F45</f>
        <v>1.7206721148948099E-3</v>
      </c>
      <c r="C47" s="38"/>
      <c r="D47" s="38"/>
      <c r="E47" s="38"/>
      <c r="F47" s="38"/>
    </row>
    <row r="48" spans="1:7" ht="14.25" customHeight="1" x14ac:dyDescent="0.3">
      <c r="A48" s="39"/>
      <c r="B48" s="38"/>
      <c r="C48" s="38"/>
      <c r="D48" s="38"/>
      <c r="E48" s="38"/>
      <c r="F48" s="38"/>
    </row>
  </sheetData>
  <mergeCells count="2">
    <mergeCell ref="A1:F1"/>
    <mergeCell ref="A23:C23"/>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6"/>
  <sheetViews>
    <sheetView showGridLines="0" workbookViewId="0">
      <selection activeCell="F23" sqref="F23"/>
    </sheetView>
  </sheetViews>
  <sheetFormatPr defaultColWidth="8.6640625" defaultRowHeight="14.4" x14ac:dyDescent="0.3"/>
  <cols>
    <col min="1" max="1" width="33.6640625" customWidth="1"/>
    <col min="2" max="2" width="9.44140625" customWidth="1"/>
    <col min="3" max="3" width="21.77734375" customWidth="1"/>
    <col min="4" max="4" width="14.109375" customWidth="1"/>
    <col min="6" max="6" width="19" customWidth="1"/>
  </cols>
  <sheetData>
    <row r="1" spans="1:10" ht="14.25" customHeight="1" x14ac:dyDescent="0.3">
      <c r="A1" s="312" t="s">
        <v>445</v>
      </c>
      <c r="B1" s="313"/>
      <c r="C1" s="100"/>
      <c r="D1" s="100"/>
      <c r="E1" s="100"/>
    </row>
    <row r="2" spans="1:10" ht="14.25" customHeight="1" x14ac:dyDescent="0.3">
      <c r="A2" s="101" t="s">
        <v>446</v>
      </c>
      <c r="B2" s="102">
        <f>'consolidated balance sheet'!E14+'consolidated balance sheet'!E20</f>
        <v>1.27</v>
      </c>
      <c r="C2" s="39"/>
      <c r="D2" s="39"/>
      <c r="E2" s="39"/>
      <c r="F2" s="39"/>
      <c r="G2" s="39"/>
      <c r="H2" s="39"/>
      <c r="I2" s="39"/>
      <c r="J2" s="39"/>
    </row>
    <row r="3" spans="1:10" ht="14.25" customHeight="1" x14ac:dyDescent="0.3">
      <c r="A3" s="101" t="s">
        <v>447</v>
      </c>
      <c r="B3" s="103">
        <f>'consolidated balance sheet'!E11</f>
        <v>34903.06</v>
      </c>
      <c r="C3" s="39"/>
      <c r="D3" s="39"/>
      <c r="E3" s="39"/>
      <c r="F3" s="39"/>
      <c r="G3" s="39"/>
      <c r="H3" s="39"/>
      <c r="I3" s="39"/>
      <c r="J3" s="39"/>
    </row>
    <row r="4" spans="1:10" ht="14.25" customHeight="1" x14ac:dyDescent="0.3">
      <c r="A4" s="104" t="s">
        <v>448</v>
      </c>
      <c r="B4" s="102">
        <f>B2+B3</f>
        <v>34904.33</v>
      </c>
      <c r="C4" s="39"/>
      <c r="D4" s="39"/>
      <c r="E4" s="39"/>
      <c r="F4" s="39"/>
      <c r="G4" s="39"/>
      <c r="H4" s="39"/>
      <c r="I4" s="39"/>
      <c r="J4" s="39"/>
    </row>
    <row r="5" spans="1:10" ht="14.25" customHeight="1" x14ac:dyDescent="0.3">
      <c r="A5" s="105" t="s">
        <v>449</v>
      </c>
      <c r="B5" s="106">
        <f>B2/B4</f>
        <v>3.6385170550473299E-5</v>
      </c>
      <c r="C5" s="39"/>
      <c r="D5" s="39"/>
      <c r="E5" s="39"/>
      <c r="F5" s="39"/>
      <c r="G5" s="39"/>
      <c r="H5" s="39"/>
      <c r="I5" s="39"/>
      <c r="J5" s="39"/>
    </row>
    <row r="6" spans="1:10" ht="14.25" customHeight="1" x14ac:dyDescent="0.3">
      <c r="A6" s="105" t="s">
        <v>450</v>
      </c>
      <c r="B6" s="106">
        <f>B3/B4</f>
        <v>0.99996361482944995</v>
      </c>
      <c r="C6" s="39"/>
      <c r="D6" s="39"/>
      <c r="E6" s="39"/>
      <c r="F6" s="39"/>
      <c r="G6" s="39"/>
      <c r="H6" s="39"/>
      <c r="I6" s="39"/>
      <c r="J6" s="39"/>
    </row>
    <row r="7" spans="1:10" ht="14.25" customHeight="1" x14ac:dyDescent="0.3">
      <c r="A7" s="107" t="s">
        <v>451</v>
      </c>
      <c r="B7" s="34">
        <f>B2/B3</f>
        <v>3.6386494479280601E-5</v>
      </c>
      <c r="C7" s="39"/>
      <c r="D7" s="39"/>
      <c r="E7" s="39"/>
      <c r="F7" s="39"/>
      <c r="G7" s="39"/>
      <c r="H7" s="39"/>
      <c r="I7" s="39"/>
      <c r="J7" s="39"/>
    </row>
    <row r="8" spans="1:10" ht="14.25" customHeight="1" x14ac:dyDescent="0.3">
      <c r="A8" s="39"/>
      <c r="B8" s="39"/>
      <c r="C8" s="39"/>
      <c r="D8" s="39"/>
      <c r="E8" s="39"/>
      <c r="F8" s="39"/>
      <c r="G8" s="39"/>
      <c r="H8" s="39"/>
      <c r="I8" s="39"/>
      <c r="J8" s="39"/>
    </row>
    <row r="9" spans="1:10" ht="14.25" customHeight="1" x14ac:dyDescent="0.3">
      <c r="A9" s="314" t="s">
        <v>452</v>
      </c>
      <c r="B9" s="282"/>
      <c r="C9" s="39"/>
      <c r="D9" s="39"/>
      <c r="E9" s="39"/>
      <c r="F9" s="39"/>
      <c r="G9" s="39"/>
      <c r="H9" s="39"/>
      <c r="I9" s="39"/>
      <c r="J9" s="39"/>
    </row>
    <row r="10" spans="1:10" ht="14.25" customHeight="1" x14ac:dyDescent="0.3">
      <c r="A10" s="108" t="s">
        <v>453</v>
      </c>
      <c r="B10" s="109">
        <v>7.0699999999999999E-2</v>
      </c>
      <c r="C10" s="39"/>
      <c r="D10" s="168" t="s">
        <v>454</v>
      </c>
      <c r="E10" s="159"/>
      <c r="F10" s="159"/>
      <c r="G10" s="159"/>
      <c r="H10" s="159"/>
      <c r="I10" s="159"/>
      <c r="J10" s="159"/>
    </row>
    <row r="11" spans="1:10" ht="14.25" customHeight="1" x14ac:dyDescent="0.3">
      <c r="A11" s="108" t="s">
        <v>455</v>
      </c>
      <c r="B11" s="110">
        <f>Beta!I25</f>
        <v>1.14735892430715</v>
      </c>
      <c r="C11" s="39"/>
      <c r="D11" s="39"/>
      <c r="E11" s="39"/>
      <c r="F11" s="39"/>
      <c r="G11" s="39"/>
      <c r="H11" s="39"/>
      <c r="I11" s="39"/>
      <c r="J11" s="39"/>
    </row>
    <row r="12" spans="1:10" ht="14.25" customHeight="1" x14ac:dyDescent="0.3">
      <c r="A12" s="108" t="s">
        <v>456</v>
      </c>
      <c r="B12" s="109">
        <v>6.8500000000000005E-2</v>
      </c>
      <c r="C12" s="39"/>
      <c r="D12" s="168" t="s">
        <v>457</v>
      </c>
      <c r="E12" s="159"/>
      <c r="F12" s="159"/>
      <c r="G12" s="159"/>
      <c r="H12" s="159"/>
      <c r="I12" s="159"/>
      <c r="J12" s="159"/>
    </row>
    <row r="13" spans="1:10" ht="14.25" customHeight="1" x14ac:dyDescent="0.3">
      <c r="A13" s="111" t="s">
        <v>458</v>
      </c>
      <c r="B13" s="112">
        <f>B10+B11*(B12)</f>
        <v>0.14929408631503999</v>
      </c>
      <c r="C13" s="39"/>
      <c r="D13" s="39"/>
      <c r="E13" s="39"/>
      <c r="F13" s="39"/>
      <c r="G13" s="39"/>
      <c r="H13" s="39"/>
      <c r="I13" s="39"/>
      <c r="J13" s="39"/>
    </row>
    <row r="14" spans="1:10" ht="14.25" customHeight="1" x14ac:dyDescent="0.3">
      <c r="A14" s="39"/>
      <c r="B14" s="39"/>
      <c r="C14" s="39"/>
      <c r="D14" s="39"/>
      <c r="E14" s="39"/>
      <c r="F14" s="39"/>
      <c r="G14" s="39"/>
      <c r="H14" s="39"/>
      <c r="I14" s="39"/>
      <c r="J14" s="39"/>
    </row>
    <row r="15" spans="1:10" ht="14.25" customHeight="1" x14ac:dyDescent="0.3">
      <c r="A15" s="314" t="s">
        <v>459</v>
      </c>
      <c r="B15" s="282"/>
      <c r="C15" s="39"/>
      <c r="D15" s="39"/>
      <c r="E15" s="39"/>
      <c r="F15" s="39"/>
      <c r="G15" s="39"/>
      <c r="H15" s="39"/>
      <c r="I15" s="39"/>
      <c r="J15" s="39"/>
    </row>
    <row r="16" spans="1:10" ht="14.25" customHeight="1" x14ac:dyDescent="0.3">
      <c r="A16" s="113" t="s">
        <v>460</v>
      </c>
      <c r="B16" s="114">
        <f>'consolidated P&amp;l '!E13</f>
        <v>24.24</v>
      </c>
      <c r="C16" s="39"/>
      <c r="D16" s="39"/>
      <c r="E16" s="39"/>
      <c r="F16" s="39"/>
      <c r="G16" s="39"/>
      <c r="H16" s="39"/>
      <c r="I16" s="39"/>
      <c r="J16" s="39"/>
    </row>
    <row r="17" spans="1:10" ht="14.25" customHeight="1" x14ac:dyDescent="0.3">
      <c r="A17" s="108" t="s">
        <v>461</v>
      </c>
      <c r="B17" s="115">
        <f>B2</f>
        <v>1.27</v>
      </c>
      <c r="C17" s="39"/>
      <c r="D17" s="39"/>
      <c r="E17" s="39"/>
      <c r="F17" s="39"/>
      <c r="G17" s="39"/>
      <c r="H17" s="39"/>
      <c r="I17" s="39"/>
      <c r="J17" s="39"/>
    </row>
    <row r="18" spans="1:10" ht="14.25" customHeight="1" x14ac:dyDescent="0.3">
      <c r="A18" s="108" t="s">
        <v>462</v>
      </c>
      <c r="B18" s="109">
        <f>B16/B17</f>
        <v>19.086614173228298</v>
      </c>
      <c r="C18" s="39"/>
      <c r="D18" s="39"/>
      <c r="E18" s="39" t="s">
        <v>463</v>
      </c>
      <c r="F18" s="39"/>
      <c r="G18" s="39"/>
      <c r="H18" s="39"/>
      <c r="I18" s="39"/>
      <c r="J18" s="39"/>
    </row>
    <row r="19" spans="1:10" ht="14.25" customHeight="1" x14ac:dyDescent="0.3">
      <c r="A19" s="116" t="s">
        <v>433</v>
      </c>
      <c r="B19" s="117">
        <f>Assumptions!E35</f>
        <v>0.3</v>
      </c>
      <c r="C19" s="39"/>
      <c r="D19" s="39" t="s">
        <v>464</v>
      </c>
      <c r="E19" s="2"/>
      <c r="F19" s="39"/>
      <c r="G19" s="39"/>
      <c r="H19" s="39"/>
      <c r="I19" s="39"/>
      <c r="J19" s="39"/>
    </row>
    <row r="20" spans="1:10" ht="14.25" customHeight="1" x14ac:dyDescent="0.3">
      <c r="A20" s="118" t="s">
        <v>465</v>
      </c>
      <c r="B20" s="106">
        <f>B18*(1-B19)</f>
        <v>13.3606299212598</v>
      </c>
      <c r="C20" s="39"/>
      <c r="D20" s="39"/>
      <c r="E20" s="39"/>
      <c r="F20" s="39"/>
      <c r="G20" s="39"/>
      <c r="H20" s="39"/>
      <c r="I20" s="39"/>
      <c r="J20" s="39"/>
    </row>
    <row r="21" spans="1:10" ht="14.25" customHeight="1" x14ac:dyDescent="0.3">
      <c r="A21" s="39"/>
      <c r="B21" s="39"/>
      <c r="C21" s="39"/>
      <c r="D21" s="39"/>
      <c r="E21" s="39"/>
      <c r="F21" s="39"/>
      <c r="G21" s="39"/>
      <c r="H21" s="39"/>
      <c r="I21" s="39"/>
      <c r="J21" s="39"/>
    </row>
    <row r="22" spans="1:10" ht="17.25" customHeight="1" x14ac:dyDescent="0.3">
      <c r="A22" s="315" t="s">
        <v>466</v>
      </c>
      <c r="B22" s="316"/>
      <c r="C22" s="316"/>
      <c r="D22" s="317"/>
      <c r="E22" s="39"/>
      <c r="F22" s="39"/>
      <c r="G22" s="39"/>
      <c r="H22" s="39"/>
      <c r="I22" s="39"/>
      <c r="J22" s="39"/>
    </row>
    <row r="23" spans="1:10" ht="14.25" customHeight="1" x14ac:dyDescent="0.3">
      <c r="A23" s="119" t="s">
        <v>467</v>
      </c>
      <c r="B23" s="120" t="s">
        <v>468</v>
      </c>
      <c r="C23" s="120" t="s">
        <v>469</v>
      </c>
      <c r="D23" s="121" t="s">
        <v>470</v>
      </c>
      <c r="E23" s="39"/>
      <c r="F23" s="39"/>
      <c r="G23" s="39"/>
      <c r="H23" s="39"/>
      <c r="I23" s="39"/>
      <c r="J23" s="39"/>
    </row>
    <row r="24" spans="1:10" ht="14.25" customHeight="1" x14ac:dyDescent="0.3">
      <c r="A24" s="122" t="s">
        <v>471</v>
      </c>
      <c r="B24" s="123">
        <f>B5</f>
        <v>3.6385170550473299E-5</v>
      </c>
      <c r="C24" s="124">
        <f>B20</f>
        <v>13.3606299212598</v>
      </c>
      <c r="D24" s="125">
        <f>B24*C24</f>
        <v>4.8612879834679498E-4</v>
      </c>
      <c r="E24" s="39"/>
      <c r="F24" s="39"/>
      <c r="G24" s="39"/>
      <c r="H24" s="39"/>
      <c r="I24" s="39"/>
      <c r="J24" s="39"/>
    </row>
    <row r="25" spans="1:10" ht="14.25" customHeight="1" x14ac:dyDescent="0.3">
      <c r="A25" s="122" t="s">
        <v>472</v>
      </c>
      <c r="B25" s="123">
        <f>B6</f>
        <v>0.99996361482944995</v>
      </c>
      <c r="C25" s="124">
        <f>B13</f>
        <v>0.14929408631503999</v>
      </c>
      <c r="D25" s="125">
        <f>B25*C25</f>
        <v>0.149288654224247</v>
      </c>
      <c r="E25" s="39"/>
      <c r="F25" s="39"/>
      <c r="G25" s="39"/>
      <c r="H25" s="39"/>
      <c r="I25" s="39"/>
      <c r="J25" s="39"/>
    </row>
    <row r="26" spans="1:10" ht="15" customHeight="1" x14ac:dyDescent="0.3">
      <c r="A26" s="318" t="s">
        <v>466</v>
      </c>
      <c r="B26" s="126">
        <f>SUM(B24:B25)</f>
        <v>1</v>
      </c>
      <c r="C26" s="127" t="s">
        <v>473</v>
      </c>
      <c r="D26" s="128">
        <f>D24+D25</f>
        <v>0.149774783022594</v>
      </c>
      <c r="E26" s="39"/>
      <c r="F26" s="39" t="s">
        <v>474</v>
      </c>
      <c r="G26" s="39"/>
      <c r="H26" s="39"/>
      <c r="I26" s="129"/>
      <c r="J26" s="39"/>
    </row>
  </sheetData>
  <mergeCells count="6">
    <mergeCell ref="A22:D22"/>
    <mergeCell ref="A1:B1"/>
    <mergeCell ref="A9:B9"/>
    <mergeCell ref="D10:J10"/>
    <mergeCell ref="D12:J12"/>
    <mergeCell ref="A15:B15"/>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524"/>
  <sheetViews>
    <sheetView showGridLines="0" workbookViewId="0">
      <selection activeCell="F3" sqref="F3:G3"/>
    </sheetView>
  </sheetViews>
  <sheetFormatPr defaultColWidth="8.6640625" defaultRowHeight="14.4" x14ac:dyDescent="0.3"/>
  <cols>
    <col min="1" max="1" width="12.21875" customWidth="1"/>
    <col min="2" max="2" width="13.33203125" customWidth="1"/>
    <col min="3" max="3" width="15.109375" customWidth="1"/>
    <col min="4" max="4" width="8.109375" customWidth="1"/>
    <col min="5" max="5" width="11.77734375" customWidth="1"/>
    <col min="6" max="6" width="5.44140625" customWidth="1"/>
    <col min="7" max="7" width="10.109375" customWidth="1"/>
    <col min="8" max="8" width="17.44140625" customWidth="1"/>
    <col min="9" max="9" width="12.77734375" customWidth="1"/>
    <col min="10" max="10" width="13.44140625" customWidth="1"/>
    <col min="11" max="12" width="12" customWidth="1"/>
    <col min="13" max="13" width="12.6640625" customWidth="1"/>
    <col min="14" max="14" width="12" customWidth="1"/>
    <col min="15" max="15" width="12.6640625" customWidth="1"/>
    <col min="16" max="16" width="12.109375" customWidth="1"/>
  </cols>
  <sheetData>
    <row r="1" spans="1:13" ht="14.25" customHeight="1" x14ac:dyDescent="0.3">
      <c r="A1" s="97" t="s">
        <v>475</v>
      </c>
      <c r="B1" s="97" t="s">
        <v>476</v>
      </c>
      <c r="C1" s="97" t="s">
        <v>477</v>
      </c>
      <c r="D1" s="34" t="s">
        <v>478</v>
      </c>
      <c r="E1" s="34" t="s">
        <v>479</v>
      </c>
      <c r="F1" s="33" t="s">
        <v>480</v>
      </c>
      <c r="G1" s="33" t="s">
        <v>481</v>
      </c>
    </row>
    <row r="2" spans="1:13" ht="14.25" customHeight="1" x14ac:dyDescent="0.3">
      <c r="A2" s="319" t="s">
        <v>482</v>
      </c>
      <c r="B2" s="320">
        <v>8253.7998046875</v>
      </c>
      <c r="C2" s="320">
        <v>402.79000854492199</v>
      </c>
      <c r="D2" s="320"/>
      <c r="E2" s="320"/>
      <c r="F2" s="130"/>
      <c r="G2" s="130"/>
    </row>
    <row r="3" spans="1:13" ht="14.25" customHeight="1" x14ac:dyDescent="0.3">
      <c r="A3" s="319" t="s">
        <v>483</v>
      </c>
      <c r="B3" s="320">
        <v>8083.7998046875</v>
      </c>
      <c r="C3" s="320">
        <v>401.32998657226602</v>
      </c>
      <c r="D3" s="320">
        <f t="shared" ref="D3:D66" si="0">(B3-B2)/B2</f>
        <v>-2.0596574186770699E-2</v>
      </c>
      <c r="E3" s="321">
        <f t="shared" ref="E3:E66" si="1">(C3-C2)/C2</f>
        <v>-3.6247720690249798E-3</v>
      </c>
      <c r="F3" s="322">
        <f>SLOPE(E3:E1524,D3:D1524)</f>
        <v>1.1473466900856999</v>
      </c>
      <c r="G3" s="322">
        <f>_xlfn.COVARIANCE.S(E3:E1524,D3:D1524)/_xlfn.VAR.S(D3:D1524)</f>
        <v>1.1473466900856699</v>
      </c>
      <c r="H3" t="s">
        <v>484</v>
      </c>
    </row>
    <row r="4" spans="1:13" ht="15" customHeight="1" x14ac:dyDescent="0.3">
      <c r="A4" s="319" t="s">
        <v>485</v>
      </c>
      <c r="B4" s="320">
        <v>8792.2001953125</v>
      </c>
      <c r="C4" s="320">
        <v>471.61999511718801</v>
      </c>
      <c r="D4" s="320">
        <f t="shared" si="0"/>
        <v>8.7632104671150401E-2</v>
      </c>
      <c r="E4" s="320">
        <f t="shared" si="1"/>
        <v>0.17514267783791701</v>
      </c>
      <c r="F4" s="130"/>
      <c r="G4" s="130"/>
    </row>
    <row r="5" spans="1:13" ht="14.25" customHeight="1" x14ac:dyDescent="0.3">
      <c r="A5" s="319" t="s">
        <v>486</v>
      </c>
      <c r="B5" s="320">
        <v>8748.75</v>
      </c>
      <c r="C5" s="320">
        <v>450.76998901367199</v>
      </c>
      <c r="D5" s="320">
        <f t="shared" si="0"/>
        <v>-4.9419024075071901E-3</v>
      </c>
      <c r="E5" s="320">
        <f t="shared" si="1"/>
        <v>-4.4209334462876698E-2</v>
      </c>
      <c r="F5" s="130"/>
      <c r="G5" s="130"/>
      <c r="H5" s="169" t="s">
        <v>487</v>
      </c>
      <c r="I5" s="170"/>
    </row>
    <row r="6" spans="1:13" ht="14.25" customHeight="1" x14ac:dyDescent="0.3">
      <c r="A6" s="319" t="s">
        <v>488</v>
      </c>
      <c r="B6" s="320">
        <v>9111.900390625</v>
      </c>
      <c r="C6" s="320">
        <v>448.39001464843801</v>
      </c>
      <c r="D6" s="320">
        <f t="shared" si="0"/>
        <v>4.15088316188027E-2</v>
      </c>
      <c r="E6" s="320">
        <f t="shared" si="1"/>
        <v>-5.27979773108141E-3</v>
      </c>
      <c r="F6" s="130"/>
      <c r="G6" s="130"/>
      <c r="H6" t="s">
        <v>489</v>
      </c>
      <c r="I6">
        <v>0.48608647662365601</v>
      </c>
    </row>
    <row r="7" spans="1:13" ht="14.25" customHeight="1" x14ac:dyDescent="0.3">
      <c r="A7" s="319" t="s">
        <v>490</v>
      </c>
      <c r="B7" s="320">
        <v>8993.849609375</v>
      </c>
      <c r="C7" s="320">
        <v>432.260009765625</v>
      </c>
      <c r="D7" s="320">
        <f t="shared" si="0"/>
        <v>-1.29556707370791E-2</v>
      </c>
      <c r="E7" s="320">
        <f t="shared" si="1"/>
        <v>-3.59731580897487E-2</v>
      </c>
      <c r="F7" s="130"/>
      <c r="G7" s="130"/>
      <c r="H7" t="s">
        <v>491</v>
      </c>
      <c r="I7">
        <v>0.23628006275640001</v>
      </c>
    </row>
    <row r="8" spans="1:13" ht="14.25" customHeight="1" x14ac:dyDescent="0.3">
      <c r="A8" s="319" t="s">
        <v>492</v>
      </c>
      <c r="B8" s="320">
        <v>8925.2998046875</v>
      </c>
      <c r="C8" s="320">
        <v>472.39001464843801</v>
      </c>
      <c r="D8" s="320">
        <f t="shared" si="0"/>
        <v>-7.6218535626885603E-3</v>
      </c>
      <c r="E8" s="320">
        <f t="shared" si="1"/>
        <v>9.2837653209168799E-2</v>
      </c>
      <c r="F8" s="130"/>
      <c r="G8" s="130"/>
      <c r="H8" t="s">
        <v>493</v>
      </c>
      <c r="I8">
        <v>0.23577761542926601</v>
      </c>
    </row>
    <row r="9" spans="1:13" ht="14.25" customHeight="1" x14ac:dyDescent="0.3">
      <c r="A9" s="319" t="s">
        <v>494</v>
      </c>
      <c r="B9" s="320">
        <v>8992.7998046875</v>
      </c>
      <c r="C9" s="320">
        <v>469.69000244140602</v>
      </c>
      <c r="D9" s="320">
        <f t="shared" si="0"/>
        <v>7.5627711647904003E-3</v>
      </c>
      <c r="E9" s="320">
        <f t="shared" si="1"/>
        <v>-5.7156419977280699E-3</v>
      </c>
      <c r="F9" s="130"/>
      <c r="G9" s="130"/>
      <c r="H9" t="s">
        <v>495</v>
      </c>
      <c r="I9">
        <v>2.0246728560363199E-2</v>
      </c>
    </row>
    <row r="10" spans="1:13" ht="15" customHeight="1" x14ac:dyDescent="0.3">
      <c r="A10" s="319" t="s">
        <v>496</v>
      </c>
      <c r="B10" s="320">
        <v>9266.75</v>
      </c>
      <c r="C10" s="320">
        <v>497.30999755859398</v>
      </c>
      <c r="D10" s="320">
        <f t="shared" si="0"/>
        <v>3.04632818768748E-2</v>
      </c>
      <c r="E10" s="320">
        <f t="shared" si="1"/>
        <v>5.8804732852778901E-2</v>
      </c>
      <c r="F10" s="130"/>
      <c r="G10" s="130"/>
      <c r="H10" s="99" t="s">
        <v>497</v>
      </c>
      <c r="I10" s="99">
        <v>1522</v>
      </c>
    </row>
    <row r="11" spans="1:13" ht="14.25" customHeight="1" x14ac:dyDescent="0.3">
      <c r="A11" s="319" t="s">
        <v>498</v>
      </c>
      <c r="B11" s="320">
        <v>9261.849609375</v>
      </c>
      <c r="C11" s="320">
        <v>488.97000122070301</v>
      </c>
      <c r="D11" s="320">
        <f t="shared" si="0"/>
        <v>-5.2881437666927504E-4</v>
      </c>
      <c r="E11" s="320">
        <f t="shared" si="1"/>
        <v>-1.6770216522559101E-2</v>
      </c>
      <c r="F11" s="130"/>
      <c r="G11" s="130"/>
    </row>
    <row r="12" spans="1:13" ht="15" customHeight="1" x14ac:dyDescent="0.3">
      <c r="A12" s="319" t="s">
        <v>499</v>
      </c>
      <c r="B12" s="320">
        <v>8981.4501953125</v>
      </c>
      <c r="C12" s="320">
        <v>477.42999267578102</v>
      </c>
      <c r="D12" s="320">
        <f t="shared" si="0"/>
        <v>-3.0274667144095602E-2</v>
      </c>
      <c r="E12" s="320">
        <f t="shared" si="1"/>
        <v>-2.36006473119263E-2</v>
      </c>
      <c r="F12" s="130"/>
      <c r="G12" s="130"/>
      <c r="H12" t="s">
        <v>500</v>
      </c>
    </row>
    <row r="13" spans="1:13" ht="14.25" customHeight="1" x14ac:dyDescent="0.3">
      <c r="A13" s="319" t="s">
        <v>501</v>
      </c>
      <c r="B13" s="320">
        <v>9187.2998046875</v>
      </c>
      <c r="C13" s="320">
        <v>499.32998657226602</v>
      </c>
      <c r="D13" s="320">
        <f t="shared" si="0"/>
        <v>2.2919417788725801E-2</v>
      </c>
      <c r="E13" s="320">
        <f t="shared" si="1"/>
        <v>4.58705867508351E-2</v>
      </c>
      <c r="F13" s="130"/>
      <c r="G13" s="130"/>
      <c r="H13" s="98"/>
      <c r="I13" s="98" t="s">
        <v>502</v>
      </c>
      <c r="J13" s="98" t="s">
        <v>503</v>
      </c>
      <c r="K13" s="98" t="s">
        <v>504</v>
      </c>
      <c r="L13" s="98" t="s">
        <v>505</v>
      </c>
      <c r="M13" s="98" t="s">
        <v>506</v>
      </c>
    </row>
    <row r="14" spans="1:13" ht="14.25" customHeight="1" x14ac:dyDescent="0.3">
      <c r="A14" s="319" t="s">
        <v>507</v>
      </c>
      <c r="B14" s="320">
        <v>9313.900390625</v>
      </c>
      <c r="C14" s="320">
        <v>492.57000732421898</v>
      </c>
      <c r="D14" s="320">
        <f t="shared" si="0"/>
        <v>1.3779955877014799E-2</v>
      </c>
      <c r="E14" s="320">
        <f t="shared" si="1"/>
        <v>-1.3538099913550299E-2</v>
      </c>
      <c r="F14" s="130"/>
      <c r="G14" s="130"/>
      <c r="H14" t="s">
        <v>508</v>
      </c>
      <c r="I14">
        <v>1</v>
      </c>
      <c r="J14">
        <v>0.19277302317200001</v>
      </c>
      <c r="K14">
        <v>0.19277302317200001</v>
      </c>
      <c r="L14">
        <v>470.25837335862599</v>
      </c>
      <c r="M14">
        <v>4.5004222031903201E-91</v>
      </c>
    </row>
    <row r="15" spans="1:13" ht="14.25" customHeight="1" x14ac:dyDescent="0.3">
      <c r="A15" s="319" t="s">
        <v>509</v>
      </c>
      <c r="B15" s="320">
        <v>9154.400390625</v>
      </c>
      <c r="C15" s="320">
        <v>465.42001342773398</v>
      </c>
      <c r="D15" s="320">
        <f t="shared" si="0"/>
        <v>-1.7124941572334899E-2</v>
      </c>
      <c r="E15" s="320">
        <f t="shared" si="1"/>
        <v>-5.5119056160101002E-2</v>
      </c>
      <c r="F15" s="130"/>
      <c r="G15" s="130"/>
      <c r="H15" t="s">
        <v>510</v>
      </c>
      <c r="I15">
        <v>1520</v>
      </c>
      <c r="J15">
        <v>0.62309362644348198</v>
      </c>
      <c r="K15">
        <v>4.0993001739702802E-4</v>
      </c>
    </row>
    <row r="16" spans="1:13" ht="15" customHeight="1" x14ac:dyDescent="0.3">
      <c r="A16" s="319" t="s">
        <v>511</v>
      </c>
      <c r="B16" s="320">
        <v>9282.2998046875</v>
      </c>
      <c r="C16" s="320">
        <v>464.54998779296898</v>
      </c>
      <c r="D16" s="320">
        <f t="shared" si="0"/>
        <v>1.3971358975458601E-2</v>
      </c>
      <c r="E16" s="320">
        <f t="shared" si="1"/>
        <v>-1.8693343854240801E-3</v>
      </c>
      <c r="F16" s="130"/>
      <c r="G16" s="130"/>
      <c r="H16" s="99" t="s">
        <v>127</v>
      </c>
      <c r="I16" s="99">
        <v>1521</v>
      </c>
      <c r="J16" s="99">
        <v>0.81586664961548205</v>
      </c>
      <c r="K16" s="99"/>
      <c r="L16" s="99"/>
      <c r="M16" s="99"/>
    </row>
    <row r="17" spans="1:16" ht="15" customHeight="1" x14ac:dyDescent="0.3">
      <c r="A17" s="319" t="s">
        <v>512</v>
      </c>
      <c r="B17" s="320">
        <v>9380.900390625</v>
      </c>
      <c r="C17" s="320">
        <v>478.45001220703102</v>
      </c>
      <c r="D17" s="320">
        <f t="shared" si="0"/>
        <v>1.0622430648890201E-2</v>
      </c>
      <c r="E17" s="320">
        <f t="shared" si="1"/>
        <v>2.99214826806899E-2</v>
      </c>
      <c r="F17" s="130"/>
      <c r="G17" s="130"/>
    </row>
    <row r="18" spans="1:16" ht="14.25" customHeight="1" x14ac:dyDescent="0.3">
      <c r="A18" s="319" t="s">
        <v>513</v>
      </c>
      <c r="B18" s="320">
        <v>9553.349609375</v>
      </c>
      <c r="C18" s="320">
        <v>486.95001220703102</v>
      </c>
      <c r="D18" s="320">
        <f t="shared" si="0"/>
        <v>1.8383013524196499E-2</v>
      </c>
      <c r="E18" s="320">
        <f t="shared" si="1"/>
        <v>1.7765701291950101E-2</v>
      </c>
      <c r="F18" s="130"/>
      <c r="G18" s="130"/>
      <c r="H18" s="98"/>
      <c r="I18" s="98" t="s">
        <v>514</v>
      </c>
      <c r="J18" s="98" t="s">
        <v>495</v>
      </c>
      <c r="K18" s="98" t="s">
        <v>515</v>
      </c>
      <c r="L18" s="98" t="s">
        <v>516</v>
      </c>
      <c r="M18" s="98" t="s">
        <v>517</v>
      </c>
      <c r="N18" s="98" t="s">
        <v>518</v>
      </c>
      <c r="O18" s="98" t="s">
        <v>519</v>
      </c>
      <c r="P18" s="98" t="s">
        <v>520</v>
      </c>
    </row>
    <row r="19" spans="1:16" ht="14.25" customHeight="1" x14ac:dyDescent="0.3">
      <c r="A19" s="319" t="s">
        <v>521</v>
      </c>
      <c r="B19" s="320">
        <v>9859.900390625</v>
      </c>
      <c r="C19" s="320">
        <v>509.51998901367199</v>
      </c>
      <c r="D19" s="320">
        <f t="shared" si="0"/>
        <v>3.20883034521392E-2</v>
      </c>
      <c r="E19" s="320">
        <f t="shared" si="1"/>
        <v>4.63496791063744E-2</v>
      </c>
      <c r="F19" s="130"/>
      <c r="G19" s="130"/>
      <c r="H19" t="s">
        <v>522</v>
      </c>
      <c r="I19">
        <v>2.9906337503315098E-5</v>
      </c>
      <c r="J19">
        <v>5.2043249326136701E-4</v>
      </c>
      <c r="K19">
        <v>5.7464393346969303E-2</v>
      </c>
      <c r="L19">
        <v>0.95418282211914296</v>
      </c>
      <c r="M19">
        <v>-9.9093548330607103E-4</v>
      </c>
      <c r="N19">
        <v>1.0507481583127E-3</v>
      </c>
      <c r="O19">
        <v>-9.9093548330607103E-4</v>
      </c>
      <c r="P19">
        <v>1.0507481583127E-3</v>
      </c>
    </row>
    <row r="20" spans="1:16" ht="15" customHeight="1" x14ac:dyDescent="0.3">
      <c r="A20" s="319" t="s">
        <v>523</v>
      </c>
      <c r="B20" s="320">
        <v>9293.5</v>
      </c>
      <c r="C20" s="320">
        <v>500.14999389648398</v>
      </c>
      <c r="D20" s="320">
        <f t="shared" si="0"/>
        <v>-5.7444839013134998E-2</v>
      </c>
      <c r="E20" s="320">
        <f t="shared" si="1"/>
        <v>-1.8389847933790501E-2</v>
      </c>
      <c r="F20" s="130"/>
      <c r="G20" s="130"/>
      <c r="H20" s="99" t="s">
        <v>524</v>
      </c>
      <c r="I20" s="99">
        <v>1.1473466900856699</v>
      </c>
      <c r="J20" s="99">
        <v>5.2908615658531603E-2</v>
      </c>
      <c r="K20" s="99">
        <v>21.685441507117901</v>
      </c>
      <c r="L20" s="99">
        <v>4.5004222031828898E-91</v>
      </c>
      <c r="M20" s="99">
        <v>1.04356506952065</v>
      </c>
      <c r="N20" s="99">
        <v>1.2511283106506901</v>
      </c>
      <c r="O20" s="99">
        <v>1.04356506952065</v>
      </c>
      <c r="P20" s="99">
        <v>1.2511283106506901</v>
      </c>
    </row>
    <row r="21" spans="1:16" ht="14.25" customHeight="1" x14ac:dyDescent="0.3">
      <c r="A21" s="319" t="s">
        <v>525</v>
      </c>
      <c r="B21" s="320">
        <v>9205.599609375</v>
      </c>
      <c r="C21" s="320">
        <v>518.30999755859398</v>
      </c>
      <c r="D21" s="320">
        <f t="shared" si="0"/>
        <v>-9.4582655216011204E-3</v>
      </c>
      <c r="E21" s="320">
        <f t="shared" si="1"/>
        <v>3.6309115032936601E-2</v>
      </c>
      <c r="F21" s="130"/>
      <c r="G21" s="130"/>
    </row>
    <row r="22" spans="1:16" ht="14.25" customHeight="1" x14ac:dyDescent="0.3">
      <c r="A22" s="319" t="s">
        <v>526</v>
      </c>
      <c r="B22" s="320">
        <v>9270.900390625</v>
      </c>
      <c r="C22" s="320">
        <v>529.36999511718795</v>
      </c>
      <c r="D22" s="320">
        <f t="shared" si="0"/>
        <v>7.0935934671216396E-3</v>
      </c>
      <c r="E22" s="320">
        <f t="shared" si="1"/>
        <v>2.13385765481857E-2</v>
      </c>
      <c r="F22" s="130"/>
      <c r="G22" s="130"/>
      <c r="H22" t="s">
        <v>527</v>
      </c>
      <c r="I22" t="s">
        <v>528</v>
      </c>
    </row>
    <row r="23" spans="1:16" ht="14.25" customHeight="1" x14ac:dyDescent="0.3">
      <c r="A23" s="319" t="s">
        <v>529</v>
      </c>
      <c r="B23" s="320">
        <v>9199.0498046875</v>
      </c>
      <c r="C23" s="320">
        <v>518.65997314453102</v>
      </c>
      <c r="D23" s="320">
        <f t="shared" si="0"/>
        <v>-7.7501195040513404E-3</v>
      </c>
      <c r="E23" s="320">
        <f t="shared" si="1"/>
        <v>-2.0231637741927599E-2</v>
      </c>
      <c r="F23" s="130"/>
      <c r="G23" s="130"/>
      <c r="H23" t="s">
        <v>530</v>
      </c>
      <c r="I23" t="s">
        <v>531</v>
      </c>
    </row>
    <row r="24" spans="1:16" ht="14.25" customHeight="1" x14ac:dyDescent="0.3">
      <c r="A24" s="319" t="s">
        <v>532</v>
      </c>
      <c r="B24" s="320">
        <v>9251.5</v>
      </c>
      <c r="C24" s="320">
        <v>539.59002685546898</v>
      </c>
      <c r="D24" s="320">
        <f t="shared" si="0"/>
        <v>5.7016970693835496E-3</v>
      </c>
      <c r="E24" s="320">
        <f t="shared" si="1"/>
        <v>4.0354094772425297E-2</v>
      </c>
      <c r="F24" s="130"/>
      <c r="G24" s="130"/>
      <c r="H24" t="s">
        <v>533</v>
      </c>
      <c r="I24" s="5">
        <f>F3/1+(1-25%)*('consolidated balance sheet'!F14+'consolidated balance sheet'!F20)/130327.3</f>
        <v>1.1473491646248</v>
      </c>
    </row>
    <row r="25" spans="1:16" ht="14.25" customHeight="1" x14ac:dyDescent="0.3">
      <c r="A25" s="319" t="s">
        <v>534</v>
      </c>
      <c r="B25" s="320">
        <v>9239.2001953125</v>
      </c>
      <c r="C25" s="320">
        <v>514.19000244140602</v>
      </c>
      <c r="D25" s="320">
        <f t="shared" si="0"/>
        <v>-1.3294930214019301E-3</v>
      </c>
      <c r="E25" s="320">
        <f t="shared" si="1"/>
        <v>-4.7072820381957203E-2</v>
      </c>
      <c r="F25" s="130"/>
      <c r="G25" s="130"/>
      <c r="I25">
        <f>I24*(1+(1-25%)*('consolidated balance sheet'!F14+'consolidated balance sheet'!F20)/'consolidated balance sheet'!F11)</f>
        <v>1.14735892430715</v>
      </c>
    </row>
    <row r="26" spans="1:16" ht="14.25" customHeight="1" x14ac:dyDescent="0.3">
      <c r="A26" s="319" t="s">
        <v>535</v>
      </c>
      <c r="B26" s="320">
        <v>9196.5498046875</v>
      </c>
      <c r="C26" s="320">
        <v>505.08999633789102</v>
      </c>
      <c r="D26" s="320">
        <f t="shared" si="0"/>
        <v>-4.6162427183511698E-3</v>
      </c>
      <c r="E26" s="320">
        <f t="shared" si="1"/>
        <v>-1.7697749976288198E-2</v>
      </c>
      <c r="F26" s="130"/>
      <c r="G26" s="130"/>
    </row>
    <row r="27" spans="1:16" ht="14.25" customHeight="1" x14ac:dyDescent="0.3">
      <c r="A27" s="319" t="s">
        <v>536</v>
      </c>
      <c r="B27" s="320">
        <v>9383.5498046875</v>
      </c>
      <c r="C27" s="320">
        <v>523.22998046875</v>
      </c>
      <c r="D27" s="320">
        <f t="shared" si="0"/>
        <v>2.0333712530397601E-2</v>
      </c>
      <c r="E27" s="320">
        <f t="shared" si="1"/>
        <v>3.5914360336536597E-2</v>
      </c>
      <c r="F27" s="130"/>
      <c r="G27" s="130"/>
    </row>
    <row r="28" spans="1:16" ht="14.25" customHeight="1" x14ac:dyDescent="0.3">
      <c r="A28" s="319" t="s">
        <v>537</v>
      </c>
      <c r="B28" s="320">
        <v>9142.75</v>
      </c>
      <c r="C28" s="320">
        <v>539.15997314453102</v>
      </c>
      <c r="D28" s="320">
        <f t="shared" si="0"/>
        <v>-2.5661909373274699E-2</v>
      </c>
      <c r="E28" s="320">
        <f t="shared" si="1"/>
        <v>3.0445489116487E-2</v>
      </c>
      <c r="F28" s="130"/>
      <c r="G28" s="130"/>
    </row>
    <row r="29" spans="1:16" ht="14.25" customHeight="1" x14ac:dyDescent="0.3">
      <c r="A29" s="319" t="s">
        <v>538</v>
      </c>
      <c r="B29" s="320">
        <v>9136.849609375</v>
      </c>
      <c r="C29" s="320">
        <v>518.33001708984398</v>
      </c>
      <c r="D29" s="320">
        <f t="shared" si="0"/>
        <v>-6.4536278745454105E-4</v>
      </c>
      <c r="E29" s="320">
        <f t="shared" si="1"/>
        <v>-3.8634092091816397E-2</v>
      </c>
      <c r="F29" s="130"/>
      <c r="G29" s="130"/>
    </row>
    <row r="30" spans="1:16" ht="14.25" customHeight="1" x14ac:dyDescent="0.3">
      <c r="A30" s="319" t="s">
        <v>539</v>
      </c>
      <c r="B30" s="320">
        <v>8823.25</v>
      </c>
      <c r="C30" s="320">
        <v>480.77999877929699</v>
      </c>
      <c r="D30" s="320">
        <f t="shared" si="0"/>
        <v>-3.4322509703259903E-2</v>
      </c>
      <c r="E30" s="320">
        <f t="shared" si="1"/>
        <v>-7.2444228720094206E-2</v>
      </c>
      <c r="F30" s="130"/>
      <c r="G30" s="130"/>
    </row>
    <row r="31" spans="1:16" ht="14.25" customHeight="1" x14ac:dyDescent="0.3">
      <c r="A31" s="319" t="s">
        <v>540</v>
      </c>
      <c r="B31" s="320">
        <v>8879.099609375</v>
      </c>
      <c r="C31" s="320">
        <v>492.51998901367199</v>
      </c>
      <c r="D31" s="320">
        <f t="shared" si="0"/>
        <v>6.32982284022327E-3</v>
      </c>
      <c r="E31" s="320">
        <f t="shared" si="1"/>
        <v>2.44186327721263E-2</v>
      </c>
      <c r="F31" s="130"/>
      <c r="G31" s="130"/>
    </row>
    <row r="32" spans="1:16" ht="14.25" customHeight="1" x14ac:dyDescent="0.3">
      <c r="A32" s="319" t="s">
        <v>541</v>
      </c>
      <c r="B32" s="320">
        <v>9066.5498046875</v>
      </c>
      <c r="C32" s="320">
        <v>479.41000366210898</v>
      </c>
      <c r="D32" s="320">
        <f t="shared" si="0"/>
        <v>2.1111396826158001E-2</v>
      </c>
      <c r="E32" s="320">
        <f t="shared" si="1"/>
        <v>-2.6618179249571699E-2</v>
      </c>
      <c r="F32" s="130"/>
      <c r="G32" s="130"/>
    </row>
    <row r="33" spans="1:7" ht="14.25" customHeight="1" x14ac:dyDescent="0.3">
      <c r="A33" s="319" t="s">
        <v>542</v>
      </c>
      <c r="B33" s="320">
        <v>9106.25</v>
      </c>
      <c r="C33" s="320">
        <v>491.20999145507801</v>
      </c>
      <c r="D33" s="320">
        <f t="shared" si="0"/>
        <v>4.3787544510012601E-3</v>
      </c>
      <c r="E33" s="320">
        <f t="shared" si="1"/>
        <v>2.4613561884048101E-2</v>
      </c>
      <c r="F33" s="130"/>
      <c r="G33" s="130"/>
    </row>
    <row r="34" spans="1:7" ht="14.25" customHeight="1" x14ac:dyDescent="0.3">
      <c r="A34" s="319" t="s">
        <v>543</v>
      </c>
      <c r="B34" s="320">
        <v>9039.25</v>
      </c>
      <c r="C34" s="320">
        <v>484.66000366210898</v>
      </c>
      <c r="D34" s="320">
        <f t="shared" si="0"/>
        <v>-7.3575840768702796E-3</v>
      </c>
      <c r="E34" s="320">
        <f t="shared" si="1"/>
        <v>-1.3334394468578399E-2</v>
      </c>
      <c r="F34" s="130"/>
      <c r="G34" s="130"/>
    </row>
    <row r="35" spans="1:7" ht="14.25" customHeight="1" x14ac:dyDescent="0.3">
      <c r="A35" s="319" t="s">
        <v>544</v>
      </c>
      <c r="B35" s="320">
        <v>9029.0498046875</v>
      </c>
      <c r="C35" s="320">
        <v>479.01998901367199</v>
      </c>
      <c r="D35" s="320">
        <f t="shared" si="0"/>
        <v>-1.12843380949747E-3</v>
      </c>
      <c r="E35" s="320">
        <f t="shared" si="1"/>
        <v>-1.1637054029259301E-2</v>
      </c>
      <c r="F35" s="130"/>
      <c r="G35" s="130"/>
    </row>
    <row r="36" spans="1:7" ht="14.25" customHeight="1" x14ac:dyDescent="0.3">
      <c r="A36" s="319" t="s">
        <v>545</v>
      </c>
      <c r="B36" s="320">
        <v>9314.9501953125</v>
      </c>
      <c r="C36" s="320">
        <v>486.38000488281301</v>
      </c>
      <c r="D36" s="320">
        <f t="shared" si="0"/>
        <v>3.1664504771761498E-2</v>
      </c>
      <c r="E36" s="320">
        <f t="shared" si="1"/>
        <v>1.5364736415897201E-2</v>
      </c>
      <c r="F36" s="130"/>
      <c r="G36" s="130"/>
    </row>
    <row r="37" spans="1:7" ht="14.25" customHeight="1" x14ac:dyDescent="0.3">
      <c r="A37" s="319" t="s">
        <v>546</v>
      </c>
      <c r="B37" s="320">
        <v>9490.099609375</v>
      </c>
      <c r="C37" s="320">
        <v>514.17999267578102</v>
      </c>
      <c r="D37" s="320">
        <f t="shared" si="0"/>
        <v>1.8803043536468899E-2</v>
      </c>
      <c r="E37" s="320">
        <f t="shared" si="1"/>
        <v>5.7156929795389201E-2</v>
      </c>
      <c r="F37" s="130"/>
      <c r="G37" s="130"/>
    </row>
    <row r="38" spans="1:7" ht="14.25" customHeight="1" x14ac:dyDescent="0.3">
      <c r="A38" s="319" t="s">
        <v>547</v>
      </c>
      <c r="B38" s="320">
        <v>9580.2998046875</v>
      </c>
      <c r="C38" s="320">
        <v>536.760009765625</v>
      </c>
      <c r="D38" s="320">
        <f t="shared" si="0"/>
        <v>9.5046626511057705E-3</v>
      </c>
      <c r="E38" s="320">
        <f t="shared" si="1"/>
        <v>4.39146163045709E-2</v>
      </c>
      <c r="F38" s="130"/>
      <c r="G38" s="130"/>
    </row>
    <row r="39" spans="1:7" ht="14.25" customHeight="1" x14ac:dyDescent="0.3">
      <c r="A39" s="319" t="s">
        <v>548</v>
      </c>
      <c r="B39" s="320">
        <v>9826.150390625</v>
      </c>
      <c r="C39" s="320">
        <v>536.30999755859398</v>
      </c>
      <c r="D39" s="320">
        <f t="shared" si="0"/>
        <v>2.5662097319460599E-2</v>
      </c>
      <c r="E39" s="320">
        <f t="shared" si="1"/>
        <v>-8.3838624123194197E-4</v>
      </c>
      <c r="F39" s="130"/>
      <c r="G39" s="130"/>
    </row>
    <row r="40" spans="1:7" ht="14.25" customHeight="1" x14ac:dyDescent="0.3">
      <c r="A40" s="319" t="s">
        <v>549</v>
      </c>
      <c r="B40" s="320">
        <v>9979.099609375</v>
      </c>
      <c r="C40" s="320">
        <v>520.510009765625</v>
      </c>
      <c r="D40" s="320">
        <f t="shared" si="0"/>
        <v>1.55655279707429E-2</v>
      </c>
      <c r="E40" s="320">
        <f t="shared" si="1"/>
        <v>-2.94605505489253E-2</v>
      </c>
      <c r="F40" s="130"/>
      <c r="G40" s="130"/>
    </row>
    <row r="41" spans="1:7" ht="14.25" customHeight="1" x14ac:dyDescent="0.3">
      <c r="A41" s="319" t="s">
        <v>550</v>
      </c>
      <c r="B41" s="320">
        <v>10061.5498046875</v>
      </c>
      <c r="C41" s="320">
        <v>514.19000244140602</v>
      </c>
      <c r="D41" s="320">
        <f t="shared" si="0"/>
        <v>8.2622880359908505E-3</v>
      </c>
      <c r="E41" s="320">
        <f t="shared" si="1"/>
        <v>-1.2141951558366299E-2</v>
      </c>
      <c r="F41" s="130"/>
      <c r="G41" s="130"/>
    </row>
    <row r="42" spans="1:7" ht="14.25" customHeight="1" x14ac:dyDescent="0.3">
      <c r="A42" s="319" t="s">
        <v>551</v>
      </c>
      <c r="B42" s="320">
        <v>10029.099609375</v>
      </c>
      <c r="C42" s="320">
        <v>502.79998779296898</v>
      </c>
      <c r="D42" s="320">
        <f t="shared" si="0"/>
        <v>-3.2251686810099598E-3</v>
      </c>
      <c r="E42" s="320">
        <f t="shared" si="1"/>
        <v>-2.21513732168198E-2</v>
      </c>
      <c r="F42" s="130"/>
      <c r="G42" s="130"/>
    </row>
    <row r="43" spans="1:7" ht="14.25" customHeight="1" x14ac:dyDescent="0.3">
      <c r="A43" s="319" t="s">
        <v>552</v>
      </c>
      <c r="B43" s="320">
        <v>10142.150390625</v>
      </c>
      <c r="C43" s="320">
        <v>500.01998901367199</v>
      </c>
      <c r="D43" s="320">
        <f t="shared" si="0"/>
        <v>1.1272276241460599E-2</v>
      </c>
      <c r="E43" s="320">
        <f t="shared" si="1"/>
        <v>-5.5290350970367804E-3</v>
      </c>
      <c r="F43" s="130"/>
      <c r="G43" s="130"/>
    </row>
    <row r="44" spans="1:7" ht="14.25" customHeight="1" x14ac:dyDescent="0.3">
      <c r="A44" s="319" t="s">
        <v>553</v>
      </c>
      <c r="B44" s="320">
        <v>10167.4501953125</v>
      </c>
      <c r="C44" s="320">
        <v>532.59002685546898</v>
      </c>
      <c r="D44" s="320">
        <f t="shared" si="0"/>
        <v>2.4945207587225402E-3</v>
      </c>
      <c r="E44" s="320">
        <f t="shared" si="1"/>
        <v>6.5137471615972595E-2</v>
      </c>
      <c r="F44" s="130"/>
      <c r="G44" s="130"/>
    </row>
    <row r="45" spans="1:7" ht="14.25" customHeight="1" x14ac:dyDescent="0.3">
      <c r="A45" s="319" t="s">
        <v>554</v>
      </c>
      <c r="B45" s="320">
        <v>10046.650390625</v>
      </c>
      <c r="C45" s="320">
        <v>540.63000488281295</v>
      </c>
      <c r="D45" s="320">
        <f t="shared" si="0"/>
        <v>-1.18810323499979E-2</v>
      </c>
      <c r="E45" s="320">
        <f t="shared" si="1"/>
        <v>1.50959980884618E-2</v>
      </c>
      <c r="F45" s="130"/>
      <c r="G45" s="130"/>
    </row>
    <row r="46" spans="1:7" ht="14.25" customHeight="1" x14ac:dyDescent="0.3">
      <c r="A46" s="319" t="s">
        <v>555</v>
      </c>
      <c r="B46" s="320">
        <v>10116.150390625</v>
      </c>
      <c r="C46" s="320">
        <v>549.35998535156295</v>
      </c>
      <c r="D46" s="320">
        <f t="shared" si="0"/>
        <v>6.9177285262014996E-3</v>
      </c>
      <c r="E46" s="320">
        <f t="shared" si="1"/>
        <v>1.6147791261867401E-2</v>
      </c>
      <c r="F46" s="130"/>
      <c r="G46" s="130"/>
    </row>
    <row r="47" spans="1:7" ht="14.25" customHeight="1" x14ac:dyDescent="0.3">
      <c r="A47" s="319" t="s">
        <v>556</v>
      </c>
      <c r="B47" s="320">
        <v>9902</v>
      </c>
      <c r="C47" s="320">
        <v>548.02001953125</v>
      </c>
      <c r="D47" s="320">
        <f t="shared" si="0"/>
        <v>-2.11691584600661E-2</v>
      </c>
      <c r="E47" s="320">
        <f t="shared" si="1"/>
        <v>-2.4391398282411201E-3</v>
      </c>
      <c r="F47" s="130"/>
      <c r="G47" s="130"/>
    </row>
    <row r="48" spans="1:7" ht="14.25" customHeight="1" x14ac:dyDescent="0.3">
      <c r="A48" s="319" t="s">
        <v>557</v>
      </c>
      <c r="B48" s="320">
        <v>9972.900390625</v>
      </c>
      <c r="C48" s="320">
        <v>564.09997558593795</v>
      </c>
      <c r="D48" s="320">
        <f t="shared" si="0"/>
        <v>7.1602091117956004E-3</v>
      </c>
      <c r="E48" s="320">
        <f t="shared" si="1"/>
        <v>2.9341913582722701E-2</v>
      </c>
      <c r="F48" s="130"/>
      <c r="G48" s="130"/>
    </row>
    <row r="49" spans="1:7" ht="14.25" customHeight="1" x14ac:dyDescent="0.3">
      <c r="A49" s="319" t="s">
        <v>558</v>
      </c>
      <c r="B49" s="320">
        <v>9813.7001953125</v>
      </c>
      <c r="C49" s="320">
        <v>557.27001953125</v>
      </c>
      <c r="D49" s="320">
        <f t="shared" si="0"/>
        <v>-1.5963279394844401E-2</v>
      </c>
      <c r="E49" s="320">
        <f t="shared" si="1"/>
        <v>-1.2107704928711599E-2</v>
      </c>
      <c r="F49" s="130"/>
      <c r="G49" s="130"/>
    </row>
    <row r="50" spans="1:7" ht="14.25" customHeight="1" x14ac:dyDescent="0.3">
      <c r="A50" s="319" t="s">
        <v>559</v>
      </c>
      <c r="B50" s="320">
        <v>9914</v>
      </c>
      <c r="C50" s="320">
        <v>562.69000244140602</v>
      </c>
      <c r="D50" s="320">
        <f t="shared" si="0"/>
        <v>1.0220386061458E-2</v>
      </c>
      <c r="E50" s="320">
        <f t="shared" si="1"/>
        <v>9.7259546004557391E-3</v>
      </c>
      <c r="F50" s="130"/>
      <c r="G50" s="130"/>
    </row>
    <row r="51" spans="1:7" ht="14.25" customHeight="1" x14ac:dyDescent="0.3">
      <c r="A51" s="319" t="s">
        <v>560</v>
      </c>
      <c r="B51" s="320">
        <v>9881.150390625</v>
      </c>
      <c r="C51" s="320">
        <v>559.780029296875</v>
      </c>
      <c r="D51" s="320">
        <f t="shared" si="0"/>
        <v>-3.3134566648174301E-3</v>
      </c>
      <c r="E51" s="320">
        <f t="shared" si="1"/>
        <v>-5.1715387369691999E-3</v>
      </c>
      <c r="F51" s="130"/>
      <c r="G51" s="130"/>
    </row>
    <row r="52" spans="1:7" ht="14.25" customHeight="1" x14ac:dyDescent="0.3">
      <c r="A52" s="319" t="s">
        <v>561</v>
      </c>
      <c r="B52" s="320">
        <v>10091.650390625</v>
      </c>
      <c r="C52" s="320">
        <v>551.780029296875</v>
      </c>
      <c r="D52" s="320">
        <f t="shared" si="0"/>
        <v>2.13031875518985E-2</v>
      </c>
      <c r="E52" s="320">
        <f t="shared" si="1"/>
        <v>-1.42913279883325E-2</v>
      </c>
      <c r="F52" s="130"/>
      <c r="G52" s="130"/>
    </row>
    <row r="53" spans="1:7" ht="14.25" customHeight="1" x14ac:dyDescent="0.3">
      <c r="A53" s="319" t="s">
        <v>562</v>
      </c>
      <c r="B53" s="320">
        <v>10244.400390625</v>
      </c>
      <c r="C53" s="320">
        <v>535.59002685546898</v>
      </c>
      <c r="D53" s="320">
        <f t="shared" si="0"/>
        <v>1.51362754442923E-2</v>
      </c>
      <c r="E53" s="320">
        <f t="shared" si="1"/>
        <v>-2.9341407049538699E-2</v>
      </c>
      <c r="F53" s="130"/>
      <c r="G53" s="130"/>
    </row>
    <row r="54" spans="1:7" ht="14.25" customHeight="1" x14ac:dyDescent="0.3">
      <c r="A54" s="319" t="s">
        <v>563</v>
      </c>
      <c r="B54" s="320">
        <v>10311.2001953125</v>
      </c>
      <c r="C54" s="320">
        <v>553.84997558593795</v>
      </c>
      <c r="D54" s="320">
        <f t="shared" si="0"/>
        <v>6.5206163504338199E-3</v>
      </c>
      <c r="E54" s="320">
        <f t="shared" si="1"/>
        <v>3.4093145530875398E-2</v>
      </c>
      <c r="F54" s="130"/>
      <c r="G54" s="130"/>
    </row>
    <row r="55" spans="1:7" ht="14.25" customHeight="1" x14ac:dyDescent="0.3">
      <c r="A55" s="319" t="s">
        <v>564</v>
      </c>
      <c r="B55" s="320">
        <v>10471</v>
      </c>
      <c r="C55" s="320">
        <v>590.94000244140602</v>
      </c>
      <c r="D55" s="320">
        <f t="shared" si="0"/>
        <v>1.5497691991291701E-2</v>
      </c>
      <c r="E55" s="320">
        <f t="shared" si="1"/>
        <v>6.6967641943523004E-2</v>
      </c>
      <c r="F55" s="130"/>
      <c r="G55" s="130"/>
    </row>
    <row r="56" spans="1:7" ht="14.25" customHeight="1" x14ac:dyDescent="0.3">
      <c r="A56" s="319" t="s">
        <v>565</v>
      </c>
      <c r="B56" s="320">
        <v>10305.2998046875</v>
      </c>
      <c r="C56" s="320">
        <v>542.40997314453102</v>
      </c>
      <c r="D56" s="320">
        <f t="shared" si="0"/>
        <v>-1.58246772335498E-2</v>
      </c>
      <c r="E56" s="320">
        <f t="shared" si="1"/>
        <v>-8.2123445859779903E-2</v>
      </c>
      <c r="F56" s="130"/>
      <c r="G56" s="130"/>
    </row>
    <row r="57" spans="1:7" ht="14.25" customHeight="1" x14ac:dyDescent="0.3">
      <c r="A57" s="319" t="s">
        <v>566</v>
      </c>
      <c r="B57" s="320">
        <v>10288.900390625</v>
      </c>
      <c r="C57" s="320">
        <v>549.530029296875</v>
      </c>
      <c r="D57" s="320">
        <f t="shared" si="0"/>
        <v>-1.5913572989929401E-3</v>
      </c>
      <c r="E57" s="320">
        <f t="shared" si="1"/>
        <v>1.31267058219204E-2</v>
      </c>
      <c r="F57" s="130"/>
      <c r="G57" s="130"/>
    </row>
    <row r="58" spans="1:7" ht="14.25" customHeight="1" x14ac:dyDescent="0.3">
      <c r="A58" s="319" t="s">
        <v>567</v>
      </c>
      <c r="B58" s="320">
        <v>10383</v>
      </c>
      <c r="C58" s="320">
        <v>551.260009765625</v>
      </c>
      <c r="D58" s="320">
        <f t="shared" si="0"/>
        <v>9.1457401473865295E-3</v>
      </c>
      <c r="E58" s="320">
        <f t="shared" si="1"/>
        <v>3.1481090686955098E-3</v>
      </c>
      <c r="F58" s="130"/>
      <c r="G58" s="130"/>
    </row>
    <row r="59" spans="1:7" ht="14.25" customHeight="1" x14ac:dyDescent="0.3">
      <c r="A59" s="319" t="s">
        <v>568</v>
      </c>
      <c r="B59" s="320">
        <v>10312.400390625</v>
      </c>
      <c r="C59" s="320">
        <v>552.86999511718795</v>
      </c>
      <c r="D59" s="320">
        <f t="shared" si="0"/>
        <v>-6.7995386087835903E-3</v>
      </c>
      <c r="E59" s="320">
        <f t="shared" si="1"/>
        <v>2.9205553151723401E-3</v>
      </c>
      <c r="F59" s="130"/>
      <c r="G59" s="130"/>
    </row>
    <row r="60" spans="1:7" ht="14.25" customHeight="1" x14ac:dyDescent="0.3">
      <c r="A60" s="319" t="s">
        <v>569</v>
      </c>
      <c r="B60" s="320">
        <v>10302.099609375</v>
      </c>
      <c r="C60" s="320">
        <v>552.36999511718795</v>
      </c>
      <c r="D60" s="320">
        <f t="shared" si="0"/>
        <v>-9.9887328457149891E-4</v>
      </c>
      <c r="E60" s="320">
        <f t="shared" si="1"/>
        <v>-9.0437174094430402E-4</v>
      </c>
      <c r="F60" s="130"/>
      <c r="G60" s="130"/>
    </row>
    <row r="61" spans="1:7" ht="14.25" customHeight="1" x14ac:dyDescent="0.3">
      <c r="A61" s="319" t="s">
        <v>570</v>
      </c>
      <c r="B61" s="320">
        <v>10430.0498046875</v>
      </c>
      <c r="C61" s="320">
        <v>551.780029296875</v>
      </c>
      <c r="D61" s="320">
        <f t="shared" si="0"/>
        <v>1.24198173347173E-2</v>
      </c>
      <c r="E61" s="320">
        <f t="shared" si="1"/>
        <v>-1.0680627578038399E-3</v>
      </c>
      <c r="F61" s="130"/>
      <c r="G61" s="130"/>
    </row>
    <row r="62" spans="1:7" ht="14.25" customHeight="1" x14ac:dyDescent="0.3">
      <c r="A62" s="319" t="s">
        <v>571</v>
      </c>
      <c r="B62" s="320">
        <v>10551.7001953125</v>
      </c>
      <c r="C62" s="320">
        <v>557.90002441406295</v>
      </c>
      <c r="D62" s="320">
        <f t="shared" si="0"/>
        <v>1.1663452514898601E-2</v>
      </c>
      <c r="E62" s="320">
        <f t="shared" si="1"/>
        <v>1.10913675599796E-2</v>
      </c>
      <c r="F62" s="130"/>
      <c r="G62" s="130"/>
    </row>
    <row r="63" spans="1:7" ht="14.25" customHeight="1" x14ac:dyDescent="0.3">
      <c r="A63" s="319" t="s">
        <v>572</v>
      </c>
      <c r="B63" s="320">
        <v>10607.349609375</v>
      </c>
      <c r="C63" s="320">
        <v>553.780029296875</v>
      </c>
      <c r="D63" s="320">
        <f t="shared" si="0"/>
        <v>5.2739760448483703E-3</v>
      </c>
      <c r="E63" s="320">
        <f t="shared" si="1"/>
        <v>-7.3848269168208004E-3</v>
      </c>
      <c r="F63" s="130"/>
      <c r="G63" s="130"/>
    </row>
    <row r="64" spans="1:7" ht="14.25" customHeight="1" x14ac:dyDescent="0.3">
      <c r="A64" s="319" t="s">
        <v>573</v>
      </c>
      <c r="B64" s="320">
        <v>10763.650390625</v>
      </c>
      <c r="C64" s="320">
        <v>556.53997802734398</v>
      </c>
      <c r="D64" s="320">
        <f t="shared" si="0"/>
        <v>1.4735139974255001E-2</v>
      </c>
      <c r="E64" s="320">
        <f t="shared" si="1"/>
        <v>4.9838357912134097E-3</v>
      </c>
      <c r="F64" s="130"/>
      <c r="G64" s="130"/>
    </row>
    <row r="65" spans="1:7" ht="14.25" customHeight="1" x14ac:dyDescent="0.3">
      <c r="A65" s="319" t="s">
        <v>574</v>
      </c>
      <c r="B65" s="320">
        <v>10799.650390625</v>
      </c>
      <c r="C65" s="320">
        <v>582.61999511718795</v>
      </c>
      <c r="D65" s="320">
        <f t="shared" si="0"/>
        <v>3.3445902359812399E-3</v>
      </c>
      <c r="E65" s="320">
        <f t="shared" si="1"/>
        <v>4.6860994932088403E-2</v>
      </c>
      <c r="F65" s="130"/>
      <c r="G65" s="130"/>
    </row>
    <row r="66" spans="1:7" ht="14.25" customHeight="1" x14ac:dyDescent="0.3">
      <c r="A66" s="319" t="s">
        <v>575</v>
      </c>
      <c r="B66" s="320">
        <v>10705.75</v>
      </c>
      <c r="C66" s="320">
        <v>571.33001708984398</v>
      </c>
      <c r="D66" s="320">
        <f t="shared" si="0"/>
        <v>-8.6947620736420698E-3</v>
      </c>
      <c r="E66" s="320">
        <f t="shared" si="1"/>
        <v>-1.93779446671292E-2</v>
      </c>
      <c r="F66" s="130"/>
      <c r="G66" s="130"/>
    </row>
    <row r="67" spans="1:7" ht="14.25" customHeight="1" x14ac:dyDescent="0.3">
      <c r="A67" s="319" t="s">
        <v>576</v>
      </c>
      <c r="B67" s="320">
        <v>10813.4501953125</v>
      </c>
      <c r="C67" s="320">
        <v>572.510009765625</v>
      </c>
      <c r="D67" s="320">
        <f t="shared" ref="D67:D130" si="2">(B67-B66)/B66</f>
        <v>1.00600327219018E-2</v>
      </c>
      <c r="E67" s="320">
        <f t="shared" ref="E67:E130" si="3">(C67-C66)/C66</f>
        <v>2.0653433925833199E-3</v>
      </c>
      <c r="F67" s="130"/>
      <c r="G67" s="130"/>
    </row>
    <row r="68" spans="1:7" ht="14.25" customHeight="1" x14ac:dyDescent="0.3">
      <c r="A68" s="319" t="s">
        <v>577</v>
      </c>
      <c r="B68" s="320">
        <v>10768.0498046875</v>
      </c>
      <c r="C68" s="320">
        <v>574.47998046875</v>
      </c>
      <c r="D68" s="320">
        <f t="shared" si="2"/>
        <v>-4.1985110954393199E-3</v>
      </c>
      <c r="E68" s="320">
        <f t="shared" si="3"/>
        <v>3.4409366989608999E-3</v>
      </c>
      <c r="F68" s="130"/>
      <c r="G68" s="130"/>
    </row>
    <row r="69" spans="1:7" ht="14.25" customHeight="1" x14ac:dyDescent="0.3">
      <c r="A69" s="319" t="s">
        <v>578</v>
      </c>
      <c r="B69" s="320">
        <v>10802.7001953125</v>
      </c>
      <c r="C69" s="320">
        <v>566.84002685546898</v>
      </c>
      <c r="D69" s="320">
        <f t="shared" si="2"/>
        <v>3.21788914924188E-3</v>
      </c>
      <c r="E69" s="320">
        <f t="shared" si="3"/>
        <v>-1.3298903135053001E-2</v>
      </c>
      <c r="F69" s="130"/>
      <c r="G69" s="130"/>
    </row>
    <row r="70" spans="1:7" ht="14.25" customHeight="1" x14ac:dyDescent="0.3">
      <c r="A70" s="319" t="s">
        <v>579</v>
      </c>
      <c r="B70" s="320">
        <v>10607.349609375</v>
      </c>
      <c r="C70" s="320">
        <v>579.14001464843795</v>
      </c>
      <c r="D70" s="320">
        <f t="shared" si="2"/>
        <v>-1.8083496015400501E-2</v>
      </c>
      <c r="E70" s="320">
        <f t="shared" si="3"/>
        <v>2.16992223735555E-2</v>
      </c>
      <c r="F70" s="130"/>
      <c r="G70" s="130"/>
    </row>
    <row r="71" spans="1:7" ht="14.25" customHeight="1" x14ac:dyDescent="0.3">
      <c r="A71" s="319" t="s">
        <v>580</v>
      </c>
      <c r="B71" s="320">
        <v>10618.2001953125</v>
      </c>
      <c r="C71" s="320">
        <v>607.33001708984398</v>
      </c>
      <c r="D71" s="320">
        <f t="shared" si="2"/>
        <v>1.0229309240368601E-3</v>
      </c>
      <c r="E71" s="320">
        <f t="shared" si="3"/>
        <v>4.8675625459101701E-2</v>
      </c>
      <c r="F71" s="130"/>
      <c r="G71" s="130"/>
    </row>
    <row r="72" spans="1:7" ht="14.25" customHeight="1" x14ac:dyDescent="0.3">
      <c r="A72" s="319" t="s">
        <v>581</v>
      </c>
      <c r="B72" s="320">
        <v>10739.9501953125</v>
      </c>
      <c r="C72" s="320">
        <v>607.57000732421898</v>
      </c>
      <c r="D72" s="320">
        <f t="shared" si="2"/>
        <v>1.14661616621005E-2</v>
      </c>
      <c r="E72" s="320">
        <f t="shared" si="3"/>
        <v>3.9515622087142398E-4</v>
      </c>
      <c r="F72" s="130"/>
      <c r="G72" s="130"/>
    </row>
    <row r="73" spans="1:7" ht="14.25" customHeight="1" x14ac:dyDescent="0.3">
      <c r="A73" s="319" t="s">
        <v>582</v>
      </c>
      <c r="B73" s="320">
        <v>10901.7001953125</v>
      </c>
      <c r="C73" s="320">
        <v>622.05999755859398</v>
      </c>
      <c r="D73" s="320">
        <f t="shared" si="2"/>
        <v>1.50605912558697E-2</v>
      </c>
      <c r="E73" s="320">
        <f t="shared" si="3"/>
        <v>2.3849087446218602E-2</v>
      </c>
      <c r="F73" s="130"/>
      <c r="G73" s="130"/>
    </row>
    <row r="74" spans="1:7" ht="14.25" customHeight="1" x14ac:dyDescent="0.3">
      <c r="A74" s="319" t="s">
        <v>583</v>
      </c>
      <c r="B74" s="320">
        <v>11022.2001953125</v>
      </c>
      <c r="C74" s="320">
        <v>651.09002685546898</v>
      </c>
      <c r="D74" s="320">
        <f t="shared" si="2"/>
        <v>1.10533217609316E-2</v>
      </c>
      <c r="E74" s="320">
        <f t="shared" si="3"/>
        <v>4.66675713127504E-2</v>
      </c>
      <c r="F74" s="130"/>
      <c r="G74" s="130"/>
    </row>
    <row r="75" spans="1:7" ht="14.25" customHeight="1" x14ac:dyDescent="0.3">
      <c r="A75" s="319" t="s">
        <v>584</v>
      </c>
      <c r="B75" s="320">
        <v>11162.25</v>
      </c>
      <c r="C75" s="320">
        <v>641.239990234375</v>
      </c>
      <c r="D75" s="320">
        <f t="shared" si="2"/>
        <v>1.2706156865764401E-2</v>
      </c>
      <c r="E75" s="320">
        <f t="shared" si="3"/>
        <v>-1.51285324836968E-2</v>
      </c>
      <c r="F75" s="130"/>
      <c r="G75" s="130"/>
    </row>
    <row r="76" spans="1:7" ht="14.25" customHeight="1" x14ac:dyDescent="0.3">
      <c r="A76" s="319" t="s">
        <v>585</v>
      </c>
      <c r="B76" s="320">
        <v>11132.599609375</v>
      </c>
      <c r="C76" s="320">
        <v>637.69000244140602</v>
      </c>
      <c r="D76" s="320">
        <f t="shared" si="2"/>
        <v>-2.6563094918139298E-3</v>
      </c>
      <c r="E76" s="320">
        <f t="shared" si="3"/>
        <v>-5.5361297595794799E-3</v>
      </c>
      <c r="F76" s="130"/>
      <c r="G76" s="130"/>
    </row>
    <row r="77" spans="1:7" ht="14.25" customHeight="1" x14ac:dyDescent="0.3">
      <c r="A77" s="319" t="s">
        <v>586</v>
      </c>
      <c r="B77" s="320">
        <v>11215.4501953125</v>
      </c>
      <c r="C77" s="320">
        <v>654.46002197265602</v>
      </c>
      <c r="D77" s="320">
        <f t="shared" si="2"/>
        <v>7.4421598588464196E-3</v>
      </c>
      <c r="E77" s="320">
        <f t="shared" si="3"/>
        <v>2.6298075031826899E-2</v>
      </c>
      <c r="F77" s="130"/>
      <c r="G77" s="130"/>
    </row>
    <row r="78" spans="1:7" ht="14.25" customHeight="1" x14ac:dyDescent="0.3">
      <c r="A78" s="319" t="s">
        <v>587</v>
      </c>
      <c r="B78" s="320">
        <v>11194.150390625</v>
      </c>
      <c r="C78" s="320">
        <v>633.15997314453102</v>
      </c>
      <c r="D78" s="320">
        <f t="shared" si="2"/>
        <v>-1.8991484351116199E-3</v>
      </c>
      <c r="E78" s="320">
        <f t="shared" si="3"/>
        <v>-3.2545989232349103E-2</v>
      </c>
      <c r="F78" s="130"/>
      <c r="G78" s="130"/>
    </row>
    <row r="79" spans="1:7" ht="14.25" customHeight="1" x14ac:dyDescent="0.3">
      <c r="A79" s="319" t="s">
        <v>588</v>
      </c>
      <c r="B79" s="320">
        <v>11131.7998046875</v>
      </c>
      <c r="C79" s="320">
        <v>622.46002197265602</v>
      </c>
      <c r="D79" s="320">
        <f t="shared" si="2"/>
        <v>-5.5699256988469698E-3</v>
      </c>
      <c r="E79" s="320">
        <f t="shared" si="3"/>
        <v>-1.6899285529270999E-2</v>
      </c>
      <c r="F79" s="130"/>
      <c r="G79" s="130"/>
    </row>
    <row r="80" spans="1:7" ht="14.25" customHeight="1" x14ac:dyDescent="0.3">
      <c r="A80" s="319" t="s">
        <v>589</v>
      </c>
      <c r="B80" s="320">
        <v>11300.5498046875</v>
      </c>
      <c r="C80" s="320">
        <v>625.92999267578102</v>
      </c>
      <c r="D80" s="320">
        <f t="shared" si="2"/>
        <v>1.51592736988444E-2</v>
      </c>
      <c r="E80" s="320">
        <f t="shared" si="3"/>
        <v>5.5746081364843603E-3</v>
      </c>
      <c r="F80" s="130"/>
      <c r="G80" s="130"/>
    </row>
    <row r="81" spans="1:7" ht="14.25" customHeight="1" x14ac:dyDescent="0.3">
      <c r="A81" s="319" t="s">
        <v>590</v>
      </c>
      <c r="B81" s="320">
        <v>11202.849609375</v>
      </c>
      <c r="C81" s="320">
        <v>628.03997802734398</v>
      </c>
      <c r="D81" s="320">
        <f t="shared" si="2"/>
        <v>-8.6456143286031701E-3</v>
      </c>
      <c r="E81" s="320">
        <f t="shared" si="3"/>
        <v>3.37096061261261E-3</v>
      </c>
      <c r="F81" s="130"/>
      <c r="G81" s="130"/>
    </row>
    <row r="82" spans="1:7" ht="14.25" customHeight="1" x14ac:dyDescent="0.3">
      <c r="A82" s="319" t="s">
        <v>591</v>
      </c>
      <c r="B82" s="320">
        <v>11102.150390625</v>
      </c>
      <c r="C82" s="320">
        <v>634.86999511718795</v>
      </c>
      <c r="D82" s="320">
        <f t="shared" si="2"/>
        <v>-8.9887146807479095E-3</v>
      </c>
      <c r="E82" s="320">
        <f t="shared" si="3"/>
        <v>1.08751310884649E-2</v>
      </c>
      <c r="F82" s="130"/>
      <c r="G82" s="130"/>
    </row>
    <row r="83" spans="1:7" ht="14.25" customHeight="1" x14ac:dyDescent="0.3">
      <c r="A83" s="319" t="s">
        <v>592</v>
      </c>
      <c r="B83" s="320">
        <v>11073.4501953125</v>
      </c>
      <c r="C83" s="320">
        <v>638.89001464843795</v>
      </c>
      <c r="D83" s="320">
        <f t="shared" si="2"/>
        <v>-2.5851023723057602E-3</v>
      </c>
      <c r="E83" s="320">
        <f t="shared" si="3"/>
        <v>6.3320357902690999E-3</v>
      </c>
      <c r="F83" s="130"/>
      <c r="G83" s="130"/>
    </row>
    <row r="84" spans="1:7" ht="14.25" customHeight="1" x14ac:dyDescent="0.3">
      <c r="A84" s="319" t="s">
        <v>593</v>
      </c>
      <c r="B84" s="320">
        <v>10891.599609375</v>
      </c>
      <c r="C84" s="320">
        <v>631.72998046875</v>
      </c>
      <c r="D84" s="320">
        <f t="shared" si="2"/>
        <v>-1.6422215545294001E-2</v>
      </c>
      <c r="E84" s="320">
        <f t="shared" si="3"/>
        <v>-1.12069902730095E-2</v>
      </c>
      <c r="F84" s="130"/>
      <c r="G84" s="130"/>
    </row>
    <row r="85" spans="1:7" ht="14.25" customHeight="1" x14ac:dyDescent="0.3">
      <c r="A85" s="319" t="s">
        <v>594</v>
      </c>
      <c r="B85" s="320">
        <v>11095.25</v>
      </c>
      <c r="C85" s="320">
        <v>637.219970703125</v>
      </c>
      <c r="D85" s="320">
        <f t="shared" si="2"/>
        <v>1.86979321613794E-2</v>
      </c>
      <c r="E85" s="320">
        <f t="shared" si="3"/>
        <v>8.6904063509877592E-3</v>
      </c>
      <c r="F85" s="130"/>
      <c r="G85" s="130"/>
    </row>
    <row r="86" spans="1:7" ht="14.25" customHeight="1" x14ac:dyDescent="0.3">
      <c r="A86" s="319" t="s">
        <v>595</v>
      </c>
      <c r="B86" s="320">
        <v>11101.650390625</v>
      </c>
      <c r="C86" s="320">
        <v>670.69000244140602</v>
      </c>
      <c r="D86" s="320">
        <f t="shared" si="2"/>
        <v>5.7685862193280904E-4</v>
      </c>
      <c r="E86" s="320">
        <f t="shared" si="3"/>
        <v>5.2525082823988302E-2</v>
      </c>
      <c r="F86" s="130"/>
      <c r="G86" s="130"/>
    </row>
    <row r="87" spans="1:7" ht="14.25" customHeight="1" x14ac:dyDescent="0.3">
      <c r="A87" s="319" t="s">
        <v>596</v>
      </c>
      <c r="B87" s="320">
        <v>11200.150390625</v>
      </c>
      <c r="C87" s="320">
        <v>663.79998779296898</v>
      </c>
      <c r="D87" s="320">
        <f t="shared" si="2"/>
        <v>8.8725546683743692E-3</v>
      </c>
      <c r="E87" s="320">
        <f t="shared" si="3"/>
        <v>-1.0273024233783699E-2</v>
      </c>
      <c r="F87" s="130"/>
      <c r="G87" s="130"/>
    </row>
    <row r="88" spans="1:7" ht="14.25" customHeight="1" x14ac:dyDescent="0.3">
      <c r="A88" s="319" t="s">
        <v>597</v>
      </c>
      <c r="B88" s="320">
        <v>11214.0498046875</v>
      </c>
      <c r="C88" s="320">
        <v>662.58001708984398</v>
      </c>
      <c r="D88" s="320">
        <f t="shared" si="2"/>
        <v>1.2410024488719699E-3</v>
      </c>
      <c r="E88" s="320">
        <f t="shared" si="3"/>
        <v>-1.8378588815302799E-3</v>
      </c>
      <c r="F88" s="130"/>
      <c r="G88" s="130"/>
    </row>
    <row r="89" spans="1:7" ht="14.25" customHeight="1" x14ac:dyDescent="0.3">
      <c r="A89" s="319" t="s">
        <v>598</v>
      </c>
      <c r="B89" s="320">
        <v>11270.150390625</v>
      </c>
      <c r="C89" s="320">
        <v>705.219970703125</v>
      </c>
      <c r="D89" s="320">
        <f t="shared" si="2"/>
        <v>5.0027052594371199E-3</v>
      </c>
      <c r="E89" s="320">
        <f t="shared" si="3"/>
        <v>6.4354421373228901E-2</v>
      </c>
      <c r="F89" s="130"/>
      <c r="G89" s="130"/>
    </row>
    <row r="90" spans="1:7" ht="14.25" customHeight="1" x14ac:dyDescent="0.3">
      <c r="A90" s="319" t="s">
        <v>599</v>
      </c>
      <c r="B90" s="320">
        <v>11322.5</v>
      </c>
      <c r="C90" s="320">
        <v>678.19000244140602</v>
      </c>
      <c r="D90" s="320">
        <f t="shared" si="2"/>
        <v>4.6449787767292496E-3</v>
      </c>
      <c r="E90" s="320">
        <f t="shared" si="3"/>
        <v>-3.8328421463687902E-2</v>
      </c>
      <c r="F90" s="130"/>
      <c r="G90" s="130"/>
    </row>
    <row r="91" spans="1:7" ht="14.25" customHeight="1" x14ac:dyDescent="0.3">
      <c r="A91" s="319" t="s">
        <v>600</v>
      </c>
      <c r="B91" s="320">
        <v>11308.400390625</v>
      </c>
      <c r="C91" s="320">
        <v>648.92999267578102</v>
      </c>
      <c r="D91" s="320">
        <f t="shared" si="2"/>
        <v>-1.24527351512475E-3</v>
      </c>
      <c r="E91" s="320">
        <f t="shared" si="3"/>
        <v>-4.3144265855132501E-2</v>
      </c>
      <c r="F91" s="130"/>
      <c r="G91" s="130"/>
    </row>
    <row r="92" spans="1:7" ht="14.25" customHeight="1" x14ac:dyDescent="0.3">
      <c r="A92" s="319" t="s">
        <v>601</v>
      </c>
      <c r="B92" s="320">
        <v>11300.4501953125</v>
      </c>
      <c r="C92" s="320">
        <v>654.45001220703102</v>
      </c>
      <c r="D92" s="320">
        <f t="shared" si="2"/>
        <v>-7.0303447330101205E-4</v>
      </c>
      <c r="E92" s="320">
        <f t="shared" si="3"/>
        <v>8.5063405814992405E-3</v>
      </c>
      <c r="F92" s="130"/>
      <c r="G92" s="130"/>
    </row>
    <row r="93" spans="1:7" ht="14.25" customHeight="1" x14ac:dyDescent="0.3">
      <c r="A93" s="319" t="s">
        <v>602</v>
      </c>
      <c r="B93" s="320">
        <v>11178.400390625</v>
      </c>
      <c r="C93" s="320">
        <v>649.22998046875</v>
      </c>
      <c r="D93" s="320">
        <f t="shared" si="2"/>
        <v>-1.0800437378868899E-2</v>
      </c>
      <c r="E93" s="320">
        <f t="shared" si="3"/>
        <v>-7.9762115378029796E-3</v>
      </c>
      <c r="F93" s="130"/>
      <c r="G93" s="130"/>
    </row>
    <row r="94" spans="1:7" ht="14.25" customHeight="1" x14ac:dyDescent="0.3">
      <c r="A94" s="319" t="s">
        <v>603</v>
      </c>
      <c r="B94" s="320">
        <v>11247.099609375</v>
      </c>
      <c r="C94" s="320">
        <v>654.36999511718795</v>
      </c>
      <c r="D94" s="320">
        <f t="shared" si="2"/>
        <v>6.1457110453492104E-3</v>
      </c>
      <c r="E94" s="320">
        <f t="shared" si="3"/>
        <v>7.91709379275248E-3</v>
      </c>
      <c r="F94" s="130"/>
      <c r="G94" s="130"/>
    </row>
    <row r="95" spans="1:7" ht="14.25" customHeight="1" x14ac:dyDescent="0.3">
      <c r="A95" s="319" t="s">
        <v>604</v>
      </c>
      <c r="B95" s="320">
        <v>11385.349609375</v>
      </c>
      <c r="C95" s="320">
        <v>655.33001708984398</v>
      </c>
      <c r="D95" s="320">
        <f t="shared" si="2"/>
        <v>1.2292057935075301E-2</v>
      </c>
      <c r="E95" s="320">
        <f t="shared" si="3"/>
        <v>1.4670935095123E-3</v>
      </c>
      <c r="F95" s="130"/>
      <c r="G95" s="130"/>
    </row>
    <row r="96" spans="1:7" ht="14.25" customHeight="1" x14ac:dyDescent="0.3">
      <c r="A96" s="319" t="s">
        <v>605</v>
      </c>
      <c r="B96" s="320">
        <v>11408.400390625</v>
      </c>
      <c r="C96" s="320">
        <v>658.79998779296898</v>
      </c>
      <c r="D96" s="320">
        <f t="shared" si="2"/>
        <v>2.02460021350766E-3</v>
      </c>
      <c r="E96" s="320">
        <f t="shared" si="3"/>
        <v>5.2949973488689997E-3</v>
      </c>
      <c r="F96" s="130"/>
      <c r="G96" s="130"/>
    </row>
    <row r="97" spans="1:7" ht="14.25" customHeight="1" x14ac:dyDescent="0.3">
      <c r="A97" s="319" t="s">
        <v>606</v>
      </c>
      <c r="B97" s="320">
        <v>11312.2001953125</v>
      </c>
      <c r="C97" s="320">
        <v>653.95001220703102</v>
      </c>
      <c r="D97" s="320">
        <f t="shared" si="2"/>
        <v>-8.4323999876050795E-3</v>
      </c>
      <c r="E97" s="320">
        <f t="shared" si="3"/>
        <v>-7.3618331448149403E-3</v>
      </c>
      <c r="F97" s="130"/>
      <c r="G97" s="130"/>
    </row>
    <row r="98" spans="1:7" ht="14.25" customHeight="1" x14ac:dyDescent="0.3">
      <c r="A98" s="319" t="s">
        <v>607</v>
      </c>
      <c r="B98" s="320">
        <v>11371.599609375</v>
      </c>
      <c r="C98" s="320">
        <v>647.85998535156295</v>
      </c>
      <c r="D98" s="320">
        <f t="shared" si="2"/>
        <v>5.25091609385711E-3</v>
      </c>
      <c r="E98" s="320">
        <f t="shared" si="3"/>
        <v>-9.3126794736415608E-3</v>
      </c>
      <c r="F98" s="130"/>
      <c r="G98" s="130"/>
    </row>
    <row r="99" spans="1:7" ht="14.25" customHeight="1" x14ac:dyDescent="0.3">
      <c r="A99" s="319" t="s">
        <v>608</v>
      </c>
      <c r="B99" s="320">
        <v>11466.4501953125</v>
      </c>
      <c r="C99" s="320">
        <v>647.760009765625</v>
      </c>
      <c r="D99" s="320">
        <f t="shared" si="2"/>
        <v>8.3410064718866007E-3</v>
      </c>
      <c r="E99" s="320">
        <f t="shared" si="3"/>
        <v>-1.5431665513915399E-4</v>
      </c>
      <c r="F99" s="130"/>
      <c r="G99" s="130"/>
    </row>
    <row r="100" spans="1:7" ht="14.25" customHeight="1" x14ac:dyDescent="0.3">
      <c r="A100" s="319" t="s">
        <v>609</v>
      </c>
      <c r="B100" s="320">
        <v>11472.25</v>
      </c>
      <c r="C100" s="320">
        <v>657.04998779296898</v>
      </c>
      <c r="D100" s="320">
        <f t="shared" si="2"/>
        <v>5.0580646919575595E-4</v>
      </c>
      <c r="E100" s="320">
        <f t="shared" si="3"/>
        <v>1.43416973682974E-2</v>
      </c>
      <c r="F100" s="130"/>
      <c r="G100" s="130"/>
    </row>
    <row r="101" spans="1:7" ht="14.25" customHeight="1" x14ac:dyDescent="0.3">
      <c r="A101" s="319" t="s">
        <v>610</v>
      </c>
      <c r="B101" s="320">
        <v>11549.599609375</v>
      </c>
      <c r="C101" s="320">
        <v>650.239990234375</v>
      </c>
      <c r="D101" s="320">
        <f t="shared" si="2"/>
        <v>6.7423225064830398E-3</v>
      </c>
      <c r="E101" s="320">
        <f t="shared" si="3"/>
        <v>-1.03645045051576E-2</v>
      </c>
      <c r="F101" s="130"/>
      <c r="G101" s="130"/>
    </row>
    <row r="102" spans="1:7" ht="14.25" customHeight="1" x14ac:dyDescent="0.3">
      <c r="A102" s="319" t="s">
        <v>611</v>
      </c>
      <c r="B102" s="320">
        <v>11559.25</v>
      </c>
      <c r="C102" s="320">
        <v>655.469970703125</v>
      </c>
      <c r="D102" s="320">
        <f t="shared" si="2"/>
        <v>8.3556062126747795E-4</v>
      </c>
      <c r="E102" s="320">
        <f t="shared" si="3"/>
        <v>8.0431541389278192E-3</v>
      </c>
      <c r="F102" s="130"/>
      <c r="G102" s="130"/>
    </row>
    <row r="103" spans="1:7" ht="14.25" customHeight="1" x14ac:dyDescent="0.3">
      <c r="A103" s="319" t="s">
        <v>612</v>
      </c>
      <c r="B103" s="320">
        <v>11647.599609375</v>
      </c>
      <c r="C103" s="320">
        <v>677.989990234375</v>
      </c>
      <c r="D103" s="320">
        <f t="shared" si="2"/>
        <v>7.6431956549949196E-3</v>
      </c>
      <c r="E103" s="320">
        <f t="shared" si="3"/>
        <v>3.4357057588912401E-2</v>
      </c>
      <c r="F103" s="130"/>
      <c r="G103" s="130"/>
    </row>
    <row r="104" spans="1:7" ht="14.25" customHeight="1" x14ac:dyDescent="0.3">
      <c r="A104" s="319" t="s">
        <v>613</v>
      </c>
      <c r="B104" s="320">
        <v>11387.5</v>
      </c>
      <c r="C104" s="320">
        <v>652.72998046875</v>
      </c>
      <c r="D104" s="320">
        <f t="shared" si="2"/>
        <v>-2.2330747801946198E-2</v>
      </c>
      <c r="E104" s="320">
        <f t="shared" si="3"/>
        <v>-3.72572016246034E-2</v>
      </c>
      <c r="F104" s="130"/>
      <c r="G104" s="130"/>
    </row>
    <row r="105" spans="1:7" ht="14.25" customHeight="1" x14ac:dyDescent="0.3">
      <c r="A105" s="319" t="s">
        <v>614</v>
      </c>
      <c r="B105" s="320">
        <v>11470.25</v>
      </c>
      <c r="C105" s="320">
        <v>660.59997558593795</v>
      </c>
      <c r="D105" s="320">
        <f t="shared" si="2"/>
        <v>7.2667398463227197E-3</v>
      </c>
      <c r="E105" s="320">
        <f t="shared" si="3"/>
        <v>1.20570455665852E-2</v>
      </c>
      <c r="F105" s="130"/>
      <c r="G105" s="130"/>
    </row>
    <row r="106" spans="1:7" ht="14.25" customHeight="1" x14ac:dyDescent="0.3">
      <c r="A106" s="319" t="s">
        <v>615</v>
      </c>
      <c r="B106" s="320">
        <v>11535</v>
      </c>
      <c r="C106" s="320">
        <v>694.75</v>
      </c>
      <c r="D106" s="320">
        <f t="shared" si="2"/>
        <v>5.6450382511279203E-3</v>
      </c>
      <c r="E106" s="320">
        <f t="shared" si="3"/>
        <v>5.1695467266361497E-2</v>
      </c>
      <c r="F106" s="130"/>
      <c r="G106" s="130"/>
    </row>
    <row r="107" spans="1:7" ht="14.25" customHeight="1" x14ac:dyDescent="0.3">
      <c r="A107" s="319" t="s">
        <v>616</v>
      </c>
      <c r="B107" s="320">
        <v>11527.4501953125</v>
      </c>
      <c r="C107" s="320">
        <v>686.83001708984398</v>
      </c>
      <c r="D107" s="320">
        <f t="shared" si="2"/>
        <v>-6.5451276007802298E-4</v>
      </c>
      <c r="E107" s="320">
        <f t="shared" si="3"/>
        <v>-1.1399759496446201E-2</v>
      </c>
      <c r="F107" s="130"/>
      <c r="G107" s="130"/>
    </row>
    <row r="108" spans="1:7" ht="14.25" customHeight="1" x14ac:dyDescent="0.3">
      <c r="A108" s="319" t="s">
        <v>617</v>
      </c>
      <c r="B108" s="320">
        <v>11333.849609375</v>
      </c>
      <c r="C108" s="320">
        <v>667.58001708984398</v>
      </c>
      <c r="D108" s="320">
        <f t="shared" si="2"/>
        <v>-1.6794744948559901E-2</v>
      </c>
      <c r="E108" s="320">
        <f t="shared" si="3"/>
        <v>-2.8027313193974598E-2</v>
      </c>
      <c r="F108" s="130"/>
      <c r="G108" s="130"/>
    </row>
    <row r="109" spans="1:7" ht="14.25" customHeight="1" x14ac:dyDescent="0.3">
      <c r="A109" s="319" t="s">
        <v>618</v>
      </c>
      <c r="B109" s="320">
        <v>11355.0498046875</v>
      </c>
      <c r="C109" s="320">
        <v>658.59002685546898</v>
      </c>
      <c r="D109" s="320">
        <f t="shared" si="2"/>
        <v>1.8705202595033399E-3</v>
      </c>
      <c r="E109" s="320">
        <f t="shared" si="3"/>
        <v>-1.34665358522334E-2</v>
      </c>
      <c r="F109" s="130"/>
      <c r="G109" s="130"/>
    </row>
    <row r="110" spans="1:7" ht="14.25" customHeight="1" x14ac:dyDescent="0.3">
      <c r="A110" s="319" t="s">
        <v>619</v>
      </c>
      <c r="B110" s="320">
        <v>11317.349609375</v>
      </c>
      <c r="C110" s="320">
        <v>662.82000732421898</v>
      </c>
      <c r="D110" s="320">
        <f t="shared" si="2"/>
        <v>-3.3201259317186698E-3</v>
      </c>
      <c r="E110" s="320">
        <f t="shared" si="3"/>
        <v>6.4227824538228102E-3</v>
      </c>
      <c r="F110" s="130"/>
      <c r="G110" s="130"/>
    </row>
    <row r="111" spans="1:7" ht="14.25" customHeight="1" x14ac:dyDescent="0.3">
      <c r="A111" s="319" t="s">
        <v>620</v>
      </c>
      <c r="B111" s="320">
        <v>11278</v>
      </c>
      <c r="C111" s="320">
        <v>655.94000244140602</v>
      </c>
      <c r="D111" s="320">
        <f t="shared" si="2"/>
        <v>-3.4769279675166899E-3</v>
      </c>
      <c r="E111" s="320">
        <f t="shared" si="3"/>
        <v>-1.03798992287322E-2</v>
      </c>
      <c r="F111" s="130"/>
      <c r="G111" s="130"/>
    </row>
    <row r="112" spans="1:7" ht="14.25" customHeight="1" x14ac:dyDescent="0.3">
      <c r="A112" s="319" t="s">
        <v>621</v>
      </c>
      <c r="B112" s="320">
        <v>11449.25</v>
      </c>
      <c r="C112" s="320">
        <v>677.34002685546898</v>
      </c>
      <c r="D112" s="320">
        <f t="shared" si="2"/>
        <v>1.5184429863450999E-2</v>
      </c>
      <c r="E112" s="320">
        <f t="shared" si="3"/>
        <v>3.2624972306022099E-2</v>
      </c>
      <c r="F112" s="130"/>
      <c r="G112" s="130"/>
    </row>
    <row r="113" spans="1:7" ht="14.25" customHeight="1" x14ac:dyDescent="0.3">
      <c r="A113" s="319" t="s">
        <v>622</v>
      </c>
      <c r="B113" s="320">
        <v>11464.4501953125</v>
      </c>
      <c r="C113" s="320">
        <v>676.969970703125</v>
      </c>
      <c r="D113" s="320">
        <f t="shared" si="2"/>
        <v>1.3276149365679E-3</v>
      </c>
      <c r="E113" s="320">
        <f t="shared" si="3"/>
        <v>-5.4633734560461799E-4</v>
      </c>
      <c r="F113" s="130"/>
      <c r="G113" s="130"/>
    </row>
    <row r="114" spans="1:7" ht="14.25" customHeight="1" x14ac:dyDescent="0.3">
      <c r="A114" s="319" t="s">
        <v>623</v>
      </c>
      <c r="B114" s="320">
        <v>11440.0498046875</v>
      </c>
      <c r="C114" s="320">
        <v>686.82000732421898</v>
      </c>
      <c r="D114" s="320">
        <f t="shared" si="2"/>
        <v>-2.1283524468514599E-3</v>
      </c>
      <c r="E114" s="320">
        <f t="shared" si="3"/>
        <v>1.4550182500507901E-2</v>
      </c>
      <c r="F114" s="130"/>
      <c r="G114" s="130"/>
    </row>
    <row r="115" spans="1:7" ht="14.25" customHeight="1" x14ac:dyDescent="0.3">
      <c r="A115" s="319" t="s">
        <v>624</v>
      </c>
      <c r="B115" s="320">
        <v>11521.7998046875</v>
      </c>
      <c r="C115" s="320">
        <v>706.71002197265602</v>
      </c>
      <c r="D115" s="320">
        <f t="shared" si="2"/>
        <v>7.1459479106903302E-3</v>
      </c>
      <c r="E115" s="320">
        <f t="shared" si="3"/>
        <v>2.8959573740326101E-2</v>
      </c>
      <c r="F115" s="130"/>
      <c r="G115" s="130"/>
    </row>
    <row r="116" spans="1:7" ht="14.25" customHeight="1" x14ac:dyDescent="0.3">
      <c r="A116" s="319" t="s">
        <v>625</v>
      </c>
      <c r="B116" s="320">
        <v>11604.5498046875</v>
      </c>
      <c r="C116" s="320">
        <v>707.96002197265602</v>
      </c>
      <c r="D116" s="320">
        <f t="shared" si="2"/>
        <v>7.1820376506050903E-3</v>
      </c>
      <c r="E116" s="320">
        <f t="shared" si="3"/>
        <v>1.76875940786979E-3</v>
      </c>
      <c r="F116" s="130"/>
      <c r="G116" s="130"/>
    </row>
    <row r="117" spans="1:7" ht="14.25" customHeight="1" x14ac:dyDescent="0.3">
      <c r="A117" s="319" t="s">
        <v>626</v>
      </c>
      <c r="B117" s="320">
        <v>11516.099609375</v>
      </c>
      <c r="C117" s="320">
        <v>703.38000488281295</v>
      </c>
      <c r="D117" s="320">
        <f t="shared" si="2"/>
        <v>-7.6220272911209103E-3</v>
      </c>
      <c r="E117" s="320">
        <f t="shared" si="3"/>
        <v>-6.4693159891731399E-3</v>
      </c>
      <c r="F117" s="130"/>
      <c r="G117" s="130"/>
    </row>
    <row r="118" spans="1:7" ht="14.25" customHeight="1" x14ac:dyDescent="0.3">
      <c r="A118" s="319" t="s">
        <v>627</v>
      </c>
      <c r="B118" s="320">
        <v>11504.9501953125</v>
      </c>
      <c r="C118" s="320">
        <v>697.46002197265602</v>
      </c>
      <c r="D118" s="320">
        <f t="shared" si="2"/>
        <v>-9.6815887676271104E-4</v>
      </c>
      <c r="E118" s="320">
        <f t="shared" si="3"/>
        <v>-8.4164788152361995E-3</v>
      </c>
      <c r="F118" s="130"/>
      <c r="G118" s="130"/>
    </row>
    <row r="119" spans="1:7" ht="14.25" customHeight="1" x14ac:dyDescent="0.3">
      <c r="A119" s="319" t="s">
        <v>628</v>
      </c>
      <c r="B119" s="320">
        <v>11250.5498046875</v>
      </c>
      <c r="C119" s="320">
        <v>680.53997802734398</v>
      </c>
      <c r="D119" s="320">
        <f t="shared" si="2"/>
        <v>-2.2112254838673798E-2</v>
      </c>
      <c r="E119" s="320">
        <f t="shared" si="3"/>
        <v>-2.4259517982774599E-2</v>
      </c>
      <c r="F119" s="130"/>
      <c r="G119" s="130"/>
    </row>
    <row r="120" spans="1:7" ht="14.25" customHeight="1" x14ac:dyDescent="0.3">
      <c r="A120" s="319" t="s">
        <v>629</v>
      </c>
      <c r="B120" s="320">
        <v>11153.650390625</v>
      </c>
      <c r="C120" s="320">
        <v>669.86999511718795</v>
      </c>
      <c r="D120" s="320">
        <f t="shared" si="2"/>
        <v>-8.6128603263573092E-3</v>
      </c>
      <c r="E120" s="320">
        <f t="shared" si="3"/>
        <v>-1.5678701111850501E-2</v>
      </c>
      <c r="F120" s="130"/>
      <c r="G120" s="130"/>
    </row>
    <row r="121" spans="1:7" ht="14.25" customHeight="1" x14ac:dyDescent="0.3">
      <c r="A121" s="319" t="s">
        <v>630</v>
      </c>
      <c r="B121" s="320">
        <v>11131.849609375</v>
      </c>
      <c r="C121" s="320">
        <v>677.739990234375</v>
      </c>
      <c r="D121" s="320">
        <f t="shared" si="2"/>
        <v>-1.9545871070447301E-3</v>
      </c>
      <c r="E121" s="320">
        <f t="shared" si="3"/>
        <v>1.1748541022217699E-2</v>
      </c>
      <c r="F121" s="130"/>
      <c r="G121" s="130"/>
    </row>
    <row r="122" spans="1:7" ht="14.25" customHeight="1" x14ac:dyDescent="0.3">
      <c r="A122" s="319" t="s">
        <v>631</v>
      </c>
      <c r="B122" s="320">
        <v>10805.5498046875</v>
      </c>
      <c r="C122" s="320">
        <v>675.15002441406295</v>
      </c>
      <c r="D122" s="320">
        <f t="shared" si="2"/>
        <v>-2.9312272096516399E-2</v>
      </c>
      <c r="E122" s="320">
        <f t="shared" si="3"/>
        <v>-3.8214741016187998E-3</v>
      </c>
      <c r="F122" s="130"/>
      <c r="G122" s="130"/>
    </row>
    <row r="123" spans="1:7" ht="14.25" customHeight="1" x14ac:dyDescent="0.3">
      <c r="A123" s="319" t="s">
        <v>632</v>
      </c>
      <c r="B123" s="320">
        <v>11050.25</v>
      </c>
      <c r="C123" s="320">
        <v>690.030029296875</v>
      </c>
      <c r="D123" s="320">
        <f t="shared" si="2"/>
        <v>2.26457884823545E-2</v>
      </c>
      <c r="E123" s="320">
        <f t="shared" si="3"/>
        <v>2.20395532026024E-2</v>
      </c>
      <c r="F123" s="130"/>
      <c r="G123" s="130"/>
    </row>
    <row r="124" spans="1:7" ht="14.25" customHeight="1" x14ac:dyDescent="0.3">
      <c r="A124" s="319" t="s">
        <v>633</v>
      </c>
      <c r="B124" s="320">
        <v>11227.5498046875</v>
      </c>
      <c r="C124" s="320">
        <v>715.10998535156295</v>
      </c>
      <c r="D124" s="320">
        <f t="shared" si="2"/>
        <v>1.6044868187371299E-2</v>
      </c>
      <c r="E124" s="320">
        <f t="shared" si="3"/>
        <v>3.63461805861462E-2</v>
      </c>
      <c r="F124" s="130"/>
      <c r="G124" s="130"/>
    </row>
    <row r="125" spans="1:7" ht="14.25" customHeight="1" x14ac:dyDescent="0.3">
      <c r="A125" s="319" t="s">
        <v>634</v>
      </c>
      <c r="B125" s="320">
        <v>11222.400390625</v>
      </c>
      <c r="C125" s="320">
        <v>726.69000244140602</v>
      </c>
      <c r="D125" s="320">
        <f t="shared" si="2"/>
        <v>-4.5864094589454603E-4</v>
      </c>
      <c r="E125" s="320">
        <f t="shared" si="3"/>
        <v>1.6193337146802801E-2</v>
      </c>
      <c r="F125" s="130"/>
      <c r="G125" s="130"/>
    </row>
    <row r="126" spans="1:7" ht="14.25" customHeight="1" x14ac:dyDescent="0.3">
      <c r="A126" s="319" t="s">
        <v>635</v>
      </c>
      <c r="B126" s="320">
        <v>11247.5498046875</v>
      </c>
      <c r="C126" s="320">
        <v>726.94000244140602</v>
      </c>
      <c r="D126" s="320">
        <f t="shared" si="2"/>
        <v>2.2410013176422899E-3</v>
      </c>
      <c r="E126" s="320">
        <f t="shared" si="3"/>
        <v>3.4402564939670798E-4</v>
      </c>
      <c r="F126" s="130"/>
      <c r="G126" s="130"/>
    </row>
    <row r="127" spans="1:7" ht="14.25" customHeight="1" x14ac:dyDescent="0.3">
      <c r="A127" s="319" t="s">
        <v>636</v>
      </c>
      <c r="B127" s="320">
        <v>11416.9501953125</v>
      </c>
      <c r="C127" s="320">
        <v>721.83001708984398</v>
      </c>
      <c r="D127" s="320">
        <f t="shared" si="2"/>
        <v>1.5061092732783599E-2</v>
      </c>
      <c r="E127" s="320">
        <f t="shared" si="3"/>
        <v>-7.0294458062567901E-3</v>
      </c>
      <c r="F127" s="130"/>
      <c r="G127" s="130"/>
    </row>
    <row r="128" spans="1:7" ht="14.25" customHeight="1" x14ac:dyDescent="0.3">
      <c r="A128" s="319" t="s">
        <v>637</v>
      </c>
      <c r="B128" s="320">
        <v>11503.349609375</v>
      </c>
      <c r="C128" s="320">
        <v>697.57000732421898</v>
      </c>
      <c r="D128" s="320">
        <f t="shared" si="2"/>
        <v>7.5676439490796202E-3</v>
      </c>
      <c r="E128" s="320">
        <f t="shared" si="3"/>
        <v>-3.3609034248024999E-2</v>
      </c>
      <c r="F128" s="130"/>
      <c r="G128" s="130"/>
    </row>
    <row r="129" spans="1:7" ht="14.25" customHeight="1" x14ac:dyDescent="0.3">
      <c r="A129" s="319" t="s">
        <v>638</v>
      </c>
      <c r="B129" s="320">
        <v>11662.400390625</v>
      </c>
      <c r="C129" s="320">
        <v>692.22998046875</v>
      </c>
      <c r="D129" s="320">
        <f t="shared" si="2"/>
        <v>1.3826475474619701E-2</v>
      </c>
      <c r="E129" s="320">
        <f t="shared" si="3"/>
        <v>-7.6551841383670901E-3</v>
      </c>
      <c r="F129" s="130"/>
      <c r="G129" s="130"/>
    </row>
    <row r="130" spans="1:7" ht="14.25" customHeight="1" x14ac:dyDescent="0.3">
      <c r="A130" s="319" t="s">
        <v>639</v>
      </c>
      <c r="B130" s="320">
        <v>11738.849609375</v>
      </c>
      <c r="C130" s="320">
        <v>691.91998291015602</v>
      </c>
      <c r="D130" s="320">
        <f t="shared" si="2"/>
        <v>6.5551872847252699E-3</v>
      </c>
      <c r="E130" s="320">
        <f t="shared" si="3"/>
        <v>-4.4782451979912799E-4</v>
      </c>
      <c r="F130" s="130"/>
      <c r="G130" s="130"/>
    </row>
    <row r="131" spans="1:7" ht="14.25" customHeight="1" x14ac:dyDescent="0.3">
      <c r="A131" s="319" t="s">
        <v>640</v>
      </c>
      <c r="B131" s="320">
        <v>11834.599609375</v>
      </c>
      <c r="C131" s="320">
        <v>692.13000488281295</v>
      </c>
      <c r="D131" s="320">
        <f t="shared" ref="D131:D194" si="4">(B131-B130)/B130</f>
        <v>8.1566766068398404E-3</v>
      </c>
      <c r="E131" s="320">
        <f t="shared" ref="E131:E194" si="5">(C131-C130)/C130</f>
        <v>3.0353505874132697E-4</v>
      </c>
      <c r="F131" s="130"/>
      <c r="G131" s="130"/>
    </row>
    <row r="132" spans="1:7" ht="14.25" customHeight="1" x14ac:dyDescent="0.3">
      <c r="A132" s="319" t="s">
        <v>641</v>
      </c>
      <c r="B132" s="320">
        <v>11914.2001953125</v>
      </c>
      <c r="C132" s="320">
        <v>691.38000488281295</v>
      </c>
      <c r="D132" s="320">
        <f t="shared" si="4"/>
        <v>6.7260903253915701E-3</v>
      </c>
      <c r="E132" s="320">
        <f t="shared" si="5"/>
        <v>-1.08361145263018E-3</v>
      </c>
      <c r="F132" s="130"/>
      <c r="G132" s="130"/>
    </row>
    <row r="133" spans="1:7" ht="14.25" customHeight="1" x14ac:dyDescent="0.3">
      <c r="A133" s="319" t="s">
        <v>642</v>
      </c>
      <c r="B133" s="320">
        <v>11930.9501953125</v>
      </c>
      <c r="C133" s="320">
        <v>695.83001708984398</v>
      </c>
      <c r="D133" s="320">
        <f t="shared" si="4"/>
        <v>1.40588539099671E-3</v>
      </c>
      <c r="E133" s="320">
        <f t="shared" si="5"/>
        <v>6.4364201677849899E-3</v>
      </c>
      <c r="F133" s="130"/>
      <c r="G133" s="130"/>
    </row>
    <row r="134" spans="1:7" ht="14.25" customHeight="1" x14ac:dyDescent="0.3">
      <c r="A134" s="319" t="s">
        <v>643</v>
      </c>
      <c r="B134" s="320">
        <v>11934.5</v>
      </c>
      <c r="C134" s="320">
        <v>715.88000488281295</v>
      </c>
      <c r="D134" s="320">
        <f t="shared" si="4"/>
        <v>2.9752908438882502E-4</v>
      </c>
      <c r="E134" s="320">
        <f t="shared" si="5"/>
        <v>2.8814491040245201E-2</v>
      </c>
      <c r="F134" s="130"/>
      <c r="G134" s="130"/>
    </row>
    <row r="135" spans="1:7" ht="14.25" customHeight="1" x14ac:dyDescent="0.3">
      <c r="A135" s="319" t="s">
        <v>644</v>
      </c>
      <c r="B135" s="320">
        <v>11971.0498046875</v>
      </c>
      <c r="C135" s="320">
        <v>748.10998535156295</v>
      </c>
      <c r="D135" s="320">
        <f t="shared" si="4"/>
        <v>3.0625333853533899E-3</v>
      </c>
      <c r="E135" s="320">
        <f t="shared" si="5"/>
        <v>4.50214843953156E-2</v>
      </c>
      <c r="F135" s="130"/>
      <c r="G135" s="130"/>
    </row>
    <row r="136" spans="1:7" ht="14.25" customHeight="1" x14ac:dyDescent="0.3">
      <c r="A136" s="319" t="s">
        <v>645</v>
      </c>
      <c r="B136" s="320">
        <v>11680.349609375</v>
      </c>
      <c r="C136" s="320">
        <v>721.55999755859398</v>
      </c>
      <c r="D136" s="320">
        <f t="shared" si="4"/>
        <v>-2.4283600858353301E-2</v>
      </c>
      <c r="E136" s="320">
        <f t="shared" si="5"/>
        <v>-3.54894177498409E-2</v>
      </c>
      <c r="F136" s="130"/>
      <c r="G136" s="130"/>
    </row>
    <row r="137" spans="1:7" ht="14.25" customHeight="1" x14ac:dyDescent="0.3">
      <c r="A137" s="319" t="s">
        <v>646</v>
      </c>
      <c r="B137" s="320">
        <v>11762.4501953125</v>
      </c>
      <c r="C137" s="320">
        <v>720.05999755859398</v>
      </c>
      <c r="D137" s="320">
        <f t="shared" si="4"/>
        <v>7.0289493622351503E-3</v>
      </c>
      <c r="E137" s="320">
        <f t="shared" si="5"/>
        <v>-2.0788292104263902E-3</v>
      </c>
      <c r="F137" s="130"/>
      <c r="G137" s="130"/>
    </row>
    <row r="138" spans="1:7" ht="14.25" customHeight="1" x14ac:dyDescent="0.3">
      <c r="A138" s="319" t="s">
        <v>647</v>
      </c>
      <c r="B138" s="320">
        <v>11873.0498046875</v>
      </c>
      <c r="C138" s="320">
        <v>695.239990234375</v>
      </c>
      <c r="D138" s="320">
        <f t="shared" si="4"/>
        <v>9.4027696218493204E-3</v>
      </c>
      <c r="E138" s="320">
        <f t="shared" si="5"/>
        <v>-3.44693600649566E-2</v>
      </c>
      <c r="F138" s="130"/>
      <c r="G138" s="130"/>
    </row>
    <row r="139" spans="1:7" ht="14.25" customHeight="1" x14ac:dyDescent="0.3">
      <c r="A139" s="319" t="s">
        <v>648</v>
      </c>
      <c r="B139" s="320">
        <v>11896.7998046875</v>
      </c>
      <c r="C139" s="320">
        <v>694.89001464843795</v>
      </c>
      <c r="D139" s="320">
        <f t="shared" si="4"/>
        <v>2.0003285078972299E-3</v>
      </c>
      <c r="E139" s="320">
        <f t="shared" si="5"/>
        <v>-5.0338816934144398E-4</v>
      </c>
      <c r="F139" s="130"/>
      <c r="G139" s="130"/>
    </row>
    <row r="140" spans="1:7" ht="14.25" customHeight="1" x14ac:dyDescent="0.3">
      <c r="A140" s="319" t="s">
        <v>649</v>
      </c>
      <c r="B140" s="320">
        <v>11937.650390625</v>
      </c>
      <c r="C140" s="320">
        <v>698.54998779296898</v>
      </c>
      <c r="D140" s="320">
        <f t="shared" si="4"/>
        <v>3.4337457642520199E-3</v>
      </c>
      <c r="E140" s="320">
        <f t="shared" si="5"/>
        <v>5.2669819214234796E-3</v>
      </c>
      <c r="F140" s="130"/>
      <c r="G140" s="130"/>
    </row>
    <row r="141" spans="1:7" ht="14.25" customHeight="1" x14ac:dyDescent="0.3">
      <c r="A141" s="319" t="s">
        <v>650</v>
      </c>
      <c r="B141" s="320">
        <v>11896.4501953125</v>
      </c>
      <c r="C141" s="320">
        <v>679.59002685546898</v>
      </c>
      <c r="D141" s="320">
        <f t="shared" si="4"/>
        <v>-3.4512817819539899E-3</v>
      </c>
      <c r="E141" s="320">
        <f t="shared" si="5"/>
        <v>-2.7141881424123999E-2</v>
      </c>
      <c r="F141" s="130"/>
      <c r="G141" s="130"/>
    </row>
    <row r="142" spans="1:7" ht="14.25" customHeight="1" x14ac:dyDescent="0.3">
      <c r="A142" s="319" t="s">
        <v>651</v>
      </c>
      <c r="B142" s="320">
        <v>11930.349609375</v>
      </c>
      <c r="C142" s="320">
        <v>729.030029296875</v>
      </c>
      <c r="D142" s="320">
        <f t="shared" si="4"/>
        <v>2.8495402835256901E-3</v>
      </c>
      <c r="E142" s="320">
        <f t="shared" si="5"/>
        <v>7.2749746888090494E-2</v>
      </c>
      <c r="F142" s="130"/>
      <c r="G142" s="130"/>
    </row>
    <row r="143" spans="1:7" ht="14.25" customHeight="1" x14ac:dyDescent="0.3">
      <c r="A143" s="319" t="s">
        <v>652</v>
      </c>
      <c r="B143" s="320">
        <v>11767.75</v>
      </c>
      <c r="C143" s="320">
        <v>702.10998535156295</v>
      </c>
      <c r="D143" s="320">
        <f t="shared" si="4"/>
        <v>-1.36290733045432E-2</v>
      </c>
      <c r="E143" s="320">
        <f t="shared" si="5"/>
        <v>-3.6925836883942201E-2</v>
      </c>
      <c r="F143" s="130"/>
      <c r="G143" s="130"/>
    </row>
    <row r="144" spans="1:7" ht="14.25" customHeight="1" x14ac:dyDescent="0.3">
      <c r="A144" s="319" t="s">
        <v>653</v>
      </c>
      <c r="B144" s="320">
        <v>11889.400390625</v>
      </c>
      <c r="C144" s="320">
        <v>715.55999755859398</v>
      </c>
      <c r="D144" s="320">
        <f t="shared" si="4"/>
        <v>1.0337608346965199E-2</v>
      </c>
      <c r="E144" s="320">
        <f t="shared" si="5"/>
        <v>1.9156560208008301E-2</v>
      </c>
      <c r="F144" s="130"/>
      <c r="G144" s="130"/>
    </row>
    <row r="145" spans="1:7" ht="14.25" customHeight="1" x14ac:dyDescent="0.3">
      <c r="A145" s="319" t="s">
        <v>654</v>
      </c>
      <c r="B145" s="320">
        <v>11729.599609375</v>
      </c>
      <c r="C145" s="320">
        <v>712.47998046875</v>
      </c>
      <c r="D145" s="320">
        <f t="shared" si="4"/>
        <v>-1.3440608945763601E-2</v>
      </c>
      <c r="E145" s="320">
        <f t="shared" si="5"/>
        <v>-4.3043449890332501E-3</v>
      </c>
      <c r="F145" s="130"/>
      <c r="G145" s="130"/>
    </row>
    <row r="146" spans="1:7" ht="14.25" customHeight="1" x14ac:dyDescent="0.3">
      <c r="A146" s="319" t="s">
        <v>655</v>
      </c>
      <c r="B146" s="320">
        <v>11670.7998046875</v>
      </c>
      <c r="C146" s="320">
        <v>720.489990234375</v>
      </c>
      <c r="D146" s="320">
        <f t="shared" si="4"/>
        <v>-5.0129421843609799E-3</v>
      </c>
      <c r="E146" s="320">
        <f t="shared" si="5"/>
        <v>1.12424348545978E-2</v>
      </c>
      <c r="F146" s="130"/>
      <c r="G146" s="130"/>
    </row>
    <row r="147" spans="1:7" ht="14.25" customHeight="1" x14ac:dyDescent="0.3">
      <c r="A147" s="319" t="s">
        <v>656</v>
      </c>
      <c r="B147" s="320">
        <v>11642.400390625</v>
      </c>
      <c r="C147" s="320">
        <v>709.78997802734398</v>
      </c>
      <c r="D147" s="320">
        <f t="shared" si="4"/>
        <v>-2.43337342236764E-3</v>
      </c>
      <c r="E147" s="320">
        <f t="shared" si="5"/>
        <v>-1.48510213216846E-2</v>
      </c>
      <c r="F147" s="130"/>
      <c r="G147" s="130"/>
    </row>
    <row r="148" spans="1:7" ht="14.25" customHeight="1" x14ac:dyDescent="0.3">
      <c r="A148" s="319" t="s">
        <v>657</v>
      </c>
      <c r="B148" s="320">
        <v>11669.150390625</v>
      </c>
      <c r="C148" s="320">
        <v>710.33001708984398</v>
      </c>
      <c r="D148" s="320">
        <f t="shared" si="4"/>
        <v>2.29763614911753E-3</v>
      </c>
      <c r="E148" s="320">
        <f t="shared" si="5"/>
        <v>7.6084345963982499E-4</v>
      </c>
      <c r="F148" s="130"/>
      <c r="G148" s="130"/>
    </row>
    <row r="149" spans="1:7" ht="14.25" customHeight="1" x14ac:dyDescent="0.3">
      <c r="A149" s="319" t="s">
        <v>658</v>
      </c>
      <c r="B149" s="320">
        <v>11813.5</v>
      </c>
      <c r="C149" s="320">
        <v>709.80999755859398</v>
      </c>
      <c r="D149" s="320">
        <f t="shared" si="4"/>
        <v>1.23701901631991E-2</v>
      </c>
      <c r="E149" s="320">
        <f t="shared" si="5"/>
        <v>-7.32081594102515E-4</v>
      </c>
      <c r="F149" s="130"/>
      <c r="G149" s="130"/>
    </row>
    <row r="150" spans="1:7" ht="14.25" customHeight="1" x14ac:dyDescent="0.3">
      <c r="A150" s="319" t="s">
        <v>659</v>
      </c>
      <c r="B150" s="320">
        <v>11908.5</v>
      </c>
      <c r="C150" s="320">
        <v>722.02001953125</v>
      </c>
      <c r="D150" s="320">
        <f t="shared" si="4"/>
        <v>8.0416472679561493E-3</v>
      </c>
      <c r="E150" s="320">
        <f t="shared" si="5"/>
        <v>1.7201817408394701E-2</v>
      </c>
      <c r="F150" s="130"/>
      <c r="G150" s="130"/>
    </row>
    <row r="151" spans="1:7" ht="14.25" customHeight="1" x14ac:dyDescent="0.3">
      <c r="A151" s="319" t="s">
        <v>660</v>
      </c>
      <c r="B151" s="320">
        <v>12120.2998046875</v>
      </c>
      <c r="C151" s="320">
        <v>724.80999755859398</v>
      </c>
      <c r="D151" s="320">
        <f t="shared" si="4"/>
        <v>1.7785598915690499E-2</v>
      </c>
      <c r="E151" s="320">
        <f t="shared" si="5"/>
        <v>3.8641283508389201E-3</v>
      </c>
      <c r="F151" s="130"/>
      <c r="G151" s="130"/>
    </row>
    <row r="152" spans="1:7" ht="14.25" customHeight="1" x14ac:dyDescent="0.3">
      <c r="A152" s="319" t="s">
        <v>661</v>
      </c>
      <c r="B152" s="320">
        <v>12263.5498046875</v>
      </c>
      <c r="C152" s="320">
        <v>719.15002441406295</v>
      </c>
      <c r="D152" s="320">
        <f t="shared" si="4"/>
        <v>1.18190145712896E-2</v>
      </c>
      <c r="E152" s="320">
        <f t="shared" si="5"/>
        <v>-7.8089060079134303E-3</v>
      </c>
      <c r="F152" s="130"/>
      <c r="G152" s="130"/>
    </row>
    <row r="153" spans="1:7" ht="14.25" customHeight="1" x14ac:dyDescent="0.3">
      <c r="A153" s="319" t="s">
        <v>662</v>
      </c>
      <c r="B153" s="320">
        <v>12461.0498046875</v>
      </c>
      <c r="C153" s="320">
        <v>726.46002197265602</v>
      </c>
      <c r="D153" s="320">
        <f t="shared" si="4"/>
        <v>1.6104635537461599E-2</v>
      </c>
      <c r="E153" s="320">
        <f t="shared" si="5"/>
        <v>1.0164774122825E-2</v>
      </c>
      <c r="F153" s="130"/>
      <c r="G153" s="130"/>
    </row>
    <row r="154" spans="1:7" ht="14.25" customHeight="1" x14ac:dyDescent="0.3">
      <c r="A154" s="319" t="s">
        <v>663</v>
      </c>
      <c r="B154" s="320">
        <v>12631.099609375</v>
      </c>
      <c r="C154" s="320">
        <v>707.34002685546898</v>
      </c>
      <c r="D154" s="320">
        <f t="shared" si="4"/>
        <v>1.36465071043639E-2</v>
      </c>
      <c r="E154" s="320">
        <f t="shared" si="5"/>
        <v>-2.6319404425405101E-2</v>
      </c>
      <c r="F154" s="130"/>
      <c r="G154" s="130"/>
    </row>
    <row r="155" spans="1:7" ht="14.25" customHeight="1" x14ac:dyDescent="0.3">
      <c r="A155" s="319" t="s">
        <v>664</v>
      </c>
      <c r="B155" s="320">
        <v>12749.150390625</v>
      </c>
      <c r="C155" s="320">
        <v>708.84997558593795</v>
      </c>
      <c r="D155" s="320">
        <f t="shared" si="4"/>
        <v>9.3460415087203395E-3</v>
      </c>
      <c r="E155" s="320">
        <f t="shared" si="5"/>
        <v>2.13468582738285E-3</v>
      </c>
      <c r="F155" s="130"/>
      <c r="G155" s="130"/>
    </row>
    <row r="156" spans="1:7" ht="14.25" customHeight="1" x14ac:dyDescent="0.3">
      <c r="A156" s="319" t="s">
        <v>665</v>
      </c>
      <c r="B156" s="320">
        <v>12690.7998046875</v>
      </c>
      <c r="C156" s="320">
        <v>735.35998535156295</v>
      </c>
      <c r="D156" s="320">
        <f t="shared" si="4"/>
        <v>-4.5768215253314199E-3</v>
      </c>
      <c r="E156" s="320">
        <f t="shared" si="5"/>
        <v>3.7398618436449399E-2</v>
      </c>
      <c r="F156" s="130"/>
      <c r="G156" s="130"/>
    </row>
    <row r="157" spans="1:7" ht="14.25" customHeight="1" x14ac:dyDescent="0.3">
      <c r="A157" s="319" t="s">
        <v>666</v>
      </c>
      <c r="B157" s="320">
        <v>12719.9501953125</v>
      </c>
      <c r="C157" s="320">
        <v>771.989990234375</v>
      </c>
      <c r="D157" s="320">
        <f t="shared" si="4"/>
        <v>2.2969703307614202E-3</v>
      </c>
      <c r="E157" s="320">
        <f t="shared" si="5"/>
        <v>4.9812344446917199E-2</v>
      </c>
      <c r="F157" s="130"/>
      <c r="G157" s="130"/>
    </row>
    <row r="158" spans="1:7" ht="14.25" customHeight="1" x14ac:dyDescent="0.3">
      <c r="A158" s="319" t="s">
        <v>667</v>
      </c>
      <c r="B158" s="320">
        <v>12874.2001953125</v>
      </c>
      <c r="C158" s="320">
        <v>785.04998779296898</v>
      </c>
      <c r="D158" s="320">
        <f t="shared" si="4"/>
        <v>1.2126619808373399E-2</v>
      </c>
      <c r="E158" s="320">
        <f t="shared" si="5"/>
        <v>1.6917314633352901E-2</v>
      </c>
      <c r="F158" s="130"/>
      <c r="G158" s="130"/>
    </row>
    <row r="159" spans="1:7" ht="14.25" customHeight="1" x14ac:dyDescent="0.3">
      <c r="A159" s="319" t="s">
        <v>668</v>
      </c>
      <c r="B159" s="320">
        <v>12938.25</v>
      </c>
      <c r="C159" s="320">
        <v>792.85998535156295</v>
      </c>
      <c r="D159" s="320">
        <f t="shared" si="4"/>
        <v>4.9750511655722498E-3</v>
      </c>
      <c r="E159" s="320">
        <f t="shared" si="5"/>
        <v>9.9484079740583403E-3</v>
      </c>
      <c r="F159" s="130"/>
      <c r="G159" s="130"/>
    </row>
    <row r="160" spans="1:7" ht="14.25" customHeight="1" x14ac:dyDescent="0.3">
      <c r="A160" s="319" t="s">
        <v>669</v>
      </c>
      <c r="B160" s="320">
        <v>12771.7001953125</v>
      </c>
      <c r="C160" s="320">
        <v>766.84002685546898</v>
      </c>
      <c r="D160" s="320">
        <f t="shared" si="4"/>
        <v>-1.28726686134137E-2</v>
      </c>
      <c r="E160" s="320">
        <f t="shared" si="5"/>
        <v>-3.28178480145601E-2</v>
      </c>
      <c r="F160" s="130"/>
      <c r="G160" s="130"/>
    </row>
    <row r="161" spans="1:7" ht="14.25" customHeight="1" x14ac:dyDescent="0.3">
      <c r="A161" s="319" t="s">
        <v>670</v>
      </c>
      <c r="B161" s="320">
        <v>12859.0498046875</v>
      </c>
      <c r="C161" s="320">
        <v>796.08001708984398</v>
      </c>
      <c r="D161" s="320">
        <f t="shared" si="4"/>
        <v>6.83930941371919E-3</v>
      </c>
      <c r="E161" s="320">
        <f t="shared" si="5"/>
        <v>3.8130495553652201E-2</v>
      </c>
      <c r="F161" s="130"/>
      <c r="G161" s="130"/>
    </row>
    <row r="162" spans="1:7" ht="14.25" customHeight="1" x14ac:dyDescent="0.3">
      <c r="A162" s="319" t="s">
        <v>671</v>
      </c>
      <c r="B162" s="320">
        <v>12926.4501953125</v>
      </c>
      <c r="C162" s="320">
        <v>811.69000244140602</v>
      </c>
      <c r="D162" s="320">
        <f t="shared" si="4"/>
        <v>5.2414751983020204E-3</v>
      </c>
      <c r="E162" s="320">
        <f t="shared" si="5"/>
        <v>1.9608563230397402E-2</v>
      </c>
      <c r="F162" s="130"/>
      <c r="G162" s="130"/>
    </row>
    <row r="163" spans="1:7" ht="14.25" customHeight="1" x14ac:dyDescent="0.3">
      <c r="A163" s="319" t="s">
        <v>672</v>
      </c>
      <c r="B163" s="320">
        <v>13055.150390625</v>
      </c>
      <c r="C163" s="320">
        <v>809.58001708984398</v>
      </c>
      <c r="D163" s="320">
        <f t="shared" si="4"/>
        <v>9.9563448098976392E-3</v>
      </c>
      <c r="E163" s="320">
        <f t="shared" si="5"/>
        <v>-2.5994965383528399E-3</v>
      </c>
      <c r="F163" s="130"/>
      <c r="G163" s="130"/>
    </row>
    <row r="164" spans="1:7" ht="14.25" customHeight="1" x14ac:dyDescent="0.3">
      <c r="A164" s="319" t="s">
        <v>673</v>
      </c>
      <c r="B164" s="320">
        <v>12858.400390625</v>
      </c>
      <c r="C164" s="320">
        <v>808.35998535156295</v>
      </c>
      <c r="D164" s="320">
        <f t="shared" si="4"/>
        <v>-1.5070680468092301E-2</v>
      </c>
      <c r="E164" s="320">
        <f t="shared" si="5"/>
        <v>-1.50699339475622E-3</v>
      </c>
      <c r="F164" s="130"/>
      <c r="G164" s="130"/>
    </row>
    <row r="165" spans="1:7" ht="14.25" customHeight="1" x14ac:dyDescent="0.3">
      <c r="A165" s="319" t="s">
        <v>674</v>
      </c>
      <c r="B165" s="320">
        <v>12987</v>
      </c>
      <c r="C165" s="320">
        <v>835.90002441406295</v>
      </c>
      <c r="D165" s="320">
        <f t="shared" si="4"/>
        <v>1.00012136399767E-2</v>
      </c>
      <c r="E165" s="320">
        <f t="shared" si="5"/>
        <v>3.4069028108216701E-2</v>
      </c>
      <c r="F165" s="130"/>
      <c r="G165" s="130"/>
    </row>
    <row r="166" spans="1:7" ht="14.25" customHeight="1" x14ac:dyDescent="0.3">
      <c r="A166" s="319" t="s">
        <v>675</v>
      </c>
      <c r="B166" s="320">
        <v>12968.9501953125</v>
      </c>
      <c r="C166" s="320">
        <v>861.27001953125</v>
      </c>
      <c r="D166" s="320">
        <f t="shared" si="4"/>
        <v>-1.38983635077385E-3</v>
      </c>
      <c r="E166" s="320">
        <f t="shared" si="5"/>
        <v>3.0350513669347601E-2</v>
      </c>
      <c r="F166" s="130"/>
      <c r="G166" s="130"/>
    </row>
    <row r="167" spans="1:7" ht="14.25" customHeight="1" x14ac:dyDescent="0.3">
      <c r="A167" s="319" t="s">
        <v>676</v>
      </c>
      <c r="B167" s="320">
        <v>13109.0498046875</v>
      </c>
      <c r="C167" s="320">
        <v>841.35998535156295</v>
      </c>
      <c r="D167" s="320">
        <f t="shared" si="4"/>
        <v>1.0802694687318501E-2</v>
      </c>
      <c r="E167" s="320">
        <f t="shared" si="5"/>
        <v>-2.3117064019624399E-2</v>
      </c>
      <c r="F167" s="130"/>
      <c r="G167" s="130"/>
    </row>
    <row r="168" spans="1:7" ht="14.25" customHeight="1" x14ac:dyDescent="0.3">
      <c r="A168" s="319" t="s">
        <v>677</v>
      </c>
      <c r="B168" s="320">
        <v>13113.75</v>
      </c>
      <c r="C168" s="320">
        <v>841</v>
      </c>
      <c r="D168" s="320">
        <f t="shared" si="4"/>
        <v>3.5854584295036499E-4</v>
      </c>
      <c r="E168" s="320">
        <f t="shared" si="5"/>
        <v>-4.2786126964730202E-4</v>
      </c>
      <c r="F168" s="130"/>
      <c r="G168" s="130"/>
    </row>
    <row r="169" spans="1:7" ht="14.25" customHeight="1" x14ac:dyDescent="0.3">
      <c r="A169" s="319" t="s">
        <v>678</v>
      </c>
      <c r="B169" s="320">
        <v>13133.900390625</v>
      </c>
      <c r="C169" s="320">
        <v>831.54998779296898</v>
      </c>
      <c r="D169" s="320">
        <f t="shared" si="4"/>
        <v>1.53658492993995E-3</v>
      </c>
      <c r="E169" s="320">
        <f t="shared" si="5"/>
        <v>-1.12366375826766E-2</v>
      </c>
      <c r="F169" s="130"/>
      <c r="G169" s="130"/>
    </row>
    <row r="170" spans="1:7" ht="14.25" customHeight="1" x14ac:dyDescent="0.3">
      <c r="A170" s="319" t="s">
        <v>679</v>
      </c>
      <c r="B170" s="320">
        <v>13258.5498046875</v>
      </c>
      <c r="C170" s="320">
        <v>847.20001220703102</v>
      </c>
      <c r="D170" s="320">
        <f t="shared" si="4"/>
        <v>9.4906623588735996E-3</v>
      </c>
      <c r="E170" s="320">
        <f t="shared" si="5"/>
        <v>1.8820305025316699E-2</v>
      </c>
      <c r="F170" s="130"/>
      <c r="G170" s="130"/>
    </row>
    <row r="171" spans="1:7" ht="14.25" customHeight="1" x14ac:dyDescent="0.3">
      <c r="A171" s="319" t="s">
        <v>680</v>
      </c>
      <c r="B171" s="320">
        <v>13355.75</v>
      </c>
      <c r="C171" s="320">
        <v>863.16998291015602</v>
      </c>
      <c r="D171" s="320">
        <f t="shared" si="4"/>
        <v>7.3311332494399402E-3</v>
      </c>
      <c r="E171" s="320">
        <f t="shared" si="5"/>
        <v>1.8850295648039299E-2</v>
      </c>
      <c r="F171" s="130"/>
      <c r="G171" s="130"/>
    </row>
    <row r="172" spans="1:7" ht="14.25" customHeight="1" x14ac:dyDescent="0.3">
      <c r="A172" s="319" t="s">
        <v>681</v>
      </c>
      <c r="B172" s="320">
        <v>13392.9501953125</v>
      </c>
      <c r="C172" s="320">
        <v>853.83001708984398</v>
      </c>
      <c r="D172" s="320">
        <f t="shared" si="4"/>
        <v>2.78533180933306E-3</v>
      </c>
      <c r="E172" s="320">
        <f t="shared" si="5"/>
        <v>-1.08205405716526E-2</v>
      </c>
      <c r="F172" s="130"/>
      <c r="G172" s="130"/>
    </row>
    <row r="173" spans="1:7" ht="14.25" customHeight="1" x14ac:dyDescent="0.3">
      <c r="A173" s="319" t="s">
        <v>682</v>
      </c>
      <c r="B173" s="320">
        <v>13529.099609375</v>
      </c>
      <c r="C173" s="320">
        <v>876.66998291015602</v>
      </c>
      <c r="D173" s="320">
        <f t="shared" si="4"/>
        <v>1.01657522858669E-2</v>
      </c>
      <c r="E173" s="320">
        <f t="shared" si="5"/>
        <v>2.6750015065245401E-2</v>
      </c>
      <c r="F173" s="130"/>
      <c r="G173" s="130"/>
    </row>
    <row r="174" spans="1:7" ht="14.25" customHeight="1" x14ac:dyDescent="0.3">
      <c r="A174" s="319" t="s">
        <v>683</v>
      </c>
      <c r="B174" s="320">
        <v>13478.2998046875</v>
      </c>
      <c r="C174" s="320">
        <v>918.22998046875</v>
      </c>
      <c r="D174" s="320">
        <f t="shared" si="4"/>
        <v>-3.7548548058806701E-3</v>
      </c>
      <c r="E174" s="320">
        <f t="shared" si="5"/>
        <v>4.7406661992273502E-2</v>
      </c>
      <c r="F174" s="130"/>
      <c r="G174" s="130"/>
    </row>
    <row r="175" spans="1:7" ht="14.25" customHeight="1" x14ac:dyDescent="0.3">
      <c r="A175" s="319" t="s">
        <v>684</v>
      </c>
      <c r="B175" s="320">
        <v>13513.849609375</v>
      </c>
      <c r="C175" s="320">
        <v>904.27001953125</v>
      </c>
      <c r="D175" s="320">
        <f t="shared" si="4"/>
        <v>2.6375585350265399E-3</v>
      </c>
      <c r="E175" s="320">
        <f t="shared" si="5"/>
        <v>-1.52031203886128E-2</v>
      </c>
      <c r="F175" s="130"/>
      <c r="G175" s="130"/>
    </row>
    <row r="176" spans="1:7" ht="14.25" customHeight="1" x14ac:dyDescent="0.3">
      <c r="A176" s="319" t="s">
        <v>685</v>
      </c>
      <c r="B176" s="320">
        <v>13558.150390625</v>
      </c>
      <c r="C176" s="320">
        <v>934.510009765625</v>
      </c>
      <c r="D176" s="320">
        <f t="shared" si="4"/>
        <v>3.27817628067039E-3</v>
      </c>
      <c r="E176" s="320">
        <f t="shared" si="5"/>
        <v>3.3441327901206602E-2</v>
      </c>
      <c r="F176" s="130"/>
      <c r="G176" s="130"/>
    </row>
    <row r="177" spans="1:7" ht="14.25" customHeight="1" x14ac:dyDescent="0.3">
      <c r="A177" s="319" t="s">
        <v>686</v>
      </c>
      <c r="B177" s="320">
        <v>13567.849609375</v>
      </c>
      <c r="C177" s="320">
        <v>927.80999755859398</v>
      </c>
      <c r="D177" s="320">
        <f t="shared" si="4"/>
        <v>7.1537919779284095E-4</v>
      </c>
      <c r="E177" s="320">
        <f t="shared" si="5"/>
        <v>-7.1695456838513499E-3</v>
      </c>
      <c r="F177" s="130"/>
      <c r="G177" s="130"/>
    </row>
    <row r="178" spans="1:7" ht="14.25" customHeight="1" x14ac:dyDescent="0.3">
      <c r="A178" s="319" t="s">
        <v>687</v>
      </c>
      <c r="B178" s="320">
        <v>13682.7001953125</v>
      </c>
      <c r="C178" s="320">
        <v>920.22998046875</v>
      </c>
      <c r="D178" s="320">
        <f t="shared" si="4"/>
        <v>8.4649070592691007E-3</v>
      </c>
      <c r="E178" s="320">
        <f t="shared" si="5"/>
        <v>-8.1697945805604202E-3</v>
      </c>
      <c r="F178" s="130"/>
      <c r="G178" s="130"/>
    </row>
    <row r="179" spans="1:7" ht="14.25" customHeight="1" x14ac:dyDescent="0.3">
      <c r="A179" s="319" t="s">
        <v>688</v>
      </c>
      <c r="B179" s="320">
        <v>13740.7001953125</v>
      </c>
      <c r="C179" s="320">
        <v>912.15002441406295</v>
      </c>
      <c r="D179" s="320">
        <f t="shared" si="4"/>
        <v>4.2389293905504104E-3</v>
      </c>
      <c r="E179" s="320">
        <f t="shared" si="5"/>
        <v>-8.7803660239055108E-3</v>
      </c>
      <c r="F179" s="130"/>
      <c r="G179" s="130"/>
    </row>
    <row r="180" spans="1:7" ht="14.25" customHeight="1" x14ac:dyDescent="0.3">
      <c r="A180" s="319" t="s">
        <v>689</v>
      </c>
      <c r="B180" s="320">
        <v>13760.5498046875</v>
      </c>
      <c r="C180" s="320">
        <v>928.84997558593795</v>
      </c>
      <c r="D180" s="320">
        <f t="shared" si="4"/>
        <v>1.4445849987886001E-3</v>
      </c>
      <c r="E180" s="320">
        <f t="shared" si="5"/>
        <v>1.8308338239208501E-2</v>
      </c>
      <c r="F180" s="130"/>
      <c r="G180" s="130"/>
    </row>
    <row r="181" spans="1:7" ht="14.25" customHeight="1" x14ac:dyDescent="0.3">
      <c r="A181" s="319" t="s">
        <v>690</v>
      </c>
      <c r="B181" s="320">
        <v>13328.400390625</v>
      </c>
      <c r="C181" s="320">
        <v>895.969970703125</v>
      </c>
      <c r="D181" s="320">
        <f t="shared" si="4"/>
        <v>-3.1404952577933298E-2</v>
      </c>
      <c r="E181" s="320">
        <f t="shared" si="5"/>
        <v>-3.5398617373135599E-2</v>
      </c>
      <c r="F181" s="130"/>
      <c r="G181" s="130"/>
    </row>
    <row r="182" spans="1:7" ht="14.25" customHeight="1" x14ac:dyDescent="0.3">
      <c r="A182" s="319" t="s">
        <v>691</v>
      </c>
      <c r="B182" s="320">
        <v>13466.2998046875</v>
      </c>
      <c r="C182" s="320">
        <v>924.92999267578102</v>
      </c>
      <c r="D182" s="320">
        <f t="shared" si="4"/>
        <v>1.03462838766081E-2</v>
      </c>
      <c r="E182" s="320">
        <f t="shared" si="5"/>
        <v>3.2322536379125799E-2</v>
      </c>
      <c r="F182" s="130"/>
      <c r="G182" s="130"/>
    </row>
    <row r="183" spans="1:7" ht="14.25" customHeight="1" x14ac:dyDescent="0.3">
      <c r="A183" s="319" t="s">
        <v>692</v>
      </c>
      <c r="B183" s="320">
        <v>13601.099609375</v>
      </c>
      <c r="C183" s="320">
        <v>933.11999511718795</v>
      </c>
      <c r="D183" s="320">
        <f t="shared" si="4"/>
        <v>1.00101591857161E-2</v>
      </c>
      <c r="E183" s="320">
        <f t="shared" si="5"/>
        <v>8.85472685096266E-3</v>
      </c>
      <c r="F183" s="130"/>
      <c r="G183" s="130"/>
    </row>
    <row r="184" spans="1:7" ht="14.25" customHeight="1" x14ac:dyDescent="0.3">
      <c r="A184" s="319" t="s">
        <v>693</v>
      </c>
      <c r="B184" s="320">
        <v>13749.25</v>
      </c>
      <c r="C184" s="320">
        <v>924.66998291015602</v>
      </c>
      <c r="D184" s="320">
        <f t="shared" si="4"/>
        <v>1.08925303747414E-2</v>
      </c>
      <c r="E184" s="320">
        <f t="shared" si="5"/>
        <v>-9.0556544187767804E-3</v>
      </c>
      <c r="F184" s="130"/>
      <c r="G184" s="130"/>
    </row>
    <row r="185" spans="1:7" ht="14.25" customHeight="1" x14ac:dyDescent="0.3">
      <c r="A185" s="319" t="s">
        <v>694</v>
      </c>
      <c r="B185" s="320">
        <v>13873.2001953125</v>
      </c>
      <c r="C185" s="320">
        <v>925.86999511718795</v>
      </c>
      <c r="D185" s="320">
        <f t="shared" si="4"/>
        <v>9.0150513891666794E-3</v>
      </c>
      <c r="E185" s="320">
        <f t="shared" si="5"/>
        <v>1.29777350753315E-3</v>
      </c>
      <c r="F185" s="130"/>
      <c r="G185" s="130"/>
    </row>
    <row r="186" spans="1:7" ht="14.25" customHeight="1" x14ac:dyDescent="0.3">
      <c r="A186" s="319" t="s">
        <v>695</v>
      </c>
      <c r="B186" s="320">
        <v>13932.599609375</v>
      </c>
      <c r="C186" s="320">
        <v>940.65002441406295</v>
      </c>
      <c r="D186" s="320">
        <f t="shared" si="4"/>
        <v>4.2815942411448798E-3</v>
      </c>
      <c r="E186" s="320">
        <f t="shared" si="5"/>
        <v>1.5963395913920202E-2</v>
      </c>
      <c r="F186" s="130"/>
      <c r="G186" s="130"/>
    </row>
    <row r="187" spans="1:7" ht="14.25" customHeight="1" x14ac:dyDescent="0.3">
      <c r="A187" s="319" t="s">
        <v>696</v>
      </c>
      <c r="B187" s="320">
        <v>13981.9501953125</v>
      </c>
      <c r="C187" s="320">
        <v>955.53997802734398</v>
      </c>
      <c r="D187" s="320">
        <f t="shared" si="4"/>
        <v>3.5420946069743401E-3</v>
      </c>
      <c r="E187" s="320">
        <f t="shared" si="5"/>
        <v>1.5829429890841799E-2</v>
      </c>
      <c r="F187" s="130"/>
      <c r="G187" s="130"/>
    </row>
    <row r="188" spans="1:7" ht="14.25" customHeight="1" x14ac:dyDescent="0.3">
      <c r="A188" s="319" t="s">
        <v>697</v>
      </c>
      <c r="B188" s="320">
        <v>13981.75</v>
      </c>
      <c r="C188" s="320">
        <v>951.58001708984398</v>
      </c>
      <c r="D188" s="320">
        <f t="shared" si="4"/>
        <v>-1.43181251330101E-5</v>
      </c>
      <c r="E188" s="320">
        <f t="shared" si="5"/>
        <v>-4.1442127263739501E-3</v>
      </c>
      <c r="F188" s="130"/>
      <c r="G188" s="130"/>
    </row>
    <row r="189" spans="1:7" ht="14.25" customHeight="1" x14ac:dyDescent="0.3">
      <c r="A189" s="319" t="s">
        <v>698</v>
      </c>
      <c r="B189" s="320">
        <v>14018.5</v>
      </c>
      <c r="C189" s="320">
        <v>950.94000244140602</v>
      </c>
      <c r="D189" s="320">
        <f t="shared" si="4"/>
        <v>2.6284263414808602E-3</v>
      </c>
      <c r="E189" s="320">
        <f t="shared" si="5"/>
        <v>-6.7258100941975502E-4</v>
      </c>
      <c r="F189" s="130"/>
      <c r="G189" s="130"/>
    </row>
    <row r="190" spans="1:7" ht="14.25" customHeight="1" x14ac:dyDescent="0.3">
      <c r="A190" s="319" t="s">
        <v>699</v>
      </c>
      <c r="B190" s="320">
        <v>14132.900390625</v>
      </c>
      <c r="C190" s="320">
        <v>966.530029296875</v>
      </c>
      <c r="D190" s="320">
        <f t="shared" si="4"/>
        <v>8.1606727271105999E-3</v>
      </c>
      <c r="E190" s="320">
        <f t="shared" si="5"/>
        <v>1.6394332781714701E-2</v>
      </c>
      <c r="F190" s="130"/>
      <c r="G190" s="130"/>
    </row>
    <row r="191" spans="1:7" ht="14.25" customHeight="1" x14ac:dyDescent="0.3">
      <c r="A191" s="319" t="s">
        <v>700</v>
      </c>
      <c r="B191" s="320">
        <v>14199.5</v>
      </c>
      <c r="C191" s="320">
        <v>1098.88000488281</v>
      </c>
      <c r="D191" s="320">
        <f t="shared" si="4"/>
        <v>4.7123808655142397E-3</v>
      </c>
      <c r="E191" s="320">
        <f t="shared" si="5"/>
        <v>0.136933123207994</v>
      </c>
      <c r="F191" s="130"/>
      <c r="G191" s="130"/>
    </row>
    <row r="192" spans="1:7" ht="14.25" customHeight="1" x14ac:dyDescent="0.3">
      <c r="A192" s="319" t="s">
        <v>701</v>
      </c>
      <c r="B192" s="320">
        <v>14146.25</v>
      </c>
      <c r="C192" s="320">
        <v>1051.9599609375</v>
      </c>
      <c r="D192" s="320">
        <f t="shared" si="4"/>
        <v>-3.7501320469030602E-3</v>
      </c>
      <c r="E192" s="320">
        <f t="shared" si="5"/>
        <v>-4.2698059603253798E-2</v>
      </c>
      <c r="F192" s="130"/>
      <c r="G192" s="130"/>
    </row>
    <row r="193" spans="1:7" ht="14.25" customHeight="1" x14ac:dyDescent="0.3">
      <c r="A193" s="319" t="s">
        <v>702</v>
      </c>
      <c r="B193" s="320">
        <v>14137.349609375</v>
      </c>
      <c r="C193" s="320">
        <v>1062.25</v>
      </c>
      <c r="D193" s="320">
        <f t="shared" si="4"/>
        <v>-6.2916961208800903E-4</v>
      </c>
      <c r="E193" s="320">
        <f t="shared" si="5"/>
        <v>9.7817782468921904E-3</v>
      </c>
      <c r="F193" s="130"/>
      <c r="G193" s="130"/>
    </row>
    <row r="194" spans="1:7" ht="14.25" customHeight="1" x14ac:dyDescent="0.3">
      <c r="A194" s="319" t="s">
        <v>703</v>
      </c>
      <c r="B194" s="320">
        <v>14347.25</v>
      </c>
      <c r="C194" s="320">
        <v>1082.43994140625</v>
      </c>
      <c r="D194" s="320">
        <f t="shared" si="4"/>
        <v>1.48472235903261E-2</v>
      </c>
      <c r="E194" s="320">
        <f t="shared" si="5"/>
        <v>1.9006769975288301E-2</v>
      </c>
      <c r="F194" s="130"/>
      <c r="G194" s="130"/>
    </row>
    <row r="195" spans="1:7" ht="14.25" customHeight="1" x14ac:dyDescent="0.3">
      <c r="A195" s="319" t="s">
        <v>704</v>
      </c>
      <c r="B195" s="320">
        <v>14484.75</v>
      </c>
      <c r="C195" s="320">
        <v>1095.78002929688</v>
      </c>
      <c r="D195" s="320">
        <f t="shared" ref="D195:D258" si="6">(B195-B194)/B194</f>
        <v>9.5837181341371994E-3</v>
      </c>
      <c r="E195" s="320">
        <f t="shared" ref="E195:E258" si="7">(C195-C194)/C194</f>
        <v>1.23240905849236E-2</v>
      </c>
      <c r="F195" s="130"/>
      <c r="G195" s="130"/>
    </row>
    <row r="196" spans="1:7" ht="14.25" customHeight="1" x14ac:dyDescent="0.3">
      <c r="A196" s="319" t="s">
        <v>705</v>
      </c>
      <c r="B196" s="320">
        <v>14563.4501953125</v>
      </c>
      <c r="C196" s="320">
        <v>1073.93994140625</v>
      </c>
      <c r="D196" s="320">
        <f t="shared" si="6"/>
        <v>5.4333140242323798E-3</v>
      </c>
      <c r="E196" s="320">
        <f t="shared" si="7"/>
        <v>-1.9931087724462299E-2</v>
      </c>
      <c r="F196" s="130"/>
      <c r="G196" s="130"/>
    </row>
    <row r="197" spans="1:7" ht="14.25" customHeight="1" x14ac:dyDescent="0.3">
      <c r="A197" s="319" t="s">
        <v>706</v>
      </c>
      <c r="B197" s="320">
        <v>14564.849609375</v>
      </c>
      <c r="C197" s="320">
        <v>1051.91003417969</v>
      </c>
      <c r="D197" s="320">
        <f t="shared" si="6"/>
        <v>9.6090833128981097E-5</v>
      </c>
      <c r="E197" s="320">
        <f t="shared" si="7"/>
        <v>-2.0513165007824699E-2</v>
      </c>
      <c r="F197" s="130"/>
      <c r="G197" s="130"/>
    </row>
    <row r="198" spans="1:7" ht="14.25" customHeight="1" x14ac:dyDescent="0.3">
      <c r="A198" s="319" t="s">
        <v>707</v>
      </c>
      <c r="B198" s="320">
        <v>14595.599609375</v>
      </c>
      <c r="C198" s="320">
        <v>1036.01000976563</v>
      </c>
      <c r="D198" s="320">
        <f t="shared" si="6"/>
        <v>2.1112473403231699E-3</v>
      </c>
      <c r="E198" s="320">
        <f t="shared" si="7"/>
        <v>-1.51153842984864E-2</v>
      </c>
      <c r="F198" s="130"/>
      <c r="G198" s="130"/>
    </row>
    <row r="199" spans="1:7" ht="14.25" customHeight="1" x14ac:dyDescent="0.3">
      <c r="A199" s="319" t="s">
        <v>708</v>
      </c>
      <c r="B199" s="320">
        <v>14433.7001953125</v>
      </c>
      <c r="C199" s="320">
        <v>1002.71997070313</v>
      </c>
      <c r="D199" s="320">
        <f t="shared" si="6"/>
        <v>-1.10923441582016E-2</v>
      </c>
      <c r="E199" s="320">
        <f t="shared" si="7"/>
        <v>-3.2132931871991302E-2</v>
      </c>
      <c r="F199" s="130"/>
      <c r="G199" s="130"/>
    </row>
    <row r="200" spans="1:7" ht="14.25" customHeight="1" x14ac:dyDescent="0.3">
      <c r="A200" s="319" t="s">
        <v>709</v>
      </c>
      <c r="B200" s="320">
        <v>14281.2998046875</v>
      </c>
      <c r="C200" s="320">
        <v>979.280029296875</v>
      </c>
      <c r="D200" s="320">
        <f t="shared" si="6"/>
        <v>-1.05586501425666E-2</v>
      </c>
      <c r="E200" s="320">
        <f t="shared" si="7"/>
        <v>-2.33763583962713E-2</v>
      </c>
      <c r="F200" s="130"/>
      <c r="G200" s="130"/>
    </row>
    <row r="201" spans="1:7" ht="14.25" customHeight="1" x14ac:dyDescent="0.3">
      <c r="A201" s="319" t="s">
        <v>710</v>
      </c>
      <c r="B201" s="320">
        <v>14521.150390625</v>
      </c>
      <c r="C201" s="320">
        <v>985.47998046875</v>
      </c>
      <c r="D201" s="320">
        <f t="shared" si="6"/>
        <v>1.6794730817062901E-2</v>
      </c>
      <c r="E201" s="320">
        <f t="shared" si="7"/>
        <v>6.33113204230926E-3</v>
      </c>
      <c r="F201" s="130"/>
      <c r="G201" s="130"/>
    </row>
    <row r="202" spans="1:7" ht="14.25" customHeight="1" x14ac:dyDescent="0.3">
      <c r="A202" s="319" t="s">
        <v>711</v>
      </c>
      <c r="B202" s="320">
        <v>14644.7001953125</v>
      </c>
      <c r="C202" s="320">
        <v>1033.92004394531</v>
      </c>
      <c r="D202" s="320">
        <f t="shared" si="6"/>
        <v>8.5082656238630403E-3</v>
      </c>
      <c r="E202" s="320">
        <f t="shared" si="7"/>
        <v>4.9153777282740098E-2</v>
      </c>
      <c r="F202" s="130"/>
      <c r="G202" s="130"/>
    </row>
    <row r="203" spans="1:7" ht="14.25" customHeight="1" x14ac:dyDescent="0.3">
      <c r="A203" s="319" t="s">
        <v>712</v>
      </c>
      <c r="B203" s="320">
        <v>14590.349609375</v>
      </c>
      <c r="C203" s="320">
        <v>1041.55004882813</v>
      </c>
      <c r="D203" s="320">
        <f t="shared" si="6"/>
        <v>-3.7112802046228698E-3</v>
      </c>
      <c r="E203" s="320">
        <f t="shared" si="7"/>
        <v>7.3796856222120002E-3</v>
      </c>
      <c r="F203" s="130"/>
      <c r="G203" s="130"/>
    </row>
    <row r="204" spans="1:7" ht="14.25" customHeight="1" x14ac:dyDescent="0.3">
      <c r="A204" s="319" t="s">
        <v>713</v>
      </c>
      <c r="B204" s="320">
        <v>14371.900390625</v>
      </c>
      <c r="C204" s="320">
        <v>1068.40002441406</v>
      </c>
      <c r="D204" s="320">
        <f t="shared" si="6"/>
        <v>-1.49721716475962E-2</v>
      </c>
      <c r="E204" s="320">
        <f t="shared" si="7"/>
        <v>2.5778862586718201E-2</v>
      </c>
      <c r="F204" s="130"/>
      <c r="G204" s="130"/>
    </row>
    <row r="205" spans="1:7" ht="14.25" customHeight="1" x14ac:dyDescent="0.3">
      <c r="A205" s="319" t="s">
        <v>714</v>
      </c>
      <c r="B205" s="320">
        <v>14238.900390625</v>
      </c>
      <c r="C205" s="320">
        <v>997.16998291015602</v>
      </c>
      <c r="D205" s="320">
        <f t="shared" si="6"/>
        <v>-9.2541693433081298E-3</v>
      </c>
      <c r="E205" s="320">
        <f t="shared" si="7"/>
        <v>-6.66698239200888E-2</v>
      </c>
      <c r="F205" s="130"/>
      <c r="G205" s="130"/>
    </row>
    <row r="206" spans="1:7" ht="14.25" customHeight="1" x14ac:dyDescent="0.3">
      <c r="A206" s="319" t="s">
        <v>715</v>
      </c>
      <c r="B206" s="320">
        <v>13967.5</v>
      </c>
      <c r="C206" s="320">
        <v>941.530029296875</v>
      </c>
      <c r="D206" s="320">
        <f t="shared" si="6"/>
        <v>-1.9060488041878001E-2</v>
      </c>
      <c r="E206" s="320">
        <f t="shared" si="7"/>
        <v>-5.5797862517783098E-2</v>
      </c>
      <c r="F206" s="130"/>
      <c r="G206" s="130"/>
    </row>
    <row r="207" spans="1:7" ht="14.25" customHeight="1" x14ac:dyDescent="0.3">
      <c r="A207" s="319" t="s">
        <v>716</v>
      </c>
      <c r="B207" s="320">
        <v>13817.5498046875</v>
      </c>
      <c r="C207" s="320">
        <v>907.34997558593795</v>
      </c>
      <c r="D207" s="320">
        <f t="shared" si="6"/>
        <v>-1.07356502819044E-2</v>
      </c>
      <c r="E207" s="320">
        <f t="shared" si="7"/>
        <v>-3.6302669747519799E-2</v>
      </c>
      <c r="F207" s="130"/>
      <c r="G207" s="130"/>
    </row>
    <row r="208" spans="1:7" ht="14.25" customHeight="1" x14ac:dyDescent="0.3">
      <c r="A208" s="319" t="s">
        <v>717</v>
      </c>
      <c r="B208" s="320">
        <v>13634.599609375</v>
      </c>
      <c r="C208" s="320">
        <v>872.79998779296898</v>
      </c>
      <c r="D208" s="320">
        <f t="shared" si="6"/>
        <v>-1.3240422354072899E-2</v>
      </c>
      <c r="E208" s="320">
        <f t="shared" si="7"/>
        <v>-3.8077906786361797E-2</v>
      </c>
      <c r="F208" s="130"/>
      <c r="G208" s="130"/>
    </row>
    <row r="209" spans="1:7" ht="14.25" customHeight="1" x14ac:dyDescent="0.3">
      <c r="A209" s="319" t="s">
        <v>718</v>
      </c>
      <c r="B209" s="320">
        <v>14281.2001953125</v>
      </c>
      <c r="C209" s="320">
        <v>909.91998291015602</v>
      </c>
      <c r="D209" s="320">
        <f t="shared" si="6"/>
        <v>4.7423511101338398E-2</v>
      </c>
      <c r="E209" s="320">
        <f t="shared" si="7"/>
        <v>4.2529784184635003E-2</v>
      </c>
      <c r="F209" s="130"/>
      <c r="G209" s="130"/>
    </row>
    <row r="210" spans="1:7" ht="14.25" customHeight="1" x14ac:dyDescent="0.3">
      <c r="A210" s="319" t="s">
        <v>719</v>
      </c>
      <c r="B210" s="320">
        <v>14647.849609375</v>
      </c>
      <c r="C210" s="320">
        <v>972.29998779296898</v>
      </c>
      <c r="D210" s="320">
        <f t="shared" si="6"/>
        <v>2.56735714819574E-2</v>
      </c>
      <c r="E210" s="320">
        <f t="shared" si="7"/>
        <v>6.8555484058395802E-2</v>
      </c>
      <c r="F210" s="130"/>
      <c r="G210" s="130"/>
    </row>
    <row r="211" spans="1:7" ht="14.25" customHeight="1" x14ac:dyDescent="0.3">
      <c r="A211" s="319" t="s">
        <v>720</v>
      </c>
      <c r="B211" s="320">
        <v>14789.9501953125</v>
      </c>
      <c r="C211" s="320">
        <v>962.010009765625</v>
      </c>
      <c r="D211" s="320">
        <f t="shared" si="6"/>
        <v>9.7011226717232304E-3</v>
      </c>
      <c r="E211" s="320">
        <f t="shared" si="7"/>
        <v>-1.0583130881963001E-2</v>
      </c>
      <c r="F211" s="130"/>
      <c r="G211" s="130"/>
    </row>
    <row r="212" spans="1:7" ht="14.25" customHeight="1" x14ac:dyDescent="0.3">
      <c r="A212" s="319" t="s">
        <v>721</v>
      </c>
      <c r="B212" s="320">
        <v>14895.650390625</v>
      </c>
      <c r="C212" s="320">
        <v>958.010009765625</v>
      </c>
      <c r="D212" s="320">
        <f t="shared" si="6"/>
        <v>7.1467580293813598E-3</v>
      </c>
      <c r="E212" s="320">
        <f t="shared" si="7"/>
        <v>-4.1579608937484204E-3</v>
      </c>
      <c r="F212" s="130"/>
      <c r="G212" s="130"/>
    </row>
    <row r="213" spans="1:7" ht="14.25" customHeight="1" x14ac:dyDescent="0.3">
      <c r="A213" s="319" t="s">
        <v>722</v>
      </c>
      <c r="B213" s="320">
        <v>14924.25</v>
      </c>
      <c r="C213" s="320">
        <v>963.530029296875</v>
      </c>
      <c r="D213" s="320">
        <f t="shared" si="6"/>
        <v>1.91999735661089E-3</v>
      </c>
      <c r="E213" s="320">
        <f t="shared" si="7"/>
        <v>5.7619643583895997E-3</v>
      </c>
      <c r="F213" s="130"/>
      <c r="G213" s="130"/>
    </row>
    <row r="214" spans="1:7" ht="14.25" customHeight="1" x14ac:dyDescent="0.3">
      <c r="A214" s="319" t="s">
        <v>723</v>
      </c>
      <c r="B214" s="320">
        <v>15115.7998046875</v>
      </c>
      <c r="C214" s="320">
        <v>1011.71002197266</v>
      </c>
      <c r="D214" s="320">
        <f t="shared" si="6"/>
        <v>1.2834802732968199E-2</v>
      </c>
      <c r="E214" s="320">
        <f t="shared" si="7"/>
        <v>5.0003623354576497E-2</v>
      </c>
      <c r="F214" s="130"/>
      <c r="G214" s="130"/>
    </row>
    <row r="215" spans="1:7" ht="14.25" customHeight="1" x14ac:dyDescent="0.3">
      <c r="A215" s="319" t="s">
        <v>724</v>
      </c>
      <c r="B215" s="320">
        <v>15109.2998046875</v>
      </c>
      <c r="C215" s="320">
        <v>993.88000488281295</v>
      </c>
      <c r="D215" s="320">
        <f t="shared" si="6"/>
        <v>-4.3001363368045601E-4</v>
      </c>
      <c r="E215" s="320">
        <f t="shared" si="7"/>
        <v>-1.7623643833320501E-2</v>
      </c>
      <c r="F215" s="130"/>
      <c r="G215" s="130"/>
    </row>
    <row r="216" spans="1:7" ht="14.25" customHeight="1" x14ac:dyDescent="0.3">
      <c r="A216" s="319" t="s">
        <v>725</v>
      </c>
      <c r="B216" s="320">
        <v>15106.5</v>
      </c>
      <c r="C216" s="320">
        <v>1023.92999267578</v>
      </c>
      <c r="D216" s="320">
        <f t="shared" si="6"/>
        <v>-1.8530340410820301E-4</v>
      </c>
      <c r="E216" s="320">
        <f t="shared" si="7"/>
        <v>3.0235026004482499E-2</v>
      </c>
      <c r="F216" s="130"/>
      <c r="G216" s="130"/>
    </row>
    <row r="217" spans="1:7" ht="14.25" customHeight="1" x14ac:dyDescent="0.3">
      <c r="A217" s="319" t="s">
        <v>726</v>
      </c>
      <c r="B217" s="320">
        <v>15173.2998046875</v>
      </c>
      <c r="C217" s="320">
        <v>1083.73999023438</v>
      </c>
      <c r="D217" s="320">
        <f t="shared" si="6"/>
        <v>4.4219246475027301E-3</v>
      </c>
      <c r="E217" s="320">
        <f t="shared" si="7"/>
        <v>5.8412194179703503E-2</v>
      </c>
      <c r="F217" s="130"/>
      <c r="G217" s="130"/>
    </row>
    <row r="218" spans="1:7" ht="14.25" customHeight="1" x14ac:dyDescent="0.3">
      <c r="A218" s="319" t="s">
        <v>727</v>
      </c>
      <c r="B218" s="320">
        <v>15163.2998046875</v>
      </c>
      <c r="C218" s="320">
        <v>1074.76000976563</v>
      </c>
      <c r="D218" s="320">
        <f t="shared" si="6"/>
        <v>-6.5905242292191996E-4</v>
      </c>
      <c r="E218" s="320">
        <f t="shared" si="7"/>
        <v>-8.2861023397391691E-3</v>
      </c>
      <c r="F218" s="130"/>
      <c r="G218" s="130"/>
    </row>
    <row r="219" spans="1:7" ht="14.25" customHeight="1" x14ac:dyDescent="0.3">
      <c r="A219" s="319" t="s">
        <v>728</v>
      </c>
      <c r="B219" s="320">
        <v>15314.7001953125</v>
      </c>
      <c r="C219" s="320">
        <v>1104.17004394531</v>
      </c>
      <c r="D219" s="320">
        <f t="shared" si="6"/>
        <v>9.9846598415337592E-3</v>
      </c>
      <c r="E219" s="320">
        <f t="shared" si="7"/>
        <v>2.73642803160246E-2</v>
      </c>
      <c r="F219" s="130"/>
      <c r="G219" s="130"/>
    </row>
    <row r="220" spans="1:7" ht="14.25" customHeight="1" x14ac:dyDescent="0.3">
      <c r="A220" s="319" t="s">
        <v>729</v>
      </c>
      <c r="B220" s="320">
        <v>15313.4501953125</v>
      </c>
      <c r="C220" s="320">
        <v>1019.03997802734</v>
      </c>
      <c r="D220" s="320">
        <f t="shared" si="6"/>
        <v>-8.1620925258634705E-5</v>
      </c>
      <c r="E220" s="320">
        <f t="shared" si="7"/>
        <v>-7.7098691804562802E-2</v>
      </c>
      <c r="F220" s="130"/>
      <c r="G220" s="130"/>
    </row>
    <row r="221" spans="1:7" ht="14.25" customHeight="1" x14ac:dyDescent="0.3">
      <c r="A221" s="319" t="s">
        <v>730</v>
      </c>
      <c r="B221" s="320">
        <v>15208.900390625</v>
      </c>
      <c r="C221" s="320">
        <v>983.34002685546898</v>
      </c>
      <c r="D221" s="320">
        <f t="shared" si="6"/>
        <v>-6.8273186874309401E-3</v>
      </c>
      <c r="E221" s="320">
        <f t="shared" si="7"/>
        <v>-3.5032925048710098E-2</v>
      </c>
      <c r="F221" s="130"/>
      <c r="G221" s="130"/>
    </row>
    <row r="222" spans="1:7" ht="14.25" customHeight="1" x14ac:dyDescent="0.3">
      <c r="A222" s="319" t="s">
        <v>731</v>
      </c>
      <c r="B222" s="320">
        <v>15118.9501953125</v>
      </c>
      <c r="C222" s="320">
        <v>1061.38000488281</v>
      </c>
      <c r="D222" s="320">
        <f t="shared" si="6"/>
        <v>-5.9143128695843599E-3</v>
      </c>
      <c r="E222" s="320">
        <f t="shared" si="7"/>
        <v>7.93621493034284E-2</v>
      </c>
      <c r="F222" s="130"/>
      <c r="G222" s="130"/>
    </row>
    <row r="223" spans="1:7" ht="14.25" customHeight="1" x14ac:dyDescent="0.3">
      <c r="A223" s="319" t="s">
        <v>732</v>
      </c>
      <c r="B223" s="320">
        <v>14981.75</v>
      </c>
      <c r="C223" s="320">
        <v>1034.03002929688</v>
      </c>
      <c r="D223" s="320">
        <f t="shared" si="6"/>
        <v>-9.0747170630297996E-3</v>
      </c>
      <c r="E223" s="320">
        <f t="shared" si="7"/>
        <v>-2.57683162110726E-2</v>
      </c>
      <c r="F223" s="130"/>
      <c r="G223" s="130"/>
    </row>
    <row r="224" spans="1:7" ht="14.25" customHeight="1" x14ac:dyDescent="0.3">
      <c r="A224" s="319" t="s">
        <v>733</v>
      </c>
      <c r="B224" s="320">
        <v>14675.7001953125</v>
      </c>
      <c r="C224" s="320">
        <v>998.72998046875</v>
      </c>
      <c r="D224" s="320">
        <f t="shared" si="6"/>
        <v>-2.0428174591586402E-2</v>
      </c>
      <c r="E224" s="320">
        <f t="shared" si="7"/>
        <v>-3.41383207721088E-2</v>
      </c>
      <c r="F224" s="130"/>
      <c r="G224" s="130"/>
    </row>
    <row r="225" spans="1:7" ht="14.25" customHeight="1" x14ac:dyDescent="0.3">
      <c r="A225" s="319" t="s">
        <v>734</v>
      </c>
      <c r="B225" s="320">
        <v>14707.7998046875</v>
      </c>
      <c r="C225" s="320">
        <v>1014.22998046875</v>
      </c>
      <c r="D225" s="320">
        <f t="shared" si="6"/>
        <v>2.1872625461000399E-3</v>
      </c>
      <c r="E225" s="320">
        <f t="shared" si="7"/>
        <v>1.55197103352451E-2</v>
      </c>
      <c r="F225" s="130"/>
      <c r="G225" s="130"/>
    </row>
    <row r="226" spans="1:7" ht="14.25" customHeight="1" x14ac:dyDescent="0.3">
      <c r="A226" s="319" t="s">
        <v>735</v>
      </c>
      <c r="B226" s="320">
        <v>14982</v>
      </c>
      <c r="C226" s="320">
        <v>987.30999755859398</v>
      </c>
      <c r="D226" s="320">
        <f t="shared" si="6"/>
        <v>1.8643182457862301E-2</v>
      </c>
      <c r="E226" s="320">
        <f t="shared" si="7"/>
        <v>-2.6542286688975899E-2</v>
      </c>
      <c r="F226" s="130"/>
      <c r="G226" s="130"/>
    </row>
    <row r="227" spans="1:7" ht="14.25" customHeight="1" x14ac:dyDescent="0.3">
      <c r="A227" s="319" t="s">
        <v>736</v>
      </c>
      <c r="B227" s="320">
        <v>15097.349609375</v>
      </c>
      <c r="C227" s="320">
        <v>991.69000244140602</v>
      </c>
      <c r="D227" s="320">
        <f t="shared" si="6"/>
        <v>7.6992130139500702E-3</v>
      </c>
      <c r="E227" s="320">
        <f t="shared" si="7"/>
        <v>4.4363015604448998E-3</v>
      </c>
      <c r="F227" s="130"/>
      <c r="G227" s="130"/>
    </row>
    <row r="228" spans="1:7" ht="14.25" customHeight="1" x14ac:dyDescent="0.3">
      <c r="A228" s="319" t="s">
        <v>737</v>
      </c>
      <c r="B228" s="320">
        <v>14529.150390625</v>
      </c>
      <c r="C228" s="320">
        <v>982.07000732421898</v>
      </c>
      <c r="D228" s="320">
        <f t="shared" si="6"/>
        <v>-3.7635693247585998E-2</v>
      </c>
      <c r="E228" s="320">
        <f t="shared" si="7"/>
        <v>-9.7006071388275796E-3</v>
      </c>
      <c r="F228" s="130"/>
      <c r="G228" s="130"/>
    </row>
    <row r="229" spans="1:7" ht="14.25" customHeight="1" x14ac:dyDescent="0.3">
      <c r="A229" s="319" t="s">
        <v>738</v>
      </c>
      <c r="B229" s="320">
        <v>14761.5498046875</v>
      </c>
      <c r="C229" s="320">
        <v>981.96002197265602</v>
      </c>
      <c r="D229" s="320">
        <f t="shared" si="6"/>
        <v>1.5995389118723499E-2</v>
      </c>
      <c r="E229" s="320">
        <f t="shared" si="7"/>
        <v>-1.1199339226602E-4</v>
      </c>
      <c r="F229" s="130"/>
      <c r="G229" s="130"/>
    </row>
    <row r="230" spans="1:7" ht="14.25" customHeight="1" x14ac:dyDescent="0.3">
      <c r="A230" s="319" t="s">
        <v>739</v>
      </c>
      <c r="B230" s="320">
        <v>14919.099609375</v>
      </c>
      <c r="C230" s="320">
        <v>992.489990234375</v>
      </c>
      <c r="D230" s="320">
        <f t="shared" si="6"/>
        <v>1.0672985341787801E-2</v>
      </c>
      <c r="E230" s="320">
        <f t="shared" si="7"/>
        <v>1.0723418495760501E-2</v>
      </c>
      <c r="F230" s="130"/>
      <c r="G230" s="130"/>
    </row>
    <row r="231" spans="1:7" ht="14.25" customHeight="1" x14ac:dyDescent="0.3">
      <c r="A231" s="319" t="s">
        <v>740</v>
      </c>
      <c r="B231" s="320">
        <v>15245.599609375</v>
      </c>
      <c r="C231" s="320">
        <v>1010.14001464844</v>
      </c>
      <c r="D231" s="320">
        <f t="shared" si="6"/>
        <v>2.1884698711632102E-2</v>
      </c>
      <c r="E231" s="320">
        <f t="shared" si="7"/>
        <v>1.7783579268035699E-2</v>
      </c>
      <c r="F231" s="130"/>
      <c r="G231" s="130"/>
    </row>
    <row r="232" spans="1:7" ht="14.25" customHeight="1" x14ac:dyDescent="0.3">
      <c r="A232" s="319" t="s">
        <v>741</v>
      </c>
      <c r="B232" s="320">
        <v>15080.75</v>
      </c>
      <c r="C232" s="320">
        <v>997</v>
      </c>
      <c r="D232" s="320">
        <f t="shared" si="6"/>
        <v>-1.08129305241382E-2</v>
      </c>
      <c r="E232" s="320">
        <f t="shared" si="7"/>
        <v>-1.3008112200181599E-2</v>
      </c>
      <c r="F232" s="130"/>
      <c r="G232" s="130"/>
    </row>
    <row r="233" spans="1:7" ht="14.25" customHeight="1" x14ac:dyDescent="0.3">
      <c r="A233" s="319" t="s">
        <v>742</v>
      </c>
      <c r="B233" s="320">
        <v>14938.099609375</v>
      </c>
      <c r="C233" s="320">
        <v>989.03997802734398</v>
      </c>
      <c r="D233" s="320">
        <f t="shared" si="6"/>
        <v>-9.4591045289524698E-3</v>
      </c>
      <c r="E233" s="320">
        <f t="shared" si="7"/>
        <v>-7.9839738943390404E-3</v>
      </c>
      <c r="F233" s="130"/>
      <c r="G233" s="130"/>
    </row>
    <row r="234" spans="1:7" ht="14.25" customHeight="1" x14ac:dyDescent="0.3">
      <c r="A234" s="319" t="s">
        <v>743</v>
      </c>
      <c r="B234" s="320">
        <v>14956.2001953125</v>
      </c>
      <c r="C234" s="320">
        <v>978.77001953125</v>
      </c>
      <c r="D234" s="320">
        <f t="shared" si="6"/>
        <v>1.2117060677611399E-3</v>
      </c>
      <c r="E234" s="320">
        <f t="shared" si="7"/>
        <v>-1.03837647863108E-2</v>
      </c>
      <c r="F234" s="130"/>
      <c r="G234" s="130"/>
    </row>
    <row r="235" spans="1:7" ht="14.25" customHeight="1" x14ac:dyDescent="0.3">
      <c r="A235" s="319" t="s">
        <v>744</v>
      </c>
      <c r="B235" s="320">
        <v>15098.400390625</v>
      </c>
      <c r="C235" s="320">
        <v>972.79998779296898</v>
      </c>
      <c r="D235" s="320">
        <f t="shared" si="6"/>
        <v>9.5077756017913993E-3</v>
      </c>
      <c r="E235" s="320">
        <f t="shared" si="7"/>
        <v>-6.0995245248114298E-3</v>
      </c>
      <c r="F235" s="130"/>
      <c r="G235" s="130"/>
    </row>
    <row r="236" spans="1:7" ht="14.25" customHeight="1" x14ac:dyDescent="0.3">
      <c r="A236" s="319" t="s">
        <v>745</v>
      </c>
      <c r="B236" s="320">
        <v>15174.7998046875</v>
      </c>
      <c r="C236" s="320">
        <v>973.96002197265602</v>
      </c>
      <c r="D236" s="320">
        <f t="shared" si="6"/>
        <v>5.0600998838220296E-3</v>
      </c>
      <c r="E236" s="320">
        <f t="shared" si="7"/>
        <v>1.19246936085892E-3</v>
      </c>
      <c r="F236" s="130"/>
      <c r="G236" s="130"/>
    </row>
    <row r="237" spans="1:7" ht="14.25" customHeight="1" x14ac:dyDescent="0.3">
      <c r="A237" s="319" t="s">
        <v>746</v>
      </c>
      <c r="B237" s="320">
        <v>15030.9501953125</v>
      </c>
      <c r="C237" s="320">
        <v>960.719970703125</v>
      </c>
      <c r="D237" s="320">
        <f t="shared" si="6"/>
        <v>-9.4795062357636399E-3</v>
      </c>
      <c r="E237" s="320">
        <f t="shared" si="7"/>
        <v>-1.3594039766349601E-2</v>
      </c>
      <c r="F237" s="130"/>
      <c r="G237" s="130"/>
    </row>
    <row r="238" spans="1:7" ht="14.25" customHeight="1" x14ac:dyDescent="0.3">
      <c r="A238" s="319" t="s">
        <v>747</v>
      </c>
      <c r="B238" s="320">
        <v>14929.5</v>
      </c>
      <c r="C238" s="320">
        <v>953.83001708984398</v>
      </c>
      <c r="D238" s="320">
        <f t="shared" si="6"/>
        <v>-6.7494199630930797E-3</v>
      </c>
      <c r="E238" s="320">
        <f t="shared" si="7"/>
        <v>-7.17165649032824E-3</v>
      </c>
      <c r="F238" s="130"/>
      <c r="G238" s="130"/>
    </row>
    <row r="239" spans="1:7" ht="14.25" customHeight="1" x14ac:dyDescent="0.3">
      <c r="A239" s="319" t="s">
        <v>748</v>
      </c>
      <c r="B239" s="320">
        <v>14910.4501953125</v>
      </c>
      <c r="C239" s="320">
        <v>964.94000244140602</v>
      </c>
      <c r="D239" s="320">
        <f t="shared" si="6"/>
        <v>-1.27598410445762E-3</v>
      </c>
      <c r="E239" s="320">
        <f t="shared" si="7"/>
        <v>1.16477623397289E-2</v>
      </c>
      <c r="F239" s="130"/>
      <c r="G239" s="130"/>
    </row>
    <row r="240" spans="1:7" ht="14.25" customHeight="1" x14ac:dyDescent="0.3">
      <c r="A240" s="319" t="s">
        <v>749</v>
      </c>
      <c r="B240" s="320">
        <v>14721.2998046875</v>
      </c>
      <c r="C240" s="320">
        <v>952.34002685546898</v>
      </c>
      <c r="D240" s="320">
        <f t="shared" si="6"/>
        <v>-1.26857598628688E-2</v>
      </c>
      <c r="E240" s="320">
        <f t="shared" si="7"/>
        <v>-1.3057781368849599E-2</v>
      </c>
      <c r="F240" s="130"/>
      <c r="G240" s="130"/>
    </row>
    <row r="241" spans="1:7" ht="14.25" customHeight="1" x14ac:dyDescent="0.3">
      <c r="A241" s="319" t="s">
        <v>750</v>
      </c>
      <c r="B241" s="320">
        <v>14557.849609375</v>
      </c>
      <c r="C241" s="320">
        <v>896.010009765625</v>
      </c>
      <c r="D241" s="320">
        <f t="shared" si="6"/>
        <v>-1.11029730717429E-2</v>
      </c>
      <c r="E241" s="320">
        <f t="shared" si="7"/>
        <v>-5.9149059686003098E-2</v>
      </c>
      <c r="F241" s="130"/>
      <c r="G241" s="130"/>
    </row>
    <row r="242" spans="1:7" ht="14.25" customHeight="1" x14ac:dyDescent="0.3">
      <c r="A242" s="319" t="s">
        <v>751</v>
      </c>
      <c r="B242" s="320">
        <v>14744</v>
      </c>
      <c r="C242" s="320">
        <v>920.46002197265602</v>
      </c>
      <c r="D242" s="320">
        <f t="shared" si="6"/>
        <v>1.27869428260285E-2</v>
      </c>
      <c r="E242" s="320">
        <f t="shared" si="7"/>
        <v>2.7287655205354901E-2</v>
      </c>
      <c r="F242" s="130"/>
      <c r="G242" s="130"/>
    </row>
    <row r="243" spans="1:7" ht="14.25" customHeight="1" x14ac:dyDescent="0.3">
      <c r="A243" s="319" t="s">
        <v>752</v>
      </c>
      <c r="B243" s="320">
        <v>14736.400390625</v>
      </c>
      <c r="C243" s="320">
        <v>935.65997314453102</v>
      </c>
      <c r="D243" s="320">
        <f t="shared" si="6"/>
        <v>-5.1543742369777499E-4</v>
      </c>
      <c r="E243" s="320">
        <f t="shared" si="7"/>
        <v>1.65134289475166E-2</v>
      </c>
      <c r="F243" s="130"/>
      <c r="G243" s="130"/>
    </row>
    <row r="244" spans="1:7" ht="14.25" customHeight="1" x14ac:dyDescent="0.3">
      <c r="A244" s="319" t="s">
        <v>753</v>
      </c>
      <c r="B244" s="320">
        <v>14814.75</v>
      </c>
      <c r="C244" s="320">
        <v>954.719970703125</v>
      </c>
      <c r="D244" s="320">
        <f t="shared" si="6"/>
        <v>5.3167399974314196E-3</v>
      </c>
      <c r="E244" s="320">
        <f t="shared" si="7"/>
        <v>2.0370645432803799E-2</v>
      </c>
      <c r="F244" s="130"/>
      <c r="G244" s="130"/>
    </row>
    <row r="245" spans="1:7" ht="14.25" customHeight="1" x14ac:dyDescent="0.3">
      <c r="A245" s="319" t="s">
        <v>754</v>
      </c>
      <c r="B245" s="320">
        <v>14549.400390625</v>
      </c>
      <c r="C245" s="320">
        <v>936.52001953125</v>
      </c>
      <c r="D245" s="320">
        <f t="shared" si="6"/>
        <v>-1.7911176994211801E-2</v>
      </c>
      <c r="E245" s="320">
        <f t="shared" si="7"/>
        <v>-1.90631302689429E-2</v>
      </c>
      <c r="F245" s="130"/>
      <c r="G245" s="130"/>
    </row>
    <row r="246" spans="1:7" ht="14.25" customHeight="1" x14ac:dyDescent="0.3">
      <c r="A246" s="319" t="s">
        <v>755</v>
      </c>
      <c r="B246" s="320">
        <v>14324.900390625</v>
      </c>
      <c r="C246" s="320">
        <v>880.55999755859398</v>
      </c>
      <c r="D246" s="320">
        <f t="shared" si="6"/>
        <v>-1.5430189146808999E-2</v>
      </c>
      <c r="E246" s="320">
        <f t="shared" si="7"/>
        <v>-5.9753150819632603E-2</v>
      </c>
      <c r="F246" s="130"/>
      <c r="G246" s="130"/>
    </row>
    <row r="247" spans="1:7" ht="14.25" customHeight="1" x14ac:dyDescent="0.3">
      <c r="A247" s="319" t="s">
        <v>756</v>
      </c>
      <c r="B247" s="320">
        <v>14507.2998046875</v>
      </c>
      <c r="C247" s="320">
        <v>894.19000244140602</v>
      </c>
      <c r="D247" s="320">
        <f t="shared" si="6"/>
        <v>1.27330319296232E-2</v>
      </c>
      <c r="E247" s="320">
        <f t="shared" si="7"/>
        <v>1.5478791814983701E-2</v>
      </c>
      <c r="F247" s="130"/>
      <c r="G247" s="130"/>
    </row>
    <row r="248" spans="1:7" ht="14.25" customHeight="1" x14ac:dyDescent="0.3">
      <c r="A248" s="319" t="s">
        <v>757</v>
      </c>
      <c r="B248" s="320">
        <v>14845.099609375</v>
      </c>
      <c r="C248" s="320">
        <v>831.69000244140602</v>
      </c>
      <c r="D248" s="320">
        <f t="shared" si="6"/>
        <v>2.3284815867550501E-2</v>
      </c>
      <c r="E248" s="320">
        <f t="shared" si="7"/>
        <v>-6.9895659568275606E-2</v>
      </c>
      <c r="F248" s="130"/>
      <c r="G248" s="130"/>
    </row>
    <row r="249" spans="1:7" ht="14.25" customHeight="1" x14ac:dyDescent="0.3">
      <c r="A249" s="319" t="s">
        <v>758</v>
      </c>
      <c r="B249" s="320">
        <v>14690.7001953125</v>
      </c>
      <c r="C249" s="320">
        <v>856.10998535156295</v>
      </c>
      <c r="D249" s="320">
        <f t="shared" si="6"/>
        <v>-1.04006990943323E-2</v>
      </c>
      <c r="E249" s="320">
        <f t="shared" si="7"/>
        <v>2.93618810355693E-2</v>
      </c>
      <c r="F249" s="130"/>
      <c r="G249" s="130"/>
    </row>
    <row r="250" spans="1:7" ht="14.25" customHeight="1" x14ac:dyDescent="0.3">
      <c r="A250" s="319" t="s">
        <v>759</v>
      </c>
      <c r="B250" s="320">
        <v>14867.349609375</v>
      </c>
      <c r="C250" s="320">
        <v>852.60998535156295</v>
      </c>
      <c r="D250" s="320">
        <f t="shared" si="6"/>
        <v>1.20245741669186E-2</v>
      </c>
      <c r="E250" s="320">
        <f t="shared" si="7"/>
        <v>-4.0882597562072803E-3</v>
      </c>
      <c r="F250" s="130"/>
      <c r="G250" s="130"/>
    </row>
    <row r="251" spans="1:7" ht="14.25" customHeight="1" x14ac:dyDescent="0.3">
      <c r="A251" s="319" t="s">
        <v>760</v>
      </c>
      <c r="B251" s="320">
        <v>14637.7998046875</v>
      </c>
      <c r="C251" s="320">
        <v>886.67999267578102</v>
      </c>
      <c r="D251" s="320">
        <f t="shared" si="6"/>
        <v>-1.54398605480261E-2</v>
      </c>
      <c r="E251" s="320">
        <f t="shared" si="7"/>
        <v>3.9959662576752202E-2</v>
      </c>
      <c r="F251" s="130"/>
      <c r="G251" s="130"/>
    </row>
    <row r="252" spans="1:7" ht="14.25" customHeight="1" x14ac:dyDescent="0.3">
      <c r="A252" s="319" t="s">
        <v>761</v>
      </c>
      <c r="B252" s="320">
        <v>14683.5</v>
      </c>
      <c r="C252" s="320">
        <v>900</v>
      </c>
      <c r="D252" s="320">
        <f t="shared" si="6"/>
        <v>3.1220672452334898E-3</v>
      </c>
      <c r="E252" s="320">
        <f t="shared" si="7"/>
        <v>1.5022338875632601E-2</v>
      </c>
      <c r="F252" s="130"/>
      <c r="G252" s="130"/>
    </row>
    <row r="253" spans="1:7" ht="14.25" customHeight="1" x14ac:dyDescent="0.3">
      <c r="A253" s="319" t="s">
        <v>762</v>
      </c>
      <c r="B253" s="320">
        <v>14819.0498046875</v>
      </c>
      <c r="C253" s="320">
        <v>938.280029296875</v>
      </c>
      <c r="D253" s="320">
        <f t="shared" si="6"/>
        <v>9.2314369658119694E-3</v>
      </c>
      <c r="E253" s="320">
        <f t="shared" si="7"/>
        <v>4.2533365885416702E-2</v>
      </c>
      <c r="F253" s="130"/>
      <c r="G253" s="130"/>
    </row>
    <row r="254" spans="1:7" ht="14.25" customHeight="1" x14ac:dyDescent="0.3">
      <c r="A254" s="319" t="s">
        <v>763</v>
      </c>
      <c r="B254" s="320">
        <v>14873.7998046875</v>
      </c>
      <c r="C254" s="320">
        <v>968.40002441406295</v>
      </c>
      <c r="D254" s="320">
        <f t="shared" si="6"/>
        <v>3.6945688638337498E-3</v>
      </c>
      <c r="E254" s="320">
        <f t="shared" si="7"/>
        <v>3.2101285518950202E-2</v>
      </c>
      <c r="F254" s="130"/>
      <c r="G254" s="130"/>
    </row>
    <row r="255" spans="1:7" ht="14.25" customHeight="1" x14ac:dyDescent="0.3">
      <c r="A255" s="319" t="s">
        <v>764</v>
      </c>
      <c r="B255" s="320">
        <v>14834.849609375</v>
      </c>
      <c r="C255" s="320">
        <v>958.280029296875</v>
      </c>
      <c r="D255" s="320">
        <f t="shared" si="6"/>
        <v>-2.6187118170183199E-3</v>
      </c>
      <c r="E255" s="320">
        <f t="shared" si="7"/>
        <v>-1.0450221873250299E-2</v>
      </c>
      <c r="F255" s="130"/>
      <c r="G255" s="130"/>
    </row>
    <row r="256" spans="1:7" ht="14.25" customHeight="1" x14ac:dyDescent="0.3">
      <c r="A256" s="319" t="s">
        <v>765</v>
      </c>
      <c r="B256" s="320">
        <v>14310.7998046875</v>
      </c>
      <c r="C256" s="320">
        <v>950.219970703125</v>
      </c>
      <c r="D256" s="320">
        <f t="shared" si="6"/>
        <v>-3.5325589304007698E-2</v>
      </c>
      <c r="E256" s="320">
        <f t="shared" si="7"/>
        <v>-8.4109637552020802E-3</v>
      </c>
      <c r="F256" s="130"/>
      <c r="G256" s="130"/>
    </row>
    <row r="257" spans="1:7" ht="14.25" customHeight="1" x14ac:dyDescent="0.3">
      <c r="A257" s="319" t="s">
        <v>766</v>
      </c>
      <c r="B257" s="320">
        <v>14504.7998046875</v>
      </c>
      <c r="C257" s="320">
        <v>911.36999511718795</v>
      </c>
      <c r="D257" s="320">
        <f t="shared" si="6"/>
        <v>1.3556195506029999E-2</v>
      </c>
      <c r="E257" s="320">
        <f t="shared" si="7"/>
        <v>-4.08852442421197E-2</v>
      </c>
      <c r="F257" s="130"/>
      <c r="G257" s="130"/>
    </row>
    <row r="258" spans="1:7" ht="14.25" customHeight="1" x14ac:dyDescent="0.3">
      <c r="A258" s="319" t="s">
        <v>767</v>
      </c>
      <c r="B258" s="320">
        <v>14581.4501953125</v>
      </c>
      <c r="C258" s="320">
        <v>916.09997558593795</v>
      </c>
      <c r="D258" s="320">
        <f t="shared" si="6"/>
        <v>5.2844845607747703E-3</v>
      </c>
      <c r="E258" s="320">
        <f t="shared" si="7"/>
        <v>5.1899672954909999E-3</v>
      </c>
      <c r="F258" s="130"/>
      <c r="G258" s="130"/>
    </row>
    <row r="259" spans="1:7" ht="14.25" customHeight="1" x14ac:dyDescent="0.3">
      <c r="A259" s="319" t="s">
        <v>768</v>
      </c>
      <c r="B259" s="320">
        <v>14617.849609375</v>
      </c>
      <c r="C259" s="320">
        <v>934.83001708984398</v>
      </c>
      <c r="D259" s="320">
        <f t="shared" ref="D259:D322" si="8">(B259-B258)/B258</f>
        <v>2.4962821650072399E-3</v>
      </c>
      <c r="E259" s="320">
        <f t="shared" ref="E259:E322" si="9">(C259-C258)/C258</f>
        <v>2.04454120762598E-2</v>
      </c>
      <c r="F259" s="130"/>
      <c r="G259" s="130"/>
    </row>
    <row r="260" spans="1:7" ht="14.25" customHeight="1" x14ac:dyDescent="0.3">
      <c r="A260" s="319" t="s">
        <v>769</v>
      </c>
      <c r="B260" s="320">
        <v>14359.4501953125</v>
      </c>
      <c r="C260" s="320">
        <v>939.29998779296898</v>
      </c>
      <c r="D260" s="320">
        <f t="shared" si="8"/>
        <v>-1.7676978554819599E-2</v>
      </c>
      <c r="E260" s="320">
        <f t="shared" si="9"/>
        <v>4.7815866215337897E-3</v>
      </c>
      <c r="F260" s="130"/>
      <c r="G260" s="130"/>
    </row>
    <row r="261" spans="1:7" ht="14.25" customHeight="1" x14ac:dyDescent="0.3">
      <c r="A261" s="319" t="s">
        <v>770</v>
      </c>
      <c r="B261" s="320">
        <v>14296.400390625</v>
      </c>
      <c r="C261" s="320">
        <v>955.40002441406295</v>
      </c>
      <c r="D261" s="320">
        <f t="shared" si="8"/>
        <v>-4.3908230349990699E-3</v>
      </c>
      <c r="E261" s="320">
        <f t="shared" si="9"/>
        <v>1.7140462930190701E-2</v>
      </c>
      <c r="F261" s="130"/>
      <c r="G261" s="130"/>
    </row>
    <row r="262" spans="1:7" ht="14.25" customHeight="1" x14ac:dyDescent="0.3">
      <c r="A262" s="319" t="s">
        <v>771</v>
      </c>
      <c r="B262" s="320">
        <v>14406.150390625</v>
      </c>
      <c r="C262" s="320">
        <v>965.510009765625</v>
      </c>
      <c r="D262" s="320">
        <f t="shared" si="8"/>
        <v>7.6767575754222396E-3</v>
      </c>
      <c r="E262" s="320">
        <f t="shared" si="9"/>
        <v>1.0581939599344699E-2</v>
      </c>
      <c r="F262" s="130"/>
      <c r="G262" s="130"/>
    </row>
    <row r="263" spans="1:7" ht="14.25" customHeight="1" x14ac:dyDescent="0.3">
      <c r="A263" s="319" t="s">
        <v>772</v>
      </c>
      <c r="B263" s="320">
        <v>14341.349609375</v>
      </c>
      <c r="C263" s="320">
        <v>975.260009765625</v>
      </c>
      <c r="D263" s="320">
        <f t="shared" si="8"/>
        <v>-4.4981330537941597E-3</v>
      </c>
      <c r="E263" s="320">
        <f t="shared" si="9"/>
        <v>1.0098289920750601E-2</v>
      </c>
      <c r="F263" s="130"/>
      <c r="G263" s="130"/>
    </row>
    <row r="264" spans="1:7" ht="14.25" customHeight="1" x14ac:dyDescent="0.3">
      <c r="A264" s="319" t="s">
        <v>773</v>
      </c>
      <c r="B264" s="320">
        <v>14485</v>
      </c>
      <c r="C264" s="320">
        <v>978.46002197265602</v>
      </c>
      <c r="D264" s="320">
        <f t="shared" si="8"/>
        <v>1.00165182871698E-2</v>
      </c>
      <c r="E264" s="320">
        <f t="shared" si="9"/>
        <v>3.28118878554248E-3</v>
      </c>
      <c r="F264" s="130"/>
      <c r="G264" s="130"/>
    </row>
    <row r="265" spans="1:7" ht="14.25" customHeight="1" x14ac:dyDescent="0.3">
      <c r="A265" s="319" t="s">
        <v>774</v>
      </c>
      <c r="B265" s="320">
        <v>14653.0498046875</v>
      </c>
      <c r="C265" s="320">
        <v>990.010009765625</v>
      </c>
      <c r="D265" s="320">
        <f t="shared" si="8"/>
        <v>1.16016434026579E-2</v>
      </c>
      <c r="E265" s="320">
        <f t="shared" si="9"/>
        <v>1.18042511023427E-2</v>
      </c>
      <c r="F265" s="130"/>
      <c r="G265" s="130"/>
    </row>
    <row r="266" spans="1:7" ht="14.25" customHeight="1" x14ac:dyDescent="0.3">
      <c r="A266" s="319" t="s">
        <v>775</v>
      </c>
      <c r="B266" s="320">
        <v>14864.5498046875</v>
      </c>
      <c r="C266" s="320">
        <v>1004.16998291016</v>
      </c>
      <c r="D266" s="320">
        <f t="shared" si="8"/>
        <v>1.44338552601071E-2</v>
      </c>
      <c r="E266" s="320">
        <f t="shared" si="9"/>
        <v>1.4302858561891899E-2</v>
      </c>
      <c r="F266" s="130"/>
      <c r="G266" s="130"/>
    </row>
    <row r="267" spans="1:7" ht="14.25" customHeight="1" x14ac:dyDescent="0.3">
      <c r="A267" s="319" t="s">
        <v>776</v>
      </c>
      <c r="B267" s="320">
        <v>14894.900390625</v>
      </c>
      <c r="C267" s="320">
        <v>1001.78997802734</v>
      </c>
      <c r="D267" s="320">
        <f t="shared" si="8"/>
        <v>2.0418099664161402E-3</v>
      </c>
      <c r="E267" s="320">
        <f t="shared" si="9"/>
        <v>-2.3701215166007802E-3</v>
      </c>
      <c r="F267" s="130"/>
      <c r="G267" s="130"/>
    </row>
    <row r="268" spans="1:7" ht="14.25" customHeight="1" x14ac:dyDescent="0.3">
      <c r="A268" s="319" t="s">
        <v>777</v>
      </c>
      <c r="B268" s="320">
        <v>14631.099609375</v>
      </c>
      <c r="C268" s="320">
        <v>982.94000244140602</v>
      </c>
      <c r="D268" s="320">
        <f t="shared" si="8"/>
        <v>-1.77108120451775E-2</v>
      </c>
      <c r="E268" s="320">
        <f t="shared" si="9"/>
        <v>-1.8816294831629402E-2</v>
      </c>
      <c r="F268" s="130"/>
      <c r="G268" s="130"/>
    </row>
    <row r="269" spans="1:7" ht="14.25" customHeight="1" x14ac:dyDescent="0.3">
      <c r="A269" s="319" t="s">
        <v>778</v>
      </c>
      <c r="B269" s="320">
        <v>14634.150390625</v>
      </c>
      <c r="C269" s="320">
        <v>972.989990234375</v>
      </c>
      <c r="D269" s="320">
        <f t="shared" si="8"/>
        <v>2.08513463201712E-4</v>
      </c>
      <c r="E269" s="320">
        <f t="shared" si="9"/>
        <v>-1.01227055388095E-2</v>
      </c>
      <c r="F269" s="130"/>
      <c r="G269" s="130"/>
    </row>
    <row r="270" spans="1:7" ht="14.25" customHeight="1" x14ac:dyDescent="0.3">
      <c r="A270" s="319" t="s">
        <v>779</v>
      </c>
      <c r="B270" s="320">
        <v>14496.5</v>
      </c>
      <c r="C270" s="320">
        <v>957.70001220703102</v>
      </c>
      <c r="D270" s="320">
        <f t="shared" si="8"/>
        <v>-9.40610742344033E-3</v>
      </c>
      <c r="E270" s="320">
        <f t="shared" si="9"/>
        <v>-1.5714424794504699E-2</v>
      </c>
      <c r="F270" s="130"/>
      <c r="G270" s="130"/>
    </row>
    <row r="271" spans="1:7" ht="14.25" customHeight="1" x14ac:dyDescent="0.3">
      <c r="A271" s="319" t="s">
        <v>780</v>
      </c>
      <c r="B271" s="320">
        <v>14617.849609375</v>
      </c>
      <c r="C271" s="320">
        <v>967.760009765625</v>
      </c>
      <c r="D271" s="320">
        <f t="shared" si="8"/>
        <v>8.3709591539337103E-3</v>
      </c>
      <c r="E271" s="320">
        <f t="shared" si="9"/>
        <v>1.05043306153987E-2</v>
      </c>
      <c r="F271" s="130"/>
      <c r="G271" s="130"/>
    </row>
    <row r="272" spans="1:7" ht="14.25" customHeight="1" x14ac:dyDescent="0.3">
      <c r="A272" s="319" t="s">
        <v>781</v>
      </c>
      <c r="B272" s="320">
        <v>14724.7998046875</v>
      </c>
      <c r="C272" s="320">
        <v>951.69000244140602</v>
      </c>
      <c r="D272" s="320">
        <f t="shared" si="8"/>
        <v>7.3164109749705398E-3</v>
      </c>
      <c r="E272" s="320">
        <f t="shared" si="9"/>
        <v>-1.6605364100662601E-2</v>
      </c>
      <c r="F272" s="130"/>
      <c r="G272" s="130"/>
    </row>
    <row r="273" spans="1:7" ht="14.25" customHeight="1" x14ac:dyDescent="0.3">
      <c r="A273" s="319" t="s">
        <v>782</v>
      </c>
      <c r="B273" s="320">
        <v>14823.150390625</v>
      </c>
      <c r="C273" s="320">
        <v>935.46002197265602</v>
      </c>
      <c r="D273" s="320">
        <f t="shared" si="8"/>
        <v>6.6792477481555299E-3</v>
      </c>
      <c r="E273" s="320">
        <f t="shared" si="9"/>
        <v>-1.7053852018109501E-2</v>
      </c>
      <c r="F273" s="130"/>
      <c r="G273" s="130"/>
    </row>
    <row r="274" spans="1:7" ht="14.25" customHeight="1" x14ac:dyDescent="0.3">
      <c r="A274" s="319" t="s">
        <v>783</v>
      </c>
      <c r="B274" s="320">
        <v>14942.349609375</v>
      </c>
      <c r="C274" s="320">
        <v>923.79998779296898</v>
      </c>
      <c r="D274" s="320">
        <f t="shared" si="8"/>
        <v>8.0414227481216405E-3</v>
      </c>
      <c r="E274" s="320">
        <f t="shared" si="9"/>
        <v>-1.24644922346322E-2</v>
      </c>
      <c r="F274" s="130"/>
      <c r="G274" s="130"/>
    </row>
    <row r="275" spans="1:7" ht="14.25" customHeight="1" x14ac:dyDescent="0.3">
      <c r="A275" s="319" t="s">
        <v>784</v>
      </c>
      <c r="B275" s="320">
        <v>14850.75</v>
      </c>
      <c r="C275" s="320">
        <v>896.80999755859398</v>
      </c>
      <c r="D275" s="320">
        <f t="shared" si="8"/>
        <v>-6.1302011912189097E-3</v>
      </c>
      <c r="E275" s="320">
        <f t="shared" si="9"/>
        <v>-2.92162703951276E-2</v>
      </c>
      <c r="F275" s="130"/>
      <c r="G275" s="130"/>
    </row>
    <row r="276" spans="1:7" ht="14.25" customHeight="1" x14ac:dyDescent="0.3">
      <c r="A276" s="319" t="s">
        <v>785</v>
      </c>
      <c r="B276" s="320">
        <v>14696.5</v>
      </c>
      <c r="C276" s="320">
        <v>870.92999267578102</v>
      </c>
      <c r="D276" s="320">
        <f t="shared" si="8"/>
        <v>-1.0386680807366599E-2</v>
      </c>
      <c r="E276" s="320">
        <f t="shared" si="9"/>
        <v>-2.88578460914426E-2</v>
      </c>
      <c r="F276" s="130"/>
      <c r="G276" s="130"/>
    </row>
    <row r="277" spans="1:7" ht="14.25" customHeight="1" x14ac:dyDescent="0.3">
      <c r="A277" s="319" t="s">
        <v>786</v>
      </c>
      <c r="B277" s="320">
        <v>14677.7998046875</v>
      </c>
      <c r="C277" s="320">
        <v>858.33001708984398</v>
      </c>
      <c r="D277" s="320">
        <f t="shared" si="8"/>
        <v>-1.2724250884564401E-3</v>
      </c>
      <c r="E277" s="320">
        <f t="shared" si="9"/>
        <v>-1.44672656722107E-2</v>
      </c>
      <c r="F277" s="130"/>
      <c r="G277" s="130"/>
    </row>
    <row r="278" spans="1:7" ht="14.25" customHeight="1" x14ac:dyDescent="0.3">
      <c r="A278" s="319" t="s">
        <v>787</v>
      </c>
      <c r="B278" s="320">
        <v>14923.150390625</v>
      </c>
      <c r="C278" s="320">
        <v>851.29998779296898</v>
      </c>
      <c r="D278" s="320">
        <f t="shared" si="8"/>
        <v>1.67157604819726E-2</v>
      </c>
      <c r="E278" s="320">
        <f t="shared" si="9"/>
        <v>-8.1903570385551908E-3</v>
      </c>
      <c r="F278" s="130"/>
      <c r="G278" s="130"/>
    </row>
    <row r="279" spans="1:7" ht="14.25" customHeight="1" x14ac:dyDescent="0.3">
      <c r="A279" s="319" t="s">
        <v>788</v>
      </c>
      <c r="B279" s="320">
        <v>15108.099609375</v>
      </c>
      <c r="C279" s="320">
        <v>889.530029296875</v>
      </c>
      <c r="D279" s="320">
        <f t="shared" si="8"/>
        <v>1.23934433352751E-2</v>
      </c>
      <c r="E279" s="320">
        <f t="shared" si="9"/>
        <v>4.4907837486311997E-2</v>
      </c>
      <c r="F279" s="130"/>
      <c r="G279" s="130"/>
    </row>
    <row r="280" spans="1:7" ht="14.25" customHeight="1" x14ac:dyDescent="0.3">
      <c r="A280" s="319" t="s">
        <v>789</v>
      </c>
      <c r="B280" s="320">
        <v>15030.150390625</v>
      </c>
      <c r="C280" s="320">
        <v>879.94000244140602</v>
      </c>
      <c r="D280" s="320">
        <f t="shared" si="8"/>
        <v>-5.1594324081388997E-3</v>
      </c>
      <c r="E280" s="320">
        <f t="shared" si="9"/>
        <v>-1.0781004057894899E-2</v>
      </c>
      <c r="F280" s="130"/>
      <c r="G280" s="130"/>
    </row>
    <row r="281" spans="1:7" ht="14.25" customHeight="1" x14ac:dyDescent="0.3">
      <c r="A281" s="319" t="s">
        <v>790</v>
      </c>
      <c r="B281" s="320">
        <v>14906.0498046875</v>
      </c>
      <c r="C281" s="320">
        <v>878.95001220703102</v>
      </c>
      <c r="D281" s="320">
        <f t="shared" si="8"/>
        <v>-8.2567760609306498E-3</v>
      </c>
      <c r="E281" s="320">
        <f t="shared" si="9"/>
        <v>-1.12506560859633E-3</v>
      </c>
      <c r="F281" s="130"/>
      <c r="G281" s="130"/>
    </row>
    <row r="282" spans="1:7" ht="14.25" customHeight="1" x14ac:dyDescent="0.3">
      <c r="A282" s="319" t="s">
        <v>791</v>
      </c>
      <c r="B282" s="320">
        <v>15175.2998046875</v>
      </c>
      <c r="C282" s="320">
        <v>866.739990234375</v>
      </c>
      <c r="D282" s="320">
        <f t="shared" si="8"/>
        <v>1.8063135674974699E-2</v>
      </c>
      <c r="E282" s="320">
        <f t="shared" si="9"/>
        <v>-1.38915999807507E-2</v>
      </c>
      <c r="F282" s="130"/>
      <c r="G282" s="130"/>
    </row>
    <row r="283" spans="1:7" ht="14.25" customHeight="1" x14ac:dyDescent="0.3">
      <c r="A283" s="319" t="s">
        <v>792</v>
      </c>
      <c r="B283" s="320">
        <v>15197.7001953125</v>
      </c>
      <c r="C283" s="320">
        <v>871.20001220703102</v>
      </c>
      <c r="D283" s="320">
        <f t="shared" si="8"/>
        <v>1.4761086049898499E-3</v>
      </c>
      <c r="E283" s="320">
        <f t="shared" si="9"/>
        <v>5.1457438481060398E-3</v>
      </c>
      <c r="F283" s="130"/>
      <c r="G283" s="130"/>
    </row>
    <row r="284" spans="1:7" ht="14.25" customHeight="1" x14ac:dyDescent="0.3">
      <c r="A284" s="319" t="s">
        <v>793</v>
      </c>
      <c r="B284" s="320">
        <v>15208.4501953125</v>
      </c>
      <c r="C284" s="320">
        <v>869.260009765625</v>
      </c>
      <c r="D284" s="320">
        <f t="shared" si="8"/>
        <v>7.0734386531165299E-4</v>
      </c>
      <c r="E284" s="320">
        <f t="shared" si="9"/>
        <v>-2.22681636159689E-3</v>
      </c>
      <c r="F284" s="130"/>
      <c r="G284" s="130"/>
    </row>
    <row r="285" spans="1:7" ht="14.25" customHeight="1" x14ac:dyDescent="0.3">
      <c r="A285" s="319" t="s">
        <v>794</v>
      </c>
      <c r="B285" s="320">
        <v>15301.4501953125</v>
      </c>
      <c r="C285" s="320">
        <v>904.09997558593795</v>
      </c>
      <c r="D285" s="320">
        <f t="shared" si="8"/>
        <v>6.1150215048647203E-3</v>
      </c>
      <c r="E285" s="320">
        <f t="shared" si="9"/>
        <v>4.0080028333187301E-2</v>
      </c>
      <c r="F285" s="130"/>
      <c r="G285" s="130"/>
    </row>
    <row r="286" spans="1:7" ht="14.25" customHeight="1" x14ac:dyDescent="0.3">
      <c r="A286" s="319" t="s">
        <v>795</v>
      </c>
      <c r="B286" s="320">
        <v>15337.849609375</v>
      </c>
      <c r="C286" s="320">
        <v>896.89001464843795</v>
      </c>
      <c r="D286" s="320">
        <f t="shared" si="8"/>
        <v>2.3788211965458501E-3</v>
      </c>
      <c r="E286" s="320">
        <f t="shared" si="9"/>
        <v>-7.9747385601103404E-3</v>
      </c>
      <c r="F286" s="130"/>
      <c r="G286" s="130"/>
    </row>
    <row r="287" spans="1:7" ht="14.25" customHeight="1" x14ac:dyDescent="0.3">
      <c r="A287" s="319" t="s">
        <v>796</v>
      </c>
      <c r="B287" s="320">
        <v>15435.650390625</v>
      </c>
      <c r="C287" s="320">
        <v>892.34997558593795</v>
      </c>
      <c r="D287" s="320">
        <f t="shared" si="8"/>
        <v>6.3764337075140499E-3</v>
      </c>
      <c r="E287" s="320">
        <f t="shared" si="9"/>
        <v>-5.0619797169663E-3</v>
      </c>
      <c r="F287" s="130"/>
      <c r="G287" s="130"/>
    </row>
    <row r="288" spans="1:7" ht="14.25" customHeight="1" x14ac:dyDescent="0.3">
      <c r="A288" s="319" t="s">
        <v>797</v>
      </c>
      <c r="B288" s="320">
        <v>15582.7998046875</v>
      </c>
      <c r="C288" s="320">
        <v>869.09002685546898</v>
      </c>
      <c r="D288" s="320">
        <f t="shared" si="8"/>
        <v>9.5330880357249303E-3</v>
      </c>
      <c r="E288" s="320">
        <f t="shared" si="9"/>
        <v>-2.6065948749755902E-2</v>
      </c>
      <c r="F288" s="130"/>
      <c r="G288" s="130"/>
    </row>
    <row r="289" spans="1:7" ht="14.25" customHeight="1" x14ac:dyDescent="0.3">
      <c r="A289" s="319" t="s">
        <v>798</v>
      </c>
      <c r="B289" s="320">
        <v>15574.849609375</v>
      </c>
      <c r="C289" s="320">
        <v>885.55999755859398</v>
      </c>
      <c r="D289" s="320">
        <f t="shared" si="8"/>
        <v>-5.1019042868717895E-4</v>
      </c>
      <c r="E289" s="320">
        <f t="shared" si="9"/>
        <v>1.8950822347733601E-2</v>
      </c>
      <c r="F289" s="130"/>
      <c r="G289" s="130"/>
    </row>
    <row r="290" spans="1:7" ht="14.25" customHeight="1" x14ac:dyDescent="0.3">
      <c r="A290" s="319" t="s">
        <v>799</v>
      </c>
      <c r="B290" s="320">
        <v>15576.2001953125</v>
      </c>
      <c r="C290" s="320">
        <v>905.52001953125</v>
      </c>
      <c r="D290" s="320">
        <f t="shared" si="8"/>
        <v>8.6715825280716594E-5</v>
      </c>
      <c r="E290" s="320">
        <f t="shared" si="9"/>
        <v>2.25394349650887E-2</v>
      </c>
      <c r="F290" s="130"/>
      <c r="G290" s="130"/>
    </row>
    <row r="291" spans="1:7" ht="14.25" customHeight="1" x14ac:dyDescent="0.3">
      <c r="A291" s="319" t="s">
        <v>800</v>
      </c>
      <c r="B291" s="320">
        <v>15690.349609375</v>
      </c>
      <c r="C291" s="320">
        <v>915.969970703125</v>
      </c>
      <c r="D291" s="320">
        <f t="shared" si="8"/>
        <v>7.3284506253875796E-3</v>
      </c>
      <c r="E291" s="320">
        <f t="shared" si="9"/>
        <v>1.1540276246222E-2</v>
      </c>
      <c r="F291" s="130"/>
      <c r="G291" s="130"/>
    </row>
    <row r="292" spans="1:7" ht="14.25" customHeight="1" x14ac:dyDescent="0.3">
      <c r="A292" s="319" t="s">
        <v>801</v>
      </c>
      <c r="B292" s="320">
        <v>15670.25</v>
      </c>
      <c r="C292" s="320">
        <v>914.280029296875</v>
      </c>
      <c r="D292" s="320">
        <f t="shared" si="8"/>
        <v>-1.2810173052479599E-3</v>
      </c>
      <c r="E292" s="320">
        <f t="shared" si="9"/>
        <v>-1.84497468290664E-3</v>
      </c>
      <c r="F292" s="130"/>
      <c r="G292" s="130"/>
    </row>
    <row r="293" spans="1:7" ht="14.25" customHeight="1" x14ac:dyDescent="0.3">
      <c r="A293" s="319" t="s">
        <v>802</v>
      </c>
      <c r="B293" s="320">
        <v>15751.650390625</v>
      </c>
      <c r="C293" s="320">
        <v>932.34002685546898</v>
      </c>
      <c r="D293" s="320">
        <f t="shared" si="8"/>
        <v>5.1945814919991699E-3</v>
      </c>
      <c r="E293" s="320">
        <f t="shared" si="9"/>
        <v>1.9753245154532102E-2</v>
      </c>
      <c r="F293" s="130"/>
      <c r="G293" s="130"/>
    </row>
    <row r="294" spans="1:7" ht="14.25" customHeight="1" x14ac:dyDescent="0.3">
      <c r="A294" s="319" t="s">
        <v>803</v>
      </c>
      <c r="B294" s="320">
        <v>15740.099609375</v>
      </c>
      <c r="C294" s="320">
        <v>931.760009765625</v>
      </c>
      <c r="D294" s="320">
        <f t="shared" si="8"/>
        <v>-7.3330609577741397E-4</v>
      </c>
      <c r="E294" s="320">
        <f t="shared" si="9"/>
        <v>-6.2210896576029098E-4</v>
      </c>
      <c r="F294" s="130"/>
      <c r="G294" s="130"/>
    </row>
    <row r="295" spans="1:7" ht="14.25" customHeight="1" x14ac:dyDescent="0.3">
      <c r="A295" s="319" t="s">
        <v>804</v>
      </c>
      <c r="B295" s="320">
        <v>15635.349609375</v>
      </c>
      <c r="C295" s="320">
        <v>935.469970703125</v>
      </c>
      <c r="D295" s="320">
        <f t="shared" si="8"/>
        <v>-6.6549769442125796E-3</v>
      </c>
      <c r="E295" s="320">
        <f t="shared" si="9"/>
        <v>3.9816700637680296E-3</v>
      </c>
      <c r="F295" s="130"/>
      <c r="G295" s="130"/>
    </row>
    <row r="296" spans="1:7" ht="14.25" customHeight="1" x14ac:dyDescent="0.3">
      <c r="A296" s="319" t="s">
        <v>805</v>
      </c>
      <c r="B296" s="320">
        <v>15737.75</v>
      </c>
      <c r="C296" s="320">
        <v>946.510009765625</v>
      </c>
      <c r="D296" s="320">
        <f t="shared" si="8"/>
        <v>6.5492869160789597E-3</v>
      </c>
      <c r="E296" s="320">
        <f t="shared" si="9"/>
        <v>1.18015964255934E-2</v>
      </c>
      <c r="F296" s="130"/>
      <c r="G296" s="130"/>
    </row>
    <row r="297" spans="1:7" ht="14.25" customHeight="1" x14ac:dyDescent="0.3">
      <c r="A297" s="319" t="s">
        <v>806</v>
      </c>
      <c r="B297" s="320">
        <v>15799.349609375</v>
      </c>
      <c r="C297" s="320">
        <v>937.780029296875</v>
      </c>
      <c r="D297" s="320">
        <f t="shared" si="8"/>
        <v>3.9141306333497503E-3</v>
      </c>
      <c r="E297" s="320">
        <f t="shared" si="9"/>
        <v>-9.2233366564308406E-3</v>
      </c>
      <c r="F297" s="130"/>
      <c r="G297" s="130"/>
    </row>
    <row r="298" spans="1:7" ht="14.25" customHeight="1" x14ac:dyDescent="0.3">
      <c r="A298" s="319" t="s">
        <v>807</v>
      </c>
      <c r="B298" s="320">
        <v>15811.849609375</v>
      </c>
      <c r="C298" s="320">
        <v>936.85998535156295</v>
      </c>
      <c r="D298" s="320">
        <f t="shared" si="8"/>
        <v>7.9117180827385195E-4</v>
      </c>
      <c r="E298" s="320">
        <f t="shared" si="9"/>
        <v>-9.8108715964219492E-4</v>
      </c>
      <c r="F298" s="130"/>
      <c r="G298" s="130"/>
    </row>
    <row r="299" spans="1:7" ht="14.25" customHeight="1" x14ac:dyDescent="0.3">
      <c r="A299" s="319" t="s">
        <v>808</v>
      </c>
      <c r="B299" s="320">
        <v>15869.25</v>
      </c>
      <c r="C299" s="320">
        <v>979.29998779296898</v>
      </c>
      <c r="D299" s="320">
        <f t="shared" si="8"/>
        <v>3.63021354509764E-3</v>
      </c>
      <c r="E299" s="320">
        <f t="shared" si="9"/>
        <v>4.53002616239183E-2</v>
      </c>
      <c r="F299" s="130"/>
      <c r="G299" s="130"/>
    </row>
    <row r="300" spans="1:7" ht="14.25" customHeight="1" x14ac:dyDescent="0.3">
      <c r="A300" s="319" t="s">
        <v>809</v>
      </c>
      <c r="B300" s="320">
        <v>15767.5498046875</v>
      </c>
      <c r="C300" s="320">
        <v>979.33001708984398</v>
      </c>
      <c r="D300" s="320">
        <f t="shared" si="8"/>
        <v>-6.4086327528080998E-3</v>
      </c>
      <c r="E300" s="320">
        <f t="shared" si="9"/>
        <v>3.0664042938136299E-5</v>
      </c>
      <c r="F300" s="130"/>
      <c r="G300" s="130"/>
    </row>
    <row r="301" spans="1:7" ht="14.25" customHeight="1" x14ac:dyDescent="0.3">
      <c r="A301" s="319" t="s">
        <v>810</v>
      </c>
      <c r="B301" s="320">
        <v>15691.400390625</v>
      </c>
      <c r="C301" s="320">
        <v>989.60998535156295</v>
      </c>
      <c r="D301" s="320">
        <f t="shared" si="8"/>
        <v>-4.8295020472909301E-3</v>
      </c>
      <c r="E301" s="320">
        <f t="shared" si="9"/>
        <v>1.04969398285848E-2</v>
      </c>
      <c r="F301" s="130"/>
      <c r="G301" s="130"/>
    </row>
    <row r="302" spans="1:7" ht="14.25" customHeight="1" x14ac:dyDescent="0.3">
      <c r="A302" s="319" t="s">
        <v>811</v>
      </c>
      <c r="B302" s="320">
        <v>15683.349609375</v>
      </c>
      <c r="C302" s="320">
        <v>999.75</v>
      </c>
      <c r="D302" s="320">
        <f t="shared" si="8"/>
        <v>-5.13069646403901E-4</v>
      </c>
      <c r="E302" s="320">
        <f t="shared" si="9"/>
        <v>1.0246475680856E-2</v>
      </c>
      <c r="F302" s="130"/>
      <c r="G302" s="130"/>
    </row>
    <row r="303" spans="1:7" ht="14.25" customHeight="1" x14ac:dyDescent="0.3">
      <c r="A303" s="319" t="s">
        <v>812</v>
      </c>
      <c r="B303" s="320">
        <v>15746.5</v>
      </c>
      <c r="C303" s="320">
        <v>995.53997802734398</v>
      </c>
      <c r="D303" s="320">
        <f t="shared" si="8"/>
        <v>4.02658820965457E-3</v>
      </c>
      <c r="E303" s="320">
        <f t="shared" si="9"/>
        <v>-4.2110747413413602E-3</v>
      </c>
      <c r="F303" s="130"/>
      <c r="G303" s="130"/>
    </row>
    <row r="304" spans="1:7" ht="14.25" customHeight="1" x14ac:dyDescent="0.3">
      <c r="A304" s="319" t="s">
        <v>813</v>
      </c>
      <c r="B304" s="320">
        <v>15772.75</v>
      </c>
      <c r="C304" s="320">
        <v>974.58001708984398</v>
      </c>
      <c r="D304" s="320">
        <f t="shared" si="8"/>
        <v>1.66703711935986E-3</v>
      </c>
      <c r="E304" s="320">
        <f t="shared" si="9"/>
        <v>-2.10538616229476E-2</v>
      </c>
      <c r="F304" s="130"/>
      <c r="G304" s="130"/>
    </row>
    <row r="305" spans="1:7" ht="14.25" customHeight="1" x14ac:dyDescent="0.3">
      <c r="A305" s="319" t="s">
        <v>814</v>
      </c>
      <c r="B305" s="320">
        <v>15686.9501953125</v>
      </c>
      <c r="C305" s="320">
        <v>956.54998779296898</v>
      </c>
      <c r="D305" s="320">
        <f t="shared" si="8"/>
        <v>-5.43974923126912E-3</v>
      </c>
      <c r="E305" s="320">
        <f t="shared" si="9"/>
        <v>-1.8500306779030602E-2</v>
      </c>
      <c r="F305" s="130"/>
      <c r="G305" s="130"/>
    </row>
    <row r="306" spans="1:7" ht="14.25" customHeight="1" x14ac:dyDescent="0.3">
      <c r="A306" s="319" t="s">
        <v>815</v>
      </c>
      <c r="B306" s="320">
        <v>15790.4501953125</v>
      </c>
      <c r="C306" s="320">
        <v>957.760009765625</v>
      </c>
      <c r="D306" s="320">
        <f t="shared" si="8"/>
        <v>6.5978407983297701E-3</v>
      </c>
      <c r="E306" s="320">
        <f t="shared" si="9"/>
        <v>1.2649856129818E-3</v>
      </c>
      <c r="F306" s="130"/>
      <c r="G306" s="130"/>
    </row>
    <row r="307" spans="1:7" ht="14.25" customHeight="1" x14ac:dyDescent="0.3">
      <c r="A307" s="319" t="s">
        <v>816</v>
      </c>
      <c r="B307" s="320">
        <v>15860.349609375</v>
      </c>
      <c r="C307" s="320">
        <v>990.84002685546898</v>
      </c>
      <c r="D307" s="320">
        <f t="shared" si="8"/>
        <v>4.4266891189239203E-3</v>
      </c>
      <c r="E307" s="320">
        <f t="shared" si="9"/>
        <v>3.45389416477506E-2</v>
      </c>
      <c r="F307" s="130"/>
      <c r="G307" s="130"/>
    </row>
    <row r="308" spans="1:7" ht="14.25" customHeight="1" x14ac:dyDescent="0.3">
      <c r="A308" s="319" t="s">
        <v>817</v>
      </c>
      <c r="B308" s="320">
        <v>15814.7001953125</v>
      </c>
      <c r="C308" s="320">
        <v>995.61999511718795</v>
      </c>
      <c r="D308" s="320">
        <f t="shared" si="8"/>
        <v>-2.8782098242977399E-3</v>
      </c>
      <c r="E308" s="320">
        <f t="shared" si="9"/>
        <v>4.8241574140769098E-3</v>
      </c>
      <c r="F308" s="130"/>
      <c r="G308" s="130"/>
    </row>
    <row r="309" spans="1:7" ht="14.25" customHeight="1" x14ac:dyDescent="0.3">
      <c r="A309" s="319" t="s">
        <v>818</v>
      </c>
      <c r="B309" s="320">
        <v>15748.4501953125</v>
      </c>
      <c r="C309" s="320">
        <v>990.57000732421898</v>
      </c>
      <c r="D309" s="320">
        <f t="shared" si="8"/>
        <v>-4.1891404314851697E-3</v>
      </c>
      <c r="E309" s="320">
        <f t="shared" si="9"/>
        <v>-5.0722040715690704E-3</v>
      </c>
      <c r="F309" s="130"/>
      <c r="G309" s="130"/>
    </row>
    <row r="310" spans="1:7" ht="14.25" customHeight="1" x14ac:dyDescent="0.3">
      <c r="A310" s="319" t="s">
        <v>819</v>
      </c>
      <c r="B310" s="320">
        <v>15721.5</v>
      </c>
      <c r="C310" s="320">
        <v>983.15002441406295</v>
      </c>
      <c r="D310" s="320">
        <f t="shared" si="8"/>
        <v>-1.7112919035373801E-3</v>
      </c>
      <c r="E310" s="320">
        <f t="shared" si="9"/>
        <v>-7.4906193961992397E-3</v>
      </c>
      <c r="F310" s="130"/>
      <c r="G310" s="130"/>
    </row>
    <row r="311" spans="1:7" ht="14.25" customHeight="1" x14ac:dyDescent="0.3">
      <c r="A311" s="319" t="s">
        <v>820</v>
      </c>
      <c r="B311" s="320">
        <v>15680</v>
      </c>
      <c r="C311" s="320">
        <v>1063.43005371094</v>
      </c>
      <c r="D311" s="320">
        <f t="shared" si="8"/>
        <v>-2.6396972299080898E-3</v>
      </c>
      <c r="E311" s="320">
        <f t="shared" si="9"/>
        <v>8.1655929719090706E-2</v>
      </c>
      <c r="F311" s="130"/>
      <c r="G311" s="130"/>
    </row>
    <row r="312" spans="1:7" ht="14.25" customHeight="1" x14ac:dyDescent="0.3">
      <c r="A312" s="319" t="s">
        <v>821</v>
      </c>
      <c r="B312" s="320">
        <v>15722.2001953125</v>
      </c>
      <c r="C312" s="320">
        <v>1073.02001953125</v>
      </c>
      <c r="D312" s="320">
        <f t="shared" si="8"/>
        <v>2.6913389867665801E-3</v>
      </c>
      <c r="E312" s="320">
        <f t="shared" si="9"/>
        <v>9.0179563637917699E-3</v>
      </c>
      <c r="F312" s="130"/>
      <c r="G312" s="130"/>
    </row>
    <row r="313" spans="1:7" ht="14.25" customHeight="1" x14ac:dyDescent="0.3">
      <c r="A313" s="319" t="s">
        <v>822</v>
      </c>
      <c r="B313" s="320">
        <v>15834.349609375</v>
      </c>
      <c r="C313" s="320">
        <v>1095.32995605469</v>
      </c>
      <c r="D313" s="320">
        <f t="shared" si="8"/>
        <v>7.1331882732250697E-3</v>
      </c>
      <c r="E313" s="320">
        <f t="shared" si="9"/>
        <v>2.0791724401550402E-2</v>
      </c>
      <c r="F313" s="130"/>
      <c r="G313" s="130"/>
    </row>
    <row r="314" spans="1:7" ht="14.25" customHeight="1" x14ac:dyDescent="0.3">
      <c r="A314" s="319" t="s">
        <v>823</v>
      </c>
      <c r="B314" s="320">
        <v>15818.25</v>
      </c>
      <c r="C314" s="320">
        <v>1081.88000488281</v>
      </c>
      <c r="D314" s="320">
        <f t="shared" si="8"/>
        <v>-1.01675217310271E-3</v>
      </c>
      <c r="E314" s="320">
        <f t="shared" si="9"/>
        <v>-1.22793602946147E-2</v>
      </c>
      <c r="F314" s="130"/>
      <c r="G314" s="130"/>
    </row>
    <row r="315" spans="1:7" ht="14.25" customHeight="1" x14ac:dyDescent="0.3">
      <c r="A315" s="319" t="s">
        <v>824</v>
      </c>
      <c r="B315" s="320">
        <v>15879.650390625</v>
      </c>
      <c r="C315" s="320">
        <v>1066.51000976563</v>
      </c>
      <c r="D315" s="320">
        <f t="shared" si="8"/>
        <v>3.8816171589777602E-3</v>
      </c>
      <c r="E315" s="320">
        <f t="shared" si="9"/>
        <v>-1.42067466334632E-2</v>
      </c>
      <c r="F315" s="130"/>
      <c r="G315" s="130"/>
    </row>
    <row r="316" spans="1:7" ht="14.25" customHeight="1" x14ac:dyDescent="0.3">
      <c r="A316" s="319" t="s">
        <v>825</v>
      </c>
      <c r="B316" s="320">
        <v>15727.900390625</v>
      </c>
      <c r="C316" s="320">
        <v>1075.47998046875</v>
      </c>
      <c r="D316" s="320">
        <f t="shared" si="8"/>
        <v>-9.5562557277451103E-3</v>
      </c>
      <c r="E316" s="320">
        <f t="shared" si="9"/>
        <v>8.4105827615168702E-3</v>
      </c>
      <c r="F316" s="130"/>
      <c r="G316" s="130"/>
    </row>
    <row r="317" spans="1:7" ht="14.25" customHeight="1" x14ac:dyDescent="0.3">
      <c r="A317" s="319" t="s">
        <v>826</v>
      </c>
      <c r="B317" s="320">
        <v>15689.7998046875</v>
      </c>
      <c r="C317" s="320">
        <v>1076.38000488281</v>
      </c>
      <c r="D317" s="320">
        <f t="shared" si="8"/>
        <v>-2.4224839292732799E-3</v>
      </c>
      <c r="E317" s="320">
        <f t="shared" si="9"/>
        <v>8.3685836129438796E-4</v>
      </c>
      <c r="F317" s="130"/>
      <c r="G317" s="130"/>
    </row>
    <row r="318" spans="1:7" ht="14.25" customHeight="1" x14ac:dyDescent="0.3">
      <c r="A318" s="319" t="s">
        <v>827</v>
      </c>
      <c r="B318" s="320">
        <v>15692.599609375</v>
      </c>
      <c r="C318" s="320">
        <v>1080.03002929688</v>
      </c>
      <c r="D318" s="320">
        <f t="shared" si="8"/>
        <v>1.7844744498674399E-4</v>
      </c>
      <c r="E318" s="320">
        <f t="shared" si="9"/>
        <v>3.3910184112602498E-3</v>
      </c>
      <c r="F318" s="130"/>
      <c r="G318" s="130"/>
    </row>
    <row r="319" spans="1:7" ht="14.25" customHeight="1" x14ac:dyDescent="0.3">
      <c r="A319" s="319" t="s">
        <v>828</v>
      </c>
      <c r="B319" s="320">
        <v>15812.349609375</v>
      </c>
      <c r="C319" s="320">
        <v>1031.39001464844</v>
      </c>
      <c r="D319" s="320">
        <f t="shared" si="8"/>
        <v>7.6309854951285101E-3</v>
      </c>
      <c r="E319" s="320">
        <f t="shared" si="9"/>
        <v>-4.50357983843334E-2</v>
      </c>
      <c r="F319" s="130"/>
      <c r="G319" s="130"/>
    </row>
    <row r="320" spans="1:7" ht="14.25" customHeight="1" x14ac:dyDescent="0.3">
      <c r="A320" s="319" t="s">
        <v>829</v>
      </c>
      <c r="B320" s="320">
        <v>15853.9501953125</v>
      </c>
      <c r="C320" s="320">
        <v>1041.30004882813</v>
      </c>
      <c r="D320" s="320">
        <f t="shared" si="8"/>
        <v>2.6308921169334201E-3</v>
      </c>
      <c r="E320" s="320">
        <f t="shared" si="9"/>
        <v>9.6084255605944895E-3</v>
      </c>
      <c r="F320" s="130"/>
      <c r="G320" s="130"/>
    </row>
    <row r="321" spans="1:7" ht="14.25" customHeight="1" x14ac:dyDescent="0.3">
      <c r="A321" s="319" t="s">
        <v>830</v>
      </c>
      <c r="B321" s="320">
        <v>15924.2001953125</v>
      </c>
      <c r="C321" s="320">
        <v>1042.14001464844</v>
      </c>
      <c r="D321" s="320">
        <f t="shared" si="8"/>
        <v>4.4310723280038197E-3</v>
      </c>
      <c r="E321" s="320">
        <f t="shared" si="9"/>
        <v>8.0665109086981105E-4</v>
      </c>
      <c r="F321" s="130"/>
      <c r="G321" s="130"/>
    </row>
    <row r="322" spans="1:7" ht="14.25" customHeight="1" x14ac:dyDescent="0.3">
      <c r="A322" s="319" t="s">
        <v>831</v>
      </c>
      <c r="B322" s="320">
        <v>15923.400390625</v>
      </c>
      <c r="C322" s="320">
        <v>1020.51000976563</v>
      </c>
      <c r="D322" s="320">
        <f t="shared" si="8"/>
        <v>-5.0225736783655402E-5</v>
      </c>
      <c r="E322" s="320">
        <f t="shared" si="9"/>
        <v>-2.0755373154063901E-2</v>
      </c>
      <c r="F322" s="130"/>
      <c r="G322" s="130"/>
    </row>
    <row r="323" spans="1:7" ht="14.25" customHeight="1" x14ac:dyDescent="0.3">
      <c r="A323" s="319" t="s">
        <v>832</v>
      </c>
      <c r="B323" s="320">
        <v>15752.400390625</v>
      </c>
      <c r="C323" s="320">
        <v>1024.55004882813</v>
      </c>
      <c r="D323" s="320">
        <f t="shared" ref="D323:D386" si="10">(B323-B322)/B322</f>
        <v>-1.07389122803618E-2</v>
      </c>
      <c r="E323" s="320">
        <f t="shared" ref="E323:E386" si="11">(C323-C322)/C322</f>
        <v>3.95884315081616E-3</v>
      </c>
      <c r="F323" s="130"/>
      <c r="G323" s="130"/>
    </row>
    <row r="324" spans="1:7" ht="14.25" customHeight="1" x14ac:dyDescent="0.3">
      <c r="A324" s="319" t="s">
        <v>833</v>
      </c>
      <c r="B324" s="320">
        <v>15632.099609375</v>
      </c>
      <c r="C324" s="320">
        <v>1038.14001464844</v>
      </c>
      <c r="D324" s="320">
        <f t="shared" si="10"/>
        <v>-7.6369809214344702E-3</v>
      </c>
      <c r="E324" s="320">
        <f t="shared" si="11"/>
        <v>1.32643259700725E-2</v>
      </c>
      <c r="F324" s="130"/>
      <c r="G324" s="130"/>
    </row>
    <row r="325" spans="1:7" ht="14.25" customHeight="1" x14ac:dyDescent="0.3">
      <c r="A325" s="319" t="s">
        <v>834</v>
      </c>
      <c r="B325" s="320">
        <v>15824.0498046875</v>
      </c>
      <c r="C325" s="320">
        <v>1045.06994628906</v>
      </c>
      <c r="D325" s="320">
        <f t="shared" si="10"/>
        <v>1.2279233123449499E-2</v>
      </c>
      <c r="E325" s="320">
        <f t="shared" si="11"/>
        <v>6.6753342929053499E-3</v>
      </c>
      <c r="F325" s="130"/>
      <c r="G325" s="130"/>
    </row>
    <row r="326" spans="1:7" ht="14.25" customHeight="1" x14ac:dyDescent="0.3">
      <c r="A326" s="319" t="s">
        <v>835</v>
      </c>
      <c r="B326" s="320">
        <v>15856.0498046875</v>
      </c>
      <c r="C326" s="320">
        <v>1028.51000976563</v>
      </c>
      <c r="D326" s="320">
        <f t="shared" si="10"/>
        <v>2.02223832678539E-3</v>
      </c>
      <c r="E326" s="320">
        <f t="shared" si="11"/>
        <v>-1.5845768584421299E-2</v>
      </c>
      <c r="F326" s="130"/>
      <c r="G326" s="130"/>
    </row>
    <row r="327" spans="1:7" ht="14.25" customHeight="1" x14ac:dyDescent="0.3">
      <c r="A327" s="319" t="s">
        <v>836</v>
      </c>
      <c r="B327" s="320">
        <v>15824.4501953125</v>
      </c>
      <c r="C327" s="320">
        <v>1017.19000244141</v>
      </c>
      <c r="D327" s="320">
        <f t="shared" si="10"/>
        <v>-1.9929055322251998E-3</v>
      </c>
      <c r="E327" s="320">
        <f t="shared" si="11"/>
        <v>-1.10062198877379E-2</v>
      </c>
      <c r="F327" s="130"/>
      <c r="G327" s="130"/>
    </row>
    <row r="328" spans="1:7" ht="14.25" customHeight="1" x14ac:dyDescent="0.3">
      <c r="A328" s="319" t="s">
        <v>837</v>
      </c>
      <c r="B328" s="320">
        <v>15746.4501953125</v>
      </c>
      <c r="C328" s="320">
        <v>1036.16003417969</v>
      </c>
      <c r="D328" s="320">
        <f t="shared" si="10"/>
        <v>-4.9290812026508901E-3</v>
      </c>
      <c r="E328" s="320">
        <f t="shared" si="11"/>
        <v>1.86494476870094E-2</v>
      </c>
      <c r="F328" s="130"/>
      <c r="G328" s="130"/>
    </row>
    <row r="329" spans="1:7" ht="14.25" customHeight="1" x14ac:dyDescent="0.3">
      <c r="A329" s="319" t="s">
        <v>838</v>
      </c>
      <c r="B329" s="320">
        <v>15709.400390625</v>
      </c>
      <c r="C329" s="320">
        <v>1051.06005859375</v>
      </c>
      <c r="D329" s="320">
        <f t="shared" si="10"/>
        <v>-2.35289885834264E-3</v>
      </c>
      <c r="E329" s="320">
        <f t="shared" si="11"/>
        <v>1.4380041617659999E-2</v>
      </c>
      <c r="F329" s="130"/>
      <c r="G329" s="130"/>
    </row>
    <row r="330" spans="1:7" ht="14.25" customHeight="1" x14ac:dyDescent="0.3">
      <c r="A330" s="319" t="s">
        <v>839</v>
      </c>
      <c r="B330" s="320">
        <v>15778.4501953125</v>
      </c>
      <c r="C330" s="320">
        <v>1041.78002929688</v>
      </c>
      <c r="D330" s="320">
        <f t="shared" si="10"/>
        <v>4.3954449546468599E-3</v>
      </c>
      <c r="E330" s="320">
        <f t="shared" si="11"/>
        <v>-8.8292093501165601E-3</v>
      </c>
      <c r="F330" s="130"/>
      <c r="G330" s="130"/>
    </row>
    <row r="331" spans="1:7" ht="14.25" customHeight="1" x14ac:dyDescent="0.3">
      <c r="A331" s="319" t="s">
        <v>840</v>
      </c>
      <c r="B331" s="320">
        <v>15763.0498046875</v>
      </c>
      <c r="C331" s="320">
        <v>1042.9599609375</v>
      </c>
      <c r="D331" s="320">
        <f t="shared" si="10"/>
        <v>-9.7603949908687399E-4</v>
      </c>
      <c r="E331" s="320">
        <f t="shared" si="11"/>
        <v>1.1326111150511901E-3</v>
      </c>
      <c r="F331" s="130"/>
      <c r="G331" s="130"/>
    </row>
    <row r="332" spans="1:7" ht="14.25" customHeight="1" x14ac:dyDescent="0.3">
      <c r="A332" s="319" t="s">
        <v>841</v>
      </c>
      <c r="B332" s="320">
        <v>15885.150390625</v>
      </c>
      <c r="C332" s="320">
        <v>1060.33996582031</v>
      </c>
      <c r="D332" s="320">
        <f t="shared" si="10"/>
        <v>7.74600013641971E-3</v>
      </c>
      <c r="E332" s="320">
        <f t="shared" si="11"/>
        <v>1.6664115147035401E-2</v>
      </c>
      <c r="F332" s="130"/>
      <c r="G332" s="130"/>
    </row>
    <row r="333" spans="1:7" ht="14.25" customHeight="1" x14ac:dyDescent="0.3">
      <c r="A333" s="319" t="s">
        <v>842</v>
      </c>
      <c r="B333" s="320">
        <v>16130.75</v>
      </c>
      <c r="C333" s="320">
        <v>1073.42004394531</v>
      </c>
      <c r="D333" s="320">
        <f t="shared" si="10"/>
        <v>1.5460955882416199E-2</v>
      </c>
      <c r="E333" s="320">
        <f t="shared" si="11"/>
        <v>1.2335739995314499E-2</v>
      </c>
      <c r="F333" s="130"/>
      <c r="G333" s="130"/>
    </row>
    <row r="334" spans="1:7" ht="14.25" customHeight="1" x14ac:dyDescent="0.3">
      <c r="A334" s="319" t="s">
        <v>843</v>
      </c>
      <c r="B334" s="320">
        <v>16258.7998046875</v>
      </c>
      <c r="C334" s="320">
        <v>1070.26000976563</v>
      </c>
      <c r="D334" s="320">
        <f t="shared" si="10"/>
        <v>7.9382424678021805E-3</v>
      </c>
      <c r="E334" s="320">
        <f t="shared" si="11"/>
        <v>-2.9438933970949801E-3</v>
      </c>
      <c r="F334" s="130"/>
      <c r="G334" s="130"/>
    </row>
    <row r="335" spans="1:7" ht="14.25" customHeight="1" x14ac:dyDescent="0.3">
      <c r="A335" s="319" t="s">
        <v>844</v>
      </c>
      <c r="B335" s="320">
        <v>16294.599609375</v>
      </c>
      <c r="C335" s="320">
        <v>1069.58996582031</v>
      </c>
      <c r="D335" s="320">
        <f t="shared" si="10"/>
        <v>2.20187253164768E-3</v>
      </c>
      <c r="E335" s="320">
        <f t="shared" si="11"/>
        <v>-6.2605716293812801E-4</v>
      </c>
      <c r="F335" s="130"/>
      <c r="G335" s="130"/>
    </row>
    <row r="336" spans="1:7" ht="14.25" customHeight="1" x14ac:dyDescent="0.3">
      <c r="A336" s="319" t="s">
        <v>845</v>
      </c>
      <c r="B336" s="320">
        <v>16238.2001953125</v>
      </c>
      <c r="C336" s="320">
        <v>1078.15002441406</v>
      </c>
      <c r="D336" s="320">
        <f t="shared" si="10"/>
        <v>-3.4612335015615199E-3</v>
      </c>
      <c r="E336" s="320">
        <f t="shared" si="11"/>
        <v>8.0031216328632603E-3</v>
      </c>
      <c r="F336" s="130"/>
      <c r="G336" s="130"/>
    </row>
    <row r="337" spans="1:7" ht="14.25" customHeight="1" x14ac:dyDescent="0.3">
      <c r="A337" s="319" t="s">
        <v>846</v>
      </c>
      <c r="B337" s="320">
        <v>16258.25</v>
      </c>
      <c r="C337" s="320">
        <v>1065.03002929688</v>
      </c>
      <c r="D337" s="320">
        <f t="shared" si="10"/>
        <v>1.23473072423924E-3</v>
      </c>
      <c r="E337" s="320">
        <f t="shared" si="11"/>
        <v>-1.21689883783199E-2</v>
      </c>
      <c r="F337" s="130"/>
      <c r="G337" s="130"/>
    </row>
    <row r="338" spans="1:7" ht="14.25" customHeight="1" x14ac:dyDescent="0.3">
      <c r="A338" s="319" t="s">
        <v>847</v>
      </c>
      <c r="B338" s="320">
        <v>16280.099609375</v>
      </c>
      <c r="C338" s="320">
        <v>1092.52001953125</v>
      </c>
      <c r="D338" s="320">
        <f t="shared" si="10"/>
        <v>1.3439090538649599E-3</v>
      </c>
      <c r="E338" s="320">
        <f t="shared" si="11"/>
        <v>2.5811469609470599E-2</v>
      </c>
      <c r="F338" s="130"/>
      <c r="G338" s="130"/>
    </row>
    <row r="339" spans="1:7" ht="14.25" customHeight="1" x14ac:dyDescent="0.3">
      <c r="A339" s="319" t="s">
        <v>848</v>
      </c>
      <c r="B339" s="320">
        <v>16282.25</v>
      </c>
      <c r="C339" s="320">
        <v>1075.01000976563</v>
      </c>
      <c r="D339" s="320">
        <f t="shared" si="10"/>
        <v>1.32087068052193E-4</v>
      </c>
      <c r="E339" s="320">
        <f t="shared" si="11"/>
        <v>-1.6027175202823998E-2</v>
      </c>
      <c r="F339" s="130"/>
      <c r="G339" s="130"/>
    </row>
    <row r="340" spans="1:7" ht="14.25" customHeight="1" x14ac:dyDescent="0.3">
      <c r="A340" s="319" t="s">
        <v>849</v>
      </c>
      <c r="B340" s="320">
        <v>16364.400390625</v>
      </c>
      <c r="C340" s="320">
        <v>1085.32995605469</v>
      </c>
      <c r="D340" s="320">
        <f t="shared" si="10"/>
        <v>5.0453954843464504E-3</v>
      </c>
      <c r="E340" s="320">
        <f t="shared" si="11"/>
        <v>9.5998606480975201E-3</v>
      </c>
      <c r="F340" s="130"/>
      <c r="G340" s="130"/>
    </row>
    <row r="341" spans="1:7" ht="14.25" customHeight="1" x14ac:dyDescent="0.3">
      <c r="A341" s="319" t="s">
        <v>850</v>
      </c>
      <c r="B341" s="320">
        <v>16529.099609375</v>
      </c>
      <c r="C341" s="320">
        <v>1085.7099609375</v>
      </c>
      <c r="D341" s="320">
        <f t="shared" si="10"/>
        <v>1.00644823408473E-2</v>
      </c>
      <c r="E341" s="320">
        <f t="shared" si="11"/>
        <v>3.5012843853620697E-4</v>
      </c>
      <c r="F341" s="130"/>
      <c r="G341" s="130"/>
    </row>
    <row r="342" spans="1:7" ht="14.25" customHeight="1" x14ac:dyDescent="0.3">
      <c r="A342" s="319" t="s">
        <v>851</v>
      </c>
      <c r="B342" s="320">
        <v>16563.05078125</v>
      </c>
      <c r="C342" s="320">
        <v>1089.16003417969</v>
      </c>
      <c r="D342" s="320">
        <f t="shared" si="10"/>
        <v>2.0540242770237501E-3</v>
      </c>
      <c r="E342" s="320">
        <f t="shared" si="11"/>
        <v>3.1777116967876902E-3</v>
      </c>
      <c r="F342" s="130"/>
      <c r="G342" s="130"/>
    </row>
    <row r="343" spans="1:7" ht="14.25" customHeight="1" x14ac:dyDescent="0.3">
      <c r="A343" s="319" t="s">
        <v>852</v>
      </c>
      <c r="B343" s="320">
        <v>16614.599609375</v>
      </c>
      <c r="C343" s="320">
        <v>1091.05004882813</v>
      </c>
      <c r="D343" s="320">
        <f t="shared" si="10"/>
        <v>3.11227857752844E-3</v>
      </c>
      <c r="E343" s="320">
        <f t="shared" si="11"/>
        <v>1.7352956306953399E-3</v>
      </c>
      <c r="F343" s="130"/>
      <c r="G343" s="130"/>
    </row>
    <row r="344" spans="1:7" ht="14.25" customHeight="1" x14ac:dyDescent="0.3">
      <c r="A344" s="319" t="s">
        <v>853</v>
      </c>
      <c r="B344" s="320">
        <v>16568.849609375</v>
      </c>
      <c r="C344" s="320">
        <v>1096.42004394531</v>
      </c>
      <c r="D344" s="320">
        <f t="shared" si="10"/>
        <v>-2.7536023181795499E-3</v>
      </c>
      <c r="E344" s="320">
        <f t="shared" si="11"/>
        <v>4.9218595635899297E-3</v>
      </c>
      <c r="F344" s="130"/>
      <c r="G344" s="130"/>
    </row>
    <row r="345" spans="1:7" ht="14.25" customHeight="1" x14ac:dyDescent="0.3">
      <c r="A345" s="319" t="s">
        <v>854</v>
      </c>
      <c r="B345" s="320">
        <v>16450.5</v>
      </c>
      <c r="C345" s="320">
        <v>1078.46997070313</v>
      </c>
      <c r="D345" s="320">
        <f t="shared" si="10"/>
        <v>-7.1428984006249498E-3</v>
      </c>
      <c r="E345" s="320">
        <f t="shared" si="11"/>
        <v>-1.6371529635293099E-2</v>
      </c>
      <c r="F345" s="130"/>
      <c r="G345" s="130"/>
    </row>
    <row r="346" spans="1:7" ht="14.25" customHeight="1" x14ac:dyDescent="0.3">
      <c r="A346" s="319" t="s">
        <v>855</v>
      </c>
      <c r="B346" s="320">
        <v>16496.44921875</v>
      </c>
      <c r="C346" s="320">
        <v>1097.81994628906</v>
      </c>
      <c r="D346" s="320">
        <f t="shared" si="10"/>
        <v>2.7931806783988299E-3</v>
      </c>
      <c r="E346" s="320">
        <f t="shared" si="11"/>
        <v>1.79420624695877E-2</v>
      </c>
      <c r="F346" s="130"/>
      <c r="G346" s="130"/>
    </row>
    <row r="347" spans="1:7" ht="14.25" customHeight="1" x14ac:dyDescent="0.3">
      <c r="A347" s="319" t="s">
        <v>856</v>
      </c>
      <c r="B347" s="320">
        <v>16624.599609375</v>
      </c>
      <c r="C347" s="320">
        <v>1152.16003417969</v>
      </c>
      <c r="D347" s="320">
        <f t="shared" si="10"/>
        <v>7.7683620836018E-3</v>
      </c>
      <c r="E347" s="320">
        <f t="shared" si="11"/>
        <v>4.9498178708006497E-2</v>
      </c>
      <c r="F347" s="130"/>
      <c r="G347" s="130"/>
    </row>
    <row r="348" spans="1:7" ht="14.25" customHeight="1" x14ac:dyDescent="0.3">
      <c r="A348" s="319" t="s">
        <v>857</v>
      </c>
      <c r="B348" s="320">
        <v>16634.650390625</v>
      </c>
      <c r="C348" s="320">
        <v>1159.18994140625</v>
      </c>
      <c r="D348" s="320">
        <f t="shared" si="10"/>
        <v>6.0457283099510698E-4</v>
      </c>
      <c r="E348" s="320">
        <f t="shared" si="11"/>
        <v>6.1015024111343401E-3</v>
      </c>
      <c r="F348" s="130"/>
      <c r="G348" s="130"/>
    </row>
    <row r="349" spans="1:7" ht="14.25" customHeight="1" x14ac:dyDescent="0.3">
      <c r="A349" s="319" t="s">
        <v>858</v>
      </c>
      <c r="B349" s="320">
        <v>16636.900390625</v>
      </c>
      <c r="C349" s="320">
        <v>1159.31005859375</v>
      </c>
      <c r="D349" s="320">
        <f t="shared" si="10"/>
        <v>1.35259830965132E-4</v>
      </c>
      <c r="E349" s="320">
        <f t="shared" si="11"/>
        <v>1.0362166130796699E-4</v>
      </c>
      <c r="F349" s="130"/>
      <c r="G349" s="130"/>
    </row>
    <row r="350" spans="1:7" ht="14.25" customHeight="1" x14ac:dyDescent="0.3">
      <c r="A350" s="319" t="s">
        <v>859</v>
      </c>
      <c r="B350" s="320">
        <v>16705.19921875</v>
      </c>
      <c r="C350" s="320">
        <v>1179.13000488281</v>
      </c>
      <c r="D350" s="320">
        <f t="shared" si="10"/>
        <v>4.1052615884799599E-3</v>
      </c>
      <c r="E350" s="320">
        <f t="shared" si="11"/>
        <v>1.7096329098620699E-2</v>
      </c>
      <c r="F350" s="130"/>
      <c r="G350" s="130"/>
    </row>
    <row r="351" spans="1:7" ht="14.25" customHeight="1" x14ac:dyDescent="0.3">
      <c r="A351" s="319" t="s">
        <v>860</v>
      </c>
      <c r="B351" s="320">
        <v>16931.05078125</v>
      </c>
      <c r="C351" s="320">
        <v>1212.59997558594</v>
      </c>
      <c r="D351" s="320">
        <f t="shared" si="10"/>
        <v>1.3519836521704199E-2</v>
      </c>
      <c r="E351" s="320">
        <f t="shared" si="11"/>
        <v>2.8385309986625699E-2</v>
      </c>
      <c r="F351" s="130"/>
      <c r="G351" s="130"/>
    </row>
    <row r="352" spans="1:7" ht="14.25" customHeight="1" x14ac:dyDescent="0.3">
      <c r="A352" s="319" t="s">
        <v>861</v>
      </c>
      <c r="B352" s="320">
        <v>17132.19921875</v>
      </c>
      <c r="C352" s="320">
        <v>1236.46997070313</v>
      </c>
      <c r="D352" s="320">
        <f t="shared" si="10"/>
        <v>1.18804461754233E-2</v>
      </c>
      <c r="E352" s="320">
        <f t="shared" si="11"/>
        <v>1.9684970804700701E-2</v>
      </c>
      <c r="F352" s="130"/>
      <c r="G352" s="130"/>
    </row>
    <row r="353" spans="1:7" ht="14.25" customHeight="1" x14ac:dyDescent="0.3">
      <c r="A353" s="319" t="s">
        <v>862</v>
      </c>
      <c r="B353" s="320">
        <v>17076.25</v>
      </c>
      <c r="C353" s="320">
        <v>1243</v>
      </c>
      <c r="D353" s="320">
        <f t="shared" si="10"/>
        <v>-3.2657347743637898E-3</v>
      </c>
      <c r="E353" s="320">
        <f t="shared" si="11"/>
        <v>5.2811871307773296E-3</v>
      </c>
      <c r="F353" s="130"/>
      <c r="G353" s="130"/>
    </row>
    <row r="354" spans="1:7" ht="14.25" customHeight="1" x14ac:dyDescent="0.3">
      <c r="A354" s="319" t="s">
        <v>863</v>
      </c>
      <c r="B354" s="320">
        <v>17234.150390625</v>
      </c>
      <c r="C354" s="320">
        <v>1257.33996582031</v>
      </c>
      <c r="D354" s="320">
        <f t="shared" si="10"/>
        <v>9.2467837273991597E-3</v>
      </c>
      <c r="E354" s="320">
        <f t="shared" si="11"/>
        <v>1.1536577490193101E-2</v>
      </c>
      <c r="F354" s="130"/>
      <c r="G354" s="130"/>
    </row>
    <row r="355" spans="1:7" ht="14.25" customHeight="1" x14ac:dyDescent="0.3">
      <c r="A355" s="319" t="s">
        <v>864</v>
      </c>
      <c r="B355" s="320">
        <v>17323.599609375</v>
      </c>
      <c r="C355" s="320">
        <v>1236.81994628906</v>
      </c>
      <c r="D355" s="320">
        <f t="shared" si="10"/>
        <v>5.1902308336973998E-3</v>
      </c>
      <c r="E355" s="320">
        <f t="shared" si="11"/>
        <v>-1.6320183951094198E-2</v>
      </c>
      <c r="F355" s="130"/>
      <c r="G355" s="130"/>
    </row>
    <row r="356" spans="1:7" ht="14.25" customHeight="1" x14ac:dyDescent="0.3">
      <c r="A356" s="319" t="s">
        <v>865</v>
      </c>
      <c r="B356" s="320">
        <v>17377.80078125</v>
      </c>
      <c r="C356" s="320">
        <v>1243.78002929688</v>
      </c>
      <c r="D356" s="320">
        <f t="shared" si="10"/>
        <v>3.1287476677576902E-3</v>
      </c>
      <c r="E356" s="320">
        <f t="shared" si="11"/>
        <v>5.6274019744773302E-3</v>
      </c>
      <c r="F356" s="130"/>
      <c r="G356" s="130"/>
    </row>
    <row r="357" spans="1:7" ht="14.25" customHeight="1" x14ac:dyDescent="0.3">
      <c r="A357" s="319" t="s">
        <v>866</v>
      </c>
      <c r="B357" s="320">
        <v>17362.099609375</v>
      </c>
      <c r="C357" s="320">
        <v>1236.75</v>
      </c>
      <c r="D357" s="320">
        <f t="shared" si="10"/>
        <v>-9.03518924669742E-4</v>
      </c>
      <c r="E357" s="320">
        <f t="shared" si="11"/>
        <v>-5.6521483954475003E-3</v>
      </c>
      <c r="F357" s="130"/>
      <c r="G357" s="130"/>
    </row>
    <row r="358" spans="1:7" ht="14.25" customHeight="1" x14ac:dyDescent="0.3">
      <c r="A358" s="319" t="s">
        <v>867</v>
      </c>
      <c r="B358" s="320">
        <v>17353.5</v>
      </c>
      <c r="C358" s="320">
        <v>1343.05004882813</v>
      </c>
      <c r="D358" s="320">
        <f t="shared" si="10"/>
        <v>-4.9530929832682698E-4</v>
      </c>
      <c r="E358" s="320">
        <f t="shared" si="11"/>
        <v>8.5951120944515902E-2</v>
      </c>
      <c r="F358" s="130"/>
      <c r="G358" s="130"/>
    </row>
    <row r="359" spans="1:7" ht="14.25" customHeight="1" x14ac:dyDescent="0.3">
      <c r="A359" s="319" t="s">
        <v>868</v>
      </c>
      <c r="B359" s="320">
        <v>17369.25</v>
      </c>
      <c r="C359" s="320">
        <v>1336.96997070313</v>
      </c>
      <c r="D359" s="320">
        <f t="shared" si="10"/>
        <v>9.0759789091537696E-4</v>
      </c>
      <c r="E359" s="320">
        <f t="shared" si="11"/>
        <v>-4.52706742411062E-3</v>
      </c>
      <c r="F359" s="130"/>
      <c r="G359" s="130"/>
    </row>
    <row r="360" spans="1:7" ht="14.25" customHeight="1" x14ac:dyDescent="0.3">
      <c r="A360" s="319" t="s">
        <v>869</v>
      </c>
      <c r="B360" s="320">
        <v>17355.30078125</v>
      </c>
      <c r="C360" s="320">
        <v>1320.86999511719</v>
      </c>
      <c r="D360" s="320">
        <f t="shared" si="10"/>
        <v>-8.0309850741972204E-4</v>
      </c>
      <c r="E360" s="320">
        <f t="shared" si="11"/>
        <v>-1.20421370253161E-2</v>
      </c>
      <c r="F360" s="130"/>
      <c r="G360" s="130"/>
    </row>
    <row r="361" spans="1:7" ht="14.25" customHeight="1" x14ac:dyDescent="0.3">
      <c r="A361" s="319" t="s">
        <v>870</v>
      </c>
      <c r="B361" s="320">
        <v>17380</v>
      </c>
      <c r="C361" s="320">
        <v>1344.5</v>
      </c>
      <c r="D361" s="320">
        <f t="shared" si="10"/>
        <v>1.4231512931590399E-3</v>
      </c>
      <c r="E361" s="320">
        <f t="shared" si="11"/>
        <v>1.7889727959725099E-2</v>
      </c>
      <c r="F361" s="130"/>
      <c r="G361" s="130"/>
    </row>
    <row r="362" spans="1:7" ht="14.25" customHeight="1" x14ac:dyDescent="0.3">
      <c r="A362" s="319" t="s">
        <v>871</v>
      </c>
      <c r="B362" s="320">
        <v>17519.44921875</v>
      </c>
      <c r="C362" s="320">
        <v>1333.43994140625</v>
      </c>
      <c r="D362" s="320">
        <f t="shared" si="10"/>
        <v>8.0235453826237105E-3</v>
      </c>
      <c r="E362" s="320">
        <f t="shared" si="11"/>
        <v>-8.2261499395686107E-3</v>
      </c>
      <c r="F362" s="130"/>
      <c r="G362" s="130"/>
    </row>
    <row r="363" spans="1:7" ht="14.25" customHeight="1" x14ac:dyDescent="0.3">
      <c r="A363" s="319" t="s">
        <v>872</v>
      </c>
      <c r="B363" s="320">
        <v>17629.5</v>
      </c>
      <c r="C363" s="320">
        <v>1371.64001464844</v>
      </c>
      <c r="D363" s="320">
        <f t="shared" si="10"/>
        <v>6.28163476350725E-3</v>
      </c>
      <c r="E363" s="320">
        <f t="shared" si="11"/>
        <v>2.8647764369427901E-2</v>
      </c>
      <c r="F363" s="130"/>
      <c r="G363" s="130"/>
    </row>
    <row r="364" spans="1:7" ht="14.25" customHeight="1" x14ac:dyDescent="0.3">
      <c r="A364" s="319" t="s">
        <v>873</v>
      </c>
      <c r="B364" s="320">
        <v>17585.150390625</v>
      </c>
      <c r="C364" s="320">
        <v>1322.93994140625</v>
      </c>
      <c r="D364" s="320">
        <f t="shared" si="10"/>
        <v>-2.5156476006126102E-3</v>
      </c>
      <c r="E364" s="320">
        <f t="shared" si="11"/>
        <v>-3.5504996006311601E-2</v>
      </c>
      <c r="F364" s="130"/>
      <c r="G364" s="130"/>
    </row>
    <row r="365" spans="1:7" ht="14.25" customHeight="1" x14ac:dyDescent="0.3">
      <c r="A365" s="319" t="s">
        <v>874</v>
      </c>
      <c r="B365" s="320">
        <v>17396.900390625</v>
      </c>
      <c r="C365" s="320">
        <v>1319.08996582031</v>
      </c>
      <c r="D365" s="320">
        <f t="shared" si="10"/>
        <v>-1.0705054879733099E-2</v>
      </c>
      <c r="E365" s="320">
        <f t="shared" si="11"/>
        <v>-2.9101665657229902E-3</v>
      </c>
      <c r="F365" s="130"/>
      <c r="G365" s="130"/>
    </row>
    <row r="366" spans="1:7" ht="14.25" customHeight="1" x14ac:dyDescent="0.3">
      <c r="A366" s="319" t="s">
        <v>875</v>
      </c>
      <c r="B366" s="320">
        <v>17562</v>
      </c>
      <c r="C366" s="320">
        <v>1345.40002441406</v>
      </c>
      <c r="D366" s="320">
        <f t="shared" si="10"/>
        <v>9.4901738624640491E-3</v>
      </c>
      <c r="E366" s="320">
        <f t="shared" si="11"/>
        <v>1.9945613472533999E-2</v>
      </c>
      <c r="F366" s="130"/>
      <c r="G366" s="130"/>
    </row>
    <row r="367" spans="1:7" ht="14.25" customHeight="1" x14ac:dyDescent="0.3">
      <c r="A367" s="319" t="s">
        <v>876</v>
      </c>
      <c r="B367" s="320">
        <v>17546.650390625</v>
      </c>
      <c r="C367" s="320">
        <v>1359.53002929688</v>
      </c>
      <c r="D367" s="320">
        <f t="shared" si="10"/>
        <v>-8.7402399356565296E-4</v>
      </c>
      <c r="E367" s="320">
        <f t="shared" si="11"/>
        <v>1.0502456240829801E-2</v>
      </c>
      <c r="F367" s="130"/>
      <c r="G367" s="130"/>
    </row>
    <row r="368" spans="1:7" ht="14.25" customHeight="1" x14ac:dyDescent="0.3">
      <c r="A368" s="319" t="s">
        <v>877</v>
      </c>
      <c r="B368" s="320">
        <v>17822.94921875</v>
      </c>
      <c r="C368" s="320">
        <v>1367.39001464844</v>
      </c>
      <c r="D368" s="320">
        <f t="shared" si="10"/>
        <v>1.5746528367181899E-2</v>
      </c>
      <c r="E368" s="320">
        <f t="shared" si="11"/>
        <v>5.7813988526792702E-3</v>
      </c>
      <c r="F368" s="130"/>
      <c r="G368" s="130"/>
    </row>
    <row r="369" spans="1:7" ht="14.25" customHeight="1" x14ac:dyDescent="0.3">
      <c r="A369" s="319" t="s">
        <v>878</v>
      </c>
      <c r="B369" s="320">
        <v>17853.19921875</v>
      </c>
      <c r="C369" s="320">
        <v>1330.30004882813</v>
      </c>
      <c r="D369" s="320">
        <f t="shared" si="10"/>
        <v>1.6972499684943601E-3</v>
      </c>
      <c r="E369" s="320">
        <f t="shared" si="11"/>
        <v>-2.7124642876557699E-2</v>
      </c>
      <c r="F369" s="130"/>
      <c r="G369" s="130"/>
    </row>
    <row r="370" spans="1:7" ht="14.25" customHeight="1" x14ac:dyDescent="0.3">
      <c r="A370" s="319" t="s">
        <v>879</v>
      </c>
      <c r="B370" s="320">
        <v>17855.099609375</v>
      </c>
      <c r="C370" s="320">
        <v>1343.60998535156</v>
      </c>
      <c r="D370" s="320">
        <f t="shared" si="10"/>
        <v>1.0644538279750701E-4</v>
      </c>
      <c r="E370" s="320">
        <f t="shared" si="11"/>
        <v>1.0005213887765299E-2</v>
      </c>
      <c r="F370" s="130"/>
      <c r="G370" s="130"/>
    </row>
    <row r="371" spans="1:7" ht="14.25" customHeight="1" x14ac:dyDescent="0.3">
      <c r="A371" s="319" t="s">
        <v>880</v>
      </c>
      <c r="B371" s="320">
        <v>17748.599609375</v>
      </c>
      <c r="C371" s="320">
        <v>1351.08996582031</v>
      </c>
      <c r="D371" s="320">
        <f t="shared" si="10"/>
        <v>-5.9646824901542998E-3</v>
      </c>
      <c r="E371" s="320">
        <f t="shared" si="11"/>
        <v>5.5670771654713798E-3</v>
      </c>
      <c r="F371" s="130"/>
      <c r="G371" s="130"/>
    </row>
    <row r="372" spans="1:7" ht="14.25" customHeight="1" x14ac:dyDescent="0.3">
      <c r="A372" s="319" t="s">
        <v>881</v>
      </c>
      <c r="B372" s="320">
        <v>17711.30078125</v>
      </c>
      <c r="C372" s="320">
        <v>1288.35998535156</v>
      </c>
      <c r="D372" s="320">
        <f t="shared" si="10"/>
        <v>-2.1015082285871399E-3</v>
      </c>
      <c r="E372" s="320">
        <f t="shared" si="11"/>
        <v>-4.6429166121934498E-2</v>
      </c>
      <c r="F372" s="130"/>
      <c r="G372" s="130"/>
    </row>
    <row r="373" spans="1:7" ht="14.25" customHeight="1" x14ac:dyDescent="0.3">
      <c r="A373" s="319" t="s">
        <v>882</v>
      </c>
      <c r="B373" s="320">
        <v>17618.150390625</v>
      </c>
      <c r="C373" s="320">
        <v>1286.28002929688</v>
      </c>
      <c r="D373" s="320">
        <f t="shared" si="10"/>
        <v>-5.2593760207388799E-3</v>
      </c>
      <c r="E373" s="320">
        <f t="shared" si="11"/>
        <v>-1.6144214957999E-3</v>
      </c>
      <c r="F373" s="130"/>
      <c r="G373" s="130"/>
    </row>
    <row r="374" spans="1:7" ht="14.25" customHeight="1" x14ac:dyDescent="0.3">
      <c r="A374" s="319" t="s">
        <v>883</v>
      </c>
      <c r="B374" s="320">
        <v>17532.05078125</v>
      </c>
      <c r="C374" s="320">
        <v>1285.72998046875</v>
      </c>
      <c r="D374" s="320">
        <f t="shared" si="10"/>
        <v>-4.8869834497959298E-3</v>
      </c>
      <c r="E374" s="320">
        <f t="shared" si="11"/>
        <v>-4.2762758932879901E-4</v>
      </c>
      <c r="F374" s="130"/>
      <c r="G374" s="130"/>
    </row>
    <row r="375" spans="1:7" ht="14.25" customHeight="1" x14ac:dyDescent="0.3">
      <c r="A375" s="319" t="s">
        <v>884</v>
      </c>
      <c r="B375" s="320">
        <v>17691.25</v>
      </c>
      <c r="C375" s="320">
        <v>1308.92004394531</v>
      </c>
      <c r="D375" s="320">
        <f t="shared" si="10"/>
        <v>9.0804675811376693E-3</v>
      </c>
      <c r="E375" s="320">
        <f t="shared" si="11"/>
        <v>1.8036495865255801E-2</v>
      </c>
      <c r="F375" s="130"/>
      <c r="G375" s="130"/>
    </row>
    <row r="376" spans="1:7" ht="14.25" customHeight="1" x14ac:dyDescent="0.3">
      <c r="A376" s="319" t="s">
        <v>885</v>
      </c>
      <c r="B376" s="320">
        <v>17822.30078125</v>
      </c>
      <c r="C376" s="320">
        <v>1298.56005859375</v>
      </c>
      <c r="D376" s="320">
        <f t="shared" si="10"/>
        <v>7.4076609199462996E-3</v>
      </c>
      <c r="E376" s="320">
        <f t="shared" si="11"/>
        <v>-7.9149107689826699E-3</v>
      </c>
      <c r="F376" s="130"/>
      <c r="G376" s="130"/>
    </row>
    <row r="377" spans="1:7" ht="14.25" customHeight="1" x14ac:dyDescent="0.3">
      <c r="A377" s="319" t="s">
        <v>886</v>
      </c>
      <c r="B377" s="320">
        <v>17646</v>
      </c>
      <c r="C377" s="320">
        <v>1313.08996582031</v>
      </c>
      <c r="D377" s="320">
        <f t="shared" si="10"/>
        <v>-9.8921448702895699E-3</v>
      </c>
      <c r="E377" s="320">
        <f t="shared" si="11"/>
        <v>1.11892454495288E-2</v>
      </c>
      <c r="F377" s="130"/>
      <c r="G377" s="130"/>
    </row>
    <row r="378" spans="1:7" ht="14.25" customHeight="1" x14ac:dyDescent="0.3">
      <c r="A378" s="319" t="s">
        <v>887</v>
      </c>
      <c r="B378" s="320">
        <v>17790.349609375</v>
      </c>
      <c r="C378" s="320">
        <v>1320.17004394531</v>
      </c>
      <c r="D378" s="320">
        <f t="shared" si="10"/>
        <v>8.18030201603763E-3</v>
      </c>
      <c r="E378" s="320">
        <f t="shared" si="11"/>
        <v>5.3919215813799598E-3</v>
      </c>
      <c r="F378" s="130"/>
      <c r="G378" s="130"/>
    </row>
    <row r="379" spans="1:7" ht="14.25" customHeight="1" x14ac:dyDescent="0.3">
      <c r="A379" s="319" t="s">
        <v>888</v>
      </c>
      <c r="B379" s="320">
        <v>17895.19921875</v>
      </c>
      <c r="C379" s="320">
        <v>1334.18994140625</v>
      </c>
      <c r="D379" s="320">
        <f t="shared" si="10"/>
        <v>5.8936227604963597E-3</v>
      </c>
      <c r="E379" s="320">
        <f t="shared" si="11"/>
        <v>1.06197663893673E-2</v>
      </c>
      <c r="F379" s="130"/>
      <c r="G379" s="130"/>
    </row>
    <row r="380" spans="1:7" ht="14.25" customHeight="1" x14ac:dyDescent="0.3">
      <c r="A380" s="319" t="s">
        <v>889</v>
      </c>
      <c r="B380" s="320">
        <v>17945.94921875</v>
      </c>
      <c r="C380" s="320">
        <v>1326.44995117188</v>
      </c>
      <c r="D380" s="320">
        <f t="shared" si="10"/>
        <v>2.8359561343595302E-3</v>
      </c>
      <c r="E380" s="320">
        <f t="shared" si="11"/>
        <v>-5.8012656175566498E-3</v>
      </c>
      <c r="F380" s="130"/>
      <c r="G380" s="130"/>
    </row>
    <row r="381" spans="1:7" ht="14.25" customHeight="1" x14ac:dyDescent="0.3">
      <c r="A381" s="319" t="s">
        <v>890</v>
      </c>
      <c r="B381" s="320">
        <v>17991.94921875</v>
      </c>
      <c r="C381" s="320">
        <v>1332.18994140625</v>
      </c>
      <c r="D381" s="320">
        <f t="shared" si="10"/>
        <v>2.5632525445875602E-3</v>
      </c>
      <c r="E381" s="320">
        <f t="shared" si="11"/>
        <v>4.3273326892574304E-3</v>
      </c>
      <c r="F381" s="130"/>
      <c r="G381" s="130"/>
    </row>
    <row r="382" spans="1:7" ht="14.25" customHeight="1" x14ac:dyDescent="0.3">
      <c r="A382" s="319" t="s">
        <v>891</v>
      </c>
      <c r="B382" s="320">
        <v>18161.75</v>
      </c>
      <c r="C382" s="320">
        <v>1361.18005371094</v>
      </c>
      <c r="D382" s="320">
        <f t="shared" si="10"/>
        <v>9.4375978492116392E-3</v>
      </c>
      <c r="E382" s="320">
        <f t="shared" si="11"/>
        <v>2.1761245452797999E-2</v>
      </c>
      <c r="F382" s="130"/>
      <c r="G382" s="130"/>
    </row>
    <row r="383" spans="1:7" ht="14.25" customHeight="1" x14ac:dyDescent="0.3">
      <c r="A383" s="319" t="s">
        <v>892</v>
      </c>
      <c r="B383" s="320">
        <v>18338.55078125</v>
      </c>
      <c r="C383" s="320">
        <v>1401.77001953125</v>
      </c>
      <c r="D383" s="320">
        <f t="shared" si="10"/>
        <v>9.7347877407188196E-3</v>
      </c>
      <c r="E383" s="320">
        <f t="shared" si="11"/>
        <v>2.9819688960068799E-2</v>
      </c>
      <c r="F383" s="130"/>
      <c r="G383" s="130"/>
    </row>
    <row r="384" spans="1:7" ht="14.25" customHeight="1" x14ac:dyDescent="0.3">
      <c r="A384" s="319" t="s">
        <v>893</v>
      </c>
      <c r="B384" s="320">
        <v>18477.05078125</v>
      </c>
      <c r="C384" s="320">
        <v>1403.90002441406</v>
      </c>
      <c r="D384" s="320">
        <f t="shared" si="10"/>
        <v>7.5523961327198996E-3</v>
      </c>
      <c r="E384" s="320">
        <f t="shared" si="11"/>
        <v>1.5195109419748299E-3</v>
      </c>
      <c r="F384" s="130"/>
      <c r="G384" s="130"/>
    </row>
    <row r="385" spans="1:7" ht="14.25" customHeight="1" x14ac:dyDescent="0.3">
      <c r="A385" s="319" t="s">
        <v>894</v>
      </c>
      <c r="B385" s="320">
        <v>18418.75</v>
      </c>
      <c r="C385" s="320">
        <v>1386.31005859375</v>
      </c>
      <c r="D385" s="320">
        <f t="shared" si="10"/>
        <v>-3.15530773499643E-3</v>
      </c>
      <c r="E385" s="320">
        <f t="shared" si="11"/>
        <v>-1.25293578705161E-2</v>
      </c>
      <c r="F385" s="130"/>
      <c r="G385" s="130"/>
    </row>
    <row r="386" spans="1:7" ht="14.25" customHeight="1" x14ac:dyDescent="0.3">
      <c r="A386" s="319" t="s">
        <v>895</v>
      </c>
      <c r="B386" s="320">
        <v>18266.599609375</v>
      </c>
      <c r="C386" s="320">
        <v>1383.40002441406</v>
      </c>
      <c r="D386" s="320">
        <f t="shared" si="10"/>
        <v>-8.2606252120800798E-3</v>
      </c>
      <c r="E386" s="320">
        <f t="shared" si="11"/>
        <v>-2.0991221708669501E-3</v>
      </c>
      <c r="F386" s="130"/>
      <c r="G386" s="130"/>
    </row>
    <row r="387" spans="1:7" ht="14.25" customHeight="1" x14ac:dyDescent="0.3">
      <c r="A387" s="319" t="s">
        <v>896</v>
      </c>
      <c r="B387" s="320">
        <v>18178.099609375</v>
      </c>
      <c r="C387" s="320">
        <v>1345.91003417969</v>
      </c>
      <c r="D387" s="320">
        <f t="shared" ref="D387:D450" si="12">(B387-B386)/B386</f>
        <v>-4.8449082967023001E-3</v>
      </c>
      <c r="E387" s="320">
        <f t="shared" ref="E387:E450" si="13">(C387-C386)/C386</f>
        <v>-2.70998912626512E-2</v>
      </c>
      <c r="F387" s="130"/>
      <c r="G387" s="130"/>
    </row>
    <row r="388" spans="1:7" ht="14.25" customHeight="1" x14ac:dyDescent="0.3">
      <c r="A388" s="319" t="s">
        <v>897</v>
      </c>
      <c r="B388" s="320">
        <v>18114.900390625</v>
      </c>
      <c r="C388" s="320">
        <v>1257.93005371094</v>
      </c>
      <c r="D388" s="320">
        <f t="shared" si="12"/>
        <v>-3.4766680845673302E-3</v>
      </c>
      <c r="E388" s="320">
        <f t="shared" si="13"/>
        <v>-6.5368396277966895E-2</v>
      </c>
      <c r="F388" s="130"/>
      <c r="G388" s="130"/>
    </row>
    <row r="389" spans="1:7" ht="14.25" customHeight="1" x14ac:dyDescent="0.3">
      <c r="A389" s="319" t="s">
        <v>898</v>
      </c>
      <c r="B389" s="320">
        <v>18125.400390625</v>
      </c>
      <c r="C389" s="320">
        <v>1191.14001464844</v>
      </c>
      <c r="D389" s="320">
        <f t="shared" si="12"/>
        <v>5.7963332801068402E-4</v>
      </c>
      <c r="E389" s="320">
        <f t="shared" si="13"/>
        <v>-5.3095193063769301E-2</v>
      </c>
      <c r="F389" s="130"/>
      <c r="G389" s="130"/>
    </row>
    <row r="390" spans="1:7" ht="14.25" customHeight="1" x14ac:dyDescent="0.3">
      <c r="A390" s="319" t="s">
        <v>899</v>
      </c>
      <c r="B390" s="320">
        <v>18268.400390625</v>
      </c>
      <c r="C390" s="320">
        <v>1213.93005371094</v>
      </c>
      <c r="D390" s="320">
        <f t="shared" si="12"/>
        <v>7.8894808897001702E-3</v>
      </c>
      <c r="E390" s="320">
        <f t="shared" si="13"/>
        <v>1.91329640363282E-2</v>
      </c>
      <c r="F390" s="130"/>
      <c r="G390" s="130"/>
    </row>
    <row r="391" spans="1:7" ht="14.25" customHeight="1" x14ac:dyDescent="0.3">
      <c r="A391" s="319" t="s">
        <v>900</v>
      </c>
      <c r="B391" s="320">
        <v>18210.94921875</v>
      </c>
      <c r="C391" s="320">
        <v>1243.2900390625</v>
      </c>
      <c r="D391" s="320">
        <f t="shared" si="12"/>
        <v>-3.14483866384289E-3</v>
      </c>
      <c r="E391" s="320">
        <f t="shared" si="13"/>
        <v>2.41858954408515E-2</v>
      </c>
      <c r="F391" s="130"/>
      <c r="G391" s="130"/>
    </row>
    <row r="392" spans="1:7" ht="14.25" customHeight="1" x14ac:dyDescent="0.3">
      <c r="A392" s="319" t="s">
        <v>901</v>
      </c>
      <c r="B392" s="320">
        <v>17857.25</v>
      </c>
      <c r="C392" s="320">
        <v>1228.10998535156</v>
      </c>
      <c r="D392" s="320">
        <f t="shared" si="12"/>
        <v>-1.9422338424063601E-2</v>
      </c>
      <c r="E392" s="320">
        <f t="shared" si="13"/>
        <v>-1.22095836321398E-2</v>
      </c>
      <c r="F392" s="130"/>
      <c r="G392" s="130"/>
    </row>
    <row r="393" spans="1:7" ht="14.25" customHeight="1" x14ac:dyDescent="0.3">
      <c r="A393" s="319" t="s">
        <v>902</v>
      </c>
      <c r="B393" s="320">
        <v>17671.650390625</v>
      </c>
      <c r="C393" s="320">
        <v>1215.06994628906</v>
      </c>
      <c r="D393" s="320">
        <f t="shared" si="12"/>
        <v>-1.03935157639054E-2</v>
      </c>
      <c r="E393" s="320">
        <f t="shared" si="13"/>
        <v>-1.0617973323266401E-2</v>
      </c>
      <c r="F393" s="130"/>
      <c r="G393" s="130"/>
    </row>
    <row r="394" spans="1:7" ht="14.25" customHeight="1" x14ac:dyDescent="0.3">
      <c r="A394" s="319" t="s">
        <v>903</v>
      </c>
      <c r="B394" s="320">
        <v>17929.650390625</v>
      </c>
      <c r="C394" s="320">
        <v>1259.22998046875</v>
      </c>
      <c r="D394" s="320">
        <f t="shared" si="12"/>
        <v>1.4599655057507901E-2</v>
      </c>
      <c r="E394" s="320">
        <f t="shared" si="13"/>
        <v>3.6343614879586997E-2</v>
      </c>
      <c r="F394" s="130"/>
      <c r="G394" s="130"/>
    </row>
    <row r="395" spans="1:7" ht="14.25" customHeight="1" x14ac:dyDescent="0.3">
      <c r="A395" s="319" t="s">
        <v>904</v>
      </c>
      <c r="B395" s="320">
        <v>17888.94921875</v>
      </c>
      <c r="C395" s="320">
        <v>1227.18994140625</v>
      </c>
      <c r="D395" s="320">
        <f t="shared" si="12"/>
        <v>-2.2700482713417401E-3</v>
      </c>
      <c r="E395" s="320">
        <f t="shared" si="13"/>
        <v>-2.5444152028982901E-2</v>
      </c>
      <c r="F395" s="130"/>
      <c r="G395" s="130"/>
    </row>
    <row r="396" spans="1:7" ht="14.25" customHeight="1" x14ac:dyDescent="0.3">
      <c r="A396" s="319" t="s">
        <v>905</v>
      </c>
      <c r="B396" s="320">
        <v>17829.19921875</v>
      </c>
      <c r="C396" s="320">
        <v>1209.78002929688</v>
      </c>
      <c r="D396" s="320">
        <f t="shared" si="12"/>
        <v>-3.3400508475575599E-3</v>
      </c>
      <c r="E396" s="320">
        <f t="shared" si="13"/>
        <v>-1.41868112848283E-2</v>
      </c>
      <c r="F396" s="130"/>
      <c r="G396" s="130"/>
    </row>
    <row r="397" spans="1:7" ht="14.25" customHeight="1" x14ac:dyDescent="0.3">
      <c r="A397" s="319" t="s">
        <v>906</v>
      </c>
      <c r="B397" s="320">
        <v>17916.80078125</v>
      </c>
      <c r="C397" s="320">
        <v>1222.86999511719</v>
      </c>
      <c r="D397" s="320">
        <f t="shared" si="12"/>
        <v>4.9133761659847404E-3</v>
      </c>
      <c r="E397" s="320">
        <f t="shared" si="13"/>
        <v>1.0820120603179301E-2</v>
      </c>
      <c r="F397" s="130"/>
      <c r="G397" s="130"/>
    </row>
    <row r="398" spans="1:7" ht="14.25" customHeight="1" x14ac:dyDescent="0.3">
      <c r="A398" s="319" t="s">
        <v>907</v>
      </c>
      <c r="B398" s="320">
        <v>18068.55078125</v>
      </c>
      <c r="C398" s="320">
        <v>1231.2099609375</v>
      </c>
      <c r="D398" s="320">
        <f t="shared" si="12"/>
        <v>8.4697040421863098E-3</v>
      </c>
      <c r="E398" s="320">
        <f t="shared" si="13"/>
        <v>6.8199938289521603E-3</v>
      </c>
      <c r="F398" s="130"/>
      <c r="G398" s="130"/>
    </row>
    <row r="399" spans="1:7" ht="14.25" customHeight="1" x14ac:dyDescent="0.3">
      <c r="A399" s="319" t="s">
        <v>908</v>
      </c>
      <c r="B399" s="320">
        <v>18044.25</v>
      </c>
      <c r="C399" s="320">
        <v>1243.82995605469</v>
      </c>
      <c r="D399" s="320">
        <f t="shared" si="12"/>
        <v>-1.34492143527179E-3</v>
      </c>
      <c r="E399" s="320">
        <f t="shared" si="13"/>
        <v>1.0250075549730399E-2</v>
      </c>
      <c r="F399" s="130"/>
      <c r="G399" s="130"/>
    </row>
    <row r="400" spans="1:7" ht="14.25" customHeight="1" x14ac:dyDescent="0.3">
      <c r="A400" s="319" t="s">
        <v>909</v>
      </c>
      <c r="B400" s="320">
        <v>18017.19921875</v>
      </c>
      <c r="C400" s="320">
        <v>1226.34997558594</v>
      </c>
      <c r="D400" s="320">
        <f t="shared" si="12"/>
        <v>-1.49913580503484E-3</v>
      </c>
      <c r="E400" s="320">
        <f t="shared" si="13"/>
        <v>-1.40533522155993E-2</v>
      </c>
      <c r="F400" s="130"/>
      <c r="G400" s="130"/>
    </row>
    <row r="401" spans="1:7" ht="14.25" customHeight="1" x14ac:dyDescent="0.3">
      <c r="A401" s="319" t="s">
        <v>910</v>
      </c>
      <c r="B401" s="320">
        <v>17873.599609375</v>
      </c>
      <c r="C401" s="320">
        <v>1229.52001953125</v>
      </c>
      <c r="D401" s="320">
        <f t="shared" si="12"/>
        <v>-7.9701405102719797E-3</v>
      </c>
      <c r="E401" s="320">
        <f t="shared" si="13"/>
        <v>2.5849423153414099E-3</v>
      </c>
      <c r="F401" s="130"/>
      <c r="G401" s="130"/>
    </row>
    <row r="402" spans="1:7" ht="14.25" customHeight="1" x14ac:dyDescent="0.3">
      <c r="A402" s="319" t="s">
        <v>911</v>
      </c>
      <c r="B402" s="320">
        <v>18102.75</v>
      </c>
      <c r="C402" s="320">
        <v>1281.30004882813</v>
      </c>
      <c r="D402" s="320">
        <f t="shared" si="12"/>
        <v>1.28206066843305E-2</v>
      </c>
      <c r="E402" s="320">
        <f t="shared" si="13"/>
        <v>4.2114018864549199E-2</v>
      </c>
      <c r="F402" s="130"/>
      <c r="G402" s="130"/>
    </row>
    <row r="403" spans="1:7" ht="14.25" customHeight="1" x14ac:dyDescent="0.3">
      <c r="A403" s="319" t="s">
        <v>912</v>
      </c>
      <c r="B403" s="320">
        <v>18109.44921875</v>
      </c>
      <c r="C403" s="320">
        <v>1268.5400390625</v>
      </c>
      <c r="D403" s="320">
        <f t="shared" si="12"/>
        <v>3.7006635732140099E-4</v>
      </c>
      <c r="E403" s="320">
        <f t="shared" si="13"/>
        <v>-9.9586430027066904E-3</v>
      </c>
      <c r="F403" s="130"/>
      <c r="G403" s="130"/>
    </row>
    <row r="404" spans="1:7" ht="14.25" customHeight="1" x14ac:dyDescent="0.3">
      <c r="A404" s="319" t="s">
        <v>913</v>
      </c>
      <c r="B404" s="320">
        <v>17999.19921875</v>
      </c>
      <c r="C404" s="320">
        <v>1306.68994140625</v>
      </c>
      <c r="D404" s="320">
        <f t="shared" si="12"/>
        <v>-6.0879819517564498E-3</v>
      </c>
      <c r="E404" s="320">
        <f t="shared" si="13"/>
        <v>3.0073865364111201E-2</v>
      </c>
      <c r="F404" s="130"/>
      <c r="G404" s="130"/>
    </row>
    <row r="405" spans="1:7" ht="14.25" customHeight="1" x14ac:dyDescent="0.3">
      <c r="A405" s="319" t="s">
        <v>914</v>
      </c>
      <c r="B405" s="320">
        <v>17898.650390625</v>
      </c>
      <c r="C405" s="320">
        <v>1309</v>
      </c>
      <c r="D405" s="320">
        <f t="shared" si="12"/>
        <v>-5.5862945291620001E-3</v>
      </c>
      <c r="E405" s="320">
        <f t="shared" si="13"/>
        <v>1.76787049517189E-3</v>
      </c>
      <c r="F405" s="130"/>
      <c r="G405" s="130"/>
    </row>
    <row r="406" spans="1:7" ht="14.25" customHeight="1" x14ac:dyDescent="0.3">
      <c r="A406" s="319" t="s">
        <v>915</v>
      </c>
      <c r="B406" s="320">
        <v>17764.80078125</v>
      </c>
      <c r="C406" s="320">
        <v>1297.18005371094</v>
      </c>
      <c r="D406" s="320">
        <f t="shared" si="12"/>
        <v>-7.4781956434608098E-3</v>
      </c>
      <c r="E406" s="320">
        <f t="shared" si="13"/>
        <v>-9.0297527036363595E-3</v>
      </c>
      <c r="F406" s="130"/>
      <c r="G406" s="130"/>
    </row>
    <row r="407" spans="1:7" ht="14.25" customHeight="1" x14ac:dyDescent="0.3">
      <c r="A407" s="319" t="s">
        <v>916</v>
      </c>
      <c r="B407" s="320">
        <v>17416.55078125</v>
      </c>
      <c r="C407" s="320">
        <v>1214.38000488281</v>
      </c>
      <c r="D407" s="320">
        <f t="shared" si="12"/>
        <v>-1.96033721001568E-2</v>
      </c>
      <c r="E407" s="320">
        <f t="shared" si="13"/>
        <v>-6.3830806364357603E-2</v>
      </c>
      <c r="F407" s="130"/>
      <c r="G407" s="130"/>
    </row>
    <row r="408" spans="1:7" ht="14.25" customHeight="1" x14ac:dyDescent="0.3">
      <c r="A408" s="319" t="s">
        <v>917</v>
      </c>
      <c r="B408" s="320">
        <v>17503.349609375</v>
      </c>
      <c r="C408" s="320">
        <v>1199.23999023438</v>
      </c>
      <c r="D408" s="320">
        <f t="shared" si="12"/>
        <v>4.9836979327987502E-3</v>
      </c>
      <c r="E408" s="320">
        <f t="shared" si="13"/>
        <v>-1.24672792598319E-2</v>
      </c>
      <c r="F408" s="130"/>
      <c r="G408" s="130"/>
    </row>
    <row r="409" spans="1:7" ht="14.25" customHeight="1" x14ac:dyDescent="0.3">
      <c r="A409" s="319" t="s">
        <v>918</v>
      </c>
      <c r="B409" s="320">
        <v>17415.05078125</v>
      </c>
      <c r="C409" s="320">
        <v>1193.78002929688</v>
      </c>
      <c r="D409" s="320">
        <f t="shared" si="12"/>
        <v>-5.0446817378146901E-3</v>
      </c>
      <c r="E409" s="320">
        <f t="shared" si="13"/>
        <v>-4.5528509572407604E-3</v>
      </c>
      <c r="F409" s="130"/>
      <c r="G409" s="130"/>
    </row>
    <row r="410" spans="1:7" ht="14.25" customHeight="1" x14ac:dyDescent="0.3">
      <c r="A410" s="319" t="s">
        <v>919</v>
      </c>
      <c r="B410" s="320">
        <v>17536.25</v>
      </c>
      <c r="C410" s="320">
        <v>1190.56994628906</v>
      </c>
      <c r="D410" s="320">
        <f t="shared" si="12"/>
        <v>6.9594525030320202E-3</v>
      </c>
      <c r="E410" s="320">
        <f t="shared" si="13"/>
        <v>-2.6890071278128998E-3</v>
      </c>
      <c r="F410" s="130"/>
      <c r="G410" s="130"/>
    </row>
    <row r="411" spans="1:7" ht="14.25" customHeight="1" x14ac:dyDescent="0.3">
      <c r="A411" s="319" t="s">
        <v>920</v>
      </c>
      <c r="B411" s="320">
        <v>17026.44921875</v>
      </c>
      <c r="C411" s="320">
        <v>1171.93994140625</v>
      </c>
      <c r="D411" s="320">
        <f t="shared" si="12"/>
        <v>-2.90712541877539E-2</v>
      </c>
      <c r="E411" s="320">
        <f t="shared" si="13"/>
        <v>-1.56479717473792E-2</v>
      </c>
      <c r="F411" s="130"/>
      <c r="G411" s="130"/>
    </row>
    <row r="412" spans="1:7" ht="14.25" customHeight="1" x14ac:dyDescent="0.3">
      <c r="A412" s="319" t="s">
        <v>921</v>
      </c>
      <c r="B412" s="320">
        <v>17053.94921875</v>
      </c>
      <c r="C412" s="320">
        <v>1169.18005371094</v>
      </c>
      <c r="D412" s="320">
        <f t="shared" si="12"/>
        <v>1.6151341742890401E-3</v>
      </c>
      <c r="E412" s="320">
        <f t="shared" si="13"/>
        <v>-2.3549736618741E-3</v>
      </c>
      <c r="F412" s="130"/>
      <c r="G412" s="130"/>
    </row>
    <row r="413" spans="1:7" ht="14.25" customHeight="1" x14ac:dyDescent="0.3">
      <c r="A413" s="319" t="s">
        <v>922</v>
      </c>
      <c r="B413" s="320">
        <v>16983.19921875</v>
      </c>
      <c r="C413" s="320">
        <v>1161.01000976563</v>
      </c>
      <c r="D413" s="320">
        <f t="shared" si="12"/>
        <v>-4.1485991949720196E-3</v>
      </c>
      <c r="E413" s="320">
        <f t="shared" si="13"/>
        <v>-6.9878406832023397E-3</v>
      </c>
      <c r="F413" s="130"/>
      <c r="G413" s="130"/>
    </row>
    <row r="414" spans="1:7" ht="14.25" customHeight="1" x14ac:dyDescent="0.3">
      <c r="A414" s="319" t="s">
        <v>923</v>
      </c>
      <c r="B414" s="320">
        <v>17166.900390625</v>
      </c>
      <c r="C414" s="320">
        <v>1189.68994140625</v>
      </c>
      <c r="D414" s="320">
        <f t="shared" si="12"/>
        <v>1.0816641170421399E-2</v>
      </c>
      <c r="E414" s="320">
        <f t="shared" si="13"/>
        <v>2.4702570519964401E-2</v>
      </c>
      <c r="F414" s="130"/>
      <c r="G414" s="130"/>
    </row>
    <row r="415" spans="1:7" ht="14.25" customHeight="1" x14ac:dyDescent="0.3">
      <c r="A415" s="319" t="s">
        <v>924</v>
      </c>
      <c r="B415" s="320">
        <v>17401.650390625</v>
      </c>
      <c r="C415" s="320">
        <v>1175.67004394531</v>
      </c>
      <c r="D415" s="320">
        <f t="shared" si="12"/>
        <v>1.3674571102433799E-2</v>
      </c>
      <c r="E415" s="320">
        <f t="shared" si="13"/>
        <v>-1.1784496928979701E-2</v>
      </c>
      <c r="F415" s="130"/>
      <c r="G415" s="130"/>
    </row>
    <row r="416" spans="1:7" ht="14.25" customHeight="1" x14ac:dyDescent="0.3">
      <c r="A416" s="319" t="s">
        <v>925</v>
      </c>
      <c r="B416" s="320">
        <v>17196.69921875</v>
      </c>
      <c r="C416" s="320">
        <v>1163.0400390625</v>
      </c>
      <c r="D416" s="320">
        <f t="shared" si="12"/>
        <v>-1.17776858673943E-2</v>
      </c>
      <c r="E416" s="320">
        <f t="shared" si="13"/>
        <v>-1.0742814234193E-2</v>
      </c>
      <c r="F416" s="130"/>
      <c r="G416" s="130"/>
    </row>
    <row r="417" spans="1:7" ht="14.25" customHeight="1" x14ac:dyDescent="0.3">
      <c r="A417" s="319" t="s">
        <v>926</v>
      </c>
      <c r="B417" s="320">
        <v>16912.25</v>
      </c>
      <c r="C417" s="320">
        <v>1128.89001464844</v>
      </c>
      <c r="D417" s="320">
        <f t="shared" si="12"/>
        <v>-1.65409195759997E-2</v>
      </c>
      <c r="E417" s="320">
        <f t="shared" si="13"/>
        <v>-2.9362724641524399E-2</v>
      </c>
      <c r="F417" s="130"/>
      <c r="G417" s="130"/>
    </row>
    <row r="418" spans="1:7" ht="14.25" customHeight="1" x14ac:dyDescent="0.3">
      <c r="A418" s="319" t="s">
        <v>927</v>
      </c>
      <c r="B418" s="320">
        <v>17176.69921875</v>
      </c>
      <c r="C418" s="320">
        <v>1137.2099609375</v>
      </c>
      <c r="D418" s="320">
        <f t="shared" si="12"/>
        <v>1.5636548581649399E-2</v>
      </c>
      <c r="E418" s="320">
        <f t="shared" si="13"/>
        <v>7.3700238119751701E-3</v>
      </c>
      <c r="F418" s="130"/>
      <c r="G418" s="130"/>
    </row>
    <row r="419" spans="1:7" ht="14.25" customHeight="1" x14ac:dyDescent="0.3">
      <c r="A419" s="319" t="s">
        <v>928</v>
      </c>
      <c r="B419" s="320">
        <v>17469.75</v>
      </c>
      <c r="C419" s="320">
        <v>1147.9599609375</v>
      </c>
      <c r="D419" s="320">
        <f t="shared" si="12"/>
        <v>1.70609485278817E-2</v>
      </c>
      <c r="E419" s="320">
        <f t="shared" si="13"/>
        <v>9.4529597605158607E-3</v>
      </c>
      <c r="F419" s="130"/>
      <c r="G419" s="130"/>
    </row>
    <row r="420" spans="1:7" ht="14.25" customHeight="1" x14ac:dyDescent="0.3">
      <c r="A420" s="319" t="s">
        <v>929</v>
      </c>
      <c r="B420" s="320">
        <v>17516.849609375</v>
      </c>
      <c r="C420" s="320">
        <v>1147.19995117188</v>
      </c>
      <c r="D420" s="320">
        <f t="shared" si="12"/>
        <v>2.6960665936833698E-3</v>
      </c>
      <c r="E420" s="320">
        <f t="shared" si="13"/>
        <v>-6.6205250311981599E-4</v>
      </c>
      <c r="F420" s="130"/>
      <c r="G420" s="130"/>
    </row>
    <row r="421" spans="1:7" ht="14.25" customHeight="1" x14ac:dyDescent="0.3">
      <c r="A421" s="319" t="s">
        <v>930</v>
      </c>
      <c r="B421" s="320">
        <v>17511.30078125</v>
      </c>
      <c r="C421" s="320">
        <v>1129.19995117188</v>
      </c>
      <c r="D421" s="320">
        <f t="shared" si="12"/>
        <v>-3.1677089480920499E-4</v>
      </c>
      <c r="E421" s="320">
        <f t="shared" si="13"/>
        <v>-1.5690377236865099E-2</v>
      </c>
      <c r="F421" s="130"/>
      <c r="G421" s="130"/>
    </row>
    <row r="422" spans="1:7" ht="14.25" customHeight="1" x14ac:dyDescent="0.3">
      <c r="A422" s="319" t="s">
        <v>931</v>
      </c>
      <c r="B422" s="320">
        <v>17368.25</v>
      </c>
      <c r="C422" s="320">
        <v>1098</v>
      </c>
      <c r="D422" s="320">
        <f t="shared" si="12"/>
        <v>-8.1690551168631508E-3</v>
      </c>
      <c r="E422" s="320">
        <f t="shared" si="13"/>
        <v>-2.76301386122987E-2</v>
      </c>
      <c r="F422" s="130"/>
      <c r="G422" s="130"/>
    </row>
    <row r="423" spans="1:7" ht="14.25" customHeight="1" x14ac:dyDescent="0.3">
      <c r="A423" s="319" t="s">
        <v>932</v>
      </c>
      <c r="B423" s="320">
        <v>17324.900390625</v>
      </c>
      <c r="C423" s="320">
        <v>1073.2099609375</v>
      </c>
      <c r="D423" s="320">
        <f t="shared" si="12"/>
        <v>-2.4959111813222402E-3</v>
      </c>
      <c r="E423" s="320">
        <f t="shared" si="13"/>
        <v>-2.2577449055100202E-2</v>
      </c>
      <c r="F423" s="130"/>
      <c r="G423" s="130"/>
    </row>
    <row r="424" spans="1:7" ht="14.25" customHeight="1" x14ac:dyDescent="0.3">
      <c r="A424" s="319" t="s">
        <v>933</v>
      </c>
      <c r="B424" s="320">
        <v>17221.400390625</v>
      </c>
      <c r="C424" s="320">
        <v>1095.68005371094</v>
      </c>
      <c r="D424" s="320">
        <f t="shared" si="12"/>
        <v>-5.9740603216401102E-3</v>
      </c>
      <c r="E424" s="320">
        <f t="shared" si="13"/>
        <v>2.0937275641582102E-2</v>
      </c>
      <c r="F424" s="130"/>
      <c r="G424" s="130"/>
    </row>
    <row r="425" spans="1:7" ht="14.25" customHeight="1" x14ac:dyDescent="0.3">
      <c r="A425" s="319" t="s">
        <v>934</v>
      </c>
      <c r="B425" s="320">
        <v>17248.400390625</v>
      </c>
      <c r="C425" s="320">
        <v>1102.43005371094</v>
      </c>
      <c r="D425" s="320">
        <f t="shared" si="12"/>
        <v>1.56781675052967E-3</v>
      </c>
      <c r="E425" s="320">
        <f t="shared" si="13"/>
        <v>6.1605575251083003E-3</v>
      </c>
      <c r="F425" s="130"/>
      <c r="G425" s="130"/>
    </row>
    <row r="426" spans="1:7" ht="14.25" customHeight="1" x14ac:dyDescent="0.3">
      <c r="A426" s="319" t="s">
        <v>935</v>
      </c>
      <c r="B426" s="320">
        <v>16985.19921875</v>
      </c>
      <c r="C426" s="320">
        <v>1082.98999023438</v>
      </c>
      <c r="D426" s="320">
        <f t="shared" si="12"/>
        <v>-1.525945397337E-2</v>
      </c>
      <c r="E426" s="320">
        <f t="shared" si="13"/>
        <v>-1.7633829385476099E-2</v>
      </c>
      <c r="F426" s="130"/>
      <c r="G426" s="130"/>
    </row>
    <row r="427" spans="1:7" ht="14.25" customHeight="1" x14ac:dyDescent="0.3">
      <c r="A427" s="319" t="s">
        <v>936</v>
      </c>
      <c r="B427" s="320">
        <v>16614.19921875</v>
      </c>
      <c r="C427" s="320">
        <v>1028.5400390625</v>
      </c>
      <c r="D427" s="320">
        <f t="shared" si="12"/>
        <v>-2.18425462793779E-2</v>
      </c>
      <c r="E427" s="320">
        <f t="shared" si="13"/>
        <v>-5.0277427919805599E-2</v>
      </c>
      <c r="F427" s="130"/>
      <c r="G427" s="130"/>
    </row>
    <row r="428" spans="1:7" ht="14.25" customHeight="1" x14ac:dyDescent="0.3">
      <c r="A428" s="319" t="s">
        <v>937</v>
      </c>
      <c r="B428" s="320">
        <v>16770.849609375</v>
      </c>
      <c r="C428" s="320">
        <v>1035.68005371094</v>
      </c>
      <c r="D428" s="320">
        <f t="shared" si="12"/>
        <v>9.4287054442089395E-3</v>
      </c>
      <c r="E428" s="320">
        <f t="shared" si="13"/>
        <v>6.9418927579601303E-3</v>
      </c>
      <c r="F428" s="130"/>
      <c r="G428" s="130"/>
    </row>
    <row r="429" spans="1:7" ht="14.25" customHeight="1" x14ac:dyDescent="0.3">
      <c r="A429" s="319" t="s">
        <v>938</v>
      </c>
      <c r="B429" s="320">
        <v>16955.44921875</v>
      </c>
      <c r="C429" s="320">
        <v>1056.91003417969</v>
      </c>
      <c r="D429" s="320">
        <f t="shared" si="12"/>
        <v>1.1007170994593401E-2</v>
      </c>
      <c r="E429" s="320">
        <f t="shared" si="13"/>
        <v>2.04985896876945E-2</v>
      </c>
      <c r="F429" s="130"/>
      <c r="G429" s="130"/>
    </row>
    <row r="430" spans="1:7" ht="14.25" customHeight="1" x14ac:dyDescent="0.3">
      <c r="A430" s="319" t="s">
        <v>939</v>
      </c>
      <c r="B430" s="320">
        <v>17072.599609375</v>
      </c>
      <c r="C430" s="320">
        <v>1077.22998046875</v>
      </c>
      <c r="D430" s="320">
        <f t="shared" si="12"/>
        <v>6.9093062126275298E-3</v>
      </c>
      <c r="E430" s="320">
        <f t="shared" si="13"/>
        <v>1.9225805065642199E-2</v>
      </c>
      <c r="F430" s="130"/>
      <c r="G430" s="130"/>
    </row>
    <row r="431" spans="1:7" ht="14.25" customHeight="1" x14ac:dyDescent="0.3">
      <c r="A431" s="319" t="s">
        <v>940</v>
      </c>
      <c r="B431" s="320">
        <v>17003.75</v>
      </c>
      <c r="C431" s="320">
        <v>1079.91003417969</v>
      </c>
      <c r="D431" s="320">
        <f t="shared" si="12"/>
        <v>-4.0327548791803799E-3</v>
      </c>
      <c r="E431" s="320">
        <f t="shared" si="13"/>
        <v>2.4879122931333502E-3</v>
      </c>
      <c r="F431" s="130"/>
      <c r="G431" s="130"/>
    </row>
    <row r="432" spans="1:7" ht="14.25" customHeight="1" x14ac:dyDescent="0.3">
      <c r="A432" s="319" t="s">
        <v>941</v>
      </c>
      <c r="B432" s="320">
        <v>17086.25</v>
      </c>
      <c r="C432" s="320">
        <v>1083</v>
      </c>
      <c r="D432" s="320">
        <f t="shared" si="12"/>
        <v>4.8518709108284902E-3</v>
      </c>
      <c r="E432" s="320">
        <f t="shared" si="13"/>
        <v>2.86131781584673E-3</v>
      </c>
      <c r="F432" s="130"/>
      <c r="G432" s="130"/>
    </row>
    <row r="433" spans="1:7" ht="14.25" customHeight="1" x14ac:dyDescent="0.3">
      <c r="A433" s="319" t="s">
        <v>942</v>
      </c>
      <c r="B433" s="320">
        <v>17233.25</v>
      </c>
      <c r="C433" s="320">
        <v>1093.10998535156</v>
      </c>
      <c r="D433" s="320">
        <f t="shared" si="12"/>
        <v>8.6034091740434596E-3</v>
      </c>
      <c r="E433" s="320">
        <f t="shared" si="13"/>
        <v>9.3351665296029507E-3</v>
      </c>
      <c r="F433" s="130"/>
      <c r="G433" s="130"/>
    </row>
    <row r="434" spans="1:7" ht="14.25" customHeight="1" x14ac:dyDescent="0.3">
      <c r="A434" s="319" t="s">
        <v>943</v>
      </c>
      <c r="B434" s="320">
        <v>17213.599609375</v>
      </c>
      <c r="C434" s="320">
        <v>1092.66003417969</v>
      </c>
      <c r="D434" s="320">
        <f t="shared" si="12"/>
        <v>-1.14026028897625E-3</v>
      </c>
      <c r="E434" s="320">
        <f t="shared" si="13"/>
        <v>-4.1162479338736202E-4</v>
      </c>
      <c r="F434" s="130"/>
      <c r="G434" s="130"/>
    </row>
    <row r="435" spans="1:7" ht="14.25" customHeight="1" x14ac:dyDescent="0.3">
      <c r="A435" s="319" t="s">
        <v>944</v>
      </c>
      <c r="B435" s="320">
        <v>17203.94921875</v>
      </c>
      <c r="C435" s="320">
        <v>1093.47998046875</v>
      </c>
      <c r="D435" s="320">
        <f t="shared" si="12"/>
        <v>-5.6062594948148598E-4</v>
      </c>
      <c r="E435" s="320">
        <f t="shared" si="13"/>
        <v>7.5041299526944802E-4</v>
      </c>
      <c r="F435" s="130"/>
      <c r="G435" s="130"/>
    </row>
    <row r="436" spans="1:7" ht="14.25" customHeight="1" x14ac:dyDescent="0.3">
      <c r="A436" s="319" t="s">
        <v>945</v>
      </c>
      <c r="B436" s="320">
        <v>17354.05078125</v>
      </c>
      <c r="C436" s="320">
        <v>1115.33996582031</v>
      </c>
      <c r="D436" s="320">
        <f t="shared" si="12"/>
        <v>8.7248317576065302E-3</v>
      </c>
      <c r="E436" s="320">
        <f t="shared" si="13"/>
        <v>1.99912076508151E-2</v>
      </c>
      <c r="F436" s="130"/>
      <c r="G436" s="130"/>
    </row>
    <row r="437" spans="1:7" ht="14.25" customHeight="1" x14ac:dyDescent="0.3">
      <c r="A437" s="319" t="s">
        <v>946</v>
      </c>
      <c r="B437" s="320">
        <v>17625.69921875</v>
      </c>
      <c r="C437" s="320">
        <v>1126.58996582031</v>
      </c>
      <c r="D437" s="320">
        <f t="shared" si="12"/>
        <v>1.5653315812207899E-2</v>
      </c>
      <c r="E437" s="320">
        <f t="shared" si="13"/>
        <v>1.0086610670071199E-2</v>
      </c>
      <c r="F437" s="130"/>
      <c r="G437" s="130"/>
    </row>
    <row r="438" spans="1:7" ht="14.25" customHeight="1" x14ac:dyDescent="0.3">
      <c r="A438" s="319" t="s">
        <v>947</v>
      </c>
      <c r="B438" s="320">
        <v>17805.25</v>
      </c>
      <c r="C438" s="320">
        <v>1121.82995605469</v>
      </c>
      <c r="D438" s="320">
        <f t="shared" si="12"/>
        <v>1.0186874235264201E-2</v>
      </c>
      <c r="E438" s="320">
        <f t="shared" si="13"/>
        <v>-4.2251483769909703E-3</v>
      </c>
      <c r="F438" s="130"/>
      <c r="G438" s="130"/>
    </row>
    <row r="439" spans="1:7" ht="14.25" customHeight="1" x14ac:dyDescent="0.3">
      <c r="A439" s="319" t="s">
        <v>948</v>
      </c>
      <c r="B439" s="320">
        <v>17925.25</v>
      </c>
      <c r="C439" s="320">
        <v>1123.58996582031</v>
      </c>
      <c r="D439" s="320">
        <f t="shared" si="12"/>
        <v>6.7395852346920204E-3</v>
      </c>
      <c r="E439" s="320">
        <f t="shared" si="13"/>
        <v>1.56887392435988E-3</v>
      </c>
      <c r="F439" s="130"/>
      <c r="G439" s="130"/>
    </row>
    <row r="440" spans="1:7" ht="14.25" customHeight="1" x14ac:dyDescent="0.3">
      <c r="A440" s="319" t="s">
        <v>949</v>
      </c>
      <c r="B440" s="320">
        <v>17745.900390625</v>
      </c>
      <c r="C440" s="320">
        <v>1114.27001953125</v>
      </c>
      <c r="D440" s="320">
        <f t="shared" si="12"/>
        <v>-1.0005417462796901E-2</v>
      </c>
      <c r="E440" s="320">
        <f t="shared" si="13"/>
        <v>-8.2947930940765399E-3</v>
      </c>
      <c r="F440" s="130"/>
      <c r="G440" s="130"/>
    </row>
    <row r="441" spans="1:7" ht="14.25" customHeight="1" x14ac:dyDescent="0.3">
      <c r="A441" s="319" t="s">
        <v>950</v>
      </c>
      <c r="B441" s="320">
        <v>17812.69921875</v>
      </c>
      <c r="C441" s="320">
        <v>1126.93005371094</v>
      </c>
      <c r="D441" s="320">
        <f t="shared" si="12"/>
        <v>3.76418365113157E-3</v>
      </c>
      <c r="E441" s="320">
        <f t="shared" si="13"/>
        <v>1.13617291659842E-2</v>
      </c>
      <c r="F441" s="130"/>
      <c r="G441" s="130"/>
    </row>
    <row r="442" spans="1:7" ht="14.25" customHeight="1" x14ac:dyDescent="0.3">
      <c r="A442" s="319" t="s">
        <v>951</v>
      </c>
      <c r="B442" s="320">
        <v>18003.30078125</v>
      </c>
      <c r="C442" s="320">
        <v>1111.43005371094</v>
      </c>
      <c r="D442" s="320">
        <f t="shared" si="12"/>
        <v>1.0700318921871701E-2</v>
      </c>
      <c r="E442" s="320">
        <f t="shared" si="13"/>
        <v>-1.37541810593826E-2</v>
      </c>
      <c r="F442" s="130"/>
      <c r="G442" s="130"/>
    </row>
    <row r="443" spans="1:7" ht="14.25" customHeight="1" x14ac:dyDescent="0.3">
      <c r="A443" s="319" t="s">
        <v>952</v>
      </c>
      <c r="B443" s="320">
        <v>18055.75</v>
      </c>
      <c r="C443" s="320">
        <v>1127.64001464844</v>
      </c>
      <c r="D443" s="320">
        <f t="shared" si="12"/>
        <v>2.9133112526023301E-3</v>
      </c>
      <c r="E443" s="320">
        <f t="shared" si="13"/>
        <v>1.45847783073499E-2</v>
      </c>
      <c r="F443" s="130"/>
      <c r="G443" s="130"/>
    </row>
    <row r="444" spans="1:7" ht="14.25" customHeight="1" x14ac:dyDescent="0.3">
      <c r="A444" s="319" t="s">
        <v>953</v>
      </c>
      <c r="B444" s="320">
        <v>18212.349609375</v>
      </c>
      <c r="C444" s="320">
        <v>1126.60998535156</v>
      </c>
      <c r="D444" s="320">
        <f t="shared" si="12"/>
        <v>8.6731157318305808E-3</v>
      </c>
      <c r="E444" s="320">
        <f t="shared" si="13"/>
        <v>-9.1343805070728205E-4</v>
      </c>
      <c r="F444" s="130"/>
      <c r="G444" s="130"/>
    </row>
    <row r="445" spans="1:7" ht="14.25" customHeight="1" x14ac:dyDescent="0.3">
      <c r="A445" s="319" t="s">
        <v>954</v>
      </c>
      <c r="B445" s="320">
        <v>18257.80078125</v>
      </c>
      <c r="C445" s="320">
        <v>1118.16003417969</v>
      </c>
      <c r="D445" s="320">
        <f t="shared" si="12"/>
        <v>2.4956237305923199E-3</v>
      </c>
      <c r="E445" s="320">
        <f t="shared" si="13"/>
        <v>-7.5003339946726798E-3</v>
      </c>
      <c r="F445" s="130"/>
      <c r="G445" s="130"/>
    </row>
    <row r="446" spans="1:7" ht="14.25" customHeight="1" x14ac:dyDescent="0.3">
      <c r="A446" s="319" t="s">
        <v>955</v>
      </c>
      <c r="B446" s="320">
        <v>18255.75</v>
      </c>
      <c r="C446" s="320">
        <v>1139.25</v>
      </c>
      <c r="D446" s="320">
        <f t="shared" si="12"/>
        <v>-1.1232356375068301E-4</v>
      </c>
      <c r="E446" s="320">
        <f t="shared" si="13"/>
        <v>1.88613124916257E-2</v>
      </c>
      <c r="F446" s="130"/>
      <c r="G446" s="130"/>
    </row>
    <row r="447" spans="1:7" ht="14.25" customHeight="1" x14ac:dyDescent="0.3">
      <c r="A447" s="319" t="s">
        <v>956</v>
      </c>
      <c r="B447" s="320">
        <v>18308.099609375</v>
      </c>
      <c r="C447" s="320">
        <v>1130.46997070313</v>
      </c>
      <c r="D447" s="320">
        <f t="shared" si="12"/>
        <v>2.8675682661627199E-3</v>
      </c>
      <c r="E447" s="320">
        <f t="shared" si="13"/>
        <v>-7.7068503812771499E-3</v>
      </c>
      <c r="F447" s="130"/>
      <c r="G447" s="130"/>
    </row>
    <row r="448" spans="1:7" ht="14.25" customHeight="1" x14ac:dyDescent="0.3">
      <c r="A448" s="319" t="s">
        <v>957</v>
      </c>
      <c r="B448" s="320">
        <v>18113.05078125</v>
      </c>
      <c r="C448" s="320">
        <v>1069.08996582031</v>
      </c>
      <c r="D448" s="320">
        <f t="shared" si="12"/>
        <v>-1.06536905679234E-2</v>
      </c>
      <c r="E448" s="320">
        <f t="shared" si="13"/>
        <v>-5.4296006504836999E-2</v>
      </c>
      <c r="F448" s="130"/>
      <c r="G448" s="130"/>
    </row>
    <row r="449" spans="1:7" ht="14.25" customHeight="1" x14ac:dyDescent="0.3">
      <c r="A449" s="319" t="s">
        <v>958</v>
      </c>
      <c r="B449" s="320">
        <v>17938.400390625</v>
      </c>
      <c r="C449" s="320">
        <v>1003.34002685547</v>
      </c>
      <c r="D449" s="320">
        <f t="shared" si="12"/>
        <v>-9.6422404339412595E-3</v>
      </c>
      <c r="E449" s="320">
        <f t="shared" si="13"/>
        <v>-6.1500847512295398E-2</v>
      </c>
      <c r="F449" s="130"/>
      <c r="G449" s="130"/>
    </row>
    <row r="450" spans="1:7" ht="14.25" customHeight="1" x14ac:dyDescent="0.3">
      <c r="A450" s="319" t="s">
        <v>959</v>
      </c>
      <c r="B450" s="320">
        <v>17757</v>
      </c>
      <c r="C450" s="320">
        <v>1001.26000976563</v>
      </c>
      <c r="D450" s="320">
        <f t="shared" si="12"/>
        <v>-1.0112406160797E-2</v>
      </c>
      <c r="E450" s="320">
        <f t="shared" si="13"/>
        <v>-2.0730929038672002E-3</v>
      </c>
      <c r="F450" s="130"/>
      <c r="G450" s="130"/>
    </row>
    <row r="451" spans="1:7" ht="14.25" customHeight="1" x14ac:dyDescent="0.3">
      <c r="A451" s="319" t="s">
        <v>960</v>
      </c>
      <c r="B451" s="320">
        <v>17617.150390625</v>
      </c>
      <c r="C451" s="320">
        <v>952.52001953125</v>
      </c>
      <c r="D451" s="320">
        <f t="shared" ref="D451:D514" si="14">(B451-B450)/B450</f>
        <v>-7.8757453046685803E-3</v>
      </c>
      <c r="E451" s="320">
        <f t="shared" ref="E451:E514" si="15">(C451-C450)/C450</f>
        <v>-4.86786546541381E-2</v>
      </c>
      <c r="F451" s="130"/>
      <c r="G451" s="130"/>
    </row>
    <row r="452" spans="1:7" ht="14.25" customHeight="1" x14ac:dyDescent="0.3">
      <c r="A452" s="319" t="s">
        <v>961</v>
      </c>
      <c r="B452" s="320">
        <v>17149.099609375</v>
      </c>
      <c r="C452" s="320">
        <v>901.719970703125</v>
      </c>
      <c r="D452" s="320">
        <f t="shared" si="14"/>
        <v>-2.65679051873834E-2</v>
      </c>
      <c r="E452" s="320">
        <f t="shared" si="15"/>
        <v>-5.3332263665308001E-2</v>
      </c>
      <c r="F452" s="130"/>
      <c r="G452" s="130"/>
    </row>
    <row r="453" spans="1:7" ht="14.25" customHeight="1" x14ac:dyDescent="0.3">
      <c r="A453" s="319" t="s">
        <v>962</v>
      </c>
      <c r="B453" s="320">
        <v>17277.94921875</v>
      </c>
      <c r="C453" s="320">
        <v>903.719970703125</v>
      </c>
      <c r="D453" s="320">
        <f t="shared" si="14"/>
        <v>7.5134912216942903E-3</v>
      </c>
      <c r="E453" s="320">
        <f t="shared" si="15"/>
        <v>2.2179834815463598E-3</v>
      </c>
      <c r="F453" s="130"/>
      <c r="G453" s="130"/>
    </row>
    <row r="454" spans="1:7" ht="14.25" customHeight="1" x14ac:dyDescent="0.3">
      <c r="A454" s="319" t="s">
        <v>963</v>
      </c>
      <c r="B454" s="320">
        <v>17110.150390625</v>
      </c>
      <c r="C454" s="320">
        <v>878.83001708984398</v>
      </c>
      <c r="D454" s="320">
        <f t="shared" si="14"/>
        <v>-9.7117329146276798E-3</v>
      </c>
      <c r="E454" s="320">
        <f t="shared" si="15"/>
        <v>-2.7541666025058399E-2</v>
      </c>
      <c r="F454" s="130"/>
      <c r="G454" s="130"/>
    </row>
    <row r="455" spans="1:7" ht="14.25" customHeight="1" x14ac:dyDescent="0.3">
      <c r="A455" s="319" t="s">
        <v>964</v>
      </c>
      <c r="B455" s="320">
        <v>17101.94921875</v>
      </c>
      <c r="C455" s="320">
        <v>881.219970703125</v>
      </c>
      <c r="D455" s="320">
        <f t="shared" si="14"/>
        <v>-4.7931617710932501E-4</v>
      </c>
      <c r="E455" s="320">
        <f t="shared" si="15"/>
        <v>2.7194719875353302E-3</v>
      </c>
      <c r="F455" s="130"/>
      <c r="G455" s="130"/>
    </row>
    <row r="456" spans="1:7" ht="14.25" customHeight="1" x14ac:dyDescent="0.3">
      <c r="A456" s="319" t="s">
        <v>965</v>
      </c>
      <c r="B456" s="320">
        <v>17339.849609375</v>
      </c>
      <c r="C456" s="320">
        <v>980.15997314453102</v>
      </c>
      <c r="D456" s="320">
        <f t="shared" si="14"/>
        <v>1.39107178709298E-2</v>
      </c>
      <c r="E456" s="320">
        <f t="shared" si="15"/>
        <v>0.11227616909596599</v>
      </c>
      <c r="F456" s="130"/>
      <c r="G456" s="130"/>
    </row>
    <row r="457" spans="1:7" ht="14.25" customHeight="1" x14ac:dyDescent="0.3">
      <c r="A457" s="319" t="s">
        <v>966</v>
      </c>
      <c r="B457" s="320">
        <v>17576.849609375</v>
      </c>
      <c r="C457" s="320">
        <v>1000.04998779297</v>
      </c>
      <c r="D457" s="320">
        <f t="shared" si="14"/>
        <v>1.36679386118703E-2</v>
      </c>
      <c r="E457" s="320">
        <f t="shared" si="15"/>
        <v>2.0292620789878001E-2</v>
      </c>
      <c r="F457" s="130"/>
      <c r="G457" s="130"/>
    </row>
    <row r="458" spans="1:7" ht="14.25" customHeight="1" x14ac:dyDescent="0.3">
      <c r="A458" s="319" t="s">
        <v>967</v>
      </c>
      <c r="B458" s="320">
        <v>17780</v>
      </c>
      <c r="C458" s="320">
        <v>1023.02001953125</v>
      </c>
      <c r="D458" s="320">
        <f t="shared" si="14"/>
        <v>1.1557838585399599E-2</v>
      </c>
      <c r="E458" s="320">
        <f t="shared" si="15"/>
        <v>2.2968883574483099E-2</v>
      </c>
      <c r="F458" s="130"/>
      <c r="G458" s="130"/>
    </row>
    <row r="459" spans="1:7" ht="14.25" customHeight="1" x14ac:dyDescent="0.3">
      <c r="A459" s="319" t="s">
        <v>968</v>
      </c>
      <c r="B459" s="320">
        <v>17560.19921875</v>
      </c>
      <c r="C459" s="320">
        <v>999.09997558593795</v>
      </c>
      <c r="D459" s="320">
        <f t="shared" si="14"/>
        <v>-1.2362248664229501E-2</v>
      </c>
      <c r="E459" s="320">
        <f t="shared" si="15"/>
        <v>-2.33817945774632E-2</v>
      </c>
      <c r="F459" s="130"/>
      <c r="G459" s="130"/>
    </row>
    <row r="460" spans="1:7" ht="14.25" customHeight="1" x14ac:dyDescent="0.3">
      <c r="A460" s="319" t="s">
        <v>969</v>
      </c>
      <c r="B460" s="320">
        <v>17516.30078125</v>
      </c>
      <c r="C460" s="320">
        <v>968.97998046875</v>
      </c>
      <c r="D460" s="320">
        <f t="shared" si="14"/>
        <v>-2.4998826581151298E-3</v>
      </c>
      <c r="E460" s="320">
        <f t="shared" si="15"/>
        <v>-3.0147128268643599E-2</v>
      </c>
      <c r="F460" s="130"/>
      <c r="G460" s="130"/>
    </row>
    <row r="461" spans="1:7" ht="14.25" customHeight="1" x14ac:dyDescent="0.3">
      <c r="A461" s="319" t="s">
        <v>970</v>
      </c>
      <c r="B461" s="320">
        <v>17213.599609375</v>
      </c>
      <c r="C461" s="320">
        <v>959.30999755859398</v>
      </c>
      <c r="D461" s="320">
        <f t="shared" si="14"/>
        <v>-1.7281112927623399E-2</v>
      </c>
      <c r="E461" s="320">
        <f t="shared" si="15"/>
        <v>-9.9795487059269397E-3</v>
      </c>
      <c r="F461" s="130"/>
      <c r="G461" s="130"/>
    </row>
    <row r="462" spans="1:7" ht="14.25" customHeight="1" x14ac:dyDescent="0.3">
      <c r="A462" s="319" t="s">
        <v>971</v>
      </c>
      <c r="B462" s="320">
        <v>17266.75</v>
      </c>
      <c r="C462" s="320">
        <v>955.03997802734398</v>
      </c>
      <c r="D462" s="320">
        <f t="shared" si="14"/>
        <v>3.0876976246184298E-3</v>
      </c>
      <c r="E462" s="320">
        <f t="shared" si="15"/>
        <v>-4.45113627723784E-3</v>
      </c>
      <c r="F462" s="130"/>
      <c r="G462" s="130"/>
    </row>
    <row r="463" spans="1:7" ht="14.25" customHeight="1" x14ac:dyDescent="0.3">
      <c r="A463" s="319" t="s">
        <v>972</v>
      </c>
      <c r="B463" s="320">
        <v>17463.80078125</v>
      </c>
      <c r="C463" s="320">
        <v>982.61999511718795</v>
      </c>
      <c r="D463" s="320">
        <f t="shared" si="14"/>
        <v>1.14121523303459E-2</v>
      </c>
      <c r="E463" s="320">
        <f t="shared" si="15"/>
        <v>2.8878390145312099E-2</v>
      </c>
      <c r="F463" s="130"/>
      <c r="G463" s="130"/>
    </row>
    <row r="464" spans="1:7" ht="14.25" customHeight="1" x14ac:dyDescent="0.3">
      <c r="A464" s="319" t="s">
        <v>973</v>
      </c>
      <c r="B464" s="320">
        <v>17605.849609375</v>
      </c>
      <c r="C464" s="320">
        <v>977.70001220703102</v>
      </c>
      <c r="D464" s="320">
        <f t="shared" si="14"/>
        <v>8.1339010851240699E-3</v>
      </c>
      <c r="E464" s="320">
        <f t="shared" si="15"/>
        <v>-5.0070046758718496E-3</v>
      </c>
      <c r="F464" s="130"/>
      <c r="G464" s="130"/>
    </row>
    <row r="465" spans="1:7" ht="14.25" customHeight="1" x14ac:dyDescent="0.3">
      <c r="A465" s="319" t="s">
        <v>974</v>
      </c>
      <c r="B465" s="320">
        <v>17374.75</v>
      </c>
      <c r="C465" s="320">
        <v>919.13000488281295</v>
      </c>
      <c r="D465" s="320">
        <f t="shared" si="14"/>
        <v>-1.31262969128136E-2</v>
      </c>
      <c r="E465" s="320">
        <f t="shared" si="15"/>
        <v>-5.9905908349130399E-2</v>
      </c>
      <c r="F465" s="130"/>
      <c r="G465" s="130"/>
    </row>
    <row r="466" spans="1:7" ht="14.25" customHeight="1" x14ac:dyDescent="0.3">
      <c r="A466" s="319" t="s">
        <v>975</v>
      </c>
      <c r="B466" s="320">
        <v>16842.80078125</v>
      </c>
      <c r="C466" s="320">
        <v>902.280029296875</v>
      </c>
      <c r="D466" s="320">
        <f t="shared" si="14"/>
        <v>-3.0616222895293501E-2</v>
      </c>
      <c r="E466" s="320">
        <f t="shared" si="15"/>
        <v>-1.8332526950946702E-2</v>
      </c>
      <c r="F466" s="130"/>
      <c r="G466" s="130"/>
    </row>
    <row r="467" spans="1:7" ht="14.25" customHeight="1" x14ac:dyDescent="0.3">
      <c r="A467" s="319" t="s">
        <v>976</v>
      </c>
      <c r="B467" s="320">
        <v>17352.44921875</v>
      </c>
      <c r="C467" s="320">
        <v>936.510009765625</v>
      </c>
      <c r="D467" s="320">
        <f t="shared" si="14"/>
        <v>3.02591263839776E-2</v>
      </c>
      <c r="E467" s="320">
        <f t="shared" si="15"/>
        <v>3.7937202816540901E-2</v>
      </c>
      <c r="F467" s="130"/>
      <c r="G467" s="130"/>
    </row>
    <row r="468" spans="1:7" ht="14.25" customHeight="1" x14ac:dyDescent="0.3">
      <c r="A468" s="319" t="s">
        <v>977</v>
      </c>
      <c r="B468" s="320">
        <v>17322.19921875</v>
      </c>
      <c r="C468" s="320">
        <v>916.030029296875</v>
      </c>
      <c r="D468" s="320">
        <f t="shared" si="14"/>
        <v>-1.7432697608654401E-3</v>
      </c>
      <c r="E468" s="320">
        <f t="shared" si="15"/>
        <v>-2.1868405308209601E-2</v>
      </c>
      <c r="F468" s="130"/>
      <c r="G468" s="130"/>
    </row>
    <row r="469" spans="1:7" ht="14.25" customHeight="1" x14ac:dyDescent="0.3">
      <c r="A469" s="319" t="s">
        <v>978</v>
      </c>
      <c r="B469" s="320">
        <v>17304.599609375</v>
      </c>
      <c r="C469" s="320">
        <v>909.58001708984398</v>
      </c>
      <c r="D469" s="320">
        <f t="shared" si="14"/>
        <v>-1.0160147191904899E-3</v>
      </c>
      <c r="E469" s="320">
        <f t="shared" si="15"/>
        <v>-7.0412672082179597E-3</v>
      </c>
      <c r="F469" s="130"/>
      <c r="G469" s="130"/>
    </row>
    <row r="470" spans="1:7" ht="14.25" customHeight="1" x14ac:dyDescent="0.3">
      <c r="A470" s="319" t="s">
        <v>979</v>
      </c>
      <c r="B470" s="320">
        <v>17276.30078125</v>
      </c>
      <c r="C470" s="320">
        <v>885.530029296875</v>
      </c>
      <c r="D470" s="320">
        <f t="shared" si="14"/>
        <v>-1.63533561965044E-3</v>
      </c>
      <c r="E470" s="320">
        <f t="shared" si="15"/>
        <v>-2.6440760945821699E-2</v>
      </c>
      <c r="F470" s="130"/>
      <c r="G470" s="130"/>
    </row>
    <row r="471" spans="1:7" ht="14.25" customHeight="1" x14ac:dyDescent="0.3">
      <c r="A471" s="319" t="s">
        <v>980</v>
      </c>
      <c r="B471" s="320">
        <v>17206.650390625</v>
      </c>
      <c r="C471" s="320">
        <v>888.530029296875</v>
      </c>
      <c r="D471" s="320">
        <f t="shared" si="14"/>
        <v>-4.0315569581071296E-3</v>
      </c>
      <c r="E471" s="320">
        <f t="shared" si="15"/>
        <v>3.3878015434237099E-3</v>
      </c>
      <c r="F471" s="130"/>
      <c r="G471" s="130"/>
    </row>
    <row r="472" spans="1:7" ht="14.25" customHeight="1" x14ac:dyDescent="0.3">
      <c r="A472" s="319" t="s">
        <v>981</v>
      </c>
      <c r="B472" s="320">
        <v>17092.19921875</v>
      </c>
      <c r="C472" s="320">
        <v>892.15997314453102</v>
      </c>
      <c r="D472" s="320">
        <f t="shared" si="14"/>
        <v>-6.6515660675803799E-3</v>
      </c>
      <c r="E472" s="320">
        <f t="shared" si="15"/>
        <v>4.0853361484344299E-3</v>
      </c>
      <c r="F472" s="130"/>
      <c r="G472" s="130"/>
    </row>
    <row r="473" spans="1:7" ht="14.25" customHeight="1" x14ac:dyDescent="0.3">
      <c r="A473" s="319" t="s">
        <v>982</v>
      </c>
      <c r="B473" s="320">
        <v>17063.25</v>
      </c>
      <c r="C473" s="320">
        <v>882.35998535156295</v>
      </c>
      <c r="D473" s="320">
        <f t="shared" si="14"/>
        <v>-1.6937094155936899E-3</v>
      </c>
      <c r="E473" s="320">
        <f t="shared" si="15"/>
        <v>-1.09845634056264E-2</v>
      </c>
      <c r="F473" s="130"/>
      <c r="G473" s="130"/>
    </row>
    <row r="474" spans="1:7" ht="14.25" customHeight="1" x14ac:dyDescent="0.3">
      <c r="A474" s="319" t="s">
        <v>983</v>
      </c>
      <c r="B474" s="320">
        <v>16247.9501953125</v>
      </c>
      <c r="C474" s="320">
        <v>856.07000732421898</v>
      </c>
      <c r="D474" s="320">
        <f t="shared" si="14"/>
        <v>-4.7781038470836402E-2</v>
      </c>
      <c r="E474" s="320">
        <f t="shared" si="15"/>
        <v>-2.9795070565070001E-2</v>
      </c>
      <c r="F474" s="130"/>
      <c r="G474" s="130"/>
    </row>
    <row r="475" spans="1:7" ht="14.25" customHeight="1" x14ac:dyDescent="0.3">
      <c r="A475" s="319" t="s">
        <v>984</v>
      </c>
      <c r="B475" s="320">
        <v>16658.400390625</v>
      </c>
      <c r="C475" s="320">
        <v>890.13000488281295</v>
      </c>
      <c r="D475" s="320">
        <f t="shared" si="14"/>
        <v>2.52616601096496E-2</v>
      </c>
      <c r="E475" s="320">
        <f t="shared" si="15"/>
        <v>3.9786462867743497E-2</v>
      </c>
      <c r="F475" s="130"/>
      <c r="G475" s="130"/>
    </row>
    <row r="476" spans="1:7" ht="14.25" customHeight="1" x14ac:dyDescent="0.3">
      <c r="A476" s="319" t="s">
        <v>985</v>
      </c>
      <c r="B476" s="320">
        <v>16793.900390625</v>
      </c>
      <c r="C476" s="320">
        <v>890.85998535156295</v>
      </c>
      <c r="D476" s="320">
        <f t="shared" si="14"/>
        <v>8.1340342903665902E-3</v>
      </c>
      <c r="E476" s="320">
        <f t="shared" si="15"/>
        <v>8.2008298197531603E-4</v>
      </c>
      <c r="F476" s="130"/>
      <c r="G476" s="130"/>
    </row>
    <row r="477" spans="1:7" ht="14.25" customHeight="1" x14ac:dyDescent="0.3">
      <c r="A477" s="319" t="s">
        <v>986</v>
      </c>
      <c r="B477" s="320">
        <v>16605.94921875</v>
      </c>
      <c r="C477" s="320">
        <v>913.71002197265602</v>
      </c>
      <c r="D477" s="320">
        <f t="shared" si="14"/>
        <v>-1.11916331229356E-2</v>
      </c>
      <c r="E477" s="320">
        <f t="shared" si="15"/>
        <v>2.5649414045772499E-2</v>
      </c>
      <c r="F477" s="130"/>
      <c r="G477" s="130"/>
    </row>
    <row r="478" spans="1:7" ht="14.25" customHeight="1" x14ac:dyDescent="0.3">
      <c r="A478" s="319" t="s">
        <v>987</v>
      </c>
      <c r="B478" s="320">
        <v>16498.05078125</v>
      </c>
      <c r="C478" s="320">
        <v>917.85998535156295</v>
      </c>
      <c r="D478" s="320">
        <f t="shared" si="14"/>
        <v>-6.4975772284170596E-3</v>
      </c>
      <c r="E478" s="320">
        <f t="shared" si="15"/>
        <v>4.5418823030389504E-3</v>
      </c>
      <c r="F478" s="130"/>
      <c r="G478" s="130"/>
    </row>
    <row r="479" spans="1:7" ht="14.25" customHeight="1" x14ac:dyDescent="0.3">
      <c r="A479" s="319" t="s">
        <v>988</v>
      </c>
      <c r="B479" s="320">
        <v>16245.349609375</v>
      </c>
      <c r="C479" s="320">
        <v>867.969970703125</v>
      </c>
      <c r="D479" s="320">
        <f t="shared" si="14"/>
        <v>-1.5317032007332299E-2</v>
      </c>
      <c r="E479" s="320">
        <f t="shared" si="15"/>
        <v>-5.4354711442539699E-2</v>
      </c>
      <c r="F479" s="130"/>
      <c r="G479" s="130"/>
    </row>
    <row r="480" spans="1:7" ht="14.25" customHeight="1" x14ac:dyDescent="0.3">
      <c r="A480" s="319" t="s">
        <v>989</v>
      </c>
      <c r="B480" s="320">
        <v>15863.150390625</v>
      </c>
      <c r="C480" s="320">
        <v>857.58001708984398</v>
      </c>
      <c r="D480" s="320">
        <f t="shared" si="14"/>
        <v>-2.35266847399478E-2</v>
      </c>
      <c r="E480" s="320">
        <f t="shared" si="15"/>
        <v>-1.19704067697922E-2</v>
      </c>
      <c r="F480" s="130"/>
      <c r="G480" s="130"/>
    </row>
    <row r="481" spans="1:7" ht="14.25" customHeight="1" x14ac:dyDescent="0.3">
      <c r="A481" s="319" t="s">
        <v>990</v>
      </c>
      <c r="B481" s="320">
        <v>16013.4501953125</v>
      </c>
      <c r="C481" s="320">
        <v>877.219970703125</v>
      </c>
      <c r="D481" s="320">
        <f t="shared" si="14"/>
        <v>9.47477650948364E-3</v>
      </c>
      <c r="E481" s="320">
        <f t="shared" si="15"/>
        <v>2.2901598943417801E-2</v>
      </c>
      <c r="F481" s="130"/>
      <c r="G481" s="130"/>
    </row>
    <row r="482" spans="1:7" ht="14.25" customHeight="1" x14ac:dyDescent="0.3">
      <c r="A482" s="319" t="s">
        <v>991</v>
      </c>
      <c r="B482" s="320">
        <v>16345.349609375</v>
      </c>
      <c r="C482" s="320">
        <v>912.739990234375</v>
      </c>
      <c r="D482" s="320">
        <f t="shared" si="14"/>
        <v>2.07262900882943E-2</v>
      </c>
      <c r="E482" s="320">
        <f t="shared" si="15"/>
        <v>4.04915764774249E-2</v>
      </c>
      <c r="F482" s="130"/>
      <c r="G482" s="130"/>
    </row>
    <row r="483" spans="1:7" ht="14.25" customHeight="1" x14ac:dyDescent="0.3">
      <c r="A483" s="319" t="s">
        <v>992</v>
      </c>
      <c r="B483" s="320">
        <v>16594.900390625</v>
      </c>
      <c r="C483" s="320">
        <v>923.27001953125</v>
      </c>
      <c r="D483" s="320">
        <f t="shared" si="14"/>
        <v>1.5267387190474499E-2</v>
      </c>
      <c r="E483" s="320">
        <f t="shared" si="15"/>
        <v>1.1536723940594599E-2</v>
      </c>
      <c r="F483" s="130"/>
      <c r="G483" s="130"/>
    </row>
    <row r="484" spans="1:7" ht="14.25" customHeight="1" x14ac:dyDescent="0.3">
      <c r="A484" s="319" t="s">
        <v>993</v>
      </c>
      <c r="B484" s="320">
        <v>16630.44921875</v>
      </c>
      <c r="C484" s="320">
        <v>923</v>
      </c>
      <c r="D484" s="320">
        <f t="shared" si="14"/>
        <v>2.14215375134657E-3</v>
      </c>
      <c r="E484" s="320">
        <f t="shared" si="15"/>
        <v>-2.92459979786943E-4</v>
      </c>
      <c r="F484" s="130"/>
      <c r="G484" s="130"/>
    </row>
    <row r="485" spans="1:7" ht="14.25" customHeight="1" x14ac:dyDescent="0.3">
      <c r="A485" s="319" t="s">
        <v>994</v>
      </c>
      <c r="B485" s="320">
        <v>16871.30078125</v>
      </c>
      <c r="C485" s="320">
        <v>905.34002685546898</v>
      </c>
      <c r="D485" s="320">
        <f t="shared" si="14"/>
        <v>1.4482565042708E-2</v>
      </c>
      <c r="E485" s="320">
        <f t="shared" si="15"/>
        <v>-1.91332320092427E-2</v>
      </c>
      <c r="F485" s="130"/>
      <c r="G485" s="130"/>
    </row>
    <row r="486" spans="1:7" ht="14.25" customHeight="1" x14ac:dyDescent="0.3">
      <c r="A486" s="319" t="s">
        <v>995</v>
      </c>
      <c r="B486" s="320">
        <v>16663</v>
      </c>
      <c r="C486" s="320">
        <v>888.46002197265602</v>
      </c>
      <c r="D486" s="320">
        <f t="shared" si="14"/>
        <v>-1.23464565033122E-2</v>
      </c>
      <c r="E486" s="320">
        <f t="shared" si="15"/>
        <v>-1.8644933817233901E-2</v>
      </c>
      <c r="F486" s="130"/>
      <c r="G486" s="130"/>
    </row>
    <row r="487" spans="1:7" ht="14.25" customHeight="1" x14ac:dyDescent="0.3">
      <c r="A487" s="319" t="s">
        <v>996</v>
      </c>
      <c r="B487" s="320">
        <v>16975.349609375</v>
      </c>
      <c r="C487" s="320">
        <v>894.90002441406295</v>
      </c>
      <c r="D487" s="320">
        <f t="shared" si="14"/>
        <v>1.8745100484606599E-2</v>
      </c>
      <c r="E487" s="320">
        <f t="shared" si="15"/>
        <v>7.2484999686402698E-3</v>
      </c>
      <c r="F487" s="130"/>
      <c r="G487" s="130"/>
    </row>
    <row r="488" spans="1:7" ht="14.25" customHeight="1" x14ac:dyDescent="0.3">
      <c r="A488" s="319" t="s">
        <v>997</v>
      </c>
      <c r="B488" s="320">
        <v>17287.05078125</v>
      </c>
      <c r="C488" s="320">
        <v>915.72998046875</v>
      </c>
      <c r="D488" s="320">
        <f t="shared" si="14"/>
        <v>1.8361988356508201E-2</v>
      </c>
      <c r="E488" s="320">
        <f t="shared" si="15"/>
        <v>2.32762939841526E-2</v>
      </c>
      <c r="F488" s="130"/>
      <c r="G488" s="130"/>
    </row>
    <row r="489" spans="1:7" ht="14.25" customHeight="1" x14ac:dyDescent="0.3">
      <c r="A489" s="319" t="s">
        <v>998</v>
      </c>
      <c r="B489" s="320">
        <v>17117.599609375</v>
      </c>
      <c r="C489" s="320">
        <v>928.61999511718795</v>
      </c>
      <c r="D489" s="320">
        <f t="shared" si="14"/>
        <v>-9.80220247046369E-3</v>
      </c>
      <c r="E489" s="320">
        <f t="shared" si="15"/>
        <v>1.40762177971281E-2</v>
      </c>
      <c r="F489" s="130"/>
      <c r="G489" s="130"/>
    </row>
    <row r="490" spans="1:7" ht="14.25" customHeight="1" x14ac:dyDescent="0.3">
      <c r="A490" s="319" t="s">
        <v>999</v>
      </c>
      <c r="B490" s="320">
        <v>17315.5</v>
      </c>
      <c r="C490" s="320">
        <v>952.09002685546898</v>
      </c>
      <c r="D490" s="320">
        <f t="shared" si="14"/>
        <v>1.15612232521558E-2</v>
      </c>
      <c r="E490" s="320">
        <f t="shared" si="15"/>
        <v>2.5274096898289598E-2</v>
      </c>
      <c r="F490" s="130"/>
      <c r="G490" s="130"/>
    </row>
    <row r="491" spans="1:7" ht="14.25" customHeight="1" x14ac:dyDescent="0.3">
      <c r="A491" s="319" t="s">
        <v>1000</v>
      </c>
      <c r="B491" s="320">
        <v>17245.650390625</v>
      </c>
      <c r="C491" s="320">
        <v>925.25</v>
      </c>
      <c r="D491" s="320">
        <f t="shared" si="14"/>
        <v>-4.0339354552279697E-3</v>
      </c>
      <c r="E491" s="320">
        <f t="shared" si="15"/>
        <v>-2.8190639643727099E-2</v>
      </c>
      <c r="F491" s="130"/>
      <c r="G491" s="130"/>
    </row>
    <row r="492" spans="1:7" ht="14.25" customHeight="1" x14ac:dyDescent="0.3">
      <c r="A492" s="319" t="s">
        <v>1001</v>
      </c>
      <c r="B492" s="320">
        <v>17222.75</v>
      </c>
      <c r="C492" s="320">
        <v>905.989990234375</v>
      </c>
      <c r="D492" s="320">
        <f t="shared" si="14"/>
        <v>-1.3278937068937099E-3</v>
      </c>
      <c r="E492" s="320">
        <f t="shared" si="15"/>
        <v>-2.0816006231423899E-2</v>
      </c>
      <c r="F492" s="130"/>
      <c r="G492" s="130"/>
    </row>
    <row r="493" spans="1:7" ht="14.25" customHeight="1" x14ac:dyDescent="0.3">
      <c r="A493" s="319" t="s">
        <v>1002</v>
      </c>
      <c r="B493" s="320">
        <v>17153</v>
      </c>
      <c r="C493" s="320">
        <v>899.05999755859398</v>
      </c>
      <c r="D493" s="320">
        <f t="shared" si="14"/>
        <v>-4.0498758909001198E-3</v>
      </c>
      <c r="E493" s="320">
        <f t="shared" si="15"/>
        <v>-7.6490830478030698E-3</v>
      </c>
      <c r="F493" s="130"/>
      <c r="G493" s="130"/>
    </row>
    <row r="494" spans="1:7" ht="14.25" customHeight="1" x14ac:dyDescent="0.3">
      <c r="A494" s="319" t="s">
        <v>1003</v>
      </c>
      <c r="B494" s="320">
        <v>17222</v>
      </c>
      <c r="C494" s="320">
        <v>878.52001953125</v>
      </c>
      <c r="D494" s="320">
        <f t="shared" si="14"/>
        <v>4.0226199498629997E-3</v>
      </c>
      <c r="E494" s="320">
        <f t="shared" si="15"/>
        <v>-2.2846059309857499E-2</v>
      </c>
      <c r="F494" s="130"/>
      <c r="G494" s="130"/>
    </row>
    <row r="495" spans="1:7" ht="14.25" customHeight="1" x14ac:dyDescent="0.3">
      <c r="A495" s="319" t="s">
        <v>1004</v>
      </c>
      <c r="B495" s="320">
        <v>17325.30078125</v>
      </c>
      <c r="C495" s="320">
        <v>898.739990234375</v>
      </c>
      <c r="D495" s="320">
        <f t="shared" si="14"/>
        <v>5.9981872749971001E-3</v>
      </c>
      <c r="E495" s="320">
        <f t="shared" si="15"/>
        <v>2.3015947563623799E-2</v>
      </c>
      <c r="F495" s="130"/>
      <c r="G495" s="130"/>
    </row>
    <row r="496" spans="1:7" ht="14.25" customHeight="1" x14ac:dyDescent="0.3">
      <c r="A496" s="319" t="s">
        <v>1005</v>
      </c>
      <c r="B496" s="320">
        <v>17498.25</v>
      </c>
      <c r="C496" s="320">
        <v>923.86999511718795</v>
      </c>
      <c r="D496" s="320">
        <f t="shared" si="14"/>
        <v>9.9824655821947501E-3</v>
      </c>
      <c r="E496" s="320">
        <f t="shared" si="15"/>
        <v>2.7961373874394398E-2</v>
      </c>
      <c r="F496" s="130"/>
      <c r="G496" s="130"/>
    </row>
    <row r="497" spans="1:7" ht="14.25" customHeight="1" x14ac:dyDescent="0.3">
      <c r="A497" s="319" t="s">
        <v>1006</v>
      </c>
      <c r="B497" s="320">
        <v>17464.75</v>
      </c>
      <c r="C497" s="320">
        <v>901.89001464843795</v>
      </c>
      <c r="D497" s="320">
        <f t="shared" si="14"/>
        <v>-1.9144771620019101E-3</v>
      </c>
      <c r="E497" s="320">
        <f t="shared" si="15"/>
        <v>-2.3791205023345301E-2</v>
      </c>
      <c r="F497" s="130"/>
      <c r="G497" s="130"/>
    </row>
    <row r="498" spans="1:7" ht="14.25" customHeight="1" x14ac:dyDescent="0.3">
      <c r="A498" s="319" t="s">
        <v>1007</v>
      </c>
      <c r="B498" s="320">
        <v>17670.44921875</v>
      </c>
      <c r="C498" s="320">
        <v>919.75</v>
      </c>
      <c r="D498" s="320">
        <f t="shared" si="14"/>
        <v>1.17779652585923E-2</v>
      </c>
      <c r="E498" s="320">
        <f t="shared" si="15"/>
        <v>1.98028418781463E-2</v>
      </c>
      <c r="F498" s="130"/>
      <c r="G498" s="130"/>
    </row>
    <row r="499" spans="1:7" ht="14.25" customHeight="1" x14ac:dyDescent="0.3">
      <c r="A499" s="319" t="s">
        <v>1008</v>
      </c>
      <c r="B499" s="320">
        <v>18053.400390625</v>
      </c>
      <c r="C499" s="320">
        <v>937.030029296875</v>
      </c>
      <c r="D499" s="320">
        <f t="shared" si="14"/>
        <v>2.1671841339984298E-2</v>
      </c>
      <c r="E499" s="320">
        <f t="shared" si="15"/>
        <v>1.8787745905816802E-2</v>
      </c>
      <c r="F499" s="130"/>
      <c r="G499" s="130"/>
    </row>
    <row r="500" spans="1:7" ht="14.25" customHeight="1" x14ac:dyDescent="0.3">
      <c r="A500" s="319" t="s">
        <v>1009</v>
      </c>
      <c r="B500" s="320">
        <v>17957.400390625</v>
      </c>
      <c r="C500" s="320">
        <v>949.10998535156295</v>
      </c>
      <c r="D500" s="320">
        <f t="shared" si="14"/>
        <v>-5.3175577964720798E-3</v>
      </c>
      <c r="E500" s="320">
        <f t="shared" si="15"/>
        <v>1.2891749119024999E-2</v>
      </c>
      <c r="F500" s="130"/>
      <c r="G500" s="130"/>
    </row>
    <row r="501" spans="1:7" ht="14.25" customHeight="1" x14ac:dyDescent="0.3">
      <c r="A501" s="319" t="s">
        <v>1010</v>
      </c>
      <c r="B501" s="320">
        <v>17807.650390625</v>
      </c>
      <c r="C501" s="320">
        <v>945.77001953125</v>
      </c>
      <c r="D501" s="320">
        <f t="shared" si="14"/>
        <v>-8.3391803235717699E-3</v>
      </c>
      <c r="E501" s="320">
        <f t="shared" si="15"/>
        <v>-3.5190503438606098E-3</v>
      </c>
      <c r="F501" s="130"/>
      <c r="G501" s="130"/>
    </row>
    <row r="502" spans="1:7" ht="14.25" customHeight="1" x14ac:dyDescent="0.3">
      <c r="A502" s="319" t="s">
        <v>1011</v>
      </c>
      <c r="B502" s="320">
        <v>17639.55078125</v>
      </c>
      <c r="C502" s="320">
        <v>963.60998535156295</v>
      </c>
      <c r="D502" s="320">
        <f t="shared" si="14"/>
        <v>-9.4397411049521492E-3</v>
      </c>
      <c r="E502" s="320">
        <f t="shared" si="15"/>
        <v>1.88629005486502E-2</v>
      </c>
      <c r="F502" s="130"/>
      <c r="G502" s="130"/>
    </row>
    <row r="503" spans="1:7" ht="14.25" customHeight="1" x14ac:dyDescent="0.3">
      <c r="A503" s="319" t="s">
        <v>1012</v>
      </c>
      <c r="B503" s="320">
        <v>17784.349609375</v>
      </c>
      <c r="C503" s="320">
        <v>970.030029296875</v>
      </c>
      <c r="D503" s="320">
        <f t="shared" si="14"/>
        <v>8.2087593907954996E-3</v>
      </c>
      <c r="E503" s="320">
        <f t="shared" si="15"/>
        <v>6.6624921315751604E-3</v>
      </c>
      <c r="F503" s="130"/>
      <c r="G503" s="130"/>
    </row>
    <row r="504" spans="1:7" ht="14.25" customHeight="1" x14ac:dyDescent="0.3">
      <c r="A504" s="319" t="s">
        <v>1013</v>
      </c>
      <c r="B504" s="320">
        <v>17674.94921875</v>
      </c>
      <c r="C504" s="320">
        <v>976.61999511718795</v>
      </c>
      <c r="D504" s="320">
        <f t="shared" si="14"/>
        <v>-6.1514979759130298E-3</v>
      </c>
      <c r="E504" s="320">
        <f t="shared" si="15"/>
        <v>6.7935688806352503E-3</v>
      </c>
      <c r="F504" s="130"/>
      <c r="G504" s="130"/>
    </row>
    <row r="505" spans="1:7" ht="14.25" customHeight="1" x14ac:dyDescent="0.3">
      <c r="A505" s="319" t="s">
        <v>1014</v>
      </c>
      <c r="B505" s="320">
        <v>17530.30078125</v>
      </c>
      <c r="C505" s="320">
        <v>957.38000488281295</v>
      </c>
      <c r="D505" s="320">
        <f t="shared" si="14"/>
        <v>-8.1838106412522801E-3</v>
      </c>
      <c r="E505" s="320">
        <f t="shared" si="15"/>
        <v>-1.9700590127756198E-2</v>
      </c>
      <c r="F505" s="130"/>
      <c r="G505" s="130"/>
    </row>
    <row r="506" spans="1:7" ht="14.25" customHeight="1" x14ac:dyDescent="0.3">
      <c r="A506" s="319" t="s">
        <v>1015</v>
      </c>
      <c r="B506" s="320">
        <v>17475.650390625</v>
      </c>
      <c r="C506" s="320">
        <v>950.77001953125</v>
      </c>
      <c r="D506" s="320">
        <f t="shared" si="14"/>
        <v>-3.1174816283502001E-3</v>
      </c>
      <c r="E506" s="320">
        <f t="shared" si="15"/>
        <v>-6.9042442059065604E-3</v>
      </c>
      <c r="F506" s="130"/>
      <c r="G506" s="130"/>
    </row>
    <row r="507" spans="1:7" ht="14.25" customHeight="1" x14ac:dyDescent="0.3">
      <c r="A507" s="319" t="s">
        <v>1016</v>
      </c>
      <c r="B507" s="320">
        <v>17173.650390625</v>
      </c>
      <c r="C507" s="320">
        <v>933.30999755859398</v>
      </c>
      <c r="D507" s="320">
        <f t="shared" si="14"/>
        <v>-1.7281188010147601E-2</v>
      </c>
      <c r="E507" s="320">
        <f t="shared" si="15"/>
        <v>-1.83640855453816E-2</v>
      </c>
      <c r="F507" s="130"/>
      <c r="G507" s="130"/>
    </row>
    <row r="508" spans="1:7" ht="14.25" customHeight="1" x14ac:dyDescent="0.3">
      <c r="A508" s="319" t="s">
        <v>1017</v>
      </c>
      <c r="B508" s="320">
        <v>16958.650390625</v>
      </c>
      <c r="C508" s="320">
        <v>922.39001464843795</v>
      </c>
      <c r="D508" s="320">
        <f t="shared" si="14"/>
        <v>-1.2519178806467799E-2</v>
      </c>
      <c r="E508" s="320">
        <f t="shared" si="15"/>
        <v>-1.1700274226914E-2</v>
      </c>
      <c r="F508" s="130"/>
      <c r="G508" s="130"/>
    </row>
    <row r="509" spans="1:7" ht="14.25" customHeight="1" x14ac:dyDescent="0.3">
      <c r="A509" s="319" t="s">
        <v>1018</v>
      </c>
      <c r="B509" s="320">
        <v>17136.55078125</v>
      </c>
      <c r="C509" s="320">
        <v>928.60998535156295</v>
      </c>
      <c r="D509" s="320">
        <f t="shared" si="14"/>
        <v>1.0490244596547999E-2</v>
      </c>
      <c r="E509" s="320">
        <f t="shared" si="15"/>
        <v>6.7433196417414597E-3</v>
      </c>
      <c r="F509" s="130"/>
      <c r="G509" s="130"/>
    </row>
    <row r="510" spans="1:7" ht="14.25" customHeight="1" x14ac:dyDescent="0.3">
      <c r="A510" s="319" t="s">
        <v>1019</v>
      </c>
      <c r="B510" s="320">
        <v>17392.599609375</v>
      </c>
      <c r="C510" s="320">
        <v>926.40997314453102</v>
      </c>
      <c r="D510" s="320">
        <f t="shared" si="14"/>
        <v>1.4941678252146101E-2</v>
      </c>
      <c r="E510" s="320">
        <f t="shared" si="15"/>
        <v>-2.3691455419780202E-3</v>
      </c>
      <c r="F510" s="130"/>
      <c r="G510" s="130"/>
    </row>
    <row r="511" spans="1:7" ht="14.25" customHeight="1" x14ac:dyDescent="0.3">
      <c r="A511" s="319" t="s">
        <v>1020</v>
      </c>
      <c r="B511" s="320">
        <v>17171.94921875</v>
      </c>
      <c r="C511" s="320">
        <v>931.21002197265602</v>
      </c>
      <c r="D511" s="320">
        <f t="shared" si="14"/>
        <v>-1.2686452605168E-2</v>
      </c>
      <c r="E511" s="320">
        <f t="shared" si="15"/>
        <v>5.1813440779702596E-3</v>
      </c>
      <c r="F511" s="130"/>
      <c r="G511" s="130"/>
    </row>
    <row r="512" spans="1:7" ht="14.25" customHeight="1" x14ac:dyDescent="0.3">
      <c r="A512" s="319" t="s">
        <v>1021</v>
      </c>
      <c r="B512" s="320">
        <v>16953.94921875</v>
      </c>
      <c r="C512" s="320">
        <v>900.489990234375</v>
      </c>
      <c r="D512" s="320">
        <f t="shared" si="14"/>
        <v>-1.26951225643019E-2</v>
      </c>
      <c r="E512" s="320">
        <f t="shared" si="15"/>
        <v>-3.2989369759148797E-2</v>
      </c>
      <c r="F512" s="130"/>
      <c r="G512" s="130"/>
    </row>
    <row r="513" spans="1:7" ht="14.25" customHeight="1" x14ac:dyDescent="0.3">
      <c r="A513" s="319" t="s">
        <v>1022</v>
      </c>
      <c r="B513" s="320">
        <v>17200.80078125</v>
      </c>
      <c r="C513" s="320">
        <v>907.82000732421898</v>
      </c>
      <c r="D513" s="320">
        <f t="shared" si="14"/>
        <v>1.45601216162071E-2</v>
      </c>
      <c r="E513" s="320">
        <f t="shared" si="15"/>
        <v>8.1400317264339103E-3</v>
      </c>
      <c r="F513" s="130"/>
      <c r="G513" s="130"/>
    </row>
    <row r="514" spans="1:7" ht="14.25" customHeight="1" x14ac:dyDescent="0.3">
      <c r="A514" s="319" t="s">
        <v>1023</v>
      </c>
      <c r="B514" s="320">
        <v>17038.400390625</v>
      </c>
      <c r="C514" s="320">
        <v>896.08001708984398</v>
      </c>
      <c r="D514" s="320">
        <f t="shared" si="14"/>
        <v>-9.4414436101153496E-3</v>
      </c>
      <c r="E514" s="320">
        <f t="shared" si="15"/>
        <v>-1.2932068184945999E-2</v>
      </c>
      <c r="F514" s="130"/>
      <c r="G514" s="130"/>
    </row>
    <row r="515" spans="1:7" ht="14.25" customHeight="1" x14ac:dyDescent="0.3">
      <c r="A515" s="319" t="s">
        <v>1024</v>
      </c>
      <c r="B515" s="320">
        <v>17245.05078125</v>
      </c>
      <c r="C515" s="320">
        <v>932.65002441406295</v>
      </c>
      <c r="D515" s="320">
        <f t="shared" ref="D515:D578" si="16">(B515-B514)/B514</f>
        <v>1.2128508890934701E-2</v>
      </c>
      <c r="E515" s="320">
        <f t="shared" ref="E515:E578" si="17">(C515-C514)/C514</f>
        <v>4.0811095690969197E-2</v>
      </c>
      <c r="F515" s="130"/>
      <c r="G515" s="130"/>
    </row>
    <row r="516" spans="1:7" ht="14.25" customHeight="1" x14ac:dyDescent="0.3">
      <c r="A516" s="319" t="s">
        <v>1025</v>
      </c>
      <c r="B516" s="320">
        <v>17102.55078125</v>
      </c>
      <c r="C516" s="320">
        <v>930.25</v>
      </c>
      <c r="D516" s="320">
        <f t="shared" si="16"/>
        <v>-8.2632403816946601E-3</v>
      </c>
      <c r="E516" s="320">
        <f t="shared" si="17"/>
        <v>-2.5733387135981399E-3</v>
      </c>
      <c r="F516" s="130"/>
      <c r="G516" s="130"/>
    </row>
    <row r="517" spans="1:7" ht="14.25" customHeight="1" x14ac:dyDescent="0.3">
      <c r="A517" s="319" t="s">
        <v>1026</v>
      </c>
      <c r="B517" s="320">
        <v>17069.099609375</v>
      </c>
      <c r="C517" s="320">
        <v>906.010009765625</v>
      </c>
      <c r="D517" s="320">
        <f t="shared" si="16"/>
        <v>-1.9559171203674202E-3</v>
      </c>
      <c r="E517" s="320">
        <f t="shared" si="17"/>
        <v>-2.6057500923810799E-2</v>
      </c>
      <c r="F517" s="130"/>
      <c r="G517" s="130"/>
    </row>
    <row r="518" spans="1:7" ht="14.25" customHeight="1" x14ac:dyDescent="0.3">
      <c r="A518" s="319" t="s">
        <v>1027</v>
      </c>
      <c r="B518" s="320">
        <v>16677.599609375</v>
      </c>
      <c r="C518" s="320">
        <v>845.08001708984398</v>
      </c>
      <c r="D518" s="320">
        <f t="shared" si="16"/>
        <v>-2.29361834519363E-2</v>
      </c>
      <c r="E518" s="320">
        <f t="shared" si="17"/>
        <v>-6.7250904536411193E-2</v>
      </c>
      <c r="F518" s="130"/>
      <c r="G518" s="130"/>
    </row>
    <row r="519" spans="1:7" ht="14.25" customHeight="1" x14ac:dyDescent="0.3">
      <c r="A519" s="319" t="s">
        <v>1028</v>
      </c>
      <c r="B519" s="320">
        <v>16682.650390625</v>
      </c>
      <c r="C519" s="320">
        <v>825.58001708984398</v>
      </c>
      <c r="D519" s="320">
        <f t="shared" si="16"/>
        <v>3.0284821366983799E-4</v>
      </c>
      <c r="E519" s="320">
        <f t="shared" si="17"/>
        <v>-2.3074738019662401E-2</v>
      </c>
      <c r="F519" s="130"/>
      <c r="G519" s="130"/>
    </row>
    <row r="520" spans="1:7" ht="14.25" customHeight="1" x14ac:dyDescent="0.3">
      <c r="A520" s="319" t="s">
        <v>1029</v>
      </c>
      <c r="B520" s="320">
        <v>16411.25</v>
      </c>
      <c r="C520" s="320">
        <v>779.60998535156295</v>
      </c>
      <c r="D520" s="320">
        <f t="shared" si="16"/>
        <v>-1.6268421639856201E-2</v>
      </c>
      <c r="E520" s="320">
        <f t="shared" si="17"/>
        <v>-5.5682103232494201E-2</v>
      </c>
      <c r="F520" s="130"/>
      <c r="G520" s="130"/>
    </row>
    <row r="521" spans="1:7" ht="14.25" customHeight="1" x14ac:dyDescent="0.3">
      <c r="A521" s="319" t="s">
        <v>1030</v>
      </c>
      <c r="B521" s="320">
        <v>16301.849609375</v>
      </c>
      <c r="C521" s="320">
        <v>764.14001464843795</v>
      </c>
      <c r="D521" s="320">
        <f t="shared" si="16"/>
        <v>-6.6661826871810496E-3</v>
      </c>
      <c r="E521" s="320">
        <f t="shared" si="17"/>
        <v>-1.98432177547711E-2</v>
      </c>
      <c r="F521" s="130"/>
      <c r="G521" s="130"/>
    </row>
    <row r="522" spans="1:7" ht="14.25" customHeight="1" x14ac:dyDescent="0.3">
      <c r="A522" s="319" t="s">
        <v>1031</v>
      </c>
      <c r="B522" s="320">
        <v>16240.0498046875</v>
      </c>
      <c r="C522" s="320">
        <v>740.80999755859398</v>
      </c>
      <c r="D522" s="320">
        <f t="shared" si="16"/>
        <v>-3.7909688880922898E-3</v>
      </c>
      <c r="E522" s="320">
        <f t="shared" si="17"/>
        <v>-3.0531076298337199E-2</v>
      </c>
      <c r="F522" s="130"/>
      <c r="G522" s="130"/>
    </row>
    <row r="523" spans="1:7" ht="14.25" customHeight="1" x14ac:dyDescent="0.3">
      <c r="A523" s="319" t="s">
        <v>1032</v>
      </c>
      <c r="B523" s="320">
        <v>16167.099609375</v>
      </c>
      <c r="C523" s="320">
        <v>734.03997802734398</v>
      </c>
      <c r="D523" s="320">
        <f t="shared" si="16"/>
        <v>-4.4919933245182401E-3</v>
      </c>
      <c r="E523" s="320">
        <f t="shared" si="17"/>
        <v>-9.1386719314820401E-3</v>
      </c>
      <c r="F523" s="130"/>
      <c r="G523" s="130"/>
    </row>
    <row r="524" spans="1:7" ht="14.25" customHeight="1" x14ac:dyDescent="0.3">
      <c r="A524" s="319" t="s">
        <v>1033</v>
      </c>
      <c r="B524" s="320">
        <v>15808</v>
      </c>
      <c r="C524" s="320">
        <v>707.90002441406295</v>
      </c>
      <c r="D524" s="320">
        <f t="shared" si="16"/>
        <v>-2.22117521417858E-2</v>
      </c>
      <c r="E524" s="320">
        <f t="shared" si="17"/>
        <v>-3.5611076229838903E-2</v>
      </c>
      <c r="F524" s="130"/>
      <c r="G524" s="130"/>
    </row>
    <row r="525" spans="1:7" ht="14.25" customHeight="1" x14ac:dyDescent="0.3">
      <c r="A525" s="319" t="s">
        <v>1034</v>
      </c>
      <c r="B525" s="320">
        <v>15782.150390625</v>
      </c>
      <c r="C525" s="320">
        <v>693.09997558593795</v>
      </c>
      <c r="D525" s="320">
        <f t="shared" si="16"/>
        <v>-1.6352232651189299E-3</v>
      </c>
      <c r="E525" s="320">
        <f t="shared" si="17"/>
        <v>-2.09069760103133E-2</v>
      </c>
      <c r="F525" s="130"/>
      <c r="G525" s="130"/>
    </row>
    <row r="526" spans="1:7" ht="14.25" customHeight="1" x14ac:dyDescent="0.3">
      <c r="A526" s="319" t="s">
        <v>1035</v>
      </c>
      <c r="B526" s="320">
        <v>15842.2998046875</v>
      </c>
      <c r="C526" s="320">
        <v>709.44000244140602</v>
      </c>
      <c r="D526" s="320">
        <f t="shared" si="16"/>
        <v>3.8112305721171099E-3</v>
      </c>
      <c r="E526" s="320">
        <f t="shared" si="17"/>
        <v>2.35752812451832E-2</v>
      </c>
      <c r="F526" s="130"/>
      <c r="G526" s="130"/>
    </row>
    <row r="527" spans="1:7" ht="14.25" customHeight="1" x14ac:dyDescent="0.3">
      <c r="A527" s="319" t="s">
        <v>1036</v>
      </c>
      <c r="B527" s="320">
        <v>16259.2998046875</v>
      </c>
      <c r="C527" s="320">
        <v>728.25</v>
      </c>
      <c r="D527" s="320">
        <f t="shared" si="16"/>
        <v>2.6321935902047199E-2</v>
      </c>
      <c r="E527" s="320">
        <f t="shared" si="17"/>
        <v>2.65138665621657E-2</v>
      </c>
      <c r="F527" s="130"/>
      <c r="G527" s="130"/>
    </row>
    <row r="528" spans="1:7" ht="14.25" customHeight="1" x14ac:dyDescent="0.3">
      <c r="A528" s="319" t="s">
        <v>1037</v>
      </c>
      <c r="B528" s="320">
        <v>16240.2998046875</v>
      </c>
      <c r="C528" s="320">
        <v>720.80999755859398</v>
      </c>
      <c r="D528" s="320">
        <f t="shared" si="16"/>
        <v>-1.16856200625087E-3</v>
      </c>
      <c r="E528" s="320">
        <f t="shared" si="17"/>
        <v>-1.0216275237083501E-2</v>
      </c>
      <c r="F528" s="130"/>
      <c r="G528" s="130"/>
    </row>
    <row r="529" spans="1:7" ht="14.25" customHeight="1" x14ac:dyDescent="0.3">
      <c r="A529" s="319" t="s">
        <v>1038</v>
      </c>
      <c r="B529" s="320">
        <v>15809.400390625</v>
      </c>
      <c r="C529" s="320">
        <v>680.40997314453102</v>
      </c>
      <c r="D529" s="320">
        <f t="shared" si="16"/>
        <v>-2.6532725334179399E-2</v>
      </c>
      <c r="E529" s="320">
        <f t="shared" si="17"/>
        <v>-5.6048091107086598E-2</v>
      </c>
      <c r="F529" s="130"/>
      <c r="G529" s="130"/>
    </row>
    <row r="530" spans="1:7" ht="14.25" customHeight="1" x14ac:dyDescent="0.3">
      <c r="A530" s="319" t="s">
        <v>1039</v>
      </c>
      <c r="B530" s="320">
        <v>16266.150390625</v>
      </c>
      <c r="C530" s="320">
        <v>697.97998046875</v>
      </c>
      <c r="D530" s="320">
        <f t="shared" si="16"/>
        <v>2.8891038794289298E-2</v>
      </c>
      <c r="E530" s="320">
        <f t="shared" si="17"/>
        <v>2.5822677529282499E-2</v>
      </c>
      <c r="F530" s="130"/>
      <c r="G530" s="130"/>
    </row>
    <row r="531" spans="1:7" ht="14.25" customHeight="1" x14ac:dyDescent="0.3">
      <c r="A531" s="319" t="s">
        <v>1040</v>
      </c>
      <c r="B531" s="320">
        <v>16214.7001953125</v>
      </c>
      <c r="C531" s="320">
        <v>704.08001708984398</v>
      </c>
      <c r="D531" s="320">
        <f t="shared" si="16"/>
        <v>-3.1630222318707502E-3</v>
      </c>
      <c r="E531" s="320">
        <f t="shared" si="17"/>
        <v>8.7395581417640499E-3</v>
      </c>
      <c r="F531" s="130"/>
      <c r="G531" s="130"/>
    </row>
    <row r="532" spans="1:7" ht="14.25" customHeight="1" x14ac:dyDescent="0.3">
      <c r="A532" s="319" t="s">
        <v>1041</v>
      </c>
      <c r="B532" s="320">
        <v>16125.150390625</v>
      </c>
      <c r="C532" s="320">
        <v>700.489990234375</v>
      </c>
      <c r="D532" s="320">
        <f t="shared" si="16"/>
        <v>-5.5227542667355602E-3</v>
      </c>
      <c r="E532" s="320">
        <f t="shared" si="17"/>
        <v>-5.0988904220113304E-3</v>
      </c>
      <c r="F532" s="130"/>
      <c r="G532" s="130"/>
    </row>
    <row r="533" spans="1:7" ht="14.25" customHeight="1" x14ac:dyDescent="0.3">
      <c r="A533" s="319" t="s">
        <v>1042</v>
      </c>
      <c r="B533" s="320">
        <v>16025.7998046875</v>
      </c>
      <c r="C533" s="320">
        <v>675.04998779296898</v>
      </c>
      <c r="D533" s="320">
        <f t="shared" si="16"/>
        <v>-6.1612191843656502E-3</v>
      </c>
      <c r="E533" s="320">
        <f t="shared" si="17"/>
        <v>-3.6317438929989697E-2</v>
      </c>
      <c r="F533" s="130"/>
      <c r="G533" s="130"/>
    </row>
    <row r="534" spans="1:7" ht="14.25" customHeight="1" x14ac:dyDescent="0.3">
      <c r="A534" s="319" t="s">
        <v>1043</v>
      </c>
      <c r="B534" s="320">
        <v>16170.150390625</v>
      </c>
      <c r="C534" s="320">
        <v>709.94000244140602</v>
      </c>
      <c r="D534" s="320">
        <f t="shared" si="16"/>
        <v>9.0073873189953305E-3</v>
      </c>
      <c r="E534" s="320">
        <f t="shared" si="17"/>
        <v>5.1685083000308801E-2</v>
      </c>
      <c r="F534" s="130"/>
      <c r="G534" s="130"/>
    </row>
    <row r="535" spans="1:7" ht="14.25" customHeight="1" x14ac:dyDescent="0.3">
      <c r="A535" s="319" t="s">
        <v>1044</v>
      </c>
      <c r="B535" s="320">
        <v>16352.4501953125</v>
      </c>
      <c r="C535" s="320">
        <v>738.65997314453102</v>
      </c>
      <c r="D535" s="320">
        <f t="shared" si="16"/>
        <v>1.1273847198922301E-2</v>
      </c>
      <c r="E535" s="320">
        <f t="shared" si="17"/>
        <v>4.0454081477815297E-2</v>
      </c>
      <c r="F535" s="130"/>
      <c r="G535" s="130"/>
    </row>
    <row r="536" spans="1:7" ht="14.25" customHeight="1" x14ac:dyDescent="0.3">
      <c r="A536" s="319" t="s">
        <v>1045</v>
      </c>
      <c r="B536" s="320">
        <v>16661.400390625</v>
      </c>
      <c r="C536" s="320">
        <v>761.030029296875</v>
      </c>
      <c r="D536" s="320">
        <f t="shared" si="16"/>
        <v>1.8893205092962901E-2</v>
      </c>
      <c r="E536" s="320">
        <f t="shared" si="17"/>
        <v>3.0284646475580601E-2</v>
      </c>
      <c r="F536" s="130"/>
      <c r="G536" s="130"/>
    </row>
    <row r="537" spans="1:7" ht="14.25" customHeight="1" x14ac:dyDescent="0.3">
      <c r="A537" s="319" t="s">
        <v>1046</v>
      </c>
      <c r="B537" s="320">
        <v>16584.55078125</v>
      </c>
      <c r="C537" s="320">
        <v>832.88000488281295</v>
      </c>
      <c r="D537" s="320">
        <f t="shared" si="16"/>
        <v>-4.6124339835348803E-3</v>
      </c>
      <c r="E537" s="320">
        <f t="shared" si="17"/>
        <v>9.4411485513023793E-2</v>
      </c>
      <c r="F537" s="130"/>
      <c r="G537" s="130"/>
    </row>
    <row r="538" spans="1:7" ht="14.25" customHeight="1" x14ac:dyDescent="0.3">
      <c r="A538" s="319" t="s">
        <v>1047</v>
      </c>
      <c r="B538" s="320">
        <v>16522.75</v>
      </c>
      <c r="C538" s="320">
        <v>816.05999755859398</v>
      </c>
      <c r="D538" s="320">
        <f t="shared" si="16"/>
        <v>-3.7264067061659701E-3</v>
      </c>
      <c r="E538" s="320">
        <f t="shared" si="17"/>
        <v>-2.0194994747875599E-2</v>
      </c>
      <c r="F538" s="130"/>
      <c r="G538" s="130"/>
    </row>
    <row r="539" spans="1:7" ht="14.25" customHeight="1" x14ac:dyDescent="0.3">
      <c r="A539" s="319" t="s">
        <v>1048</v>
      </c>
      <c r="B539" s="320">
        <v>16628</v>
      </c>
      <c r="C539" s="320">
        <v>784.60998535156295</v>
      </c>
      <c r="D539" s="320">
        <f t="shared" si="16"/>
        <v>6.3700049931155502E-3</v>
      </c>
      <c r="E539" s="320">
        <f t="shared" si="17"/>
        <v>-3.8538848002744902E-2</v>
      </c>
      <c r="F539" s="130"/>
      <c r="G539" s="130"/>
    </row>
    <row r="540" spans="1:7" ht="14.25" customHeight="1" x14ac:dyDescent="0.3">
      <c r="A540" s="319" t="s">
        <v>1049</v>
      </c>
      <c r="B540" s="320">
        <v>16584.30078125</v>
      </c>
      <c r="C540" s="320">
        <v>765.84002685546898</v>
      </c>
      <c r="D540" s="320">
        <f t="shared" si="16"/>
        <v>-2.6280502014673999E-3</v>
      </c>
      <c r="E540" s="320">
        <f t="shared" si="17"/>
        <v>-2.3922660744221402E-2</v>
      </c>
      <c r="F540" s="130"/>
      <c r="G540" s="130"/>
    </row>
    <row r="541" spans="1:7" ht="14.25" customHeight="1" x14ac:dyDescent="0.3">
      <c r="A541" s="319" t="s">
        <v>1050</v>
      </c>
      <c r="B541" s="320">
        <v>16569.55078125</v>
      </c>
      <c r="C541" s="320">
        <v>742.36999511718795</v>
      </c>
      <c r="D541" s="320">
        <f t="shared" si="16"/>
        <v>-8.8939535012993499E-4</v>
      </c>
      <c r="E541" s="320">
        <f t="shared" si="17"/>
        <v>-3.0646128323494299E-2</v>
      </c>
      <c r="F541" s="130"/>
      <c r="G541" s="130"/>
    </row>
    <row r="542" spans="1:7" ht="14.25" customHeight="1" x14ac:dyDescent="0.3">
      <c r="A542" s="319" t="s">
        <v>1051</v>
      </c>
      <c r="B542" s="320">
        <v>16416.349609375</v>
      </c>
      <c r="C542" s="320">
        <v>724.55999755859398</v>
      </c>
      <c r="D542" s="320">
        <f t="shared" si="16"/>
        <v>-9.2459460064760208E-3</v>
      </c>
      <c r="E542" s="320">
        <f t="shared" si="17"/>
        <v>-2.3990729253251301E-2</v>
      </c>
      <c r="F542" s="130"/>
      <c r="G542" s="130"/>
    </row>
    <row r="543" spans="1:7" ht="14.25" customHeight="1" x14ac:dyDescent="0.3">
      <c r="A543" s="319" t="s">
        <v>1052</v>
      </c>
      <c r="B543" s="320">
        <v>16356.25</v>
      </c>
      <c r="C543" s="320">
        <v>739.45001220703102</v>
      </c>
      <c r="D543" s="320">
        <f t="shared" si="16"/>
        <v>-3.6609606157923498E-3</v>
      </c>
      <c r="E543" s="320">
        <f t="shared" si="17"/>
        <v>2.0550423289457002E-2</v>
      </c>
      <c r="F543" s="130"/>
      <c r="G543" s="130"/>
    </row>
    <row r="544" spans="1:7" ht="14.25" customHeight="1" x14ac:dyDescent="0.3">
      <c r="A544" s="319" t="s">
        <v>1053</v>
      </c>
      <c r="B544" s="320">
        <v>16478.099609375</v>
      </c>
      <c r="C544" s="320">
        <v>756.13000488281295</v>
      </c>
      <c r="D544" s="320">
        <f t="shared" si="16"/>
        <v>7.44972774168896E-3</v>
      </c>
      <c r="E544" s="320">
        <f t="shared" si="17"/>
        <v>2.2557295828554098E-2</v>
      </c>
      <c r="F544" s="130"/>
      <c r="G544" s="130"/>
    </row>
    <row r="545" spans="1:7" ht="14.25" customHeight="1" x14ac:dyDescent="0.3">
      <c r="A545" s="319" t="s">
        <v>1054</v>
      </c>
      <c r="B545" s="320">
        <v>16201.7998046875</v>
      </c>
      <c r="C545" s="320">
        <v>736.17999267578102</v>
      </c>
      <c r="D545" s="320">
        <f t="shared" si="16"/>
        <v>-1.6767698414100099E-2</v>
      </c>
      <c r="E545" s="320">
        <f t="shared" si="17"/>
        <v>-2.6384367870871402E-2</v>
      </c>
      <c r="F545" s="130"/>
      <c r="G545" s="130"/>
    </row>
    <row r="546" spans="1:7" ht="14.25" customHeight="1" x14ac:dyDescent="0.3">
      <c r="A546" s="319" t="s">
        <v>1055</v>
      </c>
      <c r="B546" s="320">
        <v>15774.400390625</v>
      </c>
      <c r="C546" s="320">
        <v>722.80999755859398</v>
      </c>
      <c r="D546" s="320">
        <f t="shared" si="16"/>
        <v>-2.63797491152091E-2</v>
      </c>
      <c r="E546" s="320">
        <f t="shared" si="17"/>
        <v>-1.8161312790627899E-2</v>
      </c>
      <c r="F546" s="130"/>
      <c r="G546" s="130"/>
    </row>
    <row r="547" spans="1:7" ht="14.25" customHeight="1" x14ac:dyDescent="0.3">
      <c r="A547" s="319" t="s">
        <v>1056</v>
      </c>
      <c r="B547" s="320">
        <v>15732.099609375</v>
      </c>
      <c r="C547" s="320">
        <v>721.52001953125</v>
      </c>
      <c r="D547" s="320">
        <f t="shared" si="16"/>
        <v>-2.6816094559854102E-3</v>
      </c>
      <c r="E547" s="320">
        <f t="shared" si="17"/>
        <v>-1.7846709808955099E-3</v>
      </c>
      <c r="F547" s="130"/>
      <c r="G547" s="130"/>
    </row>
    <row r="548" spans="1:7" ht="14.25" customHeight="1" x14ac:dyDescent="0.3">
      <c r="A548" s="319" t="s">
        <v>1057</v>
      </c>
      <c r="B548" s="320">
        <v>15692.150390625</v>
      </c>
      <c r="C548" s="320">
        <v>728.75</v>
      </c>
      <c r="D548" s="320">
        <f t="shared" si="16"/>
        <v>-2.5393443813560399E-3</v>
      </c>
      <c r="E548" s="320">
        <f t="shared" si="17"/>
        <v>1.0020484911073E-2</v>
      </c>
      <c r="F548" s="130"/>
      <c r="G548" s="130"/>
    </row>
    <row r="549" spans="1:7" ht="14.25" customHeight="1" x14ac:dyDescent="0.3">
      <c r="A549" s="319" t="s">
        <v>1058</v>
      </c>
      <c r="B549" s="320">
        <v>15360.599609375</v>
      </c>
      <c r="C549" s="320">
        <v>722.25</v>
      </c>
      <c r="D549" s="320">
        <f t="shared" si="16"/>
        <v>-2.1128447854290199E-2</v>
      </c>
      <c r="E549" s="320">
        <f t="shared" si="17"/>
        <v>-8.9193825042881703E-3</v>
      </c>
      <c r="F549" s="130"/>
      <c r="G549" s="130"/>
    </row>
    <row r="550" spans="1:7" ht="14.25" customHeight="1" x14ac:dyDescent="0.3">
      <c r="A550" s="319" t="s">
        <v>1059</v>
      </c>
      <c r="B550" s="320">
        <v>15293.5</v>
      </c>
      <c r="C550" s="320">
        <v>719.65002441406295</v>
      </c>
      <c r="D550" s="320">
        <f t="shared" si="16"/>
        <v>-4.3682936266398898E-3</v>
      </c>
      <c r="E550" s="320">
        <f t="shared" si="17"/>
        <v>-3.5998277409997198E-3</v>
      </c>
      <c r="F550" s="130"/>
      <c r="G550" s="130"/>
    </row>
    <row r="551" spans="1:7" ht="14.25" customHeight="1" x14ac:dyDescent="0.3">
      <c r="A551" s="319" t="s">
        <v>1060</v>
      </c>
      <c r="B551" s="320">
        <v>15350.150390625</v>
      </c>
      <c r="C551" s="320">
        <v>719.14001464843795</v>
      </c>
      <c r="D551" s="320">
        <f t="shared" si="16"/>
        <v>3.7042135956452098E-3</v>
      </c>
      <c r="E551" s="320">
        <f t="shared" si="17"/>
        <v>-7.0869137542272503E-4</v>
      </c>
      <c r="F551" s="130"/>
      <c r="G551" s="130"/>
    </row>
    <row r="552" spans="1:7" ht="14.25" customHeight="1" x14ac:dyDescent="0.3">
      <c r="A552" s="319" t="s">
        <v>1061</v>
      </c>
      <c r="B552" s="320">
        <v>15638.7998046875</v>
      </c>
      <c r="C552" s="320">
        <v>735</v>
      </c>
      <c r="D552" s="320">
        <f t="shared" si="16"/>
        <v>1.88043378544871E-2</v>
      </c>
      <c r="E552" s="320">
        <f t="shared" si="17"/>
        <v>2.2054099380515502E-2</v>
      </c>
      <c r="F552" s="130"/>
      <c r="G552" s="130"/>
    </row>
    <row r="553" spans="1:7" ht="14.25" customHeight="1" x14ac:dyDescent="0.3">
      <c r="A553" s="319" t="s">
        <v>1062</v>
      </c>
      <c r="B553" s="320">
        <v>15413.2998046875</v>
      </c>
      <c r="C553" s="320">
        <v>729.33001708984398</v>
      </c>
      <c r="D553" s="320">
        <f t="shared" si="16"/>
        <v>-1.44192650853175E-2</v>
      </c>
      <c r="E553" s="320">
        <f t="shared" si="17"/>
        <v>-7.7142624627973104E-3</v>
      </c>
      <c r="F553" s="130"/>
      <c r="G553" s="130"/>
    </row>
    <row r="554" spans="1:7" ht="14.25" customHeight="1" x14ac:dyDescent="0.3">
      <c r="A554" s="319" t="s">
        <v>1063</v>
      </c>
      <c r="B554" s="320">
        <v>15556.650390625</v>
      </c>
      <c r="C554" s="320">
        <v>751.36999511718795</v>
      </c>
      <c r="D554" s="320">
        <f t="shared" si="16"/>
        <v>9.3004475196092808E-3</v>
      </c>
      <c r="E554" s="320">
        <f t="shared" si="17"/>
        <v>3.02194857072898E-2</v>
      </c>
      <c r="F554" s="130"/>
      <c r="G554" s="130"/>
    </row>
    <row r="555" spans="1:7" ht="14.25" customHeight="1" x14ac:dyDescent="0.3">
      <c r="A555" s="319" t="s">
        <v>1064</v>
      </c>
      <c r="B555" s="320">
        <v>15699.25</v>
      </c>
      <c r="C555" s="320">
        <v>783.91998291015602</v>
      </c>
      <c r="D555" s="320">
        <f t="shared" si="16"/>
        <v>9.1664725885294493E-3</v>
      </c>
      <c r="E555" s="320">
        <f t="shared" si="17"/>
        <v>4.3320851251042299E-2</v>
      </c>
      <c r="F555" s="130"/>
      <c r="G555" s="130"/>
    </row>
    <row r="556" spans="1:7" ht="14.25" customHeight="1" x14ac:dyDescent="0.3">
      <c r="A556" s="319" t="s">
        <v>1065</v>
      </c>
      <c r="B556" s="320">
        <v>15832.0498046875</v>
      </c>
      <c r="C556" s="320">
        <v>785.15002441406295</v>
      </c>
      <c r="D556" s="320">
        <f t="shared" si="16"/>
        <v>8.4589903777250505E-3</v>
      </c>
      <c r="E556" s="320">
        <f t="shared" si="17"/>
        <v>1.56909063516997E-3</v>
      </c>
      <c r="F556" s="130"/>
      <c r="G556" s="130"/>
    </row>
    <row r="557" spans="1:7" ht="14.25" customHeight="1" x14ac:dyDescent="0.3">
      <c r="A557" s="319" t="s">
        <v>1066</v>
      </c>
      <c r="B557" s="320">
        <v>15850.2001953125</v>
      </c>
      <c r="C557" s="320">
        <v>782.41998291015602</v>
      </c>
      <c r="D557" s="320">
        <f t="shared" si="16"/>
        <v>1.14643339611186E-3</v>
      </c>
      <c r="E557" s="320">
        <f t="shared" si="17"/>
        <v>-3.47709535632288E-3</v>
      </c>
      <c r="F557" s="130"/>
      <c r="G557" s="130"/>
    </row>
    <row r="558" spans="1:7" ht="14.25" customHeight="1" x14ac:dyDescent="0.3">
      <c r="A558" s="319" t="s">
        <v>1067</v>
      </c>
      <c r="B558" s="320">
        <v>15799.099609375</v>
      </c>
      <c r="C558" s="320">
        <v>755.95001220703102</v>
      </c>
      <c r="D558" s="320">
        <f t="shared" si="16"/>
        <v>-3.2239710103227799E-3</v>
      </c>
      <c r="E558" s="320">
        <f t="shared" si="17"/>
        <v>-3.3830898087075699E-2</v>
      </c>
      <c r="F558" s="130"/>
      <c r="G558" s="130"/>
    </row>
    <row r="559" spans="1:7" ht="14.25" customHeight="1" x14ac:dyDescent="0.3">
      <c r="A559" s="319" t="s">
        <v>1068</v>
      </c>
      <c r="B559" s="320">
        <v>15780.25</v>
      </c>
      <c r="C559" s="320">
        <v>751.760009765625</v>
      </c>
      <c r="D559" s="320">
        <f t="shared" si="16"/>
        <v>-1.19308124140282E-3</v>
      </c>
      <c r="E559" s="320">
        <f t="shared" si="17"/>
        <v>-5.5426977627437502E-3</v>
      </c>
      <c r="F559" s="130"/>
      <c r="G559" s="130"/>
    </row>
    <row r="560" spans="1:7" ht="14.25" customHeight="1" x14ac:dyDescent="0.3">
      <c r="A560" s="319" t="s">
        <v>1069</v>
      </c>
      <c r="B560" s="320">
        <v>15752.0498046875</v>
      </c>
      <c r="C560" s="320">
        <v>745.29998779296898</v>
      </c>
      <c r="D560" s="320">
        <f t="shared" si="16"/>
        <v>-1.7870563085185601E-3</v>
      </c>
      <c r="E560" s="320">
        <f t="shared" si="17"/>
        <v>-8.59319714900777E-3</v>
      </c>
      <c r="F560" s="130"/>
      <c r="G560" s="130"/>
    </row>
    <row r="561" spans="1:7" ht="14.25" customHeight="1" x14ac:dyDescent="0.3">
      <c r="A561" s="319" t="s">
        <v>1070</v>
      </c>
      <c r="B561" s="320">
        <v>15835.349609375</v>
      </c>
      <c r="C561" s="320">
        <v>765.239990234375</v>
      </c>
      <c r="D561" s="320">
        <f t="shared" si="16"/>
        <v>5.2881882498055297E-3</v>
      </c>
      <c r="E561" s="320">
        <f t="shared" si="17"/>
        <v>2.6754330830533999E-2</v>
      </c>
      <c r="F561" s="130"/>
      <c r="G561" s="130"/>
    </row>
    <row r="562" spans="1:7" ht="14.25" customHeight="1" x14ac:dyDescent="0.3">
      <c r="A562" s="319" t="s">
        <v>1071</v>
      </c>
      <c r="B562" s="320">
        <v>15810.849609375</v>
      </c>
      <c r="C562" s="320">
        <v>765.02001953125</v>
      </c>
      <c r="D562" s="320">
        <f t="shared" si="16"/>
        <v>-1.54717139844486E-3</v>
      </c>
      <c r="E562" s="320">
        <f t="shared" si="17"/>
        <v>-2.87453225043333E-4</v>
      </c>
      <c r="F562" s="130"/>
      <c r="G562" s="130"/>
    </row>
    <row r="563" spans="1:7" ht="14.25" customHeight="1" x14ac:dyDescent="0.3">
      <c r="A563" s="319" t="s">
        <v>1072</v>
      </c>
      <c r="B563" s="320">
        <v>15989.7998046875</v>
      </c>
      <c r="C563" s="320">
        <v>781.40997314453102</v>
      </c>
      <c r="D563" s="320">
        <f t="shared" si="16"/>
        <v>1.13181897073002E-2</v>
      </c>
      <c r="E563" s="320">
        <f t="shared" si="17"/>
        <v>2.1424215307886501E-2</v>
      </c>
      <c r="F563" s="130"/>
      <c r="G563" s="130"/>
    </row>
    <row r="564" spans="1:7" ht="14.25" customHeight="1" x14ac:dyDescent="0.3">
      <c r="A564" s="319" t="s">
        <v>1073</v>
      </c>
      <c r="B564" s="320">
        <v>16132.900390625</v>
      </c>
      <c r="C564" s="320">
        <v>785.40997314453102</v>
      </c>
      <c r="D564" s="320">
        <f t="shared" si="16"/>
        <v>8.9494920315105701E-3</v>
      </c>
      <c r="E564" s="320">
        <f t="shared" si="17"/>
        <v>5.1189518146323304E-3</v>
      </c>
      <c r="F564" s="130"/>
      <c r="G564" s="130"/>
    </row>
    <row r="565" spans="1:7" ht="14.25" customHeight="1" x14ac:dyDescent="0.3">
      <c r="A565" s="319" t="s">
        <v>1074</v>
      </c>
      <c r="B565" s="320">
        <v>16220.599609375</v>
      </c>
      <c r="C565" s="320">
        <v>795.72998046875</v>
      </c>
      <c r="D565" s="320">
        <f t="shared" si="16"/>
        <v>5.4360478665673104E-3</v>
      </c>
      <c r="E565" s="320">
        <f t="shared" si="17"/>
        <v>1.3139643851097201E-2</v>
      </c>
      <c r="F565" s="130"/>
      <c r="G565" s="130"/>
    </row>
    <row r="566" spans="1:7" ht="14.25" customHeight="1" x14ac:dyDescent="0.3">
      <c r="A566" s="319" t="s">
        <v>1075</v>
      </c>
      <c r="B566" s="320">
        <v>16216</v>
      </c>
      <c r="C566" s="320">
        <v>784.15002441406295</v>
      </c>
      <c r="D566" s="320">
        <f t="shared" si="16"/>
        <v>-2.8356592763325298E-4</v>
      </c>
      <c r="E566" s="320">
        <f t="shared" si="17"/>
        <v>-1.45526200330739E-2</v>
      </c>
      <c r="F566" s="130"/>
      <c r="G566" s="130"/>
    </row>
    <row r="567" spans="1:7" ht="14.25" customHeight="1" x14ac:dyDescent="0.3">
      <c r="A567" s="319" t="s">
        <v>1076</v>
      </c>
      <c r="B567" s="320">
        <v>16058.2998046875</v>
      </c>
      <c r="C567" s="320">
        <v>765.65997314453102</v>
      </c>
      <c r="D567" s="320">
        <f t="shared" si="16"/>
        <v>-9.7249750439380896E-3</v>
      </c>
      <c r="E567" s="320">
        <f t="shared" si="17"/>
        <v>-2.3579736904743701E-2</v>
      </c>
      <c r="F567" s="130"/>
      <c r="G567" s="130"/>
    </row>
    <row r="568" spans="1:7" ht="14.25" customHeight="1" x14ac:dyDescent="0.3">
      <c r="A568" s="319" t="s">
        <v>1077</v>
      </c>
      <c r="B568" s="320">
        <v>15966.650390625</v>
      </c>
      <c r="C568" s="320">
        <v>776.40997314453102</v>
      </c>
      <c r="D568" s="320">
        <f t="shared" si="16"/>
        <v>-5.7072925015229196E-3</v>
      </c>
      <c r="E568" s="320">
        <f t="shared" si="17"/>
        <v>1.40401749824406E-2</v>
      </c>
      <c r="F568" s="130"/>
      <c r="G568" s="130"/>
    </row>
    <row r="569" spans="1:7" ht="14.25" customHeight="1" x14ac:dyDescent="0.3">
      <c r="A569" s="319" t="s">
        <v>1078</v>
      </c>
      <c r="B569" s="320">
        <v>15938.650390625</v>
      </c>
      <c r="C569" s="320">
        <v>768.010009765625</v>
      </c>
      <c r="D569" s="320">
        <f t="shared" si="16"/>
        <v>-1.7536552323110001E-3</v>
      </c>
      <c r="E569" s="320">
        <f t="shared" si="17"/>
        <v>-1.08189792370716E-2</v>
      </c>
      <c r="F569" s="130"/>
      <c r="G569" s="130"/>
    </row>
    <row r="570" spans="1:7" ht="14.25" customHeight="1" x14ac:dyDescent="0.3">
      <c r="A570" s="319" t="s">
        <v>1079</v>
      </c>
      <c r="B570" s="320">
        <v>16049.2001953125</v>
      </c>
      <c r="C570" s="320">
        <v>760.72998046875</v>
      </c>
      <c r="D570" s="320">
        <f t="shared" si="16"/>
        <v>6.9359576863875904E-3</v>
      </c>
      <c r="E570" s="320">
        <f t="shared" si="17"/>
        <v>-9.4790812675692292E-3</v>
      </c>
      <c r="F570" s="130"/>
      <c r="G570" s="130"/>
    </row>
    <row r="571" spans="1:7" ht="14.25" customHeight="1" x14ac:dyDescent="0.3">
      <c r="A571" s="319" t="s">
        <v>1080</v>
      </c>
      <c r="B571" s="320">
        <v>16278.5</v>
      </c>
      <c r="C571" s="320">
        <v>794.65997314453102</v>
      </c>
      <c r="D571" s="320">
        <f t="shared" si="16"/>
        <v>1.42873041582765E-2</v>
      </c>
      <c r="E571" s="320">
        <f t="shared" si="17"/>
        <v>4.4601887064939803E-2</v>
      </c>
      <c r="F571" s="130"/>
      <c r="G571" s="130"/>
    </row>
    <row r="572" spans="1:7" ht="14.25" customHeight="1" x14ac:dyDescent="0.3">
      <c r="A572" s="319" t="s">
        <v>1081</v>
      </c>
      <c r="B572" s="320">
        <v>16340.5498046875</v>
      </c>
      <c r="C572" s="320">
        <v>825.88000488281295</v>
      </c>
      <c r="D572" s="320">
        <f t="shared" si="16"/>
        <v>3.8117642711244901E-3</v>
      </c>
      <c r="E572" s="320">
        <f t="shared" si="17"/>
        <v>3.9287283609795803E-2</v>
      </c>
      <c r="F572" s="130"/>
      <c r="G572" s="130"/>
    </row>
    <row r="573" spans="1:7" ht="14.25" customHeight="1" x14ac:dyDescent="0.3">
      <c r="A573" s="319" t="s">
        <v>1082</v>
      </c>
      <c r="B573" s="320">
        <v>16520.849609375</v>
      </c>
      <c r="C573" s="320">
        <v>826.20001220703102</v>
      </c>
      <c r="D573" s="320">
        <f t="shared" si="16"/>
        <v>1.10338885069692E-2</v>
      </c>
      <c r="E573" s="320">
        <f t="shared" si="17"/>
        <v>3.8747435744430599E-4</v>
      </c>
      <c r="F573" s="130"/>
      <c r="G573" s="130"/>
    </row>
    <row r="574" spans="1:7" ht="14.25" customHeight="1" x14ac:dyDescent="0.3">
      <c r="A574" s="319" t="s">
        <v>1083</v>
      </c>
      <c r="B574" s="320">
        <v>16605.25</v>
      </c>
      <c r="C574" s="320">
        <v>830.46002197265602</v>
      </c>
      <c r="D574" s="320">
        <f t="shared" si="16"/>
        <v>5.1087197462959602E-3</v>
      </c>
      <c r="E574" s="320">
        <f t="shared" si="17"/>
        <v>5.1561482724325099E-3</v>
      </c>
      <c r="F574" s="130"/>
      <c r="G574" s="130"/>
    </row>
    <row r="575" spans="1:7" ht="14.25" customHeight="1" x14ac:dyDescent="0.3">
      <c r="A575" s="319" t="s">
        <v>1084</v>
      </c>
      <c r="B575" s="320">
        <v>16719.44921875</v>
      </c>
      <c r="C575" s="320">
        <v>820.90997314453102</v>
      </c>
      <c r="D575" s="320">
        <f t="shared" si="16"/>
        <v>6.8772959606148701E-3</v>
      </c>
      <c r="E575" s="320">
        <f t="shared" si="17"/>
        <v>-1.14997092881606E-2</v>
      </c>
      <c r="F575" s="130"/>
      <c r="G575" s="130"/>
    </row>
    <row r="576" spans="1:7" ht="14.25" customHeight="1" x14ac:dyDescent="0.3">
      <c r="A576" s="319" t="s">
        <v>1085</v>
      </c>
      <c r="B576" s="320">
        <v>16631</v>
      </c>
      <c r="C576" s="320">
        <v>804.90997314453102</v>
      </c>
      <c r="D576" s="320">
        <f t="shared" si="16"/>
        <v>-5.29019931175776E-3</v>
      </c>
      <c r="E576" s="320">
        <f t="shared" si="17"/>
        <v>-1.94905659858307E-2</v>
      </c>
      <c r="F576" s="130"/>
      <c r="G576" s="130"/>
    </row>
    <row r="577" spans="1:7" ht="14.25" customHeight="1" x14ac:dyDescent="0.3">
      <c r="A577" s="319" t="s">
        <v>1086</v>
      </c>
      <c r="B577" s="320">
        <v>16483.849609375</v>
      </c>
      <c r="C577" s="320">
        <v>773.71002197265602</v>
      </c>
      <c r="D577" s="320">
        <f t="shared" si="16"/>
        <v>-8.8479580677650205E-3</v>
      </c>
      <c r="E577" s="320">
        <f t="shared" si="17"/>
        <v>-3.8762038256261802E-2</v>
      </c>
      <c r="F577" s="130"/>
      <c r="G577" s="130"/>
    </row>
    <row r="578" spans="1:7" ht="14.25" customHeight="1" x14ac:dyDescent="0.3">
      <c r="A578" s="319" t="s">
        <v>1087</v>
      </c>
      <c r="B578" s="320">
        <v>16641.80078125</v>
      </c>
      <c r="C578" s="320">
        <v>783.35998535156295</v>
      </c>
      <c r="D578" s="320">
        <f t="shared" si="16"/>
        <v>9.5821774414374099E-3</v>
      </c>
      <c r="E578" s="320">
        <f t="shared" si="17"/>
        <v>1.24723256838568E-2</v>
      </c>
      <c r="F578" s="130"/>
      <c r="G578" s="130"/>
    </row>
    <row r="579" spans="1:7" ht="14.25" customHeight="1" x14ac:dyDescent="0.3">
      <c r="A579" s="319" t="s">
        <v>1088</v>
      </c>
      <c r="B579" s="320">
        <v>16929.599609375</v>
      </c>
      <c r="C579" s="320">
        <v>817.22998046875</v>
      </c>
      <c r="D579" s="320">
        <f t="shared" ref="D579:D642" si="18">(B579-B578)/B578</f>
        <v>1.7293731123692899E-2</v>
      </c>
      <c r="E579" s="320">
        <f t="shared" ref="E579:E642" si="19">(C579-C578)/C578</f>
        <v>4.3236820555732899E-2</v>
      </c>
      <c r="F579" s="130"/>
      <c r="G579" s="130"/>
    </row>
    <row r="580" spans="1:7" ht="14.25" customHeight="1" x14ac:dyDescent="0.3">
      <c r="A580" s="319" t="s">
        <v>1089</v>
      </c>
      <c r="B580" s="320">
        <v>17158.25</v>
      </c>
      <c r="C580" s="320">
        <v>867.280029296875</v>
      </c>
      <c r="D580" s="320">
        <f t="shared" si="18"/>
        <v>1.3505953826479299E-2</v>
      </c>
      <c r="E580" s="320">
        <f t="shared" si="19"/>
        <v>6.1243530002921702E-2</v>
      </c>
      <c r="F580" s="130"/>
      <c r="G580" s="130"/>
    </row>
    <row r="581" spans="1:7" ht="14.25" customHeight="1" x14ac:dyDescent="0.3">
      <c r="A581" s="319" t="s">
        <v>1090</v>
      </c>
      <c r="B581" s="320">
        <v>17340.05078125</v>
      </c>
      <c r="C581" s="320">
        <v>868.20001220703102</v>
      </c>
      <c r="D581" s="320">
        <f t="shared" si="18"/>
        <v>1.0595531668439399E-2</v>
      </c>
      <c r="E581" s="320">
        <f t="shared" si="19"/>
        <v>1.0607680092690199E-3</v>
      </c>
      <c r="F581" s="130"/>
      <c r="G581" s="130"/>
    </row>
    <row r="582" spans="1:7" ht="14.25" customHeight="1" x14ac:dyDescent="0.3">
      <c r="A582" s="319" t="s">
        <v>1091</v>
      </c>
      <c r="B582" s="320">
        <v>17345.44921875</v>
      </c>
      <c r="C582" s="320">
        <v>880.95001220703102</v>
      </c>
      <c r="D582" s="320">
        <f t="shared" si="18"/>
        <v>3.1132766380577101E-4</v>
      </c>
      <c r="E582" s="320">
        <f t="shared" si="19"/>
        <v>1.46855561169465E-2</v>
      </c>
      <c r="F582" s="130"/>
      <c r="G582" s="130"/>
    </row>
    <row r="583" spans="1:7" ht="14.25" customHeight="1" x14ac:dyDescent="0.3">
      <c r="A583" s="319" t="s">
        <v>1092</v>
      </c>
      <c r="B583" s="320">
        <v>17388.150390625</v>
      </c>
      <c r="C583" s="320">
        <v>860.30999755859398</v>
      </c>
      <c r="D583" s="320">
        <f t="shared" si="18"/>
        <v>2.4618083588657399E-3</v>
      </c>
      <c r="E583" s="320">
        <f t="shared" si="19"/>
        <v>-2.34292688148422E-2</v>
      </c>
      <c r="F583" s="130"/>
      <c r="G583" s="130"/>
    </row>
    <row r="584" spans="1:7" ht="14.25" customHeight="1" x14ac:dyDescent="0.3">
      <c r="A584" s="319" t="s">
        <v>1093</v>
      </c>
      <c r="B584" s="320">
        <v>17382</v>
      </c>
      <c r="C584" s="320">
        <v>851.60998535156295</v>
      </c>
      <c r="D584" s="320">
        <f t="shared" si="18"/>
        <v>-3.5371160743560398E-4</v>
      </c>
      <c r="E584" s="320">
        <f t="shared" si="19"/>
        <v>-1.01126480358477E-2</v>
      </c>
      <c r="F584" s="130"/>
      <c r="G584" s="130"/>
    </row>
    <row r="585" spans="1:7" ht="14.25" customHeight="1" x14ac:dyDescent="0.3">
      <c r="A585" s="319" t="s">
        <v>1094</v>
      </c>
      <c r="B585" s="320">
        <v>17397.5</v>
      </c>
      <c r="C585" s="320">
        <v>862.010009765625</v>
      </c>
      <c r="D585" s="320">
        <f t="shared" si="18"/>
        <v>8.9172707398458195E-4</v>
      </c>
      <c r="E585" s="320">
        <f t="shared" si="19"/>
        <v>1.2212191722680101E-2</v>
      </c>
      <c r="F585" s="130"/>
      <c r="G585" s="130"/>
    </row>
    <row r="586" spans="1:7" ht="14.25" customHeight="1" x14ac:dyDescent="0.3">
      <c r="A586" s="319" t="s">
        <v>1095</v>
      </c>
      <c r="B586" s="320">
        <v>17525.099609375</v>
      </c>
      <c r="C586" s="320">
        <v>853.35998535156295</v>
      </c>
      <c r="D586" s="320">
        <f t="shared" si="18"/>
        <v>7.3343646716482304E-3</v>
      </c>
      <c r="E586" s="320">
        <f t="shared" si="19"/>
        <v>-1.0034714581114801E-2</v>
      </c>
      <c r="F586" s="130"/>
      <c r="G586" s="130"/>
    </row>
    <row r="587" spans="1:7" ht="14.25" customHeight="1" x14ac:dyDescent="0.3">
      <c r="A587" s="319" t="s">
        <v>1096</v>
      </c>
      <c r="B587" s="320">
        <v>17534.75</v>
      </c>
      <c r="C587" s="320">
        <v>848.010009765625</v>
      </c>
      <c r="D587" s="320">
        <f t="shared" si="18"/>
        <v>5.5066109979982902E-4</v>
      </c>
      <c r="E587" s="320">
        <f t="shared" si="19"/>
        <v>-6.2693068315523397E-3</v>
      </c>
      <c r="F587" s="130"/>
      <c r="G587" s="130"/>
    </row>
    <row r="588" spans="1:7" ht="14.25" customHeight="1" x14ac:dyDescent="0.3">
      <c r="A588" s="319" t="s">
        <v>1097</v>
      </c>
      <c r="B588" s="320">
        <v>17659</v>
      </c>
      <c r="C588" s="320">
        <v>880.32000732421898</v>
      </c>
      <c r="D588" s="320">
        <f t="shared" si="18"/>
        <v>7.0859293688247602E-3</v>
      </c>
      <c r="E588" s="320">
        <f t="shared" si="19"/>
        <v>3.8100962472747101E-2</v>
      </c>
      <c r="F588" s="130"/>
      <c r="G588" s="130"/>
    </row>
    <row r="589" spans="1:7" ht="14.25" customHeight="1" x14ac:dyDescent="0.3">
      <c r="A589" s="319" t="s">
        <v>1098</v>
      </c>
      <c r="B589" s="320">
        <v>17698.150390625</v>
      </c>
      <c r="C589" s="320">
        <v>886.65002441406295</v>
      </c>
      <c r="D589" s="320">
        <f t="shared" si="18"/>
        <v>2.21702195056345E-3</v>
      </c>
      <c r="E589" s="320">
        <f t="shared" si="19"/>
        <v>7.1905864199138404E-3</v>
      </c>
      <c r="F589" s="130"/>
      <c r="G589" s="130"/>
    </row>
    <row r="590" spans="1:7" ht="14.25" customHeight="1" x14ac:dyDescent="0.3">
      <c r="A590" s="319" t="s">
        <v>1099</v>
      </c>
      <c r="B590" s="320">
        <v>17825.25</v>
      </c>
      <c r="C590" s="320">
        <v>885.75</v>
      </c>
      <c r="D590" s="320">
        <f t="shared" si="18"/>
        <v>7.18151934353133E-3</v>
      </c>
      <c r="E590" s="320">
        <f t="shared" si="19"/>
        <v>-1.01508418122216E-3</v>
      </c>
      <c r="F590" s="130"/>
      <c r="G590" s="130"/>
    </row>
    <row r="591" spans="1:7" ht="14.25" customHeight="1" x14ac:dyDescent="0.3">
      <c r="A591" s="319" t="s">
        <v>1100</v>
      </c>
      <c r="B591" s="320">
        <v>17944.25</v>
      </c>
      <c r="C591" s="320">
        <v>896.35998535156295</v>
      </c>
      <c r="D591" s="320">
        <f t="shared" si="18"/>
        <v>6.6759231988331204E-3</v>
      </c>
      <c r="E591" s="320">
        <f t="shared" si="19"/>
        <v>1.19785327141552E-2</v>
      </c>
      <c r="F591" s="130"/>
      <c r="G591" s="130"/>
    </row>
    <row r="592" spans="1:7" ht="14.25" customHeight="1" x14ac:dyDescent="0.3">
      <c r="A592" s="319" t="s">
        <v>1101</v>
      </c>
      <c r="B592" s="320">
        <v>17956.5</v>
      </c>
      <c r="C592" s="320">
        <v>893.42999267578102</v>
      </c>
      <c r="D592" s="320">
        <f t="shared" si="18"/>
        <v>6.8266993605193898E-4</v>
      </c>
      <c r="E592" s="320">
        <f t="shared" si="19"/>
        <v>-3.26876782059024E-3</v>
      </c>
      <c r="F592" s="130"/>
      <c r="G592" s="130"/>
    </row>
    <row r="593" spans="1:7" ht="14.25" customHeight="1" x14ac:dyDescent="0.3">
      <c r="A593" s="319" t="s">
        <v>1102</v>
      </c>
      <c r="B593" s="320">
        <v>17758.44921875</v>
      </c>
      <c r="C593" s="320">
        <v>890.89001464843795</v>
      </c>
      <c r="D593" s="320">
        <f t="shared" si="18"/>
        <v>-1.1029475746944E-2</v>
      </c>
      <c r="E593" s="320">
        <f t="shared" si="19"/>
        <v>-2.8429513763422601E-3</v>
      </c>
      <c r="F593" s="130"/>
      <c r="G593" s="130"/>
    </row>
    <row r="594" spans="1:7" ht="14.25" customHeight="1" x14ac:dyDescent="0.3">
      <c r="A594" s="319" t="s">
        <v>1103</v>
      </c>
      <c r="B594" s="320">
        <v>17490.69921875</v>
      </c>
      <c r="C594" s="320">
        <v>848.80999755859398</v>
      </c>
      <c r="D594" s="320">
        <f t="shared" si="18"/>
        <v>-1.5077330047338799E-2</v>
      </c>
      <c r="E594" s="320">
        <f t="shared" si="19"/>
        <v>-4.7233683617443602E-2</v>
      </c>
      <c r="F594" s="130"/>
      <c r="G594" s="130"/>
    </row>
    <row r="595" spans="1:7" ht="14.25" customHeight="1" x14ac:dyDescent="0.3">
      <c r="A595" s="319" t="s">
        <v>1104</v>
      </c>
      <c r="B595" s="320">
        <v>17577.5</v>
      </c>
      <c r="C595" s="320">
        <v>852.510009765625</v>
      </c>
      <c r="D595" s="320">
        <f t="shared" si="18"/>
        <v>4.9626821755044404E-3</v>
      </c>
      <c r="E595" s="320">
        <f t="shared" si="19"/>
        <v>4.3590582317282502E-3</v>
      </c>
      <c r="F595" s="130"/>
      <c r="G595" s="130"/>
    </row>
    <row r="596" spans="1:7" ht="14.25" customHeight="1" x14ac:dyDescent="0.3">
      <c r="A596" s="319" t="s">
        <v>1105</v>
      </c>
      <c r="B596" s="320">
        <v>17604.94921875</v>
      </c>
      <c r="C596" s="320">
        <v>884.239990234375</v>
      </c>
      <c r="D596" s="320">
        <f t="shared" si="18"/>
        <v>1.56161107950505E-3</v>
      </c>
      <c r="E596" s="320">
        <f t="shared" si="19"/>
        <v>3.7219481419899503E-2</v>
      </c>
      <c r="F596" s="130"/>
      <c r="G596" s="130"/>
    </row>
    <row r="597" spans="1:7" ht="14.25" customHeight="1" x14ac:dyDescent="0.3">
      <c r="A597" s="319" t="s">
        <v>1106</v>
      </c>
      <c r="B597" s="320">
        <v>17522.44921875</v>
      </c>
      <c r="C597" s="320">
        <v>900.60998535156295</v>
      </c>
      <c r="D597" s="320">
        <f t="shared" si="18"/>
        <v>-4.6861822192667303E-3</v>
      </c>
      <c r="E597" s="320">
        <f t="shared" si="19"/>
        <v>1.8513068056160799E-2</v>
      </c>
      <c r="F597" s="130"/>
      <c r="G597" s="130"/>
    </row>
    <row r="598" spans="1:7" ht="14.25" customHeight="1" x14ac:dyDescent="0.3">
      <c r="A598" s="319" t="s">
        <v>1107</v>
      </c>
      <c r="B598" s="320">
        <v>17558.900390625</v>
      </c>
      <c r="C598" s="320">
        <v>887.28997802734398</v>
      </c>
      <c r="D598" s="320">
        <f t="shared" si="18"/>
        <v>2.08025552934662E-3</v>
      </c>
      <c r="E598" s="320">
        <f t="shared" si="19"/>
        <v>-1.4789984056216499E-2</v>
      </c>
      <c r="F598" s="130"/>
      <c r="G598" s="130"/>
    </row>
    <row r="599" spans="1:7" ht="14.25" customHeight="1" x14ac:dyDescent="0.3">
      <c r="A599" s="319" t="s">
        <v>1108</v>
      </c>
      <c r="B599" s="320">
        <v>17312.900390625</v>
      </c>
      <c r="C599" s="320">
        <v>831.52001953125</v>
      </c>
      <c r="D599" s="320">
        <f t="shared" si="18"/>
        <v>-1.4009988924553801E-2</v>
      </c>
      <c r="E599" s="320">
        <f t="shared" si="19"/>
        <v>-6.2854263969129701E-2</v>
      </c>
      <c r="F599" s="130"/>
      <c r="G599" s="130"/>
    </row>
    <row r="600" spans="1:7" ht="14.25" customHeight="1" x14ac:dyDescent="0.3">
      <c r="A600" s="319" t="s">
        <v>1109</v>
      </c>
      <c r="B600" s="320">
        <v>17759.30078125</v>
      </c>
      <c r="C600" s="320">
        <v>868.85998535156295</v>
      </c>
      <c r="D600" s="320">
        <f t="shared" si="18"/>
        <v>2.57842637890256E-2</v>
      </c>
      <c r="E600" s="320">
        <f t="shared" si="19"/>
        <v>4.4905672675641002E-2</v>
      </c>
      <c r="F600" s="130"/>
      <c r="G600" s="130"/>
    </row>
    <row r="601" spans="1:7" ht="14.25" customHeight="1" x14ac:dyDescent="0.3">
      <c r="A601" s="319" t="s">
        <v>1110</v>
      </c>
      <c r="B601" s="320">
        <v>17542.80078125</v>
      </c>
      <c r="C601" s="320">
        <v>851.530029296875</v>
      </c>
      <c r="D601" s="320">
        <f t="shared" si="18"/>
        <v>-1.2190795272107599E-2</v>
      </c>
      <c r="E601" s="320">
        <f t="shared" si="19"/>
        <v>-1.9945625701333E-2</v>
      </c>
      <c r="F601" s="130"/>
      <c r="G601" s="130"/>
    </row>
    <row r="602" spans="1:7" ht="14.25" customHeight="1" x14ac:dyDescent="0.3">
      <c r="A602" s="319" t="s">
        <v>1111</v>
      </c>
      <c r="B602" s="320">
        <v>17539.44921875</v>
      </c>
      <c r="C602" s="320">
        <v>850.469970703125</v>
      </c>
      <c r="D602" s="320">
        <f t="shared" si="18"/>
        <v>-1.9105059344812301E-4</v>
      </c>
      <c r="E602" s="320">
        <f t="shared" si="19"/>
        <v>-1.24488691799315E-3</v>
      </c>
      <c r="F602" s="130"/>
      <c r="G602" s="130"/>
    </row>
    <row r="603" spans="1:7" ht="14.25" customHeight="1" x14ac:dyDescent="0.3">
      <c r="A603" s="319" t="s">
        <v>1112</v>
      </c>
      <c r="B603" s="320">
        <v>17665.80078125</v>
      </c>
      <c r="C603" s="320">
        <v>851.09002685546898</v>
      </c>
      <c r="D603" s="320">
        <f t="shared" si="18"/>
        <v>7.2038500710118001E-3</v>
      </c>
      <c r="E603" s="320">
        <f t="shared" si="19"/>
        <v>7.2907471598479404E-4</v>
      </c>
      <c r="F603" s="130"/>
      <c r="G603" s="130"/>
    </row>
    <row r="604" spans="1:7" ht="14.25" customHeight="1" x14ac:dyDescent="0.3">
      <c r="A604" s="319" t="s">
        <v>1113</v>
      </c>
      <c r="B604" s="320">
        <v>17655.599609375</v>
      </c>
      <c r="C604" s="320">
        <v>837.16998291015602</v>
      </c>
      <c r="D604" s="320">
        <f t="shared" si="18"/>
        <v>-5.7745312546642405E-4</v>
      </c>
      <c r="E604" s="320">
        <f t="shared" si="19"/>
        <v>-1.63555481865338E-2</v>
      </c>
      <c r="F604" s="130"/>
      <c r="G604" s="130"/>
    </row>
    <row r="605" spans="1:7" ht="14.25" customHeight="1" x14ac:dyDescent="0.3">
      <c r="A605" s="319" t="s">
        <v>1114</v>
      </c>
      <c r="B605" s="320">
        <v>17624.400390625</v>
      </c>
      <c r="C605" s="320">
        <v>838.95001220703102</v>
      </c>
      <c r="D605" s="320">
        <f t="shared" si="18"/>
        <v>-1.7671004916442201E-3</v>
      </c>
      <c r="E605" s="320">
        <f t="shared" si="19"/>
        <v>2.1262459634389802E-3</v>
      </c>
      <c r="F605" s="130"/>
      <c r="G605" s="130"/>
    </row>
    <row r="606" spans="1:7" ht="14.25" customHeight="1" x14ac:dyDescent="0.3">
      <c r="A606" s="319" t="s">
        <v>1115</v>
      </c>
      <c r="B606" s="320">
        <v>17798.75</v>
      </c>
      <c r="C606" s="320">
        <v>840.36999511718795</v>
      </c>
      <c r="D606" s="320">
        <f t="shared" si="18"/>
        <v>9.8925129655895901E-3</v>
      </c>
      <c r="E606" s="320">
        <f t="shared" si="19"/>
        <v>1.6925715352472199E-3</v>
      </c>
      <c r="F606" s="130"/>
      <c r="G606" s="130"/>
    </row>
    <row r="607" spans="1:7" ht="14.25" customHeight="1" x14ac:dyDescent="0.3">
      <c r="A607" s="319" t="s">
        <v>1116</v>
      </c>
      <c r="B607" s="320">
        <v>17833.349609375</v>
      </c>
      <c r="C607" s="320">
        <v>856.86999511718795</v>
      </c>
      <c r="D607" s="320">
        <f t="shared" si="18"/>
        <v>1.94393479176909E-3</v>
      </c>
      <c r="E607" s="320">
        <f t="shared" si="19"/>
        <v>1.9634208855468599E-2</v>
      </c>
      <c r="F607" s="130"/>
      <c r="G607" s="130"/>
    </row>
    <row r="608" spans="1:7" ht="14.25" customHeight="1" x14ac:dyDescent="0.3">
      <c r="A608" s="319" t="s">
        <v>1117</v>
      </c>
      <c r="B608" s="320">
        <v>17936.349609375</v>
      </c>
      <c r="C608" s="320">
        <v>861.13000488281295</v>
      </c>
      <c r="D608" s="320">
        <f t="shared" si="18"/>
        <v>5.77569566324505E-3</v>
      </c>
      <c r="E608" s="320">
        <f t="shared" si="19"/>
        <v>4.9715940456549496E-3</v>
      </c>
      <c r="F608" s="130"/>
      <c r="G608" s="130"/>
    </row>
    <row r="609" spans="1:7" ht="14.25" customHeight="1" x14ac:dyDescent="0.3">
      <c r="A609" s="319" t="s">
        <v>1118</v>
      </c>
      <c r="B609" s="320">
        <v>18070.05078125</v>
      </c>
      <c r="C609" s="320">
        <v>873.30999755859398</v>
      </c>
      <c r="D609" s="320">
        <f t="shared" si="18"/>
        <v>7.4542019299800501E-3</v>
      </c>
      <c r="E609" s="320">
        <f t="shared" si="19"/>
        <v>1.4144197283473501E-2</v>
      </c>
      <c r="F609" s="130"/>
      <c r="G609" s="130"/>
    </row>
    <row r="610" spans="1:7" ht="14.25" customHeight="1" x14ac:dyDescent="0.3">
      <c r="A610" s="319" t="s">
        <v>1119</v>
      </c>
      <c r="B610" s="320">
        <v>18003.75</v>
      </c>
      <c r="C610" s="320">
        <v>847</v>
      </c>
      <c r="D610" s="320">
        <f t="shared" si="18"/>
        <v>-3.6690976717561599E-3</v>
      </c>
      <c r="E610" s="320">
        <f t="shared" si="19"/>
        <v>-3.0126756400528601E-2</v>
      </c>
      <c r="F610" s="130"/>
      <c r="G610" s="130"/>
    </row>
    <row r="611" spans="1:7" ht="14.25" customHeight="1" x14ac:dyDescent="0.3">
      <c r="A611" s="319" t="s">
        <v>1120</v>
      </c>
      <c r="B611" s="320">
        <v>17877.400390625</v>
      </c>
      <c r="C611" s="320">
        <v>839.58001708984398</v>
      </c>
      <c r="D611" s="320">
        <f t="shared" si="18"/>
        <v>-7.0179606679164099E-3</v>
      </c>
      <c r="E611" s="320">
        <f t="shared" si="19"/>
        <v>-8.7603104016009698E-3</v>
      </c>
      <c r="F611" s="130"/>
      <c r="G611" s="130"/>
    </row>
    <row r="612" spans="1:7" ht="14.25" customHeight="1" x14ac:dyDescent="0.3">
      <c r="A612" s="319" t="s">
        <v>1121</v>
      </c>
      <c r="B612" s="320">
        <v>17530.849609375</v>
      </c>
      <c r="C612" s="320">
        <v>824.33001708984398</v>
      </c>
      <c r="D612" s="320">
        <f t="shared" si="18"/>
        <v>-1.9384853148544601E-2</v>
      </c>
      <c r="E612" s="320">
        <f t="shared" si="19"/>
        <v>-1.8163843456946001E-2</v>
      </c>
      <c r="F612" s="130"/>
      <c r="G612" s="130"/>
    </row>
    <row r="613" spans="1:7" ht="14.25" customHeight="1" x14ac:dyDescent="0.3">
      <c r="A613" s="319" t="s">
        <v>1122</v>
      </c>
      <c r="B613" s="320">
        <v>17622.25</v>
      </c>
      <c r="C613" s="320">
        <v>803.09997558593795</v>
      </c>
      <c r="D613" s="320">
        <f t="shared" si="18"/>
        <v>5.2136885924867898E-3</v>
      </c>
      <c r="E613" s="320">
        <f t="shared" si="19"/>
        <v>-2.5754298719892599E-2</v>
      </c>
      <c r="F613" s="130"/>
      <c r="G613" s="130"/>
    </row>
    <row r="614" spans="1:7" ht="14.25" customHeight="1" x14ac:dyDescent="0.3">
      <c r="A614" s="319" t="s">
        <v>1123</v>
      </c>
      <c r="B614" s="320">
        <v>17816.25</v>
      </c>
      <c r="C614" s="320">
        <v>813.19000244140602</v>
      </c>
      <c r="D614" s="320">
        <f t="shared" si="18"/>
        <v>1.10088098852303E-2</v>
      </c>
      <c r="E614" s="320">
        <f t="shared" si="19"/>
        <v>1.2563849037732101E-2</v>
      </c>
      <c r="F614" s="130"/>
      <c r="G614" s="130"/>
    </row>
    <row r="615" spans="1:7" ht="14.25" customHeight="1" x14ac:dyDescent="0.3">
      <c r="A615" s="319" t="s">
        <v>1124</v>
      </c>
      <c r="B615" s="320">
        <v>17718.349609375</v>
      </c>
      <c r="C615" s="320">
        <v>814.45001220703102</v>
      </c>
      <c r="D615" s="320">
        <f t="shared" si="18"/>
        <v>-5.4950054374517596E-3</v>
      </c>
      <c r="E615" s="320">
        <f t="shared" si="19"/>
        <v>1.5494653916577001E-3</v>
      </c>
      <c r="F615" s="130"/>
      <c r="G615" s="130"/>
    </row>
    <row r="616" spans="1:7" ht="14.25" customHeight="1" x14ac:dyDescent="0.3">
      <c r="A616" s="319" t="s">
        <v>1125</v>
      </c>
      <c r="B616" s="320">
        <v>17629.80078125</v>
      </c>
      <c r="C616" s="320">
        <v>807.65997314453102</v>
      </c>
      <c r="D616" s="320">
        <f t="shared" si="18"/>
        <v>-4.9975776569025198E-3</v>
      </c>
      <c r="E616" s="320">
        <f t="shared" si="19"/>
        <v>-8.3369623190256495E-3</v>
      </c>
      <c r="F616" s="130"/>
      <c r="G616" s="130"/>
    </row>
    <row r="617" spans="1:7" ht="14.25" customHeight="1" x14ac:dyDescent="0.3">
      <c r="A617" s="319" t="s">
        <v>1126</v>
      </c>
      <c r="B617" s="320">
        <v>17327.349609375</v>
      </c>
      <c r="C617" s="320">
        <v>779.72998046875</v>
      </c>
      <c r="D617" s="320">
        <f t="shared" si="18"/>
        <v>-1.7155677232420501E-2</v>
      </c>
      <c r="E617" s="320">
        <f t="shared" si="19"/>
        <v>-3.4581375336750701E-2</v>
      </c>
      <c r="F617" s="130"/>
      <c r="G617" s="130"/>
    </row>
    <row r="618" spans="1:7" ht="14.25" customHeight="1" x14ac:dyDescent="0.3">
      <c r="A618" s="319" t="s">
        <v>1127</v>
      </c>
      <c r="B618" s="320">
        <v>17016.30078125</v>
      </c>
      <c r="C618" s="320">
        <v>741.16998291015602</v>
      </c>
      <c r="D618" s="320">
        <f t="shared" si="18"/>
        <v>-1.79513217622565E-2</v>
      </c>
      <c r="E618" s="320">
        <f t="shared" si="19"/>
        <v>-4.9453013895160103E-2</v>
      </c>
      <c r="F618" s="130"/>
      <c r="G618" s="130"/>
    </row>
    <row r="619" spans="1:7" ht="14.25" customHeight="1" x14ac:dyDescent="0.3">
      <c r="A619" s="319" t="s">
        <v>1128</v>
      </c>
      <c r="B619" s="320">
        <v>17007.400390625</v>
      </c>
      <c r="C619" s="320">
        <v>775.42999267578102</v>
      </c>
      <c r="D619" s="320">
        <f t="shared" si="18"/>
        <v>-5.2305085220444596E-4</v>
      </c>
      <c r="E619" s="320">
        <f t="shared" si="19"/>
        <v>4.6224227310319901E-2</v>
      </c>
      <c r="F619" s="130"/>
      <c r="G619" s="130"/>
    </row>
    <row r="620" spans="1:7" ht="14.25" customHeight="1" x14ac:dyDescent="0.3">
      <c r="A620" s="319" t="s">
        <v>1129</v>
      </c>
      <c r="B620" s="320">
        <v>16858.599609375</v>
      </c>
      <c r="C620" s="320">
        <v>775.84997558593795</v>
      </c>
      <c r="D620" s="320">
        <f t="shared" si="18"/>
        <v>-8.7491784653945994E-3</v>
      </c>
      <c r="E620" s="320">
        <f t="shared" si="19"/>
        <v>5.4161292976003504E-4</v>
      </c>
      <c r="F620" s="130"/>
      <c r="G620" s="130"/>
    </row>
    <row r="621" spans="1:7" ht="14.25" customHeight="1" x14ac:dyDescent="0.3">
      <c r="A621" s="319" t="s">
        <v>1130</v>
      </c>
      <c r="B621" s="320">
        <v>16818.099609375</v>
      </c>
      <c r="C621" s="320">
        <v>781.22998046875</v>
      </c>
      <c r="D621" s="320">
        <f t="shared" si="18"/>
        <v>-2.4023347691037198E-3</v>
      </c>
      <c r="E621" s="320">
        <f t="shared" si="19"/>
        <v>6.9343366012855198E-3</v>
      </c>
      <c r="F621" s="130"/>
      <c r="G621" s="130"/>
    </row>
    <row r="622" spans="1:7" ht="14.25" customHeight="1" x14ac:dyDescent="0.3">
      <c r="A622" s="319" t="s">
        <v>1131</v>
      </c>
      <c r="B622" s="320">
        <v>17094.349609375</v>
      </c>
      <c r="C622" s="320">
        <v>772.11999511718795</v>
      </c>
      <c r="D622" s="320">
        <f t="shared" si="18"/>
        <v>1.64257559662691E-2</v>
      </c>
      <c r="E622" s="320">
        <f t="shared" si="19"/>
        <v>-1.16610800651761E-2</v>
      </c>
      <c r="F622" s="130"/>
      <c r="G622" s="130"/>
    </row>
    <row r="623" spans="1:7" ht="14.25" customHeight="1" x14ac:dyDescent="0.3">
      <c r="A623" s="319" t="s">
        <v>1132</v>
      </c>
      <c r="B623" s="320">
        <v>16887.349609375</v>
      </c>
      <c r="C623" s="320">
        <v>760.91998291015602</v>
      </c>
      <c r="D623" s="320">
        <f t="shared" si="18"/>
        <v>-1.2109264448790499E-2</v>
      </c>
      <c r="E623" s="320">
        <f t="shared" si="19"/>
        <v>-1.45055331785988E-2</v>
      </c>
      <c r="F623" s="130"/>
      <c r="G623" s="130"/>
    </row>
    <row r="624" spans="1:7" ht="14.25" customHeight="1" x14ac:dyDescent="0.3">
      <c r="A624" s="319" t="s">
        <v>1133</v>
      </c>
      <c r="B624" s="320">
        <v>17274.30078125</v>
      </c>
      <c r="C624" s="320">
        <v>789.489990234375</v>
      </c>
      <c r="D624" s="320">
        <f t="shared" si="18"/>
        <v>2.2913670932719E-2</v>
      </c>
      <c r="E624" s="320">
        <f t="shared" si="19"/>
        <v>3.7546664519115799E-2</v>
      </c>
      <c r="F624" s="130"/>
      <c r="G624" s="130"/>
    </row>
    <row r="625" spans="1:7" ht="14.25" customHeight="1" x14ac:dyDescent="0.3">
      <c r="A625" s="319" t="s">
        <v>1134</v>
      </c>
      <c r="B625" s="320">
        <v>17331.80078125</v>
      </c>
      <c r="C625" s="320">
        <v>801.88000488281295</v>
      </c>
      <c r="D625" s="320">
        <f t="shared" si="18"/>
        <v>3.3286441360574201E-3</v>
      </c>
      <c r="E625" s="320">
        <f t="shared" si="19"/>
        <v>1.5693694412464598E-2</v>
      </c>
      <c r="F625" s="130"/>
      <c r="G625" s="130"/>
    </row>
    <row r="626" spans="1:7" ht="14.25" customHeight="1" x14ac:dyDescent="0.3">
      <c r="A626" s="319" t="s">
        <v>1135</v>
      </c>
      <c r="B626" s="320">
        <v>17314.650390625</v>
      </c>
      <c r="C626" s="320">
        <v>784.03997802734398</v>
      </c>
      <c r="D626" s="320">
        <f t="shared" si="18"/>
        <v>-9.8953310400115807E-4</v>
      </c>
      <c r="E626" s="320">
        <f t="shared" si="19"/>
        <v>-2.2247751218183998E-2</v>
      </c>
      <c r="F626" s="130"/>
      <c r="G626" s="130"/>
    </row>
    <row r="627" spans="1:7" ht="14.25" customHeight="1" x14ac:dyDescent="0.3">
      <c r="A627" s="319" t="s">
        <v>1136</v>
      </c>
      <c r="B627" s="320">
        <v>17241</v>
      </c>
      <c r="C627" s="320">
        <v>763.15002441406295</v>
      </c>
      <c r="D627" s="320">
        <f t="shared" si="18"/>
        <v>-4.2536458411472104E-3</v>
      </c>
      <c r="E627" s="320">
        <f t="shared" si="19"/>
        <v>-2.6643990356002598E-2</v>
      </c>
      <c r="F627" s="130"/>
      <c r="G627" s="130"/>
    </row>
    <row r="628" spans="1:7" ht="14.25" customHeight="1" x14ac:dyDescent="0.3">
      <c r="A628" s="319" t="s">
        <v>1137</v>
      </c>
      <c r="B628" s="320">
        <v>16983.55078125</v>
      </c>
      <c r="C628" s="320">
        <v>752.739990234375</v>
      </c>
      <c r="D628" s="320">
        <f t="shared" si="18"/>
        <v>-1.4932383199930401E-2</v>
      </c>
      <c r="E628" s="320">
        <f t="shared" si="19"/>
        <v>-1.3640875118467901E-2</v>
      </c>
      <c r="F628" s="130"/>
      <c r="G628" s="130"/>
    </row>
    <row r="629" spans="1:7" ht="14.25" customHeight="1" x14ac:dyDescent="0.3">
      <c r="A629" s="319" t="s">
        <v>1138</v>
      </c>
      <c r="B629" s="320">
        <v>17123.599609375</v>
      </c>
      <c r="C629" s="320">
        <v>756.20001220703102</v>
      </c>
      <c r="D629" s="320">
        <f t="shared" si="18"/>
        <v>8.2461453396197506E-3</v>
      </c>
      <c r="E629" s="320">
        <f t="shared" si="19"/>
        <v>4.5965698880681303E-3</v>
      </c>
      <c r="F629" s="130"/>
      <c r="G629" s="130"/>
    </row>
    <row r="630" spans="1:7" ht="14.25" customHeight="1" x14ac:dyDescent="0.3">
      <c r="A630" s="319" t="s">
        <v>1139</v>
      </c>
      <c r="B630" s="320">
        <v>17014.349609375</v>
      </c>
      <c r="C630" s="320">
        <v>755.22998046875</v>
      </c>
      <c r="D630" s="320">
        <f t="shared" si="18"/>
        <v>-6.3800837728176397E-3</v>
      </c>
      <c r="E630" s="320">
        <f t="shared" si="19"/>
        <v>-1.2827713866995401E-3</v>
      </c>
      <c r="F630" s="130"/>
      <c r="G630" s="130"/>
    </row>
    <row r="631" spans="1:7" ht="14.25" customHeight="1" x14ac:dyDescent="0.3">
      <c r="A631" s="319" t="s">
        <v>1140</v>
      </c>
      <c r="B631" s="320">
        <v>17185.69921875</v>
      </c>
      <c r="C631" s="320">
        <v>752.60998535156295</v>
      </c>
      <c r="D631" s="320">
        <f t="shared" si="18"/>
        <v>1.00708880038873E-2</v>
      </c>
      <c r="E631" s="320">
        <f t="shared" si="19"/>
        <v>-3.4691354752109898E-3</v>
      </c>
      <c r="F631" s="130"/>
      <c r="G631" s="130"/>
    </row>
    <row r="632" spans="1:7" ht="14.25" customHeight="1" x14ac:dyDescent="0.3">
      <c r="A632" s="319" t="s">
        <v>1141</v>
      </c>
      <c r="B632" s="320">
        <v>17311.80078125</v>
      </c>
      <c r="C632" s="320">
        <v>757.90002441406295</v>
      </c>
      <c r="D632" s="320">
        <f t="shared" si="18"/>
        <v>7.3375869608156702E-3</v>
      </c>
      <c r="E632" s="320">
        <f t="shared" si="19"/>
        <v>7.0289248953146598E-3</v>
      </c>
      <c r="F632" s="130"/>
      <c r="G632" s="130"/>
    </row>
    <row r="633" spans="1:7" ht="14.25" customHeight="1" x14ac:dyDescent="0.3">
      <c r="A633" s="319" t="s">
        <v>1142</v>
      </c>
      <c r="B633" s="320">
        <v>17486.94921875</v>
      </c>
      <c r="C633" s="320">
        <v>772.05999755859398</v>
      </c>
      <c r="D633" s="320">
        <f t="shared" si="18"/>
        <v>1.0117285874136199E-2</v>
      </c>
      <c r="E633" s="320">
        <f t="shared" si="19"/>
        <v>1.8683167552974E-2</v>
      </c>
      <c r="F633" s="130"/>
      <c r="G633" s="130"/>
    </row>
    <row r="634" spans="1:7" ht="14.25" customHeight="1" x14ac:dyDescent="0.3">
      <c r="A634" s="319" t="s">
        <v>1143</v>
      </c>
      <c r="B634" s="320">
        <v>17512.25</v>
      </c>
      <c r="C634" s="320">
        <v>773.04998779296898</v>
      </c>
      <c r="D634" s="320">
        <f t="shared" si="18"/>
        <v>1.44683792086911E-3</v>
      </c>
      <c r="E634" s="320">
        <f t="shared" si="19"/>
        <v>1.2822711155940499E-3</v>
      </c>
      <c r="F634" s="130"/>
      <c r="G634" s="130"/>
    </row>
    <row r="635" spans="1:7" ht="14.25" customHeight="1" x14ac:dyDescent="0.3">
      <c r="A635" s="319" t="s">
        <v>1144</v>
      </c>
      <c r="B635" s="320">
        <v>17563.94921875</v>
      </c>
      <c r="C635" s="320">
        <v>794.969970703125</v>
      </c>
      <c r="D635" s="320">
        <f t="shared" si="18"/>
        <v>2.9521745492441E-3</v>
      </c>
      <c r="E635" s="320">
        <f t="shared" si="19"/>
        <v>2.8355194691531901E-2</v>
      </c>
      <c r="F635" s="130"/>
      <c r="G635" s="130"/>
    </row>
    <row r="636" spans="1:7" ht="14.25" customHeight="1" x14ac:dyDescent="0.3">
      <c r="A636" s="319" t="s">
        <v>1145</v>
      </c>
      <c r="B636" s="320">
        <v>17576.30078125</v>
      </c>
      <c r="C636" s="320">
        <v>764.42999267578102</v>
      </c>
      <c r="D636" s="320">
        <f t="shared" si="18"/>
        <v>7.03233785646247E-4</v>
      </c>
      <c r="E636" s="320">
        <f t="shared" si="19"/>
        <v>-3.8416517796681503E-2</v>
      </c>
      <c r="F636" s="130"/>
      <c r="G636" s="130"/>
    </row>
    <row r="637" spans="1:7" ht="14.25" customHeight="1" x14ac:dyDescent="0.3">
      <c r="A637" s="319" t="s">
        <v>1146</v>
      </c>
      <c r="B637" s="320">
        <v>17730.75</v>
      </c>
      <c r="C637" s="320">
        <v>771.44000244140602</v>
      </c>
      <c r="D637" s="320">
        <f t="shared" si="18"/>
        <v>8.7873563767617707E-3</v>
      </c>
      <c r="E637" s="320">
        <f t="shared" si="19"/>
        <v>9.1702442771605993E-3</v>
      </c>
      <c r="F637" s="130"/>
      <c r="G637" s="130"/>
    </row>
    <row r="638" spans="1:7" ht="14.25" customHeight="1" x14ac:dyDescent="0.3">
      <c r="A638" s="319" t="s">
        <v>1147</v>
      </c>
      <c r="B638" s="320">
        <v>17656.349609375</v>
      </c>
      <c r="C638" s="320">
        <v>761.20001220703102</v>
      </c>
      <c r="D638" s="320">
        <f t="shared" si="18"/>
        <v>-4.1961220267050202E-3</v>
      </c>
      <c r="E638" s="320">
        <f t="shared" si="19"/>
        <v>-1.3273864723073899E-2</v>
      </c>
      <c r="F638" s="130"/>
      <c r="G638" s="130"/>
    </row>
    <row r="639" spans="1:7" ht="14.25" customHeight="1" x14ac:dyDescent="0.3">
      <c r="A639" s="319" t="s">
        <v>1148</v>
      </c>
      <c r="B639" s="320">
        <v>17736.94921875</v>
      </c>
      <c r="C639" s="320">
        <v>785.41998291015602</v>
      </c>
      <c r="D639" s="320">
        <f t="shared" si="18"/>
        <v>4.5649078749666304E-3</v>
      </c>
      <c r="E639" s="320">
        <f t="shared" si="19"/>
        <v>3.1818142820178599E-2</v>
      </c>
      <c r="F639" s="130"/>
      <c r="G639" s="130"/>
    </row>
    <row r="640" spans="1:7" ht="14.25" customHeight="1" x14ac:dyDescent="0.3">
      <c r="A640" s="319" t="s">
        <v>1149</v>
      </c>
      <c r="B640" s="320">
        <v>17786.80078125</v>
      </c>
      <c r="C640" s="320">
        <v>764.260009765625</v>
      </c>
      <c r="D640" s="320">
        <f t="shared" si="18"/>
        <v>2.8106052447453098E-3</v>
      </c>
      <c r="E640" s="320">
        <f t="shared" si="19"/>
        <v>-2.69409661136054E-2</v>
      </c>
      <c r="F640" s="130"/>
      <c r="G640" s="130"/>
    </row>
    <row r="641" spans="1:7" ht="14.25" customHeight="1" x14ac:dyDescent="0.3">
      <c r="A641" s="319" t="s">
        <v>1150</v>
      </c>
      <c r="B641" s="320">
        <v>18012.19921875</v>
      </c>
      <c r="C641" s="320">
        <v>784.34002685546898</v>
      </c>
      <c r="D641" s="320">
        <f t="shared" si="18"/>
        <v>1.26722303955641E-2</v>
      </c>
      <c r="E641" s="320">
        <f t="shared" si="19"/>
        <v>2.62738031995183E-2</v>
      </c>
      <c r="F641" s="130"/>
      <c r="G641" s="130"/>
    </row>
    <row r="642" spans="1:7" ht="14.25" customHeight="1" x14ac:dyDescent="0.3">
      <c r="A642" s="319" t="s">
        <v>1151</v>
      </c>
      <c r="B642" s="320">
        <v>18145.400390625</v>
      </c>
      <c r="C642" s="320">
        <v>800.15002441406295</v>
      </c>
      <c r="D642" s="320">
        <f t="shared" si="18"/>
        <v>7.3950532223928996E-3</v>
      </c>
      <c r="E642" s="320">
        <f t="shared" si="19"/>
        <v>2.0157070935138299E-2</v>
      </c>
      <c r="F642" s="130"/>
      <c r="G642" s="130"/>
    </row>
    <row r="643" spans="1:7" ht="14.25" customHeight="1" x14ac:dyDescent="0.3">
      <c r="A643" s="319" t="s">
        <v>1152</v>
      </c>
      <c r="B643" s="320">
        <v>18082.849609375</v>
      </c>
      <c r="C643" s="320">
        <v>797.54998779296898</v>
      </c>
      <c r="D643" s="320">
        <f t="shared" ref="D643:D706" si="20">(B643-B642)/B642</f>
        <v>-3.4471976315451E-3</v>
      </c>
      <c r="E643" s="320">
        <f t="shared" ref="E643:E706" si="21">(C643-C642)/C642</f>
        <v>-3.2494364078760598E-3</v>
      </c>
      <c r="F643" s="130"/>
      <c r="G643" s="130"/>
    </row>
    <row r="644" spans="1:7" ht="14.25" customHeight="1" x14ac:dyDescent="0.3">
      <c r="A644" s="319" t="s">
        <v>1153</v>
      </c>
      <c r="B644" s="320">
        <v>18052.69921875</v>
      </c>
      <c r="C644" s="320">
        <v>786.34997558593795</v>
      </c>
      <c r="D644" s="320">
        <f t="shared" si="20"/>
        <v>-1.66734730843355E-3</v>
      </c>
      <c r="E644" s="320">
        <f t="shared" si="21"/>
        <v>-1.40430222286435E-2</v>
      </c>
      <c r="F644" s="130"/>
      <c r="G644" s="130"/>
    </row>
    <row r="645" spans="1:7" ht="14.25" customHeight="1" x14ac:dyDescent="0.3">
      <c r="A645" s="319" t="s">
        <v>1154</v>
      </c>
      <c r="B645" s="320">
        <v>18117.150390625</v>
      </c>
      <c r="C645" s="320">
        <v>778.33001708984398</v>
      </c>
      <c r="D645" s="320">
        <f t="shared" si="20"/>
        <v>3.5701681556882798E-3</v>
      </c>
      <c r="E645" s="320">
        <f t="shared" si="21"/>
        <v>-1.0198968328469799E-2</v>
      </c>
      <c r="F645" s="130"/>
      <c r="G645" s="130"/>
    </row>
    <row r="646" spans="1:7" ht="14.25" customHeight="1" x14ac:dyDescent="0.3">
      <c r="A646" s="319" t="s">
        <v>1155</v>
      </c>
      <c r="B646" s="320">
        <v>18202.80078125</v>
      </c>
      <c r="C646" s="320">
        <v>788.530029296875</v>
      </c>
      <c r="D646" s="320">
        <f t="shared" si="20"/>
        <v>4.7275862251119297E-3</v>
      </c>
      <c r="E646" s="320">
        <f t="shared" si="21"/>
        <v>1.3104996573521099E-2</v>
      </c>
      <c r="F646" s="130"/>
      <c r="G646" s="130"/>
    </row>
    <row r="647" spans="1:7" ht="14.25" customHeight="1" x14ac:dyDescent="0.3">
      <c r="A647" s="319" t="s">
        <v>1156</v>
      </c>
      <c r="B647" s="320">
        <v>18157</v>
      </c>
      <c r="C647" s="320">
        <v>776.55999755859398</v>
      </c>
      <c r="D647" s="320">
        <f t="shared" si="20"/>
        <v>-2.5161392359563501E-3</v>
      </c>
      <c r="E647" s="320">
        <f t="shared" si="21"/>
        <v>-1.5180185019655601E-2</v>
      </c>
      <c r="F647" s="130"/>
      <c r="G647" s="130"/>
    </row>
    <row r="648" spans="1:7" ht="14.25" customHeight="1" x14ac:dyDescent="0.3">
      <c r="A648" s="319" t="s">
        <v>1157</v>
      </c>
      <c r="B648" s="320">
        <v>18028.19921875</v>
      </c>
      <c r="C648" s="320">
        <v>763.030029296875</v>
      </c>
      <c r="D648" s="320">
        <f t="shared" si="20"/>
        <v>-7.0937259046097902E-3</v>
      </c>
      <c r="E648" s="320">
        <f t="shared" si="21"/>
        <v>-1.7422952900298098E-2</v>
      </c>
      <c r="F648" s="130"/>
      <c r="G648" s="130"/>
    </row>
    <row r="649" spans="1:7" ht="14.25" customHeight="1" x14ac:dyDescent="0.3">
      <c r="A649" s="319" t="s">
        <v>1158</v>
      </c>
      <c r="B649" s="320">
        <v>18349.69921875</v>
      </c>
      <c r="C649" s="320">
        <v>820.03997802734398</v>
      </c>
      <c r="D649" s="320">
        <f t="shared" si="20"/>
        <v>1.7833173247033301E-2</v>
      </c>
      <c r="E649" s="320">
        <f t="shared" si="21"/>
        <v>7.4715209810291602E-2</v>
      </c>
      <c r="F649" s="130"/>
      <c r="G649" s="130"/>
    </row>
    <row r="650" spans="1:7" ht="14.25" customHeight="1" x14ac:dyDescent="0.3">
      <c r="A650" s="319" t="s">
        <v>1159</v>
      </c>
      <c r="B650" s="320">
        <v>18329.150390625</v>
      </c>
      <c r="C650" s="320">
        <v>872.16998291015602</v>
      </c>
      <c r="D650" s="320">
        <f t="shared" si="20"/>
        <v>-1.1198455015547599E-3</v>
      </c>
      <c r="E650" s="320">
        <f t="shared" si="21"/>
        <v>6.35700774103891E-2</v>
      </c>
      <c r="F650" s="130"/>
      <c r="G650" s="130"/>
    </row>
    <row r="651" spans="1:7" ht="14.25" customHeight="1" x14ac:dyDescent="0.3">
      <c r="A651" s="319" t="s">
        <v>1160</v>
      </c>
      <c r="B651" s="320">
        <v>18403.400390625</v>
      </c>
      <c r="C651" s="320">
        <v>830.94000244140602</v>
      </c>
      <c r="D651" s="320">
        <f t="shared" si="20"/>
        <v>4.0509242609508703E-3</v>
      </c>
      <c r="E651" s="320">
        <f t="shared" si="21"/>
        <v>-4.7272872578323001E-2</v>
      </c>
      <c r="F651" s="130"/>
      <c r="G651" s="130"/>
    </row>
    <row r="652" spans="1:7" ht="14.25" customHeight="1" x14ac:dyDescent="0.3">
      <c r="A652" s="319" t="s">
        <v>1161</v>
      </c>
      <c r="B652" s="320">
        <v>18409.650390625</v>
      </c>
      <c r="C652" s="320">
        <v>829.55999755859398</v>
      </c>
      <c r="D652" s="320">
        <f t="shared" si="20"/>
        <v>3.3961115159912802E-4</v>
      </c>
      <c r="E652" s="320">
        <f t="shared" si="21"/>
        <v>-1.6607756020379501E-3</v>
      </c>
      <c r="F652" s="130"/>
      <c r="G652" s="130"/>
    </row>
    <row r="653" spans="1:7" ht="14.25" customHeight="1" x14ac:dyDescent="0.3">
      <c r="A653" s="319" t="s">
        <v>1162</v>
      </c>
      <c r="B653" s="320">
        <v>18343.900390625</v>
      </c>
      <c r="C653" s="320">
        <v>781.510009765625</v>
      </c>
      <c r="D653" s="320">
        <f t="shared" si="20"/>
        <v>-3.5714963948192502E-3</v>
      </c>
      <c r="E653" s="320">
        <f t="shared" si="21"/>
        <v>-5.7922257503231503E-2</v>
      </c>
      <c r="F653" s="130"/>
      <c r="G653" s="130"/>
    </row>
    <row r="654" spans="1:7" ht="14.25" customHeight="1" x14ac:dyDescent="0.3">
      <c r="A654" s="319" t="s">
        <v>1163</v>
      </c>
      <c r="B654" s="320">
        <v>18307.650390625</v>
      </c>
      <c r="C654" s="320">
        <v>778.95001220703102</v>
      </c>
      <c r="D654" s="320">
        <f t="shared" si="20"/>
        <v>-1.9761337135545199E-3</v>
      </c>
      <c r="E654" s="320">
        <f t="shared" si="21"/>
        <v>-3.2757066788712298E-3</v>
      </c>
      <c r="F654" s="130"/>
      <c r="G654" s="130"/>
    </row>
    <row r="655" spans="1:7" ht="14.25" customHeight="1" x14ac:dyDescent="0.3">
      <c r="A655" s="319" t="s">
        <v>1164</v>
      </c>
      <c r="B655" s="320">
        <v>18159.94921875</v>
      </c>
      <c r="C655" s="320">
        <v>775.66998291015602</v>
      </c>
      <c r="D655" s="320">
        <f t="shared" si="20"/>
        <v>-8.0677295405769296E-3</v>
      </c>
      <c r="E655" s="320">
        <f t="shared" si="21"/>
        <v>-4.2108341298841001E-3</v>
      </c>
      <c r="F655" s="130"/>
      <c r="G655" s="130"/>
    </row>
    <row r="656" spans="1:7" ht="14.25" customHeight="1" x14ac:dyDescent="0.3">
      <c r="A656" s="319" t="s">
        <v>1165</v>
      </c>
      <c r="B656" s="320">
        <v>18244.19921875</v>
      </c>
      <c r="C656" s="320">
        <v>770.719970703125</v>
      </c>
      <c r="D656" s="320">
        <f t="shared" si="20"/>
        <v>4.6393301536885702E-3</v>
      </c>
      <c r="E656" s="320">
        <f t="shared" si="21"/>
        <v>-6.3815956735357804E-3</v>
      </c>
      <c r="F656" s="130"/>
      <c r="G656" s="130"/>
    </row>
    <row r="657" spans="1:7" ht="14.25" customHeight="1" x14ac:dyDescent="0.3">
      <c r="A657" s="319" t="s">
        <v>1166</v>
      </c>
      <c r="B657" s="320">
        <v>18267.25</v>
      </c>
      <c r="C657" s="320">
        <v>769.61999511718795</v>
      </c>
      <c r="D657" s="320">
        <f t="shared" si="20"/>
        <v>1.26345809830393E-3</v>
      </c>
      <c r="E657" s="320">
        <f t="shared" si="21"/>
        <v>-1.42720524671696E-3</v>
      </c>
      <c r="F657" s="130"/>
      <c r="G657" s="130"/>
    </row>
    <row r="658" spans="1:7" ht="14.25" customHeight="1" x14ac:dyDescent="0.3">
      <c r="A658" s="319" t="s">
        <v>1167</v>
      </c>
      <c r="B658" s="320">
        <v>18484.099609375</v>
      </c>
      <c r="C658" s="320">
        <v>772.40997314453102</v>
      </c>
      <c r="D658" s="320">
        <f t="shared" si="20"/>
        <v>1.18709498898302E-2</v>
      </c>
      <c r="E658" s="320">
        <f t="shared" si="21"/>
        <v>3.6251371391646898E-3</v>
      </c>
      <c r="F658" s="130"/>
      <c r="G658" s="130"/>
    </row>
    <row r="659" spans="1:7" ht="14.25" customHeight="1" x14ac:dyDescent="0.3">
      <c r="A659" s="319" t="s">
        <v>1168</v>
      </c>
      <c r="B659" s="320">
        <v>18512.75</v>
      </c>
      <c r="C659" s="320">
        <v>790.91998291015602</v>
      </c>
      <c r="D659" s="320">
        <f t="shared" si="20"/>
        <v>1.55000196008837E-3</v>
      </c>
      <c r="E659" s="320">
        <f t="shared" si="21"/>
        <v>2.3963970442108001E-2</v>
      </c>
      <c r="F659" s="130"/>
      <c r="G659" s="130"/>
    </row>
    <row r="660" spans="1:7" ht="14.25" customHeight="1" x14ac:dyDescent="0.3">
      <c r="A660" s="319" t="s">
        <v>1169</v>
      </c>
      <c r="B660" s="320">
        <v>18562.75</v>
      </c>
      <c r="C660" s="320">
        <v>788.02001953125</v>
      </c>
      <c r="D660" s="320">
        <f t="shared" si="20"/>
        <v>2.7008413120687101E-3</v>
      </c>
      <c r="E660" s="320">
        <f t="shared" si="21"/>
        <v>-3.6665698699832202E-3</v>
      </c>
      <c r="F660" s="130"/>
      <c r="G660" s="130"/>
    </row>
    <row r="661" spans="1:7" ht="14.25" customHeight="1" x14ac:dyDescent="0.3">
      <c r="A661" s="319" t="s">
        <v>1170</v>
      </c>
      <c r="B661" s="320">
        <v>18618.05078125</v>
      </c>
      <c r="C661" s="320">
        <v>792.22998046875</v>
      </c>
      <c r="D661" s="320">
        <f t="shared" si="20"/>
        <v>2.97912654375025E-3</v>
      </c>
      <c r="E661" s="320">
        <f t="shared" si="21"/>
        <v>5.3424542945041901E-3</v>
      </c>
      <c r="F661" s="130"/>
      <c r="G661" s="130"/>
    </row>
    <row r="662" spans="1:7" ht="14.25" customHeight="1" x14ac:dyDescent="0.3">
      <c r="A662" s="319" t="s">
        <v>1171</v>
      </c>
      <c r="B662" s="320">
        <v>18758.349609375</v>
      </c>
      <c r="C662" s="320">
        <v>798.719970703125</v>
      </c>
      <c r="D662" s="320">
        <f t="shared" si="20"/>
        <v>7.5356346254191698E-3</v>
      </c>
      <c r="E662" s="320">
        <f t="shared" si="21"/>
        <v>8.1920533107507198E-3</v>
      </c>
      <c r="F662" s="130"/>
      <c r="G662" s="130"/>
    </row>
    <row r="663" spans="1:7" ht="14.25" customHeight="1" x14ac:dyDescent="0.3">
      <c r="A663" s="319" t="s">
        <v>1172</v>
      </c>
      <c r="B663" s="320">
        <v>18812.5</v>
      </c>
      <c r="C663" s="320">
        <v>805.86999511718795</v>
      </c>
      <c r="D663" s="320">
        <f t="shared" si="20"/>
        <v>2.8867353340049102E-3</v>
      </c>
      <c r="E663" s="320">
        <f t="shared" si="21"/>
        <v>8.95185381150378E-3</v>
      </c>
      <c r="F663" s="130"/>
      <c r="G663" s="130"/>
    </row>
    <row r="664" spans="1:7" ht="14.25" customHeight="1" x14ac:dyDescent="0.3">
      <c r="A664" s="319" t="s">
        <v>1173</v>
      </c>
      <c r="B664" s="320">
        <v>18696.099609375</v>
      </c>
      <c r="C664" s="320">
        <v>808.52001953125</v>
      </c>
      <c r="D664" s="320">
        <f t="shared" si="20"/>
        <v>-6.1873961794019902E-3</v>
      </c>
      <c r="E664" s="320">
        <f t="shared" si="21"/>
        <v>3.2884018887893701E-3</v>
      </c>
      <c r="F664" s="130"/>
      <c r="G664" s="130"/>
    </row>
    <row r="665" spans="1:7" ht="14.25" customHeight="1" x14ac:dyDescent="0.3">
      <c r="A665" s="319" t="s">
        <v>1174</v>
      </c>
      <c r="B665" s="320">
        <v>18701.05078125</v>
      </c>
      <c r="C665" s="320">
        <v>811.28997802734398</v>
      </c>
      <c r="D665" s="320">
        <f t="shared" si="20"/>
        <v>2.6482378562624198E-4</v>
      </c>
      <c r="E665" s="320">
        <f t="shared" si="21"/>
        <v>3.4259615460108198E-3</v>
      </c>
      <c r="F665" s="130"/>
      <c r="G665" s="130"/>
    </row>
    <row r="666" spans="1:7" ht="14.25" customHeight="1" x14ac:dyDescent="0.3">
      <c r="A666" s="319" t="s">
        <v>1175</v>
      </c>
      <c r="B666" s="320">
        <v>18642.75</v>
      </c>
      <c r="C666" s="320">
        <v>810.63000488281295</v>
      </c>
      <c r="D666" s="320">
        <f t="shared" si="20"/>
        <v>-3.1175136590962799E-3</v>
      </c>
      <c r="E666" s="320">
        <f t="shared" si="21"/>
        <v>-8.13486129997256E-4</v>
      </c>
      <c r="F666" s="130"/>
      <c r="G666" s="130"/>
    </row>
    <row r="667" spans="1:7" ht="14.25" customHeight="1" x14ac:dyDescent="0.3">
      <c r="A667" s="319" t="s">
        <v>1176</v>
      </c>
      <c r="B667" s="320">
        <v>18560.5</v>
      </c>
      <c r="C667" s="320">
        <v>794.09002685546898</v>
      </c>
      <c r="D667" s="320">
        <f t="shared" si="20"/>
        <v>-4.4119027503989501E-3</v>
      </c>
      <c r="E667" s="320">
        <f t="shared" si="21"/>
        <v>-2.0403856170775499E-2</v>
      </c>
      <c r="F667" s="130"/>
      <c r="G667" s="130"/>
    </row>
    <row r="668" spans="1:7" ht="14.25" customHeight="1" x14ac:dyDescent="0.3">
      <c r="A668" s="319" t="s">
        <v>1177</v>
      </c>
      <c r="B668" s="320">
        <v>18609.349609375</v>
      </c>
      <c r="C668" s="320">
        <v>803.07000732421898</v>
      </c>
      <c r="D668" s="320">
        <f t="shared" si="20"/>
        <v>2.63191236092778E-3</v>
      </c>
      <c r="E668" s="320">
        <f t="shared" si="21"/>
        <v>1.1308516874730201E-2</v>
      </c>
      <c r="F668" s="130"/>
      <c r="G668" s="130"/>
    </row>
    <row r="669" spans="1:7" ht="14.25" customHeight="1" x14ac:dyDescent="0.3">
      <c r="A669" s="319" t="s">
        <v>1178</v>
      </c>
      <c r="B669" s="320">
        <v>18496.599609375</v>
      </c>
      <c r="C669" s="320">
        <v>803</v>
      </c>
      <c r="D669" s="320">
        <f t="shared" si="20"/>
        <v>-6.0587824059793504E-3</v>
      </c>
      <c r="E669" s="320">
        <f t="shared" si="21"/>
        <v>-8.7174621864210302E-5</v>
      </c>
      <c r="F669" s="130"/>
      <c r="G669" s="130"/>
    </row>
    <row r="670" spans="1:7" ht="14.25" customHeight="1" x14ac:dyDescent="0.3">
      <c r="A670" s="319" t="s">
        <v>1179</v>
      </c>
      <c r="B670" s="320">
        <v>18497.150390625</v>
      </c>
      <c r="C670" s="320">
        <v>809.989990234375</v>
      </c>
      <c r="D670" s="320">
        <f t="shared" si="20"/>
        <v>2.9777432697458399E-5</v>
      </c>
      <c r="E670" s="320">
        <f t="shared" si="21"/>
        <v>8.7048446256226594E-3</v>
      </c>
      <c r="F670" s="130"/>
      <c r="G670" s="130"/>
    </row>
    <row r="671" spans="1:7" ht="14.25" customHeight="1" x14ac:dyDescent="0.3">
      <c r="A671" s="319" t="s">
        <v>1180</v>
      </c>
      <c r="B671" s="320">
        <v>18608</v>
      </c>
      <c r="C671" s="320">
        <v>832</v>
      </c>
      <c r="D671" s="320">
        <f t="shared" si="20"/>
        <v>5.9927938646799602E-3</v>
      </c>
      <c r="E671" s="320">
        <f t="shared" si="21"/>
        <v>2.7173187361557698E-2</v>
      </c>
      <c r="F671" s="130"/>
      <c r="G671" s="130"/>
    </row>
    <row r="672" spans="1:7" ht="14.25" customHeight="1" x14ac:dyDescent="0.3">
      <c r="A672" s="319" t="s">
        <v>1181</v>
      </c>
      <c r="B672" s="320">
        <v>18660.30078125</v>
      </c>
      <c r="C672" s="320">
        <v>839.760009765625</v>
      </c>
      <c r="D672" s="320">
        <f t="shared" si="20"/>
        <v>2.8106610731943298E-3</v>
      </c>
      <c r="E672" s="320">
        <f t="shared" si="21"/>
        <v>9.3269348144531198E-3</v>
      </c>
      <c r="F672" s="130"/>
      <c r="G672" s="130"/>
    </row>
    <row r="673" spans="1:7" ht="14.25" customHeight="1" x14ac:dyDescent="0.3">
      <c r="A673" s="319" t="s">
        <v>1182</v>
      </c>
      <c r="B673" s="320">
        <v>18414.900390625</v>
      </c>
      <c r="C673" s="320">
        <v>827.94000244140602</v>
      </c>
      <c r="D673" s="320">
        <f t="shared" si="20"/>
        <v>-1.31509343553337E-2</v>
      </c>
      <c r="E673" s="320">
        <f t="shared" si="21"/>
        <v>-1.4075458686724E-2</v>
      </c>
      <c r="F673" s="130"/>
      <c r="G673" s="130"/>
    </row>
    <row r="674" spans="1:7" ht="14.25" customHeight="1" x14ac:dyDescent="0.3">
      <c r="A674" s="319" t="s">
        <v>1183</v>
      </c>
      <c r="B674" s="320">
        <v>18269</v>
      </c>
      <c r="C674" s="320">
        <v>827.239990234375</v>
      </c>
      <c r="D674" s="320">
        <f t="shared" si="20"/>
        <v>-7.9229530179418008E-3</v>
      </c>
      <c r="E674" s="320">
        <f t="shared" si="21"/>
        <v>-8.4548663546494499E-4</v>
      </c>
      <c r="F674" s="130"/>
      <c r="G674" s="130"/>
    </row>
    <row r="675" spans="1:7" ht="14.25" customHeight="1" x14ac:dyDescent="0.3">
      <c r="A675" s="319" t="s">
        <v>1184</v>
      </c>
      <c r="B675" s="320">
        <v>18420.44921875</v>
      </c>
      <c r="C675" s="320">
        <v>838.65997314453102</v>
      </c>
      <c r="D675" s="320">
        <f t="shared" si="20"/>
        <v>8.2899566889265992E-3</v>
      </c>
      <c r="E675" s="320">
        <f t="shared" si="21"/>
        <v>1.38049212380563E-2</v>
      </c>
      <c r="F675" s="130"/>
      <c r="G675" s="130"/>
    </row>
    <row r="676" spans="1:7" ht="14.25" customHeight="1" x14ac:dyDescent="0.3">
      <c r="A676" s="319" t="s">
        <v>1185</v>
      </c>
      <c r="B676" s="320">
        <v>18385.30078125</v>
      </c>
      <c r="C676" s="320">
        <v>845.510009765625</v>
      </c>
      <c r="D676" s="320">
        <f t="shared" si="20"/>
        <v>-1.90812053943955E-3</v>
      </c>
      <c r="E676" s="320">
        <f t="shared" si="21"/>
        <v>8.1678354046276509E-3</v>
      </c>
      <c r="F676" s="130"/>
      <c r="G676" s="130"/>
    </row>
    <row r="677" spans="1:7" ht="14.25" customHeight="1" x14ac:dyDescent="0.3">
      <c r="A677" s="319" t="s">
        <v>1186</v>
      </c>
      <c r="B677" s="320">
        <v>18199.099609375</v>
      </c>
      <c r="C677" s="320">
        <v>829.27001953125</v>
      </c>
      <c r="D677" s="320">
        <f t="shared" si="20"/>
        <v>-1.01277196435587E-2</v>
      </c>
      <c r="E677" s="320">
        <f t="shared" si="21"/>
        <v>-1.9207330542280299E-2</v>
      </c>
      <c r="F677" s="130"/>
      <c r="G677" s="130"/>
    </row>
    <row r="678" spans="1:7" ht="14.25" customHeight="1" x14ac:dyDescent="0.3">
      <c r="A678" s="319" t="s">
        <v>1187</v>
      </c>
      <c r="B678" s="320">
        <v>18127.349609375</v>
      </c>
      <c r="C678" s="320">
        <v>819.03997802734398</v>
      </c>
      <c r="D678" s="320">
        <f t="shared" si="20"/>
        <v>-3.9425027358517802E-3</v>
      </c>
      <c r="E678" s="320">
        <f t="shared" si="21"/>
        <v>-1.23362008308085E-2</v>
      </c>
      <c r="F678" s="130"/>
      <c r="G678" s="130"/>
    </row>
    <row r="679" spans="1:7" ht="14.25" customHeight="1" x14ac:dyDescent="0.3">
      <c r="A679" s="319" t="s">
        <v>1188</v>
      </c>
      <c r="B679" s="320">
        <v>17806.80078125</v>
      </c>
      <c r="C679" s="320">
        <v>769.11999511718795</v>
      </c>
      <c r="D679" s="320">
        <f t="shared" si="20"/>
        <v>-1.76831602541179E-2</v>
      </c>
      <c r="E679" s="320">
        <f t="shared" si="21"/>
        <v>-6.0949384949911999E-2</v>
      </c>
      <c r="F679" s="130"/>
      <c r="G679" s="130"/>
    </row>
    <row r="680" spans="1:7" ht="14.25" customHeight="1" x14ac:dyDescent="0.3">
      <c r="A680" s="319" t="s">
        <v>1189</v>
      </c>
      <c r="B680" s="320">
        <v>18014.599609375</v>
      </c>
      <c r="C680" s="320">
        <v>779.64001464843795</v>
      </c>
      <c r="D680" s="320">
        <f t="shared" si="20"/>
        <v>1.16696328935069E-2</v>
      </c>
      <c r="E680" s="320">
        <f t="shared" si="21"/>
        <v>1.3677995108743899E-2</v>
      </c>
      <c r="F680" s="130"/>
      <c r="G680" s="130"/>
    </row>
    <row r="681" spans="1:7" ht="14.25" customHeight="1" x14ac:dyDescent="0.3">
      <c r="A681" s="319" t="s">
        <v>1190</v>
      </c>
      <c r="B681" s="320">
        <v>18132.30078125</v>
      </c>
      <c r="C681" s="320">
        <v>786.80999755859398</v>
      </c>
      <c r="D681" s="320">
        <f t="shared" si="20"/>
        <v>6.5336546149905497E-3</v>
      </c>
      <c r="E681" s="320">
        <f t="shared" si="21"/>
        <v>9.1965301619224508E-3</v>
      </c>
      <c r="F681" s="130"/>
      <c r="G681" s="130"/>
    </row>
    <row r="682" spans="1:7" ht="14.25" customHeight="1" x14ac:dyDescent="0.3">
      <c r="A682" s="319" t="s">
        <v>1191</v>
      </c>
      <c r="B682" s="320">
        <v>18122.5</v>
      </c>
      <c r="C682" s="320">
        <v>786.66998291015602</v>
      </c>
      <c r="D682" s="320">
        <f t="shared" si="20"/>
        <v>-5.4051503823136803E-4</v>
      </c>
      <c r="E682" s="320">
        <f t="shared" si="21"/>
        <v>-1.7795229963067099E-4</v>
      </c>
      <c r="F682" s="130"/>
      <c r="G682" s="130"/>
    </row>
    <row r="683" spans="1:7" ht="14.25" customHeight="1" x14ac:dyDescent="0.3">
      <c r="A683" s="319" t="s">
        <v>1192</v>
      </c>
      <c r="B683" s="320">
        <v>18191</v>
      </c>
      <c r="C683" s="320">
        <v>784.11999511718795</v>
      </c>
      <c r="D683" s="320">
        <f t="shared" si="20"/>
        <v>3.77983170092427E-3</v>
      </c>
      <c r="E683" s="320">
        <f t="shared" si="21"/>
        <v>-3.2414962415812602E-3</v>
      </c>
      <c r="F683" s="130"/>
      <c r="G683" s="130"/>
    </row>
    <row r="684" spans="1:7" ht="14.25" customHeight="1" x14ac:dyDescent="0.3">
      <c r="A684" s="319" t="s">
        <v>1193</v>
      </c>
      <c r="B684" s="320">
        <v>18105.30078125</v>
      </c>
      <c r="C684" s="320">
        <v>786.40997314453102</v>
      </c>
      <c r="D684" s="320">
        <f t="shared" si="20"/>
        <v>-4.7110779368918698E-3</v>
      </c>
      <c r="E684" s="320">
        <f t="shared" si="21"/>
        <v>2.9204433525519598E-3</v>
      </c>
      <c r="F684" s="130"/>
      <c r="G684" s="130"/>
    </row>
    <row r="685" spans="1:7" ht="14.25" customHeight="1" x14ac:dyDescent="0.3">
      <c r="A685" s="319" t="s">
        <v>1194</v>
      </c>
      <c r="B685" s="320">
        <v>18197.44921875</v>
      </c>
      <c r="C685" s="320">
        <v>782.29998779296898</v>
      </c>
      <c r="D685" s="320">
        <f t="shared" si="20"/>
        <v>5.0895833553579904E-3</v>
      </c>
      <c r="E685" s="320">
        <f t="shared" si="21"/>
        <v>-5.2262630077387004E-3</v>
      </c>
      <c r="F685" s="130"/>
      <c r="G685" s="130"/>
    </row>
    <row r="686" spans="1:7" ht="14.25" customHeight="1" x14ac:dyDescent="0.3">
      <c r="A686" s="319" t="s">
        <v>1195</v>
      </c>
      <c r="B686" s="320">
        <v>18232.55078125</v>
      </c>
      <c r="C686" s="320">
        <v>783.40002441406295</v>
      </c>
      <c r="D686" s="320">
        <f t="shared" si="20"/>
        <v>1.92892762485814E-3</v>
      </c>
      <c r="E686" s="320">
        <f t="shared" si="21"/>
        <v>1.4061570219340101E-3</v>
      </c>
      <c r="F686" s="130"/>
      <c r="G686" s="130"/>
    </row>
    <row r="687" spans="1:7" ht="14.25" customHeight="1" x14ac:dyDescent="0.3">
      <c r="A687" s="319" t="s">
        <v>1196</v>
      </c>
      <c r="B687" s="320">
        <v>18042.94921875</v>
      </c>
      <c r="C687" s="320">
        <v>765.40997314453102</v>
      </c>
      <c r="D687" s="320">
        <f t="shared" si="20"/>
        <v>-1.03990694870288E-2</v>
      </c>
      <c r="E687" s="320">
        <f t="shared" si="21"/>
        <v>-2.29640677928079E-2</v>
      </c>
      <c r="F687" s="130"/>
      <c r="G687" s="130"/>
    </row>
    <row r="688" spans="1:7" ht="14.25" customHeight="1" x14ac:dyDescent="0.3">
      <c r="A688" s="319" t="s">
        <v>1197</v>
      </c>
      <c r="B688" s="320">
        <v>17992.150390625</v>
      </c>
      <c r="C688" s="320">
        <v>743.78997802734398</v>
      </c>
      <c r="D688" s="320">
        <f t="shared" si="20"/>
        <v>-2.8154392892826298E-3</v>
      </c>
      <c r="E688" s="320">
        <f t="shared" si="21"/>
        <v>-2.8246293980682902E-2</v>
      </c>
      <c r="F688" s="130"/>
      <c r="G688" s="130"/>
    </row>
    <row r="689" spans="1:7" ht="14.25" customHeight="1" x14ac:dyDescent="0.3">
      <c r="A689" s="319" t="s">
        <v>1198</v>
      </c>
      <c r="B689" s="320">
        <v>17859.44921875</v>
      </c>
      <c r="C689" s="320">
        <v>737.40997314453102</v>
      </c>
      <c r="D689" s="320">
        <f t="shared" si="20"/>
        <v>-7.3755037054462E-3</v>
      </c>
      <c r="E689" s="320">
        <f t="shared" si="21"/>
        <v>-8.5776967575360505E-3</v>
      </c>
      <c r="F689" s="130"/>
      <c r="G689" s="130"/>
    </row>
    <row r="690" spans="1:7" ht="14.25" customHeight="1" x14ac:dyDescent="0.3">
      <c r="A690" s="319" t="s">
        <v>1199</v>
      </c>
      <c r="B690" s="320">
        <v>18101.19921875</v>
      </c>
      <c r="C690" s="320">
        <v>734.260009765625</v>
      </c>
      <c r="D690" s="320">
        <f t="shared" si="20"/>
        <v>1.35362517084903E-2</v>
      </c>
      <c r="E690" s="320">
        <f t="shared" si="21"/>
        <v>-4.2716582276120596E-3</v>
      </c>
      <c r="F690" s="130"/>
      <c r="G690" s="130"/>
    </row>
    <row r="691" spans="1:7" ht="14.25" customHeight="1" x14ac:dyDescent="0.3">
      <c r="A691" s="319" t="s">
        <v>1200</v>
      </c>
      <c r="B691" s="320">
        <v>17914.150390625</v>
      </c>
      <c r="C691" s="320">
        <v>737.42999267578102</v>
      </c>
      <c r="D691" s="320">
        <f t="shared" si="20"/>
        <v>-1.0333504750958501E-2</v>
      </c>
      <c r="E691" s="320">
        <f t="shared" si="21"/>
        <v>4.3172484787342303E-3</v>
      </c>
      <c r="F691" s="130"/>
      <c r="G691" s="130"/>
    </row>
    <row r="692" spans="1:7" ht="14.25" customHeight="1" x14ac:dyDescent="0.3">
      <c r="A692" s="319" t="s">
        <v>1201</v>
      </c>
      <c r="B692" s="320">
        <v>17895.69921875</v>
      </c>
      <c r="C692" s="320">
        <v>731.11999511718795</v>
      </c>
      <c r="D692" s="320">
        <f t="shared" si="20"/>
        <v>-1.02997750229093E-3</v>
      </c>
      <c r="E692" s="320">
        <f t="shared" si="21"/>
        <v>-8.5567411432468394E-3</v>
      </c>
      <c r="F692" s="130"/>
      <c r="G692" s="130"/>
    </row>
    <row r="693" spans="1:7" ht="14.25" customHeight="1" x14ac:dyDescent="0.3">
      <c r="A693" s="319" t="s">
        <v>1202</v>
      </c>
      <c r="B693" s="320">
        <v>17858.19921875</v>
      </c>
      <c r="C693" s="320">
        <v>743.32000732421898</v>
      </c>
      <c r="D693" s="320">
        <f t="shared" si="20"/>
        <v>-2.0954755408891701E-3</v>
      </c>
      <c r="E693" s="320">
        <f t="shared" si="21"/>
        <v>1.6686744020830001E-2</v>
      </c>
      <c r="F693" s="130"/>
      <c r="G693" s="130"/>
    </row>
    <row r="694" spans="1:7" ht="14.25" customHeight="1" x14ac:dyDescent="0.3">
      <c r="A694" s="319" t="s">
        <v>1203</v>
      </c>
      <c r="B694" s="320">
        <v>17956.599609375</v>
      </c>
      <c r="C694" s="320">
        <v>746.46002197265602</v>
      </c>
      <c r="D694" s="320">
        <f t="shared" si="20"/>
        <v>5.5100959183883302E-3</v>
      </c>
      <c r="E694" s="320">
        <f t="shared" si="21"/>
        <v>4.2243106838202498E-3</v>
      </c>
      <c r="F694" s="130"/>
      <c r="G694" s="130"/>
    </row>
    <row r="695" spans="1:7" ht="14.25" customHeight="1" x14ac:dyDescent="0.3">
      <c r="A695" s="319" t="s">
        <v>1204</v>
      </c>
      <c r="B695" s="320">
        <v>17894.849609375</v>
      </c>
      <c r="C695" s="320">
        <v>752.010009765625</v>
      </c>
      <c r="D695" s="320">
        <f t="shared" si="20"/>
        <v>-3.4388470725693998E-3</v>
      </c>
      <c r="E695" s="320">
        <f t="shared" si="21"/>
        <v>7.43507706990406E-3</v>
      </c>
      <c r="F695" s="130"/>
      <c r="G695" s="130"/>
    </row>
    <row r="696" spans="1:7" ht="14.25" customHeight="1" x14ac:dyDescent="0.3">
      <c r="A696" s="319" t="s">
        <v>1205</v>
      </c>
      <c r="B696" s="320">
        <v>18053.30078125</v>
      </c>
      <c r="C696" s="320">
        <v>745.969970703125</v>
      </c>
      <c r="D696" s="320">
        <f t="shared" si="20"/>
        <v>8.8545685118241197E-3</v>
      </c>
      <c r="E696" s="320">
        <f t="shared" si="21"/>
        <v>-8.0318599274795104E-3</v>
      </c>
      <c r="F696" s="130"/>
      <c r="G696" s="130"/>
    </row>
    <row r="697" spans="1:7" ht="14.25" customHeight="1" x14ac:dyDescent="0.3">
      <c r="A697" s="319" t="s">
        <v>1206</v>
      </c>
      <c r="B697" s="320">
        <v>18165.349609375</v>
      </c>
      <c r="C697" s="320">
        <v>749.77001953125</v>
      </c>
      <c r="D697" s="320">
        <f t="shared" si="20"/>
        <v>6.2065563235601199E-3</v>
      </c>
      <c r="E697" s="320">
        <f t="shared" si="21"/>
        <v>5.0941042902078303E-3</v>
      </c>
      <c r="F697" s="130"/>
      <c r="G697" s="130"/>
    </row>
    <row r="698" spans="1:7" ht="14.25" customHeight="1" x14ac:dyDescent="0.3">
      <c r="A698" s="319" t="s">
        <v>1207</v>
      </c>
      <c r="B698" s="320">
        <v>18107.849609375</v>
      </c>
      <c r="C698" s="320">
        <v>743.22998046875</v>
      </c>
      <c r="D698" s="320">
        <f t="shared" si="20"/>
        <v>-3.16536709925608E-3</v>
      </c>
      <c r="E698" s="320">
        <f t="shared" si="21"/>
        <v>-8.7227268257388801E-3</v>
      </c>
      <c r="F698" s="130"/>
      <c r="G698" s="130"/>
    </row>
    <row r="699" spans="1:7" ht="14.25" customHeight="1" x14ac:dyDescent="0.3">
      <c r="A699" s="319" t="s">
        <v>1208</v>
      </c>
      <c r="B699" s="320">
        <v>18027.650390625</v>
      </c>
      <c r="C699" s="320">
        <v>734.10998535156295</v>
      </c>
      <c r="D699" s="320">
        <f t="shared" si="20"/>
        <v>-4.4289753051890996E-3</v>
      </c>
      <c r="E699" s="320">
        <f t="shared" si="21"/>
        <v>-1.2270757849993E-2</v>
      </c>
      <c r="F699" s="130"/>
      <c r="G699" s="130"/>
    </row>
    <row r="700" spans="1:7" ht="14.25" customHeight="1" x14ac:dyDescent="0.3">
      <c r="A700" s="319" t="s">
        <v>1209</v>
      </c>
      <c r="B700" s="320">
        <v>18118.55078125</v>
      </c>
      <c r="C700" s="320">
        <v>749.239990234375</v>
      </c>
      <c r="D700" s="320">
        <f t="shared" si="20"/>
        <v>5.0422760956287099E-3</v>
      </c>
      <c r="E700" s="320">
        <f t="shared" si="21"/>
        <v>2.0609997391012599E-2</v>
      </c>
      <c r="F700" s="130"/>
      <c r="G700" s="130"/>
    </row>
    <row r="701" spans="1:7" ht="14.25" customHeight="1" x14ac:dyDescent="0.3">
      <c r="A701" s="319" t="s">
        <v>1210</v>
      </c>
      <c r="B701" s="320">
        <v>18118.30078125</v>
      </c>
      <c r="C701" s="320">
        <v>745.29998779296898</v>
      </c>
      <c r="D701" s="320">
        <f t="shared" si="20"/>
        <v>-1.3798013043003E-5</v>
      </c>
      <c r="E701" s="320">
        <f t="shared" si="21"/>
        <v>-5.2586654379907297E-3</v>
      </c>
      <c r="F701" s="130"/>
      <c r="G701" s="130"/>
    </row>
    <row r="702" spans="1:7" ht="14.25" customHeight="1" x14ac:dyDescent="0.3">
      <c r="A702" s="319" t="s">
        <v>1211</v>
      </c>
      <c r="B702" s="320">
        <v>17891.94921875</v>
      </c>
      <c r="C702" s="320">
        <v>733.65002441406295</v>
      </c>
      <c r="D702" s="320">
        <f t="shared" si="20"/>
        <v>-1.24929796250123E-2</v>
      </c>
      <c r="E702" s="320">
        <f t="shared" si="21"/>
        <v>-1.56312405336335E-2</v>
      </c>
      <c r="F702" s="130"/>
      <c r="G702" s="130"/>
    </row>
    <row r="703" spans="1:7" ht="14.25" customHeight="1" x14ac:dyDescent="0.3">
      <c r="A703" s="319" t="s">
        <v>1212</v>
      </c>
      <c r="B703" s="320">
        <v>17604.349609375</v>
      </c>
      <c r="C703" s="320">
        <v>728.77001953125</v>
      </c>
      <c r="D703" s="320">
        <f t="shared" si="20"/>
        <v>-1.6074246906178799E-2</v>
      </c>
      <c r="E703" s="320">
        <f t="shared" si="21"/>
        <v>-6.6516795752994398E-3</v>
      </c>
      <c r="F703" s="130"/>
      <c r="G703" s="130"/>
    </row>
    <row r="704" spans="1:7" ht="14.25" customHeight="1" x14ac:dyDescent="0.3">
      <c r="A704" s="319" t="s">
        <v>1213</v>
      </c>
      <c r="B704" s="320">
        <v>17648.94921875</v>
      </c>
      <c r="C704" s="320">
        <v>745.54998779296898</v>
      </c>
      <c r="D704" s="320">
        <f t="shared" si="20"/>
        <v>2.5334426073456901E-3</v>
      </c>
      <c r="E704" s="320">
        <f t="shared" si="21"/>
        <v>2.3025052913828701E-2</v>
      </c>
      <c r="F704" s="130"/>
      <c r="G704" s="130"/>
    </row>
    <row r="705" spans="1:7" ht="14.25" customHeight="1" x14ac:dyDescent="0.3">
      <c r="A705" s="319" t="s">
        <v>1214</v>
      </c>
      <c r="B705" s="320">
        <v>17662.150390625</v>
      </c>
      <c r="C705" s="320">
        <v>734.19000244140602</v>
      </c>
      <c r="D705" s="320">
        <f t="shared" si="20"/>
        <v>7.4798628016761802E-4</v>
      </c>
      <c r="E705" s="320">
        <f t="shared" si="21"/>
        <v>-1.52370539032421E-2</v>
      </c>
      <c r="F705" s="130"/>
      <c r="G705" s="130"/>
    </row>
    <row r="706" spans="1:7" ht="14.25" customHeight="1" x14ac:dyDescent="0.3">
      <c r="A706" s="319" t="s">
        <v>1215</v>
      </c>
      <c r="B706" s="320">
        <v>17616.30078125</v>
      </c>
      <c r="C706" s="320">
        <v>726</v>
      </c>
      <c r="D706" s="320">
        <f t="shared" si="20"/>
        <v>-2.5959245256645998E-3</v>
      </c>
      <c r="E706" s="320">
        <f t="shared" si="21"/>
        <v>-1.1155153862313199E-2</v>
      </c>
      <c r="F706" s="130"/>
      <c r="G706" s="130"/>
    </row>
    <row r="707" spans="1:7" ht="14.25" customHeight="1" x14ac:dyDescent="0.3">
      <c r="A707" s="319" t="s">
        <v>1216</v>
      </c>
      <c r="B707" s="320">
        <v>17610.400390625</v>
      </c>
      <c r="C707" s="320">
        <v>729.09002685546898</v>
      </c>
      <c r="D707" s="320">
        <f t="shared" ref="D707:D770" si="22">(B707-B706)/B706</f>
        <v>-3.34939253040009E-4</v>
      </c>
      <c r="E707" s="320">
        <f t="shared" ref="E707:E770" si="23">(C707-C706)/C706</f>
        <v>4.2562353381115402E-3</v>
      </c>
      <c r="F707" s="130"/>
      <c r="G707" s="130"/>
    </row>
    <row r="708" spans="1:7" ht="14.25" customHeight="1" x14ac:dyDescent="0.3">
      <c r="A708" s="319" t="s">
        <v>1217</v>
      </c>
      <c r="B708" s="320">
        <v>17854.05078125</v>
      </c>
      <c r="C708" s="320">
        <v>731.40997314453102</v>
      </c>
      <c r="D708" s="320">
        <f t="shared" si="22"/>
        <v>1.38355963078902E-2</v>
      </c>
      <c r="E708" s="320">
        <f t="shared" si="23"/>
        <v>3.1819750697562898E-3</v>
      </c>
      <c r="F708" s="130"/>
      <c r="G708" s="130"/>
    </row>
    <row r="709" spans="1:7" ht="14.25" customHeight="1" x14ac:dyDescent="0.3">
      <c r="A709" s="319" t="s">
        <v>1218</v>
      </c>
      <c r="B709" s="320">
        <v>17764.599609375</v>
      </c>
      <c r="C709" s="320">
        <v>733.11999511718795</v>
      </c>
      <c r="D709" s="320">
        <f t="shared" si="22"/>
        <v>-5.0101331608701401E-3</v>
      </c>
      <c r="E709" s="320">
        <f t="shared" si="23"/>
        <v>2.3379801143605999E-3</v>
      </c>
      <c r="F709" s="130"/>
      <c r="G709" s="130"/>
    </row>
    <row r="710" spans="1:7" ht="14.25" customHeight="1" x14ac:dyDescent="0.3">
      <c r="A710" s="319" t="s">
        <v>1219</v>
      </c>
      <c r="B710" s="320">
        <v>17721.5</v>
      </c>
      <c r="C710" s="320">
        <v>735.30999755859398</v>
      </c>
      <c r="D710" s="320">
        <f t="shared" si="22"/>
        <v>-2.42615146542649E-3</v>
      </c>
      <c r="E710" s="320">
        <f t="shared" si="23"/>
        <v>2.9872359995527799E-3</v>
      </c>
      <c r="F710" s="130"/>
      <c r="G710" s="130"/>
    </row>
    <row r="711" spans="1:7" ht="14.25" customHeight="1" x14ac:dyDescent="0.3">
      <c r="A711" s="319" t="s">
        <v>1220</v>
      </c>
      <c r="B711" s="320">
        <v>17871.69921875</v>
      </c>
      <c r="C711" s="320">
        <v>757.489990234375</v>
      </c>
      <c r="D711" s="320">
        <f t="shared" si="22"/>
        <v>8.4755364246818805E-3</v>
      </c>
      <c r="E711" s="320">
        <f t="shared" si="23"/>
        <v>3.0164138593822901E-2</v>
      </c>
      <c r="F711" s="130"/>
      <c r="G711" s="130"/>
    </row>
    <row r="712" spans="1:7" ht="14.25" customHeight="1" x14ac:dyDescent="0.3">
      <c r="A712" s="319" t="s">
        <v>1221</v>
      </c>
      <c r="B712" s="320">
        <v>17893.44921875</v>
      </c>
      <c r="C712" s="320">
        <v>764.88000488281295</v>
      </c>
      <c r="D712" s="320">
        <f t="shared" si="22"/>
        <v>1.21700794836459E-3</v>
      </c>
      <c r="E712" s="320">
        <f t="shared" si="23"/>
        <v>9.7559238322758694E-3</v>
      </c>
      <c r="F712" s="130"/>
      <c r="G712" s="130"/>
    </row>
    <row r="713" spans="1:7" ht="14.25" customHeight="1" x14ac:dyDescent="0.3">
      <c r="A713" s="319" t="s">
        <v>1222</v>
      </c>
      <c r="B713" s="320">
        <v>17856.5</v>
      </c>
      <c r="C713" s="320">
        <v>762.760009765625</v>
      </c>
      <c r="D713" s="320">
        <f t="shared" si="22"/>
        <v>-2.0649578680046799E-3</v>
      </c>
      <c r="E713" s="320">
        <f t="shared" si="23"/>
        <v>-2.7716702014099E-3</v>
      </c>
      <c r="F713" s="130"/>
      <c r="G713" s="130"/>
    </row>
    <row r="714" spans="1:7" ht="14.25" customHeight="1" x14ac:dyDescent="0.3">
      <c r="A714" s="319" t="s">
        <v>1223</v>
      </c>
      <c r="B714" s="320">
        <v>17770.900390625</v>
      </c>
      <c r="C714" s="320">
        <v>692.77001953125</v>
      </c>
      <c r="D714" s="320">
        <f t="shared" si="22"/>
        <v>-4.7937507000252004E-3</v>
      </c>
      <c r="E714" s="320">
        <f t="shared" si="23"/>
        <v>-9.1758861684268098E-2</v>
      </c>
      <c r="F714" s="130"/>
      <c r="G714" s="130"/>
    </row>
    <row r="715" spans="1:7" ht="14.25" customHeight="1" x14ac:dyDescent="0.3">
      <c r="A715" s="319" t="s">
        <v>1224</v>
      </c>
      <c r="B715" s="320">
        <v>17929.849609375</v>
      </c>
      <c r="C715" s="320">
        <v>703.59002685546898</v>
      </c>
      <c r="D715" s="320">
        <f t="shared" si="22"/>
        <v>8.9443537049959092E-3</v>
      </c>
      <c r="E715" s="320">
        <f t="shared" si="23"/>
        <v>1.5618469360928901E-2</v>
      </c>
      <c r="F715" s="130"/>
      <c r="G715" s="130"/>
    </row>
    <row r="716" spans="1:7" ht="14.25" customHeight="1" x14ac:dyDescent="0.3">
      <c r="A716" s="319" t="s">
        <v>1225</v>
      </c>
      <c r="B716" s="320">
        <v>18015.849609375</v>
      </c>
      <c r="C716" s="320">
        <v>715.219970703125</v>
      </c>
      <c r="D716" s="320">
        <f t="shared" si="22"/>
        <v>4.7964707944361702E-3</v>
      </c>
      <c r="E716" s="320">
        <f t="shared" si="23"/>
        <v>1.6529432487315601E-2</v>
      </c>
      <c r="F716" s="130"/>
      <c r="G716" s="130"/>
    </row>
    <row r="717" spans="1:7" ht="14.25" customHeight="1" x14ac:dyDescent="0.3">
      <c r="A717" s="319" t="s">
        <v>1226</v>
      </c>
      <c r="B717" s="320">
        <v>18035.849609375</v>
      </c>
      <c r="C717" s="320">
        <v>717.79998779296898</v>
      </c>
      <c r="D717" s="320">
        <f t="shared" si="22"/>
        <v>1.1101336008928801E-3</v>
      </c>
      <c r="E717" s="320">
        <f t="shared" si="23"/>
        <v>3.6073057178585099E-3</v>
      </c>
      <c r="F717" s="130"/>
      <c r="G717" s="130"/>
    </row>
    <row r="718" spans="1:7" ht="14.25" customHeight="1" x14ac:dyDescent="0.3">
      <c r="A718" s="319" t="s">
        <v>1227</v>
      </c>
      <c r="B718" s="320">
        <v>17944.19921875</v>
      </c>
      <c r="C718" s="320">
        <v>703</v>
      </c>
      <c r="D718" s="320">
        <f t="shared" si="22"/>
        <v>-5.0815676893513403E-3</v>
      </c>
      <c r="E718" s="320">
        <f t="shared" si="23"/>
        <v>-2.0618540045500299E-2</v>
      </c>
      <c r="F718" s="130"/>
      <c r="G718" s="130"/>
    </row>
    <row r="719" spans="1:7" ht="14.25" customHeight="1" x14ac:dyDescent="0.3">
      <c r="A719" s="319" t="s">
        <v>1228</v>
      </c>
      <c r="B719" s="320">
        <v>17844.599609375</v>
      </c>
      <c r="C719" s="320">
        <v>702.03997802734398</v>
      </c>
      <c r="D719" s="320">
        <f t="shared" si="22"/>
        <v>-5.5505184801408003E-3</v>
      </c>
      <c r="E719" s="320">
        <f t="shared" si="23"/>
        <v>-1.3656073579744301E-3</v>
      </c>
      <c r="F719" s="130"/>
      <c r="G719" s="130"/>
    </row>
    <row r="720" spans="1:7" ht="14.25" customHeight="1" x14ac:dyDescent="0.3">
      <c r="A720" s="319" t="s">
        <v>1229</v>
      </c>
      <c r="B720" s="320">
        <v>17826.69921875</v>
      </c>
      <c r="C720" s="320">
        <v>714.92999267578102</v>
      </c>
      <c r="D720" s="320">
        <f t="shared" si="22"/>
        <v>-1.0031264929920699E-3</v>
      </c>
      <c r="E720" s="320">
        <f t="shared" si="23"/>
        <v>1.8360798603886602E-2</v>
      </c>
      <c r="F720" s="130"/>
      <c r="G720" s="130"/>
    </row>
    <row r="721" spans="1:7" ht="14.25" customHeight="1" x14ac:dyDescent="0.3">
      <c r="A721" s="319" t="s">
        <v>1230</v>
      </c>
      <c r="B721" s="320">
        <v>17554.30078125</v>
      </c>
      <c r="C721" s="320">
        <v>700.60998535156295</v>
      </c>
      <c r="D721" s="320">
        <f t="shared" si="22"/>
        <v>-1.5280363131582601E-2</v>
      </c>
      <c r="E721" s="320">
        <f t="shared" si="23"/>
        <v>-2.00299434502983E-2</v>
      </c>
      <c r="F721" s="130"/>
      <c r="G721" s="130"/>
    </row>
    <row r="722" spans="1:7" ht="14.25" customHeight="1" x14ac:dyDescent="0.3">
      <c r="A722" s="319" t="s">
        <v>1231</v>
      </c>
      <c r="B722" s="320">
        <v>17511.25</v>
      </c>
      <c r="C722" s="320">
        <v>700.77001953125</v>
      </c>
      <c r="D722" s="320">
        <f t="shared" si="22"/>
        <v>-2.4524349779846098E-3</v>
      </c>
      <c r="E722" s="320">
        <f t="shared" si="23"/>
        <v>2.2842120870821E-4</v>
      </c>
      <c r="F722" s="130"/>
      <c r="G722" s="130"/>
    </row>
    <row r="723" spans="1:7" ht="14.25" customHeight="1" x14ac:dyDescent="0.3">
      <c r="A723" s="319" t="s">
        <v>1232</v>
      </c>
      <c r="B723" s="320">
        <v>17465.80078125</v>
      </c>
      <c r="C723" s="320">
        <v>711.14001464843795</v>
      </c>
      <c r="D723" s="320">
        <f t="shared" si="22"/>
        <v>-2.5954297237490201E-3</v>
      </c>
      <c r="E723" s="320">
        <f t="shared" si="23"/>
        <v>1.47980005253714E-2</v>
      </c>
      <c r="F723" s="130"/>
      <c r="G723" s="130"/>
    </row>
    <row r="724" spans="1:7" ht="14.25" customHeight="1" x14ac:dyDescent="0.3">
      <c r="A724" s="319" t="s">
        <v>1233</v>
      </c>
      <c r="B724" s="320">
        <v>17392.69921875</v>
      </c>
      <c r="C724" s="320">
        <v>703.94000244140602</v>
      </c>
      <c r="D724" s="320">
        <f t="shared" si="22"/>
        <v>-4.1854114458053596E-3</v>
      </c>
      <c r="E724" s="320">
        <f t="shared" si="23"/>
        <v>-1.01246056454739E-2</v>
      </c>
      <c r="F724" s="130"/>
      <c r="G724" s="130"/>
    </row>
    <row r="725" spans="1:7" ht="14.25" customHeight="1" x14ac:dyDescent="0.3">
      <c r="A725" s="319" t="s">
        <v>1234</v>
      </c>
      <c r="B725" s="320">
        <v>17303.94921875</v>
      </c>
      <c r="C725" s="320">
        <v>698.34002685546898</v>
      </c>
      <c r="D725" s="320">
        <f t="shared" si="22"/>
        <v>-5.1027157362857197E-3</v>
      </c>
      <c r="E725" s="320">
        <f t="shared" si="23"/>
        <v>-7.9551887469318395E-3</v>
      </c>
      <c r="F725" s="130"/>
      <c r="G725" s="130"/>
    </row>
    <row r="726" spans="1:7" ht="14.25" customHeight="1" x14ac:dyDescent="0.3">
      <c r="A726" s="319" t="s">
        <v>1235</v>
      </c>
      <c r="B726" s="320">
        <v>17450.900390625</v>
      </c>
      <c r="C726" s="320">
        <v>702.16998291015602</v>
      </c>
      <c r="D726" s="320">
        <f t="shared" si="22"/>
        <v>8.4923487706360396E-3</v>
      </c>
      <c r="E726" s="320">
        <f t="shared" si="23"/>
        <v>5.4843713769821001E-3</v>
      </c>
      <c r="F726" s="130"/>
      <c r="G726" s="130"/>
    </row>
    <row r="727" spans="1:7" ht="14.25" customHeight="1" x14ac:dyDescent="0.3">
      <c r="A727" s="319" t="s">
        <v>1236</v>
      </c>
      <c r="B727" s="320">
        <v>17321.900390625</v>
      </c>
      <c r="C727" s="320">
        <v>700.82000732421898</v>
      </c>
      <c r="D727" s="320">
        <f t="shared" si="22"/>
        <v>-7.3921687198043699E-3</v>
      </c>
      <c r="E727" s="320">
        <f t="shared" si="23"/>
        <v>-1.9225766107831099E-3</v>
      </c>
      <c r="F727" s="130"/>
      <c r="G727" s="130"/>
    </row>
    <row r="728" spans="1:7" ht="14.25" customHeight="1" x14ac:dyDescent="0.3">
      <c r="A728" s="319" t="s">
        <v>1237</v>
      </c>
      <c r="B728" s="320">
        <v>17594.349609375</v>
      </c>
      <c r="C728" s="320">
        <v>703.13000488281295</v>
      </c>
      <c r="D728" s="320">
        <f t="shared" si="22"/>
        <v>1.5728598629827902E-2</v>
      </c>
      <c r="E728" s="320">
        <f t="shared" si="23"/>
        <v>3.29613529073423E-3</v>
      </c>
      <c r="F728" s="130"/>
      <c r="G728" s="130"/>
    </row>
    <row r="729" spans="1:7" ht="14.25" customHeight="1" x14ac:dyDescent="0.3">
      <c r="A729" s="319" t="s">
        <v>1238</v>
      </c>
      <c r="B729" s="320">
        <v>17711.44921875</v>
      </c>
      <c r="C729" s="320">
        <v>710.41998291015602</v>
      </c>
      <c r="D729" s="320">
        <f t="shared" si="22"/>
        <v>6.6555236183669098E-3</v>
      </c>
      <c r="E729" s="320">
        <f t="shared" si="23"/>
        <v>1.03678949507468E-2</v>
      </c>
      <c r="F729" s="130"/>
      <c r="G729" s="130"/>
    </row>
    <row r="730" spans="1:7" ht="14.25" customHeight="1" x14ac:dyDescent="0.3">
      <c r="A730" s="319" t="s">
        <v>1239</v>
      </c>
      <c r="B730" s="320">
        <v>17754.400390625</v>
      </c>
      <c r="C730" s="320">
        <v>700.32000732421898</v>
      </c>
      <c r="D730" s="320">
        <f t="shared" si="22"/>
        <v>2.4250512391459401E-3</v>
      </c>
      <c r="E730" s="320">
        <f t="shared" si="23"/>
        <v>-1.42169080669207E-2</v>
      </c>
      <c r="F730" s="130"/>
      <c r="G730" s="130"/>
    </row>
    <row r="731" spans="1:7" ht="14.25" customHeight="1" x14ac:dyDescent="0.3">
      <c r="A731" s="319" t="s">
        <v>1240</v>
      </c>
      <c r="B731" s="320">
        <v>17589.599609375</v>
      </c>
      <c r="C731" s="320">
        <v>702.34002685546898</v>
      </c>
      <c r="D731" s="320">
        <f t="shared" si="22"/>
        <v>-9.2822498999752794E-3</v>
      </c>
      <c r="E731" s="320">
        <f t="shared" si="23"/>
        <v>2.8844235636906702E-3</v>
      </c>
      <c r="F731" s="130"/>
      <c r="G731" s="130"/>
    </row>
    <row r="732" spans="1:7" ht="14.25" customHeight="1" x14ac:dyDescent="0.3">
      <c r="A732" s="319" t="s">
        <v>1241</v>
      </c>
      <c r="B732" s="320">
        <v>17412.900390625</v>
      </c>
      <c r="C732" s="320">
        <v>691.38000488281295</v>
      </c>
      <c r="D732" s="320">
        <f t="shared" si="22"/>
        <v>-1.0045664635585099E-2</v>
      </c>
      <c r="E732" s="320">
        <f t="shared" si="23"/>
        <v>-1.5605008334390999E-2</v>
      </c>
      <c r="F732" s="130"/>
      <c r="G732" s="130"/>
    </row>
    <row r="733" spans="1:7" ht="14.25" customHeight="1" x14ac:dyDescent="0.3">
      <c r="A733" s="319" t="s">
        <v>1242</v>
      </c>
      <c r="B733" s="320">
        <v>17154.30078125</v>
      </c>
      <c r="C733" s="320">
        <v>685.09997558593795</v>
      </c>
      <c r="D733" s="320">
        <f t="shared" si="22"/>
        <v>-1.48510359316262E-2</v>
      </c>
      <c r="E733" s="320">
        <f t="shared" si="23"/>
        <v>-9.0833250202823693E-3</v>
      </c>
      <c r="F733" s="130"/>
      <c r="G733" s="130"/>
    </row>
    <row r="734" spans="1:7" ht="14.25" customHeight="1" x14ac:dyDescent="0.3">
      <c r="A734" s="319" t="s">
        <v>1243</v>
      </c>
      <c r="B734" s="320">
        <v>17043.30078125</v>
      </c>
      <c r="C734" s="320">
        <v>675.15997314453102</v>
      </c>
      <c r="D734" s="320">
        <f t="shared" si="22"/>
        <v>-6.4706805258612004E-3</v>
      </c>
      <c r="E734" s="320">
        <f t="shared" si="23"/>
        <v>-1.4508834908227301E-2</v>
      </c>
      <c r="F734" s="130"/>
      <c r="G734" s="130"/>
    </row>
    <row r="735" spans="1:7" ht="14.25" customHeight="1" x14ac:dyDescent="0.3">
      <c r="A735" s="319" t="s">
        <v>1244</v>
      </c>
      <c r="B735" s="320">
        <v>16972.150390625</v>
      </c>
      <c r="C735" s="320">
        <v>676.28997802734398</v>
      </c>
      <c r="D735" s="320">
        <f t="shared" si="22"/>
        <v>-4.1746837386848999E-3</v>
      </c>
      <c r="E735" s="320">
        <f t="shared" si="23"/>
        <v>1.67368464920988E-3</v>
      </c>
      <c r="F735" s="130"/>
      <c r="G735" s="130"/>
    </row>
    <row r="736" spans="1:7" ht="14.25" customHeight="1" x14ac:dyDescent="0.3">
      <c r="A736" s="319" t="s">
        <v>1245</v>
      </c>
      <c r="B736" s="320">
        <v>16985.599609375</v>
      </c>
      <c r="C736" s="320">
        <v>685.16998291015602</v>
      </c>
      <c r="D736" s="320">
        <f t="shared" si="22"/>
        <v>7.9242868113100302E-4</v>
      </c>
      <c r="E736" s="320">
        <f t="shared" si="23"/>
        <v>1.3130469430752099E-2</v>
      </c>
      <c r="F736" s="130"/>
      <c r="G736" s="130"/>
    </row>
    <row r="737" spans="1:7" ht="14.25" customHeight="1" x14ac:dyDescent="0.3">
      <c r="A737" s="319" t="s">
        <v>1246</v>
      </c>
      <c r="B737" s="320">
        <v>17100.05078125</v>
      </c>
      <c r="C737" s="320">
        <v>698.09002685546898</v>
      </c>
      <c r="D737" s="320">
        <f t="shared" si="22"/>
        <v>6.7381296219787296E-3</v>
      </c>
      <c r="E737" s="320">
        <f t="shared" si="23"/>
        <v>1.8856698728156499E-2</v>
      </c>
      <c r="F737" s="130"/>
      <c r="G737" s="130"/>
    </row>
    <row r="738" spans="1:7" ht="14.25" customHeight="1" x14ac:dyDescent="0.3">
      <c r="A738" s="319" t="s">
        <v>1247</v>
      </c>
      <c r="B738" s="320">
        <v>16988.400390625</v>
      </c>
      <c r="C738" s="320">
        <v>689.09997558593795</v>
      </c>
      <c r="D738" s="320">
        <f t="shared" si="22"/>
        <v>-6.5292432199922697E-3</v>
      </c>
      <c r="E738" s="320">
        <f t="shared" si="23"/>
        <v>-1.28780686210724E-2</v>
      </c>
      <c r="F738" s="130"/>
      <c r="G738" s="130"/>
    </row>
    <row r="739" spans="1:7" ht="14.25" customHeight="1" x14ac:dyDescent="0.3">
      <c r="A739" s="319" t="s">
        <v>1248</v>
      </c>
      <c r="B739" s="320">
        <v>17107.5</v>
      </c>
      <c r="C739" s="320">
        <v>691.90997314453102</v>
      </c>
      <c r="D739" s="320">
        <f t="shared" si="22"/>
        <v>7.0106429467441103E-3</v>
      </c>
      <c r="E739" s="320">
        <f t="shared" si="23"/>
        <v>4.0777792165842697E-3</v>
      </c>
      <c r="F739" s="130"/>
      <c r="G739" s="130"/>
    </row>
    <row r="740" spans="1:7" ht="14.25" customHeight="1" x14ac:dyDescent="0.3">
      <c r="A740" s="319" t="s">
        <v>1249</v>
      </c>
      <c r="B740" s="320">
        <v>17151.900390625</v>
      </c>
      <c r="C740" s="320">
        <v>702.33001708984398</v>
      </c>
      <c r="D740" s="320">
        <f t="shared" si="22"/>
        <v>2.5953757489405199E-3</v>
      </c>
      <c r="E740" s="320">
        <f t="shared" si="23"/>
        <v>1.50598262053615E-2</v>
      </c>
      <c r="F740" s="130"/>
      <c r="G740" s="130"/>
    </row>
    <row r="741" spans="1:7" ht="14.25" customHeight="1" x14ac:dyDescent="0.3">
      <c r="A741" s="319" t="s">
        <v>1250</v>
      </c>
      <c r="B741" s="320">
        <v>17076.900390625</v>
      </c>
      <c r="C741" s="320">
        <v>703.61999511718795</v>
      </c>
      <c r="D741" s="320">
        <f t="shared" si="22"/>
        <v>-4.3726933046436102E-3</v>
      </c>
      <c r="E741" s="320">
        <f t="shared" si="23"/>
        <v>1.8367120811511001E-3</v>
      </c>
      <c r="F741" s="130"/>
      <c r="G741" s="130"/>
    </row>
    <row r="742" spans="1:7" ht="14.25" customHeight="1" x14ac:dyDescent="0.3">
      <c r="A742" s="319" t="s">
        <v>1251</v>
      </c>
      <c r="B742" s="320">
        <v>16945.05078125</v>
      </c>
      <c r="C742" s="320">
        <v>695.11999511718795</v>
      </c>
      <c r="D742" s="320">
        <f t="shared" si="22"/>
        <v>-7.7209333285906904E-3</v>
      </c>
      <c r="E742" s="320">
        <f t="shared" si="23"/>
        <v>-1.20803843821754E-2</v>
      </c>
      <c r="F742" s="130"/>
      <c r="G742" s="130"/>
    </row>
    <row r="743" spans="1:7" ht="14.25" customHeight="1" x14ac:dyDescent="0.3">
      <c r="A743" s="319" t="s">
        <v>1252</v>
      </c>
      <c r="B743" s="320">
        <v>16985.69921875</v>
      </c>
      <c r="C743" s="320">
        <v>713.10998535156295</v>
      </c>
      <c r="D743" s="320">
        <f t="shared" si="22"/>
        <v>2.3988383407489199E-3</v>
      </c>
      <c r="E743" s="320">
        <f t="shared" si="23"/>
        <v>2.5880409656957301E-2</v>
      </c>
      <c r="F743" s="130"/>
      <c r="G743" s="130"/>
    </row>
    <row r="744" spans="1:7" ht="14.25" customHeight="1" x14ac:dyDescent="0.3">
      <c r="A744" s="319" t="s">
        <v>1253</v>
      </c>
      <c r="B744" s="320">
        <v>16951.69921875</v>
      </c>
      <c r="C744" s="320">
        <v>714.69000244140602</v>
      </c>
      <c r="D744" s="320">
        <f t="shared" si="22"/>
        <v>-2.00168386135488E-3</v>
      </c>
      <c r="E744" s="320">
        <f t="shared" si="23"/>
        <v>2.2156709656282799E-3</v>
      </c>
      <c r="F744" s="130"/>
      <c r="G744" s="130"/>
    </row>
    <row r="745" spans="1:7" ht="14.25" customHeight="1" x14ac:dyDescent="0.3">
      <c r="A745" s="319" t="s">
        <v>1254</v>
      </c>
      <c r="B745" s="320">
        <v>17080.69921875</v>
      </c>
      <c r="C745" s="320">
        <v>720.41998291015602</v>
      </c>
      <c r="D745" s="320">
        <f t="shared" si="22"/>
        <v>7.6098565893214501E-3</v>
      </c>
      <c r="E745" s="320">
        <f t="shared" si="23"/>
        <v>8.0174347607720603E-3</v>
      </c>
      <c r="F745" s="130"/>
      <c r="G745" s="130"/>
    </row>
    <row r="746" spans="1:7" ht="14.25" customHeight="1" x14ac:dyDescent="0.3">
      <c r="A746" s="319" t="s">
        <v>1255</v>
      </c>
      <c r="B746" s="320">
        <v>17359.75</v>
      </c>
      <c r="C746" s="320">
        <v>744.71002197265602</v>
      </c>
      <c r="D746" s="320">
        <f t="shared" si="22"/>
        <v>1.6337198944623901E-2</v>
      </c>
      <c r="E746" s="320">
        <f t="shared" si="23"/>
        <v>3.3716498207586799E-2</v>
      </c>
      <c r="F746" s="130"/>
      <c r="G746" s="130"/>
    </row>
    <row r="747" spans="1:7" ht="14.25" customHeight="1" x14ac:dyDescent="0.3">
      <c r="A747" s="319" t="s">
        <v>1256</v>
      </c>
      <c r="B747" s="320">
        <v>17398.05078125</v>
      </c>
      <c r="C747" s="320">
        <v>739.15002441406295</v>
      </c>
      <c r="D747" s="320">
        <f t="shared" si="22"/>
        <v>2.2062979737611402E-3</v>
      </c>
      <c r="E747" s="320">
        <f t="shared" si="23"/>
        <v>-7.4659899753534101E-3</v>
      </c>
      <c r="F747" s="130"/>
      <c r="G747" s="130"/>
    </row>
    <row r="748" spans="1:7" ht="14.25" customHeight="1" x14ac:dyDescent="0.3">
      <c r="A748" s="319" t="s">
        <v>1257</v>
      </c>
      <c r="B748" s="320">
        <v>17557.05078125</v>
      </c>
      <c r="C748" s="320">
        <v>748.40002441406295</v>
      </c>
      <c r="D748" s="320">
        <f t="shared" si="22"/>
        <v>9.1389548173612303E-3</v>
      </c>
      <c r="E748" s="320">
        <f t="shared" si="23"/>
        <v>1.25143742061466E-2</v>
      </c>
      <c r="F748" s="130"/>
      <c r="G748" s="130"/>
    </row>
    <row r="749" spans="1:7" ht="14.25" customHeight="1" x14ac:dyDescent="0.3">
      <c r="A749" s="319" t="s">
        <v>1258</v>
      </c>
      <c r="B749" s="320">
        <v>17599.150390625</v>
      </c>
      <c r="C749" s="320">
        <v>748.71002197265602</v>
      </c>
      <c r="D749" s="320">
        <f t="shared" si="22"/>
        <v>2.39787478543721E-3</v>
      </c>
      <c r="E749" s="320">
        <f t="shared" si="23"/>
        <v>4.1421372057780302E-4</v>
      </c>
      <c r="F749" s="130"/>
      <c r="G749" s="130"/>
    </row>
    <row r="750" spans="1:7" ht="14.25" customHeight="1" x14ac:dyDescent="0.3">
      <c r="A750" s="319" t="s">
        <v>1259</v>
      </c>
      <c r="B750" s="320">
        <v>17624.05078125</v>
      </c>
      <c r="C750" s="320">
        <v>747.030029296875</v>
      </c>
      <c r="D750" s="320">
        <f t="shared" si="22"/>
        <v>1.4148632219351E-3</v>
      </c>
      <c r="E750" s="320">
        <f t="shared" si="23"/>
        <v>-2.2438495899316001E-3</v>
      </c>
      <c r="F750" s="130"/>
      <c r="G750" s="130"/>
    </row>
    <row r="751" spans="1:7" ht="14.25" customHeight="1" x14ac:dyDescent="0.3">
      <c r="A751" s="319" t="s">
        <v>1260</v>
      </c>
      <c r="B751" s="320">
        <v>17722.30078125</v>
      </c>
      <c r="C751" s="320">
        <v>751.30999755859398</v>
      </c>
      <c r="D751" s="320">
        <f t="shared" si="22"/>
        <v>5.5747683219641497E-3</v>
      </c>
      <c r="E751" s="320">
        <f t="shared" si="23"/>
        <v>5.7293122014752196E-3</v>
      </c>
      <c r="F751" s="130"/>
      <c r="G751" s="130"/>
    </row>
    <row r="752" spans="1:7" ht="14.25" customHeight="1" x14ac:dyDescent="0.3">
      <c r="A752" s="319" t="s">
        <v>1261</v>
      </c>
      <c r="B752" s="320">
        <v>17812.400390625</v>
      </c>
      <c r="C752" s="320">
        <v>772.05999755859398</v>
      </c>
      <c r="D752" s="320">
        <f t="shared" si="22"/>
        <v>5.0839679614468796E-3</v>
      </c>
      <c r="E752" s="320">
        <f t="shared" si="23"/>
        <v>2.7618426571492199E-2</v>
      </c>
      <c r="F752" s="130"/>
      <c r="G752" s="130"/>
    </row>
    <row r="753" spans="1:7" ht="14.25" customHeight="1" x14ac:dyDescent="0.3">
      <c r="A753" s="319" t="s">
        <v>1262</v>
      </c>
      <c r="B753" s="320">
        <v>17828</v>
      </c>
      <c r="C753" s="320">
        <v>764.09002685546898</v>
      </c>
      <c r="D753" s="320">
        <f t="shared" si="22"/>
        <v>8.7577244127132702E-4</v>
      </c>
      <c r="E753" s="320">
        <f t="shared" si="23"/>
        <v>-1.03229939749859E-2</v>
      </c>
      <c r="F753" s="130"/>
      <c r="G753" s="130"/>
    </row>
    <row r="754" spans="1:7" ht="14.25" customHeight="1" x14ac:dyDescent="0.3">
      <c r="A754" s="319" t="s">
        <v>1263</v>
      </c>
      <c r="B754" s="320">
        <v>17706.849609375</v>
      </c>
      <c r="C754" s="320">
        <v>732.83001708984398</v>
      </c>
      <c r="D754" s="320">
        <f t="shared" si="22"/>
        <v>-6.7955121508301497E-3</v>
      </c>
      <c r="E754" s="320">
        <f t="shared" si="23"/>
        <v>-4.0911422302254398E-2</v>
      </c>
      <c r="F754" s="130"/>
      <c r="G754" s="130"/>
    </row>
    <row r="755" spans="1:7" ht="14.25" customHeight="1" x14ac:dyDescent="0.3">
      <c r="A755" s="319" t="s">
        <v>1264</v>
      </c>
      <c r="B755" s="320">
        <v>17660.150390625</v>
      </c>
      <c r="C755" s="320">
        <v>740.90997314453102</v>
      </c>
      <c r="D755" s="320">
        <f t="shared" si="22"/>
        <v>-2.6373533282439401E-3</v>
      </c>
      <c r="E755" s="320">
        <f t="shared" si="23"/>
        <v>1.10256892679881E-2</v>
      </c>
      <c r="F755" s="130"/>
      <c r="G755" s="130"/>
    </row>
    <row r="756" spans="1:7" ht="14.25" customHeight="1" x14ac:dyDescent="0.3">
      <c r="A756" s="319" t="s">
        <v>1265</v>
      </c>
      <c r="B756" s="320">
        <v>17618.75</v>
      </c>
      <c r="C756" s="320">
        <v>722.739990234375</v>
      </c>
      <c r="D756" s="320">
        <f t="shared" si="22"/>
        <v>-2.34428301624077E-3</v>
      </c>
      <c r="E756" s="320">
        <f t="shared" si="23"/>
        <v>-2.4523874112586101E-2</v>
      </c>
      <c r="F756" s="130"/>
      <c r="G756" s="130"/>
    </row>
    <row r="757" spans="1:7" ht="14.25" customHeight="1" x14ac:dyDescent="0.3">
      <c r="A757" s="319" t="s">
        <v>1266</v>
      </c>
      <c r="B757" s="320">
        <v>17624.44921875</v>
      </c>
      <c r="C757" s="320">
        <v>721.34002685546898</v>
      </c>
      <c r="D757" s="320">
        <f t="shared" si="22"/>
        <v>3.2347463639588502E-4</v>
      </c>
      <c r="E757" s="320">
        <f t="shared" si="23"/>
        <v>-1.9370221626342199E-3</v>
      </c>
      <c r="F757" s="130"/>
      <c r="G757" s="130"/>
    </row>
    <row r="758" spans="1:7" ht="14.25" customHeight="1" x14ac:dyDescent="0.3">
      <c r="A758" s="319" t="s">
        <v>1267</v>
      </c>
      <c r="B758" s="320">
        <v>17624.05078125</v>
      </c>
      <c r="C758" s="320">
        <v>725.489990234375</v>
      </c>
      <c r="D758" s="320">
        <f t="shared" si="22"/>
        <v>-2.26070894502687E-5</v>
      </c>
      <c r="E758" s="320">
        <f t="shared" si="23"/>
        <v>5.7531305963942096E-3</v>
      </c>
      <c r="F758" s="130"/>
      <c r="G758" s="130"/>
    </row>
    <row r="759" spans="1:7" ht="14.25" customHeight="1" x14ac:dyDescent="0.3">
      <c r="A759" s="319" t="s">
        <v>1268</v>
      </c>
      <c r="B759" s="320">
        <v>17743.400390625</v>
      </c>
      <c r="C759" s="320">
        <v>734.11999511718795</v>
      </c>
      <c r="D759" s="320">
        <f t="shared" si="22"/>
        <v>6.77197375656535E-3</v>
      </c>
      <c r="E759" s="320">
        <f t="shared" si="23"/>
        <v>1.1895415510867299E-2</v>
      </c>
      <c r="F759" s="130"/>
      <c r="G759" s="130"/>
    </row>
    <row r="760" spans="1:7" ht="14.25" customHeight="1" x14ac:dyDescent="0.3">
      <c r="A760" s="319" t="s">
        <v>1269</v>
      </c>
      <c r="B760" s="320">
        <v>17769.25</v>
      </c>
      <c r="C760" s="320">
        <v>733.44000244140602</v>
      </c>
      <c r="D760" s="320">
        <f t="shared" si="22"/>
        <v>1.4568576938982899E-3</v>
      </c>
      <c r="E760" s="320">
        <f t="shared" si="23"/>
        <v>-9.2626911173204697E-4</v>
      </c>
      <c r="F760" s="130"/>
      <c r="G760" s="130"/>
    </row>
    <row r="761" spans="1:7" ht="14.25" customHeight="1" x14ac:dyDescent="0.3">
      <c r="A761" s="319" t="s">
        <v>1270</v>
      </c>
      <c r="B761" s="320">
        <v>17813.599609375</v>
      </c>
      <c r="C761" s="320">
        <v>730.469970703125</v>
      </c>
      <c r="D761" s="320">
        <f t="shared" si="22"/>
        <v>2.4958627615121599E-3</v>
      </c>
      <c r="E761" s="320">
        <f t="shared" si="23"/>
        <v>-4.0494542544648E-3</v>
      </c>
      <c r="F761" s="130"/>
      <c r="G761" s="130"/>
    </row>
    <row r="762" spans="1:7" ht="14.25" customHeight="1" x14ac:dyDescent="0.3">
      <c r="A762" s="319" t="s">
        <v>1271</v>
      </c>
      <c r="B762" s="320">
        <v>17915.05078125</v>
      </c>
      <c r="C762" s="320">
        <v>743.07000732421898</v>
      </c>
      <c r="D762" s="320">
        <f t="shared" si="22"/>
        <v>5.6951528101938402E-3</v>
      </c>
      <c r="E762" s="320">
        <f t="shared" si="23"/>
        <v>1.7249219169085901E-2</v>
      </c>
      <c r="F762" s="130"/>
      <c r="G762" s="130"/>
    </row>
    <row r="763" spans="1:7" ht="14.25" customHeight="1" x14ac:dyDescent="0.3">
      <c r="A763" s="319" t="s">
        <v>1272</v>
      </c>
      <c r="B763" s="320">
        <v>18065</v>
      </c>
      <c r="C763" s="320">
        <v>755.239990234375</v>
      </c>
      <c r="D763" s="320">
        <f t="shared" si="22"/>
        <v>8.3700136036978304E-3</v>
      </c>
      <c r="E763" s="320">
        <f t="shared" si="23"/>
        <v>1.63779762205447E-2</v>
      </c>
      <c r="F763" s="130"/>
      <c r="G763" s="130"/>
    </row>
    <row r="764" spans="1:7" ht="14.25" customHeight="1" x14ac:dyDescent="0.3">
      <c r="A764" s="319" t="s">
        <v>1273</v>
      </c>
      <c r="B764" s="320">
        <v>18147.650390625</v>
      </c>
      <c r="C764" s="320">
        <v>760.85998535156295</v>
      </c>
      <c r="D764" s="320">
        <f t="shared" si="22"/>
        <v>4.5751669319125396E-3</v>
      </c>
      <c r="E764" s="320">
        <f t="shared" si="23"/>
        <v>7.4413367801722096E-3</v>
      </c>
      <c r="F764" s="130"/>
      <c r="G764" s="130"/>
    </row>
    <row r="765" spans="1:7" ht="14.25" customHeight="1" x14ac:dyDescent="0.3">
      <c r="A765" s="319" t="s">
        <v>1274</v>
      </c>
      <c r="B765" s="320">
        <v>18089.849609375</v>
      </c>
      <c r="C765" s="320">
        <v>758.47998046875</v>
      </c>
      <c r="D765" s="320">
        <f t="shared" si="22"/>
        <v>-3.18502836487635E-3</v>
      </c>
      <c r="E765" s="320">
        <f t="shared" si="23"/>
        <v>-3.1280458016375401E-3</v>
      </c>
      <c r="F765" s="130"/>
      <c r="G765" s="130"/>
    </row>
    <row r="766" spans="1:7" ht="14.25" customHeight="1" x14ac:dyDescent="0.3">
      <c r="A766" s="319" t="s">
        <v>1275</v>
      </c>
      <c r="B766" s="320">
        <v>18255.80078125</v>
      </c>
      <c r="C766" s="320">
        <v>760.55999755859398</v>
      </c>
      <c r="D766" s="320">
        <f t="shared" si="22"/>
        <v>9.1737176073037295E-3</v>
      </c>
      <c r="E766" s="320">
        <f t="shared" si="23"/>
        <v>2.7423493610978398E-3</v>
      </c>
      <c r="F766" s="130"/>
      <c r="G766" s="130"/>
    </row>
    <row r="767" spans="1:7" ht="14.25" customHeight="1" x14ac:dyDescent="0.3">
      <c r="A767" s="319" t="s">
        <v>1276</v>
      </c>
      <c r="B767" s="320">
        <v>18069</v>
      </c>
      <c r="C767" s="320">
        <v>763.27001953125</v>
      </c>
      <c r="D767" s="320">
        <f t="shared" si="22"/>
        <v>-1.0232406865540399E-2</v>
      </c>
      <c r="E767" s="320">
        <f t="shared" si="23"/>
        <v>3.56319288597247E-3</v>
      </c>
      <c r="F767" s="130"/>
      <c r="G767" s="130"/>
    </row>
    <row r="768" spans="1:7" ht="14.25" customHeight="1" x14ac:dyDescent="0.3">
      <c r="A768" s="319" t="s">
        <v>1277</v>
      </c>
      <c r="B768" s="320">
        <v>18264.400390625</v>
      </c>
      <c r="C768" s="320">
        <v>778.530029296875</v>
      </c>
      <c r="D768" s="320">
        <f t="shared" si="22"/>
        <v>1.08141231183242E-2</v>
      </c>
      <c r="E768" s="320">
        <f t="shared" si="23"/>
        <v>1.99929374600573E-2</v>
      </c>
      <c r="F768" s="130"/>
      <c r="G768" s="130"/>
    </row>
    <row r="769" spans="1:7" ht="14.25" customHeight="1" x14ac:dyDescent="0.3">
      <c r="A769" s="319" t="s">
        <v>1278</v>
      </c>
      <c r="B769" s="320">
        <v>18265.94921875</v>
      </c>
      <c r="C769" s="320">
        <v>781.260009765625</v>
      </c>
      <c r="D769" s="320">
        <f t="shared" si="22"/>
        <v>8.4800381719347498E-5</v>
      </c>
      <c r="E769" s="320">
        <f t="shared" si="23"/>
        <v>3.5065833892310699E-3</v>
      </c>
      <c r="F769" s="130"/>
      <c r="G769" s="130"/>
    </row>
    <row r="770" spans="1:7" ht="14.25" customHeight="1" x14ac:dyDescent="0.3">
      <c r="A770" s="319" t="s">
        <v>1279</v>
      </c>
      <c r="B770" s="320">
        <v>18315.099609375</v>
      </c>
      <c r="C770" s="320">
        <v>784.030029296875</v>
      </c>
      <c r="D770" s="320">
        <f t="shared" si="22"/>
        <v>2.69082050083371E-3</v>
      </c>
      <c r="E770" s="320">
        <f t="shared" si="23"/>
        <v>3.5455795722617298E-3</v>
      </c>
      <c r="F770" s="130"/>
      <c r="G770" s="130"/>
    </row>
    <row r="771" spans="1:7" ht="14.25" customHeight="1" x14ac:dyDescent="0.3">
      <c r="A771" s="319" t="s">
        <v>1280</v>
      </c>
      <c r="B771" s="320">
        <v>18297</v>
      </c>
      <c r="C771" s="320">
        <v>777.59002685546898</v>
      </c>
      <c r="D771" s="320">
        <f t="shared" ref="D771:D834" si="24">(B771-B770)/B770</f>
        <v>-9.8823428542727096E-4</v>
      </c>
      <c r="E771" s="320">
        <f t="shared" ref="E771:E834" si="25">(C771-C770)/C770</f>
        <v>-8.2139742111427497E-3</v>
      </c>
      <c r="F771" s="130"/>
      <c r="G771" s="130"/>
    </row>
    <row r="772" spans="1:7" ht="14.25" customHeight="1" x14ac:dyDescent="0.3">
      <c r="A772" s="319" t="s">
        <v>1281</v>
      </c>
      <c r="B772" s="320">
        <v>18314.80078125</v>
      </c>
      <c r="C772" s="320">
        <v>776.55999755859398</v>
      </c>
      <c r="D772" s="320">
        <f t="shared" si="24"/>
        <v>9.7287977537301195E-4</v>
      </c>
      <c r="E772" s="320">
        <f t="shared" si="25"/>
        <v>-1.3246431426601299E-3</v>
      </c>
      <c r="F772" s="130"/>
      <c r="G772" s="130"/>
    </row>
    <row r="773" spans="1:7" ht="14.25" customHeight="1" x14ac:dyDescent="0.3">
      <c r="A773" s="319" t="s">
        <v>1282</v>
      </c>
      <c r="B773" s="320">
        <v>18398.849609375</v>
      </c>
      <c r="C773" s="320">
        <v>795.030029296875</v>
      </c>
      <c r="D773" s="320">
        <f t="shared" si="24"/>
        <v>4.5891205221869503E-3</v>
      </c>
      <c r="E773" s="320">
        <f t="shared" si="25"/>
        <v>2.3784423349578199E-2</v>
      </c>
      <c r="F773" s="130"/>
      <c r="G773" s="130"/>
    </row>
    <row r="774" spans="1:7" ht="14.25" customHeight="1" x14ac:dyDescent="0.3">
      <c r="A774" s="319" t="s">
        <v>1283</v>
      </c>
      <c r="B774" s="320">
        <v>18286.5</v>
      </c>
      <c r="C774" s="320">
        <v>786.65997314453102</v>
      </c>
      <c r="D774" s="320">
        <f t="shared" si="24"/>
        <v>-6.1063388070606902E-3</v>
      </c>
      <c r="E774" s="320">
        <f t="shared" si="25"/>
        <v>-1.05279748486311E-2</v>
      </c>
      <c r="F774" s="130"/>
      <c r="G774" s="130"/>
    </row>
    <row r="775" spans="1:7" ht="14.25" customHeight="1" x14ac:dyDescent="0.3">
      <c r="A775" s="319" t="s">
        <v>1284</v>
      </c>
      <c r="B775" s="320">
        <v>18181.75</v>
      </c>
      <c r="C775" s="320">
        <v>767.239990234375</v>
      </c>
      <c r="D775" s="320">
        <f t="shared" si="24"/>
        <v>-5.7282694884204198E-3</v>
      </c>
      <c r="E775" s="320">
        <f t="shared" si="25"/>
        <v>-2.4686629005068302E-2</v>
      </c>
      <c r="F775" s="130"/>
      <c r="G775" s="130"/>
    </row>
    <row r="776" spans="1:7" ht="14.25" customHeight="1" x14ac:dyDescent="0.3">
      <c r="A776" s="319" t="s">
        <v>1285</v>
      </c>
      <c r="B776" s="320">
        <v>18129.94921875</v>
      </c>
      <c r="C776" s="320">
        <v>748.63000488281295</v>
      </c>
      <c r="D776" s="320">
        <f t="shared" si="24"/>
        <v>-2.8490536527012002E-3</v>
      </c>
      <c r="E776" s="320">
        <f t="shared" si="25"/>
        <v>-2.42557551593174E-2</v>
      </c>
      <c r="F776" s="130"/>
      <c r="G776" s="130"/>
    </row>
    <row r="777" spans="1:7" ht="14.25" customHeight="1" x14ac:dyDescent="0.3">
      <c r="A777" s="319" t="s">
        <v>1286</v>
      </c>
      <c r="B777" s="320">
        <v>18203.400390625</v>
      </c>
      <c r="C777" s="320">
        <v>765.80999755859398</v>
      </c>
      <c r="D777" s="320">
        <f t="shared" si="24"/>
        <v>4.0513721791915897E-3</v>
      </c>
      <c r="E777" s="320">
        <f t="shared" si="25"/>
        <v>2.29485761507386E-2</v>
      </c>
      <c r="F777" s="130"/>
      <c r="G777" s="130"/>
    </row>
    <row r="778" spans="1:7" ht="14.25" customHeight="1" x14ac:dyDescent="0.3">
      <c r="A778" s="319" t="s">
        <v>1287</v>
      </c>
      <c r="B778" s="320">
        <v>18314.400390625</v>
      </c>
      <c r="C778" s="320">
        <v>777.760009765625</v>
      </c>
      <c r="D778" s="320">
        <f t="shared" si="24"/>
        <v>6.0977618257062804E-3</v>
      </c>
      <c r="E778" s="320">
        <f t="shared" si="25"/>
        <v>1.5604408724262799E-2</v>
      </c>
      <c r="F778" s="130"/>
      <c r="G778" s="130"/>
    </row>
    <row r="779" spans="1:7" ht="14.25" customHeight="1" x14ac:dyDescent="0.3">
      <c r="A779" s="319" t="s">
        <v>1288</v>
      </c>
      <c r="B779" s="320">
        <v>18348</v>
      </c>
      <c r="C779" s="320">
        <v>790.739990234375</v>
      </c>
      <c r="D779" s="320">
        <f t="shared" si="24"/>
        <v>1.83460056886161E-3</v>
      </c>
      <c r="E779" s="320">
        <f t="shared" si="25"/>
        <v>1.6688927568622999E-2</v>
      </c>
      <c r="F779" s="130"/>
      <c r="G779" s="130"/>
    </row>
    <row r="780" spans="1:7" ht="14.25" customHeight="1" x14ac:dyDescent="0.3">
      <c r="A780" s="319" t="s">
        <v>1289</v>
      </c>
      <c r="B780" s="320">
        <v>18285.400390625</v>
      </c>
      <c r="C780" s="320">
        <v>775.61999511718795</v>
      </c>
      <c r="D780" s="320">
        <f t="shared" si="24"/>
        <v>-3.4117947119577099E-3</v>
      </c>
      <c r="E780" s="320">
        <f t="shared" si="25"/>
        <v>-1.9121323448818499E-2</v>
      </c>
      <c r="F780" s="130"/>
      <c r="G780" s="130"/>
    </row>
    <row r="781" spans="1:7" ht="14.25" customHeight="1" x14ac:dyDescent="0.3">
      <c r="A781" s="319" t="s">
        <v>1290</v>
      </c>
      <c r="B781" s="320">
        <v>18321.150390625</v>
      </c>
      <c r="C781" s="320">
        <v>780.07000732421898</v>
      </c>
      <c r="D781" s="320">
        <f t="shared" si="24"/>
        <v>1.9551116867164201E-3</v>
      </c>
      <c r="E781" s="320">
        <f t="shared" si="25"/>
        <v>5.7373613819208897E-3</v>
      </c>
      <c r="F781" s="130"/>
      <c r="G781" s="130"/>
    </row>
    <row r="782" spans="1:7" ht="14.25" customHeight="1" x14ac:dyDescent="0.3">
      <c r="A782" s="319" t="s">
        <v>1291</v>
      </c>
      <c r="B782" s="320">
        <v>18499.349609375</v>
      </c>
      <c r="C782" s="320">
        <v>839.54998779296898</v>
      </c>
      <c r="D782" s="320">
        <f t="shared" si="24"/>
        <v>9.7264208278747197E-3</v>
      </c>
      <c r="E782" s="320">
        <f t="shared" si="25"/>
        <v>7.6249541592782299E-2</v>
      </c>
      <c r="F782" s="130"/>
      <c r="G782" s="130"/>
    </row>
    <row r="783" spans="1:7" ht="14.25" customHeight="1" x14ac:dyDescent="0.3">
      <c r="A783" s="319" t="s">
        <v>1292</v>
      </c>
      <c r="B783" s="320">
        <v>18598.650390625</v>
      </c>
      <c r="C783" s="320">
        <v>841.41998291015602</v>
      </c>
      <c r="D783" s="320">
        <f t="shared" si="24"/>
        <v>5.3677985089636299E-3</v>
      </c>
      <c r="E783" s="320">
        <f t="shared" si="25"/>
        <v>2.2273779338654199E-3</v>
      </c>
      <c r="F783" s="130"/>
      <c r="G783" s="130"/>
    </row>
    <row r="784" spans="1:7" ht="14.25" customHeight="1" x14ac:dyDescent="0.3">
      <c r="A784" s="319" t="s">
        <v>1293</v>
      </c>
      <c r="B784" s="320">
        <v>18633.849609375</v>
      </c>
      <c r="C784" s="320">
        <v>813.04998779296898</v>
      </c>
      <c r="D784" s="320">
        <f t="shared" si="24"/>
        <v>1.8925684396832801E-3</v>
      </c>
      <c r="E784" s="320">
        <f t="shared" si="25"/>
        <v>-3.3716806937560302E-2</v>
      </c>
      <c r="F784" s="130"/>
      <c r="G784" s="130"/>
    </row>
    <row r="785" spans="1:7" ht="14.25" customHeight="1" x14ac:dyDescent="0.3">
      <c r="A785" s="319" t="s">
        <v>1294</v>
      </c>
      <c r="B785" s="320">
        <v>18534.400390625</v>
      </c>
      <c r="C785" s="320">
        <v>814.77001953125</v>
      </c>
      <c r="D785" s="320">
        <f t="shared" si="24"/>
        <v>-5.33701950132545E-3</v>
      </c>
      <c r="E785" s="320">
        <f t="shared" si="25"/>
        <v>2.11553012004842E-3</v>
      </c>
      <c r="F785" s="130"/>
      <c r="G785" s="130"/>
    </row>
    <row r="786" spans="1:7" ht="14.25" customHeight="1" x14ac:dyDescent="0.3">
      <c r="A786" s="319" t="s">
        <v>1295</v>
      </c>
      <c r="B786" s="320">
        <v>18487.75</v>
      </c>
      <c r="C786" s="320">
        <v>843.72998046875</v>
      </c>
      <c r="D786" s="320">
        <f t="shared" si="24"/>
        <v>-2.51696249362329E-3</v>
      </c>
      <c r="E786" s="320">
        <f t="shared" si="25"/>
        <v>3.55437242943243E-2</v>
      </c>
      <c r="F786" s="130"/>
      <c r="G786" s="130"/>
    </row>
    <row r="787" spans="1:7" ht="14.25" customHeight="1" x14ac:dyDescent="0.3">
      <c r="A787" s="319" t="s">
        <v>1296</v>
      </c>
      <c r="B787" s="320">
        <v>18534.099609375</v>
      </c>
      <c r="C787" s="320">
        <v>853.27001953125</v>
      </c>
      <c r="D787" s="320">
        <f t="shared" si="24"/>
        <v>2.5070443604548998E-3</v>
      </c>
      <c r="E787" s="320">
        <f t="shared" si="25"/>
        <v>1.13069812420318E-2</v>
      </c>
      <c r="F787" s="130"/>
      <c r="G787" s="130"/>
    </row>
    <row r="788" spans="1:7" ht="14.25" customHeight="1" x14ac:dyDescent="0.3">
      <c r="A788" s="319" t="s">
        <v>1297</v>
      </c>
      <c r="B788" s="320">
        <v>18593.849609375</v>
      </c>
      <c r="C788" s="320">
        <v>827.38000488281295</v>
      </c>
      <c r="D788" s="320">
        <f t="shared" si="24"/>
        <v>3.2237875731377301E-3</v>
      </c>
      <c r="E788" s="320">
        <f t="shared" si="25"/>
        <v>-3.03421121752993E-2</v>
      </c>
      <c r="F788" s="130"/>
      <c r="G788" s="130"/>
    </row>
    <row r="789" spans="1:7" ht="14.25" customHeight="1" x14ac:dyDescent="0.3">
      <c r="A789" s="319" t="s">
        <v>1298</v>
      </c>
      <c r="B789" s="320">
        <v>18599</v>
      </c>
      <c r="C789" s="320">
        <v>823.260009765625</v>
      </c>
      <c r="D789" s="320">
        <f t="shared" si="24"/>
        <v>2.76994314421215E-4</v>
      </c>
      <c r="E789" s="320">
        <f t="shared" si="25"/>
        <v>-4.9795681462854501E-3</v>
      </c>
      <c r="F789" s="130"/>
      <c r="G789" s="130"/>
    </row>
    <row r="790" spans="1:7" ht="14.25" customHeight="1" x14ac:dyDescent="0.3">
      <c r="A790" s="319" t="s">
        <v>1299</v>
      </c>
      <c r="B790" s="320">
        <v>18726.400390625</v>
      </c>
      <c r="C790" s="320">
        <v>836.86999511718795</v>
      </c>
      <c r="D790" s="320">
        <f t="shared" si="24"/>
        <v>6.8498516385289499E-3</v>
      </c>
      <c r="E790" s="320">
        <f t="shared" si="25"/>
        <v>1.6531818854455999E-2</v>
      </c>
      <c r="F790" s="130"/>
      <c r="G790" s="130"/>
    </row>
    <row r="791" spans="1:7" ht="14.25" customHeight="1" x14ac:dyDescent="0.3">
      <c r="A791" s="319" t="s">
        <v>1300</v>
      </c>
      <c r="B791" s="320">
        <v>18634.55078125</v>
      </c>
      <c r="C791" s="320">
        <v>824.17999267578102</v>
      </c>
      <c r="D791" s="320">
        <f t="shared" si="24"/>
        <v>-4.9048192636628003E-3</v>
      </c>
      <c r="E791" s="320">
        <f t="shared" si="25"/>
        <v>-1.51636484943279E-2</v>
      </c>
      <c r="F791" s="130"/>
      <c r="G791" s="130"/>
    </row>
    <row r="792" spans="1:7" ht="14.25" customHeight="1" x14ac:dyDescent="0.3">
      <c r="A792" s="319" t="s">
        <v>1301</v>
      </c>
      <c r="B792" s="320">
        <v>18563.400390625</v>
      </c>
      <c r="C792" s="320">
        <v>828.61999511718795</v>
      </c>
      <c r="D792" s="320">
        <f t="shared" si="24"/>
        <v>-3.8181972541345699E-3</v>
      </c>
      <c r="E792" s="320">
        <f t="shared" si="25"/>
        <v>5.3871757150911002E-3</v>
      </c>
      <c r="F792" s="130"/>
      <c r="G792" s="130"/>
    </row>
    <row r="793" spans="1:7" ht="14.25" customHeight="1" x14ac:dyDescent="0.3">
      <c r="A793" s="319" t="s">
        <v>1302</v>
      </c>
      <c r="B793" s="320">
        <v>18601.5</v>
      </c>
      <c r="C793" s="320">
        <v>853.719970703125</v>
      </c>
      <c r="D793" s="320">
        <f t="shared" si="24"/>
        <v>2.0524046550351501E-3</v>
      </c>
      <c r="E793" s="320">
        <f t="shared" si="25"/>
        <v>3.0291298464729E-2</v>
      </c>
      <c r="F793" s="130"/>
      <c r="G793" s="130"/>
    </row>
    <row r="794" spans="1:7" ht="14.25" customHeight="1" x14ac:dyDescent="0.3">
      <c r="A794" s="319" t="s">
        <v>1303</v>
      </c>
      <c r="B794" s="320">
        <v>18716.150390625</v>
      </c>
      <c r="C794" s="320">
        <v>866.97998046875</v>
      </c>
      <c r="D794" s="320">
        <f t="shared" si="24"/>
        <v>6.1635024393194102E-3</v>
      </c>
      <c r="E794" s="320">
        <f t="shared" si="25"/>
        <v>1.5532036523292299E-2</v>
      </c>
      <c r="F794" s="130"/>
      <c r="G794" s="130"/>
    </row>
    <row r="795" spans="1:7" ht="14.25" customHeight="1" x14ac:dyDescent="0.3">
      <c r="A795" s="319" t="s">
        <v>1304</v>
      </c>
      <c r="B795" s="320">
        <v>18755.900390625</v>
      </c>
      <c r="C795" s="320">
        <v>861.96002197265602</v>
      </c>
      <c r="D795" s="320">
        <f t="shared" si="24"/>
        <v>2.1238341844010298E-3</v>
      </c>
      <c r="E795" s="320">
        <f t="shared" si="25"/>
        <v>-5.7901665657606504E-3</v>
      </c>
      <c r="F795" s="130"/>
      <c r="G795" s="130"/>
    </row>
    <row r="796" spans="1:7" ht="14.25" customHeight="1" x14ac:dyDescent="0.3">
      <c r="A796" s="319" t="s">
        <v>1305</v>
      </c>
      <c r="B796" s="320">
        <v>18688.099609375</v>
      </c>
      <c r="C796" s="320">
        <v>864.29998779296898</v>
      </c>
      <c r="D796" s="320">
        <f t="shared" si="24"/>
        <v>-3.6149041015322201E-3</v>
      </c>
      <c r="E796" s="320">
        <f t="shared" si="25"/>
        <v>2.7147034208823001E-3</v>
      </c>
      <c r="F796" s="130"/>
      <c r="G796" s="130"/>
    </row>
    <row r="797" spans="1:7" ht="14.25" customHeight="1" x14ac:dyDescent="0.3">
      <c r="A797" s="319" t="s">
        <v>1306</v>
      </c>
      <c r="B797" s="320">
        <v>18826</v>
      </c>
      <c r="C797" s="320">
        <v>883.38000488281295</v>
      </c>
      <c r="D797" s="320">
        <f t="shared" si="24"/>
        <v>7.3790483520229898E-3</v>
      </c>
      <c r="E797" s="320">
        <f t="shared" si="25"/>
        <v>2.20756882556087E-2</v>
      </c>
      <c r="F797" s="130"/>
      <c r="G797" s="130"/>
    </row>
    <row r="798" spans="1:7" ht="14.25" customHeight="1" x14ac:dyDescent="0.3">
      <c r="A798" s="319" t="s">
        <v>1307</v>
      </c>
      <c r="B798" s="320">
        <v>18755.44921875</v>
      </c>
      <c r="C798" s="320">
        <v>888.33001708984398</v>
      </c>
      <c r="D798" s="320">
        <f t="shared" si="24"/>
        <v>-3.7475183921172801E-3</v>
      </c>
      <c r="E798" s="320">
        <f t="shared" si="25"/>
        <v>5.6034913397068299E-3</v>
      </c>
      <c r="F798" s="130"/>
      <c r="G798" s="130"/>
    </row>
    <row r="799" spans="1:7" ht="14.25" customHeight="1" x14ac:dyDescent="0.3">
      <c r="A799" s="319" t="s">
        <v>1308</v>
      </c>
      <c r="B799" s="320">
        <v>18816.69921875</v>
      </c>
      <c r="C799" s="320">
        <v>891.14001464843795</v>
      </c>
      <c r="D799" s="320">
        <f t="shared" si="24"/>
        <v>3.2657175674986102E-3</v>
      </c>
      <c r="E799" s="320">
        <f t="shared" si="25"/>
        <v>3.1632360772852102E-3</v>
      </c>
      <c r="F799" s="130"/>
      <c r="G799" s="130"/>
    </row>
    <row r="800" spans="1:7" ht="14.25" customHeight="1" x14ac:dyDescent="0.3">
      <c r="A800" s="319" t="s">
        <v>1309</v>
      </c>
      <c r="B800" s="320">
        <v>18856.849609375</v>
      </c>
      <c r="C800" s="320">
        <v>894.82000732421898</v>
      </c>
      <c r="D800" s="320">
        <f t="shared" si="24"/>
        <v>2.1337637466719902E-3</v>
      </c>
      <c r="E800" s="320">
        <f t="shared" si="25"/>
        <v>4.1295336482368699E-3</v>
      </c>
      <c r="F800" s="130"/>
      <c r="G800" s="130"/>
    </row>
    <row r="801" spans="1:7" ht="14.25" customHeight="1" x14ac:dyDescent="0.3">
      <c r="A801" s="319" t="s">
        <v>1310</v>
      </c>
      <c r="B801" s="320">
        <v>18771.25</v>
      </c>
      <c r="C801" s="320">
        <v>880.86999511718795</v>
      </c>
      <c r="D801" s="320">
        <f t="shared" si="24"/>
        <v>-4.5394438174043003E-3</v>
      </c>
      <c r="E801" s="320">
        <f t="shared" si="25"/>
        <v>-1.55897410572499E-2</v>
      </c>
      <c r="F801" s="130"/>
      <c r="G801" s="130"/>
    </row>
    <row r="802" spans="1:7" ht="14.25" customHeight="1" x14ac:dyDescent="0.3">
      <c r="A802" s="319" t="s">
        <v>1311</v>
      </c>
      <c r="B802" s="320">
        <v>18665.5</v>
      </c>
      <c r="C802" s="320">
        <v>861.38000488281295</v>
      </c>
      <c r="D802" s="320">
        <f t="shared" si="24"/>
        <v>-5.63361523606579E-3</v>
      </c>
      <c r="E802" s="320">
        <f t="shared" si="25"/>
        <v>-2.2125841886329801E-2</v>
      </c>
      <c r="F802" s="130"/>
      <c r="G802" s="130"/>
    </row>
    <row r="803" spans="1:7" ht="14.25" customHeight="1" x14ac:dyDescent="0.3">
      <c r="A803" s="319" t="s">
        <v>1312</v>
      </c>
      <c r="B803" s="320">
        <v>18691.19921875</v>
      </c>
      <c r="C803" s="320">
        <v>881.52001953125</v>
      </c>
      <c r="D803" s="320">
        <f t="shared" si="24"/>
        <v>1.37682991347674E-3</v>
      </c>
      <c r="E803" s="320">
        <f t="shared" si="25"/>
        <v>2.33811030373023E-2</v>
      </c>
      <c r="F803" s="130"/>
      <c r="G803" s="130"/>
    </row>
    <row r="804" spans="1:7" ht="14.25" customHeight="1" x14ac:dyDescent="0.3">
      <c r="A804" s="319" t="s">
        <v>1313</v>
      </c>
      <c r="B804" s="320">
        <v>18817.400390625</v>
      </c>
      <c r="C804" s="320">
        <v>878.35998535156295</v>
      </c>
      <c r="D804" s="320">
        <f t="shared" si="24"/>
        <v>6.7519034171120403E-3</v>
      </c>
      <c r="E804" s="320">
        <f t="shared" si="25"/>
        <v>-3.5847560006265098E-3</v>
      </c>
      <c r="F804" s="130"/>
      <c r="G804" s="130"/>
    </row>
    <row r="805" spans="1:7" ht="14.25" customHeight="1" x14ac:dyDescent="0.3">
      <c r="A805" s="319" t="s">
        <v>1314</v>
      </c>
      <c r="B805" s="320">
        <v>18972.099609375</v>
      </c>
      <c r="C805" s="320">
        <v>886.34002685546898</v>
      </c>
      <c r="D805" s="320">
        <f t="shared" si="24"/>
        <v>8.2210728123249498E-3</v>
      </c>
      <c r="E805" s="320">
        <f t="shared" si="25"/>
        <v>9.0851605685475494E-3</v>
      </c>
      <c r="F805" s="130"/>
      <c r="G805" s="130"/>
    </row>
    <row r="806" spans="1:7" ht="14.25" customHeight="1" x14ac:dyDescent="0.3">
      <c r="A806" s="319" t="s">
        <v>1315</v>
      </c>
      <c r="B806" s="320">
        <v>19189.05078125</v>
      </c>
      <c r="C806" s="320">
        <v>896.72998046875</v>
      </c>
      <c r="D806" s="320">
        <f t="shared" si="24"/>
        <v>1.1435274763568801E-2</v>
      </c>
      <c r="E806" s="320">
        <f t="shared" si="25"/>
        <v>1.17223111881139E-2</v>
      </c>
      <c r="F806" s="130"/>
      <c r="G806" s="130"/>
    </row>
    <row r="807" spans="1:7" ht="14.25" customHeight="1" x14ac:dyDescent="0.3">
      <c r="A807" s="319" t="s">
        <v>1316</v>
      </c>
      <c r="B807" s="320">
        <v>19322.55078125</v>
      </c>
      <c r="C807" s="320">
        <v>895.280029296875</v>
      </c>
      <c r="D807" s="320">
        <f t="shared" si="24"/>
        <v>6.9570924336937803E-3</v>
      </c>
      <c r="E807" s="320">
        <f t="shared" si="25"/>
        <v>-1.61693174473442E-3</v>
      </c>
      <c r="F807" s="130"/>
      <c r="G807" s="130"/>
    </row>
    <row r="808" spans="1:7" ht="14.25" customHeight="1" x14ac:dyDescent="0.3">
      <c r="A808" s="319" t="s">
        <v>1317</v>
      </c>
      <c r="B808" s="320">
        <v>19389</v>
      </c>
      <c r="C808" s="320">
        <v>886.38000488281295</v>
      </c>
      <c r="D808" s="320">
        <f t="shared" si="24"/>
        <v>3.4389465191355701E-3</v>
      </c>
      <c r="E808" s="320">
        <f t="shared" si="25"/>
        <v>-9.9410509816150391E-3</v>
      </c>
      <c r="F808" s="130"/>
      <c r="G808" s="130"/>
    </row>
    <row r="809" spans="1:7" ht="14.25" customHeight="1" x14ac:dyDescent="0.3">
      <c r="A809" s="319" t="s">
        <v>1318</v>
      </c>
      <c r="B809" s="320">
        <v>19398.5</v>
      </c>
      <c r="C809" s="320">
        <v>888.21002197265602</v>
      </c>
      <c r="D809" s="320">
        <f t="shared" si="24"/>
        <v>4.8996853886224196E-4</v>
      </c>
      <c r="E809" s="320">
        <f t="shared" si="25"/>
        <v>2.0645965384620902E-3</v>
      </c>
      <c r="F809" s="130"/>
      <c r="G809" s="130"/>
    </row>
    <row r="810" spans="1:7" ht="14.25" customHeight="1" x14ac:dyDescent="0.3">
      <c r="A810" s="319" t="s">
        <v>1319</v>
      </c>
      <c r="B810" s="320">
        <v>19497.30078125</v>
      </c>
      <c r="C810" s="320">
        <v>893.57000732421898</v>
      </c>
      <c r="D810" s="320">
        <f t="shared" si="24"/>
        <v>5.0932175812562798E-3</v>
      </c>
      <c r="E810" s="320">
        <f t="shared" si="25"/>
        <v>6.0345922912002003E-3</v>
      </c>
      <c r="F810" s="130"/>
      <c r="G810" s="130"/>
    </row>
    <row r="811" spans="1:7" ht="14.25" customHeight="1" x14ac:dyDescent="0.3">
      <c r="A811" s="319" t="s">
        <v>1320</v>
      </c>
      <c r="B811" s="320">
        <v>19331.80078125</v>
      </c>
      <c r="C811" s="320">
        <v>880.97998046875</v>
      </c>
      <c r="D811" s="320">
        <f t="shared" si="24"/>
        <v>-8.4883544577184101E-3</v>
      </c>
      <c r="E811" s="320">
        <f t="shared" si="25"/>
        <v>-1.4089580841203E-2</v>
      </c>
      <c r="F811" s="130"/>
      <c r="G811" s="130"/>
    </row>
    <row r="812" spans="1:7" ht="14.25" customHeight="1" x14ac:dyDescent="0.3">
      <c r="A812" s="319" t="s">
        <v>1321</v>
      </c>
      <c r="B812" s="320">
        <v>19355.900390625</v>
      </c>
      <c r="C812" s="320">
        <v>866.36999511718795</v>
      </c>
      <c r="D812" s="320">
        <f t="shared" si="24"/>
        <v>1.24663033970298E-3</v>
      </c>
      <c r="E812" s="320">
        <f t="shared" si="25"/>
        <v>-1.65837881398717E-2</v>
      </c>
      <c r="F812" s="130"/>
      <c r="G812" s="130"/>
    </row>
    <row r="813" spans="1:7" ht="14.25" customHeight="1" x14ac:dyDescent="0.3">
      <c r="A813" s="319" t="s">
        <v>1322</v>
      </c>
      <c r="B813" s="320">
        <v>19439.400390625</v>
      </c>
      <c r="C813" s="320">
        <v>880.47998046875</v>
      </c>
      <c r="D813" s="320">
        <f t="shared" si="24"/>
        <v>4.3139300324382297E-3</v>
      </c>
      <c r="E813" s="320">
        <f t="shared" si="25"/>
        <v>1.6286327355616099E-2</v>
      </c>
      <c r="F813" s="130"/>
      <c r="G813" s="130"/>
    </row>
    <row r="814" spans="1:7" ht="14.25" customHeight="1" x14ac:dyDescent="0.3">
      <c r="A814" s="319" t="s">
        <v>1323</v>
      </c>
      <c r="B814" s="320">
        <v>19384.30078125</v>
      </c>
      <c r="C814" s="320">
        <v>892.14001464843795</v>
      </c>
      <c r="D814" s="320">
        <f t="shared" si="24"/>
        <v>-2.83442947147551E-3</v>
      </c>
      <c r="E814" s="320">
        <f t="shared" si="25"/>
        <v>1.3242815780411501E-2</v>
      </c>
      <c r="F814" s="130"/>
      <c r="G814" s="130"/>
    </row>
    <row r="815" spans="1:7" ht="14.25" customHeight="1" x14ac:dyDescent="0.3">
      <c r="A815" s="319" t="s">
        <v>1324</v>
      </c>
      <c r="B815" s="320">
        <v>19413.75</v>
      </c>
      <c r="C815" s="320">
        <v>925.09997558593795</v>
      </c>
      <c r="D815" s="320">
        <f t="shared" si="24"/>
        <v>1.51923038557499E-3</v>
      </c>
      <c r="E815" s="320">
        <f t="shared" si="25"/>
        <v>3.6944829731113897E-2</v>
      </c>
      <c r="F815" s="130"/>
      <c r="G815" s="130"/>
    </row>
    <row r="816" spans="1:7" ht="14.25" customHeight="1" x14ac:dyDescent="0.3">
      <c r="A816" s="319" t="s">
        <v>1325</v>
      </c>
      <c r="B816" s="320">
        <v>19564.5</v>
      </c>
      <c r="C816" s="320">
        <v>944.15997314453102</v>
      </c>
      <c r="D816" s="320">
        <f t="shared" si="24"/>
        <v>7.7651149314274699E-3</v>
      </c>
      <c r="E816" s="320">
        <f t="shared" si="25"/>
        <v>2.0603175939466301E-2</v>
      </c>
      <c r="F816" s="130"/>
      <c r="G816" s="130"/>
    </row>
    <row r="817" spans="1:7" ht="14.25" customHeight="1" x14ac:dyDescent="0.3">
      <c r="A817" s="319" t="s">
        <v>1326</v>
      </c>
      <c r="B817" s="320">
        <v>19711.44921875</v>
      </c>
      <c r="C817" s="320">
        <v>946.67999267578102</v>
      </c>
      <c r="D817" s="320">
        <f t="shared" si="24"/>
        <v>7.5110132510414302E-3</v>
      </c>
      <c r="E817" s="320">
        <f t="shared" si="25"/>
        <v>2.6690599082029101E-3</v>
      </c>
      <c r="F817" s="130"/>
      <c r="G817" s="130"/>
    </row>
    <row r="818" spans="1:7" ht="14.25" customHeight="1" x14ac:dyDescent="0.3">
      <c r="A818" s="319" t="s">
        <v>1327</v>
      </c>
      <c r="B818" s="320">
        <v>19749.25</v>
      </c>
      <c r="C818" s="320">
        <v>937.989990234375</v>
      </c>
      <c r="D818" s="320">
        <f t="shared" si="24"/>
        <v>1.9177068530325499E-3</v>
      </c>
      <c r="E818" s="320">
        <f t="shared" si="25"/>
        <v>-9.1794508267189906E-3</v>
      </c>
      <c r="F818" s="130"/>
      <c r="G818" s="130"/>
    </row>
    <row r="819" spans="1:7" ht="14.25" customHeight="1" x14ac:dyDescent="0.3">
      <c r="A819" s="319" t="s">
        <v>1328</v>
      </c>
      <c r="B819" s="320">
        <v>19833.150390625</v>
      </c>
      <c r="C819" s="320">
        <v>935.90002441406295</v>
      </c>
      <c r="D819" s="320">
        <f t="shared" si="24"/>
        <v>4.2482823714824602E-3</v>
      </c>
      <c r="E819" s="320">
        <f t="shared" si="25"/>
        <v>-2.2281323277126099E-3</v>
      </c>
      <c r="F819" s="130"/>
      <c r="G819" s="130"/>
    </row>
    <row r="820" spans="1:7" ht="14.25" customHeight="1" x14ac:dyDescent="0.3">
      <c r="A820" s="319" t="s">
        <v>1329</v>
      </c>
      <c r="B820" s="320">
        <v>19979.150390625</v>
      </c>
      <c r="C820" s="320">
        <v>930.54998779296898</v>
      </c>
      <c r="D820" s="320">
        <f t="shared" si="24"/>
        <v>7.3614124394989298E-3</v>
      </c>
      <c r="E820" s="320">
        <f t="shared" si="25"/>
        <v>-5.7164616748925298E-3</v>
      </c>
      <c r="F820" s="130"/>
      <c r="G820" s="130"/>
    </row>
    <row r="821" spans="1:7" ht="14.25" customHeight="1" x14ac:dyDescent="0.3">
      <c r="A821" s="319" t="s">
        <v>1330</v>
      </c>
      <c r="B821" s="320">
        <v>19745</v>
      </c>
      <c r="C821" s="320">
        <v>929.71002197265602</v>
      </c>
      <c r="D821" s="320">
        <f t="shared" si="24"/>
        <v>-1.17197371283051E-2</v>
      </c>
      <c r="E821" s="320">
        <f t="shared" si="25"/>
        <v>-9.0265523758174804E-4</v>
      </c>
      <c r="F821" s="130"/>
      <c r="G821" s="130"/>
    </row>
    <row r="822" spans="1:7" ht="14.25" customHeight="1" x14ac:dyDescent="0.3">
      <c r="A822" s="319" t="s">
        <v>1331</v>
      </c>
      <c r="B822" s="320">
        <v>19672.349609375</v>
      </c>
      <c r="C822" s="320">
        <v>913.60998535156295</v>
      </c>
      <c r="D822" s="320">
        <f t="shared" si="24"/>
        <v>-3.6794322929855701E-3</v>
      </c>
      <c r="E822" s="320">
        <f t="shared" si="25"/>
        <v>-1.7317266933330501E-2</v>
      </c>
      <c r="F822" s="130"/>
      <c r="G822" s="130"/>
    </row>
    <row r="823" spans="1:7" ht="14.25" customHeight="1" x14ac:dyDescent="0.3">
      <c r="A823" s="319" t="s">
        <v>1332</v>
      </c>
      <c r="B823" s="320">
        <v>19680.599609375</v>
      </c>
      <c r="C823" s="320">
        <v>922.67999267578102</v>
      </c>
      <c r="D823" s="320">
        <f t="shared" si="24"/>
        <v>4.1937034283227702E-4</v>
      </c>
      <c r="E823" s="320">
        <f t="shared" si="25"/>
        <v>9.9276578295363904E-3</v>
      </c>
      <c r="F823" s="130"/>
      <c r="G823" s="130"/>
    </row>
    <row r="824" spans="1:7" ht="14.25" customHeight="1" x14ac:dyDescent="0.3">
      <c r="A824" s="319" t="s">
        <v>1333</v>
      </c>
      <c r="B824" s="320">
        <v>19778.30078125</v>
      </c>
      <c r="C824" s="320">
        <v>908.05999755859398</v>
      </c>
      <c r="D824" s="320">
        <f t="shared" si="24"/>
        <v>4.9643391875346804E-3</v>
      </c>
      <c r="E824" s="320">
        <f t="shared" si="25"/>
        <v>-1.5845141580223199E-2</v>
      </c>
      <c r="F824" s="130"/>
      <c r="G824" s="130"/>
    </row>
    <row r="825" spans="1:7" ht="14.25" customHeight="1" x14ac:dyDescent="0.3">
      <c r="A825" s="319" t="s">
        <v>1334</v>
      </c>
      <c r="B825" s="320">
        <v>19659.900390625</v>
      </c>
      <c r="C825" s="320">
        <v>914.15002441406295</v>
      </c>
      <c r="D825" s="320">
        <f t="shared" si="24"/>
        <v>-5.9863783008722703E-3</v>
      </c>
      <c r="E825" s="320">
        <f t="shared" si="25"/>
        <v>6.7066348829841601E-3</v>
      </c>
      <c r="F825" s="130"/>
      <c r="G825" s="130"/>
    </row>
    <row r="826" spans="1:7" ht="14.25" customHeight="1" x14ac:dyDescent="0.3">
      <c r="A826" s="319" t="s">
        <v>1335</v>
      </c>
      <c r="B826" s="320">
        <v>19646.05078125</v>
      </c>
      <c r="C826" s="320">
        <v>915.84002685546898</v>
      </c>
      <c r="D826" s="320">
        <f t="shared" si="24"/>
        <v>-7.0445979378432196E-4</v>
      </c>
      <c r="E826" s="320">
        <f t="shared" si="25"/>
        <v>1.8487145394862901E-3</v>
      </c>
      <c r="F826" s="130"/>
      <c r="G826" s="130"/>
    </row>
    <row r="827" spans="1:7" ht="14.25" customHeight="1" x14ac:dyDescent="0.3">
      <c r="A827" s="319" t="s">
        <v>1336</v>
      </c>
      <c r="B827" s="320">
        <v>19753.80078125</v>
      </c>
      <c r="C827" s="320">
        <v>917.41998291015602</v>
      </c>
      <c r="D827" s="320">
        <f t="shared" si="24"/>
        <v>5.4845628365592699E-3</v>
      </c>
      <c r="E827" s="320">
        <f t="shared" si="25"/>
        <v>1.72514413910453E-3</v>
      </c>
      <c r="F827" s="130"/>
      <c r="G827" s="130"/>
    </row>
    <row r="828" spans="1:7" ht="14.25" customHeight="1" x14ac:dyDescent="0.3">
      <c r="A828" s="319" t="s">
        <v>1337</v>
      </c>
      <c r="B828" s="320">
        <v>19733.55078125</v>
      </c>
      <c r="C828" s="320">
        <v>931.15002441406295</v>
      </c>
      <c r="D828" s="320">
        <f t="shared" si="24"/>
        <v>-1.0251191770254699E-3</v>
      </c>
      <c r="E828" s="320">
        <f t="shared" si="25"/>
        <v>1.4965928102365701E-2</v>
      </c>
      <c r="F828" s="130"/>
      <c r="G828" s="130"/>
    </row>
    <row r="829" spans="1:7" ht="14.25" customHeight="1" x14ac:dyDescent="0.3">
      <c r="A829" s="319" t="s">
        <v>1338</v>
      </c>
      <c r="B829" s="320">
        <v>19526.55078125</v>
      </c>
      <c r="C829" s="320">
        <v>914.34997558593795</v>
      </c>
      <c r="D829" s="320">
        <f t="shared" si="24"/>
        <v>-1.0489749274959799E-2</v>
      </c>
      <c r="E829" s="320">
        <f t="shared" si="25"/>
        <v>-1.8042257839918599E-2</v>
      </c>
      <c r="F829" s="130"/>
      <c r="G829" s="130"/>
    </row>
    <row r="830" spans="1:7" ht="14.25" customHeight="1" x14ac:dyDescent="0.3">
      <c r="A830" s="319" t="s">
        <v>1339</v>
      </c>
      <c r="B830" s="320">
        <v>19381.650390625</v>
      </c>
      <c r="C830" s="320">
        <v>907.53997802734398</v>
      </c>
      <c r="D830" s="320">
        <f t="shared" si="24"/>
        <v>-7.4206854169113099E-3</v>
      </c>
      <c r="E830" s="320">
        <f t="shared" si="25"/>
        <v>-7.4479113473262396E-3</v>
      </c>
      <c r="F830" s="130"/>
      <c r="G830" s="130"/>
    </row>
    <row r="831" spans="1:7" ht="14.25" customHeight="1" x14ac:dyDescent="0.3">
      <c r="A831" s="319" t="s">
        <v>1340</v>
      </c>
      <c r="B831" s="320">
        <v>19517</v>
      </c>
      <c r="C831" s="320">
        <v>977.34002685546898</v>
      </c>
      <c r="D831" s="320">
        <f t="shared" si="24"/>
        <v>6.9833892701144399E-3</v>
      </c>
      <c r="E831" s="320">
        <f t="shared" si="25"/>
        <v>7.6911266189996899E-2</v>
      </c>
      <c r="F831" s="130"/>
      <c r="G831" s="130"/>
    </row>
    <row r="832" spans="1:7" ht="14.25" customHeight="1" x14ac:dyDescent="0.3">
      <c r="A832" s="319" t="s">
        <v>1341</v>
      </c>
      <c r="B832" s="320">
        <v>19597.30078125</v>
      </c>
      <c r="C832" s="320">
        <v>965.15997314453102</v>
      </c>
      <c r="D832" s="320">
        <f t="shared" si="24"/>
        <v>4.1144018676026002E-3</v>
      </c>
      <c r="E832" s="320">
        <f t="shared" si="25"/>
        <v>-1.246245255106E-2</v>
      </c>
      <c r="F832" s="130"/>
      <c r="G832" s="130"/>
    </row>
    <row r="833" spans="1:7" ht="14.25" customHeight="1" x14ac:dyDescent="0.3">
      <c r="A833" s="319" t="s">
        <v>1342</v>
      </c>
      <c r="B833" s="320">
        <v>19570.849609375</v>
      </c>
      <c r="C833" s="320">
        <v>942.97998046875</v>
      </c>
      <c r="D833" s="320">
        <f t="shared" si="24"/>
        <v>-1.3497354646057999E-3</v>
      </c>
      <c r="E833" s="320">
        <f t="shared" si="25"/>
        <v>-2.2980638746878099E-2</v>
      </c>
      <c r="F833" s="130"/>
      <c r="G833" s="130"/>
    </row>
    <row r="834" spans="1:7" ht="14.25" customHeight="1" x14ac:dyDescent="0.3">
      <c r="A834" s="319" t="s">
        <v>1343</v>
      </c>
      <c r="B834" s="320">
        <v>19632.55078125</v>
      </c>
      <c r="C834" s="320">
        <v>938.07000732421898</v>
      </c>
      <c r="D834" s="320">
        <f t="shared" si="24"/>
        <v>3.1527078847636402E-3</v>
      </c>
      <c r="E834" s="320">
        <f t="shared" si="25"/>
        <v>-5.2068689115651202E-3</v>
      </c>
      <c r="F834" s="130"/>
      <c r="G834" s="130"/>
    </row>
    <row r="835" spans="1:7" ht="14.25" customHeight="1" x14ac:dyDescent="0.3">
      <c r="A835" s="319" t="s">
        <v>1344</v>
      </c>
      <c r="B835" s="320">
        <v>19543.099609375</v>
      </c>
      <c r="C835" s="320">
        <v>929.91998291015602</v>
      </c>
      <c r="D835" s="320">
        <f t="shared" ref="D835:D898" si="26">(B835-B834)/B834</f>
        <v>-4.5562684580156597E-3</v>
      </c>
      <c r="E835" s="320">
        <f t="shared" ref="E835:E898" si="27">(C835-C834)/C834</f>
        <v>-8.6880769563354304E-3</v>
      </c>
      <c r="F835" s="130"/>
      <c r="G835" s="130"/>
    </row>
    <row r="836" spans="1:7" ht="14.25" customHeight="1" x14ac:dyDescent="0.3">
      <c r="A836" s="319" t="s">
        <v>1345</v>
      </c>
      <c r="B836" s="320">
        <v>19428.30078125</v>
      </c>
      <c r="C836" s="320">
        <v>892.15997314453102</v>
      </c>
      <c r="D836" s="320">
        <f t="shared" si="26"/>
        <v>-5.8741361615907602E-3</v>
      </c>
      <c r="E836" s="320">
        <f t="shared" si="27"/>
        <v>-4.0605654744031001E-2</v>
      </c>
      <c r="F836" s="130"/>
      <c r="G836" s="130"/>
    </row>
    <row r="837" spans="1:7" ht="14.25" customHeight="1" x14ac:dyDescent="0.3">
      <c r="A837" s="319" t="s">
        <v>1346</v>
      </c>
      <c r="B837" s="320">
        <v>19434.55078125</v>
      </c>
      <c r="C837" s="320">
        <v>860.84997558593795</v>
      </c>
      <c r="D837" s="320">
        <f t="shared" si="26"/>
        <v>3.2169565781232901E-4</v>
      </c>
      <c r="E837" s="320">
        <f t="shared" si="27"/>
        <v>-3.5094600185028503E-2</v>
      </c>
      <c r="F837" s="130"/>
      <c r="G837" s="130"/>
    </row>
    <row r="838" spans="1:7" ht="14.25" customHeight="1" x14ac:dyDescent="0.3">
      <c r="A838" s="319" t="s">
        <v>1347</v>
      </c>
      <c r="B838" s="320">
        <v>19465</v>
      </c>
      <c r="C838" s="320">
        <v>864.760009765625</v>
      </c>
      <c r="D838" s="320">
        <f t="shared" si="26"/>
        <v>1.5667570139762E-3</v>
      </c>
      <c r="E838" s="320">
        <f t="shared" si="27"/>
        <v>4.5420622530954703E-3</v>
      </c>
      <c r="F838" s="130"/>
      <c r="G838" s="130"/>
    </row>
    <row r="839" spans="1:7" ht="14.25" customHeight="1" x14ac:dyDescent="0.3">
      <c r="A839" s="319" t="s">
        <v>1348</v>
      </c>
      <c r="B839" s="320">
        <v>19365.25</v>
      </c>
      <c r="C839" s="320">
        <v>859.780029296875</v>
      </c>
      <c r="D839" s="320">
        <f t="shared" si="26"/>
        <v>-5.1245825841253496E-3</v>
      </c>
      <c r="E839" s="320">
        <f t="shared" si="27"/>
        <v>-5.7588006065402101E-3</v>
      </c>
      <c r="F839" s="130"/>
      <c r="G839" s="130"/>
    </row>
    <row r="840" spans="1:7" ht="14.25" customHeight="1" x14ac:dyDescent="0.3">
      <c r="A840" s="319" t="s">
        <v>1349</v>
      </c>
      <c r="B840" s="320">
        <v>19310.150390625</v>
      </c>
      <c r="C840" s="320">
        <v>837.90002441406295</v>
      </c>
      <c r="D840" s="320">
        <f t="shared" si="26"/>
        <v>-2.8452826260957102E-3</v>
      </c>
      <c r="E840" s="320">
        <f t="shared" si="27"/>
        <v>-2.5448375325378799E-2</v>
      </c>
      <c r="F840" s="130"/>
      <c r="G840" s="130"/>
    </row>
    <row r="841" spans="1:7" ht="14.25" customHeight="1" x14ac:dyDescent="0.3">
      <c r="A841" s="319" t="s">
        <v>1350</v>
      </c>
      <c r="B841" s="320">
        <v>19393.599609375</v>
      </c>
      <c r="C841" s="320">
        <v>837.40002441406295</v>
      </c>
      <c r="D841" s="320">
        <f t="shared" si="26"/>
        <v>4.3215209131936298E-3</v>
      </c>
      <c r="E841" s="320">
        <f t="shared" si="27"/>
        <v>-5.9672990265114995E-4</v>
      </c>
      <c r="F841" s="130"/>
      <c r="G841" s="130"/>
    </row>
    <row r="842" spans="1:7" ht="14.25" customHeight="1" x14ac:dyDescent="0.3">
      <c r="A842" s="319" t="s">
        <v>1351</v>
      </c>
      <c r="B842" s="320">
        <v>19396.44921875</v>
      </c>
      <c r="C842" s="320">
        <v>834.90002441406295</v>
      </c>
      <c r="D842" s="320">
        <f t="shared" si="26"/>
        <v>1.4693555773021499E-4</v>
      </c>
      <c r="E842" s="320">
        <f t="shared" si="27"/>
        <v>-2.98543100921125E-3</v>
      </c>
      <c r="F842" s="130"/>
      <c r="G842" s="130"/>
    </row>
    <row r="843" spans="1:7" ht="14.25" customHeight="1" x14ac:dyDescent="0.3">
      <c r="A843" s="319" t="s">
        <v>1352</v>
      </c>
      <c r="B843" s="320">
        <v>19444</v>
      </c>
      <c r="C843" s="320">
        <v>830.40002441406295</v>
      </c>
      <c r="D843" s="320">
        <f t="shared" si="26"/>
        <v>2.4515199000461401E-3</v>
      </c>
      <c r="E843" s="320">
        <f t="shared" si="27"/>
        <v>-5.3898668923361504E-3</v>
      </c>
      <c r="F843" s="130"/>
      <c r="G843" s="130"/>
    </row>
    <row r="844" spans="1:7" ht="14.25" customHeight="1" x14ac:dyDescent="0.3">
      <c r="A844" s="319" t="s">
        <v>1353</v>
      </c>
      <c r="B844" s="320">
        <v>19386.69921875</v>
      </c>
      <c r="C844" s="320">
        <v>849.82000732421898</v>
      </c>
      <c r="D844" s="320">
        <f t="shared" si="26"/>
        <v>-2.9469646806212701E-3</v>
      </c>
      <c r="E844" s="320">
        <f t="shared" si="27"/>
        <v>2.33862985780364E-2</v>
      </c>
      <c r="F844" s="130"/>
      <c r="G844" s="130"/>
    </row>
    <row r="845" spans="1:7" ht="14.25" customHeight="1" x14ac:dyDescent="0.3">
      <c r="A845" s="319" t="s">
        <v>1354</v>
      </c>
      <c r="B845" s="320">
        <v>19265.80078125</v>
      </c>
      <c r="C845" s="320">
        <v>841.35998535156295</v>
      </c>
      <c r="D845" s="320">
        <f t="shared" si="26"/>
        <v>-6.2361537740819803E-3</v>
      </c>
      <c r="E845" s="320">
        <f t="shared" si="27"/>
        <v>-9.95507507441914E-3</v>
      </c>
      <c r="F845" s="130"/>
      <c r="G845" s="130"/>
    </row>
    <row r="846" spans="1:7" ht="14.25" customHeight="1" x14ac:dyDescent="0.3">
      <c r="A846" s="319" t="s">
        <v>1355</v>
      </c>
      <c r="B846" s="320">
        <v>19306.05078125</v>
      </c>
      <c r="C846" s="320">
        <v>835.780029296875</v>
      </c>
      <c r="D846" s="320">
        <f t="shared" si="26"/>
        <v>2.0891942389008999E-3</v>
      </c>
      <c r="E846" s="320">
        <f t="shared" si="27"/>
        <v>-6.6320673098761197E-3</v>
      </c>
      <c r="F846" s="130"/>
      <c r="G846" s="130"/>
    </row>
    <row r="847" spans="1:7" ht="14.25" customHeight="1" x14ac:dyDescent="0.3">
      <c r="A847" s="319" t="s">
        <v>1356</v>
      </c>
      <c r="B847" s="320">
        <v>19342.650390625</v>
      </c>
      <c r="C847" s="320">
        <v>852.27001953125</v>
      </c>
      <c r="D847" s="320">
        <f t="shared" si="26"/>
        <v>1.8957584743610799E-3</v>
      </c>
      <c r="E847" s="320">
        <f t="shared" si="27"/>
        <v>1.9730060131070301E-2</v>
      </c>
      <c r="F847" s="130"/>
      <c r="G847" s="130"/>
    </row>
    <row r="848" spans="1:7" ht="14.25" customHeight="1" x14ac:dyDescent="0.3">
      <c r="A848" s="319" t="s">
        <v>1357</v>
      </c>
      <c r="B848" s="320">
        <v>19347.44921875</v>
      </c>
      <c r="C848" s="320">
        <v>873.92999267578102</v>
      </c>
      <c r="D848" s="320">
        <f t="shared" si="26"/>
        <v>2.4809568637635602E-4</v>
      </c>
      <c r="E848" s="320">
        <f t="shared" si="27"/>
        <v>2.5414449233406199E-2</v>
      </c>
      <c r="F848" s="130"/>
      <c r="G848" s="130"/>
    </row>
    <row r="849" spans="1:7" ht="14.25" customHeight="1" x14ac:dyDescent="0.3">
      <c r="A849" s="319" t="s">
        <v>1358</v>
      </c>
      <c r="B849" s="320">
        <v>19253.80078125</v>
      </c>
      <c r="C849" s="320">
        <v>866.29998779296898</v>
      </c>
      <c r="D849" s="320">
        <f t="shared" si="26"/>
        <v>-4.8403506033882502E-3</v>
      </c>
      <c r="E849" s="320">
        <f t="shared" si="27"/>
        <v>-8.7306820303198994E-3</v>
      </c>
      <c r="F849" s="130"/>
      <c r="G849" s="130"/>
    </row>
    <row r="850" spans="1:7" ht="14.25" customHeight="1" x14ac:dyDescent="0.3">
      <c r="A850" s="319" t="s">
        <v>1359</v>
      </c>
      <c r="B850" s="320">
        <v>19435.30078125</v>
      </c>
      <c r="C850" s="320">
        <v>874.469970703125</v>
      </c>
      <c r="D850" s="320">
        <f t="shared" si="26"/>
        <v>9.4267101889176502E-3</v>
      </c>
      <c r="E850" s="320">
        <f t="shared" si="27"/>
        <v>9.4308934841039298E-3</v>
      </c>
      <c r="F850" s="130"/>
      <c r="G850" s="130"/>
    </row>
    <row r="851" spans="1:7" ht="14.25" customHeight="1" x14ac:dyDescent="0.3">
      <c r="A851" s="319" t="s">
        <v>1360</v>
      </c>
      <c r="B851" s="320">
        <v>19528.80078125</v>
      </c>
      <c r="C851" s="320">
        <v>887.59997558593795</v>
      </c>
      <c r="D851" s="320">
        <f t="shared" si="26"/>
        <v>4.8108337016426897E-3</v>
      </c>
      <c r="E851" s="320">
        <f t="shared" si="27"/>
        <v>1.50148150567774E-2</v>
      </c>
      <c r="F851" s="130"/>
      <c r="G851" s="130"/>
    </row>
    <row r="852" spans="1:7" ht="14.25" customHeight="1" x14ac:dyDescent="0.3">
      <c r="A852" s="319" t="s">
        <v>1361</v>
      </c>
      <c r="B852" s="320">
        <v>19574.900390625</v>
      </c>
      <c r="C852" s="320">
        <v>895.47998046875</v>
      </c>
      <c r="D852" s="320">
        <f t="shared" si="26"/>
        <v>2.3605960187407498E-3</v>
      </c>
      <c r="E852" s="320">
        <f t="shared" si="27"/>
        <v>8.8778786610603008E-3</v>
      </c>
      <c r="F852" s="130"/>
      <c r="G852" s="130"/>
    </row>
    <row r="853" spans="1:7" ht="14.25" customHeight="1" x14ac:dyDescent="0.3">
      <c r="A853" s="319" t="s">
        <v>1362</v>
      </c>
      <c r="B853" s="320">
        <v>19611.05078125</v>
      </c>
      <c r="C853" s="320">
        <v>898.54998779296898</v>
      </c>
      <c r="D853" s="320">
        <f t="shared" si="26"/>
        <v>1.8467726478094101E-3</v>
      </c>
      <c r="E853" s="320">
        <f t="shared" si="27"/>
        <v>3.4283371947767499E-3</v>
      </c>
      <c r="F853" s="130"/>
      <c r="G853" s="130"/>
    </row>
    <row r="854" spans="1:7" ht="14.25" customHeight="1" x14ac:dyDescent="0.3">
      <c r="A854" s="319" t="s">
        <v>1363</v>
      </c>
      <c r="B854" s="320">
        <v>19727.05078125</v>
      </c>
      <c r="C854" s="320">
        <v>890.09002685546898</v>
      </c>
      <c r="D854" s="320">
        <f t="shared" si="26"/>
        <v>5.9150323607803203E-3</v>
      </c>
      <c r="E854" s="320">
        <f t="shared" si="27"/>
        <v>-9.4151255382902803E-3</v>
      </c>
      <c r="F854" s="130"/>
      <c r="G854" s="130"/>
    </row>
    <row r="855" spans="1:7" ht="14.25" customHeight="1" x14ac:dyDescent="0.3">
      <c r="A855" s="319" t="s">
        <v>1364</v>
      </c>
      <c r="B855" s="320">
        <v>19819.94921875</v>
      </c>
      <c r="C855" s="320">
        <v>895.54998779296898</v>
      </c>
      <c r="D855" s="320">
        <f t="shared" si="26"/>
        <v>4.7091903665750796E-3</v>
      </c>
      <c r="E855" s="320">
        <f t="shared" si="27"/>
        <v>6.1341670760979997E-3</v>
      </c>
      <c r="F855" s="130"/>
      <c r="G855" s="130"/>
    </row>
    <row r="856" spans="1:7" ht="14.25" customHeight="1" x14ac:dyDescent="0.3">
      <c r="A856" s="319" t="s">
        <v>1365</v>
      </c>
      <c r="B856" s="320">
        <v>19996.349609375</v>
      </c>
      <c r="C856" s="320">
        <v>901.89001464843795</v>
      </c>
      <c r="D856" s="320">
        <f t="shared" si="26"/>
        <v>8.9001434200508597E-3</v>
      </c>
      <c r="E856" s="320">
        <f t="shared" si="27"/>
        <v>7.0794784678559399E-3</v>
      </c>
      <c r="F856" s="130"/>
      <c r="G856" s="130"/>
    </row>
    <row r="857" spans="1:7" ht="14.25" customHeight="1" x14ac:dyDescent="0.3">
      <c r="A857" s="319" t="s">
        <v>1366</v>
      </c>
      <c r="B857" s="320">
        <v>19993.19921875</v>
      </c>
      <c r="C857" s="320">
        <v>903.15997314453102</v>
      </c>
      <c r="D857" s="320">
        <f t="shared" si="26"/>
        <v>-1.5754828688947201E-4</v>
      </c>
      <c r="E857" s="320">
        <f t="shared" si="27"/>
        <v>1.4081079460538299E-3</v>
      </c>
      <c r="F857" s="130"/>
      <c r="G857" s="130"/>
    </row>
    <row r="858" spans="1:7" ht="14.25" customHeight="1" x14ac:dyDescent="0.3">
      <c r="A858" s="319" t="s">
        <v>1367</v>
      </c>
      <c r="B858" s="320">
        <v>20070</v>
      </c>
      <c r="C858" s="320">
        <v>879.21002197265602</v>
      </c>
      <c r="D858" s="320">
        <f t="shared" si="26"/>
        <v>3.8413452699443298E-3</v>
      </c>
      <c r="E858" s="320">
        <f t="shared" si="27"/>
        <v>-2.6517950179400101E-2</v>
      </c>
      <c r="F858" s="130"/>
      <c r="G858" s="130"/>
    </row>
    <row r="859" spans="1:7" ht="14.25" customHeight="1" x14ac:dyDescent="0.3">
      <c r="A859" s="319" t="s">
        <v>1368</v>
      </c>
      <c r="B859" s="320">
        <v>20103.099609375</v>
      </c>
      <c r="C859" s="320">
        <v>886.07000732421898</v>
      </c>
      <c r="D859" s="320">
        <f t="shared" si="26"/>
        <v>1.64920823991031E-3</v>
      </c>
      <c r="E859" s="320">
        <f t="shared" si="27"/>
        <v>7.8024421698144704E-3</v>
      </c>
      <c r="F859" s="130"/>
      <c r="G859" s="130"/>
    </row>
    <row r="860" spans="1:7" ht="14.25" customHeight="1" x14ac:dyDescent="0.3">
      <c r="A860" s="319" t="s">
        <v>1369</v>
      </c>
      <c r="B860" s="320">
        <v>20192.349609375</v>
      </c>
      <c r="C860" s="320">
        <v>896.91998291015602</v>
      </c>
      <c r="D860" s="320">
        <f t="shared" si="26"/>
        <v>4.4396138771743802E-3</v>
      </c>
      <c r="E860" s="320">
        <f t="shared" si="27"/>
        <v>1.2245054562564601E-2</v>
      </c>
      <c r="F860" s="130"/>
      <c r="G860" s="130"/>
    </row>
    <row r="861" spans="1:7" ht="14.25" customHeight="1" x14ac:dyDescent="0.3">
      <c r="A861" s="319" t="s">
        <v>1370</v>
      </c>
      <c r="B861" s="320">
        <v>20133.30078125</v>
      </c>
      <c r="C861" s="320">
        <v>898.17999267578102</v>
      </c>
      <c r="D861" s="320">
        <f t="shared" si="26"/>
        <v>-2.9243168460982099E-3</v>
      </c>
      <c r="E861" s="320">
        <f t="shared" si="27"/>
        <v>1.40481847838506E-3</v>
      </c>
      <c r="F861" s="130"/>
      <c r="G861" s="130"/>
    </row>
    <row r="862" spans="1:7" ht="14.25" customHeight="1" x14ac:dyDescent="0.3">
      <c r="A862" s="319" t="s">
        <v>1371</v>
      </c>
      <c r="B862" s="320">
        <v>19901.400390625</v>
      </c>
      <c r="C862" s="320">
        <v>892.97998046875</v>
      </c>
      <c r="D862" s="320">
        <f t="shared" si="26"/>
        <v>-1.15182499454321E-2</v>
      </c>
      <c r="E862" s="320">
        <f t="shared" si="27"/>
        <v>-5.7894990418786698E-3</v>
      </c>
      <c r="F862" s="130"/>
      <c r="G862" s="130"/>
    </row>
    <row r="863" spans="1:7" ht="14.25" customHeight="1" x14ac:dyDescent="0.3">
      <c r="A863" s="319" t="s">
        <v>1372</v>
      </c>
      <c r="B863" s="320">
        <v>19742.349609375</v>
      </c>
      <c r="C863" s="320">
        <v>887.989990234375</v>
      </c>
      <c r="D863" s="320">
        <f t="shared" si="26"/>
        <v>-7.9919391664982804E-3</v>
      </c>
      <c r="E863" s="320">
        <f t="shared" si="27"/>
        <v>-5.5880202731483598E-3</v>
      </c>
      <c r="F863" s="130"/>
      <c r="G863" s="130"/>
    </row>
    <row r="864" spans="1:7" ht="14.25" customHeight="1" x14ac:dyDescent="0.3">
      <c r="A864" s="319" t="s">
        <v>1373</v>
      </c>
      <c r="B864" s="320">
        <v>19674.25</v>
      </c>
      <c r="C864" s="320">
        <v>860.07000732421898</v>
      </c>
      <c r="D864" s="320">
        <f t="shared" si="26"/>
        <v>-3.4494176591149902E-3</v>
      </c>
      <c r="E864" s="320">
        <f t="shared" si="27"/>
        <v>-3.1441776615958102E-2</v>
      </c>
      <c r="F864" s="130"/>
      <c r="G864" s="130"/>
    </row>
    <row r="865" spans="1:7" ht="14.25" customHeight="1" x14ac:dyDescent="0.3">
      <c r="A865" s="319" t="s">
        <v>1374</v>
      </c>
      <c r="B865" s="320">
        <v>19674.55078125</v>
      </c>
      <c r="C865" s="320">
        <v>852.13000488281295</v>
      </c>
      <c r="D865" s="320">
        <f t="shared" si="26"/>
        <v>1.5288066889462099E-5</v>
      </c>
      <c r="E865" s="320">
        <f t="shared" si="27"/>
        <v>-9.2318094734035894E-3</v>
      </c>
      <c r="F865" s="130"/>
      <c r="G865" s="130"/>
    </row>
    <row r="866" spans="1:7" ht="14.25" customHeight="1" x14ac:dyDescent="0.3">
      <c r="A866" s="319" t="s">
        <v>1375</v>
      </c>
      <c r="B866" s="320">
        <v>19664.69921875</v>
      </c>
      <c r="C866" s="320">
        <v>847.69000244140602</v>
      </c>
      <c r="D866" s="320">
        <f t="shared" si="26"/>
        <v>-5.0072617207548196E-4</v>
      </c>
      <c r="E866" s="320">
        <f t="shared" si="27"/>
        <v>-5.21047541568206E-3</v>
      </c>
      <c r="F866" s="130"/>
      <c r="G866" s="130"/>
    </row>
    <row r="867" spans="1:7" ht="14.25" customHeight="1" x14ac:dyDescent="0.3">
      <c r="A867" s="319" t="s">
        <v>1376</v>
      </c>
      <c r="B867" s="320">
        <v>19716.44921875</v>
      </c>
      <c r="C867" s="320">
        <v>847.83001708984398</v>
      </c>
      <c r="D867" s="320">
        <f t="shared" si="26"/>
        <v>2.63161919866321E-3</v>
      </c>
      <c r="E867" s="320">
        <f t="shared" si="27"/>
        <v>1.6517199452005201E-4</v>
      </c>
      <c r="F867" s="130"/>
      <c r="G867" s="130"/>
    </row>
    <row r="868" spans="1:7" ht="14.25" customHeight="1" x14ac:dyDescent="0.3">
      <c r="A868" s="319" t="s">
        <v>1377</v>
      </c>
      <c r="B868" s="320">
        <v>19523.55078125</v>
      </c>
      <c r="C868" s="320">
        <v>835.40002441406295</v>
      </c>
      <c r="D868" s="320">
        <f t="shared" si="26"/>
        <v>-9.7836296667737199E-3</v>
      </c>
      <c r="E868" s="320">
        <f t="shared" si="27"/>
        <v>-1.46609490407602E-2</v>
      </c>
      <c r="F868" s="130"/>
      <c r="G868" s="130"/>
    </row>
    <row r="869" spans="1:7" ht="14.25" customHeight="1" x14ac:dyDescent="0.3">
      <c r="A869" s="319" t="s">
        <v>1378</v>
      </c>
      <c r="B869" s="320">
        <v>19638.30078125</v>
      </c>
      <c r="C869" s="320">
        <v>833.05999755859398</v>
      </c>
      <c r="D869" s="320">
        <f t="shared" si="26"/>
        <v>5.87751691716875E-3</v>
      </c>
      <c r="E869" s="320">
        <f t="shared" si="27"/>
        <v>-2.8010854525773298E-3</v>
      </c>
      <c r="F869" s="130"/>
      <c r="G869" s="130"/>
    </row>
    <row r="870" spans="1:7" ht="14.25" customHeight="1" x14ac:dyDescent="0.3">
      <c r="A870" s="319" t="s">
        <v>1379</v>
      </c>
      <c r="B870" s="320">
        <v>19528.75</v>
      </c>
      <c r="C870" s="320">
        <v>822.90002441406295</v>
      </c>
      <c r="D870" s="320">
        <f t="shared" si="26"/>
        <v>-5.5784246544688604E-3</v>
      </c>
      <c r="E870" s="320">
        <f t="shared" si="27"/>
        <v>-1.2195968086699999E-2</v>
      </c>
      <c r="F870" s="130"/>
      <c r="G870" s="130"/>
    </row>
    <row r="871" spans="1:7" ht="14.25" customHeight="1" x14ac:dyDescent="0.3">
      <c r="A871" s="319" t="s">
        <v>1380</v>
      </c>
      <c r="B871" s="320">
        <v>19436.099609375</v>
      </c>
      <c r="C871" s="320">
        <v>811.72998046875</v>
      </c>
      <c r="D871" s="320">
        <f t="shared" si="26"/>
        <v>-4.7443072713307301E-3</v>
      </c>
      <c r="E871" s="320">
        <f t="shared" si="27"/>
        <v>-1.3573998801697001E-2</v>
      </c>
      <c r="F871" s="130"/>
      <c r="G871" s="130"/>
    </row>
    <row r="872" spans="1:7" ht="14.25" customHeight="1" x14ac:dyDescent="0.3">
      <c r="A872" s="319" t="s">
        <v>1381</v>
      </c>
      <c r="B872" s="320">
        <v>19545.75</v>
      </c>
      <c r="C872" s="320">
        <v>841.80999755859398</v>
      </c>
      <c r="D872" s="320">
        <f t="shared" si="26"/>
        <v>5.6415841052857201E-3</v>
      </c>
      <c r="E872" s="320">
        <f t="shared" si="27"/>
        <v>3.70566787153453E-2</v>
      </c>
      <c r="F872" s="130"/>
      <c r="G872" s="130"/>
    </row>
    <row r="873" spans="1:7" ht="14.25" customHeight="1" x14ac:dyDescent="0.3">
      <c r="A873" s="319" t="s">
        <v>1382</v>
      </c>
      <c r="B873" s="320">
        <v>19653.5</v>
      </c>
      <c r="C873" s="320">
        <v>842.58001708984398</v>
      </c>
      <c r="D873" s="320">
        <f t="shared" si="26"/>
        <v>5.5127073660514404E-3</v>
      </c>
      <c r="E873" s="320">
        <f t="shared" si="27"/>
        <v>9.1471891933239105E-4</v>
      </c>
      <c r="F873" s="130"/>
      <c r="G873" s="130"/>
    </row>
    <row r="874" spans="1:7" ht="14.25" customHeight="1" x14ac:dyDescent="0.3">
      <c r="A874" s="319" t="s">
        <v>1383</v>
      </c>
      <c r="B874" s="320">
        <v>19512.349609375</v>
      </c>
      <c r="C874" s="320">
        <v>842.719970703125</v>
      </c>
      <c r="D874" s="320">
        <f t="shared" si="26"/>
        <v>-7.1819467588470198E-3</v>
      </c>
      <c r="E874" s="320">
        <f t="shared" si="27"/>
        <v>1.6610127280777801E-4</v>
      </c>
      <c r="F874" s="130"/>
      <c r="G874" s="130"/>
    </row>
    <row r="875" spans="1:7" ht="14.25" customHeight="1" x14ac:dyDescent="0.3">
      <c r="A875" s="319" t="s">
        <v>1384</v>
      </c>
      <c r="B875" s="320">
        <v>19689.849609375</v>
      </c>
      <c r="C875" s="320">
        <v>846.86999511718795</v>
      </c>
      <c r="D875" s="320">
        <f t="shared" si="26"/>
        <v>9.0968029762401106E-3</v>
      </c>
      <c r="E875" s="320">
        <f t="shared" si="27"/>
        <v>4.9245592347839703E-3</v>
      </c>
      <c r="F875" s="130"/>
      <c r="G875" s="130"/>
    </row>
    <row r="876" spans="1:7" ht="14.25" customHeight="1" x14ac:dyDescent="0.3">
      <c r="A876" s="319" t="s">
        <v>1385</v>
      </c>
      <c r="B876" s="320">
        <v>19811.349609375</v>
      </c>
      <c r="C876" s="320">
        <v>853.05999755859398</v>
      </c>
      <c r="D876" s="320">
        <f t="shared" si="26"/>
        <v>6.1706921287072603E-3</v>
      </c>
      <c r="E876" s="320">
        <f t="shared" si="27"/>
        <v>7.3092711716034597E-3</v>
      </c>
      <c r="F876" s="130"/>
      <c r="G876" s="130"/>
    </row>
    <row r="877" spans="1:7" ht="14.25" customHeight="1" x14ac:dyDescent="0.3">
      <c r="A877" s="319" t="s">
        <v>1386</v>
      </c>
      <c r="B877" s="320">
        <v>19794</v>
      </c>
      <c r="C877" s="320">
        <v>847.97998046875</v>
      </c>
      <c r="D877" s="320">
        <f t="shared" si="26"/>
        <v>-8.7574091200681898E-4</v>
      </c>
      <c r="E877" s="320">
        <f t="shared" si="27"/>
        <v>-5.9550525219593904E-3</v>
      </c>
      <c r="F877" s="130"/>
      <c r="G877" s="130"/>
    </row>
    <row r="878" spans="1:7" ht="14.25" customHeight="1" x14ac:dyDescent="0.3">
      <c r="A878" s="319" t="s">
        <v>1387</v>
      </c>
      <c r="B878" s="320">
        <v>19751.05078125</v>
      </c>
      <c r="C878" s="320">
        <v>827.46002197265602</v>
      </c>
      <c r="D878" s="320">
        <f t="shared" si="26"/>
        <v>-2.1698099802970601E-3</v>
      </c>
      <c r="E878" s="320">
        <f t="shared" si="27"/>
        <v>-2.4198635544144399E-2</v>
      </c>
      <c r="F878" s="130"/>
      <c r="G878" s="130"/>
    </row>
    <row r="879" spans="1:7" ht="14.25" customHeight="1" x14ac:dyDescent="0.3">
      <c r="A879" s="319" t="s">
        <v>1388</v>
      </c>
      <c r="B879" s="320">
        <v>19731.75</v>
      </c>
      <c r="C879" s="320">
        <v>825.04998779296898</v>
      </c>
      <c r="D879" s="320">
        <f t="shared" si="26"/>
        <v>-9.7720275562870602E-4</v>
      </c>
      <c r="E879" s="320">
        <f t="shared" si="27"/>
        <v>-2.9125687231892502E-3</v>
      </c>
      <c r="F879" s="130"/>
      <c r="G879" s="130"/>
    </row>
    <row r="880" spans="1:7" ht="14.25" customHeight="1" x14ac:dyDescent="0.3">
      <c r="A880" s="319" t="s">
        <v>1389</v>
      </c>
      <c r="B880" s="320">
        <v>19811.5</v>
      </c>
      <c r="C880" s="320">
        <v>825.510009765625</v>
      </c>
      <c r="D880" s="320">
        <f t="shared" si="26"/>
        <v>4.04170942769901E-3</v>
      </c>
      <c r="E880" s="320">
        <f t="shared" si="27"/>
        <v>5.5756860731141105E-4</v>
      </c>
      <c r="F880" s="130"/>
      <c r="G880" s="130"/>
    </row>
    <row r="881" spans="1:7" ht="14.25" customHeight="1" x14ac:dyDescent="0.3">
      <c r="A881" s="319" t="s">
        <v>1390</v>
      </c>
      <c r="B881" s="320">
        <v>19671.099609375</v>
      </c>
      <c r="C881" s="320">
        <v>840.90002441406295</v>
      </c>
      <c r="D881" s="320">
        <f t="shared" si="26"/>
        <v>-7.0868127413370998E-3</v>
      </c>
      <c r="E881" s="320">
        <f t="shared" si="27"/>
        <v>1.8643038202295601E-2</v>
      </c>
      <c r="F881" s="130"/>
      <c r="G881" s="130"/>
    </row>
    <row r="882" spans="1:7" ht="14.25" customHeight="1" x14ac:dyDescent="0.3">
      <c r="A882" s="319" t="s">
        <v>1391</v>
      </c>
      <c r="B882" s="320">
        <v>19624.69921875</v>
      </c>
      <c r="C882" s="320">
        <v>835.78997802734398</v>
      </c>
      <c r="D882" s="320">
        <f t="shared" si="26"/>
        <v>-2.3588102112444302E-3</v>
      </c>
      <c r="E882" s="320">
        <f t="shared" si="27"/>
        <v>-6.0768774388841804E-3</v>
      </c>
      <c r="F882" s="130"/>
      <c r="G882" s="130"/>
    </row>
    <row r="883" spans="1:7" ht="14.25" customHeight="1" x14ac:dyDescent="0.3">
      <c r="A883" s="319" t="s">
        <v>1392</v>
      </c>
      <c r="B883" s="320">
        <v>19542.650390625</v>
      </c>
      <c r="C883" s="320">
        <v>840.59997558593795</v>
      </c>
      <c r="D883" s="320">
        <f t="shared" si="26"/>
        <v>-4.1808960845936497E-3</v>
      </c>
      <c r="E883" s="320">
        <f t="shared" si="27"/>
        <v>5.75503138952046E-3</v>
      </c>
      <c r="F883" s="130"/>
      <c r="G883" s="130"/>
    </row>
    <row r="884" spans="1:7" ht="14.25" customHeight="1" x14ac:dyDescent="0.3">
      <c r="A884" s="319" t="s">
        <v>1393</v>
      </c>
      <c r="B884" s="320">
        <v>19281.75</v>
      </c>
      <c r="C884" s="320">
        <v>814.54998779296898</v>
      </c>
      <c r="D884" s="320">
        <f t="shared" si="26"/>
        <v>-1.3350307425555701E-2</v>
      </c>
      <c r="E884" s="320">
        <f t="shared" si="27"/>
        <v>-3.09897555907147E-2</v>
      </c>
      <c r="F884" s="130"/>
      <c r="G884" s="130"/>
    </row>
    <row r="885" spans="1:7" ht="14.25" customHeight="1" x14ac:dyDescent="0.3">
      <c r="A885" s="319" t="s">
        <v>1394</v>
      </c>
      <c r="B885" s="320">
        <v>19122.150390625</v>
      </c>
      <c r="C885" s="320">
        <v>816.13000488281295</v>
      </c>
      <c r="D885" s="320">
        <f t="shared" si="26"/>
        <v>-8.2772367329210297E-3</v>
      </c>
      <c r="E885" s="320">
        <f t="shared" si="27"/>
        <v>1.93974232830701E-3</v>
      </c>
      <c r="F885" s="130"/>
      <c r="G885" s="130"/>
    </row>
    <row r="886" spans="1:7" ht="14.25" customHeight="1" x14ac:dyDescent="0.3">
      <c r="A886" s="319" t="s">
        <v>1395</v>
      </c>
      <c r="B886" s="320">
        <v>18857.25</v>
      </c>
      <c r="C886" s="320">
        <v>809.77001953125</v>
      </c>
      <c r="D886" s="320">
        <f t="shared" si="26"/>
        <v>-1.38530649123475E-2</v>
      </c>
      <c r="E886" s="320">
        <f t="shared" si="27"/>
        <v>-7.79285813964918E-3</v>
      </c>
      <c r="F886" s="130"/>
      <c r="G886" s="130"/>
    </row>
    <row r="887" spans="1:7" ht="14.25" customHeight="1" x14ac:dyDescent="0.3">
      <c r="A887" s="319" t="s">
        <v>1396</v>
      </c>
      <c r="B887" s="320">
        <v>19047.25</v>
      </c>
      <c r="C887" s="320">
        <v>816.29998779296898</v>
      </c>
      <c r="D887" s="320">
        <f t="shared" si="26"/>
        <v>1.00757003274603E-2</v>
      </c>
      <c r="E887" s="320">
        <f t="shared" si="27"/>
        <v>8.0639787893097906E-3</v>
      </c>
      <c r="F887" s="130"/>
      <c r="G887" s="130"/>
    </row>
    <row r="888" spans="1:7" ht="14.25" customHeight="1" x14ac:dyDescent="0.3">
      <c r="A888" s="319" t="s">
        <v>1397</v>
      </c>
      <c r="B888" s="320">
        <v>19140.900390625</v>
      </c>
      <c r="C888" s="320">
        <v>815.69000244140602</v>
      </c>
      <c r="D888" s="320">
        <f t="shared" si="26"/>
        <v>4.9167407696649101E-3</v>
      </c>
      <c r="E888" s="320">
        <f t="shared" si="27"/>
        <v>-7.4725635267026405E-4</v>
      </c>
      <c r="F888" s="130"/>
      <c r="G888" s="130"/>
    </row>
    <row r="889" spans="1:7" ht="14.25" customHeight="1" x14ac:dyDescent="0.3">
      <c r="A889" s="319" t="s">
        <v>1398</v>
      </c>
      <c r="B889" s="320">
        <v>19079.599609375</v>
      </c>
      <c r="C889" s="320">
        <v>816.84997558593795</v>
      </c>
      <c r="D889" s="320">
        <f t="shared" si="26"/>
        <v>-3.2026069828995302E-3</v>
      </c>
      <c r="E889" s="320">
        <f t="shared" si="27"/>
        <v>1.42207596152959E-3</v>
      </c>
      <c r="F889" s="130"/>
      <c r="G889" s="130"/>
    </row>
    <row r="890" spans="1:7" ht="14.25" customHeight="1" x14ac:dyDescent="0.3">
      <c r="A890" s="319" t="s">
        <v>1399</v>
      </c>
      <c r="B890" s="320">
        <v>18989.150390625</v>
      </c>
      <c r="C890" s="320">
        <v>819.33001708984398</v>
      </c>
      <c r="D890" s="320">
        <f t="shared" si="26"/>
        <v>-4.7406245729368799E-3</v>
      </c>
      <c r="E890" s="320">
        <f t="shared" si="27"/>
        <v>3.0361040313762102E-3</v>
      </c>
      <c r="F890" s="130"/>
      <c r="G890" s="130"/>
    </row>
    <row r="891" spans="1:7" ht="14.25" customHeight="1" x14ac:dyDescent="0.3">
      <c r="A891" s="319" t="s">
        <v>1400</v>
      </c>
      <c r="B891" s="320">
        <v>19133.25</v>
      </c>
      <c r="C891" s="320">
        <v>827.83001708984398</v>
      </c>
      <c r="D891" s="320">
        <f t="shared" si="26"/>
        <v>7.5885232572670798E-3</v>
      </c>
      <c r="E891" s="320">
        <f t="shared" si="27"/>
        <v>1.03743300290534E-2</v>
      </c>
      <c r="F891" s="130"/>
      <c r="G891" s="130"/>
    </row>
    <row r="892" spans="1:7" ht="14.25" customHeight="1" x14ac:dyDescent="0.3">
      <c r="A892" s="319" t="s">
        <v>1401</v>
      </c>
      <c r="B892" s="320">
        <v>19230.599609375</v>
      </c>
      <c r="C892" s="320">
        <v>850.07000732421898</v>
      </c>
      <c r="D892" s="320">
        <f t="shared" si="26"/>
        <v>5.0879808383311803E-3</v>
      </c>
      <c r="E892" s="320">
        <f t="shared" si="27"/>
        <v>2.6865406877317099E-2</v>
      </c>
      <c r="F892" s="130"/>
      <c r="G892" s="130"/>
    </row>
    <row r="893" spans="1:7" ht="14.25" customHeight="1" x14ac:dyDescent="0.3">
      <c r="A893" s="319" t="s">
        <v>1402</v>
      </c>
      <c r="B893" s="320">
        <v>19411.75</v>
      </c>
      <c r="C893" s="320">
        <v>862.30999755859398</v>
      </c>
      <c r="D893" s="320">
        <f t="shared" si="26"/>
        <v>9.4199033989916994E-3</v>
      </c>
      <c r="E893" s="320">
        <f t="shared" si="27"/>
        <v>1.4398802603214999E-2</v>
      </c>
      <c r="F893" s="130"/>
      <c r="G893" s="130"/>
    </row>
    <row r="894" spans="1:7" ht="14.25" customHeight="1" x14ac:dyDescent="0.3">
      <c r="A894" s="319" t="s">
        <v>1403</v>
      </c>
      <c r="B894" s="320">
        <v>19406.69921875</v>
      </c>
      <c r="C894" s="320">
        <v>868.010009765625</v>
      </c>
      <c r="D894" s="320">
        <f t="shared" si="26"/>
        <v>-2.60191958478756E-4</v>
      </c>
      <c r="E894" s="320">
        <f t="shared" si="27"/>
        <v>6.6101659764691602E-3</v>
      </c>
      <c r="F894" s="130"/>
      <c r="G894" s="130"/>
    </row>
    <row r="895" spans="1:7" ht="14.25" customHeight="1" x14ac:dyDescent="0.3">
      <c r="A895" s="319" t="s">
        <v>1404</v>
      </c>
      <c r="B895" s="320">
        <v>19443.5</v>
      </c>
      <c r="C895" s="320">
        <v>901.15997314453102</v>
      </c>
      <c r="D895" s="320">
        <f t="shared" si="26"/>
        <v>1.89629265828186E-3</v>
      </c>
      <c r="E895" s="320">
        <f t="shared" si="27"/>
        <v>3.8190761634024198E-2</v>
      </c>
      <c r="F895" s="130"/>
      <c r="G895" s="130"/>
    </row>
    <row r="896" spans="1:7" ht="14.25" customHeight="1" x14ac:dyDescent="0.3">
      <c r="A896" s="319" t="s">
        <v>1405</v>
      </c>
      <c r="B896" s="320">
        <v>19395.30078125</v>
      </c>
      <c r="C896" s="320">
        <v>913.82000732421898</v>
      </c>
      <c r="D896" s="320">
        <f t="shared" si="26"/>
        <v>-2.47893736981511E-3</v>
      </c>
      <c r="E896" s="320">
        <f t="shared" si="27"/>
        <v>1.4048597981456801E-2</v>
      </c>
      <c r="F896" s="130"/>
      <c r="G896" s="130"/>
    </row>
    <row r="897" spans="1:7" ht="14.25" customHeight="1" x14ac:dyDescent="0.3">
      <c r="A897" s="319" t="s">
        <v>1406</v>
      </c>
      <c r="B897" s="320">
        <v>19425.349609375</v>
      </c>
      <c r="C897" s="320">
        <v>902.15997314453102</v>
      </c>
      <c r="D897" s="320">
        <f t="shared" si="26"/>
        <v>1.54928394583337E-3</v>
      </c>
      <c r="E897" s="320">
        <f t="shared" si="27"/>
        <v>-1.2759661734513801E-2</v>
      </c>
      <c r="F897" s="130"/>
      <c r="G897" s="130"/>
    </row>
    <row r="898" spans="1:7" ht="14.25" customHeight="1" x14ac:dyDescent="0.3">
      <c r="A898" s="319" t="s">
        <v>1407</v>
      </c>
      <c r="B898" s="320">
        <v>19443.55078125</v>
      </c>
      <c r="C898" s="320">
        <v>902.54998779296898</v>
      </c>
      <c r="D898" s="320">
        <f t="shared" si="26"/>
        <v>9.3698040143461896E-4</v>
      </c>
      <c r="E898" s="320">
        <f t="shared" si="27"/>
        <v>4.3231207329952402E-4</v>
      </c>
      <c r="F898" s="130"/>
      <c r="G898" s="130"/>
    </row>
    <row r="899" spans="1:7" ht="14.25" customHeight="1" x14ac:dyDescent="0.3">
      <c r="A899" s="319" t="s">
        <v>1408</v>
      </c>
      <c r="B899" s="320">
        <v>19675.44921875</v>
      </c>
      <c r="C899" s="320">
        <v>948.719970703125</v>
      </c>
      <c r="D899" s="320">
        <f t="shared" ref="D899:D962" si="28">(B899-B898)/B898</f>
        <v>1.1926753508604299E-2</v>
      </c>
      <c r="E899" s="320">
        <f t="shared" ref="E899:E962" si="29">(C899-C898)/C898</f>
        <v>5.1155042418267398E-2</v>
      </c>
      <c r="F899" s="130"/>
      <c r="G899" s="130"/>
    </row>
    <row r="900" spans="1:7" ht="14.25" customHeight="1" x14ac:dyDescent="0.3">
      <c r="A900" s="319" t="s">
        <v>1409</v>
      </c>
      <c r="B900" s="320">
        <v>19765.19921875</v>
      </c>
      <c r="C900" s="320">
        <v>952</v>
      </c>
      <c r="D900" s="320">
        <f t="shared" si="28"/>
        <v>4.5615222809993802E-3</v>
      </c>
      <c r="E900" s="320">
        <f t="shared" si="29"/>
        <v>3.4573208092626901E-3</v>
      </c>
      <c r="F900" s="130"/>
      <c r="G900" s="130"/>
    </row>
    <row r="901" spans="1:7" ht="14.25" customHeight="1" x14ac:dyDescent="0.3">
      <c r="A901" s="319" t="s">
        <v>1410</v>
      </c>
      <c r="B901" s="320">
        <v>19731.80078125</v>
      </c>
      <c r="C901" s="320">
        <v>961.05999755859398</v>
      </c>
      <c r="D901" s="320">
        <f t="shared" si="28"/>
        <v>-1.6897597201204499E-3</v>
      </c>
      <c r="E901" s="320">
        <f t="shared" si="29"/>
        <v>9.5168041581869499E-3</v>
      </c>
      <c r="F901" s="130"/>
      <c r="G901" s="130"/>
    </row>
    <row r="902" spans="1:7" ht="14.25" customHeight="1" x14ac:dyDescent="0.3">
      <c r="A902" s="319" t="s">
        <v>1411</v>
      </c>
      <c r="B902" s="320">
        <v>19694</v>
      </c>
      <c r="C902" s="320">
        <v>953.07000732421898</v>
      </c>
      <c r="D902" s="320">
        <f t="shared" si="28"/>
        <v>-1.9157289123818799E-3</v>
      </c>
      <c r="E902" s="320">
        <f t="shared" si="29"/>
        <v>-8.3137267753024598E-3</v>
      </c>
      <c r="F902" s="130"/>
      <c r="G902" s="130"/>
    </row>
    <row r="903" spans="1:7" ht="14.25" customHeight="1" x14ac:dyDescent="0.3">
      <c r="A903" s="319" t="s">
        <v>1412</v>
      </c>
      <c r="B903" s="320">
        <v>19783.400390625</v>
      </c>
      <c r="C903" s="320">
        <v>947.80999755859398</v>
      </c>
      <c r="D903" s="320">
        <f t="shared" si="28"/>
        <v>4.5394734754239897E-3</v>
      </c>
      <c r="E903" s="320">
        <f t="shared" si="29"/>
        <v>-5.5190172025166096E-3</v>
      </c>
      <c r="F903" s="130"/>
      <c r="G903" s="130"/>
    </row>
    <row r="904" spans="1:7" ht="14.25" customHeight="1" x14ac:dyDescent="0.3">
      <c r="A904" s="319" t="s">
        <v>1413</v>
      </c>
      <c r="B904" s="320">
        <v>19811.849609375</v>
      </c>
      <c r="C904" s="320">
        <v>948.28997802734398</v>
      </c>
      <c r="D904" s="320">
        <f t="shared" si="28"/>
        <v>1.4380348265852999E-3</v>
      </c>
      <c r="E904" s="320">
        <f t="shared" si="29"/>
        <v>5.0641000832060505E-4</v>
      </c>
      <c r="F904" s="130"/>
      <c r="G904" s="130"/>
    </row>
    <row r="905" spans="1:7" ht="14.25" customHeight="1" x14ac:dyDescent="0.3">
      <c r="A905" s="319" t="s">
        <v>1414</v>
      </c>
      <c r="B905" s="320">
        <v>19802</v>
      </c>
      <c r="C905" s="320">
        <v>923.42999267578102</v>
      </c>
      <c r="D905" s="320">
        <f t="shared" si="28"/>
        <v>-4.9715748752398898E-4</v>
      </c>
      <c r="E905" s="320">
        <f t="shared" si="29"/>
        <v>-2.6215594309324401E-2</v>
      </c>
      <c r="F905" s="130"/>
      <c r="G905" s="130"/>
    </row>
    <row r="906" spans="1:7" ht="14.25" customHeight="1" x14ac:dyDescent="0.3">
      <c r="A906" s="319" t="s">
        <v>1415</v>
      </c>
      <c r="B906" s="320">
        <v>19794.69921875</v>
      </c>
      <c r="C906" s="320">
        <v>919.38000488281295</v>
      </c>
      <c r="D906" s="320">
        <f t="shared" si="28"/>
        <v>-3.68689084435916E-4</v>
      </c>
      <c r="E906" s="320">
        <f t="shared" si="29"/>
        <v>-4.3858092384812001E-3</v>
      </c>
      <c r="F906" s="130"/>
      <c r="G906" s="130"/>
    </row>
    <row r="907" spans="1:7" ht="14.25" customHeight="1" x14ac:dyDescent="0.3">
      <c r="A907" s="319" t="s">
        <v>1416</v>
      </c>
      <c r="B907" s="320">
        <v>19889.69921875</v>
      </c>
      <c r="C907" s="320">
        <v>910</v>
      </c>
      <c r="D907" s="320">
        <f t="shared" si="28"/>
        <v>4.7992646389905099E-3</v>
      </c>
      <c r="E907" s="320">
        <f t="shared" si="29"/>
        <v>-1.0202533047266499E-2</v>
      </c>
      <c r="F907" s="130"/>
      <c r="G907" s="130"/>
    </row>
    <row r="908" spans="1:7" ht="14.25" customHeight="1" x14ac:dyDescent="0.3">
      <c r="A908" s="319" t="s">
        <v>1417</v>
      </c>
      <c r="B908" s="320">
        <v>20096.599609375</v>
      </c>
      <c r="C908" s="320">
        <v>909.530029296875</v>
      </c>
      <c r="D908" s="320">
        <f t="shared" si="28"/>
        <v>1.0402389113554599E-2</v>
      </c>
      <c r="E908" s="320">
        <f t="shared" si="29"/>
        <v>-5.1645132211538495E-4</v>
      </c>
      <c r="F908" s="130"/>
      <c r="G908" s="130"/>
    </row>
    <row r="909" spans="1:7" ht="14.25" customHeight="1" x14ac:dyDescent="0.3">
      <c r="A909" s="319" t="s">
        <v>1418</v>
      </c>
      <c r="B909" s="320">
        <v>20133.150390625</v>
      </c>
      <c r="C909" s="320">
        <v>922.20001220703102</v>
      </c>
      <c r="D909" s="320">
        <f t="shared" si="28"/>
        <v>1.81875451372128E-3</v>
      </c>
      <c r="E909" s="320">
        <f t="shared" si="29"/>
        <v>1.3930252440318799E-2</v>
      </c>
      <c r="F909" s="130"/>
      <c r="G909" s="130"/>
    </row>
    <row r="910" spans="1:7" ht="14.25" customHeight="1" x14ac:dyDescent="0.3">
      <c r="A910" s="319" t="s">
        <v>1419</v>
      </c>
      <c r="B910" s="320">
        <v>20267.900390625</v>
      </c>
      <c r="C910" s="320">
        <v>914.58001708984398</v>
      </c>
      <c r="D910" s="320">
        <f t="shared" si="28"/>
        <v>6.6929416105065403E-3</v>
      </c>
      <c r="E910" s="320">
        <f t="shared" si="29"/>
        <v>-8.2628443031037193E-3</v>
      </c>
      <c r="F910" s="130"/>
      <c r="G910" s="130"/>
    </row>
    <row r="911" spans="1:7" ht="14.25" customHeight="1" x14ac:dyDescent="0.3">
      <c r="A911" s="319" t="s">
        <v>1420</v>
      </c>
      <c r="B911" s="320">
        <v>20686.80078125</v>
      </c>
      <c r="C911" s="320">
        <v>919.27001953125</v>
      </c>
      <c r="D911" s="320">
        <f t="shared" si="28"/>
        <v>2.0668169003769301E-2</v>
      </c>
      <c r="E911" s="320">
        <f t="shared" si="29"/>
        <v>5.1280394867246502E-3</v>
      </c>
      <c r="F911" s="130"/>
      <c r="G911" s="130"/>
    </row>
    <row r="912" spans="1:7" ht="14.25" customHeight="1" x14ac:dyDescent="0.3">
      <c r="A912" s="319" t="s">
        <v>1421</v>
      </c>
      <c r="B912" s="320">
        <v>20855.099609375</v>
      </c>
      <c r="C912" s="320">
        <v>938.53997802734398</v>
      </c>
      <c r="D912" s="320">
        <f t="shared" si="28"/>
        <v>8.1355657602475602E-3</v>
      </c>
      <c r="E912" s="320">
        <f t="shared" si="29"/>
        <v>2.09622396974504E-2</v>
      </c>
      <c r="F912" s="130"/>
      <c r="G912" s="130"/>
    </row>
    <row r="913" spans="1:7" ht="14.25" customHeight="1" x14ac:dyDescent="0.3">
      <c r="A913" s="319" t="s">
        <v>1422</v>
      </c>
      <c r="B913" s="320">
        <v>20937.69921875</v>
      </c>
      <c r="C913" s="320">
        <v>951.59997558593795</v>
      </c>
      <c r="D913" s="320">
        <f t="shared" si="28"/>
        <v>3.9606432442005199E-3</v>
      </c>
      <c r="E913" s="320">
        <f t="shared" si="29"/>
        <v>1.3915227762640399E-2</v>
      </c>
      <c r="F913" s="130"/>
      <c r="G913" s="130"/>
    </row>
    <row r="914" spans="1:7" ht="14.25" customHeight="1" x14ac:dyDescent="0.3">
      <c r="A914" s="319" t="s">
        <v>1423</v>
      </c>
      <c r="B914" s="320">
        <v>20901.150390625</v>
      </c>
      <c r="C914" s="320">
        <v>961.13000488281295</v>
      </c>
      <c r="D914" s="320">
        <f t="shared" si="28"/>
        <v>-1.74559906239698E-3</v>
      </c>
      <c r="E914" s="320">
        <f t="shared" si="29"/>
        <v>1.00147431077927E-2</v>
      </c>
      <c r="F914" s="130"/>
      <c r="G914" s="130"/>
    </row>
    <row r="915" spans="1:7" ht="14.25" customHeight="1" x14ac:dyDescent="0.3">
      <c r="A915" s="319" t="s">
        <v>1424</v>
      </c>
      <c r="B915" s="320">
        <v>20969.400390625</v>
      </c>
      <c r="C915" s="320">
        <v>949.13000488281295</v>
      </c>
      <c r="D915" s="320">
        <f t="shared" si="28"/>
        <v>3.2653705047073801E-3</v>
      </c>
      <c r="E915" s="320">
        <f t="shared" si="29"/>
        <v>-1.24853036936071E-2</v>
      </c>
      <c r="F915" s="130"/>
      <c r="G915" s="130"/>
    </row>
    <row r="916" spans="1:7" ht="14.25" customHeight="1" x14ac:dyDescent="0.3">
      <c r="A916" s="319" t="s">
        <v>1425</v>
      </c>
      <c r="B916" s="320">
        <v>20997.099609375</v>
      </c>
      <c r="C916" s="320">
        <v>976.59002685546898</v>
      </c>
      <c r="D916" s="320">
        <f t="shared" si="28"/>
        <v>1.3209351833628901E-3</v>
      </c>
      <c r="E916" s="320">
        <f t="shared" si="29"/>
        <v>2.8931781559309599E-2</v>
      </c>
      <c r="F916" s="130"/>
      <c r="G916" s="130"/>
    </row>
    <row r="917" spans="1:7" ht="14.25" customHeight="1" x14ac:dyDescent="0.3">
      <c r="A917" s="319" t="s">
        <v>1426</v>
      </c>
      <c r="B917" s="320">
        <v>20906.400390625</v>
      </c>
      <c r="C917" s="320">
        <v>957.60998535156295</v>
      </c>
      <c r="D917" s="320">
        <f t="shared" si="28"/>
        <v>-4.3196070141756004E-3</v>
      </c>
      <c r="E917" s="320">
        <f t="shared" si="29"/>
        <v>-1.9435014675523599E-2</v>
      </c>
      <c r="F917" s="130"/>
      <c r="G917" s="130"/>
    </row>
    <row r="918" spans="1:7" ht="14.25" customHeight="1" x14ac:dyDescent="0.3">
      <c r="A918" s="319" t="s">
        <v>1427</v>
      </c>
      <c r="B918" s="320">
        <v>20926.349609375</v>
      </c>
      <c r="C918" s="320">
        <v>962.72998046875</v>
      </c>
      <c r="D918" s="320">
        <f t="shared" si="28"/>
        <v>9.5421585625738705E-4</v>
      </c>
      <c r="E918" s="320">
        <f t="shared" si="29"/>
        <v>5.3466392325758399E-3</v>
      </c>
      <c r="F918" s="130"/>
      <c r="G918" s="130"/>
    </row>
    <row r="919" spans="1:7" ht="14.25" customHeight="1" x14ac:dyDescent="0.3">
      <c r="A919" s="319" t="s">
        <v>1428</v>
      </c>
      <c r="B919" s="320">
        <v>21182.69921875</v>
      </c>
      <c r="C919" s="320">
        <v>1030.53002929688</v>
      </c>
      <c r="D919" s="320">
        <f t="shared" si="28"/>
        <v>1.22500872899569E-2</v>
      </c>
      <c r="E919" s="320">
        <f t="shared" si="29"/>
        <v>7.0424781822124596E-2</v>
      </c>
      <c r="F919" s="130"/>
      <c r="G919" s="130"/>
    </row>
    <row r="920" spans="1:7" ht="14.25" customHeight="1" x14ac:dyDescent="0.3">
      <c r="A920" s="319" t="s">
        <v>1429</v>
      </c>
      <c r="B920" s="320">
        <v>21456.650390625</v>
      </c>
      <c r="C920" s="320">
        <v>1044.17004394531</v>
      </c>
      <c r="D920" s="320">
        <f t="shared" si="28"/>
        <v>1.29327792008919E-2</v>
      </c>
      <c r="E920" s="320">
        <f t="shared" si="29"/>
        <v>1.32359215749748E-2</v>
      </c>
      <c r="F920" s="130"/>
      <c r="G920" s="130"/>
    </row>
    <row r="921" spans="1:7" ht="14.25" customHeight="1" x14ac:dyDescent="0.3">
      <c r="A921" s="319" t="s">
        <v>1430</v>
      </c>
      <c r="B921" s="320">
        <v>21418.650390625</v>
      </c>
      <c r="C921" s="320">
        <v>1039.03002929688</v>
      </c>
      <c r="D921" s="320">
        <f t="shared" si="28"/>
        <v>-1.77101268409552E-3</v>
      </c>
      <c r="E921" s="320">
        <f t="shared" si="29"/>
        <v>-4.9225839011899598E-3</v>
      </c>
      <c r="F921" s="130"/>
      <c r="G921" s="130"/>
    </row>
    <row r="922" spans="1:7" ht="14.25" customHeight="1" x14ac:dyDescent="0.3">
      <c r="A922" s="319" t="s">
        <v>1431</v>
      </c>
      <c r="B922" s="320">
        <v>21453.099609375</v>
      </c>
      <c r="C922" s="320">
        <v>1041.36999511719</v>
      </c>
      <c r="D922" s="320">
        <f t="shared" si="28"/>
        <v>1.6083748565725901E-3</v>
      </c>
      <c r="E922" s="320">
        <f t="shared" si="29"/>
        <v>2.2520675575598802E-3</v>
      </c>
      <c r="F922" s="130"/>
      <c r="G922" s="130"/>
    </row>
    <row r="923" spans="1:7" ht="14.25" customHeight="1" x14ac:dyDescent="0.3">
      <c r="A923" s="319" t="s">
        <v>1432</v>
      </c>
      <c r="B923" s="320">
        <v>21150.150390625</v>
      </c>
      <c r="C923" s="320">
        <v>999.489990234375</v>
      </c>
      <c r="D923" s="320">
        <f t="shared" si="28"/>
        <v>-1.41214660942334E-2</v>
      </c>
      <c r="E923" s="320">
        <f t="shared" si="29"/>
        <v>-4.0216258466427297E-2</v>
      </c>
      <c r="F923" s="130"/>
      <c r="G923" s="130"/>
    </row>
    <row r="924" spans="1:7" ht="14.25" customHeight="1" x14ac:dyDescent="0.3">
      <c r="A924" s="319" t="s">
        <v>1433</v>
      </c>
      <c r="B924" s="320">
        <v>21255.05078125</v>
      </c>
      <c r="C924" s="320">
        <v>1001.02001953125</v>
      </c>
      <c r="D924" s="320">
        <f t="shared" si="28"/>
        <v>4.9597940765233597E-3</v>
      </c>
      <c r="E924" s="320">
        <f t="shared" si="29"/>
        <v>1.5308100249370299E-3</v>
      </c>
      <c r="F924" s="130"/>
      <c r="G924" s="130"/>
    </row>
    <row r="925" spans="1:7" ht="14.25" customHeight="1" x14ac:dyDescent="0.3">
      <c r="A925" s="319" t="s">
        <v>1434</v>
      </c>
      <c r="B925" s="320">
        <v>21349.400390625</v>
      </c>
      <c r="C925" s="320">
        <v>1001.29998779297</v>
      </c>
      <c r="D925" s="320">
        <f t="shared" si="28"/>
        <v>4.4389265566107203E-3</v>
      </c>
      <c r="E925" s="320">
        <f t="shared" si="29"/>
        <v>2.7968297961823198E-4</v>
      </c>
      <c r="F925" s="130"/>
      <c r="G925" s="130"/>
    </row>
    <row r="926" spans="1:7" ht="14.25" customHeight="1" x14ac:dyDescent="0.3">
      <c r="A926" s="319" t="s">
        <v>1435</v>
      </c>
      <c r="B926" s="320">
        <v>21441.349609375</v>
      </c>
      <c r="C926" s="320">
        <v>1015.78002929688</v>
      </c>
      <c r="D926" s="320">
        <f t="shared" si="28"/>
        <v>4.3068759341071197E-3</v>
      </c>
      <c r="E926" s="320">
        <f t="shared" si="29"/>
        <v>1.44612420657533E-2</v>
      </c>
      <c r="F926" s="130"/>
      <c r="G926" s="130"/>
    </row>
    <row r="927" spans="1:7" ht="14.25" customHeight="1" x14ac:dyDescent="0.3">
      <c r="A927" s="319" t="s">
        <v>1436</v>
      </c>
      <c r="B927" s="320">
        <v>21654.75</v>
      </c>
      <c r="C927" s="320">
        <v>1030.85998535156</v>
      </c>
      <c r="D927" s="320">
        <f t="shared" si="28"/>
        <v>9.9527499207276108E-3</v>
      </c>
      <c r="E927" s="320">
        <f t="shared" si="29"/>
        <v>1.48456906217366E-2</v>
      </c>
      <c r="F927" s="130"/>
      <c r="G927" s="130"/>
    </row>
    <row r="928" spans="1:7" ht="14.25" customHeight="1" x14ac:dyDescent="0.3">
      <c r="A928" s="319" t="s">
        <v>1437</v>
      </c>
      <c r="B928" s="320">
        <v>21778.69921875</v>
      </c>
      <c r="C928" s="320">
        <v>1029.81994628906</v>
      </c>
      <c r="D928" s="320">
        <f t="shared" si="28"/>
        <v>5.7238813077962096E-3</v>
      </c>
      <c r="E928" s="320">
        <f t="shared" si="29"/>
        <v>-1.00890429086285E-3</v>
      </c>
      <c r="F928" s="130"/>
      <c r="G928" s="130"/>
    </row>
    <row r="929" spans="1:7" ht="14.25" customHeight="1" x14ac:dyDescent="0.3">
      <c r="A929" s="319" t="s">
        <v>1438</v>
      </c>
      <c r="B929" s="320">
        <v>21731.400390625</v>
      </c>
      <c r="C929" s="320">
        <v>1028.03002929688</v>
      </c>
      <c r="D929" s="320">
        <f t="shared" si="28"/>
        <v>-2.1717930740454399E-3</v>
      </c>
      <c r="E929" s="320">
        <f t="shared" si="29"/>
        <v>-1.7380873216040699E-3</v>
      </c>
      <c r="F929" s="130"/>
      <c r="G929" s="130"/>
    </row>
    <row r="930" spans="1:7" ht="14.25" customHeight="1" x14ac:dyDescent="0.3">
      <c r="A930" s="319" t="s">
        <v>1439</v>
      </c>
      <c r="B930" s="320">
        <v>21741.900390625</v>
      </c>
      <c r="C930" s="320">
        <v>1029.90002441406</v>
      </c>
      <c r="D930" s="320">
        <f t="shared" si="28"/>
        <v>4.8317180721265101E-4</v>
      </c>
      <c r="E930" s="320">
        <f t="shared" si="29"/>
        <v>1.8190082622965599E-3</v>
      </c>
      <c r="F930" s="130"/>
      <c r="G930" s="130"/>
    </row>
    <row r="931" spans="1:7" ht="14.25" customHeight="1" x14ac:dyDescent="0.3">
      <c r="A931" s="319" t="s">
        <v>1440</v>
      </c>
      <c r="B931" s="320">
        <v>21665.80078125</v>
      </c>
      <c r="C931" s="320">
        <v>1025.23999023438</v>
      </c>
      <c r="D931" s="320">
        <f t="shared" si="28"/>
        <v>-3.5001360510240301E-3</v>
      </c>
      <c r="E931" s="320">
        <f t="shared" si="29"/>
        <v>-4.5247442171207101E-3</v>
      </c>
      <c r="F931" s="130"/>
      <c r="G931" s="130"/>
    </row>
    <row r="932" spans="1:7" ht="14.25" customHeight="1" x14ac:dyDescent="0.3">
      <c r="A932" s="319" t="s">
        <v>1441</v>
      </c>
      <c r="B932" s="320">
        <v>21517.349609375</v>
      </c>
      <c r="C932" s="320">
        <v>1017.59997558594</v>
      </c>
      <c r="D932" s="320">
        <f t="shared" si="28"/>
        <v>-6.8518663756694598E-3</v>
      </c>
      <c r="E932" s="320">
        <f t="shared" si="29"/>
        <v>-7.4519280570526899E-3</v>
      </c>
      <c r="F932" s="130"/>
      <c r="G932" s="130"/>
    </row>
    <row r="933" spans="1:7" ht="14.25" customHeight="1" x14ac:dyDescent="0.3">
      <c r="A933" s="319" t="s">
        <v>1442</v>
      </c>
      <c r="B933" s="320">
        <v>21658.599609375</v>
      </c>
      <c r="C933" s="320">
        <v>1017.09997558594</v>
      </c>
      <c r="D933" s="320">
        <f t="shared" si="28"/>
        <v>6.5644701863494404E-3</v>
      </c>
      <c r="E933" s="320">
        <f t="shared" si="29"/>
        <v>-4.9135221304628799E-4</v>
      </c>
      <c r="F933" s="130"/>
      <c r="G933" s="130"/>
    </row>
    <row r="934" spans="1:7" ht="14.25" customHeight="1" x14ac:dyDescent="0.3">
      <c r="A934" s="319" t="s">
        <v>1443</v>
      </c>
      <c r="B934" s="320">
        <v>21710.80078125</v>
      </c>
      <c r="C934" s="320">
        <v>1049.22998046875</v>
      </c>
      <c r="D934" s="320">
        <f t="shared" si="28"/>
        <v>2.41018222860561E-3</v>
      </c>
      <c r="E934" s="320">
        <f t="shared" si="29"/>
        <v>3.1589819736550701E-2</v>
      </c>
      <c r="F934" s="130"/>
      <c r="G934" s="130"/>
    </row>
    <row r="935" spans="1:7" ht="14.25" customHeight="1" x14ac:dyDescent="0.3">
      <c r="A935" s="319" t="s">
        <v>1444</v>
      </c>
      <c r="B935" s="320">
        <v>21513</v>
      </c>
      <c r="C935" s="320">
        <v>1029.01000976563</v>
      </c>
      <c r="D935" s="320">
        <f t="shared" si="28"/>
        <v>-9.1107086856430392E-3</v>
      </c>
      <c r="E935" s="320">
        <f t="shared" si="29"/>
        <v>-1.92712475620327E-2</v>
      </c>
      <c r="F935" s="130"/>
      <c r="G935" s="130"/>
    </row>
    <row r="936" spans="1:7" ht="14.25" customHeight="1" x14ac:dyDescent="0.3">
      <c r="A936" s="319" t="s">
        <v>1445</v>
      </c>
      <c r="B936" s="320">
        <v>21544.849609375</v>
      </c>
      <c r="C936" s="320">
        <v>1038.93005371094</v>
      </c>
      <c r="D936" s="320">
        <f t="shared" si="28"/>
        <v>1.4804820050667001E-3</v>
      </c>
      <c r="E936" s="320">
        <f t="shared" si="29"/>
        <v>9.6403765280858797E-3</v>
      </c>
      <c r="F936" s="130"/>
      <c r="G936" s="130"/>
    </row>
    <row r="937" spans="1:7" ht="14.25" customHeight="1" x14ac:dyDescent="0.3">
      <c r="A937" s="319" t="s">
        <v>1446</v>
      </c>
      <c r="B937" s="320">
        <v>21618.69921875</v>
      </c>
      <c r="C937" s="320">
        <v>1048.68005371094</v>
      </c>
      <c r="D937" s="320">
        <f t="shared" si="28"/>
        <v>3.4277152411806701E-3</v>
      </c>
      <c r="E937" s="320">
        <f t="shared" si="29"/>
        <v>9.3846548814081505E-3</v>
      </c>
      <c r="F937" s="130"/>
      <c r="G937" s="130"/>
    </row>
    <row r="938" spans="1:7" ht="14.25" customHeight="1" x14ac:dyDescent="0.3">
      <c r="A938" s="319" t="s">
        <v>1447</v>
      </c>
      <c r="B938" s="320">
        <v>21647.19921875</v>
      </c>
      <c r="C938" s="320">
        <v>1034.32995605469</v>
      </c>
      <c r="D938" s="320">
        <f t="shared" si="28"/>
        <v>1.3183031833516501E-3</v>
      </c>
      <c r="E938" s="320">
        <f t="shared" si="29"/>
        <v>-1.3683961667306999E-2</v>
      </c>
      <c r="F938" s="130"/>
      <c r="G938" s="130"/>
    </row>
    <row r="939" spans="1:7" ht="14.25" customHeight="1" x14ac:dyDescent="0.3">
      <c r="A939" s="319" t="s">
        <v>1448</v>
      </c>
      <c r="B939" s="320">
        <v>21894.55078125</v>
      </c>
      <c r="C939" s="320">
        <v>1061.66003417969</v>
      </c>
      <c r="D939" s="320">
        <f t="shared" si="28"/>
        <v>1.14264926377059E-2</v>
      </c>
      <c r="E939" s="320">
        <f t="shared" si="29"/>
        <v>2.6422978436442899E-2</v>
      </c>
      <c r="F939" s="130"/>
      <c r="G939" s="130"/>
    </row>
    <row r="940" spans="1:7" ht="14.25" customHeight="1" x14ac:dyDescent="0.3">
      <c r="A940" s="319" t="s">
        <v>1449</v>
      </c>
      <c r="B940" s="320">
        <v>22097.44921875</v>
      </c>
      <c r="C940" s="320">
        <v>1068.61999511719</v>
      </c>
      <c r="D940" s="320">
        <f t="shared" si="28"/>
        <v>9.2670746948486198E-3</v>
      </c>
      <c r="E940" s="320">
        <f t="shared" si="29"/>
        <v>6.5557341459855697E-3</v>
      </c>
      <c r="F940" s="130"/>
      <c r="G940" s="130"/>
    </row>
    <row r="941" spans="1:7" ht="14.25" customHeight="1" x14ac:dyDescent="0.3">
      <c r="A941" s="319" t="s">
        <v>1450</v>
      </c>
      <c r="B941" s="320">
        <v>22032.30078125</v>
      </c>
      <c r="C941" s="320">
        <v>1042.47998046875</v>
      </c>
      <c r="D941" s="320">
        <f t="shared" si="28"/>
        <v>-2.9482333845447001E-3</v>
      </c>
      <c r="E941" s="320">
        <f t="shared" si="29"/>
        <v>-2.44614687801844E-2</v>
      </c>
      <c r="F941" s="130"/>
      <c r="G941" s="130"/>
    </row>
    <row r="942" spans="1:7" ht="14.25" customHeight="1" x14ac:dyDescent="0.3">
      <c r="A942" s="319" t="s">
        <v>1451</v>
      </c>
      <c r="B942" s="320">
        <v>21571.94921875</v>
      </c>
      <c r="C942" s="320">
        <v>1034.83996582031</v>
      </c>
      <c r="D942" s="320">
        <f t="shared" si="28"/>
        <v>-2.0894393512082499E-2</v>
      </c>
      <c r="E942" s="320">
        <f t="shared" si="29"/>
        <v>-7.3286919572351696E-3</v>
      </c>
      <c r="F942" s="130"/>
      <c r="G942" s="130"/>
    </row>
    <row r="943" spans="1:7" ht="14.25" customHeight="1" x14ac:dyDescent="0.3">
      <c r="A943" s="319" t="s">
        <v>1452</v>
      </c>
      <c r="B943" s="320">
        <v>21462.25</v>
      </c>
      <c r="C943" s="320">
        <v>1021.77001953125</v>
      </c>
      <c r="D943" s="320">
        <f t="shared" si="28"/>
        <v>-5.0852715087355699E-3</v>
      </c>
      <c r="E943" s="320">
        <f t="shared" si="29"/>
        <v>-1.26299202975791E-2</v>
      </c>
      <c r="F943" s="130"/>
      <c r="G943" s="130"/>
    </row>
    <row r="944" spans="1:7" ht="14.25" customHeight="1" x14ac:dyDescent="0.3">
      <c r="A944" s="319" t="s">
        <v>1453</v>
      </c>
      <c r="B944" s="320">
        <v>21622.400390625</v>
      </c>
      <c r="C944" s="320">
        <v>1019.59002685547</v>
      </c>
      <c r="D944" s="320">
        <f t="shared" si="28"/>
        <v>7.4619571864552904E-3</v>
      </c>
      <c r="E944" s="320">
        <f t="shared" si="29"/>
        <v>-2.1335453518004999E-3</v>
      </c>
      <c r="F944" s="130"/>
      <c r="G944" s="130"/>
    </row>
    <row r="945" spans="1:7" ht="14.25" customHeight="1" x14ac:dyDescent="0.3">
      <c r="A945" s="319" t="s">
        <v>1454</v>
      </c>
      <c r="B945" s="320">
        <v>21238.80078125</v>
      </c>
      <c r="C945" s="320">
        <v>989.219970703125</v>
      </c>
      <c r="D945" s="320">
        <f t="shared" si="28"/>
        <v>-1.7740842942734501E-2</v>
      </c>
      <c r="E945" s="320">
        <f t="shared" si="29"/>
        <v>-2.9786537090804699E-2</v>
      </c>
      <c r="F945" s="130"/>
      <c r="G945" s="130"/>
    </row>
    <row r="946" spans="1:7" ht="14.25" customHeight="1" x14ac:dyDescent="0.3">
      <c r="A946" s="319" t="s">
        <v>1455</v>
      </c>
      <c r="B946" s="320">
        <v>21453.94921875</v>
      </c>
      <c r="C946" s="320">
        <v>1004.39001464844</v>
      </c>
      <c r="D946" s="320">
        <f t="shared" si="28"/>
        <v>1.0129971071150899E-2</v>
      </c>
      <c r="E946" s="320">
        <f t="shared" si="29"/>
        <v>1.5335359570766E-2</v>
      </c>
      <c r="F946" s="130"/>
      <c r="G946" s="130"/>
    </row>
    <row r="947" spans="1:7" ht="14.25" customHeight="1" x14ac:dyDescent="0.3">
      <c r="A947" s="319" t="s">
        <v>1456</v>
      </c>
      <c r="B947" s="320">
        <v>21352.599609375</v>
      </c>
      <c r="C947" s="320">
        <v>996.510009765625</v>
      </c>
      <c r="D947" s="320">
        <f t="shared" si="28"/>
        <v>-4.7240537554001502E-3</v>
      </c>
      <c r="E947" s="320">
        <f t="shared" si="29"/>
        <v>-7.8455627474285292E-3</v>
      </c>
      <c r="F947" s="130"/>
      <c r="G947" s="130"/>
    </row>
    <row r="948" spans="1:7" ht="14.25" customHeight="1" x14ac:dyDescent="0.3">
      <c r="A948" s="319" t="s">
        <v>1457</v>
      </c>
      <c r="B948" s="320">
        <v>21737.599609375</v>
      </c>
      <c r="C948" s="320">
        <v>995.04998779296898</v>
      </c>
      <c r="D948" s="320">
        <f t="shared" si="28"/>
        <v>1.8030591452244699E-2</v>
      </c>
      <c r="E948" s="320">
        <f t="shared" si="29"/>
        <v>-1.4651352804769301E-3</v>
      </c>
      <c r="F948" s="130"/>
      <c r="G948" s="130"/>
    </row>
    <row r="949" spans="1:7" ht="14.25" customHeight="1" x14ac:dyDescent="0.3">
      <c r="A949" s="319" t="s">
        <v>1458</v>
      </c>
      <c r="B949" s="320">
        <v>21522.099609375</v>
      </c>
      <c r="C949" s="320">
        <v>978.53997802734398</v>
      </c>
      <c r="D949" s="320">
        <f t="shared" si="28"/>
        <v>-9.9136981024831802E-3</v>
      </c>
      <c r="E949" s="320">
        <f t="shared" si="29"/>
        <v>-1.6592141066444702E-2</v>
      </c>
      <c r="F949" s="130"/>
      <c r="G949" s="130"/>
    </row>
    <row r="950" spans="1:7" ht="14.25" customHeight="1" x14ac:dyDescent="0.3">
      <c r="A950" s="319" t="s">
        <v>1459</v>
      </c>
      <c r="B950" s="320">
        <v>21725.69921875</v>
      </c>
      <c r="C950" s="320">
        <v>1006.33001708984</v>
      </c>
      <c r="D950" s="320">
        <f t="shared" si="28"/>
        <v>9.4600254190029091E-3</v>
      </c>
      <c r="E950" s="320">
        <f t="shared" si="29"/>
        <v>2.8399492802040099E-2</v>
      </c>
      <c r="F950" s="130"/>
      <c r="G950" s="130"/>
    </row>
    <row r="951" spans="1:7" ht="14.25" customHeight="1" x14ac:dyDescent="0.3">
      <c r="A951" s="319" t="s">
        <v>1460</v>
      </c>
      <c r="B951" s="320">
        <v>21697.44921875</v>
      </c>
      <c r="C951" s="320">
        <v>1012.40002441406</v>
      </c>
      <c r="D951" s="320">
        <f t="shared" si="28"/>
        <v>-1.3003033741542101E-3</v>
      </c>
      <c r="E951" s="320">
        <f t="shared" si="29"/>
        <v>6.0318257640506199E-3</v>
      </c>
      <c r="F951" s="130"/>
      <c r="G951" s="130"/>
    </row>
    <row r="952" spans="1:7" ht="14.25" customHeight="1" x14ac:dyDescent="0.3">
      <c r="A952" s="319" t="s">
        <v>1461</v>
      </c>
      <c r="B952" s="320">
        <v>21853.80078125</v>
      </c>
      <c r="C952" s="320">
        <v>1035.43005371094</v>
      </c>
      <c r="D952" s="320">
        <f t="shared" si="28"/>
        <v>7.2059881750933096E-3</v>
      </c>
      <c r="E952" s="320">
        <f t="shared" si="29"/>
        <v>2.2747954110539401E-2</v>
      </c>
      <c r="F952" s="130"/>
      <c r="G952" s="130"/>
    </row>
    <row r="953" spans="1:7" ht="14.25" customHeight="1" x14ac:dyDescent="0.3">
      <c r="A953" s="319" t="s">
        <v>1462</v>
      </c>
      <c r="B953" s="320">
        <v>21771.69921875</v>
      </c>
      <c r="C953" s="320">
        <v>1036.68994140625</v>
      </c>
      <c r="D953" s="320">
        <f t="shared" si="28"/>
        <v>-3.7568550808077801E-3</v>
      </c>
      <c r="E953" s="320">
        <f t="shared" si="29"/>
        <v>1.21677721328892E-3</v>
      </c>
      <c r="F953" s="130"/>
      <c r="G953" s="130"/>
    </row>
    <row r="954" spans="1:7" ht="14.25" customHeight="1" x14ac:dyDescent="0.3">
      <c r="A954" s="319" t="s">
        <v>1463</v>
      </c>
      <c r="B954" s="320">
        <v>21929.400390625</v>
      </c>
      <c r="C954" s="320">
        <v>1071.15002441406</v>
      </c>
      <c r="D954" s="320">
        <f t="shared" si="28"/>
        <v>7.2434021015312499E-3</v>
      </c>
      <c r="E954" s="320">
        <f t="shared" si="29"/>
        <v>3.3240491328647002E-2</v>
      </c>
      <c r="F954" s="130"/>
      <c r="G954" s="130"/>
    </row>
    <row r="955" spans="1:7" ht="14.25" customHeight="1" x14ac:dyDescent="0.3">
      <c r="A955" s="319" t="s">
        <v>1464</v>
      </c>
      <c r="B955" s="320">
        <v>21930.5</v>
      </c>
      <c r="C955" s="320">
        <v>1079.82995605469</v>
      </c>
      <c r="D955" s="320">
        <f t="shared" si="28"/>
        <v>5.0143157378351898E-5</v>
      </c>
      <c r="E955" s="320">
        <f t="shared" si="29"/>
        <v>8.1033762244257894E-3</v>
      </c>
      <c r="F955" s="130"/>
      <c r="G955" s="130"/>
    </row>
    <row r="956" spans="1:7" ht="14.25" customHeight="1" x14ac:dyDescent="0.3">
      <c r="A956" s="319" t="s">
        <v>1465</v>
      </c>
      <c r="B956" s="320">
        <v>21717.94921875</v>
      </c>
      <c r="C956" s="320">
        <v>1099.59997558594</v>
      </c>
      <c r="D956" s="320">
        <f t="shared" si="28"/>
        <v>-9.6920171108729903E-3</v>
      </c>
      <c r="E956" s="320">
        <f t="shared" si="29"/>
        <v>1.8308456271654599E-2</v>
      </c>
      <c r="F956" s="130"/>
      <c r="G956" s="130"/>
    </row>
    <row r="957" spans="1:7" ht="14.25" customHeight="1" x14ac:dyDescent="0.3">
      <c r="A957" s="319" t="s">
        <v>1466</v>
      </c>
      <c r="B957" s="320">
        <v>21782.5</v>
      </c>
      <c r="C957" s="320">
        <v>1098.52001953125</v>
      </c>
      <c r="D957" s="320">
        <f t="shared" si="28"/>
        <v>2.9722318898448602E-3</v>
      </c>
      <c r="E957" s="320">
        <f t="shared" si="29"/>
        <v>-9.821353934775501E-4</v>
      </c>
      <c r="F957" s="130"/>
      <c r="G957" s="130"/>
    </row>
    <row r="958" spans="1:7" ht="14.25" customHeight="1" x14ac:dyDescent="0.3">
      <c r="A958" s="319" t="s">
        <v>1467</v>
      </c>
      <c r="B958" s="320">
        <v>21616.05078125</v>
      </c>
      <c r="C958" s="320">
        <v>1077.43994140625</v>
      </c>
      <c r="D958" s="320">
        <f t="shared" si="28"/>
        <v>-7.6414194307356798E-3</v>
      </c>
      <c r="E958" s="320">
        <f t="shared" si="29"/>
        <v>-1.91895256801921E-2</v>
      </c>
      <c r="F958" s="130"/>
      <c r="G958" s="130"/>
    </row>
    <row r="959" spans="1:7" ht="14.25" customHeight="1" x14ac:dyDescent="0.3">
      <c r="A959" s="319" t="s">
        <v>1468</v>
      </c>
      <c r="B959" s="320">
        <v>21743.25</v>
      </c>
      <c r="C959" s="320">
        <v>1068.31994628906</v>
      </c>
      <c r="D959" s="320">
        <f t="shared" si="28"/>
        <v>5.88448001150765E-3</v>
      </c>
      <c r="E959" s="320">
        <f t="shared" si="29"/>
        <v>-8.4645043929657791E-3</v>
      </c>
      <c r="F959" s="130"/>
      <c r="G959" s="130"/>
    </row>
    <row r="960" spans="1:7" ht="14.25" customHeight="1" x14ac:dyDescent="0.3">
      <c r="A960" s="319" t="s">
        <v>1469</v>
      </c>
      <c r="B960" s="320">
        <v>21840.05078125</v>
      </c>
      <c r="C960" s="320">
        <v>1022.51000976563</v>
      </c>
      <c r="D960" s="320">
        <f t="shared" si="28"/>
        <v>4.4519922849620003E-3</v>
      </c>
      <c r="E960" s="320">
        <f t="shared" si="29"/>
        <v>-4.2880353102604199E-2</v>
      </c>
      <c r="F960" s="130"/>
      <c r="G960" s="130"/>
    </row>
    <row r="961" spans="1:7" ht="14.25" customHeight="1" x14ac:dyDescent="0.3">
      <c r="A961" s="319" t="s">
        <v>1470</v>
      </c>
      <c r="B961" s="320">
        <v>21910.75</v>
      </c>
      <c r="C961" s="320">
        <v>1032.67004394531</v>
      </c>
      <c r="D961" s="320">
        <f t="shared" si="28"/>
        <v>3.2371361888359801E-3</v>
      </c>
      <c r="E961" s="320">
        <f t="shared" si="29"/>
        <v>9.9363664733304498E-3</v>
      </c>
      <c r="F961" s="130"/>
      <c r="G961" s="130"/>
    </row>
    <row r="962" spans="1:7" ht="14.25" customHeight="1" x14ac:dyDescent="0.3">
      <c r="A962" s="319" t="s">
        <v>1471</v>
      </c>
      <c r="B962" s="320">
        <v>22040.69921875</v>
      </c>
      <c r="C962" s="320">
        <v>1054.15002441406</v>
      </c>
      <c r="D962" s="320">
        <f t="shared" si="28"/>
        <v>5.93084302226076E-3</v>
      </c>
      <c r="E962" s="320">
        <f t="shared" si="29"/>
        <v>2.0800429522179101E-2</v>
      </c>
      <c r="F962" s="130"/>
      <c r="G962" s="130"/>
    </row>
    <row r="963" spans="1:7" ht="14.25" customHeight="1" x14ac:dyDescent="0.3">
      <c r="A963" s="319" t="s">
        <v>1472</v>
      </c>
      <c r="B963" s="320">
        <v>22122.25</v>
      </c>
      <c r="C963" s="320">
        <v>1067.68994140625</v>
      </c>
      <c r="D963" s="320">
        <f t="shared" ref="D963:D1026" si="30">(B963-B962)/B962</f>
        <v>3.7000088082788599E-3</v>
      </c>
      <c r="E963" s="320">
        <f t="shared" ref="E963:E1026" si="31">(C963-C962)/C962</f>
        <v>1.28443928080503E-2</v>
      </c>
      <c r="F963" s="130"/>
      <c r="G963" s="130"/>
    </row>
    <row r="964" spans="1:7" ht="14.25" customHeight="1" x14ac:dyDescent="0.3">
      <c r="A964" s="319" t="s">
        <v>1473</v>
      </c>
      <c r="B964" s="320">
        <v>22196.94921875</v>
      </c>
      <c r="C964" s="320">
        <v>1063.31994628906</v>
      </c>
      <c r="D964" s="320">
        <f t="shared" si="30"/>
        <v>3.37665557300907E-3</v>
      </c>
      <c r="E964" s="320">
        <f t="shared" si="31"/>
        <v>-4.0929439790678398E-3</v>
      </c>
      <c r="F964" s="130"/>
      <c r="G964" s="130"/>
    </row>
    <row r="965" spans="1:7" ht="14.25" customHeight="1" x14ac:dyDescent="0.3">
      <c r="A965" s="319" t="s">
        <v>1474</v>
      </c>
      <c r="B965" s="320">
        <v>22055.05078125</v>
      </c>
      <c r="C965" s="320">
        <v>1047.15002441406</v>
      </c>
      <c r="D965" s="320">
        <f t="shared" si="30"/>
        <v>-6.3927000103301103E-3</v>
      </c>
      <c r="E965" s="320">
        <f t="shared" si="31"/>
        <v>-1.52070145316396E-2</v>
      </c>
      <c r="F965" s="130"/>
      <c r="G965" s="130"/>
    </row>
    <row r="966" spans="1:7" ht="14.25" customHeight="1" x14ac:dyDescent="0.3">
      <c r="A966" s="319" t="s">
        <v>1475</v>
      </c>
      <c r="B966" s="320">
        <v>22217.44921875</v>
      </c>
      <c r="C966" s="320">
        <v>1068.06994628906</v>
      </c>
      <c r="D966" s="320">
        <f t="shared" si="30"/>
        <v>7.3633218581415499E-3</v>
      </c>
      <c r="E966" s="320">
        <f t="shared" si="31"/>
        <v>1.9977960547444801E-2</v>
      </c>
      <c r="F966" s="130"/>
      <c r="G966" s="130"/>
    </row>
    <row r="967" spans="1:7" ht="14.25" customHeight="1" x14ac:dyDescent="0.3">
      <c r="A967" s="319" t="s">
        <v>1476</v>
      </c>
      <c r="B967" s="320">
        <v>22212.69921875</v>
      </c>
      <c r="C967" s="320">
        <v>1067.43005371094</v>
      </c>
      <c r="D967" s="320">
        <f t="shared" si="30"/>
        <v>-2.1379592019012399E-4</v>
      </c>
      <c r="E967" s="320">
        <f t="shared" si="31"/>
        <v>-5.9911111659237599E-4</v>
      </c>
      <c r="F967" s="130"/>
      <c r="G967" s="130"/>
    </row>
    <row r="968" spans="1:7" ht="14.25" customHeight="1" x14ac:dyDescent="0.3">
      <c r="A968" s="319" t="s">
        <v>1477</v>
      </c>
      <c r="B968" s="320">
        <v>22122.05078125</v>
      </c>
      <c r="C968" s="320">
        <v>1051.39001464844</v>
      </c>
      <c r="D968" s="320">
        <f t="shared" si="30"/>
        <v>-4.0809285088361799E-3</v>
      </c>
      <c r="E968" s="320">
        <f t="shared" si="31"/>
        <v>-1.5026782323334899E-2</v>
      </c>
      <c r="F968" s="130"/>
      <c r="G968" s="130"/>
    </row>
    <row r="969" spans="1:7" ht="14.25" customHeight="1" x14ac:dyDescent="0.3">
      <c r="A969" s="319" t="s">
        <v>1478</v>
      </c>
      <c r="B969" s="320">
        <v>22198.349609375</v>
      </c>
      <c r="C969" s="320">
        <v>1069.08996582031</v>
      </c>
      <c r="D969" s="320">
        <f t="shared" si="30"/>
        <v>3.4489943486463999E-3</v>
      </c>
      <c r="E969" s="320">
        <f t="shared" si="31"/>
        <v>1.68348100374421E-2</v>
      </c>
      <c r="F969" s="130"/>
      <c r="G969" s="130"/>
    </row>
    <row r="970" spans="1:7" ht="14.25" customHeight="1" x14ac:dyDescent="0.3">
      <c r="A970" s="319" t="s">
        <v>1479</v>
      </c>
      <c r="B970" s="320">
        <v>21951.150390625</v>
      </c>
      <c r="C970" s="320">
        <v>1062.97998046875</v>
      </c>
      <c r="D970" s="320">
        <f t="shared" si="30"/>
        <v>-1.11359278099486E-2</v>
      </c>
      <c r="E970" s="320">
        <f t="shared" si="31"/>
        <v>-5.7151273951690498E-3</v>
      </c>
      <c r="F970" s="130"/>
      <c r="G970" s="130"/>
    </row>
    <row r="971" spans="1:7" ht="14.25" customHeight="1" x14ac:dyDescent="0.3">
      <c r="A971" s="319" t="s">
        <v>1480</v>
      </c>
      <c r="B971" s="320">
        <v>21982.80078125</v>
      </c>
      <c r="C971" s="320">
        <v>1053.55004882813</v>
      </c>
      <c r="D971" s="320">
        <f t="shared" si="30"/>
        <v>1.4418556686904801E-3</v>
      </c>
      <c r="E971" s="320">
        <f t="shared" si="31"/>
        <v>-8.8712222373761099E-3</v>
      </c>
      <c r="F971" s="130"/>
      <c r="G971" s="130"/>
    </row>
    <row r="972" spans="1:7" ht="14.25" customHeight="1" x14ac:dyDescent="0.3">
      <c r="A972" s="319" t="s">
        <v>1481</v>
      </c>
      <c r="B972" s="320">
        <v>22338.75</v>
      </c>
      <c r="C972" s="320">
        <v>1056.84997558594</v>
      </c>
      <c r="D972" s="320">
        <f t="shared" si="30"/>
        <v>1.61921687000686E-2</v>
      </c>
      <c r="E972" s="320">
        <f t="shared" si="31"/>
        <v>3.1321974323673799E-3</v>
      </c>
      <c r="F972" s="130"/>
      <c r="G972" s="130"/>
    </row>
    <row r="973" spans="1:7" ht="14.25" customHeight="1" x14ac:dyDescent="0.3">
      <c r="A973" s="319" t="s">
        <v>1482</v>
      </c>
      <c r="B973" s="320">
        <v>22405.599609375</v>
      </c>
      <c r="C973" s="320">
        <v>1031.52001953125</v>
      </c>
      <c r="D973" s="320">
        <f t="shared" si="30"/>
        <v>2.9925402887359398E-3</v>
      </c>
      <c r="E973" s="320">
        <f t="shared" si="31"/>
        <v>-2.3967409414611101E-2</v>
      </c>
      <c r="F973" s="130"/>
      <c r="G973" s="130"/>
    </row>
    <row r="974" spans="1:7" ht="14.25" customHeight="1" x14ac:dyDescent="0.3">
      <c r="A974" s="319" t="s">
        <v>1483</v>
      </c>
      <c r="B974" s="320">
        <v>22356.30078125</v>
      </c>
      <c r="C974" s="320">
        <v>1004.51000976563</v>
      </c>
      <c r="D974" s="320">
        <f t="shared" si="30"/>
        <v>-2.2002905070379001E-3</v>
      </c>
      <c r="E974" s="320">
        <f t="shared" si="31"/>
        <v>-2.6184668502986602E-2</v>
      </c>
      <c r="F974" s="130"/>
      <c r="G974" s="130"/>
    </row>
    <row r="975" spans="1:7" ht="14.25" customHeight="1" x14ac:dyDescent="0.3">
      <c r="A975" s="319" t="s">
        <v>1484</v>
      </c>
      <c r="B975" s="320">
        <v>22474.05078125</v>
      </c>
      <c r="C975" s="320">
        <v>1015.19000244141</v>
      </c>
      <c r="D975" s="320">
        <f t="shared" si="30"/>
        <v>5.2669715420341698E-3</v>
      </c>
      <c r="E975" s="320">
        <f t="shared" si="31"/>
        <v>1.0632042062250701E-2</v>
      </c>
      <c r="F975" s="130"/>
      <c r="G975" s="130"/>
    </row>
    <row r="976" spans="1:7" ht="14.25" customHeight="1" x14ac:dyDescent="0.3">
      <c r="A976" s="319" t="s">
        <v>1485</v>
      </c>
      <c r="B976" s="320">
        <v>22493.55078125</v>
      </c>
      <c r="C976" s="320">
        <v>1017.70001220703</v>
      </c>
      <c r="D976" s="320">
        <f t="shared" si="30"/>
        <v>8.6766734621195898E-4</v>
      </c>
      <c r="E976" s="320">
        <f t="shared" si="31"/>
        <v>2.4724531955434199E-3</v>
      </c>
      <c r="F976" s="130"/>
      <c r="G976" s="130"/>
    </row>
    <row r="977" spans="1:7" ht="14.25" customHeight="1" x14ac:dyDescent="0.3">
      <c r="A977" s="319" t="s">
        <v>1486</v>
      </c>
      <c r="B977" s="320">
        <v>22332.650390625</v>
      </c>
      <c r="C977" s="320">
        <v>1032.2099609375</v>
      </c>
      <c r="D977" s="320">
        <f t="shared" si="30"/>
        <v>-7.15317880177113E-3</v>
      </c>
      <c r="E977" s="320">
        <f t="shared" si="31"/>
        <v>1.42575892271074E-2</v>
      </c>
      <c r="F977" s="130"/>
      <c r="G977" s="130"/>
    </row>
    <row r="978" spans="1:7" ht="14.25" customHeight="1" x14ac:dyDescent="0.3">
      <c r="A978" s="319" t="s">
        <v>1487</v>
      </c>
      <c r="B978" s="320">
        <v>22335.69921875</v>
      </c>
      <c r="C978" s="320">
        <v>1030.81994628906</v>
      </c>
      <c r="D978" s="320">
        <f t="shared" si="30"/>
        <v>1.3651886684617901E-4</v>
      </c>
      <c r="E978" s="320">
        <f t="shared" si="31"/>
        <v>-1.34663944453464E-3</v>
      </c>
      <c r="F978" s="130"/>
      <c r="G978" s="130"/>
    </row>
    <row r="979" spans="1:7" ht="14.25" customHeight="1" x14ac:dyDescent="0.3">
      <c r="A979" s="319" t="s">
        <v>1488</v>
      </c>
      <c r="B979" s="320">
        <v>21997.69921875</v>
      </c>
      <c r="C979" s="320">
        <v>1021.44000244141</v>
      </c>
      <c r="D979" s="320">
        <f t="shared" si="30"/>
        <v>-1.51327252704165E-2</v>
      </c>
      <c r="E979" s="320">
        <f t="shared" si="31"/>
        <v>-9.0994978137721207E-3</v>
      </c>
      <c r="F979" s="130"/>
      <c r="G979" s="130"/>
    </row>
    <row r="980" spans="1:7" ht="14.25" customHeight="1" x14ac:dyDescent="0.3">
      <c r="A980" s="319" t="s">
        <v>1489</v>
      </c>
      <c r="B980" s="320">
        <v>22146.650390625</v>
      </c>
      <c r="C980" s="320">
        <v>1040.63000488281</v>
      </c>
      <c r="D980" s="320">
        <f t="shared" si="30"/>
        <v>6.7712159528047202E-3</v>
      </c>
      <c r="E980" s="320">
        <f t="shared" si="31"/>
        <v>1.8787204726202902E-2</v>
      </c>
      <c r="F980" s="130"/>
      <c r="G980" s="130"/>
    </row>
    <row r="981" spans="1:7" ht="14.25" customHeight="1" x14ac:dyDescent="0.3">
      <c r="A981" s="319" t="s">
        <v>1490</v>
      </c>
      <c r="B981" s="320">
        <v>22023.349609375</v>
      </c>
      <c r="C981" s="320">
        <v>1048.23999023438</v>
      </c>
      <c r="D981" s="320">
        <f t="shared" si="30"/>
        <v>-5.5674686273186899E-3</v>
      </c>
      <c r="E981" s="320">
        <f t="shared" si="31"/>
        <v>7.3128636651477296E-3</v>
      </c>
      <c r="F981" s="130"/>
      <c r="G981" s="130"/>
    </row>
    <row r="982" spans="1:7" ht="14.25" customHeight="1" x14ac:dyDescent="0.3">
      <c r="A982" s="319" t="s">
        <v>1491</v>
      </c>
      <c r="B982" s="320">
        <v>22055.69921875</v>
      </c>
      <c r="C982" s="320">
        <v>1039.27001953125</v>
      </c>
      <c r="D982" s="320">
        <f t="shared" si="30"/>
        <v>1.46887780236796E-3</v>
      </c>
      <c r="E982" s="320">
        <f t="shared" si="31"/>
        <v>-8.5571727721667698E-3</v>
      </c>
      <c r="F982" s="130"/>
      <c r="G982" s="130"/>
    </row>
    <row r="983" spans="1:7" ht="14.25" customHeight="1" x14ac:dyDescent="0.3">
      <c r="A983" s="319" t="s">
        <v>1492</v>
      </c>
      <c r="B983" s="320">
        <v>21817.44921875</v>
      </c>
      <c r="C983" s="320">
        <v>1019</v>
      </c>
      <c r="D983" s="320">
        <f t="shared" si="30"/>
        <v>-1.0802196640288701E-2</v>
      </c>
      <c r="E983" s="320">
        <f t="shared" si="31"/>
        <v>-1.95040934023985E-2</v>
      </c>
      <c r="F983" s="130"/>
      <c r="G983" s="130"/>
    </row>
    <row r="984" spans="1:7" ht="14.25" customHeight="1" x14ac:dyDescent="0.3">
      <c r="A984" s="319" t="s">
        <v>1493</v>
      </c>
      <c r="B984" s="320">
        <v>21839.099609375</v>
      </c>
      <c r="C984" s="320">
        <v>1020.28997802734</v>
      </c>
      <c r="D984" s="320">
        <f t="shared" si="30"/>
        <v>9.9234289068007007E-4</v>
      </c>
      <c r="E984" s="320">
        <f t="shared" si="31"/>
        <v>1.2659254439057899E-3</v>
      </c>
      <c r="F984" s="130"/>
      <c r="G984" s="130"/>
    </row>
    <row r="985" spans="1:7" ht="14.25" customHeight="1" x14ac:dyDescent="0.3">
      <c r="A985" s="319" t="s">
        <v>1494</v>
      </c>
      <c r="B985" s="320">
        <v>22011.94921875</v>
      </c>
      <c r="C985" s="320">
        <v>1060.51000976563</v>
      </c>
      <c r="D985" s="320">
        <f t="shared" si="30"/>
        <v>7.9146856998078708E-3</v>
      </c>
      <c r="E985" s="320">
        <f t="shared" si="31"/>
        <v>3.9420196811158201E-2</v>
      </c>
      <c r="F985" s="130"/>
      <c r="G985" s="130"/>
    </row>
    <row r="986" spans="1:7" ht="14.25" customHeight="1" x14ac:dyDescent="0.3">
      <c r="A986" s="319" t="s">
        <v>1495</v>
      </c>
      <c r="B986" s="320">
        <v>22096.75</v>
      </c>
      <c r="C986" s="320">
        <v>1048.61999511719</v>
      </c>
      <c r="D986" s="320">
        <f t="shared" si="30"/>
        <v>3.85248850100771E-3</v>
      </c>
      <c r="E986" s="320">
        <f t="shared" si="31"/>
        <v>-1.12116005874076E-2</v>
      </c>
      <c r="F986" s="130"/>
      <c r="G986" s="130"/>
    </row>
    <row r="987" spans="1:7" ht="14.25" customHeight="1" x14ac:dyDescent="0.3">
      <c r="A987" s="319" t="s">
        <v>1496</v>
      </c>
      <c r="B987" s="320">
        <v>22004.69921875</v>
      </c>
      <c r="C987" s="320">
        <v>1043.40002441406</v>
      </c>
      <c r="D987" s="320">
        <f t="shared" si="30"/>
        <v>-4.1658063402989099E-3</v>
      </c>
      <c r="E987" s="320">
        <f t="shared" si="31"/>
        <v>-4.9779431323418903E-3</v>
      </c>
      <c r="F987" s="130"/>
      <c r="G987" s="130"/>
    </row>
    <row r="988" spans="1:7" ht="14.25" customHeight="1" x14ac:dyDescent="0.3">
      <c r="A988" s="319" t="s">
        <v>1497</v>
      </c>
      <c r="B988" s="320">
        <v>22123.650390625</v>
      </c>
      <c r="C988" s="320">
        <v>1095.10998535156</v>
      </c>
      <c r="D988" s="320">
        <f t="shared" si="30"/>
        <v>5.40571678315161E-3</v>
      </c>
      <c r="E988" s="320">
        <f t="shared" si="31"/>
        <v>4.9559095004371598E-2</v>
      </c>
      <c r="F988" s="130"/>
      <c r="G988" s="130"/>
    </row>
    <row r="989" spans="1:7" ht="14.25" customHeight="1" x14ac:dyDescent="0.3">
      <c r="A989" s="319" t="s">
        <v>1498</v>
      </c>
      <c r="B989" s="320">
        <v>22326.900390625</v>
      </c>
      <c r="C989" s="320">
        <v>1118.40002441406</v>
      </c>
      <c r="D989" s="320">
        <f t="shared" si="30"/>
        <v>9.1870010785439007E-3</v>
      </c>
      <c r="E989" s="320">
        <f t="shared" si="31"/>
        <v>2.12673059090254E-2</v>
      </c>
      <c r="F989" s="130"/>
      <c r="G989" s="130"/>
    </row>
    <row r="990" spans="1:7" ht="14.25" customHeight="1" x14ac:dyDescent="0.3">
      <c r="A990" s="319" t="s">
        <v>1499</v>
      </c>
      <c r="B990" s="320">
        <v>22462</v>
      </c>
      <c r="C990" s="320">
        <v>1141.82995605469</v>
      </c>
      <c r="D990" s="320">
        <f t="shared" si="30"/>
        <v>6.0509791780917303E-3</v>
      </c>
      <c r="E990" s="320">
        <f t="shared" si="31"/>
        <v>2.0949509235664701E-2</v>
      </c>
      <c r="F990" s="130"/>
      <c r="G990" s="130"/>
    </row>
    <row r="991" spans="1:7" ht="14.25" customHeight="1" x14ac:dyDescent="0.3">
      <c r="A991" s="319" t="s">
        <v>1500</v>
      </c>
      <c r="B991" s="320">
        <v>22453.30078125</v>
      </c>
      <c r="C991" s="320">
        <v>1131.19995117188</v>
      </c>
      <c r="D991" s="320">
        <f t="shared" si="30"/>
        <v>-3.8728602751313303E-4</v>
      </c>
      <c r="E991" s="320">
        <f t="shared" si="31"/>
        <v>-9.3096216528942202E-3</v>
      </c>
      <c r="F991" s="130"/>
      <c r="G991" s="130"/>
    </row>
    <row r="992" spans="1:7" ht="14.25" customHeight="1" x14ac:dyDescent="0.3">
      <c r="A992" s="319" t="s">
        <v>1501</v>
      </c>
      <c r="B992" s="320">
        <v>22434.650390625</v>
      </c>
      <c r="C992" s="320">
        <v>1122.80004882813</v>
      </c>
      <c r="D992" s="320">
        <f t="shared" si="30"/>
        <v>-8.3063024036868205E-4</v>
      </c>
      <c r="E992" s="320">
        <f t="shared" si="31"/>
        <v>-7.4256565650025197E-3</v>
      </c>
      <c r="F992" s="130"/>
      <c r="G992" s="130"/>
    </row>
    <row r="993" spans="1:7" ht="14.25" customHeight="1" x14ac:dyDescent="0.3">
      <c r="A993" s="319" t="s">
        <v>1502</v>
      </c>
      <c r="B993" s="320">
        <v>22514.650390625</v>
      </c>
      <c r="C993" s="320">
        <v>1125.64001464844</v>
      </c>
      <c r="D993" s="320">
        <f t="shared" si="30"/>
        <v>3.5659124883635602E-3</v>
      </c>
      <c r="E993" s="320">
        <f t="shared" si="31"/>
        <v>2.52936025721951E-3</v>
      </c>
      <c r="F993" s="130"/>
      <c r="G993" s="130"/>
    </row>
    <row r="994" spans="1:7" ht="14.25" customHeight="1" x14ac:dyDescent="0.3">
      <c r="A994" s="319" t="s">
        <v>1503</v>
      </c>
      <c r="B994" s="320">
        <v>22513.69921875</v>
      </c>
      <c r="C994" s="320">
        <v>1134.93005371094</v>
      </c>
      <c r="D994" s="320">
        <f t="shared" si="30"/>
        <v>-4.2246797462867302E-5</v>
      </c>
      <c r="E994" s="320">
        <f t="shared" si="31"/>
        <v>8.2531172858149194E-3</v>
      </c>
      <c r="F994" s="130"/>
      <c r="G994" s="130"/>
    </row>
    <row r="995" spans="1:7" ht="14.25" customHeight="1" x14ac:dyDescent="0.3">
      <c r="A995" s="319" t="s">
        <v>1504</v>
      </c>
      <c r="B995" s="320">
        <v>22666.30078125</v>
      </c>
      <c r="C995" s="320">
        <v>1245.07995605469</v>
      </c>
      <c r="D995" s="320">
        <f t="shared" si="30"/>
        <v>6.7781647528145604E-3</v>
      </c>
      <c r="E995" s="320">
        <f t="shared" si="31"/>
        <v>9.7054353247221795E-2</v>
      </c>
      <c r="F995" s="130"/>
      <c r="G995" s="130"/>
    </row>
    <row r="996" spans="1:7" ht="14.25" customHeight="1" x14ac:dyDescent="0.3">
      <c r="A996" s="319" t="s">
        <v>1505</v>
      </c>
      <c r="B996" s="320">
        <v>22642.75</v>
      </c>
      <c r="C996" s="320">
        <v>1245.97998046875</v>
      </c>
      <c r="D996" s="320">
        <f t="shared" si="30"/>
        <v>-1.03902182704121E-3</v>
      </c>
      <c r="E996" s="320">
        <f t="shared" si="31"/>
        <v>7.2286475232636802E-4</v>
      </c>
      <c r="F996" s="130"/>
      <c r="G996" s="130"/>
    </row>
    <row r="997" spans="1:7" ht="14.25" customHeight="1" x14ac:dyDescent="0.3">
      <c r="A997" s="319" t="s">
        <v>1506</v>
      </c>
      <c r="B997" s="320">
        <v>22753.80078125</v>
      </c>
      <c r="C997" s="320">
        <v>1216.68994140625</v>
      </c>
      <c r="D997" s="320">
        <f t="shared" si="30"/>
        <v>4.9044741142308199E-3</v>
      </c>
      <c r="E997" s="320">
        <f t="shared" si="31"/>
        <v>-2.3507632162340801E-2</v>
      </c>
      <c r="F997" s="130"/>
      <c r="G997" s="130"/>
    </row>
    <row r="998" spans="1:7" ht="14.25" customHeight="1" x14ac:dyDescent="0.3">
      <c r="A998" s="319" t="s">
        <v>1507</v>
      </c>
      <c r="B998" s="320">
        <v>22519.400390625</v>
      </c>
      <c r="C998" s="320">
        <v>1194.7099609375</v>
      </c>
      <c r="D998" s="320">
        <f t="shared" si="30"/>
        <v>-1.0301592814250001E-2</v>
      </c>
      <c r="E998" s="320">
        <f t="shared" si="31"/>
        <v>-1.80653917820226E-2</v>
      </c>
      <c r="F998" s="130"/>
      <c r="G998" s="130"/>
    </row>
    <row r="999" spans="1:7" ht="14.25" customHeight="1" x14ac:dyDescent="0.3">
      <c r="A999" s="319" t="s">
        <v>1508</v>
      </c>
      <c r="B999" s="320">
        <v>22272.5</v>
      </c>
      <c r="C999" s="320">
        <v>1165.36999511719</v>
      </c>
      <c r="D999" s="320">
        <f t="shared" si="30"/>
        <v>-1.0963897188301101E-2</v>
      </c>
      <c r="E999" s="320">
        <f t="shared" si="31"/>
        <v>-2.4558233194345101E-2</v>
      </c>
      <c r="F999" s="130"/>
      <c r="G999" s="130"/>
    </row>
    <row r="1000" spans="1:7" ht="14.25" customHeight="1" x14ac:dyDescent="0.3">
      <c r="A1000" s="319" t="s">
        <v>1509</v>
      </c>
      <c r="B1000" s="320">
        <v>22147.900390625</v>
      </c>
      <c r="C1000" s="320">
        <v>1149.31994628906</v>
      </c>
      <c r="D1000" s="320">
        <f t="shared" si="30"/>
        <v>-5.5943252609720502E-3</v>
      </c>
      <c r="E1000" s="320">
        <f t="shared" si="31"/>
        <v>-1.3772491908474099E-2</v>
      </c>
      <c r="F1000" s="130"/>
      <c r="G1000" s="130"/>
    </row>
    <row r="1001" spans="1:7" ht="14.25" customHeight="1" x14ac:dyDescent="0.3">
      <c r="A1001" s="319" t="s">
        <v>1510</v>
      </c>
      <c r="B1001" s="320">
        <v>21995.849609375</v>
      </c>
      <c r="C1001" s="320">
        <v>1143.55004882813</v>
      </c>
      <c r="D1001" s="320">
        <f t="shared" si="30"/>
        <v>-6.8652458503182402E-3</v>
      </c>
      <c r="E1001" s="320">
        <f t="shared" si="31"/>
        <v>-5.0202708824117403E-3</v>
      </c>
      <c r="F1001" s="130"/>
      <c r="G1001" s="130"/>
    </row>
    <row r="1002" spans="1:7" ht="14.25" customHeight="1" x14ac:dyDescent="0.3">
      <c r="A1002" s="319" t="s">
        <v>1511</v>
      </c>
      <c r="B1002" s="320">
        <v>22147</v>
      </c>
      <c r="C1002" s="320">
        <v>1142.42004394531</v>
      </c>
      <c r="D1002" s="320">
        <f t="shared" si="30"/>
        <v>6.8717686886064699E-3</v>
      </c>
      <c r="E1002" s="320">
        <f t="shared" si="31"/>
        <v>-9.8815516118248804E-4</v>
      </c>
      <c r="F1002" s="130"/>
      <c r="G1002" s="130"/>
    </row>
    <row r="1003" spans="1:7" ht="14.25" customHeight="1" x14ac:dyDescent="0.3">
      <c r="A1003" s="319" t="s">
        <v>1512</v>
      </c>
      <c r="B1003" s="320">
        <v>22336.400390625</v>
      </c>
      <c r="C1003" s="320">
        <v>1160.06994628906</v>
      </c>
      <c r="D1003" s="320">
        <f t="shared" si="30"/>
        <v>8.55196598297738E-3</v>
      </c>
      <c r="E1003" s="320">
        <f t="shared" si="31"/>
        <v>1.5449573418544599E-2</v>
      </c>
      <c r="F1003" s="130"/>
      <c r="G1003" s="130"/>
    </row>
    <row r="1004" spans="1:7" ht="14.25" customHeight="1" x14ac:dyDescent="0.3">
      <c r="A1004" s="319" t="s">
        <v>1513</v>
      </c>
      <c r="B1004" s="320">
        <v>22368</v>
      </c>
      <c r="C1004" s="320">
        <v>1165.42004394531</v>
      </c>
      <c r="D1004" s="320">
        <f t="shared" si="30"/>
        <v>1.4147135985377E-3</v>
      </c>
      <c r="E1004" s="320">
        <f t="shared" si="31"/>
        <v>4.6118750626756499E-3</v>
      </c>
      <c r="F1004" s="130"/>
      <c r="G1004" s="130"/>
    </row>
    <row r="1005" spans="1:7" ht="14.25" customHeight="1" x14ac:dyDescent="0.3">
      <c r="A1005" s="319" t="s">
        <v>1514</v>
      </c>
      <c r="B1005" s="320">
        <v>22402.400390625</v>
      </c>
      <c r="C1005" s="320">
        <v>1175.17004394531</v>
      </c>
      <c r="D1005" s="320">
        <f t="shared" si="30"/>
        <v>1.5379287654238201E-3</v>
      </c>
      <c r="E1005" s="320">
        <f t="shared" si="31"/>
        <v>8.3660822985275E-3</v>
      </c>
      <c r="F1005" s="130"/>
      <c r="G1005" s="130"/>
    </row>
    <row r="1006" spans="1:7" ht="14.25" customHeight="1" x14ac:dyDescent="0.3">
      <c r="A1006" s="319" t="s">
        <v>1515</v>
      </c>
      <c r="B1006" s="320">
        <v>22570.349609375</v>
      </c>
      <c r="C1006" s="320">
        <v>1181.21997070313</v>
      </c>
      <c r="D1006" s="320">
        <f t="shared" si="30"/>
        <v>7.49692960671677E-3</v>
      </c>
      <c r="E1006" s="320">
        <f t="shared" si="31"/>
        <v>5.14812880824382E-3</v>
      </c>
      <c r="F1006" s="130"/>
      <c r="G1006" s="130"/>
    </row>
    <row r="1007" spans="1:7" ht="14.25" customHeight="1" x14ac:dyDescent="0.3">
      <c r="A1007" s="319" t="s">
        <v>1516</v>
      </c>
      <c r="B1007" s="320">
        <v>22419.94921875</v>
      </c>
      <c r="C1007" s="320">
        <v>1179.36999511719</v>
      </c>
      <c r="D1007" s="320">
        <f t="shared" si="30"/>
        <v>-6.6636269808832997E-3</v>
      </c>
      <c r="E1007" s="320">
        <f t="shared" si="31"/>
        <v>-1.566156712402E-3</v>
      </c>
      <c r="F1007" s="130"/>
      <c r="G1007" s="130"/>
    </row>
    <row r="1008" spans="1:7" ht="14.25" customHeight="1" x14ac:dyDescent="0.3">
      <c r="A1008" s="319" t="s">
        <v>1517</v>
      </c>
      <c r="B1008" s="320">
        <v>22643.400390625</v>
      </c>
      <c r="C1008" s="320">
        <v>1213.78002929688</v>
      </c>
      <c r="D1008" s="320">
        <f t="shared" si="30"/>
        <v>9.9666225688025099E-3</v>
      </c>
      <c r="E1008" s="320">
        <f t="shared" si="31"/>
        <v>2.91766233854973E-2</v>
      </c>
      <c r="F1008" s="130"/>
      <c r="G1008" s="130"/>
    </row>
    <row r="1009" spans="1:7" ht="14.25" customHeight="1" x14ac:dyDescent="0.3">
      <c r="A1009" s="319" t="s">
        <v>1518</v>
      </c>
      <c r="B1009" s="320">
        <v>22604.849609375</v>
      </c>
      <c r="C1009" s="320">
        <v>1210.75</v>
      </c>
      <c r="D1009" s="320">
        <f t="shared" si="30"/>
        <v>-1.7025173156396201E-3</v>
      </c>
      <c r="E1009" s="320">
        <f t="shared" si="31"/>
        <v>-2.4963578438798699E-3</v>
      </c>
      <c r="F1009" s="130"/>
      <c r="G1009" s="130"/>
    </row>
    <row r="1010" spans="1:7" ht="14.25" customHeight="1" x14ac:dyDescent="0.3">
      <c r="A1010" s="319" t="s">
        <v>1519</v>
      </c>
      <c r="B1010" s="320">
        <v>22648.19921875</v>
      </c>
      <c r="C1010" s="320">
        <v>1212.25</v>
      </c>
      <c r="D1010" s="320">
        <f t="shared" si="30"/>
        <v>1.9177127972141599E-3</v>
      </c>
      <c r="E1010" s="320">
        <f t="shared" si="31"/>
        <v>1.23890150733017E-3</v>
      </c>
      <c r="F1010" s="130"/>
      <c r="G1010" s="130"/>
    </row>
    <row r="1011" spans="1:7" ht="14.25" customHeight="1" x14ac:dyDescent="0.3">
      <c r="A1011" s="319" t="s">
        <v>1520</v>
      </c>
      <c r="B1011" s="320">
        <v>22475.849609375</v>
      </c>
      <c r="C1011" s="320">
        <v>1199.56994628906</v>
      </c>
      <c r="D1011" s="320">
        <f t="shared" si="30"/>
        <v>-7.6098592965534798E-3</v>
      </c>
      <c r="E1011" s="320">
        <f t="shared" si="31"/>
        <v>-1.04599329436502E-2</v>
      </c>
      <c r="F1011" s="130"/>
      <c r="G1011" s="130"/>
    </row>
    <row r="1012" spans="1:7" ht="14.25" customHeight="1" x14ac:dyDescent="0.3">
      <c r="A1012" s="319" t="s">
        <v>1521</v>
      </c>
      <c r="B1012" s="320">
        <v>22442.69921875</v>
      </c>
      <c r="C1012" s="320">
        <v>1197.22998046875</v>
      </c>
      <c r="D1012" s="320">
        <f t="shared" si="30"/>
        <v>-1.47493381567976E-3</v>
      </c>
      <c r="E1012" s="320">
        <f t="shared" si="31"/>
        <v>-1.95067059453167E-3</v>
      </c>
      <c r="F1012" s="130"/>
      <c r="G1012" s="130"/>
    </row>
    <row r="1013" spans="1:7" ht="14.25" customHeight="1" x14ac:dyDescent="0.3">
      <c r="A1013" s="319" t="s">
        <v>1522</v>
      </c>
      <c r="B1013" s="320">
        <v>22302.5</v>
      </c>
      <c r="C1013" s="320">
        <v>1177.06005859375</v>
      </c>
      <c r="D1013" s="320">
        <f t="shared" si="30"/>
        <v>-6.2469855957820401E-3</v>
      </c>
      <c r="E1013" s="320">
        <f t="shared" si="31"/>
        <v>-1.68471573582737E-2</v>
      </c>
      <c r="F1013" s="130"/>
      <c r="G1013" s="130"/>
    </row>
    <row r="1014" spans="1:7" ht="14.25" customHeight="1" x14ac:dyDescent="0.3">
      <c r="A1014" s="319" t="s">
        <v>1523</v>
      </c>
      <c r="B1014" s="320">
        <v>22302.5</v>
      </c>
      <c r="C1014" s="320">
        <v>1200.01000976563</v>
      </c>
      <c r="D1014" s="320">
        <f t="shared" si="30"/>
        <v>0</v>
      </c>
      <c r="E1014" s="320">
        <f t="shared" si="31"/>
        <v>1.9497689182741099E-2</v>
      </c>
      <c r="F1014" s="130"/>
      <c r="G1014" s="130"/>
    </row>
    <row r="1015" spans="1:7" ht="14.25" customHeight="1" x14ac:dyDescent="0.3">
      <c r="A1015" s="319" t="s">
        <v>1524</v>
      </c>
      <c r="B1015" s="320">
        <v>21957.5</v>
      </c>
      <c r="C1015" s="320">
        <v>1190.41003417969</v>
      </c>
      <c r="D1015" s="320">
        <f t="shared" si="30"/>
        <v>-1.5469117811904499E-2</v>
      </c>
      <c r="E1015" s="320">
        <f t="shared" si="31"/>
        <v>-7.9999129239054795E-3</v>
      </c>
      <c r="F1015" s="130"/>
      <c r="G1015" s="130"/>
    </row>
    <row r="1016" spans="1:7" ht="14.25" customHeight="1" x14ac:dyDescent="0.3">
      <c r="A1016" s="319" t="s">
        <v>1525</v>
      </c>
      <c r="B1016" s="320">
        <v>22055.19921875</v>
      </c>
      <c r="C1016" s="320">
        <v>1205.47998046875</v>
      </c>
      <c r="D1016" s="320">
        <f t="shared" si="30"/>
        <v>4.4494691449390904E-3</v>
      </c>
      <c r="E1016" s="320">
        <f t="shared" si="31"/>
        <v>1.2659458385231699E-2</v>
      </c>
      <c r="F1016" s="130"/>
      <c r="G1016" s="130"/>
    </row>
    <row r="1017" spans="1:7" ht="14.25" customHeight="1" x14ac:dyDescent="0.3">
      <c r="A1017" s="319" t="s">
        <v>1526</v>
      </c>
      <c r="B1017" s="320">
        <v>22104.05078125</v>
      </c>
      <c r="C1017" s="320">
        <v>1211.40002441406</v>
      </c>
      <c r="D1017" s="320">
        <f t="shared" si="30"/>
        <v>2.2149680905384599E-3</v>
      </c>
      <c r="E1017" s="320">
        <f t="shared" si="31"/>
        <v>4.9109433928616504E-3</v>
      </c>
      <c r="F1017" s="130"/>
      <c r="G1017" s="130"/>
    </row>
    <row r="1018" spans="1:7" ht="14.25" customHeight="1" x14ac:dyDescent="0.3">
      <c r="A1018" s="319" t="s">
        <v>1527</v>
      </c>
      <c r="B1018" s="320">
        <v>22217.849609375</v>
      </c>
      <c r="C1018" s="320">
        <v>1203.4599609375</v>
      </c>
      <c r="D1018" s="320">
        <f t="shared" si="30"/>
        <v>5.1483245877054799E-3</v>
      </c>
      <c r="E1018" s="320">
        <f t="shared" si="31"/>
        <v>-6.5544521351652701E-3</v>
      </c>
      <c r="F1018" s="130"/>
      <c r="G1018" s="130"/>
    </row>
    <row r="1019" spans="1:7" ht="14.25" customHeight="1" x14ac:dyDescent="0.3">
      <c r="A1019" s="319" t="s">
        <v>1528</v>
      </c>
      <c r="B1019" s="320">
        <v>22200.55078125</v>
      </c>
      <c r="C1019" s="320">
        <v>1188.31994628906</v>
      </c>
      <c r="D1019" s="320">
        <f t="shared" si="30"/>
        <v>-7.7860046895360301E-4</v>
      </c>
      <c r="E1019" s="320">
        <f t="shared" si="31"/>
        <v>-1.25804057798864E-2</v>
      </c>
      <c r="F1019" s="130"/>
      <c r="G1019" s="130"/>
    </row>
    <row r="1020" spans="1:7" ht="14.25" customHeight="1" x14ac:dyDescent="0.3">
      <c r="A1020" s="319" t="s">
        <v>1529</v>
      </c>
      <c r="B1020" s="320">
        <v>22403.849609375</v>
      </c>
      <c r="C1020" s="320">
        <v>1173.34997558594</v>
      </c>
      <c r="D1020" s="320">
        <f t="shared" si="30"/>
        <v>9.1573776762647208E-3</v>
      </c>
      <c r="E1020" s="320">
        <f t="shared" si="31"/>
        <v>-1.25975927189213E-2</v>
      </c>
      <c r="F1020" s="130"/>
      <c r="G1020" s="130"/>
    </row>
    <row r="1021" spans="1:7" ht="14.25" customHeight="1" x14ac:dyDescent="0.3">
      <c r="A1021" s="319" t="s">
        <v>1530</v>
      </c>
      <c r="B1021" s="320">
        <v>22466.099609375</v>
      </c>
      <c r="C1021" s="320">
        <v>1244.40002441406</v>
      </c>
      <c r="D1021" s="320">
        <f t="shared" si="30"/>
        <v>2.77854034397513E-3</v>
      </c>
      <c r="E1021" s="320">
        <f t="shared" si="31"/>
        <v>6.0553160017444499E-2</v>
      </c>
      <c r="F1021" s="130"/>
      <c r="G1021" s="130"/>
    </row>
    <row r="1022" spans="1:7" ht="14.25" customHeight="1" x14ac:dyDescent="0.3">
      <c r="A1022" s="319" t="s">
        <v>1531</v>
      </c>
      <c r="B1022" s="320">
        <v>22529.05078125</v>
      </c>
      <c r="C1022" s="320">
        <v>1281.03002929688</v>
      </c>
      <c r="D1022" s="320">
        <f t="shared" si="30"/>
        <v>2.8020516676037E-3</v>
      </c>
      <c r="E1022" s="320">
        <f t="shared" si="31"/>
        <v>2.9435876056067799E-2</v>
      </c>
      <c r="F1022" s="130"/>
      <c r="G1022" s="130"/>
    </row>
    <row r="1023" spans="1:7" ht="14.25" customHeight="1" x14ac:dyDescent="0.3">
      <c r="A1023" s="319" t="s">
        <v>1532</v>
      </c>
      <c r="B1023" s="320">
        <v>22597.80078125</v>
      </c>
      <c r="C1023" s="320">
        <v>1279.93005371094</v>
      </c>
      <c r="D1023" s="320">
        <f t="shared" si="30"/>
        <v>3.0516154749501401E-3</v>
      </c>
      <c r="E1023" s="320">
        <f t="shared" si="31"/>
        <v>-8.5866494991045995E-4</v>
      </c>
      <c r="F1023" s="130"/>
      <c r="G1023" s="130"/>
    </row>
    <row r="1024" spans="1:7" ht="14.25" customHeight="1" x14ac:dyDescent="0.3">
      <c r="A1024" s="319" t="s">
        <v>1533</v>
      </c>
      <c r="B1024" s="320">
        <v>22967.650390625</v>
      </c>
      <c r="C1024" s="320">
        <v>1288.89001464844</v>
      </c>
      <c r="D1024" s="320">
        <f t="shared" si="30"/>
        <v>1.63666196084831E-2</v>
      </c>
      <c r="E1024" s="320">
        <f t="shared" si="31"/>
        <v>7.0003520204265203E-3</v>
      </c>
      <c r="F1024" s="130"/>
      <c r="G1024" s="130"/>
    </row>
    <row r="1025" spans="1:7" ht="14.25" customHeight="1" x14ac:dyDescent="0.3">
      <c r="A1025" s="319" t="s">
        <v>1534</v>
      </c>
      <c r="B1025" s="320">
        <v>22957.099609375</v>
      </c>
      <c r="C1025" s="320">
        <v>1267.22998046875</v>
      </c>
      <c r="D1025" s="320">
        <f t="shared" si="30"/>
        <v>-4.5937573371922501E-4</v>
      </c>
      <c r="E1025" s="320">
        <f t="shared" si="31"/>
        <v>-1.6805184254296501E-2</v>
      </c>
      <c r="F1025" s="130"/>
      <c r="G1025" s="130"/>
    </row>
    <row r="1026" spans="1:7" ht="14.25" customHeight="1" x14ac:dyDescent="0.3">
      <c r="A1026" s="319" t="s">
        <v>1535</v>
      </c>
      <c r="B1026" s="320">
        <v>22932.44921875</v>
      </c>
      <c r="C1026" s="320">
        <v>1251.56994628906</v>
      </c>
      <c r="D1026" s="320">
        <f t="shared" si="30"/>
        <v>-1.07375892619003E-3</v>
      </c>
      <c r="E1026" s="320">
        <f t="shared" si="31"/>
        <v>-1.23576891496028E-2</v>
      </c>
      <c r="F1026" s="130"/>
      <c r="G1026" s="130"/>
    </row>
    <row r="1027" spans="1:7" ht="14.25" customHeight="1" x14ac:dyDescent="0.3">
      <c r="A1027" s="319" t="s">
        <v>1536</v>
      </c>
      <c r="B1027" s="320">
        <v>22888.150390625</v>
      </c>
      <c r="C1027" s="320">
        <v>1216.32995605469</v>
      </c>
      <c r="D1027" s="320">
        <f t="shared" ref="D1027:D1090" si="32">(B1027-B1026)/B1026</f>
        <v>-1.9317094176221001E-3</v>
      </c>
      <c r="E1027" s="320">
        <f t="shared" ref="E1027:E1090" si="33">(C1027-C1026)/C1026</f>
        <v>-2.81566286717395E-2</v>
      </c>
      <c r="F1027" s="130"/>
      <c r="G1027" s="130"/>
    </row>
    <row r="1028" spans="1:7" ht="14.25" customHeight="1" x14ac:dyDescent="0.3">
      <c r="A1028" s="319" t="s">
        <v>1537</v>
      </c>
      <c r="B1028" s="320">
        <v>22704.69921875</v>
      </c>
      <c r="C1028" s="320">
        <v>1184.23999023438</v>
      </c>
      <c r="D1028" s="320">
        <f t="shared" si="32"/>
        <v>-8.0151156272610692E-3</v>
      </c>
      <c r="E1028" s="320">
        <f t="shared" si="33"/>
        <v>-2.6382615720817699E-2</v>
      </c>
      <c r="F1028" s="130"/>
      <c r="G1028" s="130"/>
    </row>
    <row r="1029" spans="1:7" ht="14.25" customHeight="1" x14ac:dyDescent="0.3">
      <c r="A1029" s="319" t="s">
        <v>1538</v>
      </c>
      <c r="B1029" s="320">
        <v>22488.650390625</v>
      </c>
      <c r="C1029" s="320">
        <v>1151.08996582031</v>
      </c>
      <c r="D1029" s="320">
        <f t="shared" si="32"/>
        <v>-9.5155996581792399E-3</v>
      </c>
      <c r="E1029" s="320">
        <f t="shared" si="33"/>
        <v>-2.7992657474359601E-2</v>
      </c>
      <c r="F1029" s="130"/>
      <c r="G1029" s="130"/>
    </row>
    <row r="1030" spans="1:7" ht="14.25" customHeight="1" x14ac:dyDescent="0.3">
      <c r="A1030" s="319" t="s">
        <v>1539</v>
      </c>
      <c r="B1030" s="320">
        <v>22530.69921875</v>
      </c>
      <c r="C1030" s="320">
        <v>1139.42004394531</v>
      </c>
      <c r="D1030" s="320">
        <f t="shared" si="32"/>
        <v>1.8697799732139201E-3</v>
      </c>
      <c r="E1030" s="320">
        <f t="shared" si="33"/>
        <v>-1.01381492511609E-2</v>
      </c>
      <c r="F1030" s="130"/>
      <c r="G1030" s="130"/>
    </row>
    <row r="1031" spans="1:7" ht="14.25" customHeight="1" x14ac:dyDescent="0.3">
      <c r="A1031" s="319" t="s">
        <v>1540</v>
      </c>
      <c r="B1031" s="320">
        <v>23263.900390625</v>
      </c>
      <c r="C1031" s="320">
        <v>1143.07995605469</v>
      </c>
      <c r="D1031" s="320">
        <f t="shared" si="32"/>
        <v>3.2542317695352797E-2</v>
      </c>
      <c r="E1031" s="320">
        <f t="shared" si="33"/>
        <v>3.2120833127591299E-3</v>
      </c>
      <c r="F1031" s="130"/>
      <c r="G1031" s="130"/>
    </row>
    <row r="1032" spans="1:7" ht="14.25" customHeight="1" x14ac:dyDescent="0.3">
      <c r="A1032" s="319" t="s">
        <v>1541</v>
      </c>
      <c r="B1032" s="320">
        <v>21884.5</v>
      </c>
      <c r="C1032" s="320">
        <v>1126.93994140625</v>
      </c>
      <c r="D1032" s="320">
        <f t="shared" si="32"/>
        <v>-5.92935994164107E-2</v>
      </c>
      <c r="E1032" s="320">
        <f t="shared" si="33"/>
        <v>-1.41197600071187E-2</v>
      </c>
      <c r="F1032" s="130"/>
      <c r="G1032" s="130"/>
    </row>
    <row r="1033" spans="1:7" ht="14.25" customHeight="1" x14ac:dyDescent="0.3">
      <c r="A1033" s="319" t="s">
        <v>1542</v>
      </c>
      <c r="B1033" s="320">
        <v>22620.349609375</v>
      </c>
      <c r="C1033" s="320">
        <v>1199.10998535156</v>
      </c>
      <c r="D1033" s="320">
        <f t="shared" si="32"/>
        <v>3.3624236760035599E-2</v>
      </c>
      <c r="E1033" s="320">
        <f t="shared" si="33"/>
        <v>6.40407188472287E-2</v>
      </c>
      <c r="F1033" s="130"/>
      <c r="G1033" s="130"/>
    </row>
    <row r="1034" spans="1:7" ht="14.25" customHeight="1" x14ac:dyDescent="0.3">
      <c r="A1034" s="319" t="s">
        <v>1543</v>
      </c>
      <c r="B1034" s="320">
        <v>22821.400390625</v>
      </c>
      <c r="C1034" s="320">
        <v>1225.0400390625</v>
      </c>
      <c r="D1034" s="320">
        <f t="shared" si="32"/>
        <v>8.88804924423779E-3</v>
      </c>
      <c r="E1034" s="320">
        <f t="shared" si="33"/>
        <v>2.1624416465298401E-2</v>
      </c>
      <c r="F1034" s="130"/>
      <c r="G1034" s="130"/>
    </row>
    <row r="1035" spans="1:7" ht="14.25" customHeight="1" x14ac:dyDescent="0.3">
      <c r="A1035" s="319" t="s">
        <v>1544</v>
      </c>
      <c r="B1035" s="320">
        <v>23290.150390625</v>
      </c>
      <c r="C1035" s="320">
        <v>1245.9599609375</v>
      </c>
      <c r="D1035" s="320">
        <f t="shared" si="32"/>
        <v>2.0539931466807E-2</v>
      </c>
      <c r="E1035" s="320">
        <f t="shared" si="33"/>
        <v>1.7076929086342001E-2</v>
      </c>
      <c r="F1035" s="130"/>
      <c r="G1035" s="130"/>
    </row>
    <row r="1036" spans="1:7" ht="14.25" customHeight="1" x14ac:dyDescent="0.3">
      <c r="A1036" s="319" t="s">
        <v>1545</v>
      </c>
      <c r="B1036" s="320">
        <v>23259.19921875</v>
      </c>
      <c r="C1036" s="320">
        <v>1245.39001464844</v>
      </c>
      <c r="D1036" s="320">
        <f t="shared" si="32"/>
        <v>-1.32893825741283E-3</v>
      </c>
      <c r="E1036" s="320">
        <f t="shared" si="33"/>
        <v>-4.5743547700453598E-4</v>
      </c>
      <c r="F1036" s="130"/>
      <c r="G1036" s="130"/>
    </row>
    <row r="1037" spans="1:7" ht="14.25" customHeight="1" x14ac:dyDescent="0.3">
      <c r="A1037" s="319" t="s">
        <v>1546</v>
      </c>
      <c r="B1037" s="320">
        <v>23264.849609375</v>
      </c>
      <c r="C1037" s="320">
        <v>1244.22998046875</v>
      </c>
      <c r="D1037" s="320">
        <f t="shared" si="32"/>
        <v>2.4293143421915599E-4</v>
      </c>
      <c r="E1037" s="320">
        <f t="shared" si="33"/>
        <v>-9.3146256678271699E-4</v>
      </c>
      <c r="F1037" s="130"/>
      <c r="G1037" s="130"/>
    </row>
    <row r="1038" spans="1:7" ht="14.25" customHeight="1" x14ac:dyDescent="0.3">
      <c r="A1038" s="319" t="s">
        <v>1547</v>
      </c>
      <c r="B1038" s="320">
        <v>23322.94921875</v>
      </c>
      <c r="C1038" s="320">
        <v>1250.09997558594</v>
      </c>
      <c r="D1038" s="320">
        <f t="shared" si="32"/>
        <v>2.4973129141392602E-3</v>
      </c>
      <c r="E1038" s="320">
        <f t="shared" si="33"/>
        <v>4.7177734095255799E-3</v>
      </c>
      <c r="F1038" s="130"/>
      <c r="G1038" s="130"/>
    </row>
    <row r="1039" spans="1:7" ht="14.25" customHeight="1" x14ac:dyDescent="0.3">
      <c r="A1039" s="319" t="s">
        <v>1548</v>
      </c>
      <c r="B1039" s="320">
        <v>23398.900390625</v>
      </c>
      <c r="C1039" s="320">
        <v>1253.33996582031</v>
      </c>
      <c r="D1039" s="320">
        <f t="shared" si="32"/>
        <v>3.2564994745150301E-3</v>
      </c>
      <c r="E1039" s="320">
        <f t="shared" si="33"/>
        <v>2.5917848953251701E-3</v>
      </c>
      <c r="F1039" s="130"/>
      <c r="G1039" s="130"/>
    </row>
    <row r="1040" spans="1:7" ht="14.25" customHeight="1" x14ac:dyDescent="0.3">
      <c r="A1040" s="319" t="s">
        <v>1549</v>
      </c>
      <c r="B1040" s="320">
        <v>23465.599609375</v>
      </c>
      <c r="C1040" s="320">
        <v>1248.58996582031</v>
      </c>
      <c r="D1040" s="320">
        <f t="shared" si="32"/>
        <v>2.8505279152657801E-3</v>
      </c>
      <c r="E1040" s="320">
        <f t="shared" si="33"/>
        <v>-3.7898735614731098E-3</v>
      </c>
      <c r="F1040" s="130"/>
      <c r="G1040" s="130"/>
    </row>
    <row r="1041" spans="1:7" ht="14.25" customHeight="1" x14ac:dyDescent="0.3">
      <c r="A1041" s="319" t="s">
        <v>1550</v>
      </c>
      <c r="B1041" s="320">
        <v>23557.900390625</v>
      </c>
      <c r="C1041" s="320">
        <v>1237.32995605469</v>
      </c>
      <c r="D1041" s="320">
        <f t="shared" si="32"/>
        <v>3.93345078696067E-3</v>
      </c>
      <c r="E1041" s="320">
        <f t="shared" si="33"/>
        <v>-9.0181805667662006E-3</v>
      </c>
      <c r="F1041" s="130"/>
      <c r="G1041" s="130"/>
    </row>
    <row r="1042" spans="1:7" ht="14.25" customHeight="1" x14ac:dyDescent="0.3">
      <c r="A1042" s="319" t="s">
        <v>1551</v>
      </c>
      <c r="B1042" s="320">
        <v>23516</v>
      </c>
      <c r="C1042" s="320">
        <v>1248.34997558594</v>
      </c>
      <c r="D1042" s="320">
        <f t="shared" si="32"/>
        <v>-1.7786131162042999E-3</v>
      </c>
      <c r="E1042" s="320">
        <f t="shared" si="33"/>
        <v>8.9062900945096907E-3</v>
      </c>
      <c r="F1042" s="130"/>
      <c r="G1042" s="130"/>
    </row>
    <row r="1043" spans="1:7" ht="14.25" customHeight="1" x14ac:dyDescent="0.3">
      <c r="A1043" s="319" t="s">
        <v>1552</v>
      </c>
      <c r="B1043" s="320">
        <v>23567</v>
      </c>
      <c r="C1043" s="320">
        <v>1256.57995605469</v>
      </c>
      <c r="D1043" s="320">
        <f t="shared" si="32"/>
        <v>2.16873617962238E-3</v>
      </c>
      <c r="E1043" s="320">
        <f t="shared" si="33"/>
        <v>6.5926868504059396E-3</v>
      </c>
      <c r="F1043" s="130"/>
      <c r="G1043" s="130"/>
    </row>
    <row r="1044" spans="1:7" ht="14.25" customHeight="1" x14ac:dyDescent="0.3">
      <c r="A1044" s="319" t="s">
        <v>1553</v>
      </c>
      <c r="B1044" s="320">
        <v>23501.099609375</v>
      </c>
      <c r="C1044" s="320">
        <v>1276.93994140625</v>
      </c>
      <c r="D1044" s="320">
        <f t="shared" si="32"/>
        <v>-2.7962995130903401E-3</v>
      </c>
      <c r="E1044" s="320">
        <f t="shared" si="33"/>
        <v>1.62026978493948E-2</v>
      </c>
      <c r="F1044" s="130"/>
      <c r="G1044" s="130"/>
    </row>
    <row r="1045" spans="1:7" ht="14.25" customHeight="1" x14ac:dyDescent="0.3">
      <c r="A1045" s="319" t="s">
        <v>1554</v>
      </c>
      <c r="B1045" s="320">
        <v>23537.849609375</v>
      </c>
      <c r="C1045" s="320">
        <v>1318.81994628906</v>
      </c>
      <c r="D1045" s="320">
        <f t="shared" si="32"/>
        <v>1.56375661610914E-3</v>
      </c>
      <c r="E1045" s="320">
        <f t="shared" si="33"/>
        <v>3.2797161029115403E-2</v>
      </c>
      <c r="F1045" s="130"/>
      <c r="G1045" s="130"/>
    </row>
    <row r="1046" spans="1:7" ht="14.25" customHeight="1" x14ac:dyDescent="0.3">
      <c r="A1046" s="319" t="s">
        <v>1555</v>
      </c>
      <c r="B1046" s="320">
        <v>23721.30078125</v>
      </c>
      <c r="C1046" s="320">
        <v>1329.71997070313</v>
      </c>
      <c r="D1046" s="320">
        <f t="shared" si="32"/>
        <v>7.7938798539154697E-3</v>
      </c>
      <c r="E1046" s="320">
        <f t="shared" si="33"/>
        <v>8.2649829832653499E-3</v>
      </c>
      <c r="F1046" s="130"/>
      <c r="G1046" s="130"/>
    </row>
    <row r="1047" spans="1:7" ht="14.25" customHeight="1" x14ac:dyDescent="0.3">
      <c r="A1047" s="319" t="s">
        <v>1556</v>
      </c>
      <c r="B1047" s="320">
        <v>23868.80078125</v>
      </c>
      <c r="C1047" s="320">
        <v>1349.58996582031</v>
      </c>
      <c r="D1047" s="320">
        <f t="shared" si="32"/>
        <v>6.2180401218380199E-3</v>
      </c>
      <c r="E1047" s="320">
        <f t="shared" si="33"/>
        <v>1.49429921750165E-2</v>
      </c>
      <c r="F1047" s="130"/>
      <c r="G1047" s="130"/>
    </row>
    <row r="1048" spans="1:7" ht="14.25" customHeight="1" x14ac:dyDescent="0.3">
      <c r="A1048" s="319" t="s">
        <v>1557</v>
      </c>
      <c r="B1048" s="320">
        <v>24044.5</v>
      </c>
      <c r="C1048" s="320">
        <v>1346.71997070313</v>
      </c>
      <c r="D1048" s="320">
        <f t="shared" si="32"/>
        <v>7.3610408985448298E-3</v>
      </c>
      <c r="E1048" s="320">
        <f t="shared" si="33"/>
        <v>-2.1265682095046902E-3</v>
      </c>
      <c r="F1048" s="130"/>
      <c r="G1048" s="130"/>
    </row>
    <row r="1049" spans="1:7" ht="14.25" customHeight="1" x14ac:dyDescent="0.3">
      <c r="A1049" s="319" t="s">
        <v>1558</v>
      </c>
      <c r="B1049" s="320">
        <v>24010.599609375</v>
      </c>
      <c r="C1049" s="320">
        <v>1357.17004394531</v>
      </c>
      <c r="D1049" s="320">
        <f t="shared" si="32"/>
        <v>-1.4099020825968499E-3</v>
      </c>
      <c r="E1049" s="320">
        <f t="shared" si="33"/>
        <v>7.75964823386703E-3</v>
      </c>
      <c r="F1049" s="130"/>
      <c r="G1049" s="130"/>
    </row>
    <row r="1050" spans="1:7" ht="14.25" customHeight="1" x14ac:dyDescent="0.3">
      <c r="A1050" s="319" t="s">
        <v>1559</v>
      </c>
      <c r="B1050" s="320">
        <v>24141.94921875</v>
      </c>
      <c r="C1050" s="320">
        <v>1387.46997070313</v>
      </c>
      <c r="D1050" s="320">
        <f t="shared" si="32"/>
        <v>5.4704843490753201E-3</v>
      </c>
      <c r="E1050" s="320">
        <f t="shared" si="33"/>
        <v>2.2325814582333198E-2</v>
      </c>
      <c r="F1050" s="130"/>
      <c r="G1050" s="130"/>
    </row>
    <row r="1051" spans="1:7" ht="14.25" customHeight="1" x14ac:dyDescent="0.3">
      <c r="A1051" s="319" t="s">
        <v>1560</v>
      </c>
      <c r="B1051" s="320">
        <v>24123.849609375</v>
      </c>
      <c r="C1051" s="320">
        <v>1349.31994628906</v>
      </c>
      <c r="D1051" s="320">
        <f t="shared" si="32"/>
        <v>-7.4971615634676398E-4</v>
      </c>
      <c r="E1051" s="320">
        <f t="shared" si="33"/>
        <v>-2.74961081822453E-2</v>
      </c>
      <c r="F1051" s="130"/>
      <c r="G1051" s="130"/>
    </row>
    <row r="1052" spans="1:7" ht="14.25" customHeight="1" x14ac:dyDescent="0.3">
      <c r="A1052" s="319" t="s">
        <v>1561</v>
      </c>
      <c r="B1052" s="320">
        <v>24286.5</v>
      </c>
      <c r="C1052" s="320">
        <v>1362.31994628906</v>
      </c>
      <c r="D1052" s="320">
        <f t="shared" si="32"/>
        <v>6.7423066077227896E-3</v>
      </c>
      <c r="E1052" s="320">
        <f t="shared" si="33"/>
        <v>9.6344829376850093E-3</v>
      </c>
      <c r="F1052" s="130"/>
      <c r="G1052" s="130"/>
    </row>
    <row r="1053" spans="1:7" ht="14.25" customHeight="1" x14ac:dyDescent="0.3">
      <c r="A1053" s="319" t="s">
        <v>1562</v>
      </c>
      <c r="B1053" s="320">
        <v>24302.150390625</v>
      </c>
      <c r="C1053" s="320">
        <v>1347.2900390625</v>
      </c>
      <c r="D1053" s="320">
        <f t="shared" si="32"/>
        <v>6.4440700080291497E-4</v>
      </c>
      <c r="E1053" s="320">
        <f t="shared" si="33"/>
        <v>-1.10325825203553E-2</v>
      </c>
      <c r="F1053" s="130"/>
      <c r="G1053" s="130"/>
    </row>
    <row r="1054" spans="1:7" ht="14.25" customHeight="1" x14ac:dyDescent="0.3">
      <c r="A1054" s="319" t="s">
        <v>1563</v>
      </c>
      <c r="B1054" s="320">
        <v>24323.849609375</v>
      </c>
      <c r="C1054" s="320">
        <v>1361.90002441406</v>
      </c>
      <c r="D1054" s="320">
        <f t="shared" si="32"/>
        <v>8.9289294985068005E-4</v>
      </c>
      <c r="E1054" s="320">
        <f t="shared" si="33"/>
        <v>1.0843979342210701E-2</v>
      </c>
      <c r="F1054" s="130"/>
      <c r="G1054" s="130"/>
    </row>
    <row r="1055" spans="1:7" ht="14.25" customHeight="1" x14ac:dyDescent="0.3">
      <c r="A1055" s="319" t="s">
        <v>1564</v>
      </c>
      <c r="B1055" s="320">
        <v>24320.55078125</v>
      </c>
      <c r="C1055" s="320">
        <v>1371.48999023438</v>
      </c>
      <c r="D1055" s="320">
        <f t="shared" si="32"/>
        <v>-1.35621136373436E-4</v>
      </c>
      <c r="E1055" s="320">
        <f t="shared" si="33"/>
        <v>7.0416077894160899E-3</v>
      </c>
      <c r="F1055" s="130"/>
      <c r="G1055" s="130"/>
    </row>
    <row r="1056" spans="1:7" ht="14.25" customHeight="1" x14ac:dyDescent="0.3">
      <c r="A1056" s="319" t="s">
        <v>1565</v>
      </c>
      <c r="B1056" s="320">
        <v>24433.19921875</v>
      </c>
      <c r="C1056" s="320">
        <v>1388.92004394531</v>
      </c>
      <c r="D1056" s="320">
        <f t="shared" si="32"/>
        <v>4.6318209860134697E-3</v>
      </c>
      <c r="E1056" s="320">
        <f t="shared" si="33"/>
        <v>1.27088450043673E-2</v>
      </c>
      <c r="F1056" s="130"/>
      <c r="G1056" s="130"/>
    </row>
    <row r="1057" spans="1:7" ht="14.25" customHeight="1" x14ac:dyDescent="0.3">
      <c r="A1057" s="319" t="s">
        <v>1566</v>
      </c>
      <c r="B1057" s="320">
        <v>24324.44921875</v>
      </c>
      <c r="C1057" s="320">
        <v>1356.33996582031</v>
      </c>
      <c r="D1057" s="320">
        <f t="shared" si="32"/>
        <v>-4.4509111977667397E-3</v>
      </c>
      <c r="E1057" s="320">
        <f t="shared" si="33"/>
        <v>-2.3457130068088299E-2</v>
      </c>
      <c r="F1057" s="130"/>
      <c r="G1057" s="130"/>
    </row>
    <row r="1058" spans="1:7" ht="14.25" customHeight="1" x14ac:dyDescent="0.3">
      <c r="A1058" s="319" t="s">
        <v>1567</v>
      </c>
      <c r="B1058" s="320">
        <v>24315.94921875</v>
      </c>
      <c r="C1058" s="320">
        <v>1322.78002929688</v>
      </c>
      <c r="D1058" s="320">
        <f t="shared" si="32"/>
        <v>-3.4944265021416999E-4</v>
      </c>
      <c r="E1058" s="320">
        <f t="shared" si="33"/>
        <v>-2.4743012348775701E-2</v>
      </c>
      <c r="F1058" s="130"/>
      <c r="G1058" s="130"/>
    </row>
    <row r="1059" spans="1:7" ht="14.25" customHeight="1" x14ac:dyDescent="0.3">
      <c r="A1059" s="319" t="s">
        <v>1568</v>
      </c>
      <c r="B1059" s="320">
        <v>24502.150390625</v>
      </c>
      <c r="C1059" s="320">
        <v>1372.30004882813</v>
      </c>
      <c r="D1059" s="320">
        <f t="shared" si="32"/>
        <v>7.6575736443560503E-3</v>
      </c>
      <c r="E1059" s="320">
        <f t="shared" si="33"/>
        <v>3.7436322317001003E-2</v>
      </c>
      <c r="F1059" s="130"/>
      <c r="G1059" s="130"/>
    </row>
    <row r="1060" spans="1:7" ht="14.25" customHeight="1" x14ac:dyDescent="0.3">
      <c r="A1060" s="319" t="s">
        <v>1569</v>
      </c>
      <c r="B1060" s="320">
        <v>24586.69921875</v>
      </c>
      <c r="C1060" s="320">
        <v>1367.65002441406</v>
      </c>
      <c r="D1060" s="320">
        <f t="shared" si="32"/>
        <v>3.4506697076412498E-3</v>
      </c>
      <c r="E1060" s="320">
        <f t="shared" si="33"/>
        <v>-3.3884895785297599E-3</v>
      </c>
      <c r="F1060" s="130"/>
      <c r="G1060" s="130"/>
    </row>
    <row r="1061" spans="1:7" ht="14.25" customHeight="1" x14ac:dyDescent="0.3">
      <c r="A1061" s="319" t="s">
        <v>1570</v>
      </c>
      <c r="B1061" s="320">
        <v>24613</v>
      </c>
      <c r="C1061" s="320">
        <v>1362.40002441406</v>
      </c>
      <c r="D1061" s="320">
        <f t="shared" si="32"/>
        <v>1.06971582545504E-3</v>
      </c>
      <c r="E1061" s="320">
        <f t="shared" si="33"/>
        <v>-3.8387013536224299E-3</v>
      </c>
      <c r="F1061" s="130"/>
      <c r="G1061" s="130"/>
    </row>
    <row r="1062" spans="1:7" ht="14.25" customHeight="1" x14ac:dyDescent="0.3">
      <c r="A1062" s="319" t="s">
        <v>1571</v>
      </c>
      <c r="B1062" s="320">
        <v>24800.849609375</v>
      </c>
      <c r="C1062" s="320">
        <v>1386.44995117188</v>
      </c>
      <c r="D1062" s="320">
        <f t="shared" si="32"/>
        <v>7.63212974342827E-3</v>
      </c>
      <c r="E1062" s="320">
        <f t="shared" si="33"/>
        <v>1.76526176797181E-2</v>
      </c>
      <c r="F1062" s="130"/>
      <c r="G1062" s="130"/>
    </row>
    <row r="1063" spans="1:7" ht="14.25" customHeight="1" x14ac:dyDescent="0.3">
      <c r="A1063" s="319" t="s">
        <v>1572</v>
      </c>
      <c r="B1063" s="320">
        <v>24530.900390625</v>
      </c>
      <c r="C1063" s="320">
        <v>1365.52001953125</v>
      </c>
      <c r="D1063" s="320">
        <f t="shared" si="32"/>
        <v>-1.0884676251089199E-2</v>
      </c>
      <c r="E1063" s="320">
        <f t="shared" si="33"/>
        <v>-1.50960599933227E-2</v>
      </c>
      <c r="F1063" s="130"/>
      <c r="G1063" s="130"/>
    </row>
    <row r="1064" spans="1:7" ht="14.25" customHeight="1" x14ac:dyDescent="0.3">
      <c r="A1064" s="319" t="s">
        <v>1573</v>
      </c>
      <c r="B1064" s="320">
        <v>24509.25</v>
      </c>
      <c r="C1064" s="320">
        <v>1385.93005371094</v>
      </c>
      <c r="D1064" s="320">
        <f t="shared" si="32"/>
        <v>-8.8257627238477396E-4</v>
      </c>
      <c r="E1064" s="320">
        <f t="shared" si="33"/>
        <v>1.49467117931352E-2</v>
      </c>
      <c r="F1064" s="130"/>
      <c r="G1064" s="130"/>
    </row>
    <row r="1065" spans="1:7" ht="14.25" customHeight="1" x14ac:dyDescent="0.3">
      <c r="A1065" s="319" t="s">
        <v>1574</v>
      </c>
      <c r="B1065" s="320">
        <v>24479.05078125</v>
      </c>
      <c r="C1065" s="320">
        <v>1379.05004882813</v>
      </c>
      <c r="D1065" s="320">
        <f t="shared" si="32"/>
        <v>-1.23215597172496E-3</v>
      </c>
      <c r="E1065" s="320">
        <f t="shared" si="33"/>
        <v>-4.9641790106132897E-3</v>
      </c>
      <c r="F1065" s="130"/>
      <c r="G1065" s="130"/>
    </row>
    <row r="1066" spans="1:7" ht="14.25" customHeight="1" x14ac:dyDescent="0.3">
      <c r="A1066" s="319" t="s">
        <v>1575</v>
      </c>
      <c r="B1066" s="320">
        <v>24413.5</v>
      </c>
      <c r="C1066" s="320">
        <v>1389.46997070313</v>
      </c>
      <c r="D1066" s="320">
        <f t="shared" si="32"/>
        <v>-2.6778318259059802E-3</v>
      </c>
      <c r="E1066" s="320">
        <f t="shared" si="33"/>
        <v>7.5558692622174897E-3</v>
      </c>
      <c r="F1066" s="130"/>
      <c r="G1066" s="130"/>
    </row>
    <row r="1067" spans="1:7" ht="14.25" customHeight="1" x14ac:dyDescent="0.3">
      <c r="A1067" s="319" t="s">
        <v>1576</v>
      </c>
      <c r="B1067" s="320">
        <v>24406.099609375</v>
      </c>
      <c r="C1067" s="320">
        <v>1402.71997070313</v>
      </c>
      <c r="D1067" s="320">
        <f t="shared" si="32"/>
        <v>-3.0312698404571202E-4</v>
      </c>
      <c r="E1067" s="320">
        <f t="shared" si="33"/>
        <v>9.5360103344262603E-3</v>
      </c>
      <c r="F1067" s="130"/>
      <c r="G1067" s="130"/>
    </row>
    <row r="1068" spans="1:7" ht="14.25" customHeight="1" x14ac:dyDescent="0.3">
      <c r="A1068" s="319" t="s">
        <v>1577</v>
      </c>
      <c r="B1068" s="320">
        <v>24834.849609375</v>
      </c>
      <c r="C1068" s="320">
        <v>1437.47998046875</v>
      </c>
      <c r="D1068" s="320">
        <f t="shared" si="32"/>
        <v>1.75673297602746E-2</v>
      </c>
      <c r="E1068" s="320">
        <f t="shared" si="33"/>
        <v>2.4780434079223999E-2</v>
      </c>
      <c r="F1068" s="130"/>
      <c r="G1068" s="130"/>
    </row>
    <row r="1069" spans="1:7" ht="14.25" customHeight="1" x14ac:dyDescent="0.3">
      <c r="A1069" s="319" t="s">
        <v>1578</v>
      </c>
      <c r="B1069" s="320">
        <v>24836.099609375</v>
      </c>
      <c r="C1069" s="320">
        <v>1419.58996582031</v>
      </c>
      <c r="D1069" s="320">
        <f t="shared" si="32"/>
        <v>5.0332497263367099E-5</v>
      </c>
      <c r="E1069" s="320">
        <f t="shared" si="33"/>
        <v>-1.24454009040225E-2</v>
      </c>
      <c r="F1069" s="130"/>
      <c r="G1069" s="130"/>
    </row>
    <row r="1070" spans="1:7" ht="14.25" customHeight="1" x14ac:dyDescent="0.3">
      <c r="A1070" s="319" t="s">
        <v>1579</v>
      </c>
      <c r="B1070" s="320">
        <v>24857.30078125</v>
      </c>
      <c r="C1070" s="320">
        <v>1401.9599609375</v>
      </c>
      <c r="D1070" s="320">
        <f t="shared" si="32"/>
        <v>8.5364337430008904E-4</v>
      </c>
      <c r="E1070" s="320">
        <f t="shared" si="33"/>
        <v>-1.2419082486697101E-2</v>
      </c>
      <c r="F1070" s="130"/>
      <c r="G1070" s="130"/>
    </row>
    <row r="1071" spans="1:7" ht="14.25" customHeight="1" x14ac:dyDescent="0.3">
      <c r="A1071" s="319" t="s">
        <v>1580</v>
      </c>
      <c r="B1071" s="320">
        <v>24951.150390625</v>
      </c>
      <c r="C1071" s="320">
        <v>1405.44995117188</v>
      </c>
      <c r="D1071" s="320">
        <f t="shared" si="32"/>
        <v>3.7755350108565002E-3</v>
      </c>
      <c r="E1071" s="320">
        <f t="shared" si="33"/>
        <v>2.4893651256960498E-3</v>
      </c>
      <c r="F1071" s="130"/>
      <c r="G1071" s="130"/>
    </row>
    <row r="1072" spans="1:7" ht="14.25" customHeight="1" x14ac:dyDescent="0.3">
      <c r="A1072" s="319" t="s">
        <v>1581</v>
      </c>
      <c r="B1072" s="320">
        <v>25010.900390625</v>
      </c>
      <c r="C1072" s="320">
        <v>1380.89001464844</v>
      </c>
      <c r="D1072" s="320">
        <f t="shared" si="32"/>
        <v>2.3946791656728598E-3</v>
      </c>
      <c r="E1072" s="320">
        <f t="shared" si="33"/>
        <v>-1.7474785568110499E-2</v>
      </c>
      <c r="F1072" s="130"/>
      <c r="G1072" s="130"/>
    </row>
    <row r="1073" spans="1:7" ht="14.25" customHeight="1" x14ac:dyDescent="0.3">
      <c r="A1073" s="319" t="s">
        <v>1582</v>
      </c>
      <c r="B1073" s="320">
        <v>24717.69921875</v>
      </c>
      <c r="C1073" s="320">
        <v>1444.09997558594</v>
      </c>
      <c r="D1073" s="320">
        <f t="shared" si="32"/>
        <v>-1.1722935491954601E-2</v>
      </c>
      <c r="E1073" s="320">
        <f t="shared" si="33"/>
        <v>4.5774797606594801E-2</v>
      </c>
      <c r="F1073" s="130"/>
      <c r="G1073" s="130"/>
    </row>
    <row r="1074" spans="1:7" ht="14.25" customHeight="1" x14ac:dyDescent="0.3">
      <c r="A1074" s="319" t="s">
        <v>1583</v>
      </c>
      <c r="B1074" s="320">
        <v>24055.599609375</v>
      </c>
      <c r="C1074" s="320">
        <v>1394.75</v>
      </c>
      <c r="D1074" s="320">
        <f t="shared" si="32"/>
        <v>-2.67864578946229E-2</v>
      </c>
      <c r="E1074" s="320">
        <f t="shared" si="33"/>
        <v>-3.4173517360469703E-2</v>
      </c>
      <c r="F1074" s="130"/>
      <c r="G1074" s="130"/>
    </row>
    <row r="1075" spans="1:7" ht="14.25" customHeight="1" x14ac:dyDescent="0.3">
      <c r="A1075" s="319" t="s">
        <v>1584</v>
      </c>
      <c r="B1075" s="320">
        <v>23992.55078125</v>
      </c>
      <c r="C1075" s="320">
        <v>1360.7900390625</v>
      </c>
      <c r="D1075" s="320">
        <f t="shared" si="32"/>
        <v>-2.62096265105894E-3</v>
      </c>
      <c r="E1075" s="320">
        <f t="shared" si="33"/>
        <v>-2.43484215361176E-2</v>
      </c>
      <c r="F1075" s="130"/>
      <c r="G1075" s="130"/>
    </row>
    <row r="1076" spans="1:7" ht="14.25" customHeight="1" x14ac:dyDescent="0.3">
      <c r="A1076" s="319" t="s">
        <v>1585</v>
      </c>
      <c r="B1076" s="320">
        <v>24297.5</v>
      </c>
      <c r="C1076" s="320">
        <v>1409.72998046875</v>
      </c>
      <c r="D1076" s="320">
        <f t="shared" si="32"/>
        <v>1.27101624804444E-2</v>
      </c>
      <c r="E1076" s="320">
        <f t="shared" si="33"/>
        <v>3.5964358939580901E-2</v>
      </c>
      <c r="F1076" s="130"/>
      <c r="G1076" s="130"/>
    </row>
    <row r="1077" spans="1:7" ht="14.25" customHeight="1" x14ac:dyDescent="0.3">
      <c r="A1077" s="319" t="s">
        <v>1586</v>
      </c>
      <c r="B1077" s="320">
        <v>24117</v>
      </c>
      <c r="C1077" s="320">
        <v>1382.52001953125</v>
      </c>
      <c r="D1077" s="320">
        <f t="shared" si="32"/>
        <v>-7.4287478135610704E-3</v>
      </c>
      <c r="E1077" s="320">
        <f t="shared" si="33"/>
        <v>-1.9301540943643999E-2</v>
      </c>
      <c r="F1077" s="130"/>
      <c r="G1077" s="130"/>
    </row>
    <row r="1078" spans="1:7" ht="14.25" customHeight="1" x14ac:dyDescent="0.3">
      <c r="A1078" s="319" t="s">
        <v>1587</v>
      </c>
      <c r="B1078" s="320">
        <v>24367.5</v>
      </c>
      <c r="C1078" s="320">
        <v>1442.90002441406</v>
      </c>
      <c r="D1078" s="320">
        <f t="shared" si="32"/>
        <v>1.03868640378156E-2</v>
      </c>
      <c r="E1078" s="320">
        <f t="shared" si="33"/>
        <v>4.3673873817235698E-2</v>
      </c>
      <c r="F1078" s="130"/>
      <c r="G1078" s="130"/>
    </row>
    <row r="1079" spans="1:7" ht="14.25" customHeight="1" x14ac:dyDescent="0.3">
      <c r="A1079" s="319" t="s">
        <v>1588</v>
      </c>
      <c r="B1079" s="320">
        <v>24347</v>
      </c>
      <c r="C1079" s="320">
        <v>1435.73999023438</v>
      </c>
      <c r="D1079" s="320">
        <f t="shared" si="32"/>
        <v>-8.41284497794193E-4</v>
      </c>
      <c r="E1079" s="320">
        <f t="shared" si="33"/>
        <v>-4.9622524489093302E-3</v>
      </c>
      <c r="F1079" s="130"/>
      <c r="G1079" s="130"/>
    </row>
    <row r="1080" spans="1:7" ht="14.25" customHeight="1" x14ac:dyDescent="0.3">
      <c r="A1080" s="319" t="s">
        <v>1589</v>
      </c>
      <c r="B1080" s="320">
        <v>24139</v>
      </c>
      <c r="C1080" s="320">
        <v>1419.67004394531</v>
      </c>
      <c r="D1080" s="320">
        <f t="shared" si="32"/>
        <v>-8.5431469996303504E-3</v>
      </c>
      <c r="E1080" s="320">
        <f t="shared" si="33"/>
        <v>-1.1192797023398799E-2</v>
      </c>
      <c r="F1080" s="130"/>
      <c r="G1080" s="130"/>
    </row>
    <row r="1081" spans="1:7" ht="14.25" customHeight="1" x14ac:dyDescent="0.3">
      <c r="A1081" s="319" t="s">
        <v>1590</v>
      </c>
      <c r="B1081" s="320">
        <v>24143.75</v>
      </c>
      <c r="C1081" s="320">
        <v>1447.34997558594</v>
      </c>
      <c r="D1081" s="320">
        <f t="shared" si="32"/>
        <v>1.9677699987572E-4</v>
      </c>
      <c r="E1081" s="320">
        <f t="shared" si="33"/>
        <v>1.9497440097916399E-2</v>
      </c>
      <c r="F1081" s="130"/>
      <c r="G1081" s="130"/>
    </row>
    <row r="1082" spans="1:7" ht="14.25" customHeight="1" x14ac:dyDescent="0.3">
      <c r="A1082" s="319" t="s">
        <v>1591</v>
      </c>
      <c r="B1082" s="320">
        <v>24541.150390625</v>
      </c>
      <c r="C1082" s="320">
        <v>1483.56994628906</v>
      </c>
      <c r="D1082" s="320">
        <f t="shared" si="32"/>
        <v>1.64597624902925E-2</v>
      </c>
      <c r="E1082" s="320">
        <f t="shared" si="33"/>
        <v>2.5025025953696399E-2</v>
      </c>
      <c r="F1082" s="130"/>
      <c r="G1082" s="130"/>
    </row>
    <row r="1083" spans="1:7" ht="14.25" customHeight="1" x14ac:dyDescent="0.3">
      <c r="A1083" s="319" t="s">
        <v>1592</v>
      </c>
      <c r="B1083" s="320">
        <v>24572.650390625</v>
      </c>
      <c r="C1083" s="320">
        <v>1478.68994140625</v>
      </c>
      <c r="D1083" s="320">
        <f t="shared" si="32"/>
        <v>1.2835584110202701E-3</v>
      </c>
      <c r="E1083" s="320">
        <f t="shared" si="33"/>
        <v>-3.28936623110804E-3</v>
      </c>
      <c r="F1083" s="130"/>
      <c r="G1083" s="130"/>
    </row>
    <row r="1084" spans="1:7" ht="14.25" customHeight="1" x14ac:dyDescent="0.3">
      <c r="A1084" s="319" t="s">
        <v>1593</v>
      </c>
      <c r="B1084" s="320">
        <v>24698.849609375</v>
      </c>
      <c r="C1084" s="320">
        <v>1481.55004882813</v>
      </c>
      <c r="D1084" s="320">
        <f t="shared" si="32"/>
        <v>5.1357593399101904E-3</v>
      </c>
      <c r="E1084" s="320">
        <f t="shared" si="33"/>
        <v>1.93421713490525E-3</v>
      </c>
      <c r="F1084" s="130"/>
      <c r="G1084" s="130"/>
    </row>
    <row r="1085" spans="1:7" ht="14.25" customHeight="1" x14ac:dyDescent="0.3">
      <c r="A1085" s="319" t="s">
        <v>1594</v>
      </c>
      <c r="B1085" s="320">
        <v>24770.19921875</v>
      </c>
      <c r="C1085" s="320">
        <v>1481.52001953125</v>
      </c>
      <c r="D1085" s="320">
        <f t="shared" si="32"/>
        <v>2.8887826964992601E-3</v>
      </c>
      <c r="E1085" s="320">
        <f t="shared" si="33"/>
        <v>-2.0268837292236398E-5</v>
      </c>
      <c r="F1085" s="130"/>
      <c r="G1085" s="130"/>
    </row>
    <row r="1086" spans="1:7" ht="14.25" customHeight="1" x14ac:dyDescent="0.3">
      <c r="A1086" s="319" t="s">
        <v>1595</v>
      </c>
      <c r="B1086" s="320">
        <v>24811.5</v>
      </c>
      <c r="C1086" s="320">
        <v>1488.89001464844</v>
      </c>
      <c r="D1086" s="320">
        <f t="shared" si="32"/>
        <v>1.66735765365735E-3</v>
      </c>
      <c r="E1086" s="320">
        <f t="shared" si="33"/>
        <v>4.9746172984701598E-3</v>
      </c>
      <c r="F1086" s="130"/>
      <c r="G1086" s="130"/>
    </row>
    <row r="1087" spans="1:7" ht="14.25" customHeight="1" x14ac:dyDescent="0.3">
      <c r="A1087" s="319" t="s">
        <v>1596</v>
      </c>
      <c r="B1087" s="320">
        <v>24823.150390625</v>
      </c>
      <c r="C1087" s="320">
        <v>1478.52001953125</v>
      </c>
      <c r="D1087" s="320">
        <f t="shared" si="32"/>
        <v>4.6955607782681399E-4</v>
      </c>
      <c r="E1087" s="320">
        <f t="shared" si="33"/>
        <v>-6.9649168274115896E-3</v>
      </c>
      <c r="F1087" s="130"/>
      <c r="G1087" s="130"/>
    </row>
    <row r="1088" spans="1:7" ht="14.25" customHeight="1" x14ac:dyDescent="0.3">
      <c r="A1088" s="319" t="s">
        <v>1597</v>
      </c>
      <c r="B1088" s="320">
        <v>25010.599609375</v>
      </c>
      <c r="C1088" s="320">
        <v>1499.78002929688</v>
      </c>
      <c r="D1088" s="320">
        <f t="shared" si="32"/>
        <v>7.5513871446709797E-3</v>
      </c>
      <c r="E1088" s="320">
        <f t="shared" si="33"/>
        <v>1.43792505240276E-2</v>
      </c>
      <c r="F1088" s="130"/>
      <c r="G1088" s="130"/>
    </row>
    <row r="1089" spans="1:7" ht="14.25" customHeight="1" x14ac:dyDescent="0.3">
      <c r="A1089" s="319" t="s">
        <v>1598</v>
      </c>
      <c r="B1089" s="320">
        <v>25017.75</v>
      </c>
      <c r="C1089" s="320">
        <v>1498.7900390625</v>
      </c>
      <c r="D1089" s="320">
        <f t="shared" si="32"/>
        <v>2.8589441023716002E-4</v>
      </c>
      <c r="E1089" s="320">
        <f t="shared" si="33"/>
        <v>-6.60090289936802E-4</v>
      </c>
      <c r="F1089" s="130"/>
      <c r="G1089" s="130"/>
    </row>
    <row r="1090" spans="1:7" ht="14.25" customHeight="1" x14ac:dyDescent="0.3">
      <c r="A1090" s="319" t="s">
        <v>1599</v>
      </c>
      <c r="B1090" s="320">
        <v>25052.349609375</v>
      </c>
      <c r="C1090" s="320">
        <v>1524.53002929688</v>
      </c>
      <c r="D1090" s="320">
        <f t="shared" si="32"/>
        <v>1.3830024432652801E-3</v>
      </c>
      <c r="E1090" s="320">
        <f t="shared" si="33"/>
        <v>1.7173846611951399E-2</v>
      </c>
      <c r="F1090" s="130"/>
      <c r="G1090" s="130"/>
    </row>
    <row r="1091" spans="1:7" ht="14.25" customHeight="1" x14ac:dyDescent="0.3">
      <c r="A1091" s="319" t="s">
        <v>1600</v>
      </c>
      <c r="B1091" s="320">
        <v>25151.94921875</v>
      </c>
      <c r="C1091" s="320">
        <v>1536.57995605469</v>
      </c>
      <c r="D1091" s="320">
        <f t="shared" ref="D1091:D1154" si="34">(B1091-B1090)/B1090</f>
        <v>3.9756594063228403E-3</v>
      </c>
      <c r="E1091" s="320">
        <f t="shared" ref="E1091:E1154" si="35">(C1091-C1090)/C1090</f>
        <v>7.9040271600077806E-3</v>
      </c>
      <c r="F1091" s="130"/>
      <c r="G1091" s="130"/>
    </row>
    <row r="1092" spans="1:7" ht="14.25" customHeight="1" x14ac:dyDescent="0.3">
      <c r="A1092" s="319" t="s">
        <v>1601</v>
      </c>
      <c r="B1092" s="320">
        <v>25235.900390625</v>
      </c>
      <c r="C1092" s="320">
        <v>1535.76000976563</v>
      </c>
      <c r="D1092" s="320">
        <f t="shared" si="34"/>
        <v>3.3377600735778E-3</v>
      </c>
      <c r="E1092" s="320">
        <f t="shared" si="35"/>
        <v>-5.3361771760012202E-4</v>
      </c>
      <c r="F1092" s="130"/>
      <c r="G1092" s="130"/>
    </row>
    <row r="1093" spans="1:7" ht="14.25" customHeight="1" x14ac:dyDescent="0.3">
      <c r="A1093" s="319" t="s">
        <v>1602</v>
      </c>
      <c r="B1093" s="320">
        <v>25278.69921875</v>
      </c>
      <c r="C1093" s="320">
        <v>1513.35998535156</v>
      </c>
      <c r="D1093" s="320">
        <f t="shared" si="34"/>
        <v>1.6959501132323199E-3</v>
      </c>
      <c r="E1093" s="320">
        <f t="shared" si="35"/>
        <v>-1.4585628139574E-2</v>
      </c>
      <c r="F1093" s="130"/>
      <c r="G1093" s="130"/>
    </row>
    <row r="1094" spans="1:7" ht="14.25" customHeight="1" x14ac:dyDescent="0.3">
      <c r="A1094" s="319" t="s">
        <v>1603</v>
      </c>
      <c r="B1094" s="320">
        <v>25279.849609375</v>
      </c>
      <c r="C1094" s="320">
        <v>1489.08996582031</v>
      </c>
      <c r="D1094" s="320">
        <f t="shared" si="34"/>
        <v>4.5508299894905999E-5</v>
      </c>
      <c r="E1094" s="320">
        <f t="shared" si="35"/>
        <v>-1.6037175401867099E-2</v>
      </c>
      <c r="F1094" s="130"/>
      <c r="G1094" s="130"/>
    </row>
    <row r="1095" spans="1:7" ht="14.25" customHeight="1" x14ac:dyDescent="0.3">
      <c r="A1095" s="319" t="s">
        <v>1604</v>
      </c>
      <c r="B1095" s="320">
        <v>25198.69921875</v>
      </c>
      <c r="C1095" s="320">
        <v>1487.07995605469</v>
      </c>
      <c r="D1095" s="320">
        <f t="shared" si="34"/>
        <v>-3.2100820170585802E-3</v>
      </c>
      <c r="E1095" s="320">
        <f t="shared" si="35"/>
        <v>-1.3498242629771001E-3</v>
      </c>
      <c r="F1095" s="130"/>
      <c r="G1095" s="130"/>
    </row>
    <row r="1096" spans="1:7" ht="14.25" customHeight="1" x14ac:dyDescent="0.3">
      <c r="A1096" s="319" t="s">
        <v>1605</v>
      </c>
      <c r="B1096" s="320">
        <v>25145.099609375</v>
      </c>
      <c r="C1096" s="320">
        <v>1495</v>
      </c>
      <c r="D1096" s="320">
        <f t="shared" si="34"/>
        <v>-2.1270784221717799E-3</v>
      </c>
      <c r="E1096" s="320">
        <f t="shared" si="35"/>
        <v>5.3259032327503996E-3</v>
      </c>
      <c r="F1096" s="130"/>
      <c r="G1096" s="130"/>
    </row>
    <row r="1097" spans="1:7" ht="14.25" customHeight="1" x14ac:dyDescent="0.3">
      <c r="A1097" s="319" t="s">
        <v>1606</v>
      </c>
      <c r="B1097" s="320">
        <v>24852.150390625</v>
      </c>
      <c r="C1097" s="320">
        <v>1484.97998046875</v>
      </c>
      <c r="D1097" s="320">
        <f t="shared" si="34"/>
        <v>-1.16503502989019E-2</v>
      </c>
      <c r="E1097" s="320">
        <f t="shared" si="35"/>
        <v>-6.7023542015050199E-3</v>
      </c>
      <c r="F1097" s="130"/>
      <c r="G1097" s="130"/>
    </row>
    <row r="1098" spans="1:7" ht="14.25" customHeight="1" x14ac:dyDescent="0.3">
      <c r="A1098" s="319" t="s">
        <v>1607</v>
      </c>
      <c r="B1098" s="320">
        <v>24936.400390625</v>
      </c>
      <c r="C1098" s="320">
        <v>1483.71997070313</v>
      </c>
      <c r="D1098" s="320">
        <f t="shared" si="34"/>
        <v>3.39004869501279E-3</v>
      </c>
      <c r="E1098" s="320">
        <f t="shared" si="35"/>
        <v>-8.4850286346773601E-4</v>
      </c>
      <c r="F1098" s="130"/>
      <c r="G1098" s="130"/>
    </row>
    <row r="1099" spans="1:7" ht="14.25" customHeight="1" x14ac:dyDescent="0.3">
      <c r="A1099" s="319" t="s">
        <v>1608</v>
      </c>
      <c r="B1099" s="320">
        <v>25041.099609375</v>
      </c>
      <c r="C1099" s="320">
        <v>1495.33996582031</v>
      </c>
      <c r="D1099" s="320">
        <f t="shared" si="34"/>
        <v>4.1986500501236101E-3</v>
      </c>
      <c r="E1099" s="320">
        <f t="shared" si="35"/>
        <v>7.8316632158515198E-3</v>
      </c>
      <c r="F1099" s="130"/>
      <c r="G1099" s="130"/>
    </row>
    <row r="1100" spans="1:7" ht="14.25" customHeight="1" x14ac:dyDescent="0.3">
      <c r="A1100" s="319" t="s">
        <v>1609</v>
      </c>
      <c r="B1100" s="320">
        <v>24918.44921875</v>
      </c>
      <c r="C1100" s="320">
        <v>1533.94995117188</v>
      </c>
      <c r="D1100" s="320">
        <f t="shared" si="34"/>
        <v>-4.8979634496194996E-3</v>
      </c>
      <c r="E1100" s="320">
        <f t="shared" si="35"/>
        <v>2.5820205594778899E-2</v>
      </c>
      <c r="F1100" s="130"/>
      <c r="G1100" s="130"/>
    </row>
    <row r="1101" spans="1:7" ht="14.25" customHeight="1" x14ac:dyDescent="0.3">
      <c r="A1101" s="319" t="s">
        <v>1610</v>
      </c>
      <c r="B1101" s="320">
        <v>25388.900390625</v>
      </c>
      <c r="C1101" s="320">
        <v>1557.71997070313</v>
      </c>
      <c r="D1101" s="320">
        <f t="shared" si="34"/>
        <v>1.8879632827271099E-2</v>
      </c>
      <c r="E1101" s="320">
        <f t="shared" si="35"/>
        <v>1.5495955075386E-2</v>
      </c>
      <c r="F1101" s="130"/>
      <c r="G1101" s="130"/>
    </row>
    <row r="1102" spans="1:7" ht="14.25" customHeight="1" x14ac:dyDescent="0.3">
      <c r="A1102" s="319" t="s">
        <v>1611</v>
      </c>
      <c r="B1102" s="320">
        <v>25356.5</v>
      </c>
      <c r="C1102" s="320">
        <v>1545.81005859375</v>
      </c>
      <c r="D1102" s="320">
        <f t="shared" si="34"/>
        <v>-1.2761636040355699E-3</v>
      </c>
      <c r="E1102" s="320">
        <f t="shared" si="35"/>
        <v>-7.6457337219629096E-3</v>
      </c>
      <c r="F1102" s="130"/>
      <c r="G1102" s="130"/>
    </row>
    <row r="1103" spans="1:7" ht="14.25" customHeight="1" x14ac:dyDescent="0.3">
      <c r="A1103" s="319" t="s">
        <v>1612</v>
      </c>
      <c r="B1103" s="320">
        <v>25383.75</v>
      </c>
      <c r="C1103" s="320">
        <v>1580.76000976563</v>
      </c>
      <c r="D1103" s="320">
        <f t="shared" si="34"/>
        <v>1.0746751326089999E-3</v>
      </c>
      <c r="E1103" s="320">
        <f t="shared" si="35"/>
        <v>2.2609473251632602E-2</v>
      </c>
      <c r="F1103" s="130"/>
      <c r="G1103" s="130"/>
    </row>
    <row r="1104" spans="1:7" ht="14.25" customHeight="1" x14ac:dyDescent="0.3">
      <c r="A1104" s="319" t="s">
        <v>1613</v>
      </c>
      <c r="B1104" s="320">
        <v>25418.55078125</v>
      </c>
      <c r="C1104" s="320">
        <v>1561.05004882813</v>
      </c>
      <c r="D1104" s="320">
        <f t="shared" si="34"/>
        <v>1.37098660560398E-3</v>
      </c>
      <c r="E1104" s="320">
        <f t="shared" si="35"/>
        <v>-1.2468661160287201E-2</v>
      </c>
      <c r="F1104" s="130"/>
      <c r="G1104" s="130"/>
    </row>
    <row r="1105" spans="1:7" ht="14.25" customHeight="1" x14ac:dyDescent="0.3">
      <c r="A1105" s="319" t="s">
        <v>1614</v>
      </c>
      <c r="B1105" s="320">
        <v>25377.55078125</v>
      </c>
      <c r="C1105" s="320">
        <v>1548.31005859375</v>
      </c>
      <c r="D1105" s="320">
        <f t="shared" si="34"/>
        <v>-1.6129951842196899E-3</v>
      </c>
      <c r="E1105" s="320">
        <f t="shared" si="35"/>
        <v>-8.1611670579965195E-3</v>
      </c>
      <c r="F1105" s="130"/>
      <c r="G1105" s="130"/>
    </row>
    <row r="1106" spans="1:7" ht="14.25" customHeight="1" x14ac:dyDescent="0.3">
      <c r="A1106" s="319" t="s">
        <v>1615</v>
      </c>
      <c r="B1106" s="320">
        <v>25415.80078125</v>
      </c>
      <c r="C1106" s="320">
        <v>1580.42004394531</v>
      </c>
      <c r="D1106" s="320">
        <f t="shared" si="34"/>
        <v>1.5072376499098801E-3</v>
      </c>
      <c r="E1106" s="320">
        <f t="shared" si="35"/>
        <v>2.0738730704058E-2</v>
      </c>
      <c r="F1106" s="130"/>
      <c r="G1106" s="130"/>
    </row>
    <row r="1107" spans="1:7" ht="14.25" customHeight="1" x14ac:dyDescent="0.3">
      <c r="A1107" s="319" t="s">
        <v>1616</v>
      </c>
      <c r="B1107" s="320">
        <v>25790.94921875</v>
      </c>
      <c r="C1107" s="320">
        <v>1621.23999023438</v>
      </c>
      <c r="D1107" s="320">
        <f t="shared" si="34"/>
        <v>1.4760441377741599E-2</v>
      </c>
      <c r="E1107" s="320">
        <f t="shared" si="35"/>
        <v>2.58285425102357E-2</v>
      </c>
      <c r="F1107" s="130"/>
      <c r="G1107" s="130"/>
    </row>
    <row r="1108" spans="1:7" ht="14.25" customHeight="1" x14ac:dyDescent="0.3">
      <c r="A1108" s="319" t="s">
        <v>1617</v>
      </c>
      <c r="B1108" s="320">
        <v>25939.05078125</v>
      </c>
      <c r="C1108" s="320">
        <v>1629.22998046875</v>
      </c>
      <c r="D1108" s="320">
        <f t="shared" si="34"/>
        <v>5.74238509966629E-3</v>
      </c>
      <c r="E1108" s="320">
        <f t="shared" si="35"/>
        <v>4.9283204722916397E-3</v>
      </c>
      <c r="F1108" s="130"/>
      <c r="G1108" s="130"/>
    </row>
    <row r="1109" spans="1:7" ht="14.25" customHeight="1" x14ac:dyDescent="0.3">
      <c r="A1109" s="319" t="s">
        <v>1618</v>
      </c>
      <c r="B1109" s="320">
        <v>25940.400390625</v>
      </c>
      <c r="C1109" s="320">
        <v>1616.85998535156</v>
      </c>
      <c r="D1109" s="320">
        <f t="shared" si="34"/>
        <v>5.2030021699003801E-5</v>
      </c>
      <c r="E1109" s="320">
        <f t="shared" si="35"/>
        <v>-7.5925408109854403E-3</v>
      </c>
      <c r="F1109" s="130"/>
      <c r="G1109" s="130"/>
    </row>
    <row r="1110" spans="1:7" ht="14.25" customHeight="1" x14ac:dyDescent="0.3">
      <c r="A1110" s="319" t="s">
        <v>1619</v>
      </c>
      <c r="B1110" s="320">
        <v>26004.150390625</v>
      </c>
      <c r="C1110" s="320">
        <v>1587.23999023438</v>
      </c>
      <c r="D1110" s="320">
        <f t="shared" si="34"/>
        <v>2.4575565157058899E-3</v>
      </c>
      <c r="E1110" s="320">
        <f t="shared" si="35"/>
        <v>-1.8319455849938399E-2</v>
      </c>
      <c r="F1110" s="130"/>
      <c r="G1110" s="130"/>
    </row>
    <row r="1111" spans="1:7" ht="14.25" customHeight="1" x14ac:dyDescent="0.3">
      <c r="A1111" s="319" t="s">
        <v>1620</v>
      </c>
      <c r="B1111" s="320">
        <v>26216.05078125</v>
      </c>
      <c r="C1111" s="320">
        <v>1589.5400390625</v>
      </c>
      <c r="D1111" s="320">
        <f t="shared" si="34"/>
        <v>8.1487142414540907E-3</v>
      </c>
      <c r="E1111" s="320">
        <f t="shared" si="35"/>
        <v>1.44908699520629E-3</v>
      </c>
      <c r="F1111" s="130"/>
      <c r="G1111" s="130"/>
    </row>
    <row r="1112" spans="1:7" ht="14.25" customHeight="1" x14ac:dyDescent="0.3">
      <c r="A1112" s="319" t="s">
        <v>1621</v>
      </c>
      <c r="B1112" s="320">
        <v>26178.94921875</v>
      </c>
      <c r="C1112" s="320">
        <v>1634.15002441406</v>
      </c>
      <c r="D1112" s="320">
        <f t="shared" si="34"/>
        <v>-1.4152231703234001E-3</v>
      </c>
      <c r="E1112" s="320">
        <f t="shared" si="35"/>
        <v>2.8064713222241699E-2</v>
      </c>
      <c r="F1112" s="130"/>
      <c r="G1112" s="130"/>
    </row>
    <row r="1113" spans="1:7" ht="14.25" customHeight="1" x14ac:dyDescent="0.3">
      <c r="A1113" s="319" t="s">
        <v>1622</v>
      </c>
      <c r="B1113" s="320">
        <v>25810.849609375</v>
      </c>
      <c r="C1113" s="320">
        <v>1620.14001464844</v>
      </c>
      <c r="D1113" s="320">
        <f t="shared" si="34"/>
        <v>-1.4060900852023399E-2</v>
      </c>
      <c r="E1113" s="320">
        <f t="shared" si="35"/>
        <v>-8.5732702360931806E-3</v>
      </c>
      <c r="F1113" s="130"/>
      <c r="G1113" s="130"/>
    </row>
    <row r="1114" spans="1:7" ht="14.25" customHeight="1" x14ac:dyDescent="0.3">
      <c r="A1114" s="319" t="s">
        <v>1623</v>
      </c>
      <c r="B1114" s="320">
        <v>25796.900390625</v>
      </c>
      <c r="C1114" s="320">
        <v>1639.18994140625</v>
      </c>
      <c r="D1114" s="320">
        <f t="shared" si="34"/>
        <v>-5.4044012347944498E-4</v>
      </c>
      <c r="E1114" s="320">
        <f t="shared" si="35"/>
        <v>1.17581978011596E-2</v>
      </c>
      <c r="F1114" s="130"/>
      <c r="G1114" s="130"/>
    </row>
    <row r="1115" spans="1:7" ht="14.25" customHeight="1" x14ac:dyDescent="0.3">
      <c r="A1115" s="319" t="s">
        <v>1624</v>
      </c>
      <c r="B1115" s="320">
        <v>25250.099609375</v>
      </c>
      <c r="C1115" s="320">
        <v>1624.59997558594</v>
      </c>
      <c r="D1115" s="320">
        <f t="shared" si="34"/>
        <v>-2.1196375260987398E-2</v>
      </c>
      <c r="E1115" s="320">
        <f t="shared" si="35"/>
        <v>-8.9007170259923392E-3</v>
      </c>
      <c r="F1115" s="130"/>
      <c r="G1115" s="130"/>
    </row>
    <row r="1116" spans="1:7" ht="14.25" customHeight="1" x14ac:dyDescent="0.3">
      <c r="A1116" s="319" t="s">
        <v>1625</v>
      </c>
      <c r="B1116" s="320">
        <v>25014.599609375</v>
      </c>
      <c r="C1116" s="320">
        <v>1639.72998046875</v>
      </c>
      <c r="D1116" s="320">
        <f t="shared" si="34"/>
        <v>-9.3266958801446597E-3</v>
      </c>
      <c r="E1116" s="320">
        <f t="shared" si="35"/>
        <v>9.3130648222206798E-3</v>
      </c>
      <c r="F1116" s="130"/>
      <c r="G1116" s="130"/>
    </row>
    <row r="1117" spans="1:7" ht="14.25" customHeight="1" x14ac:dyDescent="0.3">
      <c r="A1117" s="319" t="s">
        <v>1626</v>
      </c>
      <c r="B1117" s="320">
        <v>24795.75</v>
      </c>
      <c r="C1117" s="320">
        <v>1597.2900390625</v>
      </c>
      <c r="D1117" s="320">
        <f t="shared" si="34"/>
        <v>-8.7488751686027096E-3</v>
      </c>
      <c r="E1117" s="320">
        <f t="shared" si="35"/>
        <v>-2.58822744669935E-2</v>
      </c>
      <c r="F1117" s="130"/>
      <c r="G1117" s="130"/>
    </row>
    <row r="1118" spans="1:7" ht="14.25" customHeight="1" x14ac:dyDescent="0.3">
      <c r="A1118" s="319" t="s">
        <v>1627</v>
      </c>
      <c r="B1118" s="320">
        <v>25013.150390625</v>
      </c>
      <c r="C1118" s="320">
        <v>1654.01000976563</v>
      </c>
      <c r="D1118" s="320">
        <f t="shared" si="34"/>
        <v>8.7676473034693503E-3</v>
      </c>
      <c r="E1118" s="320">
        <f t="shared" si="35"/>
        <v>3.5510126098589299E-2</v>
      </c>
      <c r="F1118" s="130"/>
      <c r="G1118" s="130"/>
    </row>
    <row r="1119" spans="1:7" ht="14.25" customHeight="1" x14ac:dyDescent="0.3">
      <c r="A1119" s="319" t="s">
        <v>1628</v>
      </c>
      <c r="B1119" s="320">
        <v>24981.94921875</v>
      </c>
      <c r="C1119" s="320">
        <v>1678.48999023438</v>
      </c>
      <c r="D1119" s="320">
        <f t="shared" si="34"/>
        <v>-1.2473907279866E-3</v>
      </c>
      <c r="E1119" s="320">
        <f t="shared" si="35"/>
        <v>1.4800382297697701E-2</v>
      </c>
      <c r="F1119" s="130"/>
      <c r="G1119" s="130"/>
    </row>
    <row r="1120" spans="1:7" ht="14.25" customHeight="1" x14ac:dyDescent="0.3">
      <c r="A1120" s="319" t="s">
        <v>1629</v>
      </c>
      <c r="B1120" s="320">
        <v>24998.44921875</v>
      </c>
      <c r="C1120" s="320">
        <v>1659.0400390625</v>
      </c>
      <c r="D1120" s="320">
        <f t="shared" si="34"/>
        <v>6.6047688495083701E-4</v>
      </c>
      <c r="E1120" s="320">
        <f t="shared" si="35"/>
        <v>-1.15877671508569E-2</v>
      </c>
      <c r="F1120" s="130"/>
      <c r="G1120" s="130"/>
    </row>
    <row r="1121" spans="1:7" ht="14.25" customHeight="1" x14ac:dyDescent="0.3">
      <c r="A1121" s="319" t="s">
        <v>1630</v>
      </c>
      <c r="B1121" s="320">
        <v>24964.25</v>
      </c>
      <c r="C1121" s="320">
        <v>1672.66003417969</v>
      </c>
      <c r="D1121" s="320">
        <f t="shared" si="34"/>
        <v>-1.3680536120756199E-3</v>
      </c>
      <c r="E1121" s="320">
        <f t="shared" si="35"/>
        <v>8.2095638420435404E-3</v>
      </c>
      <c r="F1121" s="130"/>
      <c r="G1121" s="130"/>
    </row>
    <row r="1122" spans="1:7" ht="14.25" customHeight="1" x14ac:dyDescent="0.3">
      <c r="A1122" s="319" t="s">
        <v>1631</v>
      </c>
      <c r="B1122" s="320">
        <v>25127.94921875</v>
      </c>
      <c r="C1122" s="320">
        <v>1657.22998046875</v>
      </c>
      <c r="D1122" s="320">
        <f t="shared" si="34"/>
        <v>6.5573457544288302E-3</v>
      </c>
      <c r="E1122" s="320">
        <f t="shared" si="35"/>
        <v>-9.2248594428258994E-3</v>
      </c>
      <c r="F1122" s="130"/>
      <c r="G1122" s="130"/>
    </row>
    <row r="1123" spans="1:7" ht="14.25" customHeight="1" x14ac:dyDescent="0.3">
      <c r="A1123" s="319" t="s">
        <v>1632</v>
      </c>
      <c r="B1123" s="320">
        <v>25057.349609375</v>
      </c>
      <c r="C1123" s="320">
        <v>1657.68005371094</v>
      </c>
      <c r="D1123" s="320">
        <f t="shared" si="34"/>
        <v>-2.8096049048968899E-3</v>
      </c>
      <c r="E1123" s="320">
        <f t="shared" si="35"/>
        <v>2.7158164376358699E-4</v>
      </c>
      <c r="F1123" s="130"/>
      <c r="G1123" s="130"/>
    </row>
    <row r="1124" spans="1:7" ht="14.25" customHeight="1" x14ac:dyDescent="0.3">
      <c r="A1124" s="319" t="s">
        <v>1633</v>
      </c>
      <c r="B1124" s="320">
        <v>24971.30078125</v>
      </c>
      <c r="C1124" s="320">
        <v>1636.46997070313</v>
      </c>
      <c r="D1124" s="320">
        <f t="shared" si="34"/>
        <v>-3.43407540966765E-3</v>
      </c>
      <c r="E1124" s="320">
        <f t="shared" si="35"/>
        <v>-1.27950402493704E-2</v>
      </c>
      <c r="F1124" s="130"/>
      <c r="G1124" s="130"/>
    </row>
    <row r="1125" spans="1:7" ht="14.25" customHeight="1" x14ac:dyDescent="0.3">
      <c r="A1125" s="319" t="s">
        <v>1634</v>
      </c>
      <c r="B1125" s="320">
        <v>24749.849609375</v>
      </c>
      <c r="C1125" s="320">
        <v>1595.92004394531</v>
      </c>
      <c r="D1125" s="320">
        <f t="shared" si="34"/>
        <v>-8.8682273228345102E-3</v>
      </c>
      <c r="E1125" s="320">
        <f t="shared" si="35"/>
        <v>-2.4778900611538399E-2</v>
      </c>
      <c r="F1125" s="130"/>
      <c r="G1125" s="130"/>
    </row>
    <row r="1126" spans="1:7" ht="14.25" customHeight="1" x14ac:dyDescent="0.3">
      <c r="A1126" s="319" t="s">
        <v>1635</v>
      </c>
      <c r="B1126" s="320">
        <v>24854.05078125</v>
      </c>
      <c r="C1126" s="320">
        <v>1617.77001953125</v>
      </c>
      <c r="D1126" s="320">
        <f t="shared" si="34"/>
        <v>4.2101739412400202E-3</v>
      </c>
      <c r="E1126" s="320">
        <f t="shared" si="35"/>
        <v>1.36911467894871E-2</v>
      </c>
      <c r="F1126" s="130"/>
      <c r="G1126" s="130"/>
    </row>
    <row r="1127" spans="1:7" ht="14.25" customHeight="1" x14ac:dyDescent="0.3">
      <c r="A1127" s="319" t="s">
        <v>1636</v>
      </c>
      <c r="B1127" s="320">
        <v>24781.099609375</v>
      </c>
      <c r="C1127" s="320">
        <v>1589.86999511719</v>
      </c>
      <c r="D1127" s="320">
        <f t="shared" si="34"/>
        <v>-2.9351823779982999E-3</v>
      </c>
      <c r="E1127" s="320">
        <f t="shared" si="35"/>
        <v>-1.72459769171295E-2</v>
      </c>
      <c r="F1127" s="130"/>
      <c r="G1127" s="130"/>
    </row>
    <row r="1128" spans="1:7" ht="14.25" customHeight="1" x14ac:dyDescent="0.3">
      <c r="A1128" s="319" t="s">
        <v>1637</v>
      </c>
      <c r="B1128" s="320">
        <v>24472.099609375</v>
      </c>
      <c r="C1128" s="320">
        <v>1529.81005859375</v>
      </c>
      <c r="D1128" s="320">
        <f t="shared" si="34"/>
        <v>-1.24691803378693E-2</v>
      </c>
      <c r="E1128" s="320">
        <f t="shared" si="35"/>
        <v>-3.7776633754895803E-2</v>
      </c>
      <c r="F1128" s="130"/>
      <c r="G1128" s="130"/>
    </row>
    <row r="1129" spans="1:7" ht="14.25" customHeight="1" x14ac:dyDescent="0.3">
      <c r="A1129" s="319" t="s">
        <v>1638</v>
      </c>
      <c r="B1129" s="320">
        <v>24435.5</v>
      </c>
      <c r="C1129" s="320">
        <v>1566.14001464844</v>
      </c>
      <c r="D1129" s="320">
        <f t="shared" si="34"/>
        <v>-1.4955647434917699E-3</v>
      </c>
      <c r="E1129" s="320">
        <f t="shared" si="35"/>
        <v>2.3748017507536599E-2</v>
      </c>
      <c r="F1129" s="130"/>
      <c r="G1129" s="130"/>
    </row>
    <row r="1130" spans="1:7" ht="14.25" customHeight="1" x14ac:dyDescent="0.3">
      <c r="A1130" s="319" t="s">
        <v>1639</v>
      </c>
      <c r="B1130" s="320">
        <v>24399.400390625</v>
      </c>
      <c r="C1130" s="320">
        <v>1543.31005859375</v>
      </c>
      <c r="D1130" s="320">
        <f t="shared" si="34"/>
        <v>-1.4773427748562501E-3</v>
      </c>
      <c r="E1130" s="320">
        <f t="shared" si="35"/>
        <v>-1.45772126637188E-2</v>
      </c>
      <c r="F1130" s="130"/>
      <c r="G1130" s="130"/>
    </row>
    <row r="1131" spans="1:7" ht="14.25" customHeight="1" x14ac:dyDescent="0.3">
      <c r="A1131" s="319" t="s">
        <v>1640</v>
      </c>
      <c r="B1131" s="320">
        <v>24180.80078125</v>
      </c>
      <c r="C1131" s="320">
        <v>1519.53002929688</v>
      </c>
      <c r="D1131" s="320">
        <f t="shared" si="34"/>
        <v>-8.9592205494931996E-3</v>
      </c>
      <c r="E1131" s="320">
        <f t="shared" si="35"/>
        <v>-1.54084586985315E-2</v>
      </c>
      <c r="F1131" s="130"/>
      <c r="G1131" s="130"/>
    </row>
    <row r="1132" spans="1:7" ht="14.25" customHeight="1" x14ac:dyDescent="0.3">
      <c r="A1132" s="319" t="s">
        <v>1641</v>
      </c>
      <c r="B1132" s="320">
        <v>24339.150390625</v>
      </c>
      <c r="C1132" s="320">
        <v>1538.53002929688</v>
      </c>
      <c r="D1132" s="320">
        <f t="shared" si="34"/>
        <v>6.5485676346081004E-3</v>
      </c>
      <c r="E1132" s="320">
        <f t="shared" si="35"/>
        <v>1.25038660860106E-2</v>
      </c>
      <c r="F1132" s="130"/>
      <c r="G1132" s="130"/>
    </row>
    <row r="1133" spans="1:7" ht="14.25" customHeight="1" x14ac:dyDescent="0.3">
      <c r="A1133" s="319" t="s">
        <v>1642</v>
      </c>
      <c r="B1133" s="320">
        <v>24466.849609375</v>
      </c>
      <c r="C1133" s="320">
        <v>1539.82995605469</v>
      </c>
      <c r="D1133" s="320">
        <f t="shared" si="34"/>
        <v>5.2466588480092301E-3</v>
      </c>
      <c r="E1133" s="320">
        <f t="shared" si="35"/>
        <v>8.4491477777919998E-4</v>
      </c>
      <c r="F1133" s="130"/>
      <c r="G1133" s="130"/>
    </row>
    <row r="1134" spans="1:7" ht="14.25" customHeight="1" x14ac:dyDescent="0.3">
      <c r="A1134" s="319" t="s">
        <v>1643</v>
      </c>
      <c r="B1134" s="320">
        <v>24340.849609375</v>
      </c>
      <c r="C1134" s="320">
        <v>1535.88000488281</v>
      </c>
      <c r="D1134" s="320">
        <f t="shared" si="34"/>
        <v>-5.1498252538291801E-3</v>
      </c>
      <c r="E1134" s="320">
        <f t="shared" si="35"/>
        <v>-2.5651866015130999E-3</v>
      </c>
      <c r="F1134" s="130"/>
      <c r="G1134" s="130"/>
    </row>
    <row r="1135" spans="1:7" ht="14.25" customHeight="1" x14ac:dyDescent="0.3">
      <c r="A1135" s="319" t="s">
        <v>1644</v>
      </c>
      <c r="B1135" s="320">
        <v>24205.349609375</v>
      </c>
      <c r="C1135" s="320">
        <v>1488.18994140625</v>
      </c>
      <c r="D1135" s="320">
        <f t="shared" si="34"/>
        <v>-5.5667736407940104E-3</v>
      </c>
      <c r="E1135" s="320">
        <f t="shared" si="35"/>
        <v>-3.1050644142085099E-2</v>
      </c>
      <c r="F1135" s="130"/>
      <c r="G1135" s="130"/>
    </row>
    <row r="1136" spans="1:7" ht="14.25" customHeight="1" x14ac:dyDescent="0.3">
      <c r="A1136" s="319" t="s">
        <v>1645</v>
      </c>
      <c r="B1136" s="320">
        <v>24304.349609375</v>
      </c>
      <c r="C1136" s="320">
        <v>1493.68994140625</v>
      </c>
      <c r="D1136" s="320">
        <f t="shared" si="34"/>
        <v>4.0900049616162601E-3</v>
      </c>
      <c r="E1136" s="320">
        <f t="shared" si="35"/>
        <v>3.6957647992183198E-3</v>
      </c>
      <c r="F1136" s="130"/>
      <c r="G1136" s="130"/>
    </row>
    <row r="1137" spans="1:7" ht="14.25" customHeight="1" x14ac:dyDescent="0.3">
      <c r="A1137" s="319" t="s">
        <v>1646</v>
      </c>
      <c r="B1137" s="320">
        <v>23995.349609375</v>
      </c>
      <c r="C1137" s="320">
        <v>1544.55004882813</v>
      </c>
      <c r="D1137" s="320">
        <f t="shared" si="34"/>
        <v>-1.2713773664645101E-2</v>
      </c>
      <c r="E1137" s="320">
        <f t="shared" si="35"/>
        <v>3.40499765125266E-2</v>
      </c>
      <c r="F1137" s="130"/>
      <c r="G1137" s="130"/>
    </row>
    <row r="1138" spans="1:7" ht="14.25" customHeight="1" x14ac:dyDescent="0.3">
      <c r="A1138" s="319" t="s">
        <v>1647</v>
      </c>
      <c r="B1138" s="320">
        <v>24213.30078125</v>
      </c>
      <c r="C1138" s="320">
        <v>1528.18005371094</v>
      </c>
      <c r="D1138" s="320">
        <f t="shared" si="34"/>
        <v>9.0830588186073501E-3</v>
      </c>
      <c r="E1138" s="320">
        <f t="shared" si="35"/>
        <v>-1.05985527174145E-2</v>
      </c>
      <c r="F1138" s="130"/>
      <c r="G1138" s="130"/>
    </row>
    <row r="1139" spans="1:7" ht="14.25" customHeight="1" x14ac:dyDescent="0.3">
      <c r="A1139" s="319" t="s">
        <v>1648</v>
      </c>
      <c r="B1139" s="320">
        <v>24484.05078125</v>
      </c>
      <c r="C1139" s="320">
        <v>1599.40002441406</v>
      </c>
      <c r="D1139" s="320">
        <f t="shared" si="34"/>
        <v>1.11818707596306E-2</v>
      </c>
      <c r="E1139" s="320">
        <f t="shared" si="35"/>
        <v>4.6604436780975998E-2</v>
      </c>
      <c r="F1139" s="130"/>
      <c r="G1139" s="130"/>
    </row>
    <row r="1140" spans="1:7" ht="14.25" customHeight="1" x14ac:dyDescent="0.3">
      <c r="A1140" s="319" t="s">
        <v>1649</v>
      </c>
      <c r="B1140" s="320">
        <v>24199.349609375</v>
      </c>
      <c r="C1140" s="320">
        <v>1580.59997558594</v>
      </c>
      <c r="D1140" s="320">
        <f t="shared" si="34"/>
        <v>-1.16280257061477E-2</v>
      </c>
      <c r="E1140" s="320">
        <f t="shared" si="35"/>
        <v>-1.17544382525612E-2</v>
      </c>
      <c r="F1140" s="130"/>
      <c r="G1140" s="130"/>
    </row>
    <row r="1141" spans="1:7" ht="14.25" customHeight="1" x14ac:dyDescent="0.3">
      <c r="A1141" s="319" t="s">
        <v>1650</v>
      </c>
      <c r="B1141" s="320">
        <v>24148.19921875</v>
      </c>
      <c r="C1141" s="320">
        <v>1530.92004394531</v>
      </c>
      <c r="D1141" s="320">
        <f t="shared" si="34"/>
        <v>-2.1137093124678E-3</v>
      </c>
      <c r="E1141" s="320">
        <f t="shared" si="35"/>
        <v>-3.1431059349607597E-2</v>
      </c>
      <c r="F1141" s="130"/>
      <c r="G1141" s="130"/>
    </row>
    <row r="1142" spans="1:7" ht="14.25" customHeight="1" x14ac:dyDescent="0.3">
      <c r="A1142" s="319" t="s">
        <v>1651</v>
      </c>
      <c r="B1142" s="320">
        <v>24141.30078125</v>
      </c>
      <c r="C1142" s="320">
        <v>1590.30004882813</v>
      </c>
      <c r="D1142" s="320">
        <f t="shared" si="34"/>
        <v>-2.8567088740280398E-4</v>
      </c>
      <c r="E1142" s="320">
        <f t="shared" si="35"/>
        <v>3.8787136609559798E-2</v>
      </c>
      <c r="F1142" s="130"/>
      <c r="G1142" s="130"/>
    </row>
    <row r="1143" spans="1:7" ht="14.25" customHeight="1" x14ac:dyDescent="0.3">
      <c r="A1143" s="319" t="s">
        <v>1652</v>
      </c>
      <c r="B1143" s="320">
        <v>23883.44921875</v>
      </c>
      <c r="C1143" s="320">
        <v>1564.26000976563</v>
      </c>
      <c r="D1143" s="320">
        <f t="shared" si="34"/>
        <v>-1.0680930776533299E-2</v>
      </c>
      <c r="E1143" s="320">
        <f t="shared" si="35"/>
        <v>-1.6374293066071698E-2</v>
      </c>
      <c r="F1143" s="130"/>
      <c r="G1143" s="130"/>
    </row>
    <row r="1144" spans="1:7" ht="14.25" customHeight="1" x14ac:dyDescent="0.3">
      <c r="A1144" s="319" t="s">
        <v>1653</v>
      </c>
      <c r="B1144" s="320">
        <v>23559.05078125</v>
      </c>
      <c r="C1144" s="320">
        <v>1522.98999023438</v>
      </c>
      <c r="D1144" s="320">
        <f t="shared" si="34"/>
        <v>-1.3582562322921401E-2</v>
      </c>
      <c r="E1144" s="320">
        <f t="shared" si="35"/>
        <v>-2.6383094417553599E-2</v>
      </c>
      <c r="F1144" s="130"/>
      <c r="G1144" s="130"/>
    </row>
    <row r="1145" spans="1:7" ht="14.25" customHeight="1" x14ac:dyDescent="0.3">
      <c r="A1145" s="319" t="s">
        <v>1654</v>
      </c>
      <c r="B1145" s="320">
        <v>23532.69921875</v>
      </c>
      <c r="C1145" s="320">
        <v>1553.64001464844</v>
      </c>
      <c r="D1145" s="320">
        <f t="shared" si="34"/>
        <v>-1.1185324376893999E-3</v>
      </c>
      <c r="E1145" s="320">
        <f t="shared" si="35"/>
        <v>2.0124902074598099E-2</v>
      </c>
      <c r="F1145" s="130"/>
      <c r="G1145" s="130"/>
    </row>
    <row r="1146" spans="1:7" ht="14.25" customHeight="1" x14ac:dyDescent="0.3">
      <c r="A1146" s="319" t="s">
        <v>1655</v>
      </c>
      <c r="B1146" s="320">
        <v>23453.80078125</v>
      </c>
      <c r="C1146" s="320">
        <v>1517.93005371094</v>
      </c>
      <c r="D1146" s="320">
        <f t="shared" si="34"/>
        <v>-3.35271516312657E-3</v>
      </c>
      <c r="E1146" s="320">
        <f t="shared" si="35"/>
        <v>-2.2984707268614301E-2</v>
      </c>
      <c r="F1146" s="130"/>
      <c r="G1146" s="130"/>
    </row>
    <row r="1147" spans="1:7" ht="14.25" customHeight="1" x14ac:dyDescent="0.3">
      <c r="A1147" s="319" t="s">
        <v>1656</v>
      </c>
      <c r="B1147" s="320">
        <v>23518.5</v>
      </c>
      <c r="C1147" s="320">
        <v>1525.02001953125</v>
      </c>
      <c r="D1147" s="320">
        <f t="shared" si="34"/>
        <v>2.7585814066316901E-3</v>
      </c>
      <c r="E1147" s="320">
        <f t="shared" si="35"/>
        <v>4.6708119408907503E-3</v>
      </c>
      <c r="F1147" s="130"/>
      <c r="G1147" s="130"/>
    </row>
    <row r="1148" spans="1:7" ht="14.25" customHeight="1" x14ac:dyDescent="0.3">
      <c r="A1148" s="319" t="s">
        <v>1657</v>
      </c>
      <c r="B1148" s="320">
        <v>23349.900390625</v>
      </c>
      <c r="C1148" s="320">
        <v>1503.06994628906</v>
      </c>
      <c r="D1148" s="320">
        <f t="shared" si="34"/>
        <v>-7.16880793311648E-3</v>
      </c>
      <c r="E1148" s="320">
        <f t="shared" si="35"/>
        <v>-1.4393301701663501E-2</v>
      </c>
      <c r="F1148" s="130"/>
      <c r="G1148" s="130"/>
    </row>
    <row r="1149" spans="1:7" ht="14.25" customHeight="1" x14ac:dyDescent="0.3">
      <c r="A1149" s="319" t="s">
        <v>1658</v>
      </c>
      <c r="B1149" s="320">
        <v>23907.25</v>
      </c>
      <c r="C1149" s="320">
        <v>1599.98999023438</v>
      </c>
      <c r="D1149" s="320">
        <f t="shared" si="34"/>
        <v>2.38694641112378E-2</v>
      </c>
      <c r="E1149" s="320">
        <f t="shared" si="35"/>
        <v>6.4481393021400393E-2</v>
      </c>
      <c r="F1149" s="130"/>
      <c r="G1149" s="130"/>
    </row>
    <row r="1150" spans="1:7" ht="14.25" customHeight="1" x14ac:dyDescent="0.3">
      <c r="A1150" s="319" t="s">
        <v>1659</v>
      </c>
      <c r="B1150" s="320">
        <v>24221.900390625</v>
      </c>
      <c r="C1150" s="320">
        <v>1639.06005859375</v>
      </c>
      <c r="D1150" s="320">
        <f t="shared" si="34"/>
        <v>1.3161295867362401E-2</v>
      </c>
      <c r="E1150" s="320">
        <f t="shared" si="35"/>
        <v>2.44189454920569E-2</v>
      </c>
      <c r="F1150" s="130"/>
      <c r="G1150" s="130"/>
    </row>
    <row r="1151" spans="1:7" ht="14.25" customHeight="1" x14ac:dyDescent="0.3">
      <c r="A1151" s="319" t="s">
        <v>1660</v>
      </c>
      <c r="B1151" s="320">
        <v>24194.5</v>
      </c>
      <c r="C1151" s="320">
        <v>1649.51000976563</v>
      </c>
      <c r="D1151" s="320">
        <f t="shared" si="34"/>
        <v>-1.13122381741794E-3</v>
      </c>
      <c r="E1151" s="320">
        <f t="shared" si="35"/>
        <v>6.3755755117635296E-3</v>
      </c>
      <c r="F1151" s="130"/>
      <c r="G1151" s="130"/>
    </row>
    <row r="1152" spans="1:7" ht="14.25" customHeight="1" x14ac:dyDescent="0.3">
      <c r="A1152" s="319" t="s">
        <v>1661</v>
      </c>
      <c r="B1152" s="320">
        <v>24274.900390625</v>
      </c>
      <c r="C1152" s="320">
        <v>1668.56005859375</v>
      </c>
      <c r="D1152" s="320">
        <f t="shared" si="34"/>
        <v>3.3230854378061099E-3</v>
      </c>
      <c r="E1152" s="320">
        <f t="shared" si="35"/>
        <v>1.15489137473174E-2</v>
      </c>
      <c r="F1152" s="130"/>
      <c r="G1152" s="130"/>
    </row>
    <row r="1153" spans="1:7" ht="14.25" customHeight="1" x14ac:dyDescent="0.3">
      <c r="A1153" s="319" t="s">
        <v>1662</v>
      </c>
      <c r="B1153" s="320">
        <v>23914.150390625</v>
      </c>
      <c r="C1153" s="320">
        <v>1640.39001464844</v>
      </c>
      <c r="D1153" s="320">
        <f t="shared" si="34"/>
        <v>-1.4861029054492899E-2</v>
      </c>
      <c r="E1153" s="320">
        <f t="shared" si="35"/>
        <v>-1.6882846859615899E-2</v>
      </c>
      <c r="F1153" s="130"/>
      <c r="G1153" s="130"/>
    </row>
    <row r="1154" spans="1:7" ht="14.25" customHeight="1" x14ac:dyDescent="0.3">
      <c r="A1154" s="319" t="s">
        <v>1663</v>
      </c>
      <c r="B1154" s="320">
        <v>24131.099609375</v>
      </c>
      <c r="C1154" s="320">
        <v>1651.06005859375</v>
      </c>
      <c r="D1154" s="320">
        <f t="shared" si="34"/>
        <v>9.0720019405351703E-3</v>
      </c>
      <c r="E1154" s="320">
        <f t="shared" si="35"/>
        <v>6.5045774785435703E-3</v>
      </c>
      <c r="F1154" s="130"/>
      <c r="G1154" s="130"/>
    </row>
    <row r="1155" spans="1:7" ht="14.25" customHeight="1" x14ac:dyDescent="0.3">
      <c r="A1155" s="319" t="s">
        <v>1664</v>
      </c>
      <c r="B1155" s="320">
        <v>24276.05078125</v>
      </c>
      <c r="C1155" s="320">
        <v>1689.43994140625</v>
      </c>
      <c r="D1155" s="320">
        <f t="shared" ref="D1155:D1218" si="36">(B1155-B1154)/B1154</f>
        <v>6.0068200049485498E-3</v>
      </c>
      <c r="E1155" s="320">
        <f t="shared" ref="E1155:E1218" si="37">(C1155-C1154)/C1154</f>
        <v>2.3245600674992501E-2</v>
      </c>
      <c r="F1155" s="130"/>
      <c r="G1155" s="130"/>
    </row>
    <row r="1156" spans="1:7" ht="14.25" customHeight="1" x14ac:dyDescent="0.3">
      <c r="A1156" s="319" t="s">
        <v>1665</v>
      </c>
      <c r="B1156" s="320">
        <v>24457.150390625</v>
      </c>
      <c r="C1156" s="320">
        <v>1694.5</v>
      </c>
      <c r="D1156" s="320">
        <f t="shared" si="36"/>
        <v>7.4600111445999803E-3</v>
      </c>
      <c r="E1156" s="320">
        <f t="shared" si="37"/>
        <v>2.9951100774485801E-3</v>
      </c>
      <c r="F1156" s="130"/>
      <c r="G1156" s="130"/>
    </row>
    <row r="1157" spans="1:7" ht="14.25" customHeight="1" x14ac:dyDescent="0.3">
      <c r="A1157" s="319" t="s">
        <v>1666</v>
      </c>
      <c r="B1157" s="320">
        <v>24467.44921875</v>
      </c>
      <c r="C1157" s="320">
        <v>1689.10998535156</v>
      </c>
      <c r="D1157" s="320">
        <f t="shared" si="36"/>
        <v>4.21096814653754E-4</v>
      </c>
      <c r="E1157" s="320">
        <f t="shared" si="37"/>
        <v>-3.1808879601298301E-3</v>
      </c>
      <c r="F1157" s="130"/>
      <c r="G1157" s="130"/>
    </row>
    <row r="1158" spans="1:7" ht="14.25" customHeight="1" x14ac:dyDescent="0.3">
      <c r="A1158" s="319" t="s">
        <v>1667</v>
      </c>
      <c r="B1158" s="320">
        <v>24708.400390625</v>
      </c>
      <c r="C1158" s="320">
        <v>1704.31005859375</v>
      </c>
      <c r="D1158" s="320">
        <f t="shared" si="36"/>
        <v>9.8478255628851302E-3</v>
      </c>
      <c r="E1158" s="320">
        <f t="shared" si="37"/>
        <v>8.9988653042189903E-3</v>
      </c>
      <c r="F1158" s="130"/>
      <c r="G1158" s="130"/>
    </row>
    <row r="1159" spans="1:7" ht="14.25" customHeight="1" x14ac:dyDescent="0.3">
      <c r="A1159" s="319" t="s">
        <v>1668</v>
      </c>
      <c r="B1159" s="320">
        <v>24677.80078125</v>
      </c>
      <c r="C1159" s="320">
        <v>1696.78002929688</v>
      </c>
      <c r="D1159" s="320">
        <f t="shared" si="36"/>
        <v>-1.2384293961259501E-3</v>
      </c>
      <c r="E1159" s="320">
        <f t="shared" si="37"/>
        <v>-4.4182273400904101E-3</v>
      </c>
      <c r="F1159" s="130"/>
      <c r="G1159" s="130"/>
    </row>
    <row r="1160" spans="1:7" ht="14.25" customHeight="1" x14ac:dyDescent="0.3">
      <c r="A1160" s="319" t="s">
        <v>1669</v>
      </c>
      <c r="B1160" s="320">
        <v>24619</v>
      </c>
      <c r="C1160" s="320">
        <v>1683.77001953125</v>
      </c>
      <c r="D1160" s="320">
        <f t="shared" si="36"/>
        <v>-2.3827399277279301E-3</v>
      </c>
      <c r="E1160" s="320">
        <f t="shared" si="37"/>
        <v>-7.6674698788275798E-3</v>
      </c>
      <c r="F1160" s="130"/>
      <c r="G1160" s="130"/>
    </row>
    <row r="1161" spans="1:7" ht="14.25" customHeight="1" x14ac:dyDescent="0.3">
      <c r="A1161" s="319" t="s">
        <v>1670</v>
      </c>
      <c r="B1161" s="320">
        <v>24610.05078125</v>
      </c>
      <c r="C1161" s="320">
        <v>1703.92004394531</v>
      </c>
      <c r="D1161" s="320">
        <f t="shared" si="36"/>
        <v>-3.63508621389983E-4</v>
      </c>
      <c r="E1161" s="320">
        <f t="shared" si="37"/>
        <v>1.1967207029657E-2</v>
      </c>
      <c r="F1161" s="130"/>
      <c r="G1161" s="130"/>
    </row>
    <row r="1162" spans="1:7" ht="14.25" customHeight="1" x14ac:dyDescent="0.3">
      <c r="A1162" s="319" t="s">
        <v>1671</v>
      </c>
      <c r="B1162" s="320">
        <v>24641.80078125</v>
      </c>
      <c r="C1162" s="320">
        <v>1711.41003417969</v>
      </c>
      <c r="D1162" s="320">
        <f t="shared" si="36"/>
        <v>1.2901233029632699E-3</v>
      </c>
      <c r="E1162" s="320">
        <f t="shared" si="37"/>
        <v>4.3957404345320401E-3</v>
      </c>
      <c r="F1162" s="130"/>
      <c r="G1162" s="130"/>
    </row>
    <row r="1163" spans="1:7" ht="14.25" customHeight="1" x14ac:dyDescent="0.3">
      <c r="A1163" s="319" t="s">
        <v>1672</v>
      </c>
      <c r="B1163" s="320">
        <v>24548.69921875</v>
      </c>
      <c r="C1163" s="320">
        <v>1722.85998535156</v>
      </c>
      <c r="D1163" s="320">
        <f t="shared" si="36"/>
        <v>-3.7781963796591198E-3</v>
      </c>
      <c r="E1163" s="320">
        <f t="shared" si="37"/>
        <v>6.6903611309946298E-3</v>
      </c>
      <c r="F1163" s="130"/>
      <c r="G1163" s="130"/>
    </row>
    <row r="1164" spans="1:7" ht="14.25" customHeight="1" x14ac:dyDescent="0.3">
      <c r="A1164" s="319" t="s">
        <v>1673</v>
      </c>
      <c r="B1164" s="320">
        <v>24768.30078125</v>
      </c>
      <c r="C1164" s="320">
        <v>1740.47998046875</v>
      </c>
      <c r="D1164" s="320">
        <f t="shared" si="36"/>
        <v>8.9455478085890203E-3</v>
      </c>
      <c r="E1164" s="320">
        <f t="shared" si="37"/>
        <v>1.02271776389272E-2</v>
      </c>
      <c r="F1164" s="130"/>
      <c r="G1164" s="130"/>
    </row>
    <row r="1165" spans="1:7" ht="14.25" customHeight="1" x14ac:dyDescent="0.3">
      <c r="A1165" s="319" t="s">
        <v>1674</v>
      </c>
      <c r="B1165" s="320">
        <v>24668.25</v>
      </c>
      <c r="C1165" s="320">
        <v>1761.7900390625</v>
      </c>
      <c r="D1165" s="320">
        <f t="shared" si="36"/>
        <v>-4.0394689217332202E-3</v>
      </c>
      <c r="E1165" s="320">
        <f t="shared" si="37"/>
        <v>1.22437826535705E-2</v>
      </c>
      <c r="F1165" s="130"/>
      <c r="G1165" s="130"/>
    </row>
    <row r="1166" spans="1:7" ht="14.25" customHeight="1" x14ac:dyDescent="0.3">
      <c r="A1166" s="319" t="s">
        <v>1675</v>
      </c>
      <c r="B1166" s="320">
        <v>24336</v>
      </c>
      <c r="C1166" s="320">
        <v>1770.77001953125</v>
      </c>
      <c r="D1166" s="320">
        <f t="shared" si="36"/>
        <v>-1.3468730047733401E-2</v>
      </c>
      <c r="E1166" s="320">
        <f t="shared" si="37"/>
        <v>5.0970775572828798E-3</v>
      </c>
      <c r="F1166" s="130"/>
      <c r="G1166" s="130"/>
    </row>
    <row r="1167" spans="1:7" ht="14.25" customHeight="1" x14ac:dyDescent="0.3">
      <c r="A1167" s="319" t="s">
        <v>1676</v>
      </c>
      <c r="B1167" s="320">
        <v>24198.849609375</v>
      </c>
      <c r="C1167" s="320">
        <v>1774.7900390625</v>
      </c>
      <c r="D1167" s="320">
        <f t="shared" si="36"/>
        <v>-5.6356998120069002E-3</v>
      </c>
      <c r="E1167" s="320">
        <f t="shared" si="37"/>
        <v>2.2702098448189002E-3</v>
      </c>
      <c r="F1167" s="130"/>
      <c r="G1167" s="130"/>
    </row>
    <row r="1168" spans="1:7" ht="14.25" customHeight="1" x14ac:dyDescent="0.3">
      <c r="A1168" s="319" t="s">
        <v>1677</v>
      </c>
      <c r="B1168" s="320">
        <v>23951.69921875</v>
      </c>
      <c r="C1168" s="320">
        <v>1739.41003417969</v>
      </c>
      <c r="D1168" s="320">
        <f t="shared" si="36"/>
        <v>-1.0213311567061E-2</v>
      </c>
      <c r="E1168" s="320">
        <f t="shared" si="37"/>
        <v>-1.99347551564459E-2</v>
      </c>
      <c r="F1168" s="130"/>
      <c r="G1168" s="130"/>
    </row>
    <row r="1169" spans="1:7" ht="14.25" customHeight="1" x14ac:dyDescent="0.3">
      <c r="A1169" s="319" t="s">
        <v>1678</v>
      </c>
      <c r="B1169" s="320">
        <v>23587.5</v>
      </c>
      <c r="C1169" s="320">
        <v>1698.98999023438</v>
      </c>
      <c r="D1169" s="320">
        <f t="shared" si="36"/>
        <v>-1.5205569150805599E-2</v>
      </c>
      <c r="E1169" s="320">
        <f t="shared" si="37"/>
        <v>-2.3237789337217499E-2</v>
      </c>
      <c r="F1169" s="130"/>
      <c r="G1169" s="130"/>
    </row>
    <row r="1170" spans="1:7" ht="14.25" customHeight="1" x14ac:dyDescent="0.3">
      <c r="A1170" s="319" t="s">
        <v>1679</v>
      </c>
      <c r="B1170" s="320">
        <v>23753.44921875</v>
      </c>
      <c r="C1170" s="320">
        <v>1724.9599609375</v>
      </c>
      <c r="D1170" s="320">
        <f t="shared" si="36"/>
        <v>7.0354729729729696E-3</v>
      </c>
      <c r="E1170" s="320">
        <f t="shared" si="37"/>
        <v>1.5285534848582199E-2</v>
      </c>
      <c r="F1170" s="130"/>
      <c r="G1170" s="130"/>
    </row>
    <row r="1171" spans="1:7" ht="14.25" customHeight="1" x14ac:dyDescent="0.3">
      <c r="A1171" s="319" t="s">
        <v>1680</v>
      </c>
      <c r="B1171" s="320">
        <v>23727.650390625</v>
      </c>
      <c r="C1171" s="320">
        <v>1734.60998535156</v>
      </c>
      <c r="D1171" s="320">
        <f t="shared" si="36"/>
        <v>-1.08610871151443E-3</v>
      </c>
      <c r="E1171" s="320">
        <f t="shared" si="37"/>
        <v>5.5943469022987097E-3</v>
      </c>
      <c r="F1171" s="130"/>
      <c r="G1171" s="130"/>
    </row>
    <row r="1172" spans="1:7" ht="14.25" customHeight="1" x14ac:dyDescent="0.3">
      <c r="A1172" s="319" t="s">
        <v>1681</v>
      </c>
      <c r="B1172" s="320">
        <v>23750.19921875</v>
      </c>
      <c r="C1172" s="320">
        <v>1733.5</v>
      </c>
      <c r="D1172" s="320">
        <f t="shared" si="36"/>
        <v>9.5031862631915899E-4</v>
      </c>
      <c r="E1172" s="320">
        <f t="shared" si="37"/>
        <v>-6.3990485523178497E-4</v>
      </c>
      <c r="F1172" s="130"/>
      <c r="G1172" s="130"/>
    </row>
    <row r="1173" spans="1:7" ht="14.25" customHeight="1" x14ac:dyDescent="0.3">
      <c r="A1173" s="319" t="s">
        <v>1682</v>
      </c>
      <c r="B1173" s="320">
        <v>23813.400390625</v>
      </c>
      <c r="C1173" s="320">
        <v>1727.48999023438</v>
      </c>
      <c r="D1173" s="320">
        <f t="shared" si="36"/>
        <v>2.66107965212792E-3</v>
      </c>
      <c r="E1173" s="320">
        <f t="shared" si="37"/>
        <v>-3.4669799628612601E-3</v>
      </c>
      <c r="F1173" s="130"/>
      <c r="G1173" s="130"/>
    </row>
    <row r="1174" spans="1:7" ht="14.25" customHeight="1" x14ac:dyDescent="0.3">
      <c r="A1174" s="319" t="s">
        <v>1683</v>
      </c>
      <c r="B1174" s="320">
        <v>23644.900390625</v>
      </c>
      <c r="C1174" s="320">
        <v>1742.55004882813</v>
      </c>
      <c r="D1174" s="320">
        <f t="shared" si="36"/>
        <v>-7.0758479358679098E-3</v>
      </c>
      <c r="E1174" s="320">
        <f t="shared" si="37"/>
        <v>8.7178847222765705E-3</v>
      </c>
      <c r="F1174" s="130"/>
      <c r="G1174" s="130"/>
    </row>
    <row r="1175" spans="1:7" ht="14.25" customHeight="1" x14ac:dyDescent="0.3">
      <c r="A1175" s="319" t="s">
        <v>1684</v>
      </c>
      <c r="B1175" s="320">
        <v>23644.80078125</v>
      </c>
      <c r="C1175" s="320">
        <v>1735.44995117188</v>
      </c>
      <c r="D1175" s="320">
        <f t="shared" si="36"/>
        <v>-4.2127212783477898E-6</v>
      </c>
      <c r="E1175" s="320">
        <f t="shared" si="37"/>
        <v>-4.0745444648920296E-3</v>
      </c>
      <c r="F1175" s="130"/>
      <c r="G1175" s="130"/>
    </row>
    <row r="1176" spans="1:7" ht="14.25" customHeight="1" x14ac:dyDescent="0.3">
      <c r="A1176" s="319" t="s">
        <v>1685</v>
      </c>
      <c r="B1176" s="320">
        <v>23742.900390625</v>
      </c>
      <c r="C1176" s="320">
        <v>1746.07995605469</v>
      </c>
      <c r="D1176" s="320">
        <f t="shared" si="36"/>
        <v>4.1488871182535697E-3</v>
      </c>
      <c r="E1176" s="320">
        <f t="shared" si="37"/>
        <v>6.1252154668199896E-3</v>
      </c>
      <c r="F1176" s="130"/>
      <c r="G1176" s="130"/>
    </row>
    <row r="1177" spans="1:7" ht="14.25" customHeight="1" x14ac:dyDescent="0.3">
      <c r="A1177" s="319" t="s">
        <v>1686</v>
      </c>
      <c r="B1177" s="320">
        <v>24188.650390625</v>
      </c>
      <c r="C1177" s="320">
        <v>1775.7900390625</v>
      </c>
      <c r="D1177" s="320">
        <f t="shared" si="36"/>
        <v>1.8774033191665401E-2</v>
      </c>
      <c r="E1177" s="320">
        <f t="shared" si="37"/>
        <v>1.70153050006603E-2</v>
      </c>
      <c r="F1177" s="130"/>
      <c r="G1177" s="130"/>
    </row>
    <row r="1178" spans="1:7" ht="14.25" customHeight="1" x14ac:dyDescent="0.3">
      <c r="A1178" s="319" t="s">
        <v>1687</v>
      </c>
      <c r="B1178" s="320">
        <v>24004.75</v>
      </c>
      <c r="C1178" s="320">
        <v>1805.09997558594</v>
      </c>
      <c r="D1178" s="320">
        <f t="shared" si="36"/>
        <v>-7.6027553276091803E-3</v>
      </c>
      <c r="E1178" s="320">
        <f t="shared" si="37"/>
        <v>1.6505293913526901E-2</v>
      </c>
      <c r="F1178" s="130"/>
      <c r="G1178" s="130"/>
    </row>
    <row r="1179" spans="1:7" ht="14.25" customHeight="1" x14ac:dyDescent="0.3">
      <c r="A1179" s="319" t="s">
        <v>1688</v>
      </c>
      <c r="B1179" s="320">
        <v>23616.05078125</v>
      </c>
      <c r="C1179" s="320">
        <v>1763.15002441406</v>
      </c>
      <c r="D1179" s="320">
        <f t="shared" si="36"/>
        <v>-1.6192595996625699E-2</v>
      </c>
      <c r="E1179" s="320">
        <f t="shared" si="37"/>
        <v>-2.3239682975599699E-2</v>
      </c>
      <c r="F1179" s="130"/>
      <c r="G1179" s="130"/>
    </row>
    <row r="1180" spans="1:7" ht="14.25" customHeight="1" x14ac:dyDescent="0.3">
      <c r="A1180" s="319" t="s">
        <v>1689</v>
      </c>
      <c r="B1180" s="320">
        <v>23707.900390625</v>
      </c>
      <c r="C1180" s="320">
        <v>1687.72998046875</v>
      </c>
      <c r="D1180" s="320">
        <f t="shared" si="36"/>
        <v>3.8892874268344701E-3</v>
      </c>
      <c r="E1180" s="320">
        <f t="shared" si="37"/>
        <v>-4.2775738253115501E-2</v>
      </c>
      <c r="F1180" s="130"/>
      <c r="G1180" s="130"/>
    </row>
    <row r="1181" spans="1:7" ht="14.25" customHeight="1" x14ac:dyDescent="0.3">
      <c r="A1181" s="319" t="s">
        <v>1690</v>
      </c>
      <c r="B1181" s="320">
        <v>23688.94921875</v>
      </c>
      <c r="C1181" s="320">
        <v>1647.42004394531</v>
      </c>
      <c r="D1181" s="320">
        <f t="shared" si="36"/>
        <v>-7.9936103841966595E-4</v>
      </c>
      <c r="E1181" s="320">
        <f t="shared" si="37"/>
        <v>-2.3884114751723699E-2</v>
      </c>
      <c r="F1181" s="130"/>
      <c r="G1181" s="130"/>
    </row>
    <row r="1182" spans="1:7" ht="14.25" customHeight="1" x14ac:dyDescent="0.3">
      <c r="A1182" s="319" t="s">
        <v>1691</v>
      </c>
      <c r="B1182" s="320">
        <v>23526.5</v>
      </c>
      <c r="C1182" s="320">
        <v>1589.85998535156</v>
      </c>
      <c r="D1182" s="320">
        <f t="shared" si="36"/>
        <v>-6.8575949591474497E-3</v>
      </c>
      <c r="E1182" s="320">
        <f t="shared" si="37"/>
        <v>-3.4939515763024703E-2</v>
      </c>
      <c r="F1182" s="130"/>
      <c r="G1182" s="130"/>
    </row>
    <row r="1183" spans="1:7" ht="14.25" customHeight="1" x14ac:dyDescent="0.3">
      <c r="A1183" s="319" t="s">
        <v>1692</v>
      </c>
      <c r="B1183" s="320">
        <v>23431.5</v>
      </c>
      <c r="C1183" s="320">
        <v>1567.14001464844</v>
      </c>
      <c r="D1183" s="320">
        <f t="shared" si="36"/>
        <v>-4.0379997024631801E-3</v>
      </c>
      <c r="E1183" s="320">
        <f t="shared" si="37"/>
        <v>-1.42905481693069E-2</v>
      </c>
      <c r="F1183" s="130"/>
      <c r="G1183" s="130"/>
    </row>
    <row r="1184" spans="1:7" ht="14.25" customHeight="1" x14ac:dyDescent="0.3">
      <c r="A1184" s="319" t="s">
        <v>1693</v>
      </c>
      <c r="B1184" s="320">
        <v>23085.94921875</v>
      </c>
      <c r="C1184" s="320">
        <v>1450.63000488281</v>
      </c>
      <c r="D1184" s="320">
        <f t="shared" si="36"/>
        <v>-1.47472753024774E-2</v>
      </c>
      <c r="E1184" s="320">
        <f t="shared" si="37"/>
        <v>-7.4345628773806099E-2</v>
      </c>
      <c r="F1184" s="130"/>
      <c r="G1184" s="130"/>
    </row>
    <row r="1185" spans="1:7" ht="14.25" customHeight="1" x14ac:dyDescent="0.3">
      <c r="A1185" s="319" t="s">
        <v>1694</v>
      </c>
      <c r="B1185" s="320">
        <v>23176.05078125</v>
      </c>
      <c r="C1185" s="320">
        <v>1491.55004882813</v>
      </c>
      <c r="D1185" s="320">
        <f t="shared" si="36"/>
        <v>3.9028744993868901E-3</v>
      </c>
      <c r="E1185" s="320">
        <f t="shared" si="37"/>
        <v>2.8208463776140998E-2</v>
      </c>
      <c r="F1185" s="130"/>
      <c r="G1185" s="130"/>
    </row>
    <row r="1186" spans="1:7" ht="14.25" customHeight="1" x14ac:dyDescent="0.3">
      <c r="A1186" s="319" t="s">
        <v>1695</v>
      </c>
      <c r="B1186" s="320">
        <v>23213.19921875</v>
      </c>
      <c r="C1186" s="320">
        <v>1491.03002929688</v>
      </c>
      <c r="D1186" s="320">
        <f t="shared" si="36"/>
        <v>1.6028803979862699E-3</v>
      </c>
      <c r="E1186" s="320">
        <f t="shared" si="37"/>
        <v>-3.4864370234077299E-4</v>
      </c>
      <c r="F1186" s="130"/>
      <c r="G1186" s="130"/>
    </row>
    <row r="1187" spans="1:7" ht="14.25" customHeight="1" x14ac:dyDescent="0.3">
      <c r="A1187" s="319" t="s">
        <v>1696</v>
      </c>
      <c r="B1187" s="320">
        <v>23311.80078125</v>
      </c>
      <c r="C1187" s="320">
        <v>1525.7099609375</v>
      </c>
      <c r="D1187" s="320">
        <f t="shared" si="36"/>
        <v>4.2476507253837101E-3</v>
      </c>
      <c r="E1187" s="320">
        <f t="shared" si="37"/>
        <v>2.3259043050242199E-2</v>
      </c>
      <c r="F1187" s="130"/>
      <c r="G1187" s="130"/>
    </row>
    <row r="1188" spans="1:7" ht="14.25" customHeight="1" x14ac:dyDescent="0.3">
      <c r="A1188" s="319" t="s">
        <v>1697</v>
      </c>
      <c r="B1188" s="320">
        <v>23203.19921875</v>
      </c>
      <c r="C1188" s="320">
        <v>1549.63000488281</v>
      </c>
      <c r="D1188" s="320">
        <f t="shared" si="36"/>
        <v>-4.6586517926727397E-3</v>
      </c>
      <c r="E1188" s="320">
        <f t="shared" si="37"/>
        <v>1.56779758654862E-2</v>
      </c>
      <c r="F1188" s="130"/>
      <c r="G1188" s="130"/>
    </row>
    <row r="1189" spans="1:7" ht="14.25" customHeight="1" x14ac:dyDescent="0.3">
      <c r="A1189" s="319" t="s">
        <v>1698</v>
      </c>
      <c r="B1189" s="320">
        <v>23344.75</v>
      </c>
      <c r="C1189" s="320">
        <v>1554.06005859375</v>
      </c>
      <c r="D1189" s="320">
        <f t="shared" si="36"/>
        <v>6.1004855371674703E-3</v>
      </c>
      <c r="E1189" s="320">
        <f t="shared" si="37"/>
        <v>2.8587815781709902E-3</v>
      </c>
      <c r="F1189" s="130"/>
      <c r="G1189" s="130"/>
    </row>
    <row r="1190" spans="1:7" ht="14.25" customHeight="1" x14ac:dyDescent="0.3">
      <c r="A1190" s="319" t="s">
        <v>1699</v>
      </c>
      <c r="B1190" s="320">
        <v>23024.650390625</v>
      </c>
      <c r="C1190" s="320">
        <v>1491.48999023438</v>
      </c>
      <c r="D1190" s="320">
        <f t="shared" si="36"/>
        <v>-1.37118456772936E-2</v>
      </c>
      <c r="E1190" s="320">
        <f t="shared" si="37"/>
        <v>-4.0262323205184802E-2</v>
      </c>
      <c r="F1190" s="130"/>
      <c r="G1190" s="130"/>
    </row>
    <row r="1191" spans="1:7" ht="14.25" customHeight="1" x14ac:dyDescent="0.3">
      <c r="A1191" s="319" t="s">
        <v>1700</v>
      </c>
      <c r="B1191" s="320">
        <v>23155.349609375</v>
      </c>
      <c r="C1191" s="320">
        <v>1446.90002441406</v>
      </c>
      <c r="D1191" s="320">
        <f t="shared" si="36"/>
        <v>5.6764909144165401E-3</v>
      </c>
      <c r="E1191" s="320">
        <f t="shared" si="37"/>
        <v>-2.9896255497707299E-2</v>
      </c>
      <c r="F1191" s="130"/>
      <c r="G1191" s="130"/>
    </row>
    <row r="1192" spans="1:7" ht="14.25" customHeight="1" x14ac:dyDescent="0.3">
      <c r="A1192" s="319" t="s">
        <v>1701</v>
      </c>
      <c r="B1192" s="320">
        <v>23205.349609375</v>
      </c>
      <c r="C1192" s="320">
        <v>1507.09997558594</v>
      </c>
      <c r="D1192" s="320">
        <f t="shared" si="36"/>
        <v>2.15932822624092E-3</v>
      </c>
      <c r="E1192" s="320">
        <f t="shared" si="37"/>
        <v>4.1606158100839598E-2</v>
      </c>
      <c r="F1192" s="130"/>
      <c r="G1192" s="130"/>
    </row>
    <row r="1193" spans="1:7" ht="14.25" customHeight="1" x14ac:dyDescent="0.3">
      <c r="A1193" s="319" t="s">
        <v>1702</v>
      </c>
      <c r="B1193" s="320">
        <v>23092.19921875</v>
      </c>
      <c r="C1193" s="320">
        <v>1489.41003417969</v>
      </c>
      <c r="D1193" s="320">
        <f t="shared" si="36"/>
        <v>-4.8760476583936899E-3</v>
      </c>
      <c r="E1193" s="320">
        <f t="shared" si="37"/>
        <v>-1.1737735845541599E-2</v>
      </c>
      <c r="F1193" s="130"/>
      <c r="G1193" s="130"/>
    </row>
    <row r="1194" spans="1:7" ht="14.25" customHeight="1" x14ac:dyDescent="0.3">
      <c r="A1194" s="319" t="s">
        <v>1703</v>
      </c>
      <c r="B1194" s="320">
        <v>22829.150390625</v>
      </c>
      <c r="C1194" s="320">
        <v>1401.91003417969</v>
      </c>
      <c r="D1194" s="320">
        <f t="shared" si="36"/>
        <v>-1.1391241935563E-2</v>
      </c>
      <c r="E1194" s="320">
        <f t="shared" si="37"/>
        <v>-5.8748093535029598E-2</v>
      </c>
      <c r="F1194" s="130"/>
      <c r="G1194" s="130"/>
    </row>
    <row r="1195" spans="1:7" ht="14.25" customHeight="1" x14ac:dyDescent="0.3">
      <c r="A1195" s="319" t="s">
        <v>1704</v>
      </c>
      <c r="B1195" s="320">
        <v>22957.25</v>
      </c>
      <c r="C1195" s="320">
        <v>1429.65002441406</v>
      </c>
      <c r="D1195" s="320">
        <f t="shared" si="36"/>
        <v>5.61122981727806E-3</v>
      </c>
      <c r="E1195" s="320">
        <f t="shared" si="37"/>
        <v>1.97872827485693E-2</v>
      </c>
      <c r="F1195" s="130"/>
      <c r="G1195" s="130"/>
    </row>
    <row r="1196" spans="1:7" ht="14.25" customHeight="1" x14ac:dyDescent="0.3">
      <c r="A1196" s="319" t="s">
        <v>1705</v>
      </c>
      <c r="B1196" s="320">
        <v>23163.099609375</v>
      </c>
      <c r="C1196" s="320">
        <v>1489.03002929688</v>
      </c>
      <c r="D1196" s="320">
        <f t="shared" si="36"/>
        <v>8.9666492883511695E-3</v>
      </c>
      <c r="E1196" s="320">
        <f t="shared" si="37"/>
        <v>4.1534644051894297E-2</v>
      </c>
      <c r="F1196" s="130"/>
      <c r="G1196" s="130"/>
    </row>
    <row r="1197" spans="1:7" ht="14.25" customHeight="1" x14ac:dyDescent="0.3">
      <c r="A1197" s="319" t="s">
        <v>1706</v>
      </c>
      <c r="B1197" s="320">
        <v>23249.5</v>
      </c>
      <c r="C1197" s="320">
        <v>1525.78002929688</v>
      </c>
      <c r="D1197" s="320">
        <f t="shared" si="36"/>
        <v>3.7300875997627902E-3</v>
      </c>
      <c r="E1197" s="320">
        <f t="shared" si="37"/>
        <v>2.4680496213601098E-2</v>
      </c>
      <c r="F1197" s="130"/>
      <c r="G1197" s="130"/>
    </row>
    <row r="1198" spans="1:7" ht="14.25" customHeight="1" x14ac:dyDescent="0.3">
      <c r="A1198" s="319" t="s">
        <v>1707</v>
      </c>
      <c r="B1198" s="320">
        <v>23508.400390625</v>
      </c>
      <c r="C1198" s="320">
        <v>1544.73999023438</v>
      </c>
      <c r="D1198" s="320">
        <f t="shared" si="36"/>
        <v>1.11357401503258E-2</v>
      </c>
      <c r="E1198" s="320">
        <f t="shared" si="37"/>
        <v>1.2426405231058899E-2</v>
      </c>
      <c r="F1198" s="130"/>
      <c r="G1198" s="130"/>
    </row>
    <row r="1199" spans="1:7" ht="14.25" customHeight="1" x14ac:dyDescent="0.3">
      <c r="A1199" s="319" t="s">
        <v>1708</v>
      </c>
      <c r="B1199" s="320">
        <v>23482.150390625</v>
      </c>
      <c r="C1199" s="320">
        <v>1556.88000488281</v>
      </c>
      <c r="D1199" s="320">
        <f t="shared" si="36"/>
        <v>-1.1166221250199699E-3</v>
      </c>
      <c r="E1199" s="320">
        <f t="shared" si="37"/>
        <v>7.8589372484543594E-3</v>
      </c>
      <c r="F1199" s="130"/>
      <c r="G1199" s="130"/>
    </row>
    <row r="1200" spans="1:7" ht="14.25" customHeight="1" x14ac:dyDescent="0.3">
      <c r="A1200" s="319" t="s">
        <v>1709</v>
      </c>
      <c r="B1200" s="320">
        <v>23361.05078125</v>
      </c>
      <c r="C1200" s="320">
        <v>1543.91003417969</v>
      </c>
      <c r="D1200" s="320">
        <f t="shared" si="36"/>
        <v>-5.1570919766933997E-3</v>
      </c>
      <c r="E1200" s="320">
        <f t="shared" si="37"/>
        <v>-8.3307452484729407E-3</v>
      </c>
      <c r="F1200" s="130"/>
      <c r="G1200" s="130"/>
    </row>
    <row r="1201" spans="1:7" ht="14.25" customHeight="1" x14ac:dyDescent="0.3">
      <c r="A1201" s="319" t="s">
        <v>1710</v>
      </c>
      <c r="B1201" s="320">
        <v>23739.25</v>
      </c>
      <c r="C1201" s="320">
        <v>1541.38000488281</v>
      </c>
      <c r="D1201" s="320">
        <f t="shared" si="36"/>
        <v>1.6189306820631098E-2</v>
      </c>
      <c r="E1201" s="320">
        <f t="shared" si="37"/>
        <v>-1.6387154956371899E-3</v>
      </c>
      <c r="F1201" s="130"/>
      <c r="G1201" s="130"/>
    </row>
    <row r="1202" spans="1:7" ht="14.25" customHeight="1" x14ac:dyDescent="0.3">
      <c r="A1202" s="319" t="s">
        <v>1711</v>
      </c>
      <c r="B1202" s="320">
        <v>23696.30078125</v>
      </c>
      <c r="C1202" s="320">
        <v>1588.22998046875</v>
      </c>
      <c r="D1202" s="320">
        <f t="shared" si="36"/>
        <v>-1.80920706214392E-3</v>
      </c>
      <c r="E1202" s="320">
        <f t="shared" si="37"/>
        <v>3.03948250512708E-2</v>
      </c>
      <c r="F1202" s="130"/>
      <c r="G1202" s="130"/>
    </row>
    <row r="1203" spans="1:7" ht="14.25" customHeight="1" x14ac:dyDescent="0.3">
      <c r="A1203" s="319" t="s">
        <v>1712</v>
      </c>
      <c r="B1203" s="320">
        <v>23603.349609375</v>
      </c>
      <c r="C1203" s="320">
        <v>1610.23999023438</v>
      </c>
      <c r="D1203" s="320">
        <f t="shared" si="36"/>
        <v>-3.92260263460822E-3</v>
      </c>
      <c r="E1203" s="320">
        <f t="shared" si="37"/>
        <v>1.3858200661300901E-2</v>
      </c>
      <c r="F1203" s="130"/>
      <c r="G1203" s="130"/>
    </row>
    <row r="1204" spans="1:7" ht="14.25" customHeight="1" x14ac:dyDescent="0.3">
      <c r="A1204" s="319" t="s">
        <v>1713</v>
      </c>
      <c r="B1204" s="320">
        <v>23559.94921875</v>
      </c>
      <c r="C1204" s="320">
        <v>1572.02001953125</v>
      </c>
      <c r="D1204" s="320">
        <f t="shared" si="36"/>
        <v>-1.8387386257991899E-3</v>
      </c>
      <c r="E1204" s="320">
        <f t="shared" si="37"/>
        <v>-2.3735574159704498E-2</v>
      </c>
      <c r="F1204" s="130"/>
      <c r="G1204" s="130"/>
    </row>
    <row r="1205" spans="1:7" ht="14.25" customHeight="1" x14ac:dyDescent="0.3">
      <c r="A1205" s="319" t="s">
        <v>1714</v>
      </c>
      <c r="B1205" s="320">
        <v>23381.599609375</v>
      </c>
      <c r="C1205" s="320">
        <v>1558.97998046875</v>
      </c>
      <c r="D1205" s="320">
        <f t="shared" si="36"/>
        <v>-7.5700336923078702E-3</v>
      </c>
      <c r="E1205" s="320">
        <f t="shared" si="37"/>
        <v>-8.2950846048311308E-3</v>
      </c>
      <c r="F1205" s="130"/>
      <c r="G1205" s="130"/>
    </row>
    <row r="1206" spans="1:7" ht="14.25" customHeight="1" x14ac:dyDescent="0.3">
      <c r="A1206" s="319" t="s">
        <v>1715</v>
      </c>
      <c r="B1206" s="320">
        <v>23071.80078125</v>
      </c>
      <c r="C1206" s="320">
        <v>1508.41003417969</v>
      </c>
      <c r="D1206" s="320">
        <f t="shared" si="36"/>
        <v>-1.32496849360462E-2</v>
      </c>
      <c r="E1206" s="320">
        <f t="shared" si="37"/>
        <v>-3.2437842000931097E-2</v>
      </c>
      <c r="F1206" s="130"/>
      <c r="G1206" s="130"/>
    </row>
    <row r="1207" spans="1:7" ht="14.25" customHeight="1" x14ac:dyDescent="0.3">
      <c r="A1207" s="319" t="s">
        <v>1716</v>
      </c>
      <c r="B1207" s="320">
        <v>23045.25</v>
      </c>
      <c r="C1207" s="320">
        <v>1515.66003417969</v>
      </c>
      <c r="D1207" s="320">
        <f t="shared" si="36"/>
        <v>-1.15078929043013E-3</v>
      </c>
      <c r="E1207" s="320">
        <f t="shared" si="37"/>
        <v>4.8063854228752399E-3</v>
      </c>
      <c r="F1207" s="130"/>
      <c r="G1207" s="130"/>
    </row>
    <row r="1208" spans="1:7" ht="14.25" customHeight="1" x14ac:dyDescent="0.3">
      <c r="A1208" s="319" t="s">
        <v>1717</v>
      </c>
      <c r="B1208" s="320">
        <v>23031.400390625</v>
      </c>
      <c r="C1208" s="320">
        <v>1528.28002929688</v>
      </c>
      <c r="D1208" s="320">
        <f t="shared" si="36"/>
        <v>-6.0097457719052703E-4</v>
      </c>
      <c r="E1208" s="320">
        <f t="shared" si="37"/>
        <v>8.3264022489187208E-3</v>
      </c>
      <c r="F1208" s="130"/>
      <c r="G1208" s="130"/>
    </row>
    <row r="1209" spans="1:7" ht="14.25" customHeight="1" x14ac:dyDescent="0.3">
      <c r="A1209" s="319" t="s">
        <v>1718</v>
      </c>
      <c r="B1209" s="320">
        <v>22929.25</v>
      </c>
      <c r="C1209" s="320">
        <v>1497.09997558594</v>
      </c>
      <c r="D1209" s="320">
        <f t="shared" si="36"/>
        <v>-4.4352661537064297E-3</v>
      </c>
      <c r="E1209" s="320">
        <f t="shared" si="37"/>
        <v>-2.0402055325740999E-2</v>
      </c>
      <c r="F1209" s="130"/>
      <c r="G1209" s="130"/>
    </row>
    <row r="1210" spans="1:7" ht="14.25" customHeight="1" x14ac:dyDescent="0.3">
      <c r="A1210" s="319" t="s">
        <v>1719</v>
      </c>
      <c r="B1210" s="320">
        <v>22959.5</v>
      </c>
      <c r="C1210" s="320">
        <v>1467.78002929688</v>
      </c>
      <c r="D1210" s="320">
        <f t="shared" si="36"/>
        <v>1.31927559776268E-3</v>
      </c>
      <c r="E1210" s="320">
        <f t="shared" si="37"/>
        <v>-1.95844945342309E-2</v>
      </c>
      <c r="F1210" s="130"/>
      <c r="G1210" s="130"/>
    </row>
    <row r="1211" spans="1:7" ht="14.25" customHeight="1" x14ac:dyDescent="0.3">
      <c r="A1211" s="319" t="s">
        <v>1720</v>
      </c>
      <c r="B1211" s="320">
        <v>22945.30078125</v>
      </c>
      <c r="C1211" s="320">
        <v>1511.78002929688</v>
      </c>
      <c r="D1211" s="320">
        <f t="shared" si="36"/>
        <v>-6.1844634029486697E-4</v>
      </c>
      <c r="E1211" s="320">
        <f t="shared" si="37"/>
        <v>2.99772439478398E-2</v>
      </c>
      <c r="F1211" s="130"/>
      <c r="G1211" s="130"/>
    </row>
    <row r="1212" spans="1:7" ht="14.25" customHeight="1" x14ac:dyDescent="0.3">
      <c r="A1212" s="319" t="s">
        <v>1721</v>
      </c>
      <c r="B1212" s="320">
        <v>22932.900390625</v>
      </c>
      <c r="C1212" s="320">
        <v>1519.01000976563</v>
      </c>
      <c r="D1212" s="320">
        <f t="shared" si="36"/>
        <v>-5.4043269004052904E-4</v>
      </c>
      <c r="E1212" s="320">
        <f t="shared" si="37"/>
        <v>4.7824288776407596E-3</v>
      </c>
      <c r="F1212" s="130"/>
      <c r="G1212" s="130"/>
    </row>
    <row r="1213" spans="1:7" ht="14.25" customHeight="1" x14ac:dyDescent="0.3">
      <c r="A1213" s="319" t="s">
        <v>1722</v>
      </c>
      <c r="B1213" s="320">
        <v>22913.150390625</v>
      </c>
      <c r="C1213" s="320">
        <v>1534.68994140625</v>
      </c>
      <c r="D1213" s="320">
        <f t="shared" si="36"/>
        <v>-8.6120811862392397E-4</v>
      </c>
      <c r="E1213" s="320">
        <f t="shared" si="37"/>
        <v>1.0322467620235899E-2</v>
      </c>
      <c r="F1213" s="130"/>
      <c r="G1213" s="130"/>
    </row>
    <row r="1214" spans="1:7" ht="14.25" customHeight="1" x14ac:dyDescent="0.3">
      <c r="A1214" s="319" t="s">
        <v>1723</v>
      </c>
      <c r="B1214" s="320">
        <v>22795.900390625</v>
      </c>
      <c r="C1214" s="320">
        <v>1507.42004394531</v>
      </c>
      <c r="D1214" s="320">
        <f t="shared" si="36"/>
        <v>-5.1171487988824604E-3</v>
      </c>
      <c r="E1214" s="320">
        <f t="shared" si="37"/>
        <v>-1.77689947169083E-2</v>
      </c>
      <c r="F1214" s="130"/>
      <c r="G1214" s="130"/>
    </row>
    <row r="1215" spans="1:7" ht="14.25" customHeight="1" x14ac:dyDescent="0.3">
      <c r="A1215" s="319" t="s">
        <v>1724</v>
      </c>
      <c r="B1215" s="320">
        <v>22553.349609375</v>
      </c>
      <c r="C1215" s="320">
        <v>1430.35998535156</v>
      </c>
      <c r="D1215" s="320">
        <f t="shared" si="36"/>
        <v>-1.0640105330068501E-2</v>
      </c>
      <c r="E1215" s="320">
        <f t="shared" si="37"/>
        <v>-5.1120494850303198E-2</v>
      </c>
      <c r="F1215" s="130"/>
      <c r="G1215" s="130"/>
    </row>
    <row r="1216" spans="1:7" ht="14.25" customHeight="1" x14ac:dyDescent="0.3">
      <c r="A1216" s="319" t="s">
        <v>1725</v>
      </c>
      <c r="B1216" s="320">
        <v>22547.55078125</v>
      </c>
      <c r="C1216" s="320">
        <v>1464.72998046875</v>
      </c>
      <c r="D1216" s="320">
        <f t="shared" si="36"/>
        <v>-2.57116048189557E-4</v>
      </c>
      <c r="E1216" s="320">
        <f t="shared" si="37"/>
        <v>2.40289126298107E-2</v>
      </c>
      <c r="F1216" s="130"/>
      <c r="G1216" s="130"/>
    </row>
    <row r="1217" spans="1:7" ht="14.25" customHeight="1" x14ac:dyDescent="0.3">
      <c r="A1217" s="319" t="s">
        <v>1726</v>
      </c>
      <c r="B1217" s="320">
        <v>22545.05078125</v>
      </c>
      <c r="C1217" s="320">
        <v>1476.25</v>
      </c>
      <c r="D1217" s="320">
        <f t="shared" si="36"/>
        <v>-1.10876787649989E-4</v>
      </c>
      <c r="E1217" s="320">
        <f t="shared" si="37"/>
        <v>7.8649441773311103E-3</v>
      </c>
      <c r="F1217" s="130"/>
      <c r="G1217" s="130"/>
    </row>
    <row r="1218" spans="1:7" ht="14.25" customHeight="1" x14ac:dyDescent="0.3">
      <c r="A1218" s="319" t="s">
        <v>1727</v>
      </c>
      <c r="B1218" s="320">
        <v>22124.69921875</v>
      </c>
      <c r="C1218" s="320">
        <v>1398.53002929688</v>
      </c>
      <c r="D1218" s="320">
        <f t="shared" si="36"/>
        <v>-1.8644959666695101E-2</v>
      </c>
      <c r="E1218" s="320">
        <f t="shared" si="37"/>
        <v>-5.2646889553341202E-2</v>
      </c>
      <c r="F1218" s="130"/>
      <c r="G1218" s="130"/>
    </row>
    <row r="1219" spans="1:7" ht="14.25" customHeight="1" x14ac:dyDescent="0.3">
      <c r="A1219" s="319" t="s">
        <v>1728</v>
      </c>
      <c r="B1219" s="320">
        <v>22119.30078125</v>
      </c>
      <c r="C1219" s="320">
        <v>1392.43994140625</v>
      </c>
      <c r="D1219" s="320">
        <f t="shared" ref="D1219:D1282" si="38">(B1219-B1218)/B1218</f>
        <v>-2.4400049223833001E-4</v>
      </c>
      <c r="E1219" s="320">
        <f t="shared" ref="E1219:E1282" si="39">(C1219-C1218)/C1218</f>
        <v>-4.35463505470228E-3</v>
      </c>
      <c r="F1219" s="130"/>
      <c r="G1219" s="130"/>
    </row>
    <row r="1220" spans="1:7" ht="14.25" customHeight="1" x14ac:dyDescent="0.3">
      <c r="A1220" s="319" t="s">
        <v>1729</v>
      </c>
      <c r="B1220" s="320">
        <v>22082.650390625</v>
      </c>
      <c r="C1220" s="320">
        <v>1352.43005371094</v>
      </c>
      <c r="D1220" s="320">
        <f t="shared" si="38"/>
        <v>-1.6569416451024401E-3</v>
      </c>
      <c r="E1220" s="320">
        <f t="shared" si="39"/>
        <v>-2.8733654145904002E-2</v>
      </c>
      <c r="F1220" s="130"/>
      <c r="G1220" s="130"/>
    </row>
    <row r="1221" spans="1:7" ht="14.25" customHeight="1" x14ac:dyDescent="0.3">
      <c r="A1221" s="319" t="s">
        <v>1730</v>
      </c>
      <c r="B1221" s="320">
        <v>22337.30078125</v>
      </c>
      <c r="C1221" s="320">
        <v>1357.97998046875</v>
      </c>
      <c r="D1221" s="320">
        <f t="shared" si="38"/>
        <v>1.15316950692255E-2</v>
      </c>
      <c r="E1221" s="320">
        <f t="shared" si="39"/>
        <v>4.1036700882101304E-3</v>
      </c>
      <c r="F1221" s="130"/>
      <c r="G1221" s="130"/>
    </row>
    <row r="1222" spans="1:7" ht="14.25" customHeight="1" x14ac:dyDescent="0.3">
      <c r="A1222" s="319" t="s">
        <v>1731</v>
      </c>
      <c r="B1222" s="320">
        <v>22544.69921875</v>
      </c>
      <c r="C1222" s="320">
        <v>1381.27001953125</v>
      </c>
      <c r="D1222" s="320">
        <f t="shared" si="38"/>
        <v>9.2848477768670609E-3</v>
      </c>
      <c r="E1222" s="320">
        <f t="shared" si="39"/>
        <v>1.7150502509220102E-2</v>
      </c>
      <c r="F1222" s="130"/>
      <c r="G1222" s="130"/>
    </row>
    <row r="1223" spans="1:7" ht="14.25" customHeight="1" x14ac:dyDescent="0.3">
      <c r="A1223" s="319" t="s">
        <v>1732</v>
      </c>
      <c r="B1223" s="320">
        <v>22552.5</v>
      </c>
      <c r="C1223" s="320">
        <v>1366.77001953125</v>
      </c>
      <c r="D1223" s="320">
        <f t="shared" si="38"/>
        <v>3.4601398645018201E-4</v>
      </c>
      <c r="E1223" s="320">
        <f t="shared" si="39"/>
        <v>-1.0497585406885701E-2</v>
      </c>
      <c r="F1223" s="130"/>
      <c r="G1223" s="130"/>
    </row>
    <row r="1224" spans="1:7" ht="14.25" customHeight="1" x14ac:dyDescent="0.3">
      <c r="A1224" s="319" t="s">
        <v>1733</v>
      </c>
      <c r="B1224" s="320">
        <v>22460.30078125</v>
      </c>
      <c r="C1224" s="320">
        <v>1317.61999511719</v>
      </c>
      <c r="D1224" s="320">
        <f t="shared" si="38"/>
        <v>-4.0882039130916703E-3</v>
      </c>
      <c r="E1224" s="320">
        <f t="shared" si="39"/>
        <v>-3.5960713003433099E-2</v>
      </c>
      <c r="F1224" s="130"/>
      <c r="G1224" s="130"/>
    </row>
    <row r="1225" spans="1:7" ht="14.25" customHeight="1" x14ac:dyDescent="0.3">
      <c r="A1225" s="319" t="s">
        <v>1734</v>
      </c>
      <c r="B1225" s="320">
        <v>22497.900390625</v>
      </c>
      <c r="C1225" s="320">
        <v>1339.42004394531</v>
      </c>
      <c r="D1225" s="320">
        <f t="shared" si="38"/>
        <v>1.67404745560613E-3</v>
      </c>
      <c r="E1225" s="320">
        <f t="shared" si="39"/>
        <v>1.6545019739307401E-2</v>
      </c>
      <c r="F1225" s="130"/>
      <c r="G1225" s="130"/>
    </row>
    <row r="1226" spans="1:7" ht="14.25" customHeight="1" x14ac:dyDescent="0.3">
      <c r="A1226" s="319" t="s">
        <v>1735</v>
      </c>
      <c r="B1226" s="320">
        <v>22470.5</v>
      </c>
      <c r="C1226" s="320">
        <v>1301.43994140625</v>
      </c>
      <c r="D1226" s="320">
        <f t="shared" si="38"/>
        <v>-1.2179087892316301E-3</v>
      </c>
      <c r="E1226" s="320">
        <f t="shared" si="39"/>
        <v>-2.8355632507326301E-2</v>
      </c>
      <c r="F1226" s="130"/>
      <c r="G1226" s="130"/>
    </row>
    <row r="1227" spans="1:7" ht="14.25" customHeight="1" x14ac:dyDescent="0.3">
      <c r="A1227" s="319" t="s">
        <v>1736</v>
      </c>
      <c r="B1227" s="320">
        <v>22397.19921875</v>
      </c>
      <c r="C1227" s="320">
        <v>1276.51000976563</v>
      </c>
      <c r="D1227" s="320">
        <f t="shared" si="38"/>
        <v>-3.2620894617387199E-3</v>
      </c>
      <c r="E1227" s="320">
        <f t="shared" si="39"/>
        <v>-1.9155652786929499E-2</v>
      </c>
      <c r="F1227" s="130"/>
      <c r="G1227" s="130"/>
    </row>
    <row r="1228" spans="1:7" ht="14.25" customHeight="1" x14ac:dyDescent="0.3">
      <c r="A1228" s="319" t="s">
        <v>1737</v>
      </c>
      <c r="B1228" s="320">
        <v>22508.75</v>
      </c>
      <c r="C1228" s="320">
        <v>1295.93005371094</v>
      </c>
      <c r="D1228" s="320">
        <f t="shared" si="38"/>
        <v>4.9805683362683303E-3</v>
      </c>
      <c r="E1228" s="320">
        <f t="shared" si="39"/>
        <v>1.52133894734406E-2</v>
      </c>
      <c r="F1228" s="130"/>
      <c r="G1228" s="130"/>
    </row>
    <row r="1229" spans="1:7" ht="14.25" customHeight="1" x14ac:dyDescent="0.3">
      <c r="A1229" s="319" t="s">
        <v>1738</v>
      </c>
      <c r="B1229" s="320">
        <v>22834.30078125</v>
      </c>
      <c r="C1229" s="320">
        <v>1295.93005371094</v>
      </c>
      <c r="D1229" s="320">
        <f t="shared" si="38"/>
        <v>1.44632989948353E-2</v>
      </c>
      <c r="E1229" s="320">
        <f t="shared" si="39"/>
        <v>0</v>
      </c>
      <c r="F1229" s="130"/>
      <c r="G1229" s="130"/>
    </row>
    <row r="1230" spans="1:7" ht="14.25" customHeight="1" x14ac:dyDescent="0.3">
      <c r="A1230" s="319" t="s">
        <v>1739</v>
      </c>
      <c r="B1230" s="320">
        <v>22907.599609375</v>
      </c>
      <c r="C1230" s="320">
        <v>1349.88000488281</v>
      </c>
      <c r="D1230" s="320">
        <f t="shared" si="38"/>
        <v>3.2100316461272202E-3</v>
      </c>
      <c r="E1230" s="320">
        <f t="shared" si="39"/>
        <v>4.16302955683314E-2</v>
      </c>
      <c r="F1230" s="130"/>
      <c r="G1230" s="130"/>
    </row>
    <row r="1231" spans="1:7" ht="14.25" customHeight="1" x14ac:dyDescent="0.3">
      <c r="A1231" s="319" t="s">
        <v>1740</v>
      </c>
      <c r="B1231" s="320">
        <v>23190.650390625</v>
      </c>
      <c r="C1231" s="320">
        <v>1370.06005859375</v>
      </c>
      <c r="D1231" s="320">
        <f t="shared" si="38"/>
        <v>1.2356195589089999E-2</v>
      </c>
      <c r="E1231" s="320">
        <f t="shared" si="39"/>
        <v>1.494951672589E-2</v>
      </c>
      <c r="F1231" s="130"/>
      <c r="G1231" s="130"/>
    </row>
    <row r="1232" spans="1:7" ht="14.25" customHeight="1" x14ac:dyDescent="0.3">
      <c r="A1232" s="319" t="s">
        <v>1741</v>
      </c>
      <c r="B1232" s="320">
        <v>23350.400390625</v>
      </c>
      <c r="C1232" s="320">
        <v>1383.19995117188</v>
      </c>
      <c r="D1232" s="320">
        <f t="shared" si="38"/>
        <v>6.8885519512889596E-3</v>
      </c>
      <c r="E1232" s="320">
        <f t="shared" si="39"/>
        <v>9.5907420231029807E-3</v>
      </c>
      <c r="F1232" s="130"/>
      <c r="G1232" s="130"/>
    </row>
    <row r="1233" spans="1:7" ht="14.25" customHeight="1" x14ac:dyDescent="0.3">
      <c r="A1233" s="319" t="s">
        <v>1742</v>
      </c>
      <c r="B1233" s="320">
        <v>23658.349609375</v>
      </c>
      <c r="C1233" s="320">
        <v>1420.17004394531</v>
      </c>
      <c r="D1233" s="320">
        <f t="shared" si="38"/>
        <v>1.31881772302988E-2</v>
      </c>
      <c r="E1233" s="320">
        <f t="shared" si="39"/>
        <v>2.67279454008859E-2</v>
      </c>
      <c r="F1233" s="130"/>
      <c r="G1233" s="130"/>
    </row>
    <row r="1234" spans="1:7" ht="14.25" customHeight="1" x14ac:dyDescent="0.3">
      <c r="A1234" s="319" t="s">
        <v>1743</v>
      </c>
      <c r="B1234" s="320">
        <v>23668.650390625</v>
      </c>
      <c r="C1234" s="320">
        <v>1429.14001464844</v>
      </c>
      <c r="D1234" s="320">
        <f t="shared" si="38"/>
        <v>4.3539728764166002E-4</v>
      </c>
      <c r="E1234" s="320">
        <f t="shared" si="39"/>
        <v>6.3161244256433801E-3</v>
      </c>
      <c r="F1234" s="130"/>
      <c r="G1234" s="130"/>
    </row>
    <row r="1235" spans="1:7" ht="14.25" customHeight="1" x14ac:dyDescent="0.3">
      <c r="A1235" s="319" t="s">
        <v>1744</v>
      </c>
      <c r="B1235" s="320">
        <v>23486.849609375</v>
      </c>
      <c r="C1235" s="320">
        <v>1408.86999511719</v>
      </c>
      <c r="D1235" s="320">
        <f t="shared" si="38"/>
        <v>-7.6810793285455002E-3</v>
      </c>
      <c r="E1235" s="320">
        <f t="shared" si="39"/>
        <v>-1.4183368545758799E-2</v>
      </c>
      <c r="F1235" s="130"/>
      <c r="G1235" s="130"/>
    </row>
    <row r="1236" spans="1:7" ht="14.25" customHeight="1" x14ac:dyDescent="0.3">
      <c r="A1236" s="319" t="s">
        <v>1745</v>
      </c>
      <c r="B1236" s="320">
        <v>23591.94921875</v>
      </c>
      <c r="C1236" s="320">
        <v>1442.92004394531</v>
      </c>
      <c r="D1236" s="320">
        <f t="shared" si="38"/>
        <v>4.47482787700265E-3</v>
      </c>
      <c r="E1236" s="320">
        <f t="shared" si="39"/>
        <v>2.4168339836982401E-2</v>
      </c>
      <c r="F1236" s="130"/>
      <c r="G1236" s="130"/>
    </row>
    <row r="1237" spans="1:7" ht="14.25" customHeight="1" x14ac:dyDescent="0.3">
      <c r="A1237" s="319" t="s">
        <v>1746</v>
      </c>
      <c r="B1237" s="320">
        <v>23519.349609375</v>
      </c>
      <c r="C1237" s="320">
        <v>1436.28002929688</v>
      </c>
      <c r="D1237" s="320">
        <f t="shared" si="38"/>
        <v>-3.0773044101544801E-3</v>
      </c>
      <c r="E1237" s="320">
        <f t="shared" si="39"/>
        <v>-4.60178973623134E-3</v>
      </c>
      <c r="F1237" s="130"/>
      <c r="G1237" s="130"/>
    </row>
    <row r="1238" spans="1:7" ht="14.25" customHeight="1" x14ac:dyDescent="0.3">
      <c r="A1238" s="319" t="s">
        <v>1747</v>
      </c>
      <c r="B1238" s="320">
        <v>23165.69921875</v>
      </c>
      <c r="C1238" s="320">
        <v>1360.97998046875</v>
      </c>
      <c r="D1238" s="320">
        <f t="shared" si="38"/>
        <v>-1.5036571865237E-2</v>
      </c>
      <c r="E1238" s="320">
        <f t="shared" si="39"/>
        <v>-5.2427136277173297E-2</v>
      </c>
      <c r="F1238" s="130"/>
      <c r="G1238" s="130"/>
    </row>
    <row r="1239" spans="1:7" ht="14.25" customHeight="1" x14ac:dyDescent="0.3">
      <c r="A1239" s="319" t="s">
        <v>1748</v>
      </c>
      <c r="B1239" s="320">
        <v>23332.349609375</v>
      </c>
      <c r="C1239" s="320">
        <v>1385.72998046875</v>
      </c>
      <c r="D1239" s="320">
        <f t="shared" si="38"/>
        <v>7.1938424586863101E-3</v>
      </c>
      <c r="E1239" s="320">
        <f t="shared" si="39"/>
        <v>1.81854254692825E-2</v>
      </c>
      <c r="F1239" s="130"/>
      <c r="G1239" s="130"/>
    </row>
    <row r="1240" spans="1:7" ht="14.25" customHeight="1" x14ac:dyDescent="0.3">
      <c r="A1240" s="319" t="s">
        <v>1749</v>
      </c>
      <c r="B1240" s="320">
        <v>23250.099609375</v>
      </c>
      <c r="C1240" s="320">
        <v>1346.88000488281</v>
      </c>
      <c r="D1240" s="320">
        <f t="shared" si="38"/>
        <v>-3.5251486188494201E-3</v>
      </c>
      <c r="E1240" s="320">
        <f t="shared" si="39"/>
        <v>-2.8035747319833701E-2</v>
      </c>
      <c r="F1240" s="130"/>
      <c r="G1240" s="130"/>
    </row>
    <row r="1241" spans="1:7" ht="14.25" customHeight="1" x14ac:dyDescent="0.3">
      <c r="A1241" s="319" t="s">
        <v>1750</v>
      </c>
      <c r="B1241" s="320">
        <v>22904.44921875</v>
      </c>
      <c r="C1241" s="320">
        <v>1279.31994628906</v>
      </c>
      <c r="D1241" s="320">
        <f t="shared" si="38"/>
        <v>-1.48666197750665E-2</v>
      </c>
      <c r="E1241" s="320">
        <f t="shared" si="39"/>
        <v>-5.0160413955828501E-2</v>
      </c>
      <c r="F1241" s="130"/>
      <c r="G1241" s="130"/>
    </row>
    <row r="1242" spans="1:7" ht="14.25" customHeight="1" x14ac:dyDescent="0.3">
      <c r="A1242" s="319" t="s">
        <v>1751</v>
      </c>
      <c r="B1242" s="320">
        <v>22161.599609375</v>
      </c>
      <c r="C1242" s="320">
        <v>1274.9599609375</v>
      </c>
      <c r="D1242" s="320">
        <f t="shared" si="38"/>
        <v>-3.2432546283055301E-2</v>
      </c>
      <c r="E1242" s="320">
        <f t="shared" si="39"/>
        <v>-3.4080492250645098E-3</v>
      </c>
      <c r="F1242" s="130"/>
      <c r="G1242" s="130"/>
    </row>
    <row r="1243" spans="1:7" ht="14.25" customHeight="1" x14ac:dyDescent="0.3">
      <c r="A1243" s="319" t="s">
        <v>1752</v>
      </c>
      <c r="B1243" s="320">
        <v>22535.849609375</v>
      </c>
      <c r="C1243" s="320">
        <v>1328.53002929688</v>
      </c>
      <c r="D1243" s="320">
        <f t="shared" si="38"/>
        <v>1.6887318902814301E-2</v>
      </c>
      <c r="E1243" s="320">
        <f t="shared" si="39"/>
        <v>4.2017059359251603E-2</v>
      </c>
      <c r="F1243" s="130"/>
      <c r="G1243" s="130"/>
    </row>
    <row r="1244" spans="1:7" ht="14.25" customHeight="1" x14ac:dyDescent="0.3">
      <c r="A1244" s="319" t="s">
        <v>1753</v>
      </c>
      <c r="B1244" s="320">
        <v>22399.150390625</v>
      </c>
      <c r="C1244" s="320">
        <v>1281.34997558594</v>
      </c>
      <c r="D1244" s="320">
        <f t="shared" si="38"/>
        <v>-6.0658560080704702E-3</v>
      </c>
      <c r="E1244" s="320">
        <f t="shared" si="39"/>
        <v>-3.55129749953111E-2</v>
      </c>
      <c r="F1244" s="130"/>
      <c r="G1244" s="130"/>
    </row>
    <row r="1245" spans="1:7" ht="14.25" customHeight="1" x14ac:dyDescent="0.3">
      <c r="A1245" s="319" t="s">
        <v>1754</v>
      </c>
      <c r="B1245" s="320">
        <v>22828.55078125</v>
      </c>
      <c r="C1245" s="320">
        <v>1309.06005859375</v>
      </c>
      <c r="D1245" s="320">
        <f t="shared" si="38"/>
        <v>1.9170387409190401E-2</v>
      </c>
      <c r="E1245" s="320">
        <f t="shared" si="39"/>
        <v>2.1625694412752999E-2</v>
      </c>
      <c r="F1245" s="130"/>
      <c r="G1245" s="130"/>
    </row>
    <row r="1246" spans="1:7" ht="14.25" customHeight="1" x14ac:dyDescent="0.3">
      <c r="A1246" s="319" t="s">
        <v>1755</v>
      </c>
      <c r="B1246" s="320">
        <v>23328.55078125</v>
      </c>
      <c r="C1246" s="320">
        <v>1347.09997558594</v>
      </c>
      <c r="D1246" s="320">
        <f t="shared" si="38"/>
        <v>2.1902397782108399E-2</v>
      </c>
      <c r="E1246" s="320">
        <f t="shared" si="39"/>
        <v>2.9058954738145602E-2</v>
      </c>
      <c r="F1246" s="130"/>
      <c r="G1246" s="130"/>
    </row>
    <row r="1247" spans="1:7" ht="14.25" customHeight="1" x14ac:dyDescent="0.3">
      <c r="A1247" s="319" t="s">
        <v>1756</v>
      </c>
      <c r="B1247" s="320">
        <v>23437.19921875</v>
      </c>
      <c r="C1247" s="320">
        <v>1355.19995117188</v>
      </c>
      <c r="D1247" s="320">
        <f t="shared" si="38"/>
        <v>4.6573162010271401E-3</v>
      </c>
      <c r="E1247" s="320">
        <f t="shared" si="39"/>
        <v>6.0128986212896404E-3</v>
      </c>
      <c r="F1247" s="130"/>
      <c r="G1247" s="130"/>
    </row>
    <row r="1248" spans="1:7" ht="14.25" customHeight="1" x14ac:dyDescent="0.3">
      <c r="A1248" s="319" t="s">
        <v>1757</v>
      </c>
      <c r="B1248" s="320">
        <v>23851.650390625</v>
      </c>
      <c r="C1248" s="320">
        <v>1346.90002441406</v>
      </c>
      <c r="D1248" s="320">
        <f t="shared" si="38"/>
        <v>1.7683476937953999E-2</v>
      </c>
      <c r="E1248" s="320">
        <f t="shared" si="39"/>
        <v>-6.1245034362957399E-3</v>
      </c>
      <c r="F1248" s="130"/>
      <c r="G1248" s="130"/>
    </row>
    <row r="1249" spans="1:7" ht="14.25" customHeight="1" x14ac:dyDescent="0.3">
      <c r="A1249" s="319" t="s">
        <v>1758</v>
      </c>
      <c r="B1249" s="320">
        <v>24125.55078125</v>
      </c>
      <c r="C1249" s="320">
        <v>1387.80004882813</v>
      </c>
      <c r="D1249" s="320">
        <f t="shared" si="38"/>
        <v>1.1483498464016501E-2</v>
      </c>
      <c r="E1249" s="320">
        <f t="shared" si="39"/>
        <v>3.0366043264319301E-2</v>
      </c>
      <c r="F1249" s="130"/>
      <c r="G1249" s="130"/>
    </row>
    <row r="1250" spans="1:7" ht="14.25" customHeight="1" x14ac:dyDescent="0.3">
      <c r="A1250" s="319" t="s">
        <v>1759</v>
      </c>
      <c r="B1250" s="320">
        <v>24167.25</v>
      </c>
      <c r="C1250" s="320">
        <v>1390.69995117188</v>
      </c>
      <c r="D1250" s="320">
        <f t="shared" si="38"/>
        <v>1.7284255654137399E-3</v>
      </c>
      <c r="E1250" s="320">
        <f t="shared" si="39"/>
        <v>2.0895678352214398E-3</v>
      </c>
      <c r="F1250" s="130"/>
      <c r="G1250" s="130"/>
    </row>
    <row r="1251" spans="1:7" ht="14.25" customHeight="1" x14ac:dyDescent="0.3">
      <c r="A1251" s="319" t="s">
        <v>1760</v>
      </c>
      <c r="B1251" s="320">
        <v>24328.94921875</v>
      </c>
      <c r="C1251" s="320">
        <v>1417.09997558594</v>
      </c>
      <c r="D1251" s="320">
        <f t="shared" si="38"/>
        <v>6.6908406521221904E-3</v>
      </c>
      <c r="E1251" s="320">
        <f t="shared" si="39"/>
        <v>1.8983264069157301E-2</v>
      </c>
      <c r="F1251" s="130"/>
      <c r="G1251" s="130"/>
    </row>
    <row r="1252" spans="1:7" ht="14.25" customHeight="1" x14ac:dyDescent="0.3">
      <c r="A1252" s="319" t="s">
        <v>1761</v>
      </c>
      <c r="B1252" s="320">
        <v>24246.69921875</v>
      </c>
      <c r="C1252" s="320">
        <v>1430.80004882813</v>
      </c>
      <c r="D1252" s="320">
        <f t="shared" si="38"/>
        <v>-3.3807460922566702E-3</v>
      </c>
      <c r="E1252" s="320">
        <f t="shared" si="39"/>
        <v>9.66768292866939E-3</v>
      </c>
      <c r="F1252" s="130"/>
      <c r="G1252" s="130"/>
    </row>
    <row r="1253" spans="1:7" ht="14.25" customHeight="1" x14ac:dyDescent="0.3">
      <c r="A1253" s="319" t="s">
        <v>1762</v>
      </c>
      <c r="B1253" s="320">
        <v>24039.349609375</v>
      </c>
      <c r="C1253" s="320">
        <v>1407.69995117188</v>
      </c>
      <c r="D1253" s="320">
        <f t="shared" si="38"/>
        <v>-8.5516633626838701E-3</v>
      </c>
      <c r="E1253" s="320">
        <f t="shared" si="39"/>
        <v>-1.61448817919525E-2</v>
      </c>
      <c r="F1253" s="130"/>
      <c r="G1253" s="130"/>
    </row>
    <row r="1254" spans="1:7" ht="14.25" customHeight="1" x14ac:dyDescent="0.3">
      <c r="A1254" s="319" t="s">
        <v>1763</v>
      </c>
      <c r="B1254" s="320">
        <v>24328.5</v>
      </c>
      <c r="C1254" s="320">
        <v>1395.5</v>
      </c>
      <c r="D1254" s="320">
        <f t="shared" si="38"/>
        <v>1.2028211882747299E-2</v>
      </c>
      <c r="E1254" s="320">
        <f t="shared" si="39"/>
        <v>-8.66658492225123E-3</v>
      </c>
      <c r="F1254" s="130"/>
      <c r="G1254" s="130"/>
    </row>
    <row r="1255" spans="1:7" ht="14.25" customHeight="1" x14ac:dyDescent="0.3">
      <c r="A1255" s="319" t="s">
        <v>1764</v>
      </c>
      <c r="B1255" s="320">
        <v>24335.94921875</v>
      </c>
      <c r="C1255" s="320">
        <v>1411.80004882813</v>
      </c>
      <c r="D1255" s="320">
        <f t="shared" si="38"/>
        <v>3.0619309657397702E-4</v>
      </c>
      <c r="E1255" s="320">
        <f t="shared" si="39"/>
        <v>1.16804362795629E-2</v>
      </c>
      <c r="F1255" s="130"/>
      <c r="G1255" s="130"/>
    </row>
    <row r="1256" spans="1:7" ht="14.25" customHeight="1" x14ac:dyDescent="0.3">
      <c r="A1256" s="319" t="s">
        <v>1765</v>
      </c>
      <c r="B1256" s="320">
        <v>24334.19921875</v>
      </c>
      <c r="C1256" s="320">
        <v>1413.90002441406</v>
      </c>
      <c r="D1256" s="320">
        <f t="shared" si="38"/>
        <v>-7.1910077731904797E-5</v>
      </c>
      <c r="E1256" s="320">
        <f t="shared" si="39"/>
        <v>1.48744546911802E-3</v>
      </c>
      <c r="F1256" s="130"/>
      <c r="G1256" s="130"/>
    </row>
    <row r="1257" spans="1:7" ht="14.25" customHeight="1" x14ac:dyDescent="0.3">
      <c r="A1257" s="319" t="s">
        <v>1766</v>
      </c>
      <c r="B1257" s="320">
        <v>24346.69921875</v>
      </c>
      <c r="C1257" s="320">
        <v>1425.19995117188</v>
      </c>
      <c r="D1257" s="320">
        <f t="shared" si="38"/>
        <v>5.1368035116472997E-4</v>
      </c>
      <c r="E1257" s="320">
        <f t="shared" si="39"/>
        <v>7.9920267081845797E-3</v>
      </c>
      <c r="F1257" s="130"/>
      <c r="G1257" s="130"/>
    </row>
    <row r="1258" spans="1:7" ht="14.25" customHeight="1" x14ac:dyDescent="0.3">
      <c r="A1258" s="319" t="s">
        <v>1767</v>
      </c>
      <c r="B1258" s="320">
        <v>24461.150390625</v>
      </c>
      <c r="C1258" s="320">
        <v>1434</v>
      </c>
      <c r="D1258" s="320">
        <f t="shared" si="38"/>
        <v>4.7008906976128504E-3</v>
      </c>
      <c r="E1258" s="320">
        <f t="shared" si="39"/>
        <v>6.1746064619803698E-3</v>
      </c>
      <c r="F1258" s="130"/>
      <c r="G1258" s="130"/>
    </row>
    <row r="1259" spans="1:7" ht="14.25" customHeight="1" x14ac:dyDescent="0.3">
      <c r="A1259" s="319" t="s">
        <v>1768</v>
      </c>
      <c r="B1259" s="320">
        <v>24379.599609375</v>
      </c>
      <c r="C1259" s="320">
        <v>1396.90002441406</v>
      </c>
      <c r="D1259" s="320">
        <f t="shared" si="38"/>
        <v>-3.3338898599493201E-3</v>
      </c>
      <c r="E1259" s="320">
        <f t="shared" si="39"/>
        <v>-2.58716705620223E-2</v>
      </c>
      <c r="F1259" s="130"/>
      <c r="G1259" s="130"/>
    </row>
    <row r="1260" spans="1:7" ht="14.25" customHeight="1" x14ac:dyDescent="0.3">
      <c r="A1260" s="319" t="s">
        <v>1769</v>
      </c>
      <c r="B1260" s="320">
        <v>24414.400390625</v>
      </c>
      <c r="C1260" s="320">
        <v>1385</v>
      </c>
      <c r="D1260" s="320">
        <f t="shared" si="38"/>
        <v>1.42745499547161E-3</v>
      </c>
      <c r="E1260" s="320">
        <f t="shared" si="39"/>
        <v>-8.5188805255061503E-3</v>
      </c>
      <c r="F1260" s="130"/>
      <c r="G1260" s="130"/>
    </row>
    <row r="1261" spans="1:7" ht="14.25" customHeight="1" x14ac:dyDescent="0.3">
      <c r="A1261" s="319" t="s">
        <v>1770</v>
      </c>
      <c r="B1261" s="320">
        <v>24273.80078125</v>
      </c>
      <c r="C1261" s="320">
        <v>1355.5</v>
      </c>
      <c r="D1261" s="320">
        <f t="shared" si="38"/>
        <v>-5.7588802970966902E-3</v>
      </c>
      <c r="E1261" s="320">
        <f t="shared" si="39"/>
        <v>-2.12996389891697E-2</v>
      </c>
      <c r="F1261" s="130"/>
      <c r="G1261" s="130"/>
    </row>
    <row r="1262" spans="1:7" ht="14.25" customHeight="1" x14ac:dyDescent="0.3">
      <c r="A1262" s="319" t="s">
        <v>1771</v>
      </c>
      <c r="B1262" s="320">
        <v>24008</v>
      </c>
      <c r="C1262" s="320">
        <v>1375</v>
      </c>
      <c r="D1262" s="320">
        <f t="shared" si="38"/>
        <v>-1.09501096942064E-2</v>
      </c>
      <c r="E1262" s="320">
        <f t="shared" si="39"/>
        <v>1.4385835485060901E-2</v>
      </c>
      <c r="F1262" s="130"/>
      <c r="G1262" s="130"/>
    </row>
    <row r="1263" spans="1:7" ht="14.25" customHeight="1" x14ac:dyDescent="0.3">
      <c r="A1263" s="319" t="s">
        <v>1772</v>
      </c>
      <c r="B1263" s="320">
        <v>24924.69921875</v>
      </c>
      <c r="C1263" s="320">
        <v>1476</v>
      </c>
      <c r="D1263" s="320">
        <f t="shared" si="38"/>
        <v>3.8183073090219899E-2</v>
      </c>
      <c r="E1263" s="320">
        <f t="shared" si="39"/>
        <v>7.3454545454545495E-2</v>
      </c>
      <c r="F1263" s="130"/>
      <c r="G1263" s="130"/>
    </row>
    <row r="1264" spans="1:7" ht="14.25" customHeight="1" x14ac:dyDescent="0.3">
      <c r="A1264" s="319" t="s">
        <v>1773</v>
      </c>
      <c r="B1264" s="320">
        <v>24578.349609375</v>
      </c>
      <c r="C1264" s="320">
        <v>1464.5</v>
      </c>
      <c r="D1264" s="320">
        <f t="shared" si="38"/>
        <v>-1.3895839076543501E-2</v>
      </c>
      <c r="E1264" s="320">
        <f t="shared" si="39"/>
        <v>-7.7913279132791301E-3</v>
      </c>
      <c r="F1264" s="130"/>
      <c r="G1264" s="130"/>
    </row>
    <row r="1265" spans="1:7" ht="14.25" customHeight="1" x14ac:dyDescent="0.3">
      <c r="A1265" s="319" t="s">
        <v>1774</v>
      </c>
      <c r="B1265" s="320">
        <v>24666.900390625</v>
      </c>
      <c r="C1265" s="320">
        <v>1454</v>
      </c>
      <c r="D1265" s="320">
        <f t="shared" si="38"/>
        <v>3.6027960647212801E-3</v>
      </c>
      <c r="E1265" s="320">
        <f t="shared" si="39"/>
        <v>-7.1696824854899296E-3</v>
      </c>
      <c r="F1265" s="130"/>
      <c r="G1265" s="130"/>
    </row>
    <row r="1266" spans="1:7" ht="14.25" customHeight="1" x14ac:dyDescent="0.3">
      <c r="A1266" s="319" t="s">
        <v>1775</v>
      </c>
      <c r="B1266" s="320">
        <v>25062.099609375</v>
      </c>
      <c r="C1266" s="320">
        <v>1504</v>
      </c>
      <c r="D1266" s="320">
        <f t="shared" si="38"/>
        <v>1.60214381414619E-2</v>
      </c>
      <c r="E1266" s="320">
        <f t="shared" si="39"/>
        <v>3.4387895460797797E-2</v>
      </c>
      <c r="F1266" s="130"/>
      <c r="G1266" s="130"/>
    </row>
    <row r="1267" spans="1:7" ht="14.25" customHeight="1" x14ac:dyDescent="0.3">
      <c r="A1267" s="319" t="s">
        <v>1776</v>
      </c>
      <c r="B1267" s="320">
        <v>25019.80078125</v>
      </c>
      <c r="C1267" s="320">
        <v>1509.5</v>
      </c>
      <c r="D1267" s="320">
        <f t="shared" si="38"/>
        <v>-1.68776075365917E-3</v>
      </c>
      <c r="E1267" s="320">
        <f t="shared" si="39"/>
        <v>3.65691489361702E-3</v>
      </c>
      <c r="F1267" s="130"/>
      <c r="G1267" s="130"/>
    </row>
    <row r="1268" spans="1:7" ht="14.25" customHeight="1" x14ac:dyDescent="0.3">
      <c r="A1268" s="319" t="s">
        <v>1777</v>
      </c>
      <c r="B1268" s="320">
        <v>24945.44921875</v>
      </c>
      <c r="C1268" s="320">
        <v>1467</v>
      </c>
      <c r="D1268" s="320">
        <f t="shared" si="38"/>
        <v>-2.9717088137536101E-3</v>
      </c>
      <c r="E1268" s="320">
        <f t="shared" si="39"/>
        <v>-2.8155018217953E-2</v>
      </c>
      <c r="F1268" s="130"/>
      <c r="G1268" s="130"/>
    </row>
    <row r="1269" spans="1:7" ht="14.25" customHeight="1" x14ac:dyDescent="0.3">
      <c r="A1269" s="319" t="s">
        <v>1778</v>
      </c>
      <c r="B1269" s="320">
        <v>24683.900390625</v>
      </c>
      <c r="C1269" s="320">
        <v>1438.5</v>
      </c>
      <c r="D1269" s="320">
        <f t="shared" si="38"/>
        <v>-1.04848313546669E-2</v>
      </c>
      <c r="E1269" s="320">
        <f t="shared" si="39"/>
        <v>-1.94274028629857E-2</v>
      </c>
      <c r="F1269" s="130"/>
      <c r="G1269" s="130"/>
    </row>
    <row r="1270" spans="1:7" ht="14.25" customHeight="1" x14ac:dyDescent="0.3">
      <c r="A1270" s="319" t="s">
        <v>1779</v>
      </c>
      <c r="B1270" s="320">
        <v>24813.44921875</v>
      </c>
      <c r="C1270" s="320">
        <v>1475.5</v>
      </c>
      <c r="D1270" s="320">
        <f t="shared" si="38"/>
        <v>5.2483127088862698E-3</v>
      </c>
      <c r="E1270" s="320">
        <f t="shared" si="39"/>
        <v>2.5721237400069499E-2</v>
      </c>
      <c r="F1270" s="130"/>
      <c r="G1270" s="130"/>
    </row>
    <row r="1271" spans="1:7" ht="14.25" customHeight="1" x14ac:dyDescent="0.3">
      <c r="A1271" s="319" t="s">
        <v>1780</v>
      </c>
      <c r="B1271" s="320">
        <v>24609.69921875</v>
      </c>
      <c r="C1271" s="320">
        <v>1461</v>
      </c>
      <c r="D1271" s="320">
        <f t="shared" si="38"/>
        <v>-8.2112727740421797E-3</v>
      </c>
      <c r="E1271" s="320">
        <f t="shared" si="39"/>
        <v>-9.8271772280582904E-3</v>
      </c>
      <c r="F1271" s="130"/>
      <c r="G1271" s="130"/>
    </row>
    <row r="1272" spans="1:7" ht="14.25" customHeight="1" x14ac:dyDescent="0.3">
      <c r="A1272" s="319" t="s">
        <v>1781</v>
      </c>
      <c r="B1272" s="320">
        <v>24853.150390625</v>
      </c>
      <c r="C1272" s="320">
        <v>1489</v>
      </c>
      <c r="D1272" s="320">
        <f t="shared" si="38"/>
        <v>9.8924887180057795E-3</v>
      </c>
      <c r="E1272" s="320">
        <f t="shared" si="39"/>
        <v>1.9164955509924701E-2</v>
      </c>
      <c r="F1272" s="130"/>
      <c r="G1272" s="130"/>
    </row>
    <row r="1273" spans="1:7" ht="14.25" customHeight="1" x14ac:dyDescent="0.3">
      <c r="A1273" s="319" t="s">
        <v>1782</v>
      </c>
      <c r="B1273" s="320">
        <v>25001.150390625</v>
      </c>
      <c r="C1273" s="320">
        <v>1473.5</v>
      </c>
      <c r="D1273" s="320">
        <f t="shared" si="38"/>
        <v>5.9549794562796304E-3</v>
      </c>
      <c r="E1273" s="320">
        <f t="shared" si="39"/>
        <v>-1.04096709200806E-2</v>
      </c>
      <c r="F1273" s="130"/>
      <c r="G1273" s="130"/>
    </row>
    <row r="1274" spans="1:7" ht="14.25" customHeight="1" x14ac:dyDescent="0.3">
      <c r="A1274" s="319" t="s">
        <v>1783</v>
      </c>
      <c r="B1274" s="320">
        <v>24826.19921875</v>
      </c>
      <c r="C1274" s="320">
        <v>1452.5</v>
      </c>
      <c r="D1274" s="320">
        <f t="shared" si="38"/>
        <v>-6.9977248703165101E-3</v>
      </c>
      <c r="E1274" s="320">
        <f t="shared" si="39"/>
        <v>-1.42517814726841E-2</v>
      </c>
      <c r="F1274" s="130"/>
      <c r="G1274" s="130"/>
    </row>
    <row r="1275" spans="1:7" ht="14.25" customHeight="1" x14ac:dyDescent="0.3">
      <c r="A1275" s="319" t="s">
        <v>1784</v>
      </c>
      <c r="B1275" s="320">
        <v>24752.44921875</v>
      </c>
      <c r="C1275" s="320">
        <v>1433</v>
      </c>
      <c r="D1275" s="320">
        <f t="shared" si="38"/>
        <v>-2.9706520659956801E-3</v>
      </c>
      <c r="E1275" s="320">
        <f t="shared" si="39"/>
        <v>-1.3425129087779699E-2</v>
      </c>
      <c r="F1275" s="130"/>
      <c r="G1275" s="130"/>
    </row>
    <row r="1276" spans="1:7" ht="14.25" customHeight="1" x14ac:dyDescent="0.3">
      <c r="A1276" s="319" t="s">
        <v>1785</v>
      </c>
      <c r="B1276" s="320">
        <v>24833.599609375</v>
      </c>
      <c r="C1276" s="320">
        <v>1448</v>
      </c>
      <c r="D1276" s="320">
        <f t="shared" si="38"/>
        <v>3.2784792287758099E-3</v>
      </c>
      <c r="E1276" s="320">
        <f t="shared" si="39"/>
        <v>1.04675505931612E-2</v>
      </c>
      <c r="F1276" s="130"/>
      <c r="G1276" s="130"/>
    </row>
    <row r="1277" spans="1:7" ht="14.25" customHeight="1" x14ac:dyDescent="0.3">
      <c r="A1277" s="319" t="s">
        <v>1786</v>
      </c>
      <c r="B1277" s="320">
        <v>24750.69921875</v>
      </c>
      <c r="C1277" s="320">
        <v>1427.5</v>
      </c>
      <c r="D1277" s="320">
        <f t="shared" si="38"/>
        <v>-3.3382349691143498E-3</v>
      </c>
      <c r="E1277" s="320">
        <f t="shared" si="39"/>
        <v>-1.41574585635359E-2</v>
      </c>
      <c r="F1277" s="130"/>
      <c r="G1277" s="130"/>
    </row>
    <row r="1278" spans="1:7" ht="14.25" customHeight="1" x14ac:dyDescent="0.3">
      <c r="A1278" s="319" t="s">
        <v>1787</v>
      </c>
      <c r="B1278" s="320">
        <v>24716.599609375</v>
      </c>
      <c r="C1278" s="320">
        <v>1430.80004882813</v>
      </c>
      <c r="D1278" s="320">
        <f t="shared" si="38"/>
        <v>-1.37772307253315E-3</v>
      </c>
      <c r="E1278" s="320">
        <f t="shared" si="39"/>
        <v>2.3117680056952698E-3</v>
      </c>
      <c r="F1278" s="130"/>
      <c r="G1278" s="130"/>
    </row>
    <row r="1279" spans="1:7" ht="14.25" customHeight="1" x14ac:dyDescent="0.3">
      <c r="A1279" s="319" t="s">
        <v>1788</v>
      </c>
      <c r="B1279" s="320">
        <v>24542.5</v>
      </c>
      <c r="C1279" s="320">
        <v>1425.30004882813</v>
      </c>
      <c r="D1279" s="320">
        <f t="shared" si="38"/>
        <v>-7.0438333802585098E-3</v>
      </c>
      <c r="E1279" s="320">
        <f t="shared" si="39"/>
        <v>-3.8440032235843701E-3</v>
      </c>
      <c r="F1279" s="130"/>
      <c r="G1279" s="130"/>
    </row>
    <row r="1280" spans="1:7" ht="14.25" customHeight="1" x14ac:dyDescent="0.3">
      <c r="A1280" s="319" t="s">
        <v>1789</v>
      </c>
      <c r="B1280" s="320">
        <v>24620.19921875</v>
      </c>
      <c r="C1280" s="320">
        <v>1410.59997558594</v>
      </c>
      <c r="D1280" s="320">
        <f t="shared" si="38"/>
        <v>3.16590480798615E-3</v>
      </c>
      <c r="E1280" s="320">
        <f t="shared" si="39"/>
        <v>-1.0313669219527701E-2</v>
      </c>
      <c r="F1280" s="130"/>
      <c r="G1280" s="130"/>
    </row>
    <row r="1281" spans="1:7" ht="14.25" customHeight="1" x14ac:dyDescent="0.3">
      <c r="A1281" s="319" t="s">
        <v>1790</v>
      </c>
      <c r="B1281" s="320">
        <v>24750.900390625</v>
      </c>
      <c r="C1281" s="320">
        <v>1474.40002441406</v>
      </c>
      <c r="D1281" s="320">
        <f t="shared" si="38"/>
        <v>5.3086967621066997E-3</v>
      </c>
      <c r="E1281" s="320">
        <f t="shared" si="39"/>
        <v>4.5229015973588499E-2</v>
      </c>
      <c r="F1281" s="130"/>
      <c r="G1281" s="130"/>
    </row>
    <row r="1282" spans="1:7" ht="14.25" customHeight="1" x14ac:dyDescent="0.3">
      <c r="A1282" s="319" t="s">
        <v>1791</v>
      </c>
      <c r="B1282" s="320">
        <v>25003.05078125</v>
      </c>
      <c r="C1282" s="320">
        <v>1507.19995117188</v>
      </c>
      <c r="D1282" s="320">
        <f t="shared" si="38"/>
        <v>1.0187523954502601E-2</v>
      </c>
      <c r="E1282" s="320">
        <f t="shared" si="39"/>
        <v>2.2246287448926899E-2</v>
      </c>
      <c r="F1282" s="130"/>
      <c r="G1282" s="130"/>
    </row>
    <row r="1283" spans="1:7" ht="14.25" customHeight="1" x14ac:dyDescent="0.3">
      <c r="A1283" s="319" t="s">
        <v>1792</v>
      </c>
      <c r="B1283" s="320">
        <v>25103.19921875</v>
      </c>
      <c r="C1283" s="320">
        <v>1519.69995117188</v>
      </c>
      <c r="D1283" s="320">
        <f t="shared" ref="D1283:D1346" si="40">(B1283-B1282)/B1282</f>
        <v>4.0054487100871002E-3</v>
      </c>
      <c r="E1283" s="320">
        <f t="shared" ref="E1283:E1346" si="41">(C1283-C1282)/C1282</f>
        <v>8.2935246848176904E-3</v>
      </c>
      <c r="F1283" s="130"/>
      <c r="G1283" s="130"/>
    </row>
    <row r="1284" spans="1:7" ht="14.25" customHeight="1" x14ac:dyDescent="0.3">
      <c r="A1284" s="319" t="s">
        <v>1793</v>
      </c>
      <c r="B1284" s="320">
        <v>25104.25</v>
      </c>
      <c r="C1284" s="320">
        <v>1534.90002441406</v>
      </c>
      <c r="D1284" s="320">
        <f t="shared" si="40"/>
        <v>4.1858459586902102E-5</v>
      </c>
      <c r="E1284" s="320">
        <f t="shared" si="41"/>
        <v>1.00020225903533E-2</v>
      </c>
      <c r="F1284" s="130"/>
      <c r="G1284" s="130"/>
    </row>
    <row r="1285" spans="1:7" ht="14.25" customHeight="1" x14ac:dyDescent="0.3">
      <c r="A1285" s="319" t="s">
        <v>1794</v>
      </c>
      <c r="B1285" s="320">
        <v>25141.400390625</v>
      </c>
      <c r="C1285" s="320">
        <v>1505.90002441406</v>
      </c>
      <c r="D1285" s="320">
        <f t="shared" si="40"/>
        <v>1.4798446727147801E-3</v>
      </c>
      <c r="E1285" s="320">
        <f t="shared" si="41"/>
        <v>-1.88937387052753E-2</v>
      </c>
      <c r="F1285" s="130"/>
      <c r="G1285" s="130"/>
    </row>
    <row r="1286" spans="1:7" ht="14.25" customHeight="1" x14ac:dyDescent="0.3">
      <c r="A1286" s="319" t="s">
        <v>1795</v>
      </c>
      <c r="B1286" s="320">
        <v>24888.19921875</v>
      </c>
      <c r="C1286" s="320">
        <v>1468.40002441406</v>
      </c>
      <c r="D1286" s="320">
        <f t="shared" si="40"/>
        <v>-1.0071084662786599E-2</v>
      </c>
      <c r="E1286" s="320">
        <f t="shared" si="41"/>
        <v>-2.4902051525360101E-2</v>
      </c>
      <c r="F1286" s="130"/>
      <c r="G1286" s="130"/>
    </row>
    <row r="1287" spans="1:7" ht="14.25" customHeight="1" x14ac:dyDescent="0.3">
      <c r="A1287" s="319" t="s">
        <v>1796</v>
      </c>
      <c r="B1287" s="320">
        <v>24718.599609375</v>
      </c>
      <c r="C1287" s="320">
        <v>1459.80004882813</v>
      </c>
      <c r="D1287" s="320">
        <f t="shared" si="40"/>
        <v>-6.8144588479197403E-3</v>
      </c>
      <c r="E1287" s="320">
        <f t="shared" si="41"/>
        <v>-5.8566980679271401E-3</v>
      </c>
      <c r="F1287" s="130"/>
      <c r="G1287" s="130"/>
    </row>
    <row r="1288" spans="1:7" ht="14.25" customHeight="1" x14ac:dyDescent="0.3">
      <c r="A1288" s="319" t="s">
        <v>1797</v>
      </c>
      <c r="B1288" s="320">
        <v>24946.5</v>
      </c>
      <c r="C1288" s="320">
        <v>1488.40002441406</v>
      </c>
      <c r="D1288" s="320">
        <f t="shared" si="40"/>
        <v>9.2197937677086107E-3</v>
      </c>
      <c r="E1288" s="320">
        <f t="shared" si="41"/>
        <v>1.9591707514250999E-2</v>
      </c>
      <c r="F1288" s="130"/>
      <c r="G1288" s="130"/>
    </row>
    <row r="1289" spans="1:7" ht="14.25" customHeight="1" x14ac:dyDescent="0.3">
      <c r="A1289" s="319" t="s">
        <v>1798</v>
      </c>
      <c r="B1289" s="320">
        <v>24853.400390625</v>
      </c>
      <c r="C1289" s="320">
        <v>1475.40002441406</v>
      </c>
      <c r="D1289" s="320">
        <f t="shared" si="40"/>
        <v>-3.7319707924959398E-3</v>
      </c>
      <c r="E1289" s="320">
        <f t="shared" si="41"/>
        <v>-8.7342110902730793E-3</v>
      </c>
      <c r="F1289" s="130"/>
      <c r="G1289" s="130"/>
    </row>
    <row r="1290" spans="1:7" ht="14.25" customHeight="1" x14ac:dyDescent="0.3">
      <c r="A1290" s="319" t="s">
        <v>1799</v>
      </c>
      <c r="B1290" s="320">
        <v>24812.05078125</v>
      </c>
      <c r="C1290" s="320">
        <v>1467.59997558594</v>
      </c>
      <c r="D1290" s="320">
        <f t="shared" si="40"/>
        <v>-1.6637405234334701E-3</v>
      </c>
      <c r="E1290" s="320">
        <f t="shared" si="41"/>
        <v>-5.2867349186995604E-3</v>
      </c>
      <c r="F1290" s="130"/>
      <c r="G1290" s="130"/>
    </row>
    <row r="1291" spans="1:7" ht="14.25" customHeight="1" x14ac:dyDescent="0.3">
      <c r="A1291" s="319" t="s">
        <v>1800</v>
      </c>
      <c r="B1291" s="320">
        <v>24793.25</v>
      </c>
      <c r="C1291" s="320">
        <v>1469.30004882813</v>
      </c>
      <c r="D1291" s="320">
        <f t="shared" si="40"/>
        <v>-7.5772782410260899E-4</v>
      </c>
      <c r="E1291" s="320">
        <f t="shared" si="41"/>
        <v>1.1584037002394E-3</v>
      </c>
      <c r="F1291" s="130"/>
      <c r="G1291" s="130"/>
    </row>
    <row r="1292" spans="1:7" ht="14.25" customHeight="1" x14ac:dyDescent="0.3">
      <c r="A1292" s="319" t="s">
        <v>1801</v>
      </c>
      <c r="B1292" s="320">
        <v>25112.400390625</v>
      </c>
      <c r="C1292" s="320">
        <v>1505.09997558594</v>
      </c>
      <c r="D1292" s="320">
        <f t="shared" si="40"/>
        <v>1.2872470959837901E-2</v>
      </c>
      <c r="E1292" s="320">
        <f t="shared" si="41"/>
        <v>2.4365293383310602E-2</v>
      </c>
      <c r="F1292" s="130"/>
      <c r="G1292" s="130"/>
    </row>
    <row r="1293" spans="1:7" ht="14.25" customHeight="1" x14ac:dyDescent="0.3">
      <c r="A1293" s="319" t="s">
        <v>1802</v>
      </c>
      <c r="B1293" s="320">
        <v>24971.900390625</v>
      </c>
      <c r="C1293" s="320">
        <v>1482.19995117188</v>
      </c>
      <c r="D1293" s="320">
        <f t="shared" si="40"/>
        <v>-5.5948454872697699E-3</v>
      </c>
      <c r="E1293" s="320">
        <f t="shared" si="41"/>
        <v>-1.5214952352347899E-2</v>
      </c>
      <c r="F1293" s="130"/>
      <c r="G1293" s="130"/>
    </row>
    <row r="1294" spans="1:7" ht="14.25" customHeight="1" x14ac:dyDescent="0.3">
      <c r="A1294" s="319" t="s">
        <v>1803</v>
      </c>
      <c r="B1294" s="320">
        <v>25044.349609375</v>
      </c>
      <c r="C1294" s="320">
        <v>1505.5</v>
      </c>
      <c r="D1294" s="320">
        <f t="shared" si="40"/>
        <v>2.9012296868362901E-3</v>
      </c>
      <c r="E1294" s="320">
        <f t="shared" si="41"/>
        <v>1.5719909321072499E-2</v>
      </c>
      <c r="F1294" s="130"/>
      <c r="G1294" s="130"/>
    </row>
    <row r="1295" spans="1:7" ht="14.25" customHeight="1" x14ac:dyDescent="0.3">
      <c r="A1295" s="319" t="s">
        <v>1804</v>
      </c>
      <c r="B1295" s="320">
        <v>25244.75</v>
      </c>
      <c r="C1295" s="320">
        <v>1509.59997558594</v>
      </c>
      <c r="D1295" s="320">
        <f t="shared" si="40"/>
        <v>8.0018205204252096E-3</v>
      </c>
      <c r="E1295" s="320">
        <f t="shared" si="41"/>
        <v>2.7233315084290899E-3</v>
      </c>
      <c r="F1295" s="130"/>
      <c r="G1295" s="130"/>
    </row>
    <row r="1296" spans="1:7" ht="14.25" customHeight="1" x14ac:dyDescent="0.3">
      <c r="A1296" s="319" t="s">
        <v>1805</v>
      </c>
      <c r="B1296" s="320">
        <v>25549</v>
      </c>
      <c r="C1296" s="320">
        <v>1516.40002441406</v>
      </c>
      <c r="D1296" s="320">
        <f t="shared" si="40"/>
        <v>1.20520108141297E-2</v>
      </c>
      <c r="E1296" s="320">
        <f t="shared" si="41"/>
        <v>4.5045369224258301E-3</v>
      </c>
      <c r="F1296" s="130"/>
      <c r="G1296" s="130"/>
    </row>
    <row r="1297" spans="1:7" ht="14.25" customHeight="1" x14ac:dyDescent="0.3">
      <c r="A1297" s="319" t="s">
        <v>1806</v>
      </c>
      <c r="B1297" s="320">
        <v>25637.80078125</v>
      </c>
      <c r="C1297" s="320">
        <v>1508.09997558594</v>
      </c>
      <c r="D1297" s="320">
        <f t="shared" si="40"/>
        <v>3.4757047731809499E-3</v>
      </c>
      <c r="E1297" s="320">
        <f t="shared" si="41"/>
        <v>-5.4735219562708397E-3</v>
      </c>
      <c r="F1297" s="130"/>
      <c r="G1297" s="130"/>
    </row>
    <row r="1298" spans="1:7" ht="14.25" customHeight="1" x14ac:dyDescent="0.3">
      <c r="A1298" s="319" t="s">
        <v>1807</v>
      </c>
      <c r="B1298" s="320">
        <v>25517.05078125</v>
      </c>
      <c r="C1298" s="320">
        <v>1488.30004882813</v>
      </c>
      <c r="D1298" s="320">
        <f t="shared" si="40"/>
        <v>-4.7098423546652101E-3</v>
      </c>
      <c r="E1298" s="320">
        <f t="shared" si="41"/>
        <v>-1.31290544913093E-2</v>
      </c>
      <c r="F1298" s="130"/>
      <c r="G1298" s="130"/>
    </row>
    <row r="1299" spans="1:7" ht="14.25" customHeight="1" x14ac:dyDescent="0.3">
      <c r="A1299" s="319" t="s">
        <v>1808</v>
      </c>
      <c r="B1299" s="320">
        <v>25541.80078125</v>
      </c>
      <c r="C1299" s="320">
        <v>1449.5</v>
      </c>
      <c r="D1299" s="320">
        <f t="shared" si="40"/>
        <v>9.6993967728380105E-4</v>
      </c>
      <c r="E1299" s="320">
        <f t="shared" si="41"/>
        <v>-2.6070044718926599E-2</v>
      </c>
      <c r="F1299" s="130"/>
      <c r="G1299" s="130"/>
    </row>
    <row r="1300" spans="1:7" ht="14.25" customHeight="1" x14ac:dyDescent="0.3">
      <c r="A1300" s="319" t="s">
        <v>1809</v>
      </c>
      <c r="B1300" s="320">
        <v>25453.400390625</v>
      </c>
      <c r="C1300" s="320">
        <v>1451.90002441406</v>
      </c>
      <c r="D1300" s="320">
        <f t="shared" si="40"/>
        <v>-3.4610085397695999E-3</v>
      </c>
      <c r="E1300" s="320">
        <f t="shared" si="41"/>
        <v>1.65576020286995E-3</v>
      </c>
      <c r="F1300" s="130"/>
      <c r="G1300" s="130"/>
    </row>
    <row r="1301" spans="1:7" ht="14.25" customHeight="1" x14ac:dyDescent="0.3">
      <c r="A1301" s="319" t="s">
        <v>1810</v>
      </c>
      <c r="B1301" s="320">
        <v>25405.30078125</v>
      </c>
      <c r="C1301" s="320">
        <v>1445.19995117188</v>
      </c>
      <c r="D1301" s="320">
        <f t="shared" si="40"/>
        <v>-1.88971251922458E-3</v>
      </c>
      <c r="E1301" s="320">
        <f t="shared" si="41"/>
        <v>-4.6146932498909001E-3</v>
      </c>
      <c r="F1301" s="130"/>
      <c r="G1301" s="130"/>
    </row>
    <row r="1302" spans="1:7" ht="14.25" customHeight="1" x14ac:dyDescent="0.3">
      <c r="A1302" s="319" t="s">
        <v>1811</v>
      </c>
      <c r="B1302" s="320">
        <v>25461</v>
      </c>
      <c r="C1302" s="320">
        <v>1486.40002441406</v>
      </c>
      <c r="D1302" s="320">
        <f t="shared" si="40"/>
        <v>2.1924250859926002E-3</v>
      </c>
      <c r="E1302" s="320">
        <f t="shared" si="41"/>
        <v>2.8508216602672699E-2</v>
      </c>
      <c r="F1302" s="130"/>
      <c r="G1302" s="130"/>
    </row>
    <row r="1303" spans="1:7" ht="14.25" customHeight="1" x14ac:dyDescent="0.3">
      <c r="A1303" s="319" t="s">
        <v>1812</v>
      </c>
      <c r="B1303" s="320">
        <v>25461.30078125</v>
      </c>
      <c r="C1303" s="320">
        <v>1431.09997558594</v>
      </c>
      <c r="D1303" s="320">
        <f t="shared" si="40"/>
        <v>1.18134107065708E-5</v>
      </c>
      <c r="E1303" s="320">
        <f t="shared" si="41"/>
        <v>-3.7204015016024598E-2</v>
      </c>
      <c r="F1303" s="130"/>
      <c r="G1303" s="130"/>
    </row>
    <row r="1304" spans="1:7" ht="14.25" customHeight="1" x14ac:dyDescent="0.3">
      <c r="A1304" s="319" t="s">
        <v>1813</v>
      </c>
      <c r="B1304" s="320">
        <v>25522.5</v>
      </c>
      <c r="C1304" s="320">
        <v>1458.90002441406</v>
      </c>
      <c r="D1304" s="320">
        <f t="shared" si="40"/>
        <v>2.4036171315751399E-3</v>
      </c>
      <c r="E1304" s="320">
        <f t="shared" si="41"/>
        <v>1.9425651109202E-2</v>
      </c>
      <c r="F1304" s="130"/>
      <c r="G1304" s="130"/>
    </row>
    <row r="1305" spans="1:7" ht="14.25" customHeight="1" x14ac:dyDescent="0.3">
      <c r="A1305" s="319" t="s">
        <v>1814</v>
      </c>
      <c r="B1305" s="320">
        <v>25476.099609375</v>
      </c>
      <c r="C1305" s="320">
        <v>1447.09997558594</v>
      </c>
      <c r="D1305" s="320">
        <f t="shared" si="40"/>
        <v>-1.8180190273288301E-3</v>
      </c>
      <c r="E1305" s="320">
        <f t="shared" si="41"/>
        <v>-8.0883190284812504E-3</v>
      </c>
      <c r="F1305" s="130"/>
      <c r="G1305" s="130"/>
    </row>
    <row r="1306" spans="1:7" ht="14.25" customHeight="1" x14ac:dyDescent="0.3">
      <c r="A1306" s="319" t="s">
        <v>1815</v>
      </c>
      <c r="B1306" s="320">
        <v>25355.25</v>
      </c>
      <c r="C1306" s="320">
        <v>1420.09997558594</v>
      </c>
      <c r="D1306" s="320">
        <f t="shared" si="40"/>
        <v>-4.74364644619808E-3</v>
      </c>
      <c r="E1306" s="320">
        <f t="shared" si="41"/>
        <v>-1.86580059812851E-2</v>
      </c>
      <c r="F1306" s="130"/>
      <c r="G1306" s="130"/>
    </row>
    <row r="1307" spans="1:7" ht="14.25" customHeight="1" x14ac:dyDescent="0.3">
      <c r="A1307" s="319" t="s">
        <v>1816</v>
      </c>
      <c r="B1307" s="320">
        <v>25149.849609375</v>
      </c>
      <c r="C1307" s="320">
        <v>1375.19995117188</v>
      </c>
      <c r="D1307" s="320">
        <f t="shared" si="40"/>
        <v>-8.1009018102759806E-3</v>
      </c>
      <c r="E1307" s="320">
        <f t="shared" si="41"/>
        <v>-3.1617509461285699E-2</v>
      </c>
      <c r="F1307" s="130"/>
      <c r="G1307" s="130"/>
    </row>
    <row r="1308" spans="1:7" ht="14.25" customHeight="1" x14ac:dyDescent="0.3">
      <c r="A1308" s="319" t="s">
        <v>1817</v>
      </c>
      <c r="B1308" s="320">
        <v>25082.30078125</v>
      </c>
      <c r="C1308" s="320">
        <v>1399</v>
      </c>
      <c r="D1308" s="320">
        <f t="shared" si="40"/>
        <v>-2.68585415714852E-3</v>
      </c>
      <c r="E1308" s="320">
        <f t="shared" si="41"/>
        <v>1.7306609709983399E-2</v>
      </c>
      <c r="F1308" s="130"/>
      <c r="G1308" s="130"/>
    </row>
    <row r="1309" spans="1:7" ht="14.25" customHeight="1" x14ac:dyDescent="0.3">
      <c r="A1309" s="319" t="s">
        <v>1818</v>
      </c>
      <c r="B1309" s="320">
        <v>25195.80078125</v>
      </c>
      <c r="C1309" s="320">
        <v>1403.19995117188</v>
      </c>
      <c r="D1309" s="320">
        <f t="shared" si="40"/>
        <v>4.52510321879425E-3</v>
      </c>
      <c r="E1309" s="320">
        <f t="shared" si="41"/>
        <v>3.0021094866904902E-3</v>
      </c>
      <c r="F1309" s="130"/>
      <c r="G1309" s="130"/>
    </row>
    <row r="1310" spans="1:7" ht="14.25" customHeight="1" x14ac:dyDescent="0.3">
      <c r="A1310" s="319" t="s">
        <v>1819</v>
      </c>
      <c r="B1310" s="320">
        <v>25212.05078125</v>
      </c>
      <c r="C1310" s="320">
        <v>1393.40002441406</v>
      </c>
      <c r="D1310" s="320">
        <f t="shared" si="40"/>
        <v>6.4494874130346296E-4</v>
      </c>
      <c r="E1310" s="320">
        <f t="shared" si="41"/>
        <v>-6.9839845345174203E-3</v>
      </c>
      <c r="F1310" s="130"/>
      <c r="G1310" s="130"/>
    </row>
    <row r="1311" spans="1:7" ht="14.25" customHeight="1" x14ac:dyDescent="0.3">
      <c r="A1311" s="319" t="s">
        <v>1820</v>
      </c>
      <c r="B1311" s="320">
        <v>25111.44921875</v>
      </c>
      <c r="C1311" s="320">
        <v>1379.30004882813</v>
      </c>
      <c r="D1311" s="320">
        <f t="shared" si="40"/>
        <v>-3.9902173517283503E-3</v>
      </c>
      <c r="E1311" s="320">
        <f t="shared" si="41"/>
        <v>-1.0119115357313999E-2</v>
      </c>
      <c r="F1311" s="130"/>
      <c r="G1311" s="130"/>
    </row>
    <row r="1312" spans="1:7" ht="14.25" customHeight="1" x14ac:dyDescent="0.3">
      <c r="A1312" s="319" t="s">
        <v>1821</v>
      </c>
      <c r="B1312" s="320">
        <v>24968.400390625</v>
      </c>
      <c r="C1312" s="320">
        <v>1364.80004882813</v>
      </c>
      <c r="D1312" s="320">
        <f t="shared" si="40"/>
        <v>-5.6965580472428303E-3</v>
      </c>
      <c r="E1312" s="320">
        <f t="shared" si="41"/>
        <v>-1.05125784721891E-2</v>
      </c>
      <c r="F1312" s="130"/>
      <c r="G1312" s="130"/>
    </row>
    <row r="1313" spans="1:7" ht="14.25" customHeight="1" x14ac:dyDescent="0.3">
      <c r="A1313" s="319" t="s">
        <v>1822</v>
      </c>
      <c r="B1313" s="320">
        <v>25090.69921875</v>
      </c>
      <c r="C1313" s="320">
        <v>1399.80004882813</v>
      </c>
      <c r="D1313" s="320">
        <f t="shared" si="40"/>
        <v>4.8981443028653197E-3</v>
      </c>
      <c r="E1313" s="320">
        <f t="shared" si="41"/>
        <v>2.5644782200918301E-2</v>
      </c>
      <c r="F1313" s="130"/>
      <c r="G1313" s="130"/>
    </row>
    <row r="1314" spans="1:7" ht="14.25" customHeight="1" x14ac:dyDescent="0.3">
      <c r="A1314" s="319" t="s">
        <v>1823</v>
      </c>
      <c r="B1314" s="320">
        <v>25060.900390625</v>
      </c>
      <c r="C1314" s="320">
        <v>1458.80004882813</v>
      </c>
      <c r="D1314" s="320">
        <f t="shared" si="40"/>
        <v>-1.18764438827323E-3</v>
      </c>
      <c r="E1314" s="320">
        <f t="shared" si="41"/>
        <v>4.2148876940955197E-2</v>
      </c>
      <c r="F1314" s="130"/>
      <c r="G1314" s="130"/>
    </row>
    <row r="1315" spans="1:7" ht="14.25" customHeight="1" x14ac:dyDescent="0.3">
      <c r="A1315" s="319" t="s">
        <v>1824</v>
      </c>
      <c r="B1315" s="320">
        <v>25219.900390625</v>
      </c>
      <c r="C1315" s="320">
        <v>1475</v>
      </c>
      <c r="D1315" s="320">
        <f t="shared" si="40"/>
        <v>6.3445445902446497E-3</v>
      </c>
      <c r="E1315" s="320">
        <f t="shared" si="41"/>
        <v>1.11049839797329E-2</v>
      </c>
      <c r="F1315" s="130"/>
      <c r="G1315" s="130"/>
    </row>
    <row r="1316" spans="1:7" ht="14.25" customHeight="1" x14ac:dyDescent="0.3">
      <c r="A1316" s="319" t="s">
        <v>1825</v>
      </c>
      <c r="B1316" s="320">
        <v>25062.099609375</v>
      </c>
      <c r="C1316" s="320">
        <v>1457.19995117188</v>
      </c>
      <c r="D1316" s="320">
        <f t="shared" si="40"/>
        <v>-6.2569946274910497E-3</v>
      </c>
      <c r="E1316" s="320">
        <f t="shared" si="41"/>
        <v>-1.20678297139797E-2</v>
      </c>
      <c r="F1316" s="130"/>
      <c r="G1316" s="130"/>
    </row>
    <row r="1317" spans="1:7" ht="14.25" customHeight="1" x14ac:dyDescent="0.3">
      <c r="A1317" s="319" t="s">
        <v>1826</v>
      </c>
      <c r="B1317" s="320">
        <v>24837</v>
      </c>
      <c r="C1317" s="320">
        <v>1436.5</v>
      </c>
      <c r="D1317" s="320">
        <f t="shared" si="40"/>
        <v>-8.9816740370306705E-3</v>
      </c>
      <c r="E1317" s="320">
        <f t="shared" si="41"/>
        <v>-1.4205292249174901E-2</v>
      </c>
      <c r="F1317" s="130"/>
      <c r="G1317" s="130"/>
    </row>
    <row r="1318" spans="1:7" ht="14.25" customHeight="1" x14ac:dyDescent="0.3">
      <c r="A1318" s="319" t="s">
        <v>1827</v>
      </c>
      <c r="B1318" s="320">
        <v>24680.900390625</v>
      </c>
      <c r="C1318" s="320">
        <v>1409.5</v>
      </c>
      <c r="D1318" s="320">
        <f t="shared" si="40"/>
        <v>-6.2849623293876099E-3</v>
      </c>
      <c r="E1318" s="320">
        <f t="shared" si="41"/>
        <v>-1.8795683954054999E-2</v>
      </c>
      <c r="F1318" s="130"/>
      <c r="G1318" s="130"/>
    </row>
    <row r="1319" spans="1:7" ht="14.25" customHeight="1" x14ac:dyDescent="0.3">
      <c r="A1319" s="319" t="s">
        <v>1828</v>
      </c>
      <c r="B1319" s="320">
        <v>24821.099609375</v>
      </c>
      <c r="C1319" s="320">
        <v>1409.40002441406</v>
      </c>
      <c r="D1319" s="320">
        <f t="shared" si="40"/>
        <v>5.6804742343700898E-3</v>
      </c>
      <c r="E1319" s="320">
        <f t="shared" si="41"/>
        <v>-7.0929823299043006E-5</v>
      </c>
      <c r="F1319" s="130"/>
      <c r="G1319" s="130"/>
    </row>
    <row r="1320" spans="1:7" ht="14.25" customHeight="1" x14ac:dyDescent="0.3">
      <c r="A1320" s="319" t="s">
        <v>1829</v>
      </c>
      <c r="B1320" s="320">
        <v>24855.05078125</v>
      </c>
      <c r="C1320" s="320">
        <v>1395.59997558594</v>
      </c>
      <c r="D1320" s="320">
        <f t="shared" si="40"/>
        <v>1.36783512452351E-3</v>
      </c>
      <c r="E1320" s="320">
        <f t="shared" si="41"/>
        <v>-9.7914350710027794E-3</v>
      </c>
      <c r="F1320" s="130"/>
      <c r="G1320" s="130"/>
    </row>
    <row r="1321" spans="1:7" ht="14.25" customHeight="1" x14ac:dyDescent="0.3">
      <c r="A1321" s="319" t="s">
        <v>1830</v>
      </c>
      <c r="B1321" s="320">
        <v>24768.349609375</v>
      </c>
      <c r="C1321" s="320">
        <v>1392.30004882813</v>
      </c>
      <c r="D1321" s="320">
        <f t="shared" si="40"/>
        <v>-3.4882717656889699E-3</v>
      </c>
      <c r="E1321" s="320">
        <f t="shared" si="41"/>
        <v>-2.3645219371865702E-3</v>
      </c>
      <c r="F1321" s="130"/>
      <c r="G1321" s="130"/>
    </row>
    <row r="1322" spans="1:7" ht="14.25" customHeight="1" x14ac:dyDescent="0.3">
      <c r="A1322" s="319" t="s">
        <v>1831</v>
      </c>
      <c r="B1322" s="320">
        <v>24565.349609375</v>
      </c>
      <c r="C1322" s="320">
        <v>1367.90002441406</v>
      </c>
      <c r="D1322" s="320">
        <f t="shared" si="40"/>
        <v>-8.1959437427822392E-3</v>
      </c>
      <c r="E1322" s="320">
        <f t="shared" si="41"/>
        <v>-1.75249756218906E-2</v>
      </c>
      <c r="F1322" s="130"/>
      <c r="G1322" s="130"/>
    </row>
    <row r="1323" spans="1:7" ht="14.25" customHeight="1" x14ac:dyDescent="0.3">
      <c r="A1323" s="319" t="s">
        <v>1832</v>
      </c>
      <c r="B1323" s="320">
        <v>24722.75</v>
      </c>
      <c r="C1323" s="320">
        <v>1370.90002441406</v>
      </c>
      <c r="D1323" s="320">
        <f t="shared" si="40"/>
        <v>6.4074150430544E-3</v>
      </c>
      <c r="E1323" s="320">
        <f t="shared" si="41"/>
        <v>2.1931427344516999E-3</v>
      </c>
      <c r="F1323" s="130"/>
      <c r="G1323" s="130"/>
    </row>
    <row r="1324" spans="1:7" ht="14.25" customHeight="1" x14ac:dyDescent="0.3">
      <c r="A1324" s="319" t="s">
        <v>1833</v>
      </c>
      <c r="B1324" s="320">
        <v>24649.55078125</v>
      </c>
      <c r="C1324" s="320">
        <v>1341.69995117188</v>
      </c>
      <c r="D1324" s="320">
        <f t="shared" si="40"/>
        <v>-2.9608040671041899E-3</v>
      </c>
      <c r="E1324" s="320">
        <f t="shared" si="41"/>
        <v>-2.1299929040894498E-2</v>
      </c>
      <c r="F1324" s="130"/>
      <c r="G1324" s="130"/>
    </row>
    <row r="1325" spans="1:7" ht="14.25" customHeight="1" x14ac:dyDescent="0.3">
      <c r="A1325" s="319" t="s">
        <v>1834</v>
      </c>
      <c r="B1325" s="320">
        <v>24574.19921875</v>
      </c>
      <c r="C1325" s="320">
        <v>1322.40002441406</v>
      </c>
      <c r="D1325" s="320">
        <f t="shared" si="40"/>
        <v>-3.0569142281212298E-3</v>
      </c>
      <c r="E1325" s="320">
        <f t="shared" si="41"/>
        <v>-1.43846817173712E-2</v>
      </c>
      <c r="F1325" s="130"/>
      <c r="G1325" s="130"/>
    </row>
    <row r="1326" spans="1:7" ht="14.25" customHeight="1" x14ac:dyDescent="0.3">
      <c r="A1326" s="319" t="s">
        <v>1835</v>
      </c>
      <c r="B1326" s="320">
        <v>24596.150390625</v>
      </c>
      <c r="C1326" s="320">
        <v>1361.69995117188</v>
      </c>
      <c r="D1326" s="320">
        <f t="shared" si="40"/>
        <v>8.9326092295415895E-4</v>
      </c>
      <c r="E1326" s="320">
        <f t="shared" si="41"/>
        <v>2.9718637350474399E-2</v>
      </c>
      <c r="F1326" s="130"/>
      <c r="G1326" s="130"/>
    </row>
    <row r="1327" spans="1:7" ht="14.25" customHeight="1" x14ac:dyDescent="0.3">
      <c r="A1327" s="319" t="s">
        <v>1836</v>
      </c>
      <c r="B1327" s="320">
        <v>24363.30078125</v>
      </c>
      <c r="C1327" s="320">
        <v>1332</v>
      </c>
      <c r="D1327" s="320">
        <f t="shared" si="40"/>
        <v>-9.4669127354072603E-3</v>
      </c>
      <c r="E1327" s="320">
        <f t="shared" si="41"/>
        <v>-2.1810936503537499E-2</v>
      </c>
      <c r="F1327" s="130"/>
      <c r="G1327" s="130"/>
    </row>
    <row r="1328" spans="1:7" ht="14.25" customHeight="1" x14ac:dyDescent="0.3">
      <c r="A1328" s="319" t="s">
        <v>1837</v>
      </c>
      <c r="B1328" s="320">
        <v>24585.05078125</v>
      </c>
      <c r="C1328" s="320">
        <v>1320.59997558594</v>
      </c>
      <c r="D1328" s="320">
        <f t="shared" si="40"/>
        <v>9.1018044718578894E-3</v>
      </c>
      <c r="E1328" s="320">
        <f t="shared" si="41"/>
        <v>-8.5585768874324297E-3</v>
      </c>
      <c r="F1328" s="130"/>
      <c r="G1328" s="130"/>
    </row>
    <row r="1329" spans="1:7" ht="14.25" customHeight="1" x14ac:dyDescent="0.3">
      <c r="A1329" s="319" t="s">
        <v>1838</v>
      </c>
      <c r="B1329" s="320">
        <v>24487.400390625</v>
      </c>
      <c r="C1329" s="320">
        <v>1321.19995117188</v>
      </c>
      <c r="D1329" s="320">
        <f t="shared" si="40"/>
        <v>-3.9719417907191799E-3</v>
      </c>
      <c r="E1329" s="320">
        <f t="shared" si="41"/>
        <v>4.54320458149181E-4</v>
      </c>
      <c r="F1329" s="130"/>
      <c r="G1329" s="130"/>
    </row>
    <row r="1330" spans="1:7" ht="14.25" customHeight="1" x14ac:dyDescent="0.3">
      <c r="A1330" s="319" t="s">
        <v>1839</v>
      </c>
      <c r="B1330" s="320">
        <v>24619.349609375</v>
      </c>
      <c r="C1330" s="320">
        <v>1325.90002441406</v>
      </c>
      <c r="D1330" s="320">
        <f t="shared" si="40"/>
        <v>5.3884535167120799E-3</v>
      </c>
      <c r="E1330" s="320">
        <f t="shared" si="41"/>
        <v>3.5574276535592698E-3</v>
      </c>
      <c r="F1330" s="130"/>
      <c r="G1330" s="130"/>
    </row>
    <row r="1331" spans="1:7" ht="14.25" customHeight="1" x14ac:dyDescent="0.3">
      <c r="A1331" s="319" t="s">
        <v>1840</v>
      </c>
      <c r="B1331" s="320">
        <v>24631.30078125</v>
      </c>
      <c r="C1331" s="320">
        <v>1365.40002441406</v>
      </c>
      <c r="D1331" s="320">
        <f t="shared" si="40"/>
        <v>4.85438164071118E-4</v>
      </c>
      <c r="E1331" s="320">
        <f t="shared" si="41"/>
        <v>2.9791084752001401E-2</v>
      </c>
      <c r="F1331" s="130"/>
      <c r="G1331" s="130"/>
    </row>
    <row r="1332" spans="1:7" ht="14.25" customHeight="1" x14ac:dyDescent="0.3">
      <c r="A1332" s="319" t="s">
        <v>1841</v>
      </c>
      <c r="B1332" s="320">
        <v>24876.94921875</v>
      </c>
      <c r="C1332" s="320">
        <v>1353.59997558594</v>
      </c>
      <c r="D1332" s="320">
        <f t="shared" si="40"/>
        <v>9.9730192766349594E-3</v>
      </c>
      <c r="E1332" s="320">
        <f t="shared" si="41"/>
        <v>-8.6421917512296796E-3</v>
      </c>
      <c r="F1332" s="130"/>
      <c r="G1332" s="130"/>
    </row>
    <row r="1333" spans="1:7" ht="14.25" customHeight="1" x14ac:dyDescent="0.3">
      <c r="A1333" s="319" t="s">
        <v>1842</v>
      </c>
      <c r="B1333" s="320">
        <v>24980.650390625</v>
      </c>
      <c r="C1333" s="320">
        <v>1380.80004882813</v>
      </c>
      <c r="D1333" s="320">
        <f t="shared" si="40"/>
        <v>4.16856468062569E-3</v>
      </c>
      <c r="E1333" s="320">
        <f t="shared" si="41"/>
        <v>2.00946171193714E-2</v>
      </c>
      <c r="F1333" s="130"/>
      <c r="G1333" s="130"/>
    </row>
    <row r="1334" spans="1:7" ht="14.25" customHeight="1" x14ac:dyDescent="0.3">
      <c r="A1334" s="319" t="s">
        <v>1843</v>
      </c>
      <c r="B1334" s="320">
        <v>25050.55078125</v>
      </c>
      <c r="C1334" s="320">
        <v>1395.5</v>
      </c>
      <c r="D1334" s="320">
        <f t="shared" si="40"/>
        <v>2.7981813736616301E-3</v>
      </c>
      <c r="E1334" s="320">
        <f t="shared" si="41"/>
        <v>1.06459665788292E-2</v>
      </c>
      <c r="F1334" s="130"/>
      <c r="G1334" s="130"/>
    </row>
    <row r="1335" spans="1:7" ht="14.25" customHeight="1" x14ac:dyDescent="0.3">
      <c r="A1335" s="319" t="s">
        <v>1844</v>
      </c>
      <c r="B1335" s="320">
        <v>25083.75</v>
      </c>
      <c r="C1335" s="320">
        <v>1412.80004882813</v>
      </c>
      <c r="D1335" s="320">
        <f t="shared" si="40"/>
        <v>1.3252889742787299E-3</v>
      </c>
      <c r="E1335" s="320">
        <f t="shared" si="41"/>
        <v>1.23970253157506E-2</v>
      </c>
      <c r="F1335" s="130"/>
      <c r="G1335" s="130"/>
    </row>
    <row r="1336" spans="1:7" ht="14.25" customHeight="1" x14ac:dyDescent="0.3">
      <c r="A1336" s="319" t="s">
        <v>1845</v>
      </c>
      <c r="B1336" s="320">
        <v>24870.099609375</v>
      </c>
      <c r="C1336" s="320">
        <v>1380.59997558594</v>
      </c>
      <c r="D1336" s="320">
        <f t="shared" si="40"/>
        <v>-8.5174820600986707E-3</v>
      </c>
      <c r="E1336" s="320">
        <f t="shared" si="41"/>
        <v>-2.2791670533207398E-2</v>
      </c>
      <c r="F1336" s="130"/>
      <c r="G1336" s="130"/>
    </row>
    <row r="1337" spans="1:7" ht="14.25" customHeight="1" x14ac:dyDescent="0.3">
      <c r="A1337" s="319" t="s">
        <v>1846</v>
      </c>
      <c r="B1337" s="320">
        <v>24967.75</v>
      </c>
      <c r="C1337" s="320">
        <v>1406.09997558594</v>
      </c>
      <c r="D1337" s="320">
        <f t="shared" si="40"/>
        <v>3.9264173509055804E-3</v>
      </c>
      <c r="E1337" s="320">
        <f t="shared" si="41"/>
        <v>1.8470230661258399E-2</v>
      </c>
      <c r="F1337" s="130"/>
      <c r="G1337" s="130"/>
    </row>
    <row r="1338" spans="1:7" ht="14.25" customHeight="1" x14ac:dyDescent="0.3">
      <c r="A1338" s="319" t="s">
        <v>1847</v>
      </c>
      <c r="B1338" s="320">
        <v>24712.05078125</v>
      </c>
      <c r="C1338" s="320">
        <v>1395.69995117188</v>
      </c>
      <c r="D1338" s="320">
        <f t="shared" si="40"/>
        <v>-1.02411798720349E-2</v>
      </c>
      <c r="E1338" s="320">
        <f t="shared" si="41"/>
        <v>-7.3963619903529097E-3</v>
      </c>
      <c r="F1338" s="130"/>
      <c r="G1338" s="130"/>
    </row>
    <row r="1339" spans="1:7" ht="14.25" customHeight="1" x14ac:dyDescent="0.3">
      <c r="A1339" s="319" t="s">
        <v>1848</v>
      </c>
      <c r="B1339" s="320">
        <v>24500.900390625</v>
      </c>
      <c r="C1339" s="320">
        <v>1386</v>
      </c>
      <c r="D1339" s="320">
        <f t="shared" si="40"/>
        <v>-8.5444301039235507E-3</v>
      </c>
      <c r="E1339" s="320">
        <f t="shared" si="41"/>
        <v>-6.9498828625275599E-3</v>
      </c>
      <c r="F1339" s="130"/>
      <c r="G1339" s="130"/>
    </row>
    <row r="1340" spans="1:7" ht="14.25" customHeight="1" x14ac:dyDescent="0.3">
      <c r="A1340" s="319" t="s">
        <v>1849</v>
      </c>
      <c r="B1340" s="320">
        <v>24426.849609375</v>
      </c>
      <c r="C1340" s="320">
        <v>1358.09997558594</v>
      </c>
      <c r="D1340" s="320">
        <f t="shared" si="40"/>
        <v>-3.0223697933295002E-3</v>
      </c>
      <c r="E1340" s="320">
        <f t="shared" si="41"/>
        <v>-2.0129887744632001E-2</v>
      </c>
      <c r="F1340" s="130"/>
      <c r="G1340" s="130"/>
    </row>
    <row r="1341" spans="1:7" ht="14.25" customHeight="1" x14ac:dyDescent="0.3">
      <c r="A1341" s="319" t="s">
        <v>1850</v>
      </c>
      <c r="B1341" s="320">
        <v>24625.05078125</v>
      </c>
      <c r="C1341" s="320">
        <v>1371.69995117188</v>
      </c>
      <c r="D1341" s="320">
        <f t="shared" si="40"/>
        <v>8.1140701746053503E-3</v>
      </c>
      <c r="E1341" s="320">
        <f t="shared" si="41"/>
        <v>1.00139723366628E-2</v>
      </c>
      <c r="F1341" s="130"/>
      <c r="G1341" s="130"/>
    </row>
    <row r="1342" spans="1:7" ht="14.25" customHeight="1" x14ac:dyDescent="0.3">
      <c r="A1342" s="319" t="s">
        <v>1851</v>
      </c>
      <c r="B1342" s="320">
        <v>24579.599609375</v>
      </c>
      <c r="C1342" s="320">
        <v>1364.5</v>
      </c>
      <c r="D1342" s="320">
        <f t="shared" si="40"/>
        <v>-1.8457290617896901E-3</v>
      </c>
      <c r="E1342" s="320">
        <f t="shared" si="41"/>
        <v>-5.2489257331597098E-3</v>
      </c>
      <c r="F1342" s="130"/>
      <c r="G1342" s="130"/>
    </row>
    <row r="1343" spans="1:7" ht="14.25" customHeight="1" x14ac:dyDescent="0.3">
      <c r="A1343" s="319" t="s">
        <v>1852</v>
      </c>
      <c r="B1343" s="320">
        <v>24715.05078125</v>
      </c>
      <c r="C1343" s="320">
        <v>1366.40002441406</v>
      </c>
      <c r="D1343" s="320">
        <f t="shared" si="40"/>
        <v>5.5107151470171704E-3</v>
      </c>
      <c r="E1343" s="320">
        <f t="shared" si="41"/>
        <v>1.39246933972884E-3</v>
      </c>
      <c r="F1343" s="130"/>
      <c r="G1343" s="130"/>
    </row>
    <row r="1344" spans="1:7" ht="14.25" customHeight="1" x14ac:dyDescent="0.3">
      <c r="A1344" s="319" t="s">
        <v>1853</v>
      </c>
      <c r="B1344" s="320">
        <v>24734.30078125</v>
      </c>
      <c r="C1344" s="320">
        <v>1331.80004882813</v>
      </c>
      <c r="D1344" s="320">
        <f t="shared" si="40"/>
        <v>7.7887762280480304E-4</v>
      </c>
      <c r="E1344" s="320">
        <f t="shared" si="41"/>
        <v>-2.5321995731643201E-2</v>
      </c>
      <c r="F1344" s="130"/>
      <c r="G1344" s="130"/>
    </row>
    <row r="1345" spans="1:7" ht="14.25" customHeight="1" x14ac:dyDescent="0.3">
      <c r="A1345" s="319" t="s">
        <v>1854</v>
      </c>
      <c r="B1345" s="320">
        <v>24741</v>
      </c>
      <c r="C1345" s="320">
        <v>1347</v>
      </c>
      <c r="D1345" s="320">
        <f t="shared" si="40"/>
        <v>2.7084730671175398E-4</v>
      </c>
      <c r="E1345" s="320">
        <f t="shared" si="41"/>
        <v>1.1413088012156699E-2</v>
      </c>
      <c r="F1345" s="130"/>
      <c r="G1345" s="130"/>
    </row>
    <row r="1346" spans="1:7" ht="14.25" customHeight="1" x14ac:dyDescent="0.3">
      <c r="A1346" s="319" t="s">
        <v>1855</v>
      </c>
      <c r="B1346" s="320">
        <v>24773.150390625</v>
      </c>
      <c r="C1346" s="320">
        <v>1337</v>
      </c>
      <c r="D1346" s="320">
        <f t="shared" si="40"/>
        <v>1.2994782193524899E-3</v>
      </c>
      <c r="E1346" s="320">
        <f t="shared" si="41"/>
        <v>-7.4239049740163297E-3</v>
      </c>
      <c r="F1346" s="130"/>
      <c r="G1346" s="130"/>
    </row>
    <row r="1347" spans="1:7" ht="14.25" customHeight="1" x14ac:dyDescent="0.3">
      <c r="A1347" s="319" t="s">
        <v>1856</v>
      </c>
      <c r="B1347" s="320">
        <v>24868.599609375</v>
      </c>
      <c r="C1347" s="320">
        <v>1349.5</v>
      </c>
      <c r="D1347" s="320">
        <f t="shared" ref="D1347:D1410" si="42">(B1347-B1346)/B1346</f>
        <v>3.8529301782352699E-3</v>
      </c>
      <c r="E1347" s="320">
        <f t="shared" ref="E1347:E1410" si="43">(C1347-C1346)/C1346</f>
        <v>9.3492894540014998E-3</v>
      </c>
      <c r="F1347" s="130"/>
      <c r="G1347" s="130"/>
    </row>
    <row r="1348" spans="1:7" ht="14.25" customHeight="1" x14ac:dyDescent="0.3">
      <c r="A1348" s="319" t="s">
        <v>1857</v>
      </c>
      <c r="B1348" s="320">
        <v>24973.099609375</v>
      </c>
      <c r="C1348" s="320">
        <v>1385.80004882813</v>
      </c>
      <c r="D1348" s="320">
        <f t="shared" si="42"/>
        <v>4.20208623088714E-3</v>
      </c>
      <c r="E1348" s="320">
        <f t="shared" si="43"/>
        <v>2.6898887608840301E-2</v>
      </c>
      <c r="F1348" s="130"/>
      <c r="G1348" s="130"/>
    </row>
    <row r="1349" spans="1:7" ht="14.25" customHeight="1" x14ac:dyDescent="0.3">
      <c r="A1349" s="319" t="s">
        <v>1858</v>
      </c>
      <c r="B1349" s="320">
        <v>25005.5</v>
      </c>
      <c r="C1349" s="320">
        <v>1371.90002441406</v>
      </c>
      <c r="D1349" s="320">
        <f t="shared" si="42"/>
        <v>1.2974116602184501E-3</v>
      </c>
      <c r="E1349" s="320">
        <f t="shared" si="43"/>
        <v>-1.00303246675624E-2</v>
      </c>
      <c r="F1349" s="130"/>
      <c r="G1349" s="130"/>
    </row>
    <row r="1350" spans="1:7" ht="14.25" customHeight="1" x14ac:dyDescent="0.3">
      <c r="A1350" s="319" t="s">
        <v>1859</v>
      </c>
      <c r="B1350" s="320">
        <v>25114</v>
      </c>
      <c r="C1350" s="320">
        <v>1360.59997558594</v>
      </c>
      <c r="D1350" s="320">
        <f t="shared" si="42"/>
        <v>4.3390454100098001E-3</v>
      </c>
      <c r="E1350" s="320">
        <f t="shared" si="43"/>
        <v>-8.2367873948732198E-3</v>
      </c>
      <c r="F1350" s="130"/>
      <c r="G1350" s="130"/>
    </row>
    <row r="1351" spans="1:7" ht="14.25" customHeight="1" x14ac:dyDescent="0.3">
      <c r="A1351" s="319" t="s">
        <v>1860</v>
      </c>
      <c r="B1351" s="320">
        <v>25069.19921875</v>
      </c>
      <c r="C1351" s="320">
        <v>1362.80004882813</v>
      </c>
      <c r="D1351" s="320">
        <f t="shared" si="42"/>
        <v>-1.7838966811340299E-3</v>
      </c>
      <c r="E1351" s="320">
        <f t="shared" si="43"/>
        <v>1.61698756553523E-3</v>
      </c>
      <c r="F1351" s="130"/>
      <c r="G1351" s="130"/>
    </row>
    <row r="1352" spans="1:7" ht="14.25" customHeight="1" x14ac:dyDescent="0.3">
      <c r="A1352" s="319" t="s">
        <v>1861</v>
      </c>
      <c r="B1352" s="320">
        <v>25239.099609375</v>
      </c>
      <c r="C1352" s="320">
        <v>1352.40002441406</v>
      </c>
      <c r="D1352" s="320">
        <f t="shared" si="42"/>
        <v>6.7772563910987E-3</v>
      </c>
      <c r="E1352" s="320">
        <f t="shared" si="43"/>
        <v>-7.6313648675115399E-3</v>
      </c>
      <c r="F1352" s="130"/>
      <c r="G1352" s="130"/>
    </row>
    <row r="1353" spans="1:7" ht="14.25" customHeight="1" x14ac:dyDescent="0.3">
      <c r="A1353" s="319" t="s">
        <v>1862</v>
      </c>
      <c r="B1353" s="320">
        <v>25330.25</v>
      </c>
      <c r="C1353" s="320">
        <v>1375</v>
      </c>
      <c r="D1353" s="320">
        <f t="shared" si="42"/>
        <v>3.6114755294654999E-3</v>
      </c>
      <c r="E1353" s="320">
        <f t="shared" si="43"/>
        <v>1.6711013884913001E-2</v>
      </c>
      <c r="F1353" s="130"/>
      <c r="G1353" s="130"/>
    </row>
    <row r="1354" spans="1:7" ht="14.25" customHeight="1" x14ac:dyDescent="0.3">
      <c r="A1354" s="319" t="s">
        <v>1863</v>
      </c>
      <c r="B1354" s="320">
        <v>25423.599609375</v>
      </c>
      <c r="C1354" s="320">
        <v>1384.80004882813</v>
      </c>
      <c r="D1354" s="320">
        <f t="shared" si="42"/>
        <v>3.6853015416350001E-3</v>
      </c>
      <c r="E1354" s="320">
        <f t="shared" si="43"/>
        <v>7.1273082386399999E-3</v>
      </c>
      <c r="F1354" s="130"/>
      <c r="G1354" s="130"/>
    </row>
    <row r="1355" spans="1:7" ht="14.25" customHeight="1" x14ac:dyDescent="0.3">
      <c r="A1355" s="319" t="s">
        <v>1864</v>
      </c>
      <c r="B1355" s="320">
        <v>25327.05078125</v>
      </c>
      <c r="C1355" s="320">
        <v>1376.09997558594</v>
      </c>
      <c r="D1355" s="320">
        <f t="shared" si="42"/>
        <v>-3.7976065391384399E-3</v>
      </c>
      <c r="E1355" s="320">
        <f t="shared" si="43"/>
        <v>-6.2825483358065499E-3</v>
      </c>
      <c r="F1355" s="130"/>
      <c r="G1355" s="130"/>
    </row>
    <row r="1356" spans="1:7" ht="14.25" customHeight="1" x14ac:dyDescent="0.3">
      <c r="A1356" s="319" t="s">
        <v>1865</v>
      </c>
      <c r="B1356" s="320">
        <v>25202.349609375</v>
      </c>
      <c r="C1356" s="320">
        <v>1417.69995117188</v>
      </c>
      <c r="D1356" s="320">
        <f t="shared" si="42"/>
        <v>-4.9236357186648099E-3</v>
      </c>
      <c r="E1356" s="320">
        <f t="shared" si="43"/>
        <v>3.0230343960457401E-2</v>
      </c>
      <c r="F1356" s="130"/>
      <c r="G1356" s="130"/>
    </row>
    <row r="1357" spans="1:7" ht="14.25" customHeight="1" x14ac:dyDescent="0.3">
      <c r="A1357" s="319" t="s">
        <v>1866</v>
      </c>
      <c r="B1357" s="320">
        <v>25169.5</v>
      </c>
      <c r="C1357" s="320">
        <v>1393.90002441406</v>
      </c>
      <c r="D1357" s="320">
        <f t="shared" si="42"/>
        <v>-1.30343439735398E-3</v>
      </c>
      <c r="E1357" s="320">
        <f t="shared" si="43"/>
        <v>-1.6787703729655101E-2</v>
      </c>
      <c r="F1357" s="130"/>
      <c r="G1357" s="130"/>
    </row>
    <row r="1358" spans="1:7" ht="14.25" customHeight="1" x14ac:dyDescent="0.3">
      <c r="A1358" s="319" t="s">
        <v>1867</v>
      </c>
      <c r="B1358" s="320">
        <v>25056.900390625</v>
      </c>
      <c r="C1358" s="320">
        <v>1385.30004882813</v>
      </c>
      <c r="D1358" s="320">
        <f t="shared" si="42"/>
        <v>-4.4736530076084097E-3</v>
      </c>
      <c r="E1358" s="320">
        <f t="shared" si="43"/>
        <v>-6.1697219565980599E-3</v>
      </c>
      <c r="F1358" s="130"/>
      <c r="G1358" s="130"/>
    </row>
    <row r="1359" spans="1:7" ht="14.25" customHeight="1" x14ac:dyDescent="0.3">
      <c r="A1359" s="319" t="s">
        <v>1868</v>
      </c>
      <c r="B1359" s="320">
        <v>24890.849609375</v>
      </c>
      <c r="C1359" s="320">
        <v>1358.59997558594</v>
      </c>
      <c r="D1359" s="320">
        <f t="shared" si="42"/>
        <v>-6.6269482123226904E-3</v>
      </c>
      <c r="E1359" s="320">
        <f t="shared" si="43"/>
        <v>-1.9273855699908801E-2</v>
      </c>
      <c r="F1359" s="130"/>
      <c r="G1359" s="130"/>
    </row>
    <row r="1360" spans="1:7" ht="14.25" customHeight="1" x14ac:dyDescent="0.3">
      <c r="A1360" s="319" t="s">
        <v>1869</v>
      </c>
      <c r="B1360" s="320">
        <v>24654.69921875</v>
      </c>
      <c r="C1360" s="320">
        <v>1316.19995117188</v>
      </c>
      <c r="D1360" s="320">
        <f t="shared" si="42"/>
        <v>-9.4874379272315099E-3</v>
      </c>
      <c r="E1360" s="320">
        <f t="shared" si="43"/>
        <v>-3.12086156160673E-2</v>
      </c>
      <c r="F1360" s="130"/>
      <c r="G1360" s="130"/>
    </row>
    <row r="1361" spans="1:7" ht="14.25" customHeight="1" x14ac:dyDescent="0.3">
      <c r="A1361" s="319" t="s">
        <v>1870</v>
      </c>
      <c r="B1361" s="320">
        <v>24634.900390625</v>
      </c>
      <c r="C1361" s="320">
        <v>1315.80004882813</v>
      </c>
      <c r="D1361" s="320">
        <f t="shared" si="42"/>
        <v>-8.0304480494099498E-4</v>
      </c>
      <c r="E1361" s="320">
        <f t="shared" si="43"/>
        <v>-3.0383099725383398E-4</v>
      </c>
      <c r="F1361" s="130"/>
      <c r="G1361" s="130"/>
    </row>
    <row r="1362" spans="1:7" ht="14.25" customHeight="1" x14ac:dyDescent="0.3">
      <c r="A1362" s="319" t="s">
        <v>1871</v>
      </c>
      <c r="B1362" s="320">
        <v>24611.099609375</v>
      </c>
      <c r="C1362" s="320">
        <v>1309.30004882813</v>
      </c>
      <c r="D1362" s="320">
        <f t="shared" si="42"/>
        <v>-9.6614075448251302E-4</v>
      </c>
      <c r="E1362" s="320">
        <f t="shared" si="43"/>
        <v>-4.9399602969987704E-3</v>
      </c>
      <c r="F1362" s="130"/>
      <c r="G1362" s="130"/>
    </row>
    <row r="1363" spans="1:7" ht="14.25" customHeight="1" x14ac:dyDescent="0.3">
      <c r="A1363" s="319" t="s">
        <v>1872</v>
      </c>
      <c r="B1363" s="320">
        <v>24836.30078125</v>
      </c>
      <c r="C1363" s="320">
        <v>1338.59997558594</v>
      </c>
      <c r="D1363" s="320">
        <f t="shared" si="42"/>
        <v>9.1503904924757993E-3</v>
      </c>
      <c r="E1363" s="320">
        <f t="shared" si="43"/>
        <v>2.2378313346917301E-2</v>
      </c>
      <c r="F1363" s="130"/>
      <c r="G1363" s="130"/>
    </row>
    <row r="1364" spans="1:7" ht="14.25" customHeight="1" x14ac:dyDescent="0.3">
      <c r="A1364" s="319" t="s">
        <v>1873</v>
      </c>
      <c r="B1364" s="320">
        <v>24894.25</v>
      </c>
      <c r="C1364" s="320">
        <v>1333.90002441406</v>
      </c>
      <c r="D1364" s="320">
        <f t="shared" si="42"/>
        <v>2.3332467769817101E-3</v>
      </c>
      <c r="E1364" s="320">
        <f t="shared" si="43"/>
        <v>-3.5110946194532198E-3</v>
      </c>
      <c r="F1364" s="130"/>
      <c r="G1364" s="130"/>
    </row>
    <row r="1365" spans="1:7" ht="14.25" customHeight="1" x14ac:dyDescent="0.3">
      <c r="A1365" s="319" t="s">
        <v>1874</v>
      </c>
      <c r="B1365" s="320">
        <v>25077.650390625</v>
      </c>
      <c r="C1365" s="320">
        <v>1379.90002441406</v>
      </c>
      <c r="D1365" s="320">
        <f t="shared" si="42"/>
        <v>7.3671787912871402E-3</v>
      </c>
      <c r="E1365" s="320">
        <f t="shared" si="43"/>
        <v>3.4485343097738E-2</v>
      </c>
      <c r="F1365" s="130"/>
      <c r="G1365" s="130"/>
    </row>
    <row r="1366" spans="1:7" ht="14.25" customHeight="1" x14ac:dyDescent="0.3">
      <c r="A1366" s="319" t="s">
        <v>1875</v>
      </c>
      <c r="B1366" s="320">
        <v>25108.30078125</v>
      </c>
      <c r="C1366" s="320">
        <v>1383.59997558594</v>
      </c>
      <c r="D1366" s="320">
        <f t="shared" si="42"/>
        <v>1.22221939246981E-3</v>
      </c>
      <c r="E1366" s="320">
        <f t="shared" si="43"/>
        <v>2.68131828858478E-3</v>
      </c>
      <c r="F1366" s="130"/>
      <c r="G1366" s="130"/>
    </row>
    <row r="1367" spans="1:7" ht="14.25" customHeight="1" x14ac:dyDescent="0.3">
      <c r="A1367" s="319" t="s">
        <v>1876</v>
      </c>
      <c r="B1367" s="320">
        <v>25046.150390625</v>
      </c>
      <c r="C1367" s="320">
        <v>1367.5</v>
      </c>
      <c r="D1367" s="320">
        <f t="shared" si="42"/>
        <v>-2.4752925801897201E-3</v>
      </c>
      <c r="E1367" s="320">
        <f t="shared" si="43"/>
        <v>-1.16362936325738E-2</v>
      </c>
      <c r="F1367" s="130"/>
      <c r="G1367" s="130"/>
    </row>
    <row r="1368" spans="1:7" ht="14.25" customHeight="1" x14ac:dyDescent="0.3">
      <c r="A1368" s="319" t="s">
        <v>1877</v>
      </c>
      <c r="B1368" s="320">
        <v>25181.80078125</v>
      </c>
      <c r="C1368" s="320">
        <v>1346.5</v>
      </c>
      <c r="D1368" s="320">
        <f t="shared" si="42"/>
        <v>5.4160175719369296E-3</v>
      </c>
      <c r="E1368" s="320">
        <f t="shared" si="43"/>
        <v>-1.5356489945155399E-2</v>
      </c>
      <c r="F1368" s="130"/>
      <c r="G1368" s="130"/>
    </row>
    <row r="1369" spans="1:7" ht="14.25" customHeight="1" x14ac:dyDescent="0.3">
      <c r="A1369" s="319" t="s">
        <v>1878</v>
      </c>
      <c r="B1369" s="320">
        <v>25285.349609375</v>
      </c>
      <c r="C1369" s="320">
        <v>1333.09997558594</v>
      </c>
      <c r="D1369" s="320">
        <f t="shared" si="42"/>
        <v>4.1120501676790702E-3</v>
      </c>
      <c r="E1369" s="320">
        <f t="shared" si="43"/>
        <v>-9.9517448303453396E-3</v>
      </c>
      <c r="F1369" s="130"/>
      <c r="G1369" s="130"/>
    </row>
    <row r="1370" spans="1:7" ht="14.25" customHeight="1" x14ac:dyDescent="0.3">
      <c r="A1370" s="319" t="s">
        <v>1879</v>
      </c>
      <c r="B1370" s="320">
        <v>25227.349609375</v>
      </c>
      <c r="C1370" s="320">
        <v>1333.5</v>
      </c>
      <c r="D1370" s="320">
        <f t="shared" si="42"/>
        <v>-2.29381839270656E-3</v>
      </c>
      <c r="E1370" s="320">
        <f t="shared" si="43"/>
        <v>3.0007082843443601E-4</v>
      </c>
      <c r="F1370" s="130"/>
      <c r="G1370" s="130"/>
    </row>
    <row r="1371" spans="1:7" ht="14.25" customHeight="1" x14ac:dyDescent="0.3">
      <c r="A1371" s="319" t="s">
        <v>1880</v>
      </c>
      <c r="B1371" s="320">
        <v>25145.5</v>
      </c>
      <c r="C1371" s="320">
        <v>1322.30004882813</v>
      </c>
      <c r="D1371" s="320">
        <f t="shared" si="42"/>
        <v>-3.24447913246436E-3</v>
      </c>
      <c r="E1371" s="320">
        <f t="shared" si="43"/>
        <v>-8.3989135147131602E-3</v>
      </c>
      <c r="F1371" s="130"/>
      <c r="G1371" s="130"/>
    </row>
    <row r="1372" spans="1:7" ht="14.25" customHeight="1" x14ac:dyDescent="0.3">
      <c r="A1372" s="319" t="s">
        <v>1881</v>
      </c>
      <c r="B1372" s="320">
        <v>25323.55078125</v>
      </c>
      <c r="C1372" s="320">
        <v>1334.80004882813</v>
      </c>
      <c r="D1372" s="320">
        <f t="shared" si="42"/>
        <v>7.08082087252192E-3</v>
      </c>
      <c r="E1372" s="320">
        <f t="shared" si="43"/>
        <v>9.4532250914442194E-3</v>
      </c>
      <c r="F1372" s="130"/>
      <c r="G1372" s="130"/>
    </row>
    <row r="1373" spans="1:7" ht="14.25" customHeight="1" x14ac:dyDescent="0.3">
      <c r="A1373" s="319" t="s">
        <v>1882</v>
      </c>
      <c r="B1373" s="320">
        <v>25585.30078125</v>
      </c>
      <c r="C1373" s="320">
        <v>1348.5</v>
      </c>
      <c r="D1373" s="320">
        <f t="shared" si="42"/>
        <v>1.0336228211479901E-2</v>
      </c>
      <c r="E1373" s="320">
        <f t="shared" si="43"/>
        <v>1.0263672962776501E-2</v>
      </c>
      <c r="F1373" s="130"/>
      <c r="G1373" s="130"/>
    </row>
    <row r="1374" spans="1:7" ht="14.25" customHeight="1" x14ac:dyDescent="0.3">
      <c r="A1374" s="319" t="s">
        <v>1883</v>
      </c>
      <c r="B1374" s="320">
        <v>25709.849609375</v>
      </c>
      <c r="C1374" s="320">
        <v>1328.30004882813</v>
      </c>
      <c r="D1374" s="320">
        <f t="shared" si="42"/>
        <v>4.8679837376105701E-3</v>
      </c>
      <c r="E1374" s="320">
        <f t="shared" si="43"/>
        <v>-1.49795707614905E-2</v>
      </c>
      <c r="F1374" s="130"/>
      <c r="G1374" s="130"/>
    </row>
    <row r="1375" spans="1:7" ht="14.25" customHeight="1" x14ac:dyDescent="0.3">
      <c r="A1375" s="319" t="s">
        <v>1884</v>
      </c>
      <c r="B1375" s="320">
        <v>25843.150390625</v>
      </c>
      <c r="C1375" s="320">
        <v>1311.5</v>
      </c>
      <c r="D1375" s="320">
        <f t="shared" si="42"/>
        <v>5.1848137299641099E-3</v>
      </c>
      <c r="E1375" s="320">
        <f t="shared" si="43"/>
        <v>-1.2647781533209701E-2</v>
      </c>
      <c r="F1375" s="130"/>
      <c r="G1375" s="130"/>
    </row>
    <row r="1376" spans="1:7" ht="14.25" customHeight="1" x14ac:dyDescent="0.3">
      <c r="A1376" s="319" t="s">
        <v>1885</v>
      </c>
      <c r="B1376" s="320">
        <v>25868.599609375</v>
      </c>
      <c r="C1376" s="320">
        <v>1317</v>
      </c>
      <c r="D1376" s="320">
        <f t="shared" si="42"/>
        <v>9.8475682590277698E-4</v>
      </c>
      <c r="E1376" s="320">
        <f t="shared" si="43"/>
        <v>4.1936713686618401E-3</v>
      </c>
      <c r="F1376" s="130"/>
      <c r="G1376" s="130"/>
    </row>
    <row r="1377" spans="1:7" ht="14.25" customHeight="1" x14ac:dyDescent="0.3">
      <c r="A1377" s="319" t="s">
        <v>1886</v>
      </c>
      <c r="B1377" s="320">
        <v>25891.400390625</v>
      </c>
      <c r="C1377" s="320">
        <v>1379.80004882813</v>
      </c>
      <c r="D1377" s="320">
        <f t="shared" si="42"/>
        <v>8.8140763683770503E-4</v>
      </c>
      <c r="E1377" s="320">
        <f t="shared" si="43"/>
        <v>4.7684167675117697E-2</v>
      </c>
      <c r="F1377" s="130"/>
      <c r="G1377" s="130"/>
    </row>
    <row r="1378" spans="1:7" ht="14.25" customHeight="1" x14ac:dyDescent="0.3">
      <c r="A1378" s="319" t="s">
        <v>1887</v>
      </c>
      <c r="B1378" s="320">
        <v>25795.150390625</v>
      </c>
      <c r="C1378" s="320">
        <v>1377.80004882813</v>
      </c>
      <c r="D1378" s="320">
        <f t="shared" si="42"/>
        <v>-3.7174505259611598E-3</v>
      </c>
      <c r="E1378" s="320">
        <f t="shared" si="43"/>
        <v>-1.44948538137726E-3</v>
      </c>
      <c r="F1378" s="130"/>
      <c r="G1378" s="130"/>
    </row>
    <row r="1379" spans="1:7" ht="14.25" customHeight="1" x14ac:dyDescent="0.3">
      <c r="A1379" s="319" t="s">
        <v>1888</v>
      </c>
      <c r="B1379" s="320">
        <v>25966.05078125</v>
      </c>
      <c r="C1379" s="320">
        <v>1364.69995117188</v>
      </c>
      <c r="D1379" s="320">
        <f t="shared" si="42"/>
        <v>6.6252915000298701E-3</v>
      </c>
      <c r="E1379" s="320">
        <f t="shared" si="43"/>
        <v>-9.5079817041610094E-3</v>
      </c>
      <c r="F1379" s="130"/>
      <c r="G1379" s="130"/>
    </row>
    <row r="1380" spans="1:7" ht="14.25" customHeight="1" x14ac:dyDescent="0.3">
      <c r="A1380" s="319" t="s">
        <v>1889</v>
      </c>
      <c r="B1380" s="320">
        <v>25936.19921875</v>
      </c>
      <c r="C1380" s="320">
        <v>1385.69995117188</v>
      </c>
      <c r="D1380" s="320">
        <f t="shared" si="42"/>
        <v>-1.14963814680497E-3</v>
      </c>
      <c r="E1380" s="320">
        <f t="shared" si="43"/>
        <v>1.53879979126306E-2</v>
      </c>
      <c r="F1380" s="130"/>
      <c r="G1380" s="130"/>
    </row>
    <row r="1381" spans="1:7" ht="14.25" customHeight="1" x14ac:dyDescent="0.3">
      <c r="A1381" s="319" t="s">
        <v>1890</v>
      </c>
      <c r="B1381" s="320">
        <v>26053.900390625</v>
      </c>
      <c r="C1381" s="320">
        <v>1389.09997558594</v>
      </c>
      <c r="D1381" s="320">
        <f t="shared" si="42"/>
        <v>4.5381040946782403E-3</v>
      </c>
      <c r="E1381" s="320">
        <f t="shared" si="43"/>
        <v>2.4536512476489702E-3</v>
      </c>
      <c r="F1381" s="130"/>
      <c r="G1381" s="130"/>
    </row>
    <row r="1382" spans="1:7" ht="14.25" customHeight="1" x14ac:dyDescent="0.3">
      <c r="A1382" s="319" t="s">
        <v>1891</v>
      </c>
      <c r="B1382" s="320">
        <v>25877.849609375</v>
      </c>
      <c r="C1382" s="320">
        <v>1384.09997558594</v>
      </c>
      <c r="D1382" s="320">
        <f t="shared" si="42"/>
        <v>-6.7571756478100502E-3</v>
      </c>
      <c r="E1382" s="320">
        <f t="shared" si="43"/>
        <v>-3.59945294642377E-3</v>
      </c>
      <c r="F1382" s="130"/>
      <c r="G1382" s="130"/>
    </row>
    <row r="1383" spans="1:7" ht="14.25" customHeight="1" x14ac:dyDescent="0.3">
      <c r="A1383" s="319" t="s">
        <v>1892</v>
      </c>
      <c r="B1383" s="320">
        <v>25722.099609375</v>
      </c>
      <c r="C1383" s="320">
        <v>1378.30004882813</v>
      </c>
      <c r="D1383" s="320">
        <f t="shared" si="42"/>
        <v>-6.0186608373972101E-3</v>
      </c>
      <c r="E1383" s="320">
        <f t="shared" si="43"/>
        <v>-4.19039582408393E-3</v>
      </c>
      <c r="F1383" s="130"/>
      <c r="G1383" s="130"/>
    </row>
    <row r="1384" spans="1:7" ht="14.25" customHeight="1" x14ac:dyDescent="0.3">
      <c r="A1384" s="319" t="s">
        <v>1893</v>
      </c>
      <c r="B1384" s="320">
        <v>25763.349609375</v>
      </c>
      <c r="C1384" s="320">
        <v>1359.59997558594</v>
      </c>
      <c r="D1384" s="320">
        <f t="shared" si="42"/>
        <v>1.6036793506920999E-3</v>
      </c>
      <c r="E1384" s="320">
        <f t="shared" si="43"/>
        <v>-1.3567490807309599E-2</v>
      </c>
      <c r="F1384" s="130"/>
      <c r="G1384" s="130"/>
    </row>
    <row r="1385" spans="1:7" ht="14.25" customHeight="1" x14ac:dyDescent="0.3">
      <c r="A1385" s="319" t="s">
        <v>1894</v>
      </c>
      <c r="B1385" s="320">
        <v>25597.650390625</v>
      </c>
      <c r="C1385" s="320">
        <v>1338.69995117188</v>
      </c>
      <c r="D1385" s="320">
        <f t="shared" si="42"/>
        <v>-6.4315867797603401E-3</v>
      </c>
      <c r="E1385" s="320">
        <f t="shared" si="43"/>
        <v>-1.5372186517620999E-2</v>
      </c>
      <c r="F1385" s="130"/>
      <c r="G1385" s="130"/>
    </row>
    <row r="1386" spans="1:7" ht="14.25" customHeight="1" x14ac:dyDescent="0.3">
      <c r="A1386" s="319" t="s">
        <v>1895</v>
      </c>
      <c r="B1386" s="320">
        <v>25509.69921875</v>
      </c>
      <c r="C1386" s="320">
        <v>1326.80004882813</v>
      </c>
      <c r="D1386" s="320">
        <f t="shared" si="42"/>
        <v>-3.4359080045569998E-3</v>
      </c>
      <c r="E1386" s="320">
        <f t="shared" si="43"/>
        <v>-8.8891482615899003E-3</v>
      </c>
      <c r="F1386" s="130"/>
      <c r="G1386" s="130"/>
    </row>
    <row r="1387" spans="1:7" ht="14.25" customHeight="1" x14ac:dyDescent="0.3">
      <c r="A1387" s="319" t="s">
        <v>1896</v>
      </c>
      <c r="B1387" s="320">
        <v>25492.30078125</v>
      </c>
      <c r="C1387" s="320">
        <v>1345.40002441406</v>
      </c>
      <c r="D1387" s="320">
        <f t="shared" si="42"/>
        <v>-6.8203224784445498E-4</v>
      </c>
      <c r="E1387" s="320">
        <f t="shared" si="43"/>
        <v>1.40186726721619E-2</v>
      </c>
      <c r="F1387" s="130"/>
      <c r="G1387" s="130"/>
    </row>
    <row r="1388" spans="1:7" ht="14.25" customHeight="1" x14ac:dyDescent="0.3">
      <c r="A1388" s="319" t="s">
        <v>1897</v>
      </c>
      <c r="B1388" s="320">
        <v>25574.349609375</v>
      </c>
      <c r="C1388" s="320">
        <v>1342.40002441406</v>
      </c>
      <c r="D1388" s="320">
        <f t="shared" si="42"/>
        <v>3.2185728871263102E-3</v>
      </c>
      <c r="E1388" s="320">
        <f t="shared" si="43"/>
        <v>-2.2298200873799899E-3</v>
      </c>
      <c r="F1388" s="130"/>
      <c r="G1388" s="130"/>
    </row>
    <row r="1389" spans="1:7" ht="14.25" customHeight="1" x14ac:dyDescent="0.3">
      <c r="A1389" s="319" t="s">
        <v>1898</v>
      </c>
      <c r="B1389" s="320">
        <v>25694.94921875</v>
      </c>
      <c r="C1389" s="320">
        <v>1341</v>
      </c>
      <c r="D1389" s="320">
        <f t="shared" si="42"/>
        <v>4.7156471705849697E-3</v>
      </c>
      <c r="E1389" s="320">
        <f t="shared" si="43"/>
        <v>-1.04292639198296E-3</v>
      </c>
      <c r="F1389" s="130"/>
      <c r="G1389" s="130"/>
    </row>
    <row r="1390" spans="1:7" ht="14.25" customHeight="1" x14ac:dyDescent="0.3">
      <c r="A1390" s="319" t="s">
        <v>1899</v>
      </c>
      <c r="B1390" s="320">
        <v>25875.80078125</v>
      </c>
      <c r="C1390" s="320">
        <v>1376.40002441406</v>
      </c>
      <c r="D1390" s="320">
        <f t="shared" si="42"/>
        <v>7.0384090258497102E-3</v>
      </c>
      <c r="E1390" s="320">
        <f t="shared" si="43"/>
        <v>2.6398228496689002E-2</v>
      </c>
      <c r="F1390" s="130"/>
      <c r="G1390" s="130"/>
    </row>
    <row r="1391" spans="1:7" ht="14.25" customHeight="1" x14ac:dyDescent="0.3">
      <c r="A1391" s="319" t="s">
        <v>1900</v>
      </c>
      <c r="B1391" s="320">
        <v>25879.150390625</v>
      </c>
      <c r="C1391" s="320">
        <v>1347.30004882813</v>
      </c>
      <c r="D1391" s="320">
        <f t="shared" si="42"/>
        <v>1.2944949620369501E-4</v>
      </c>
      <c r="E1391" s="320">
        <f t="shared" si="43"/>
        <v>-2.1142091739149702E-2</v>
      </c>
      <c r="F1391" s="130"/>
      <c r="G1391" s="130"/>
    </row>
    <row r="1392" spans="1:7" ht="14.25" customHeight="1" x14ac:dyDescent="0.3">
      <c r="A1392" s="319" t="s">
        <v>1901</v>
      </c>
      <c r="B1392" s="320">
        <v>25910.05078125</v>
      </c>
      <c r="C1392" s="320">
        <v>1323.5</v>
      </c>
      <c r="D1392" s="320">
        <f t="shared" si="42"/>
        <v>1.1940264714483801E-3</v>
      </c>
      <c r="E1392" s="320">
        <f t="shared" si="43"/>
        <v>-1.7664995149989801E-2</v>
      </c>
      <c r="F1392" s="130"/>
      <c r="G1392" s="130"/>
    </row>
    <row r="1393" spans="1:7" ht="14.25" customHeight="1" x14ac:dyDescent="0.3">
      <c r="A1393" s="319" t="s">
        <v>1902</v>
      </c>
      <c r="B1393" s="320">
        <v>26013.44921875</v>
      </c>
      <c r="C1393" s="320">
        <v>1332.19995117188</v>
      </c>
      <c r="D1393" s="320">
        <f t="shared" si="42"/>
        <v>3.9906690408659899E-3</v>
      </c>
      <c r="E1393" s="320">
        <f t="shared" si="43"/>
        <v>6.5734425174763904E-3</v>
      </c>
      <c r="F1393" s="130"/>
      <c r="G1393" s="130"/>
    </row>
    <row r="1394" spans="1:7" ht="14.25" customHeight="1" x14ac:dyDescent="0.3">
      <c r="A1394" s="319" t="s">
        <v>1903</v>
      </c>
      <c r="B1394" s="320">
        <v>25910.05078125</v>
      </c>
      <c r="C1394" s="320">
        <v>1324.90002441406</v>
      </c>
      <c r="D1394" s="320">
        <f t="shared" si="42"/>
        <v>-3.9748069020186802E-3</v>
      </c>
      <c r="E1394" s="320">
        <f t="shared" si="43"/>
        <v>-5.4796029315258296E-3</v>
      </c>
      <c r="F1394" s="130"/>
      <c r="G1394" s="130"/>
    </row>
    <row r="1395" spans="1:7" ht="14.25" customHeight="1" x14ac:dyDescent="0.3">
      <c r="A1395" s="319" t="s">
        <v>1904</v>
      </c>
      <c r="B1395" s="320">
        <v>26052.650390625</v>
      </c>
      <c r="C1395" s="320">
        <v>1362.19995117188</v>
      </c>
      <c r="D1395" s="320">
        <f t="shared" si="42"/>
        <v>5.5036406751542604E-3</v>
      </c>
      <c r="E1395" s="320">
        <f t="shared" si="43"/>
        <v>2.8153012356019799E-2</v>
      </c>
      <c r="F1395" s="130"/>
      <c r="G1395" s="130"/>
    </row>
    <row r="1396" spans="1:7" ht="14.25" customHeight="1" x14ac:dyDescent="0.3">
      <c r="A1396" s="319" t="s">
        <v>1905</v>
      </c>
      <c r="B1396" s="320">
        <v>26192.150390625</v>
      </c>
      <c r="C1396" s="320">
        <v>1365.40002441406</v>
      </c>
      <c r="D1396" s="320">
        <f t="shared" si="42"/>
        <v>5.3545415882216302E-3</v>
      </c>
      <c r="E1396" s="320">
        <f t="shared" si="43"/>
        <v>2.3491949470612001E-3</v>
      </c>
      <c r="F1396" s="130"/>
      <c r="G1396" s="130"/>
    </row>
    <row r="1397" spans="1:7" ht="14.25" customHeight="1" x14ac:dyDescent="0.3">
      <c r="A1397" s="319" t="s">
        <v>1906</v>
      </c>
      <c r="B1397" s="320">
        <v>26068.150390625</v>
      </c>
      <c r="C1397" s="320">
        <v>1340.40002441406</v>
      </c>
      <c r="D1397" s="320">
        <f t="shared" si="42"/>
        <v>-4.7342428227803504E-3</v>
      </c>
      <c r="E1397" s="320">
        <f t="shared" si="43"/>
        <v>-1.8309652521595901E-2</v>
      </c>
      <c r="F1397" s="130"/>
      <c r="G1397" s="130"/>
    </row>
    <row r="1398" spans="1:7" ht="14.25" customHeight="1" x14ac:dyDescent="0.3">
      <c r="A1398" s="319" t="s">
        <v>1907</v>
      </c>
      <c r="B1398" s="320">
        <v>25959.5</v>
      </c>
      <c r="C1398" s="320">
        <v>1346.30004882813</v>
      </c>
      <c r="D1398" s="320">
        <f t="shared" si="42"/>
        <v>-4.1679363129681199E-3</v>
      </c>
      <c r="E1398" s="320">
        <f t="shared" si="43"/>
        <v>4.4016892767882003E-3</v>
      </c>
      <c r="F1398" s="130"/>
      <c r="G1398" s="130"/>
    </row>
    <row r="1399" spans="1:7" ht="14.25" customHeight="1" x14ac:dyDescent="0.3">
      <c r="A1399" s="319" t="s">
        <v>1908</v>
      </c>
      <c r="B1399" s="320">
        <v>25884.80078125</v>
      </c>
      <c r="C1399" s="320">
        <v>1332</v>
      </c>
      <c r="D1399" s="320">
        <f t="shared" si="42"/>
        <v>-2.87752918006895E-3</v>
      </c>
      <c r="E1399" s="320">
        <f t="shared" si="43"/>
        <v>-1.0621739812441701E-2</v>
      </c>
      <c r="F1399" s="130"/>
      <c r="G1399" s="130"/>
    </row>
    <row r="1400" spans="1:7" ht="14.25" customHeight="1" x14ac:dyDescent="0.3">
      <c r="A1400" s="319" t="s">
        <v>1909</v>
      </c>
      <c r="B1400" s="320">
        <v>26205.30078125</v>
      </c>
      <c r="C1400" s="320">
        <v>1341.5</v>
      </c>
      <c r="D1400" s="320">
        <f t="shared" si="42"/>
        <v>1.23817835303627E-2</v>
      </c>
      <c r="E1400" s="320">
        <f t="shared" si="43"/>
        <v>7.1321321321321301E-3</v>
      </c>
      <c r="F1400" s="130"/>
      <c r="G1400" s="130"/>
    </row>
    <row r="1401" spans="1:7" ht="14.25" customHeight="1" x14ac:dyDescent="0.3">
      <c r="A1401" s="319" t="s">
        <v>1910</v>
      </c>
      <c r="B1401" s="320">
        <v>26215.55078125</v>
      </c>
      <c r="C1401" s="320">
        <v>1339.40002441406</v>
      </c>
      <c r="D1401" s="320">
        <f t="shared" si="42"/>
        <v>3.9114223818922602E-4</v>
      </c>
      <c r="E1401" s="320">
        <f t="shared" si="43"/>
        <v>-1.5653936533283599E-3</v>
      </c>
      <c r="F1401" s="130"/>
      <c r="G1401" s="130"/>
    </row>
    <row r="1402" spans="1:7" ht="14.25" customHeight="1" x14ac:dyDescent="0.3">
      <c r="A1402" s="319" t="s">
        <v>1911</v>
      </c>
      <c r="B1402" s="320">
        <v>26202.94921875</v>
      </c>
      <c r="C1402" s="320">
        <v>1330.19995117188</v>
      </c>
      <c r="D1402" s="320">
        <f t="shared" si="42"/>
        <v>-4.80690358373586E-4</v>
      </c>
      <c r="E1402" s="320">
        <f t="shared" si="43"/>
        <v>-6.8688017578652097E-3</v>
      </c>
      <c r="F1402" s="130"/>
      <c r="G1402" s="130"/>
    </row>
    <row r="1403" spans="1:7" ht="14.25" customHeight="1" x14ac:dyDescent="0.3">
      <c r="A1403" s="319" t="s">
        <v>1912</v>
      </c>
      <c r="B1403" s="320">
        <v>26175.75</v>
      </c>
      <c r="C1403" s="320">
        <v>1365.09997558594</v>
      </c>
      <c r="D1403" s="320">
        <f t="shared" si="42"/>
        <v>-1.03802127474022E-3</v>
      </c>
      <c r="E1403" s="320">
        <f t="shared" si="43"/>
        <v>2.6236675458688598E-2</v>
      </c>
      <c r="F1403" s="130"/>
      <c r="G1403" s="130"/>
    </row>
    <row r="1404" spans="1:7" ht="14.25" customHeight="1" x14ac:dyDescent="0.3">
      <c r="A1404" s="319" t="s">
        <v>1913</v>
      </c>
      <c r="B1404" s="320">
        <v>26032.19921875</v>
      </c>
      <c r="C1404" s="320">
        <v>1386.59997558594</v>
      </c>
      <c r="D1404" s="320">
        <f t="shared" si="42"/>
        <v>-5.4841133969418298E-3</v>
      </c>
      <c r="E1404" s="320">
        <f t="shared" si="43"/>
        <v>1.5749762203879299E-2</v>
      </c>
      <c r="F1404" s="130"/>
      <c r="G1404" s="130"/>
    </row>
    <row r="1405" spans="1:7" ht="14.25" customHeight="1" x14ac:dyDescent="0.3">
      <c r="A1405" s="319" t="s">
        <v>1914</v>
      </c>
      <c r="B1405" s="320">
        <v>25986</v>
      </c>
      <c r="C1405" s="320">
        <v>1377.19995117188</v>
      </c>
      <c r="D1405" s="320">
        <f t="shared" si="42"/>
        <v>-1.7746951904364799E-3</v>
      </c>
      <c r="E1405" s="320">
        <f t="shared" si="43"/>
        <v>-6.77918980208246E-3</v>
      </c>
      <c r="F1405" s="130"/>
      <c r="G1405" s="130"/>
    </row>
    <row r="1406" spans="1:7" ht="14.25" customHeight="1" x14ac:dyDescent="0.3">
      <c r="A1406" s="319" t="s">
        <v>1915</v>
      </c>
      <c r="B1406" s="320">
        <v>26033.75</v>
      </c>
      <c r="C1406" s="320">
        <v>1396.19995117188</v>
      </c>
      <c r="D1406" s="320">
        <f t="shared" si="42"/>
        <v>1.83752789963827E-3</v>
      </c>
      <c r="E1406" s="320">
        <f t="shared" si="43"/>
        <v>1.37961085344453E-2</v>
      </c>
      <c r="F1406" s="130"/>
      <c r="G1406" s="130"/>
    </row>
    <row r="1407" spans="1:7" ht="14.25" customHeight="1" x14ac:dyDescent="0.3">
      <c r="A1407" s="319" t="s">
        <v>1916</v>
      </c>
      <c r="B1407" s="320">
        <v>26186.44921875</v>
      </c>
      <c r="C1407" s="320">
        <v>1388.69995117188</v>
      </c>
      <c r="D1407" s="320">
        <f t="shared" si="42"/>
        <v>5.86543309165986E-3</v>
      </c>
      <c r="E1407" s="320">
        <f t="shared" si="43"/>
        <v>-5.3717234366789501E-3</v>
      </c>
      <c r="F1407" s="130"/>
      <c r="G1407" s="130"/>
    </row>
    <row r="1408" spans="1:7" ht="14.25" customHeight="1" x14ac:dyDescent="0.3">
      <c r="A1408" s="319" t="s">
        <v>1917</v>
      </c>
      <c r="B1408" s="320">
        <v>25960.55078125</v>
      </c>
      <c r="C1408" s="320">
        <v>1372.09997558594</v>
      </c>
      <c r="D1408" s="320">
        <f t="shared" si="42"/>
        <v>-8.6265394598918094E-3</v>
      </c>
      <c r="E1408" s="320">
        <f t="shared" si="43"/>
        <v>-1.1953608532881301E-2</v>
      </c>
      <c r="F1408" s="130"/>
      <c r="G1408" s="130"/>
    </row>
    <row r="1409" spans="1:7" ht="14.25" customHeight="1" x14ac:dyDescent="0.3">
      <c r="A1409" s="319" t="s">
        <v>1918</v>
      </c>
      <c r="B1409" s="320">
        <v>25839.650390625</v>
      </c>
      <c r="C1409" s="320">
        <v>1376.30004882813</v>
      </c>
      <c r="D1409" s="320">
        <f t="shared" si="42"/>
        <v>-4.6570811090926598E-3</v>
      </c>
      <c r="E1409" s="320">
        <f t="shared" si="43"/>
        <v>3.06105481883447E-3</v>
      </c>
      <c r="F1409" s="130"/>
      <c r="G1409" s="130"/>
    </row>
    <row r="1410" spans="1:7" ht="14.25" customHeight="1" x14ac:dyDescent="0.3">
      <c r="A1410" s="319" t="s">
        <v>1919</v>
      </c>
      <c r="B1410" s="320">
        <v>25758</v>
      </c>
      <c r="C1410" s="320">
        <v>1342.80004882813</v>
      </c>
      <c r="D1410" s="320">
        <f t="shared" si="42"/>
        <v>-3.1598875909955798E-3</v>
      </c>
      <c r="E1410" s="320">
        <f t="shared" si="43"/>
        <v>-2.43406225470413E-2</v>
      </c>
      <c r="F1410" s="130"/>
      <c r="G1410" s="130"/>
    </row>
    <row r="1411" spans="1:7" ht="14.25" customHeight="1" x14ac:dyDescent="0.3">
      <c r="A1411" s="319" t="s">
        <v>1920</v>
      </c>
      <c r="B1411" s="320">
        <v>25898.55078125</v>
      </c>
      <c r="C1411" s="320">
        <v>1343.5</v>
      </c>
      <c r="D1411" s="320">
        <f t="shared" ref="D1411:D1474" si="44">(B1411-B1410)/B1410</f>
        <v>5.4565875164997299E-3</v>
      </c>
      <c r="E1411" s="320">
        <f t="shared" ref="E1411:E1474" si="45">(C1411-C1410)/C1410</f>
        <v>5.2126239679604501E-4</v>
      </c>
      <c r="F1411" s="130"/>
      <c r="G1411" s="130"/>
    </row>
    <row r="1412" spans="1:7" ht="14.25" customHeight="1" x14ac:dyDescent="0.3">
      <c r="A1412" s="319" t="s">
        <v>1921</v>
      </c>
      <c r="B1412" s="320">
        <v>26046.94921875</v>
      </c>
      <c r="C1412" s="320">
        <v>1377.69995117188</v>
      </c>
      <c r="D1412" s="320">
        <f t="shared" si="44"/>
        <v>5.7299900196515E-3</v>
      </c>
      <c r="E1412" s="320">
        <f t="shared" si="45"/>
        <v>2.54558624278973E-2</v>
      </c>
      <c r="F1412" s="130"/>
      <c r="G1412" s="130"/>
    </row>
    <row r="1413" spans="1:7" ht="14.25" customHeight="1" x14ac:dyDescent="0.3">
      <c r="A1413" s="319" t="s">
        <v>1922</v>
      </c>
      <c r="B1413" s="320">
        <v>26027.30078125</v>
      </c>
      <c r="C1413" s="320">
        <v>1361.59997558594</v>
      </c>
      <c r="D1413" s="320">
        <f t="shared" si="44"/>
        <v>-7.5434698071496196E-4</v>
      </c>
      <c r="E1413" s="320">
        <f t="shared" si="45"/>
        <v>-1.16861262659153E-2</v>
      </c>
      <c r="F1413" s="130"/>
      <c r="G1413" s="130"/>
    </row>
    <row r="1414" spans="1:7" ht="14.25" customHeight="1" x14ac:dyDescent="0.3">
      <c r="A1414" s="319" t="s">
        <v>1923</v>
      </c>
      <c r="B1414" s="320">
        <v>25860.099609375</v>
      </c>
      <c r="C1414" s="320">
        <v>1346.90002441406</v>
      </c>
      <c r="D1414" s="320">
        <f t="shared" si="44"/>
        <v>-6.4240688375742502E-3</v>
      </c>
      <c r="E1414" s="320">
        <f t="shared" si="45"/>
        <v>-1.07960865419039E-2</v>
      </c>
      <c r="F1414" s="130"/>
      <c r="G1414" s="130"/>
    </row>
    <row r="1415" spans="1:7" ht="14.25" customHeight="1" x14ac:dyDescent="0.3">
      <c r="A1415" s="319" t="s">
        <v>1924</v>
      </c>
      <c r="B1415" s="320">
        <v>25818.55078125</v>
      </c>
      <c r="C1415" s="320">
        <v>1338.19995117188</v>
      </c>
      <c r="D1415" s="320">
        <f t="shared" si="44"/>
        <v>-1.60667703344566E-3</v>
      </c>
      <c r="E1415" s="320">
        <f t="shared" si="45"/>
        <v>-6.4593311192230303E-3</v>
      </c>
      <c r="F1415" s="130"/>
      <c r="G1415" s="130"/>
    </row>
    <row r="1416" spans="1:7" ht="14.25" customHeight="1" x14ac:dyDescent="0.3">
      <c r="A1416" s="319" t="s">
        <v>1925</v>
      </c>
      <c r="B1416" s="320">
        <v>25815.55078125</v>
      </c>
      <c r="C1416" s="320">
        <v>1333.69995117188</v>
      </c>
      <c r="D1416" s="320">
        <f t="shared" si="44"/>
        <v>-1.16195522568938E-4</v>
      </c>
      <c r="E1416" s="320">
        <f t="shared" si="45"/>
        <v>-3.36272617261665E-3</v>
      </c>
      <c r="F1416" s="130"/>
      <c r="G1416" s="130"/>
    </row>
    <row r="1417" spans="1:7" ht="14.25" customHeight="1" x14ac:dyDescent="0.3">
      <c r="A1417" s="319" t="s">
        <v>1926</v>
      </c>
      <c r="B1417" s="320">
        <v>25966.400390625</v>
      </c>
      <c r="C1417" s="320">
        <v>1340.80004882813</v>
      </c>
      <c r="D1417" s="320">
        <f t="shared" si="44"/>
        <v>5.8433620360547603E-3</v>
      </c>
      <c r="E1417" s="320">
        <f t="shared" si="45"/>
        <v>5.3236094445466304E-3</v>
      </c>
      <c r="F1417" s="130"/>
      <c r="G1417" s="130"/>
    </row>
    <row r="1418" spans="1:7" ht="14.25" customHeight="1" x14ac:dyDescent="0.3">
      <c r="A1418" s="319" t="s">
        <v>1927</v>
      </c>
      <c r="B1418" s="320">
        <v>26172.400390625</v>
      </c>
      <c r="C1418" s="320">
        <v>1345.59997558594</v>
      </c>
      <c r="D1418" s="320">
        <f t="shared" si="44"/>
        <v>7.9333291061157198E-3</v>
      </c>
      <c r="E1418" s="320">
        <f t="shared" si="45"/>
        <v>3.5798975111950302E-3</v>
      </c>
      <c r="F1418" s="130"/>
      <c r="G1418" s="130"/>
    </row>
    <row r="1419" spans="1:7" ht="14.25" customHeight="1" x14ac:dyDescent="0.3">
      <c r="A1419" s="319" t="s">
        <v>1928</v>
      </c>
      <c r="B1419" s="320">
        <v>26177.150390625</v>
      </c>
      <c r="C1419" s="320">
        <v>1365.59997558594</v>
      </c>
      <c r="D1419" s="320">
        <f t="shared" si="44"/>
        <v>1.81488893991606E-4</v>
      </c>
      <c r="E1419" s="320">
        <f t="shared" si="45"/>
        <v>1.4863258295832699E-2</v>
      </c>
      <c r="F1419" s="130"/>
      <c r="G1419" s="130"/>
    </row>
    <row r="1420" spans="1:7" ht="14.25" customHeight="1" x14ac:dyDescent="0.3">
      <c r="A1420" s="319" t="s">
        <v>1929</v>
      </c>
      <c r="B1420" s="320">
        <v>26142.099609375</v>
      </c>
      <c r="C1420" s="320">
        <v>1366.80004882813</v>
      </c>
      <c r="D1420" s="320">
        <f t="shared" si="44"/>
        <v>-1.33898383616855E-3</v>
      </c>
      <c r="E1420" s="320">
        <f t="shared" si="45"/>
        <v>8.7878827156179695E-4</v>
      </c>
      <c r="F1420" s="130"/>
      <c r="G1420" s="130"/>
    </row>
    <row r="1421" spans="1:7" ht="14.25" customHeight="1" x14ac:dyDescent="0.3">
      <c r="A1421" s="319" t="s">
        <v>1930</v>
      </c>
      <c r="B1421" s="320">
        <v>26042.30078125</v>
      </c>
      <c r="C1421" s="320">
        <v>1365.80004882813</v>
      </c>
      <c r="D1421" s="320">
        <f t="shared" si="44"/>
        <v>-3.8175521330050502E-3</v>
      </c>
      <c r="E1421" s="320">
        <f t="shared" si="45"/>
        <v>-7.3163591182000796E-4</v>
      </c>
      <c r="F1421" s="130"/>
      <c r="G1421" s="130"/>
    </row>
    <row r="1422" spans="1:7" ht="14.25" customHeight="1" x14ac:dyDescent="0.3">
      <c r="A1422" s="319" t="s">
        <v>1931</v>
      </c>
      <c r="B1422" s="320">
        <v>25942.099609375</v>
      </c>
      <c r="C1422" s="320">
        <v>1359.5</v>
      </c>
      <c r="D1422" s="320">
        <f t="shared" si="44"/>
        <v>-3.8476313101776E-3</v>
      </c>
      <c r="E1422" s="320">
        <f t="shared" si="45"/>
        <v>-4.6127167981400404E-3</v>
      </c>
      <c r="F1422" s="130"/>
      <c r="G1422" s="130"/>
    </row>
    <row r="1423" spans="1:7" ht="14.25" customHeight="1" x14ac:dyDescent="0.3">
      <c r="A1423" s="319" t="s">
        <v>1932</v>
      </c>
      <c r="B1423" s="320">
        <v>25938.849609375</v>
      </c>
      <c r="C1423" s="320">
        <v>1335</v>
      </c>
      <c r="D1423" s="320">
        <f t="shared" si="44"/>
        <v>-1.25278988552858E-4</v>
      </c>
      <c r="E1423" s="320">
        <f t="shared" si="45"/>
        <v>-1.80213313718279E-2</v>
      </c>
      <c r="F1423" s="130"/>
      <c r="G1423" s="130"/>
    </row>
    <row r="1424" spans="1:7" ht="14.25" customHeight="1" x14ac:dyDescent="0.3">
      <c r="A1424" s="319" t="s">
        <v>1933</v>
      </c>
      <c r="B1424" s="320">
        <v>26129.599609375</v>
      </c>
      <c r="C1424" s="320">
        <v>1333.59997558594</v>
      </c>
      <c r="D1424" s="320">
        <f t="shared" si="44"/>
        <v>7.3538342244390802E-3</v>
      </c>
      <c r="E1424" s="320">
        <f t="shared" si="45"/>
        <v>-1.0487074262621699E-3</v>
      </c>
      <c r="F1424" s="130"/>
      <c r="G1424" s="130"/>
    </row>
    <row r="1425" spans="1:7" ht="14.25" customHeight="1" x14ac:dyDescent="0.3">
      <c r="A1425" s="319" t="s">
        <v>1934</v>
      </c>
      <c r="B1425" s="320">
        <v>26146.55078125</v>
      </c>
      <c r="C1425" s="320">
        <v>1340.90002441406</v>
      </c>
      <c r="D1425" s="320">
        <f t="shared" si="44"/>
        <v>6.4873446698043196E-4</v>
      </c>
      <c r="E1425" s="320">
        <f t="shared" si="45"/>
        <v>5.4739419329342702E-3</v>
      </c>
      <c r="F1425" s="130"/>
      <c r="G1425" s="130"/>
    </row>
    <row r="1426" spans="1:7" ht="14.25" customHeight="1" x14ac:dyDescent="0.3">
      <c r="A1426" s="319" t="s">
        <v>1935</v>
      </c>
      <c r="B1426" s="320">
        <v>26328.55078125</v>
      </c>
      <c r="C1426" s="320">
        <v>1367.69995117188</v>
      </c>
      <c r="D1426" s="320">
        <f t="shared" si="44"/>
        <v>6.9607651702386104E-3</v>
      </c>
      <c r="E1426" s="320">
        <f t="shared" si="45"/>
        <v>1.9986521194621399E-2</v>
      </c>
      <c r="F1426" s="130"/>
      <c r="G1426" s="130"/>
    </row>
    <row r="1427" spans="1:7" ht="14.25" customHeight="1" x14ac:dyDescent="0.3">
      <c r="A1427" s="319" t="s">
        <v>1936</v>
      </c>
      <c r="B1427" s="320">
        <v>26250.30078125</v>
      </c>
      <c r="C1427" s="320">
        <v>1343.19995117188</v>
      </c>
      <c r="D1427" s="320">
        <f t="shared" si="44"/>
        <v>-2.9720587604740501E-3</v>
      </c>
      <c r="E1427" s="320">
        <f t="shared" si="45"/>
        <v>-1.79132857166572E-2</v>
      </c>
      <c r="F1427" s="130"/>
      <c r="G1427" s="130"/>
    </row>
    <row r="1428" spans="1:7" ht="14.25" customHeight="1" x14ac:dyDescent="0.3">
      <c r="A1428" s="319" t="s">
        <v>1937</v>
      </c>
      <c r="B1428" s="320">
        <v>26178.69921875</v>
      </c>
      <c r="C1428" s="320">
        <v>1335.80004882813</v>
      </c>
      <c r="D1428" s="320">
        <f t="shared" si="44"/>
        <v>-2.7276473171364002E-3</v>
      </c>
      <c r="E1428" s="320">
        <f t="shared" si="45"/>
        <v>-5.5091591816199296E-3</v>
      </c>
      <c r="F1428" s="130"/>
      <c r="G1428" s="130"/>
    </row>
    <row r="1429" spans="1:7" ht="14.25" customHeight="1" x14ac:dyDescent="0.3">
      <c r="A1429" s="319" t="s">
        <v>1938</v>
      </c>
      <c r="B1429" s="320">
        <v>26140.75</v>
      </c>
      <c r="C1429" s="320">
        <v>1359.40002441406</v>
      </c>
      <c r="D1429" s="320">
        <f t="shared" si="44"/>
        <v>-1.44962201646824E-3</v>
      </c>
      <c r="E1429" s="320">
        <f t="shared" si="45"/>
        <v>1.7667296543845599E-2</v>
      </c>
      <c r="F1429" s="130"/>
      <c r="G1429" s="130"/>
    </row>
    <row r="1430" spans="1:7" ht="14.25" customHeight="1" x14ac:dyDescent="0.3">
      <c r="A1430" s="319" t="s">
        <v>1939</v>
      </c>
      <c r="B1430" s="320">
        <v>25876.849609375</v>
      </c>
      <c r="C1430" s="320">
        <v>1337.40002441406</v>
      </c>
      <c r="D1430" s="320">
        <f t="shared" si="44"/>
        <v>-1.00953641584499E-2</v>
      </c>
      <c r="E1430" s="320">
        <f t="shared" si="45"/>
        <v>-1.6183610125711598E-2</v>
      </c>
      <c r="F1430" s="130"/>
      <c r="G1430" s="130"/>
    </row>
    <row r="1431" spans="1:7" ht="14.25" customHeight="1" x14ac:dyDescent="0.3">
      <c r="A1431" s="319" t="s">
        <v>1940</v>
      </c>
      <c r="B1431" s="320">
        <v>25683.30078125</v>
      </c>
      <c r="C1431" s="320">
        <v>1320.30004882813</v>
      </c>
      <c r="D1431" s="320">
        <f t="shared" si="44"/>
        <v>-7.4796132854935598E-3</v>
      </c>
      <c r="E1431" s="320">
        <f t="shared" si="45"/>
        <v>-1.27859842035085E-2</v>
      </c>
      <c r="F1431" s="130"/>
      <c r="G1431" s="130"/>
    </row>
    <row r="1432" spans="1:7" ht="14.25" customHeight="1" x14ac:dyDescent="0.3">
      <c r="A1432" s="319" t="s">
        <v>1941</v>
      </c>
      <c r="B1432" s="320">
        <v>25790.25</v>
      </c>
      <c r="C1432" s="320">
        <v>1312.90002441406</v>
      </c>
      <c r="D1432" s="320">
        <f t="shared" si="44"/>
        <v>4.1641539637334302E-3</v>
      </c>
      <c r="E1432" s="320">
        <f t="shared" si="45"/>
        <v>-5.6048050749055896E-3</v>
      </c>
      <c r="F1432" s="130"/>
      <c r="G1432" s="130"/>
    </row>
    <row r="1433" spans="1:7" ht="14.25" customHeight="1" x14ac:dyDescent="0.3">
      <c r="A1433" s="319" t="s">
        <v>1942</v>
      </c>
      <c r="B1433" s="320">
        <v>25732.30078125</v>
      </c>
      <c r="C1433" s="320">
        <v>1332.40002441406</v>
      </c>
      <c r="D1433" s="320">
        <f t="shared" si="44"/>
        <v>-2.2469428853927401E-3</v>
      </c>
      <c r="E1433" s="320">
        <f t="shared" si="45"/>
        <v>1.4852616069302599E-2</v>
      </c>
      <c r="F1433" s="130"/>
      <c r="G1433" s="130"/>
    </row>
    <row r="1434" spans="1:7" ht="14.25" customHeight="1" x14ac:dyDescent="0.3">
      <c r="A1434" s="319" t="s">
        <v>1943</v>
      </c>
      <c r="B1434" s="320">
        <v>25665.599609375</v>
      </c>
      <c r="C1434" s="320">
        <v>1305.80004882813</v>
      </c>
      <c r="D1434" s="320">
        <f t="shared" si="44"/>
        <v>-2.5921184600641001E-3</v>
      </c>
      <c r="E1434" s="320">
        <f t="shared" si="45"/>
        <v>-1.9963956093161799E-2</v>
      </c>
      <c r="F1434" s="130"/>
      <c r="G1434" s="130"/>
    </row>
    <row r="1435" spans="1:7" ht="14.25" customHeight="1" x14ac:dyDescent="0.3">
      <c r="A1435" s="319" t="s">
        <v>1944</v>
      </c>
      <c r="B1435" s="320">
        <v>25694.349609375</v>
      </c>
      <c r="C1435" s="320">
        <v>1329.09997558594</v>
      </c>
      <c r="D1435" s="320">
        <f t="shared" si="44"/>
        <v>1.1201764399651299E-3</v>
      </c>
      <c r="E1435" s="320">
        <f t="shared" si="45"/>
        <v>1.7843410848942899E-2</v>
      </c>
      <c r="F1435" s="130"/>
      <c r="G1435" s="130"/>
    </row>
    <row r="1436" spans="1:7" ht="14.25" customHeight="1" x14ac:dyDescent="0.3">
      <c r="A1436" s="319" t="s">
        <v>1945</v>
      </c>
      <c r="B1436" s="320">
        <v>25585.5</v>
      </c>
      <c r="C1436" s="320">
        <v>1317.40002441406</v>
      </c>
      <c r="D1436" s="320">
        <f t="shared" si="44"/>
        <v>-4.2363247573810698E-3</v>
      </c>
      <c r="E1436" s="320">
        <f t="shared" si="45"/>
        <v>-8.8029127881986604E-3</v>
      </c>
      <c r="F1436" s="130"/>
      <c r="G1436" s="130"/>
    </row>
    <row r="1437" spans="1:7" ht="14.25" customHeight="1" x14ac:dyDescent="0.3">
      <c r="A1437" s="319" t="s">
        <v>1946</v>
      </c>
      <c r="B1437" s="320">
        <v>25232.5</v>
      </c>
      <c r="C1437" s="320">
        <v>1304.59997558594</v>
      </c>
      <c r="D1437" s="320">
        <f t="shared" si="44"/>
        <v>-1.3796877137441099E-2</v>
      </c>
      <c r="E1437" s="320">
        <f t="shared" si="45"/>
        <v>-9.7161443683842896E-3</v>
      </c>
      <c r="F1437" s="130"/>
      <c r="G1437" s="130"/>
    </row>
    <row r="1438" spans="1:7" ht="14.25" customHeight="1" x14ac:dyDescent="0.3">
      <c r="A1438" s="319" t="s">
        <v>1947</v>
      </c>
      <c r="B1438" s="320">
        <v>25157.5</v>
      </c>
      <c r="C1438" s="320">
        <v>1332.90002441406</v>
      </c>
      <c r="D1438" s="320">
        <f t="shared" si="44"/>
        <v>-2.9723570791637798E-3</v>
      </c>
      <c r="E1438" s="320">
        <f t="shared" si="45"/>
        <v>2.1692510622200099E-2</v>
      </c>
      <c r="F1438" s="130"/>
      <c r="G1438" s="130"/>
    </row>
    <row r="1439" spans="1:7" ht="14.25" customHeight="1" x14ac:dyDescent="0.3">
      <c r="A1439" s="319" t="s">
        <v>1948</v>
      </c>
      <c r="B1439" s="320">
        <v>25289.900390625</v>
      </c>
      <c r="C1439" s="320">
        <v>1319.5</v>
      </c>
      <c r="D1439" s="320">
        <f t="shared" si="44"/>
        <v>5.2628596094603996E-3</v>
      </c>
      <c r="E1439" s="320">
        <f t="shared" si="45"/>
        <v>-1.0053285444233199E-2</v>
      </c>
      <c r="F1439" s="130"/>
      <c r="G1439" s="130"/>
    </row>
    <row r="1440" spans="1:7" ht="14.25" customHeight="1" x14ac:dyDescent="0.3">
      <c r="A1440" s="319" t="s">
        <v>1949</v>
      </c>
      <c r="B1440" s="320">
        <v>25048.650390625</v>
      </c>
      <c r="C1440" s="320">
        <v>1300.90002441406</v>
      </c>
      <c r="D1440" s="320">
        <f t="shared" si="44"/>
        <v>-9.5393811867061206E-3</v>
      </c>
      <c r="E1440" s="320">
        <f t="shared" si="45"/>
        <v>-1.4096230076498699E-2</v>
      </c>
      <c r="F1440" s="130"/>
      <c r="G1440" s="130"/>
    </row>
    <row r="1441" spans="1:7" ht="14.25" customHeight="1" x14ac:dyDescent="0.3">
      <c r="A1441" s="319" t="s">
        <v>1950</v>
      </c>
      <c r="B1441" s="320">
        <v>25175.400390625</v>
      </c>
      <c r="C1441" s="320">
        <v>1279</v>
      </c>
      <c r="D1441" s="320">
        <f t="shared" si="44"/>
        <v>5.06015286346281E-3</v>
      </c>
      <c r="E1441" s="320">
        <f t="shared" si="45"/>
        <v>-1.6834517643985799E-2</v>
      </c>
      <c r="F1441" s="130"/>
      <c r="G1441" s="130"/>
    </row>
    <row r="1442" spans="1:7" ht="14.25" customHeight="1" x14ac:dyDescent="0.3">
      <c r="A1442" s="319" t="s">
        <v>1951</v>
      </c>
      <c r="B1442" s="320">
        <v>25342.75</v>
      </c>
      <c r="C1442" s="320">
        <v>1299.90002441406</v>
      </c>
      <c r="D1442" s="320">
        <f t="shared" si="44"/>
        <v>6.6473464881741801E-3</v>
      </c>
      <c r="E1442" s="320">
        <f t="shared" si="45"/>
        <v>1.6340910409742001E-2</v>
      </c>
      <c r="F1442" s="130"/>
      <c r="G1442" s="130"/>
    </row>
    <row r="1443" spans="1:7" ht="14.25" customHeight="1" x14ac:dyDescent="0.3">
      <c r="A1443" s="319" t="s">
        <v>1952</v>
      </c>
      <c r="B1443" s="320">
        <v>25418.900390625</v>
      </c>
      <c r="C1443" s="320">
        <v>1268.30004882813</v>
      </c>
      <c r="D1443" s="320">
        <f t="shared" si="44"/>
        <v>3.00481954898344E-3</v>
      </c>
      <c r="E1443" s="320">
        <f t="shared" si="45"/>
        <v>-2.4309543035953E-2</v>
      </c>
      <c r="F1443" s="130"/>
      <c r="G1443" s="130"/>
    </row>
    <row r="1444" spans="1:7" ht="14.25" customHeight="1" x14ac:dyDescent="0.3">
      <c r="A1444" s="319" t="s">
        <v>1953</v>
      </c>
      <c r="B1444" s="320">
        <v>25320.650390625</v>
      </c>
      <c r="C1444" s="320">
        <v>1249.40002441406</v>
      </c>
      <c r="D1444" s="320">
        <f t="shared" si="44"/>
        <v>-3.8652340774047202E-3</v>
      </c>
      <c r="E1444" s="320">
        <f t="shared" si="45"/>
        <v>-1.4901855780525299E-2</v>
      </c>
      <c r="F1444" s="130"/>
      <c r="G1444" s="130"/>
    </row>
    <row r="1445" spans="1:7" ht="14.25" customHeight="1" x14ac:dyDescent="0.3">
      <c r="A1445" s="319" t="s">
        <v>1954</v>
      </c>
      <c r="B1445" s="320">
        <v>25088.400390625</v>
      </c>
      <c r="C1445" s="320">
        <v>1237.30004882813</v>
      </c>
      <c r="D1445" s="320">
        <f t="shared" si="44"/>
        <v>-9.1723552285209401E-3</v>
      </c>
      <c r="E1445" s="320">
        <f t="shared" si="45"/>
        <v>-9.6846289014638105E-3</v>
      </c>
      <c r="F1445" s="130"/>
      <c r="G1445" s="130"/>
    </row>
    <row r="1446" spans="1:7" ht="14.25" customHeight="1" x14ac:dyDescent="0.3">
      <c r="A1446" s="319" t="s">
        <v>1955</v>
      </c>
      <c r="B1446" s="320">
        <v>25727.55078125</v>
      </c>
      <c r="C1446" s="320">
        <v>1250.69995117188</v>
      </c>
      <c r="D1446" s="320">
        <f t="shared" si="44"/>
        <v>2.5475932330218901E-2</v>
      </c>
      <c r="E1446" s="320">
        <f t="shared" si="45"/>
        <v>1.0829953782383901E-2</v>
      </c>
      <c r="F1446" s="130"/>
      <c r="G1446" s="130"/>
    </row>
    <row r="1447" spans="1:7" ht="14.25" customHeight="1" x14ac:dyDescent="0.3">
      <c r="A1447" s="319" t="s">
        <v>1956</v>
      </c>
      <c r="B1447" s="320">
        <v>25776</v>
      </c>
      <c r="C1447" s="320">
        <v>1188</v>
      </c>
      <c r="D1447" s="320">
        <f t="shared" si="44"/>
        <v>1.88316482831741E-3</v>
      </c>
      <c r="E1447" s="320">
        <f t="shared" si="45"/>
        <v>-5.01318890379195E-2</v>
      </c>
      <c r="F1447" s="130"/>
      <c r="G1447" s="130"/>
    </row>
    <row r="1448" spans="1:7" ht="14.25" customHeight="1" x14ac:dyDescent="0.3">
      <c r="A1448" s="319" t="s">
        <v>1957</v>
      </c>
      <c r="B1448" s="320">
        <v>25642.80078125</v>
      </c>
      <c r="C1448" s="320">
        <v>1166</v>
      </c>
      <c r="D1448" s="320">
        <f t="shared" si="44"/>
        <v>-5.1675674561607703E-3</v>
      </c>
      <c r="E1448" s="320">
        <f t="shared" si="45"/>
        <v>-1.85185185185185E-2</v>
      </c>
      <c r="F1448" s="130"/>
      <c r="G1448" s="130"/>
    </row>
    <row r="1449" spans="1:7" ht="14.25" customHeight="1" x14ac:dyDescent="0.3">
      <c r="A1449" s="319" t="s">
        <v>1958</v>
      </c>
      <c r="B1449" s="320">
        <v>25693.69921875</v>
      </c>
      <c r="C1449" s="320">
        <v>1130.40002441406</v>
      </c>
      <c r="D1449" s="320">
        <f t="shared" si="44"/>
        <v>1.9849016468285702E-3</v>
      </c>
      <c r="E1449" s="320">
        <f t="shared" si="45"/>
        <v>-3.0531711480223E-2</v>
      </c>
      <c r="F1449" s="130"/>
      <c r="G1449" s="130"/>
    </row>
    <row r="1450" spans="1:7" ht="14.25" customHeight="1" x14ac:dyDescent="0.3">
      <c r="A1450" s="319" t="s">
        <v>1959</v>
      </c>
      <c r="B1450" s="320">
        <v>25867.30078125</v>
      </c>
      <c r="C1450" s="320">
        <v>1177.30004882813</v>
      </c>
      <c r="D1450" s="320">
        <f t="shared" si="44"/>
        <v>6.7565810988132902E-3</v>
      </c>
      <c r="E1450" s="320">
        <f t="shared" si="45"/>
        <v>4.1489758847431502E-2</v>
      </c>
      <c r="F1450" s="130"/>
      <c r="G1450" s="130"/>
    </row>
    <row r="1451" spans="1:7" ht="14.25" customHeight="1" x14ac:dyDescent="0.3">
      <c r="A1451" s="319" t="s">
        <v>1960</v>
      </c>
      <c r="B1451" s="320">
        <v>25935.150390625</v>
      </c>
      <c r="C1451" s="320">
        <v>1194.30004882813</v>
      </c>
      <c r="D1451" s="320">
        <f t="shared" si="44"/>
        <v>2.6229876069706099E-3</v>
      </c>
      <c r="E1451" s="320">
        <f t="shared" si="45"/>
        <v>1.44398193280647E-2</v>
      </c>
      <c r="F1451" s="130"/>
      <c r="G1451" s="130"/>
    </row>
    <row r="1452" spans="1:7" ht="14.25" customHeight="1" x14ac:dyDescent="0.3">
      <c r="A1452" s="319" t="s">
        <v>1961</v>
      </c>
      <c r="B1452" s="320">
        <v>25953.849609375</v>
      </c>
      <c r="C1452" s="320">
        <v>1171.69995117188</v>
      </c>
      <c r="D1452" s="320">
        <f t="shared" si="44"/>
        <v>7.2099904833246601E-4</v>
      </c>
      <c r="E1452" s="320">
        <f t="shared" si="45"/>
        <v>-1.8923299616730001E-2</v>
      </c>
      <c r="F1452" s="130"/>
      <c r="G1452" s="130"/>
    </row>
    <row r="1453" spans="1:7" ht="14.25" customHeight="1" x14ac:dyDescent="0.3">
      <c r="A1453" s="319" t="s">
        <v>1962</v>
      </c>
      <c r="B1453" s="320">
        <v>25807.19921875</v>
      </c>
      <c r="C1453" s="320">
        <v>1149.30004882813</v>
      </c>
      <c r="D1453" s="320">
        <f t="shared" si="44"/>
        <v>-5.6504292362096198E-3</v>
      </c>
      <c r="E1453" s="320">
        <f t="shared" si="45"/>
        <v>-1.9117439000784001E-2</v>
      </c>
      <c r="F1453" s="130"/>
      <c r="G1453" s="130"/>
    </row>
    <row r="1454" spans="1:7" ht="14.25" customHeight="1" x14ac:dyDescent="0.3">
      <c r="A1454" s="319" t="s">
        <v>1963</v>
      </c>
      <c r="B1454" s="320">
        <v>25471.099609375</v>
      </c>
      <c r="C1454" s="320">
        <v>1141.09997558594</v>
      </c>
      <c r="D1454" s="320">
        <f t="shared" si="44"/>
        <v>-1.3023482576552101E-2</v>
      </c>
      <c r="E1454" s="320">
        <f t="shared" si="45"/>
        <v>-7.1348411152954401E-3</v>
      </c>
      <c r="F1454" s="130"/>
      <c r="G1454" s="130"/>
    </row>
    <row r="1455" spans="1:7" ht="14.25" customHeight="1" x14ac:dyDescent="0.3">
      <c r="A1455" s="319" t="s">
        <v>1964</v>
      </c>
      <c r="B1455" s="320">
        <v>25682.75</v>
      </c>
      <c r="C1455" s="320">
        <v>1125.19995117188</v>
      </c>
      <c r="D1455" s="320">
        <f t="shared" si="44"/>
        <v>8.3094328030933994E-3</v>
      </c>
      <c r="E1455" s="320">
        <f t="shared" si="45"/>
        <v>-1.3933945100555799E-2</v>
      </c>
      <c r="F1455" s="130"/>
      <c r="G1455" s="130"/>
    </row>
    <row r="1456" spans="1:7" ht="14.25" customHeight="1" x14ac:dyDescent="0.3">
      <c r="A1456" s="319" t="s">
        <v>1965</v>
      </c>
      <c r="B1456" s="320">
        <v>25725.400390625</v>
      </c>
      <c r="C1456" s="320">
        <v>1129.69995117188</v>
      </c>
      <c r="D1456" s="320">
        <f t="shared" si="44"/>
        <v>1.6606629206373899E-3</v>
      </c>
      <c r="E1456" s="320">
        <f t="shared" si="45"/>
        <v>3.9992891888355597E-3</v>
      </c>
      <c r="F1456" s="130"/>
      <c r="G1456" s="130"/>
    </row>
    <row r="1457" spans="1:7" ht="14.25" customHeight="1" x14ac:dyDescent="0.3">
      <c r="A1457" s="319" t="s">
        <v>1966</v>
      </c>
      <c r="B1457" s="320">
        <v>25819.349609375</v>
      </c>
      <c r="C1457" s="320">
        <v>1119.30004882813</v>
      </c>
      <c r="D1457" s="320">
        <f t="shared" si="44"/>
        <v>3.6520021971839802E-3</v>
      </c>
      <c r="E1457" s="320">
        <f t="shared" si="45"/>
        <v>-9.2058978430173393E-3</v>
      </c>
      <c r="F1457" s="130"/>
      <c r="G1457" s="130"/>
    </row>
    <row r="1458" spans="1:7" ht="14.25" customHeight="1" x14ac:dyDescent="0.3">
      <c r="A1458" s="319" t="s">
        <v>1967</v>
      </c>
      <c r="B1458" s="320">
        <v>25454.349609375</v>
      </c>
      <c r="C1458" s="320">
        <v>1094.40002441406</v>
      </c>
      <c r="D1458" s="320">
        <f t="shared" si="44"/>
        <v>-1.41366845223502E-2</v>
      </c>
      <c r="E1458" s="320">
        <f t="shared" si="45"/>
        <v>-2.2246067477741601E-2</v>
      </c>
      <c r="F1458" s="130"/>
      <c r="G1458" s="130"/>
    </row>
    <row r="1459" spans="1:7" ht="14.25" customHeight="1" x14ac:dyDescent="0.3">
      <c r="A1459" s="319" t="s">
        <v>1968</v>
      </c>
      <c r="B1459" s="320">
        <v>25571.25</v>
      </c>
      <c r="C1459" s="320">
        <v>1074.80004882813</v>
      </c>
      <c r="D1459" s="320">
        <f t="shared" si="44"/>
        <v>4.5925506806877804E-3</v>
      </c>
      <c r="E1459" s="320">
        <f t="shared" si="45"/>
        <v>-1.7909334017443799E-2</v>
      </c>
      <c r="F1459" s="130"/>
      <c r="G1459" s="130"/>
    </row>
    <row r="1460" spans="1:7" ht="14.25" customHeight="1" x14ac:dyDescent="0.3">
      <c r="A1460" s="319" t="s">
        <v>1969</v>
      </c>
      <c r="B1460" s="320">
        <v>25713</v>
      </c>
      <c r="C1460" s="320">
        <v>1069.69995117188</v>
      </c>
      <c r="D1460" s="320">
        <f t="shared" si="44"/>
        <v>5.54333479982402E-3</v>
      </c>
      <c r="E1460" s="320">
        <f t="shared" si="45"/>
        <v>-4.7451594943735903E-3</v>
      </c>
      <c r="F1460" s="130"/>
      <c r="G1460" s="130"/>
    </row>
    <row r="1461" spans="1:7" ht="14.25" customHeight="1" x14ac:dyDescent="0.3">
      <c r="A1461" s="319" t="s">
        <v>1970</v>
      </c>
      <c r="B1461" s="320">
        <v>25424.650390625</v>
      </c>
      <c r="C1461" s="320">
        <v>1017.90002441406</v>
      </c>
      <c r="D1461" s="320">
        <f t="shared" si="44"/>
        <v>-1.12141566279703E-2</v>
      </c>
      <c r="E1461" s="320">
        <f t="shared" si="45"/>
        <v>-4.8424725738345602E-2</v>
      </c>
      <c r="F1461" s="130"/>
      <c r="G1461" s="130"/>
    </row>
    <row r="1462" spans="1:7" ht="14.25" customHeight="1" x14ac:dyDescent="0.3">
      <c r="A1462" s="319" t="s">
        <v>1971</v>
      </c>
      <c r="B1462" s="320">
        <v>25482.5</v>
      </c>
      <c r="C1462" s="320">
        <v>1043.19995117188</v>
      </c>
      <c r="D1462" s="320">
        <f t="shared" si="44"/>
        <v>2.2753354908011301E-3</v>
      </c>
      <c r="E1462" s="320">
        <f t="shared" si="45"/>
        <v>2.48550212702702E-2</v>
      </c>
      <c r="F1462" s="130"/>
      <c r="G1462" s="130"/>
    </row>
    <row r="1463" spans="1:7" ht="14.25" customHeight="1" x14ac:dyDescent="0.3">
      <c r="A1463" s="319" t="s">
        <v>1972</v>
      </c>
      <c r="B1463" s="320">
        <v>25496.55078125</v>
      </c>
      <c r="C1463" s="320">
        <v>1051</v>
      </c>
      <c r="D1463" s="320">
        <f t="shared" si="44"/>
        <v>5.5138943392524296E-4</v>
      </c>
      <c r="E1463" s="320">
        <f t="shared" si="45"/>
        <v>7.4770410210984002E-3</v>
      </c>
      <c r="F1463" s="130"/>
      <c r="G1463" s="130"/>
    </row>
    <row r="1464" spans="1:7" ht="14.25" customHeight="1" x14ac:dyDescent="0.3">
      <c r="A1464" s="319" t="s">
        <v>1973</v>
      </c>
      <c r="B1464" s="320">
        <v>25178.650390625</v>
      </c>
      <c r="C1464" s="320">
        <v>1029.59997558594</v>
      </c>
      <c r="D1464" s="320">
        <f t="shared" si="44"/>
        <v>-1.2468368500212299E-2</v>
      </c>
      <c r="E1464" s="320">
        <f t="shared" si="45"/>
        <v>-2.0361583648011401E-2</v>
      </c>
      <c r="F1464" s="130"/>
      <c r="G1464" s="130"/>
    </row>
    <row r="1465" spans="1:7" ht="14.25" customHeight="1" x14ac:dyDescent="0.3">
      <c r="A1465" s="319" t="s">
        <v>1974</v>
      </c>
      <c r="B1465" s="320">
        <v>24865.69921875</v>
      </c>
      <c r="C1465" s="320">
        <v>998.5</v>
      </c>
      <c r="D1465" s="320">
        <f t="shared" si="44"/>
        <v>-1.24292274216383E-2</v>
      </c>
      <c r="E1465" s="320">
        <f t="shared" si="45"/>
        <v>-3.0205882209973001E-2</v>
      </c>
      <c r="F1465" s="130"/>
      <c r="G1465" s="130"/>
    </row>
    <row r="1466" spans="1:7" ht="14.25" customHeight="1" x14ac:dyDescent="0.3">
      <c r="A1466" s="319" t="s">
        <v>1975</v>
      </c>
      <c r="B1466" s="320">
        <v>24480.5</v>
      </c>
      <c r="C1466" s="320">
        <v>999.70001220703102</v>
      </c>
      <c r="D1466" s="320">
        <f t="shared" si="44"/>
        <v>-1.5491187895474099E-2</v>
      </c>
      <c r="E1466" s="320">
        <f t="shared" si="45"/>
        <v>1.2018149294251599E-3</v>
      </c>
      <c r="F1466" s="130"/>
      <c r="G1466" s="130"/>
    </row>
    <row r="1467" spans="1:7" ht="14.25" customHeight="1" x14ac:dyDescent="0.3">
      <c r="A1467" s="319" t="s">
        <v>1976</v>
      </c>
      <c r="B1467" s="320">
        <v>24765.900390625</v>
      </c>
      <c r="C1467" s="320">
        <v>1015.29998779297</v>
      </c>
      <c r="D1467" s="320">
        <f t="shared" si="44"/>
        <v>1.16582745705766E-2</v>
      </c>
      <c r="E1467" s="320">
        <f t="shared" si="45"/>
        <v>1.56046567924902E-2</v>
      </c>
      <c r="F1467" s="130"/>
      <c r="G1467" s="130"/>
    </row>
    <row r="1468" spans="1:7" ht="14.25" customHeight="1" x14ac:dyDescent="0.3">
      <c r="A1468" s="319" t="s">
        <v>1977</v>
      </c>
      <c r="B1468" s="320">
        <v>24450.44921875</v>
      </c>
      <c r="C1468" s="320">
        <v>980.09997558593795</v>
      </c>
      <c r="D1468" s="320">
        <f t="shared" si="44"/>
        <v>-1.2737318930444099E-2</v>
      </c>
      <c r="E1468" s="320">
        <f t="shared" si="45"/>
        <v>-3.46695682362302E-2</v>
      </c>
      <c r="F1468" s="130"/>
      <c r="G1468" s="130"/>
    </row>
    <row r="1469" spans="1:7" ht="14.25" customHeight="1" x14ac:dyDescent="0.3">
      <c r="A1469" s="319" t="s">
        <v>1978</v>
      </c>
      <c r="B1469" s="320">
        <v>24028.05078125</v>
      </c>
      <c r="C1469" s="320">
        <v>979.29998779296898</v>
      </c>
      <c r="D1469" s="320">
        <f t="shared" si="44"/>
        <v>-1.7275692308183901E-2</v>
      </c>
      <c r="E1469" s="320">
        <f t="shared" si="45"/>
        <v>-8.1623080593458495E-4</v>
      </c>
      <c r="F1469" s="130"/>
      <c r="G1469" s="130"/>
    </row>
    <row r="1470" spans="1:7" ht="14.25" customHeight="1" x14ac:dyDescent="0.3">
      <c r="A1470" s="319" t="s">
        <v>1979</v>
      </c>
      <c r="B1470" s="320">
        <v>24261.599609375</v>
      </c>
      <c r="C1470" s="320">
        <v>976.59997558593795</v>
      </c>
      <c r="D1470" s="320">
        <f t="shared" si="44"/>
        <v>9.7198407915488096E-3</v>
      </c>
      <c r="E1470" s="320">
        <f t="shared" si="45"/>
        <v>-2.7570838769394798E-3</v>
      </c>
      <c r="F1470" s="130"/>
      <c r="G1470" s="130"/>
    </row>
    <row r="1471" spans="1:7" ht="14.25" customHeight="1" x14ac:dyDescent="0.3">
      <c r="A1471" s="319" t="s">
        <v>1980</v>
      </c>
      <c r="B1471" s="320">
        <v>23866.849609375</v>
      </c>
      <c r="C1471" s="320">
        <v>956.5</v>
      </c>
      <c r="D1471" s="320">
        <f t="shared" si="44"/>
        <v>-1.6270567743087501E-2</v>
      </c>
      <c r="E1471" s="320">
        <f t="shared" si="45"/>
        <v>-2.0581585181669099E-2</v>
      </c>
      <c r="F1471" s="130"/>
      <c r="G1471" s="130"/>
    </row>
    <row r="1472" spans="1:7" ht="14.25" customHeight="1" x14ac:dyDescent="0.3">
      <c r="A1472" s="319" t="s">
        <v>1981</v>
      </c>
      <c r="B1472" s="320">
        <v>23639.150390625</v>
      </c>
      <c r="C1472" s="320">
        <v>955.40002441406295</v>
      </c>
      <c r="D1472" s="320">
        <f t="shared" si="44"/>
        <v>-9.5403969303329804E-3</v>
      </c>
      <c r="E1472" s="320">
        <f t="shared" si="45"/>
        <v>-1.1500006125844699E-3</v>
      </c>
      <c r="F1472" s="130"/>
      <c r="G1472" s="130"/>
    </row>
    <row r="1473" spans="1:7" ht="14.25" customHeight="1" x14ac:dyDescent="0.3">
      <c r="A1473" s="319" t="s">
        <v>1982</v>
      </c>
      <c r="B1473" s="320">
        <v>23151.099609375</v>
      </c>
      <c r="C1473" s="320">
        <v>952.40002441406295</v>
      </c>
      <c r="D1473" s="320">
        <f t="shared" si="44"/>
        <v>-2.0645868112229401E-2</v>
      </c>
      <c r="E1473" s="320">
        <f t="shared" si="45"/>
        <v>-3.1400459737688101E-3</v>
      </c>
      <c r="F1473" s="130"/>
      <c r="G1473" s="130"/>
    </row>
    <row r="1474" spans="1:7" ht="14.25" customHeight="1" x14ac:dyDescent="0.3">
      <c r="A1474" s="319" t="s">
        <v>1983</v>
      </c>
      <c r="B1474" s="320">
        <v>23408.80078125</v>
      </c>
      <c r="C1474" s="320">
        <v>949.59997558593795</v>
      </c>
      <c r="D1474" s="320">
        <f t="shared" si="44"/>
        <v>1.1131271353117299E-2</v>
      </c>
      <c r="E1474" s="320">
        <f t="shared" si="45"/>
        <v>-2.9399923943173498E-3</v>
      </c>
      <c r="F1474" s="130"/>
      <c r="G1474" s="130"/>
    </row>
    <row r="1475" spans="1:7" ht="14.25" customHeight="1" x14ac:dyDescent="0.3">
      <c r="A1475" s="319" t="s">
        <v>1984</v>
      </c>
      <c r="B1475" s="320">
        <v>23581.150390625</v>
      </c>
      <c r="C1475" s="320">
        <v>963.09997558593795</v>
      </c>
      <c r="D1475" s="320">
        <f t="shared" ref="D1475:D1524" si="46">(B1475-B1474)/B1474</f>
        <v>7.3625988356075403E-3</v>
      </c>
      <c r="E1475" s="320">
        <f t="shared" ref="E1475:E1524" si="47">(C1475-C1474)/C1474</f>
        <v>1.4216512581174E-2</v>
      </c>
      <c r="F1475" s="130"/>
      <c r="G1475" s="130"/>
    </row>
    <row r="1476" spans="1:7" ht="14.25" customHeight="1" x14ac:dyDescent="0.3">
      <c r="A1476" s="319" t="s">
        <v>1985</v>
      </c>
      <c r="B1476" s="320">
        <v>23777.80078125</v>
      </c>
      <c r="C1476" s="320">
        <v>994.90002441406295</v>
      </c>
      <c r="D1476" s="320">
        <f t="shared" si="46"/>
        <v>8.3393043752089807E-3</v>
      </c>
      <c r="E1476" s="320">
        <f t="shared" si="47"/>
        <v>3.3018429689792302E-2</v>
      </c>
      <c r="F1476" s="130"/>
      <c r="G1476" s="130"/>
    </row>
    <row r="1477" spans="1:7" ht="14.25" customHeight="1" x14ac:dyDescent="0.3">
      <c r="A1477" s="319" t="s">
        <v>1986</v>
      </c>
      <c r="B1477" s="320">
        <v>23002.150390625</v>
      </c>
      <c r="C1477" s="320">
        <v>970.59997558593795</v>
      </c>
      <c r="D1477" s="320">
        <f t="shared" si="46"/>
        <v>-3.2620779262169601E-2</v>
      </c>
      <c r="E1477" s="320">
        <f t="shared" si="47"/>
        <v>-2.4424613762007202E-2</v>
      </c>
      <c r="F1477" s="130"/>
      <c r="G1477" s="130"/>
    </row>
    <row r="1478" spans="1:7" ht="14.25" customHeight="1" x14ac:dyDescent="0.3">
      <c r="A1478" s="319" t="s">
        <v>1987</v>
      </c>
      <c r="B1478" s="320">
        <v>23114.5</v>
      </c>
      <c r="C1478" s="320">
        <v>978.20001220703102</v>
      </c>
      <c r="D1478" s="320">
        <f t="shared" si="46"/>
        <v>4.8843089653387503E-3</v>
      </c>
      <c r="E1478" s="320">
        <f t="shared" si="47"/>
        <v>7.8302460460139903E-3</v>
      </c>
      <c r="F1478" s="130"/>
      <c r="G1478" s="130"/>
    </row>
    <row r="1479" spans="1:7" ht="14.25" customHeight="1" x14ac:dyDescent="0.3">
      <c r="A1479" s="319" t="s">
        <v>1988</v>
      </c>
      <c r="B1479" s="320">
        <v>22512.650390625</v>
      </c>
      <c r="C1479" s="320">
        <v>974.70001220703102</v>
      </c>
      <c r="D1479" s="320">
        <f t="shared" si="46"/>
        <v>-2.60377516007268E-2</v>
      </c>
      <c r="E1479" s="320">
        <f t="shared" si="47"/>
        <v>-3.5780003642642E-3</v>
      </c>
      <c r="F1479" s="130"/>
      <c r="G1479" s="130"/>
    </row>
    <row r="1480" spans="1:7" ht="14.25" customHeight="1" x14ac:dyDescent="0.3">
      <c r="A1480" s="319" t="s">
        <v>1989</v>
      </c>
      <c r="B1480" s="320">
        <v>22912.400390625</v>
      </c>
      <c r="C1480" s="320">
        <v>987.40002441406295</v>
      </c>
      <c r="D1480" s="320">
        <f t="shared" si="46"/>
        <v>1.7756683156527401E-2</v>
      </c>
      <c r="E1480" s="320">
        <f t="shared" si="47"/>
        <v>1.3029662509468E-2</v>
      </c>
      <c r="F1480" s="130"/>
      <c r="G1480" s="130"/>
    </row>
    <row r="1481" spans="1:7" ht="14.25" customHeight="1" x14ac:dyDescent="0.3">
      <c r="A1481" s="319" t="s">
        <v>1990</v>
      </c>
      <c r="B1481" s="320">
        <v>23306.44921875</v>
      </c>
      <c r="C1481" s="320">
        <v>998</v>
      </c>
      <c r="D1481" s="320">
        <f t="shared" si="46"/>
        <v>1.7198059627407301E-2</v>
      </c>
      <c r="E1481" s="320">
        <f t="shared" si="47"/>
        <v>1.0735239339524199E-2</v>
      </c>
      <c r="F1481" s="130"/>
      <c r="G1481" s="130"/>
    </row>
    <row r="1482" spans="1:7" ht="14.25" customHeight="1" x14ac:dyDescent="0.3">
      <c r="A1482" s="319" t="s">
        <v>1991</v>
      </c>
      <c r="B1482" s="320">
        <v>22819.599609375</v>
      </c>
      <c r="C1482" s="320">
        <v>991.40002441406295</v>
      </c>
      <c r="D1482" s="320">
        <f t="shared" si="46"/>
        <v>-2.0889051129390001E-2</v>
      </c>
      <c r="E1482" s="320">
        <f t="shared" si="47"/>
        <v>-6.6132019899168802E-3</v>
      </c>
      <c r="F1482" s="130"/>
      <c r="G1482" s="130"/>
    </row>
    <row r="1483" spans="1:7" ht="14.25" customHeight="1" x14ac:dyDescent="0.3">
      <c r="A1483" s="319" t="s">
        <v>1992</v>
      </c>
      <c r="B1483" s="320">
        <v>22331.400390625</v>
      </c>
      <c r="C1483" s="320">
        <v>967.70001220703102</v>
      </c>
      <c r="D1483" s="320">
        <f t="shared" si="46"/>
        <v>-2.1393855593742898E-2</v>
      </c>
      <c r="E1483" s="320">
        <f t="shared" si="47"/>
        <v>-2.3905599781520199E-2</v>
      </c>
      <c r="F1483" s="130"/>
      <c r="G1483" s="130"/>
    </row>
    <row r="1484" spans="1:7" ht="14.25" customHeight="1" x14ac:dyDescent="0.3">
      <c r="A1484" s="319" t="s">
        <v>1993</v>
      </c>
      <c r="B1484" s="320">
        <v>22679.400390625</v>
      </c>
      <c r="C1484" s="320">
        <v>985.25</v>
      </c>
      <c r="D1484" s="320">
        <f t="shared" si="46"/>
        <v>1.55834382937353E-2</v>
      </c>
      <c r="E1484" s="320">
        <f t="shared" si="47"/>
        <v>1.8135773040803001E-2</v>
      </c>
      <c r="F1484" s="130"/>
      <c r="G1484" s="130"/>
    </row>
    <row r="1485" spans="1:7" ht="14.25" customHeight="1" x14ac:dyDescent="0.3">
      <c r="A1485" s="319" t="s">
        <v>1994</v>
      </c>
      <c r="B1485" s="320">
        <v>22713.099609375</v>
      </c>
      <c r="C1485" s="320">
        <v>993.79998779296898</v>
      </c>
      <c r="D1485" s="320">
        <f t="shared" si="46"/>
        <v>1.48589548972072E-3</v>
      </c>
      <c r="E1485" s="320">
        <f t="shared" si="47"/>
        <v>8.6779881177051297E-3</v>
      </c>
      <c r="F1485" s="130"/>
      <c r="G1485" s="130"/>
    </row>
    <row r="1486" spans="1:7" ht="14.25" customHeight="1" x14ac:dyDescent="0.3">
      <c r="A1486" s="319" t="s">
        <v>1995</v>
      </c>
      <c r="B1486" s="320">
        <v>22968.25</v>
      </c>
      <c r="C1486" s="320">
        <v>994.29998779296898</v>
      </c>
      <c r="D1486" s="320">
        <f t="shared" si="46"/>
        <v>1.12336226676734E-2</v>
      </c>
      <c r="E1486" s="320">
        <f t="shared" si="47"/>
        <v>5.0311934608733501E-4</v>
      </c>
      <c r="F1486" s="130"/>
      <c r="G1486" s="130"/>
    </row>
    <row r="1487" spans="1:7" ht="14.25" customHeight="1" x14ac:dyDescent="0.3">
      <c r="A1487" s="319" t="s">
        <v>1996</v>
      </c>
      <c r="B1487" s="320">
        <v>23123.650390625</v>
      </c>
      <c r="C1487" s="320">
        <v>1005.75</v>
      </c>
      <c r="D1487" s="320">
        <f t="shared" si="46"/>
        <v>6.7658785769486099E-3</v>
      </c>
      <c r="E1487" s="320">
        <f t="shared" si="47"/>
        <v>1.15156515615035E-2</v>
      </c>
      <c r="F1487" s="130"/>
      <c r="G1487" s="130"/>
    </row>
    <row r="1488" spans="1:7" ht="14.25" customHeight="1" x14ac:dyDescent="0.3">
      <c r="A1488" s="319" t="s">
        <v>1997</v>
      </c>
      <c r="B1488" s="320">
        <v>23997.349609375</v>
      </c>
      <c r="C1488" s="320">
        <v>1032.69995117188</v>
      </c>
      <c r="D1488" s="320">
        <f t="shared" si="46"/>
        <v>3.7783792956159898E-2</v>
      </c>
      <c r="E1488" s="320">
        <f t="shared" si="47"/>
        <v>2.67958748912553E-2</v>
      </c>
      <c r="F1488" s="130"/>
      <c r="G1488" s="130"/>
    </row>
    <row r="1489" spans="1:7" ht="14.25" customHeight="1" x14ac:dyDescent="0.3">
      <c r="A1489" s="319" t="s">
        <v>1998</v>
      </c>
      <c r="B1489" s="320">
        <v>23775.099609375</v>
      </c>
      <c r="C1489" s="320">
        <v>1002.40002441406</v>
      </c>
      <c r="D1489" s="320">
        <f t="shared" si="46"/>
        <v>-9.26143943467715E-3</v>
      </c>
      <c r="E1489" s="320">
        <f t="shared" si="47"/>
        <v>-2.9340494035500299E-2</v>
      </c>
      <c r="F1489" s="130"/>
      <c r="G1489" s="130"/>
    </row>
    <row r="1490" spans="1:7" ht="14.25" customHeight="1" x14ac:dyDescent="0.3">
      <c r="A1490" s="319" t="s">
        <v>1999</v>
      </c>
      <c r="B1490" s="320">
        <v>24050.599609375</v>
      </c>
      <c r="C1490" s="320">
        <v>990.90002441406295</v>
      </c>
      <c r="D1490" s="320">
        <f t="shared" si="46"/>
        <v>1.1587753764504299E-2</v>
      </c>
      <c r="E1490" s="320">
        <f t="shared" si="47"/>
        <v>-1.1472465801982801E-2</v>
      </c>
      <c r="F1490" s="130"/>
      <c r="G1490" s="130"/>
    </row>
    <row r="1491" spans="1:7" ht="14.25" customHeight="1" x14ac:dyDescent="0.3">
      <c r="A1491" s="319" t="s">
        <v>2000</v>
      </c>
      <c r="B1491" s="320">
        <v>23842.650390625</v>
      </c>
      <c r="C1491" s="320">
        <v>994.65002441406295</v>
      </c>
      <c r="D1491" s="320">
        <f t="shared" si="46"/>
        <v>-8.6463215939506406E-3</v>
      </c>
      <c r="E1491" s="320">
        <f t="shared" si="47"/>
        <v>3.7844382961009998E-3</v>
      </c>
      <c r="F1491" s="130"/>
      <c r="G1491" s="130"/>
    </row>
    <row r="1492" spans="1:7" ht="14.25" customHeight="1" x14ac:dyDescent="0.3">
      <c r="A1492" s="319" t="s">
        <v>2001</v>
      </c>
      <c r="B1492" s="320">
        <v>24231.30078125</v>
      </c>
      <c r="C1492" s="320">
        <v>1028.05004882813</v>
      </c>
      <c r="D1492" s="320">
        <f t="shared" si="46"/>
        <v>1.63006370624727E-2</v>
      </c>
      <c r="E1492" s="320">
        <f t="shared" si="47"/>
        <v>3.3579674854723497E-2</v>
      </c>
      <c r="F1492" s="130"/>
      <c r="G1492" s="130"/>
    </row>
    <row r="1493" spans="1:7" ht="14.25" customHeight="1" x14ac:dyDescent="0.3">
      <c r="A1493" s="319" t="s">
        <v>2002</v>
      </c>
      <c r="B1493" s="320">
        <v>24196.75</v>
      </c>
      <c r="C1493" s="320">
        <v>1047.69995117188</v>
      </c>
      <c r="D1493" s="320">
        <f t="shared" si="46"/>
        <v>-1.42587397853338E-3</v>
      </c>
      <c r="E1493" s="320">
        <f t="shared" si="47"/>
        <v>1.9113760430388399E-2</v>
      </c>
      <c r="F1493" s="130"/>
      <c r="G1493" s="130"/>
    </row>
    <row r="1494" spans="1:7" ht="14.25" customHeight="1" x14ac:dyDescent="0.3">
      <c r="A1494" s="319" t="s">
        <v>2003</v>
      </c>
      <c r="B1494" s="320">
        <v>24353.55078125</v>
      </c>
      <c r="C1494" s="320">
        <v>1054.55004882813</v>
      </c>
      <c r="D1494" s="320">
        <f t="shared" si="46"/>
        <v>6.4802414063872202E-3</v>
      </c>
      <c r="E1494" s="320">
        <f t="shared" si="47"/>
        <v>6.5382246592528602E-3</v>
      </c>
      <c r="F1494" s="130"/>
      <c r="G1494" s="130"/>
    </row>
    <row r="1495" spans="1:7" ht="14.25" customHeight="1" x14ac:dyDescent="0.3">
      <c r="A1495" s="319" t="s">
        <v>2004</v>
      </c>
      <c r="B1495" s="320">
        <v>24364.849609375</v>
      </c>
      <c r="C1495" s="320">
        <v>1067.90002441406</v>
      </c>
      <c r="D1495" s="320">
        <f t="shared" si="46"/>
        <v>4.6394992773288201E-4</v>
      </c>
      <c r="E1495" s="320">
        <f t="shared" si="47"/>
        <v>1.26594044547864E-2</v>
      </c>
      <c r="F1495" s="130"/>
      <c r="G1495" s="130"/>
    </row>
    <row r="1496" spans="1:7" ht="14.25" customHeight="1" x14ac:dyDescent="0.3">
      <c r="A1496" s="319" t="s">
        <v>2005</v>
      </c>
      <c r="B1496" s="320">
        <v>24576.599609375</v>
      </c>
      <c r="C1496" s="320">
        <v>1077.69995117188</v>
      </c>
      <c r="D1496" s="320">
        <f t="shared" si="46"/>
        <v>8.6907985641135992E-3</v>
      </c>
      <c r="E1496" s="320">
        <f t="shared" si="47"/>
        <v>9.1768204267970391E-3</v>
      </c>
      <c r="F1496" s="130"/>
      <c r="G1496" s="130"/>
    </row>
    <row r="1497" spans="1:7" ht="14.25" customHeight="1" x14ac:dyDescent="0.3">
      <c r="A1497" s="319" t="s">
        <v>2006</v>
      </c>
      <c r="B1497" s="320">
        <v>24378.099609375</v>
      </c>
      <c r="C1497" s="320">
        <v>1052.69995117188</v>
      </c>
      <c r="D1497" s="320">
        <f t="shared" si="46"/>
        <v>-8.0767886182383092E-3</v>
      </c>
      <c r="E1497" s="320">
        <f t="shared" si="47"/>
        <v>-2.31975513897122E-2</v>
      </c>
      <c r="F1497" s="130"/>
      <c r="G1497" s="130"/>
    </row>
    <row r="1498" spans="1:7" ht="14.25" customHeight="1" x14ac:dyDescent="0.3">
      <c r="A1498" s="319" t="s">
        <v>2007</v>
      </c>
      <c r="B1498" s="320">
        <v>24173.05078125</v>
      </c>
      <c r="C1498" s="320">
        <v>1018.04998779297</v>
      </c>
      <c r="D1498" s="320">
        <f t="shared" si="46"/>
        <v>-8.4111900193461001E-3</v>
      </c>
      <c r="E1498" s="320">
        <f t="shared" si="47"/>
        <v>-3.2915327240527703E-2</v>
      </c>
      <c r="F1498" s="130"/>
      <c r="G1498" s="130"/>
    </row>
    <row r="1499" spans="1:7" ht="14.25" customHeight="1" x14ac:dyDescent="0.3">
      <c r="A1499" s="319" t="s">
        <v>2008</v>
      </c>
      <c r="B1499" s="320">
        <v>23897.94921875</v>
      </c>
      <c r="C1499" s="320">
        <v>984.95001220703102</v>
      </c>
      <c r="D1499" s="320">
        <f t="shared" si="46"/>
        <v>-1.13805065396787E-2</v>
      </c>
      <c r="E1499" s="320">
        <f t="shared" si="47"/>
        <v>-3.2513114270249499E-2</v>
      </c>
      <c r="F1499" s="130"/>
      <c r="G1499" s="130"/>
    </row>
    <row r="1500" spans="1:7" ht="14.25" customHeight="1" x14ac:dyDescent="0.3">
      <c r="A1500" s="319" t="s">
        <v>2009</v>
      </c>
      <c r="B1500" s="320">
        <v>24092.69921875</v>
      </c>
      <c r="C1500" s="320">
        <v>1000.90002441406</v>
      </c>
      <c r="D1500" s="320">
        <f t="shared" si="46"/>
        <v>8.1492348241832303E-3</v>
      </c>
      <c r="E1500" s="320">
        <f t="shared" si="47"/>
        <v>1.6193727609880301E-2</v>
      </c>
      <c r="F1500" s="130"/>
      <c r="G1500" s="130"/>
    </row>
    <row r="1501" spans="1:7" ht="14.25" customHeight="1" x14ac:dyDescent="0.3">
      <c r="A1501" s="319" t="s">
        <v>2010</v>
      </c>
      <c r="B1501" s="320">
        <v>23995.69921875</v>
      </c>
      <c r="C1501" s="320">
        <v>1004.59997558594</v>
      </c>
      <c r="D1501" s="320">
        <f t="shared" si="46"/>
        <v>-4.0261159249649504E-3</v>
      </c>
      <c r="E1501" s="320">
        <f t="shared" si="47"/>
        <v>3.6966241199224699E-3</v>
      </c>
      <c r="F1501" s="130"/>
      <c r="G1501" s="130"/>
    </row>
    <row r="1502" spans="1:7" ht="14.25" customHeight="1" x14ac:dyDescent="0.3">
      <c r="A1502" s="319" t="s">
        <v>2011</v>
      </c>
      <c r="B1502" s="320">
        <v>24177.650390625</v>
      </c>
      <c r="C1502" s="320">
        <v>991.65002441406295</v>
      </c>
      <c r="D1502" s="320">
        <f t="shared" si="46"/>
        <v>7.5826576344491404E-3</v>
      </c>
      <c r="E1502" s="320">
        <f t="shared" si="47"/>
        <v>-1.28906544760007E-2</v>
      </c>
      <c r="F1502" s="130"/>
      <c r="G1502" s="130"/>
    </row>
    <row r="1503" spans="1:7" ht="14.25" customHeight="1" x14ac:dyDescent="0.3">
      <c r="A1503" s="319" t="s">
        <v>2012</v>
      </c>
      <c r="B1503" s="320">
        <v>23997.55078125</v>
      </c>
      <c r="C1503" s="320">
        <v>972.84997558593795</v>
      </c>
      <c r="D1503" s="320">
        <f t="shared" si="46"/>
        <v>-7.44901206135541E-3</v>
      </c>
      <c r="E1503" s="320">
        <f t="shared" si="47"/>
        <v>-1.89583505927239E-2</v>
      </c>
      <c r="F1503" s="130"/>
      <c r="G1503" s="130"/>
    </row>
    <row r="1504" spans="1:7" ht="14.25" customHeight="1" x14ac:dyDescent="0.3">
      <c r="A1504" s="319" t="s">
        <v>2013</v>
      </c>
      <c r="B1504" s="320">
        <v>24119.30078125</v>
      </c>
      <c r="C1504" s="320">
        <v>976.65002441406295</v>
      </c>
      <c r="D1504" s="320">
        <f t="shared" si="46"/>
        <v>5.0734344146123002E-3</v>
      </c>
      <c r="E1504" s="320">
        <f t="shared" si="47"/>
        <v>3.9060995256090399E-3</v>
      </c>
      <c r="F1504" s="130"/>
      <c r="G1504" s="130"/>
    </row>
    <row r="1505" spans="1:7" ht="14.25" customHeight="1" x14ac:dyDescent="0.3">
      <c r="A1505" s="319" t="s">
        <v>2014</v>
      </c>
      <c r="B1505" s="320">
        <v>24032.80078125</v>
      </c>
      <c r="C1505" s="320">
        <v>963.95001220703102</v>
      </c>
      <c r="D1505" s="320">
        <f t="shared" si="46"/>
        <v>-3.5863394542201602E-3</v>
      </c>
      <c r="E1505" s="320">
        <f t="shared" si="47"/>
        <v>-1.3003647048134E-2</v>
      </c>
      <c r="F1505" s="130"/>
      <c r="G1505" s="130"/>
    </row>
    <row r="1506" spans="1:7" ht="14.25" customHeight="1" x14ac:dyDescent="0.3">
      <c r="A1506" s="319" t="s">
        <v>2015</v>
      </c>
      <c r="B1506" s="320">
        <v>24330.94921875</v>
      </c>
      <c r="C1506" s="320">
        <v>981.40002441406295</v>
      </c>
      <c r="D1506" s="320">
        <f t="shared" si="46"/>
        <v>1.2405896433536401E-2</v>
      </c>
      <c r="E1506" s="320">
        <f t="shared" si="47"/>
        <v>1.81026111168139E-2</v>
      </c>
      <c r="F1506" s="130"/>
      <c r="G1506" s="130"/>
    </row>
    <row r="1507" spans="1:7" ht="14.25" customHeight="1" x14ac:dyDescent="0.3">
      <c r="A1507" s="319" t="s">
        <v>2016</v>
      </c>
      <c r="B1507" s="320">
        <v>24326.650390625</v>
      </c>
      <c r="C1507" s="320">
        <v>981.84997558593795</v>
      </c>
      <c r="D1507" s="320">
        <f t="shared" si="46"/>
        <v>-1.7668148029700501E-4</v>
      </c>
      <c r="E1507" s="320">
        <f t="shared" si="47"/>
        <v>4.58478867619389E-4</v>
      </c>
      <c r="F1507" s="130"/>
      <c r="G1507" s="130"/>
    </row>
    <row r="1508" spans="1:7" ht="14.25" customHeight="1" x14ac:dyDescent="0.3">
      <c r="A1508" s="319" t="s">
        <v>2017</v>
      </c>
      <c r="B1508" s="320">
        <v>24176.150390625</v>
      </c>
      <c r="C1508" s="320">
        <v>978.34997558593795</v>
      </c>
      <c r="D1508" s="320">
        <f t="shared" si="46"/>
        <v>-6.1866306122440803E-3</v>
      </c>
      <c r="E1508" s="320">
        <f t="shared" si="47"/>
        <v>-3.5646993807901301E-3</v>
      </c>
      <c r="F1508" s="130"/>
      <c r="G1508" s="130"/>
    </row>
    <row r="1509" spans="1:7" ht="14.25" customHeight="1" x14ac:dyDescent="0.3">
      <c r="A1509" s="319" t="s">
        <v>2018</v>
      </c>
      <c r="B1509" s="320">
        <v>23815.849609375</v>
      </c>
      <c r="C1509" s="320">
        <v>961.20001220703102</v>
      </c>
      <c r="D1509" s="320">
        <f t="shared" si="46"/>
        <v>-1.4903149402549901E-2</v>
      </c>
      <c r="E1509" s="320">
        <f t="shared" si="47"/>
        <v>-1.75294769835669E-2</v>
      </c>
      <c r="F1509" s="130"/>
      <c r="G1509" s="130"/>
    </row>
    <row r="1510" spans="1:7" ht="14.25" customHeight="1" x14ac:dyDescent="0.3">
      <c r="A1510" s="319" t="s">
        <v>2019</v>
      </c>
      <c r="B1510" s="320">
        <v>23379.55078125</v>
      </c>
      <c r="C1510" s="320">
        <v>930.90002441406295</v>
      </c>
      <c r="D1510" s="320">
        <f t="shared" si="46"/>
        <v>-1.8319683541890199E-2</v>
      </c>
      <c r="E1510" s="320">
        <f t="shared" si="47"/>
        <v>-3.1523083029717902E-2</v>
      </c>
      <c r="F1510" s="130"/>
      <c r="G1510" s="130"/>
    </row>
    <row r="1511" spans="1:7" ht="14.25" customHeight="1" x14ac:dyDescent="0.3">
      <c r="A1511" s="319" t="s">
        <v>2020</v>
      </c>
      <c r="B1511" s="320">
        <v>23412.599609375</v>
      </c>
      <c r="C1511" s="320">
        <v>927.84997558593795</v>
      </c>
      <c r="D1511" s="320">
        <f t="shared" si="46"/>
        <v>1.41357840594202E-3</v>
      </c>
      <c r="E1511" s="320">
        <f t="shared" si="47"/>
        <v>-3.2764515502562101E-3</v>
      </c>
      <c r="F1511" s="130"/>
      <c r="G1511" s="130"/>
    </row>
    <row r="1512" spans="1:7" ht="14.25" customHeight="1" x14ac:dyDescent="0.3">
      <c r="A1512" s="319" t="s">
        <v>2021</v>
      </c>
      <c r="B1512" s="320">
        <v>23689.599609375</v>
      </c>
      <c r="C1512" s="320">
        <v>937.75</v>
      </c>
      <c r="D1512" s="320">
        <f t="shared" si="46"/>
        <v>1.18312363693728E-2</v>
      </c>
      <c r="E1512" s="320">
        <f t="shared" si="47"/>
        <v>1.06698546904743E-2</v>
      </c>
      <c r="F1512" s="130"/>
      <c r="G1512" s="130"/>
    </row>
    <row r="1513" spans="1:7" ht="14.25" customHeight="1" x14ac:dyDescent="0.3">
      <c r="A1513" s="319" t="s">
        <v>2022</v>
      </c>
      <c r="B1513" s="320">
        <v>23643.5</v>
      </c>
      <c r="C1513" s="320">
        <v>928.09997558593795</v>
      </c>
      <c r="D1513" s="320">
        <f t="shared" si="46"/>
        <v>-1.9459851637490899E-3</v>
      </c>
      <c r="E1513" s="320">
        <f t="shared" si="47"/>
        <v>-1.0290615210943301E-2</v>
      </c>
      <c r="F1513" s="130"/>
      <c r="G1513" s="130"/>
    </row>
    <row r="1514" spans="1:7" ht="14.25" customHeight="1" x14ac:dyDescent="0.3">
      <c r="A1514" s="319" t="s">
        <v>2023</v>
      </c>
      <c r="B1514" s="320">
        <v>23649.94921875</v>
      </c>
      <c r="C1514" s="320">
        <v>925.95001220703102</v>
      </c>
      <c r="D1514" s="320">
        <f t="shared" si="46"/>
        <v>2.7276920718167803E-4</v>
      </c>
      <c r="E1514" s="320">
        <f t="shared" si="47"/>
        <v>-2.3165213182443998E-3</v>
      </c>
      <c r="F1514" s="130"/>
      <c r="G1514" s="130"/>
    </row>
    <row r="1515" spans="1:7" ht="14.25" customHeight="1" x14ac:dyDescent="0.3">
      <c r="A1515" s="319" t="s">
        <v>2024</v>
      </c>
      <c r="B1515" s="320">
        <v>23618</v>
      </c>
      <c r="C1515" s="320">
        <v>933.65002441406295</v>
      </c>
      <c r="D1515" s="320">
        <f t="shared" si="46"/>
        <v>-1.3509212410769201E-3</v>
      </c>
      <c r="E1515" s="320">
        <f t="shared" si="47"/>
        <v>8.3157968632439593E-3</v>
      </c>
      <c r="F1515" s="130"/>
      <c r="G1515" s="130"/>
    </row>
    <row r="1516" spans="1:7" ht="14.25" customHeight="1" x14ac:dyDescent="0.3">
      <c r="A1516" s="319" t="s">
        <v>2025</v>
      </c>
      <c r="B1516" s="320">
        <v>23659</v>
      </c>
      <c r="C1516" s="320">
        <v>942.25</v>
      </c>
      <c r="D1516" s="320">
        <f t="shared" si="46"/>
        <v>1.7359640951816399E-3</v>
      </c>
      <c r="E1516" s="320">
        <f t="shared" si="47"/>
        <v>9.2111341092013504E-3</v>
      </c>
      <c r="F1516" s="130"/>
      <c r="G1516" s="130"/>
    </row>
    <row r="1517" spans="1:7" ht="14.25" customHeight="1" x14ac:dyDescent="0.3">
      <c r="A1517" s="319" t="s">
        <v>2026</v>
      </c>
      <c r="B1517" s="320">
        <v>23654.69921875</v>
      </c>
      <c r="C1517" s="320">
        <v>926.25</v>
      </c>
      <c r="D1517" s="320">
        <f t="shared" si="46"/>
        <v>-1.8178203854769901E-4</v>
      </c>
      <c r="E1517" s="320">
        <f t="shared" si="47"/>
        <v>-1.69806314672327E-2</v>
      </c>
      <c r="F1517" s="130"/>
      <c r="G1517" s="130"/>
    </row>
    <row r="1518" spans="1:7" ht="14.25" customHeight="1" x14ac:dyDescent="0.3">
      <c r="A1518" s="319" t="s">
        <v>2027</v>
      </c>
      <c r="B1518" s="320">
        <v>23719.30078125</v>
      </c>
      <c r="C1518" s="320">
        <v>960.95001220703102</v>
      </c>
      <c r="D1518" s="320">
        <f t="shared" si="46"/>
        <v>2.7310244743587102E-3</v>
      </c>
      <c r="E1518" s="320">
        <f t="shared" si="47"/>
        <v>3.7462901168184598E-2</v>
      </c>
      <c r="F1518" s="130"/>
      <c r="G1518" s="130"/>
    </row>
    <row r="1519" spans="1:7" ht="14.25" customHeight="1" x14ac:dyDescent="0.3">
      <c r="A1519" s="319" t="s">
        <v>2028</v>
      </c>
      <c r="B1519" s="320">
        <v>24031.69921875</v>
      </c>
      <c r="C1519" s="320">
        <v>938.5</v>
      </c>
      <c r="D1519" s="320">
        <f t="shared" si="46"/>
        <v>1.31706427765758E-2</v>
      </c>
      <c r="E1519" s="320">
        <f t="shared" si="47"/>
        <v>-2.3362310132521501E-2</v>
      </c>
      <c r="F1519" s="130"/>
      <c r="G1519" s="130"/>
    </row>
    <row r="1520" spans="1:7" ht="14.25" customHeight="1" x14ac:dyDescent="0.3">
      <c r="A1520" s="319" t="s">
        <v>2029</v>
      </c>
      <c r="B1520" s="320">
        <v>23913.69921875</v>
      </c>
      <c r="C1520" s="320">
        <v>980.70001220703102</v>
      </c>
      <c r="D1520" s="320">
        <f t="shared" si="46"/>
        <v>-4.9101812953756497E-3</v>
      </c>
      <c r="E1520" s="320">
        <f t="shared" si="47"/>
        <v>4.4965383278669203E-2</v>
      </c>
      <c r="F1520" s="130"/>
      <c r="G1520" s="130"/>
    </row>
    <row r="1521" spans="1:7" ht="14.25" customHeight="1" x14ac:dyDescent="0.3">
      <c r="A1521" s="319" t="s">
        <v>2030</v>
      </c>
      <c r="B1521" s="320">
        <v>23907.150390625</v>
      </c>
      <c r="C1521" s="320">
        <v>1005.65002441406</v>
      </c>
      <c r="D1521" s="320">
        <f t="shared" si="46"/>
        <v>-2.7385257567617399E-4</v>
      </c>
      <c r="E1521" s="320">
        <f t="shared" si="47"/>
        <v>2.5441023652971999E-2</v>
      </c>
      <c r="F1521" s="130"/>
      <c r="G1521" s="130"/>
    </row>
    <row r="1522" spans="1:7" ht="14.25" customHeight="1" x14ac:dyDescent="0.3">
      <c r="A1522" s="319" t="s">
        <v>2031</v>
      </c>
      <c r="B1522" s="320">
        <v>23547.75</v>
      </c>
      <c r="C1522" s="320">
        <v>995</v>
      </c>
      <c r="D1522" s="320">
        <f t="shared" si="46"/>
        <v>-1.5033175629578E-2</v>
      </c>
      <c r="E1522" s="320">
        <f t="shared" si="47"/>
        <v>-1.0590189584358801E-2</v>
      </c>
      <c r="F1522" s="130"/>
      <c r="G1522" s="130"/>
    </row>
    <row r="1523" spans="1:7" ht="14.25" customHeight="1" x14ac:dyDescent="0.3">
      <c r="A1523" s="319" t="s">
        <v>2032</v>
      </c>
      <c r="B1523" s="320">
        <v>23382.599609375</v>
      </c>
      <c r="C1523" s="320">
        <v>1004.04998779297</v>
      </c>
      <c r="D1523" s="320">
        <f t="shared" si="46"/>
        <v>-7.0134255130532598E-3</v>
      </c>
      <c r="E1523" s="320">
        <f t="shared" si="47"/>
        <v>9.0954651185628094E-3</v>
      </c>
      <c r="F1523" s="130"/>
      <c r="G1523" s="130"/>
    </row>
    <row r="1524" spans="1:7" ht="14.25" customHeight="1" x14ac:dyDescent="0.3">
      <c r="A1524" s="319" t="s">
        <v>2033</v>
      </c>
      <c r="B1524" s="320">
        <v>23483.55078125</v>
      </c>
      <c r="C1524" s="320">
        <v>1015.70001220703</v>
      </c>
      <c r="D1524" s="320">
        <f t="shared" si="46"/>
        <v>4.31736306319528E-3</v>
      </c>
      <c r="E1524" s="320">
        <f t="shared" si="47"/>
        <v>1.16030322749849E-2</v>
      </c>
      <c r="F1524" s="130"/>
      <c r="G1524" s="130"/>
    </row>
  </sheetData>
  <mergeCells count="1">
    <mergeCell ref="H5:I5"/>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D3:Q14"/>
  <sheetViews>
    <sheetView showGridLines="0" topLeftCell="B1" workbookViewId="0">
      <selection activeCell="S13" sqref="S13"/>
    </sheetView>
  </sheetViews>
  <sheetFormatPr defaultColWidth="8.6640625" defaultRowHeight="14.4" x14ac:dyDescent="0.3"/>
  <cols>
    <col min="4" max="4" width="11.109375" customWidth="1"/>
    <col min="5" max="5" width="8.109375" customWidth="1"/>
    <col min="6" max="6" width="23.109375" customWidth="1"/>
    <col min="7" max="7" width="11.88671875" customWidth="1"/>
    <col min="9" max="9" width="11.109375" customWidth="1"/>
    <col min="10" max="10" width="8.109375" customWidth="1"/>
    <col min="11" max="11" width="9.6640625" customWidth="1"/>
    <col min="12" max="12" width="13.88671875" customWidth="1"/>
    <col min="14" max="14" width="11.109375" customWidth="1"/>
    <col min="15" max="15" width="8.109375" customWidth="1"/>
    <col min="16" max="16" width="13.88671875" customWidth="1"/>
    <col min="17" max="17" width="10.77734375" customWidth="1"/>
  </cols>
  <sheetData>
    <row r="3" spans="4:17" ht="14.25" customHeight="1" x14ac:dyDescent="0.3">
      <c r="D3" s="302" t="s">
        <v>2034</v>
      </c>
      <c r="E3" s="281"/>
      <c r="F3" s="281"/>
      <c r="G3" s="282"/>
      <c r="I3" s="302" t="s">
        <v>2035</v>
      </c>
      <c r="J3" s="281"/>
      <c r="K3" s="281"/>
      <c r="L3" s="282"/>
      <c r="N3" s="302" t="s">
        <v>2036</v>
      </c>
      <c r="O3" s="281"/>
      <c r="P3" s="281"/>
      <c r="Q3" s="282"/>
    </row>
    <row r="4" spans="4:17" ht="14.25" customHeight="1" x14ac:dyDescent="0.3">
      <c r="D4" s="306" t="s">
        <v>2037</v>
      </c>
      <c r="E4" s="306" t="s">
        <v>2038</v>
      </c>
      <c r="F4" s="306" t="s">
        <v>2039</v>
      </c>
      <c r="G4" s="306" t="s">
        <v>352</v>
      </c>
      <c r="I4" s="306" t="s">
        <v>2037</v>
      </c>
      <c r="J4" s="306" t="s">
        <v>2038</v>
      </c>
      <c r="K4" s="306" t="s">
        <v>418</v>
      </c>
      <c r="L4" s="306" t="s">
        <v>353</v>
      </c>
      <c r="N4" s="306" t="s">
        <v>2037</v>
      </c>
      <c r="O4" s="306" t="s">
        <v>2038</v>
      </c>
      <c r="P4" s="306" t="s">
        <v>2040</v>
      </c>
      <c r="Q4" s="306" t="s">
        <v>2041</v>
      </c>
    </row>
    <row r="5" spans="4:17" ht="14.25" customHeight="1" x14ac:dyDescent="0.3">
      <c r="D5" s="85">
        <v>1</v>
      </c>
      <c r="E5" s="86">
        <f>'Ratio Analysis'!B2</f>
        <v>44621</v>
      </c>
      <c r="F5" s="87">
        <f>Assumptions!B3</f>
        <v>1589.03</v>
      </c>
      <c r="G5" s="88"/>
      <c r="I5" s="85">
        <v>1</v>
      </c>
      <c r="J5" s="89">
        <f>'Ratio Analysis'!B2</f>
        <v>44621</v>
      </c>
      <c r="K5" s="87">
        <f>Assumptions!B9</f>
        <v>439.23</v>
      </c>
      <c r="L5" s="90"/>
      <c r="N5" s="85">
        <v>1</v>
      </c>
      <c r="O5" s="89">
        <f>'Ratio Analysis'!B2</f>
        <v>44621</v>
      </c>
      <c r="P5" s="87">
        <f>'consolidated P&amp;l '!B32</f>
        <v>991</v>
      </c>
      <c r="Q5" s="90"/>
    </row>
    <row r="6" spans="4:17" ht="14.25" customHeight="1" x14ac:dyDescent="0.3">
      <c r="D6" s="85">
        <f t="shared" ref="D6:D14" si="0">D5+1</f>
        <v>2</v>
      </c>
      <c r="E6" s="89">
        <f t="shared" ref="E6:E14" si="1">E5+365</f>
        <v>44986</v>
      </c>
      <c r="F6" s="87">
        <f>Assumptions!C3</f>
        <v>2345.69</v>
      </c>
      <c r="G6" s="88">
        <f t="shared" ref="G6:G14" si="2">(F6-F5)/F5</f>
        <v>0.47617729054832197</v>
      </c>
      <c r="I6" s="85">
        <f t="shared" ref="I6:I14" si="3">I5+1</f>
        <v>2</v>
      </c>
      <c r="J6" s="89">
        <f t="shared" ref="J6:J14" si="4">J5+365</f>
        <v>44986</v>
      </c>
      <c r="K6" s="87">
        <f>Assumptions!C9</f>
        <v>568.37</v>
      </c>
      <c r="L6" s="91">
        <f t="shared" ref="L6:L14" si="5">(K6-K5)/K5</f>
        <v>0.29401452541948497</v>
      </c>
      <c r="N6" s="85">
        <f t="shared" ref="N6:N14" si="6">N5+1</f>
        <v>2</v>
      </c>
      <c r="O6" s="89">
        <f t="shared" ref="O6:O14" si="7">O5+365</f>
        <v>44986</v>
      </c>
      <c r="P6" s="87">
        <f>'consolidated P&amp;l '!C32</f>
        <v>-8</v>
      </c>
      <c r="Q6" s="91">
        <f t="shared" ref="Q6:Q14" si="8">(P6-P5)/P5</f>
        <v>-1.00807265388496</v>
      </c>
    </row>
    <row r="7" spans="4:17" ht="14.25" customHeight="1" x14ac:dyDescent="0.3">
      <c r="D7" s="85">
        <f t="shared" si="0"/>
        <v>3</v>
      </c>
      <c r="E7" s="89">
        <f t="shared" si="1"/>
        <v>45351</v>
      </c>
      <c r="F7" s="87">
        <f>Assumptions!D3</f>
        <v>2536.34</v>
      </c>
      <c r="G7" s="88">
        <f t="shared" si="2"/>
        <v>8.1276724545869303E-2</v>
      </c>
      <c r="I7" s="85">
        <f t="shared" si="3"/>
        <v>3</v>
      </c>
      <c r="J7" s="89">
        <f t="shared" si="4"/>
        <v>45351</v>
      </c>
      <c r="K7" s="87">
        <f>Assumptions!D9</f>
        <v>829.24</v>
      </c>
      <c r="L7" s="91">
        <f t="shared" si="5"/>
        <v>0.45897918609356497</v>
      </c>
      <c r="N7" s="85">
        <f t="shared" si="6"/>
        <v>3</v>
      </c>
      <c r="O7" s="89">
        <f t="shared" si="7"/>
        <v>45351</v>
      </c>
      <c r="P7" s="87">
        <f>'consolidated P&amp;l '!D32</f>
        <v>45</v>
      </c>
      <c r="Q7" s="91">
        <f t="shared" si="8"/>
        <v>-6.625</v>
      </c>
    </row>
    <row r="8" spans="4:17" ht="14.25" customHeight="1" x14ac:dyDescent="0.3">
      <c r="D8" s="85">
        <f t="shared" si="0"/>
        <v>4</v>
      </c>
      <c r="E8" s="89">
        <f t="shared" si="1"/>
        <v>45716</v>
      </c>
      <c r="F8" s="87">
        <f>Assumptions!E3</f>
        <v>2849.55</v>
      </c>
      <c r="G8" s="88">
        <f t="shared" si="2"/>
        <v>0.12348896441328799</v>
      </c>
      <c r="I8" s="85">
        <f t="shared" si="3"/>
        <v>4</v>
      </c>
      <c r="J8" s="89">
        <f t="shared" si="4"/>
        <v>45716</v>
      </c>
      <c r="K8" s="87">
        <f>Assumptions!E9</f>
        <v>984.71</v>
      </c>
      <c r="L8" s="91">
        <f t="shared" si="5"/>
        <v>0.18748492595629701</v>
      </c>
      <c r="N8" s="85">
        <f t="shared" si="6"/>
        <v>4</v>
      </c>
      <c r="O8" s="89">
        <f t="shared" si="7"/>
        <v>45716</v>
      </c>
      <c r="P8" s="87">
        <f>'consolidated P&amp;l '!E32</f>
        <v>15</v>
      </c>
      <c r="Q8" s="91">
        <f t="shared" si="8"/>
        <v>-0.66666666666666696</v>
      </c>
    </row>
    <row r="9" spans="4:17" ht="14.25" customHeight="1" x14ac:dyDescent="0.3">
      <c r="D9" s="85">
        <f t="shared" si="0"/>
        <v>5</v>
      </c>
      <c r="E9" s="89">
        <f t="shared" si="1"/>
        <v>46081</v>
      </c>
      <c r="F9" s="87">
        <f>Assumptions!F3</f>
        <v>3284.73</v>
      </c>
      <c r="G9" s="88">
        <f t="shared" si="2"/>
        <v>0.15271885034479099</v>
      </c>
      <c r="I9" s="85">
        <f t="shared" si="3"/>
        <v>5</v>
      </c>
      <c r="J9" s="89">
        <f t="shared" si="4"/>
        <v>46081</v>
      </c>
      <c r="K9" s="92">
        <f>Assumptions!F9</f>
        <v>1172.21</v>
      </c>
      <c r="L9" s="91">
        <f t="shared" si="5"/>
        <v>0.19041139015547701</v>
      </c>
      <c r="N9" s="85">
        <f t="shared" si="6"/>
        <v>5</v>
      </c>
      <c r="O9" s="89">
        <f t="shared" si="7"/>
        <v>46081</v>
      </c>
      <c r="P9" s="92">
        <f>'consolidated P&amp;l '!F32</f>
        <v>22</v>
      </c>
      <c r="Q9" s="91">
        <f t="shared" si="8"/>
        <v>0.46666666666666701</v>
      </c>
    </row>
    <row r="10" spans="4:17" ht="14.25" customHeight="1" x14ac:dyDescent="0.3">
      <c r="D10" s="85">
        <f t="shared" si="0"/>
        <v>6</v>
      </c>
      <c r="E10" s="93">
        <f t="shared" si="1"/>
        <v>46446</v>
      </c>
      <c r="F10" s="94">
        <f>FORECAST(D10,$F$5:$F$9,$D$5:$D$9)</f>
        <v>3689.6460000000002</v>
      </c>
      <c r="G10" s="88">
        <f t="shared" si="2"/>
        <v>0.123272232420929</v>
      </c>
      <c r="I10" s="85">
        <f t="shared" si="3"/>
        <v>6</v>
      </c>
      <c r="J10" s="95">
        <f t="shared" si="4"/>
        <v>46446</v>
      </c>
      <c r="K10" s="96">
        <f>FORECAST(I10,$K$5:$K$9,$I$5:$I$9)</f>
        <v>1363.442</v>
      </c>
      <c r="L10" s="91">
        <f t="shared" si="5"/>
        <v>0.16313800428250899</v>
      </c>
      <c r="N10" s="85">
        <f t="shared" si="6"/>
        <v>6</v>
      </c>
      <c r="O10" s="95">
        <f t="shared" si="7"/>
        <v>46446</v>
      </c>
      <c r="P10" s="96">
        <f>FORECAST(N10,$P$5:$P$9,$N$5:$N$9)</f>
        <v>-361.5</v>
      </c>
      <c r="Q10" s="91">
        <f t="shared" si="8"/>
        <v>-17.431818181818201</v>
      </c>
    </row>
    <row r="11" spans="4:17" ht="14.25" customHeight="1" x14ac:dyDescent="0.3">
      <c r="D11" s="85">
        <f t="shared" si="0"/>
        <v>7</v>
      </c>
      <c r="E11" s="93">
        <f t="shared" si="1"/>
        <v>46811</v>
      </c>
      <c r="F11" s="94">
        <f>FORECAST(D11,$F$5:$F$9,$D$5:$D$9)</f>
        <v>4079.172</v>
      </c>
      <c r="G11" s="88">
        <f t="shared" si="2"/>
        <v>0.105572729741553</v>
      </c>
      <c r="I11" s="85">
        <f t="shared" si="3"/>
        <v>7</v>
      </c>
      <c r="J11" s="95">
        <f t="shared" si="4"/>
        <v>46811</v>
      </c>
      <c r="K11" s="96">
        <f>FORECAST(I11,$K$5:$K$9,$I$5:$I$9)</f>
        <v>1551.672</v>
      </c>
      <c r="L11" s="91">
        <f t="shared" si="5"/>
        <v>0.13805501077420201</v>
      </c>
      <c r="N11" s="85">
        <f t="shared" si="6"/>
        <v>7</v>
      </c>
      <c r="O11" s="95">
        <f t="shared" si="7"/>
        <v>46811</v>
      </c>
      <c r="P11" s="96">
        <f>FORECAST(N11,$P$5:$P$9,$N$5:$N$9)</f>
        <v>-553</v>
      </c>
      <c r="Q11" s="91">
        <f t="shared" si="8"/>
        <v>0.52973720608575403</v>
      </c>
    </row>
    <row r="12" spans="4:17" ht="14.25" customHeight="1" x14ac:dyDescent="0.3">
      <c r="D12" s="85">
        <f t="shared" si="0"/>
        <v>8</v>
      </c>
      <c r="E12" s="93">
        <f t="shared" si="1"/>
        <v>47176</v>
      </c>
      <c r="F12" s="94">
        <f>FORECAST(D12,$F$5:$F$9,$D$5:$D$9)</f>
        <v>4468.6980000000003</v>
      </c>
      <c r="G12" s="88">
        <f t="shared" si="2"/>
        <v>9.5491437968293499E-2</v>
      </c>
      <c r="I12" s="85">
        <f t="shared" si="3"/>
        <v>8</v>
      </c>
      <c r="J12" s="95">
        <f t="shared" si="4"/>
        <v>47176</v>
      </c>
      <c r="K12" s="96">
        <f>FORECAST(I12,$K$5:$K$9,$I$5:$I$9)</f>
        <v>1739.902</v>
      </c>
      <c r="L12" s="91">
        <f t="shared" si="5"/>
        <v>0.121307853721663</v>
      </c>
      <c r="N12" s="85">
        <f t="shared" si="6"/>
        <v>8</v>
      </c>
      <c r="O12" s="95">
        <f t="shared" si="7"/>
        <v>47176</v>
      </c>
      <c r="P12" s="96">
        <f>FORECAST(N12,$P$5:$P$9,$N$5:$N$9)</f>
        <v>-744.5</v>
      </c>
      <c r="Q12" s="91">
        <f t="shared" si="8"/>
        <v>0.34629294755876999</v>
      </c>
    </row>
    <row r="13" spans="4:17" ht="14.25" customHeight="1" x14ac:dyDescent="0.3">
      <c r="D13" s="85">
        <f t="shared" si="0"/>
        <v>9</v>
      </c>
      <c r="E13" s="93">
        <f t="shared" si="1"/>
        <v>47541</v>
      </c>
      <c r="F13" s="94">
        <f>FORECAST(D13,$F$5:$F$9,$D$5:$D$9)</f>
        <v>4858.2240000000002</v>
      </c>
      <c r="G13" s="88">
        <f t="shared" si="2"/>
        <v>8.7167671657381998E-2</v>
      </c>
      <c r="I13" s="85">
        <f t="shared" si="3"/>
        <v>9</v>
      </c>
      <c r="J13" s="95">
        <f t="shared" si="4"/>
        <v>47541</v>
      </c>
      <c r="K13" s="96">
        <f>FORECAST(I13,$K$5:$K$9,$I$5:$I$9)</f>
        <v>1928.1320000000001</v>
      </c>
      <c r="L13" s="91">
        <f t="shared" si="5"/>
        <v>0.108184254055688</v>
      </c>
      <c r="N13" s="85">
        <f t="shared" si="6"/>
        <v>9</v>
      </c>
      <c r="O13" s="95">
        <f t="shared" si="7"/>
        <v>47541</v>
      </c>
      <c r="P13" s="96">
        <f>FORECAST(N13,$P$5:$P$9,$N$5:$N$9)</f>
        <v>-936</v>
      </c>
      <c r="Q13" s="91">
        <f t="shared" si="8"/>
        <v>0.25721961047683001</v>
      </c>
    </row>
    <row r="14" spans="4:17" ht="14.25" customHeight="1" x14ac:dyDescent="0.3">
      <c r="D14" s="85">
        <f t="shared" si="0"/>
        <v>10</v>
      </c>
      <c r="E14" s="93">
        <f t="shared" si="1"/>
        <v>47906</v>
      </c>
      <c r="F14" s="94">
        <f>FORECAST(D14,$F$5:$F$9,$D$5:$D$9)</f>
        <v>5247.75</v>
      </c>
      <c r="G14" s="88">
        <f t="shared" si="2"/>
        <v>8.0178682580300906E-2</v>
      </c>
      <c r="I14" s="85">
        <f t="shared" si="3"/>
        <v>10</v>
      </c>
      <c r="J14" s="95">
        <f t="shared" si="4"/>
        <v>47906</v>
      </c>
      <c r="K14" s="96">
        <f>FORECAST(I14,$K$5:$K$9,$I$5:$I$9)</f>
        <v>2116.3620000000001</v>
      </c>
      <c r="L14" s="91">
        <f t="shared" si="5"/>
        <v>9.7622984318500902E-2</v>
      </c>
      <c r="N14" s="85">
        <f t="shared" si="6"/>
        <v>10</v>
      </c>
      <c r="O14" s="95">
        <f t="shared" si="7"/>
        <v>47906</v>
      </c>
      <c r="P14" s="96">
        <f>FORECAST(N14,$P$5:$P$9,$N$5:$N$9)</f>
        <v>-1127.5</v>
      </c>
      <c r="Q14" s="91">
        <f t="shared" si="8"/>
        <v>0.20459401709401701</v>
      </c>
    </row>
  </sheetData>
  <mergeCells count="3">
    <mergeCell ref="D3:G3"/>
    <mergeCell ref="I3:L3"/>
    <mergeCell ref="N3:Q3"/>
  </mergeCells>
  <pageMargins left="0.7" right="0.7" top="0.75" bottom="0.75"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34"/>
  <sheetViews>
    <sheetView showGridLines="0" topLeftCell="A13" workbookViewId="0">
      <selection activeCell="A27" sqref="A27:Q27"/>
    </sheetView>
  </sheetViews>
  <sheetFormatPr defaultColWidth="8.6640625" defaultRowHeight="14.4" x14ac:dyDescent="0.3"/>
  <cols>
    <col min="1" max="1" width="30.6640625" customWidth="1"/>
    <col min="2" max="3" width="8" customWidth="1"/>
    <col min="4" max="4" width="10.88671875" customWidth="1"/>
    <col min="5" max="5" width="10.44140625" customWidth="1"/>
    <col min="6" max="6" width="9.44140625" customWidth="1"/>
    <col min="7" max="7" width="8" customWidth="1"/>
    <col min="8" max="8" width="9" customWidth="1"/>
    <col min="9" max="9" width="8.44140625" customWidth="1"/>
    <col min="10" max="10" width="9" customWidth="1"/>
    <col min="11" max="11" width="10" customWidth="1"/>
    <col min="12" max="12" width="10.109375" customWidth="1"/>
    <col min="13" max="13" width="8.109375" customWidth="1"/>
    <col min="15" max="15" width="11.44140625" customWidth="1"/>
    <col min="16" max="16" width="10.21875" customWidth="1"/>
    <col min="17" max="17" width="9.5546875" customWidth="1"/>
  </cols>
  <sheetData>
    <row r="1" spans="1:17" ht="15" customHeight="1" x14ac:dyDescent="0.3">
      <c r="A1" s="323" t="s">
        <v>2042</v>
      </c>
      <c r="B1" s="195"/>
      <c r="C1" s="195"/>
      <c r="D1" s="195"/>
      <c r="E1" s="195"/>
      <c r="F1" s="195"/>
      <c r="G1" s="195"/>
      <c r="H1" s="195"/>
      <c r="I1" s="195"/>
      <c r="J1" s="195"/>
      <c r="K1" s="195"/>
      <c r="L1" s="195"/>
      <c r="M1" s="195"/>
    </row>
    <row r="2" spans="1:17" ht="14.25" customHeight="1" x14ac:dyDescent="0.3">
      <c r="A2" s="47"/>
      <c r="B2" s="47"/>
      <c r="C2" s="47"/>
      <c r="D2" s="47"/>
      <c r="E2" s="47"/>
      <c r="F2" s="47"/>
      <c r="G2" s="47"/>
      <c r="H2" s="47"/>
      <c r="I2" s="47"/>
      <c r="J2" s="47"/>
      <c r="K2" s="47"/>
      <c r="L2" s="47"/>
      <c r="M2" s="47"/>
    </row>
    <row r="3" spans="1:17" ht="14.25" customHeight="1" x14ac:dyDescent="0.3">
      <c r="A3" s="324" t="s">
        <v>2043</v>
      </c>
      <c r="B3" s="325" t="s">
        <v>2044</v>
      </c>
      <c r="C3" s="281"/>
      <c r="D3" s="281"/>
      <c r="E3" s="282"/>
      <c r="F3" s="325" t="s">
        <v>2045</v>
      </c>
      <c r="G3" s="281"/>
      <c r="H3" s="281"/>
      <c r="I3" s="282"/>
      <c r="J3" s="326" t="s">
        <v>2046</v>
      </c>
      <c r="K3" s="281"/>
      <c r="L3" s="281"/>
      <c r="M3" s="282"/>
    </row>
    <row r="4" spans="1:17" ht="24" customHeight="1" x14ac:dyDescent="0.3">
      <c r="A4" s="329"/>
      <c r="B4" s="327" t="s">
        <v>2047</v>
      </c>
      <c r="C4" s="327" t="s">
        <v>2048</v>
      </c>
      <c r="D4" s="327" t="s">
        <v>2049</v>
      </c>
      <c r="E4" s="327" t="s">
        <v>2050</v>
      </c>
      <c r="F4" s="327" t="s">
        <v>2051</v>
      </c>
      <c r="G4" s="327" t="s">
        <v>2052</v>
      </c>
      <c r="H4" s="327" t="s">
        <v>2053</v>
      </c>
      <c r="I4" s="327" t="s">
        <v>2054</v>
      </c>
      <c r="J4" s="328" t="s">
        <v>2055</v>
      </c>
      <c r="K4" s="328" t="s">
        <v>2056</v>
      </c>
      <c r="L4" s="328" t="s">
        <v>2057</v>
      </c>
      <c r="M4" s="328" t="s">
        <v>2058</v>
      </c>
    </row>
    <row r="5" spans="1:17" ht="14.25" customHeight="1" x14ac:dyDescent="0.3">
      <c r="A5" s="48" t="s">
        <v>79</v>
      </c>
      <c r="B5" s="49">
        <v>988</v>
      </c>
      <c r="C5" s="49">
        <f>'consolidated balance sheet'!F6/2</f>
        <v>64.775000000000006</v>
      </c>
      <c r="D5" s="50">
        <f>B5*C5</f>
        <v>63997.7</v>
      </c>
      <c r="E5" s="51">
        <f>D5+'consolidated balance sheet'!F14+'consolidated balance sheet'!F20-'consolidated balance sheet'!F40-'consolidated balance sheet'!F38</f>
        <v>62362.41</v>
      </c>
      <c r="F5" s="52">
        <f>'consolidated P&amp;l '!F5</f>
        <v>3284.73</v>
      </c>
      <c r="G5" s="49">
        <f>Assumptions!F9</f>
        <v>1172.21</v>
      </c>
      <c r="H5" s="49">
        <f>Assumptions!F11</f>
        <v>1049.6300000000001</v>
      </c>
      <c r="I5" s="53">
        <f>'consolidated P&amp;l '!F32</f>
        <v>22</v>
      </c>
      <c r="J5" s="54">
        <f>B5/I5</f>
        <v>44.909090909090899</v>
      </c>
      <c r="K5" s="55">
        <f>E5/F5</f>
        <v>18.985551323853102</v>
      </c>
      <c r="L5" s="55">
        <f>E5/G5</f>
        <v>53.200714888970403</v>
      </c>
      <c r="M5" s="55">
        <f>E5/H5</f>
        <v>59.413707687470797</v>
      </c>
    </row>
    <row r="6" spans="1:17" ht="14.25" customHeight="1" x14ac:dyDescent="0.3">
      <c r="A6" s="56" t="s">
        <v>2059</v>
      </c>
      <c r="B6" s="49">
        <v>2000</v>
      </c>
      <c r="C6" s="57">
        <f>60/10</f>
        <v>6</v>
      </c>
      <c r="D6" s="58">
        <v>12031.04</v>
      </c>
      <c r="E6" s="59">
        <v>11963</v>
      </c>
      <c r="F6" s="60">
        <v>1569</v>
      </c>
      <c r="G6" s="61">
        <v>475</v>
      </c>
      <c r="H6" s="61">
        <f>648+3</f>
        <v>651</v>
      </c>
      <c r="I6" s="57">
        <v>79</v>
      </c>
      <c r="J6" s="55">
        <f>B6/I6</f>
        <v>25.3164556962025</v>
      </c>
      <c r="K6" s="55">
        <f>E6/F6</f>
        <v>7.6246016571064397</v>
      </c>
      <c r="L6" s="55">
        <f>E6/G6</f>
        <v>25.185263157894699</v>
      </c>
      <c r="M6" s="55">
        <f>E6/H6</f>
        <v>18.376344086021501</v>
      </c>
    </row>
    <row r="7" spans="1:17" ht="14.25" customHeight="1" x14ac:dyDescent="0.3">
      <c r="A7" s="62" t="s">
        <v>2060</v>
      </c>
      <c r="B7" s="49">
        <v>523.6</v>
      </c>
      <c r="C7" s="49">
        <f>85/10</f>
        <v>8.5</v>
      </c>
      <c r="D7" s="58">
        <v>4453.17</v>
      </c>
      <c r="E7" s="50">
        <v>4329</v>
      </c>
      <c r="F7" s="61">
        <v>1214</v>
      </c>
      <c r="G7" s="61">
        <v>358</v>
      </c>
      <c r="H7" s="63">
        <f>616+9</f>
        <v>625</v>
      </c>
      <c r="I7" s="49">
        <v>58.44</v>
      </c>
      <c r="J7" s="55">
        <f>B7/I7</f>
        <v>8.9596167008898</v>
      </c>
      <c r="K7" s="55">
        <f>E7/F7</f>
        <v>3.5658978583195999</v>
      </c>
      <c r="L7" s="55">
        <f>E7/G7</f>
        <v>12.092178770949699</v>
      </c>
      <c r="M7" s="55">
        <f>E7/H7</f>
        <v>6.9264000000000001</v>
      </c>
    </row>
    <row r="8" spans="1:17" ht="14.25" customHeight="1" x14ac:dyDescent="0.3">
      <c r="A8" s="56" t="s">
        <v>2061</v>
      </c>
      <c r="B8" s="49">
        <v>214.38</v>
      </c>
      <c r="C8" s="49">
        <f>35/2</f>
        <v>17.5</v>
      </c>
      <c r="D8" s="58">
        <v>3751.27</v>
      </c>
      <c r="E8" s="50">
        <v>3588</v>
      </c>
      <c r="F8" s="61">
        <v>1042</v>
      </c>
      <c r="G8" s="61">
        <v>286</v>
      </c>
      <c r="H8" s="61">
        <v>287</v>
      </c>
      <c r="I8" s="49">
        <v>12.52</v>
      </c>
      <c r="J8" s="55">
        <f>B8/I8</f>
        <v>17.123003194888199</v>
      </c>
      <c r="K8" s="55">
        <f>E8/F8</f>
        <v>3.4433781190019199</v>
      </c>
      <c r="L8" s="55">
        <f>E8/G8</f>
        <v>12.545454545454501</v>
      </c>
      <c r="M8" s="55">
        <f>E8/H8</f>
        <v>12.501742160278701</v>
      </c>
    </row>
    <row r="9" spans="1:17" ht="14.25" customHeight="1" x14ac:dyDescent="0.3">
      <c r="A9" s="62" t="s">
        <v>2062</v>
      </c>
      <c r="B9" s="49">
        <v>361.85</v>
      </c>
      <c r="C9" s="49">
        <f>48/10</f>
        <v>4.8</v>
      </c>
      <c r="D9" s="58">
        <v>1719.8</v>
      </c>
      <c r="E9" s="50">
        <v>1931</v>
      </c>
      <c r="F9" s="58">
        <v>179</v>
      </c>
      <c r="G9" s="58">
        <v>97</v>
      </c>
      <c r="H9" s="63">
        <f>54+22</f>
        <v>76</v>
      </c>
      <c r="I9" s="64">
        <v>13.25</v>
      </c>
      <c r="J9" s="55">
        <f>B9/I9</f>
        <v>27.309433962264201</v>
      </c>
      <c r="K9" s="55">
        <f>E9/F9</f>
        <v>10.7877094972067</v>
      </c>
      <c r="L9" s="55">
        <f>E9/G9</f>
        <v>19.9072164948454</v>
      </c>
      <c r="M9" s="55">
        <f>E9/H9</f>
        <v>25.407894736842099</v>
      </c>
      <c r="O9" s="65"/>
    </row>
    <row r="10" spans="1:17" ht="14.25" customHeight="1" x14ac:dyDescent="0.3">
      <c r="A10" s="66" t="s">
        <v>2063</v>
      </c>
      <c r="B10" s="67">
        <f t="shared" ref="B10:M10" si="0">AVERAGE(B6:B9)</f>
        <v>774.95749999999998</v>
      </c>
      <c r="C10" s="67">
        <f t="shared" si="0"/>
        <v>9.1999999999999993</v>
      </c>
      <c r="D10" s="67">
        <f t="shared" si="0"/>
        <v>5488.82</v>
      </c>
      <c r="E10" s="67">
        <f t="shared" si="0"/>
        <v>5452.75</v>
      </c>
      <c r="F10" s="67">
        <f t="shared" si="0"/>
        <v>1001</v>
      </c>
      <c r="G10" s="67">
        <f t="shared" si="0"/>
        <v>304</v>
      </c>
      <c r="H10" s="67">
        <f t="shared" si="0"/>
        <v>409.75</v>
      </c>
      <c r="I10" s="67">
        <f t="shared" si="0"/>
        <v>40.802500000000002</v>
      </c>
      <c r="J10" s="67">
        <f t="shared" si="0"/>
        <v>19.6771273885612</v>
      </c>
      <c r="K10" s="67">
        <f t="shared" si="0"/>
        <v>6.3553967829086702</v>
      </c>
      <c r="L10" s="67">
        <f t="shared" si="0"/>
        <v>17.4325282422861</v>
      </c>
      <c r="M10" s="67">
        <f t="shared" si="0"/>
        <v>15.803095245785601</v>
      </c>
    </row>
    <row r="11" spans="1:17" ht="14.25" customHeight="1" x14ac:dyDescent="0.3">
      <c r="A11" s="66" t="s">
        <v>2064</v>
      </c>
      <c r="B11" s="67">
        <f t="shared" ref="B11:M11" si="1">MEDIAN(B6:B9)</f>
        <v>442.72500000000002</v>
      </c>
      <c r="C11" s="67">
        <f t="shared" si="1"/>
        <v>7.25</v>
      </c>
      <c r="D11" s="67">
        <f t="shared" si="1"/>
        <v>4102.22</v>
      </c>
      <c r="E11" s="67">
        <f t="shared" si="1"/>
        <v>3958.5</v>
      </c>
      <c r="F11" s="67">
        <f t="shared" si="1"/>
        <v>1128</v>
      </c>
      <c r="G11" s="67">
        <f t="shared" si="1"/>
        <v>322</v>
      </c>
      <c r="H11" s="67">
        <f t="shared" si="1"/>
        <v>456</v>
      </c>
      <c r="I11" s="67">
        <f t="shared" si="1"/>
        <v>35.844999999999999</v>
      </c>
      <c r="J11" s="67">
        <f t="shared" si="1"/>
        <v>21.219729445545401</v>
      </c>
      <c r="K11" s="67">
        <f t="shared" si="1"/>
        <v>5.5952497577130202</v>
      </c>
      <c r="L11" s="67">
        <f t="shared" si="1"/>
        <v>16.226335520149998</v>
      </c>
      <c r="M11" s="67">
        <f t="shared" si="1"/>
        <v>15.4390431231501</v>
      </c>
      <c r="P11" s="68"/>
      <c r="Q11" s="69"/>
    </row>
    <row r="12" spans="1:17" ht="14.25" customHeight="1" x14ac:dyDescent="0.3">
      <c r="P12" s="70"/>
    </row>
    <row r="13" spans="1:17" ht="14.25" customHeight="1" x14ac:dyDescent="0.3">
      <c r="A13" s="333" t="s">
        <v>2065</v>
      </c>
      <c r="B13" s="281"/>
      <c r="C13" s="281"/>
      <c r="D13" s="281"/>
      <c r="E13" s="281"/>
      <c r="F13" s="281"/>
      <c r="G13" s="281"/>
      <c r="H13" s="281"/>
      <c r="I13" s="281"/>
      <c r="J13" s="281"/>
      <c r="K13" s="281"/>
      <c r="L13" s="281"/>
      <c r="M13" s="282"/>
    </row>
    <row r="14" spans="1:17" ht="36" customHeight="1" x14ac:dyDescent="0.3">
      <c r="A14" s="330" t="s">
        <v>2066</v>
      </c>
      <c r="B14" s="331" t="s">
        <v>2067</v>
      </c>
      <c r="C14" s="331" t="s">
        <v>2068</v>
      </c>
      <c r="D14" s="330" t="s">
        <v>2069</v>
      </c>
      <c r="E14" s="332" t="s">
        <v>2070</v>
      </c>
      <c r="F14" s="332" t="s">
        <v>2071</v>
      </c>
      <c r="G14" s="332" t="s">
        <v>2072</v>
      </c>
      <c r="H14" s="332" t="s">
        <v>2073</v>
      </c>
      <c r="I14" s="334" t="s">
        <v>2074</v>
      </c>
      <c r="J14" s="334" t="s">
        <v>2075</v>
      </c>
      <c r="K14" s="330" t="s">
        <v>2076</v>
      </c>
      <c r="L14" s="332" t="s">
        <v>2077</v>
      </c>
      <c r="M14" s="332" t="s">
        <v>2078</v>
      </c>
    </row>
    <row r="15" spans="1:17" ht="14.25" customHeight="1" x14ac:dyDescent="0.3">
      <c r="A15" s="48" t="s">
        <v>2079</v>
      </c>
      <c r="B15" s="71">
        <f>K10</f>
        <v>6.3553967829086702</v>
      </c>
      <c r="C15" s="71">
        <f>K11</f>
        <v>5.5952497577130202</v>
      </c>
      <c r="D15" s="71">
        <f>K5</f>
        <v>18.985551323853102</v>
      </c>
      <c r="E15" s="72">
        <f>B15*F5</f>
        <v>20875.7624747236</v>
      </c>
      <c r="F15" s="72">
        <f>C15*F5</f>
        <v>18378.884736652701</v>
      </c>
      <c r="G15" s="72">
        <f>E15-(E5-D5)</f>
        <v>22511.052474723601</v>
      </c>
      <c r="H15" s="72">
        <f>F15-(E5-D5)</f>
        <v>20014.174736652702</v>
      </c>
      <c r="I15" s="73">
        <f>G15/C5</f>
        <v>347.52686182514202</v>
      </c>
      <c r="J15" s="73">
        <f>H15/C5</f>
        <v>308.97992646318301</v>
      </c>
      <c r="K15" s="73">
        <f>B5</f>
        <v>988</v>
      </c>
      <c r="L15" s="74">
        <f>(B5-I15)/I15</f>
        <v>1.84294570730797</v>
      </c>
      <c r="M15" s="74">
        <f>(B5-J15)/J15</f>
        <v>2.1976187298294501</v>
      </c>
    </row>
    <row r="16" spans="1:17" ht="14.25" customHeight="1" x14ac:dyDescent="0.3">
      <c r="A16" s="48" t="s">
        <v>2080</v>
      </c>
      <c r="B16" s="71">
        <f>L10</f>
        <v>17.4325282422861</v>
      </c>
      <c r="C16" s="71">
        <f>L11</f>
        <v>16.226335520149998</v>
      </c>
      <c r="D16" s="71">
        <f>L5</f>
        <v>53.200714888970403</v>
      </c>
      <c r="E16" s="72">
        <f>B16*G5</f>
        <v>20434.5839308902</v>
      </c>
      <c r="F16" s="72">
        <f>C16*G5</f>
        <v>19020.672760074998</v>
      </c>
      <c r="G16" s="72">
        <f>E16-(E5-D5)</f>
        <v>22069.8739308902</v>
      </c>
      <c r="H16" s="72">
        <f>F16-(E5-D5)</f>
        <v>20655.962760074999</v>
      </c>
      <c r="I16" s="73">
        <f>G16/C5</f>
        <v>340.71592328661001</v>
      </c>
      <c r="J16" s="73">
        <f>H16/C5</f>
        <v>318.88788514202997</v>
      </c>
      <c r="K16" s="73">
        <f>K15</f>
        <v>988</v>
      </c>
      <c r="L16" s="74">
        <f>(B5-I16)/I16</f>
        <v>1.8997764192221001</v>
      </c>
      <c r="M16" s="74">
        <f>(B5-J16)/J16</f>
        <v>2.0982675919467901</v>
      </c>
    </row>
    <row r="17" spans="1:17" ht="14.25" customHeight="1" x14ac:dyDescent="0.3">
      <c r="A17" s="48" t="s">
        <v>2081</v>
      </c>
      <c r="B17" s="71">
        <f>J10</f>
        <v>19.6771273885612</v>
      </c>
      <c r="C17" s="71">
        <f>J11</f>
        <v>21.219729445545401</v>
      </c>
      <c r="D17" s="71">
        <f>J5</f>
        <v>44.909090909090899</v>
      </c>
      <c r="E17" s="73">
        <f>B17*I5</f>
        <v>432.89680254834599</v>
      </c>
      <c r="F17" s="73">
        <f>C17*I5</f>
        <v>466.834047801998</v>
      </c>
      <c r="G17" s="72">
        <f>E17*C5</f>
        <v>28040.890385069099</v>
      </c>
      <c r="H17" s="72">
        <f>F17*C5</f>
        <v>30239.1754463744</v>
      </c>
      <c r="I17" s="73">
        <f>E17</f>
        <v>432.89680254834599</v>
      </c>
      <c r="J17" s="73">
        <f>F17</f>
        <v>466.834047801998</v>
      </c>
      <c r="K17" s="73">
        <f>K16</f>
        <v>988</v>
      </c>
      <c r="L17" s="74">
        <f>(B5-I17)/I17</f>
        <v>1.28229913961922</v>
      </c>
      <c r="M17" s="74">
        <f>(B5-J17)/J17</f>
        <v>1.1163837656053901</v>
      </c>
    </row>
    <row r="18" spans="1:17" ht="14.25" customHeight="1" x14ac:dyDescent="0.3">
      <c r="A18" s="75"/>
      <c r="B18" s="39"/>
      <c r="C18" s="76"/>
      <c r="D18" s="39"/>
      <c r="E18" s="39"/>
      <c r="F18" s="39"/>
      <c r="G18" s="39"/>
      <c r="H18" s="39"/>
      <c r="I18" s="39"/>
      <c r="J18" s="39"/>
      <c r="K18" s="39"/>
      <c r="L18" s="39"/>
      <c r="M18" s="77"/>
      <c r="N18" s="39"/>
      <c r="O18" s="78"/>
      <c r="P18" s="78"/>
      <c r="Q18" s="78"/>
    </row>
    <row r="19" spans="1:17" ht="14.25" customHeight="1" x14ac:dyDescent="0.3">
      <c r="A19" s="335"/>
      <c r="B19" s="336"/>
      <c r="C19" s="337"/>
      <c r="D19" s="336"/>
      <c r="E19" s="336"/>
      <c r="F19" s="336"/>
      <c r="G19" s="336"/>
      <c r="H19" s="336"/>
      <c r="I19" s="336"/>
      <c r="J19" s="336"/>
      <c r="K19" s="336"/>
      <c r="L19" s="336"/>
      <c r="M19" s="338"/>
      <c r="N19" s="336"/>
      <c r="O19" s="339" t="s">
        <v>2082</v>
      </c>
      <c r="P19" s="339" t="s">
        <v>2057</v>
      </c>
      <c r="Q19" s="339" t="s">
        <v>2083</v>
      </c>
    </row>
    <row r="20" spans="1:17" ht="14.25" customHeight="1" x14ac:dyDescent="0.3">
      <c r="A20" s="34" t="s">
        <v>2084</v>
      </c>
      <c r="B20" s="34"/>
      <c r="C20" s="34"/>
      <c r="D20" s="34"/>
      <c r="E20" s="34"/>
      <c r="F20" s="34"/>
      <c r="G20" s="34"/>
      <c r="H20" s="34"/>
      <c r="I20" s="34"/>
      <c r="J20" s="34"/>
      <c r="K20" s="34"/>
      <c r="L20" s="34"/>
      <c r="M20" s="34"/>
      <c r="N20" s="34"/>
      <c r="O20" s="79">
        <f>MAX(K6:K9)</f>
        <v>10.7877094972067</v>
      </c>
      <c r="P20" s="79">
        <f>MAX(L6:L9)</f>
        <v>25.185263157894699</v>
      </c>
      <c r="Q20" s="79">
        <f>MAX(J6:J9)</f>
        <v>27.309433962264201</v>
      </c>
    </row>
    <row r="21" spans="1:17" ht="14.25" customHeight="1" x14ac:dyDescent="0.3">
      <c r="A21" s="34" t="s">
        <v>2085</v>
      </c>
      <c r="B21" s="34"/>
      <c r="C21" s="34"/>
      <c r="D21" s="34"/>
      <c r="E21" s="34"/>
      <c r="F21" s="34"/>
      <c r="G21" s="34"/>
      <c r="H21" s="34"/>
      <c r="I21" s="34"/>
      <c r="J21" s="34"/>
      <c r="K21" s="34"/>
      <c r="L21" s="34"/>
      <c r="M21" s="34"/>
      <c r="N21" s="34"/>
      <c r="O21" s="80">
        <f>QUARTILE(K6:K9,3)</f>
        <v>8.4153786171315001</v>
      </c>
      <c r="P21" s="80">
        <f>QUARTILE(L6:L9,3)</f>
        <v>21.226728160607699</v>
      </c>
      <c r="Q21" s="80">
        <f>QUARTILE(J6:J9,3)</f>
        <v>25.814700262717899</v>
      </c>
    </row>
    <row r="22" spans="1:17" ht="14.25" customHeight="1" x14ac:dyDescent="0.3">
      <c r="A22" s="33" t="s">
        <v>2086</v>
      </c>
      <c r="B22" s="34"/>
      <c r="C22" s="34"/>
      <c r="D22" s="34"/>
      <c r="E22" s="34"/>
      <c r="F22" s="34"/>
      <c r="G22" s="34"/>
      <c r="H22" s="34"/>
      <c r="I22" s="34"/>
      <c r="J22" s="34"/>
      <c r="K22" s="34"/>
      <c r="L22" s="34"/>
      <c r="M22" s="34"/>
      <c r="N22" s="34"/>
      <c r="O22" s="79">
        <f>AVERAGE(K6:K9)</f>
        <v>6.3553967829086702</v>
      </c>
      <c r="P22" s="79">
        <f>AVERAGE(L6:L9)</f>
        <v>17.4325282422861</v>
      </c>
      <c r="Q22" s="79">
        <f>AVERAGE(J6:J9)</f>
        <v>19.6771273885612</v>
      </c>
    </row>
    <row r="23" spans="1:17" ht="14.25" customHeight="1" x14ac:dyDescent="0.3">
      <c r="A23" s="33" t="s">
        <v>2087</v>
      </c>
      <c r="B23" s="34"/>
      <c r="C23" s="34"/>
      <c r="D23" s="34"/>
      <c r="E23" s="34"/>
      <c r="F23" s="34"/>
      <c r="G23" s="34"/>
      <c r="H23" s="34"/>
      <c r="I23" s="34"/>
      <c r="J23" s="34"/>
      <c r="K23" s="34"/>
      <c r="L23" s="81"/>
      <c r="M23" s="34"/>
      <c r="N23" s="34"/>
      <c r="O23" s="79">
        <f>MEDIAN(K6:K9)</f>
        <v>5.5952497577130202</v>
      </c>
      <c r="P23" s="79">
        <f>MEDIAN(L6:L9)</f>
        <v>16.226335520149998</v>
      </c>
      <c r="Q23" s="79">
        <f>MEDIAN(J6:J9)</f>
        <v>21.219729445545401</v>
      </c>
    </row>
    <row r="24" spans="1:17" ht="14.25" customHeight="1" x14ac:dyDescent="0.3">
      <c r="A24" s="34" t="s">
        <v>2088</v>
      </c>
      <c r="B24" s="34"/>
      <c r="C24" s="34"/>
      <c r="D24" s="34"/>
      <c r="E24" s="34"/>
      <c r="F24" s="34"/>
      <c r="G24" s="34"/>
      <c r="H24" s="34"/>
      <c r="I24" s="34"/>
      <c r="J24" s="34"/>
      <c r="K24" s="34"/>
      <c r="L24" s="34"/>
      <c r="M24" s="34"/>
      <c r="N24" s="34"/>
      <c r="O24" s="79">
        <f>QUARTILE(K6:K9,1)</f>
        <v>3.53526792349018</v>
      </c>
      <c r="P24" s="79">
        <f>QUARTILE(L6:L9,1)</f>
        <v>12.4321356018283</v>
      </c>
      <c r="Q24" s="79">
        <f>QUARTILE(J6:J9,1)</f>
        <v>15.0821565713886</v>
      </c>
    </row>
    <row r="25" spans="1:17" ht="14.25" customHeight="1" x14ac:dyDescent="0.3">
      <c r="A25" s="34" t="s">
        <v>2089</v>
      </c>
      <c r="B25" s="34"/>
      <c r="C25" s="34"/>
      <c r="D25" s="34"/>
      <c r="E25" s="34"/>
      <c r="F25" s="34"/>
      <c r="G25" s="34"/>
      <c r="H25" s="34"/>
      <c r="I25" s="34"/>
      <c r="J25" s="34"/>
      <c r="K25" s="34"/>
      <c r="L25" s="34"/>
      <c r="M25" s="34"/>
      <c r="N25" s="34"/>
      <c r="O25" s="79">
        <f>MIN(K6:K9)</f>
        <v>3.4433781190019199</v>
      </c>
      <c r="P25" s="79">
        <f>MIN(L6:L9)</f>
        <v>12.092178770949699</v>
      </c>
      <c r="Q25" s="79">
        <f>MIN(J6:J9)</f>
        <v>8.9596167008898</v>
      </c>
    </row>
    <row r="26" spans="1:17" ht="14.25" customHeight="1" x14ac:dyDescent="0.3">
      <c r="A26" s="39"/>
      <c r="B26" s="39"/>
      <c r="C26" s="39"/>
      <c r="D26" s="39"/>
      <c r="E26" s="39"/>
      <c r="F26" s="39"/>
      <c r="G26" s="39"/>
      <c r="H26" s="39"/>
      <c r="I26" s="39"/>
      <c r="J26" s="39"/>
      <c r="K26" s="39"/>
      <c r="L26" s="39"/>
      <c r="M26" s="39"/>
      <c r="N26" s="39"/>
      <c r="O26" s="39"/>
      <c r="P26" s="39"/>
      <c r="Q26" s="39"/>
    </row>
    <row r="27" spans="1:17" ht="14.25" customHeight="1" x14ac:dyDescent="0.3">
      <c r="A27" s="340" t="s">
        <v>2090</v>
      </c>
      <c r="B27" s="341"/>
      <c r="C27" s="341"/>
      <c r="D27" s="341"/>
      <c r="E27" s="341"/>
      <c r="F27" s="341"/>
      <c r="G27" s="341"/>
      <c r="H27" s="341"/>
      <c r="I27" s="341"/>
      <c r="J27" s="341"/>
      <c r="K27" s="341"/>
      <c r="L27" s="341"/>
      <c r="M27" s="341"/>
      <c r="N27" s="341"/>
      <c r="O27" s="342" t="s">
        <v>2082</v>
      </c>
      <c r="P27" s="342" t="s">
        <v>2057</v>
      </c>
      <c r="Q27" s="342" t="s">
        <v>2083</v>
      </c>
    </row>
    <row r="28" spans="1:17" ht="14.25" customHeight="1" x14ac:dyDescent="0.3">
      <c r="A28" s="34"/>
      <c r="B28" s="34"/>
      <c r="C28" s="34"/>
      <c r="D28" s="34"/>
      <c r="E28" s="34"/>
      <c r="F28" s="34"/>
      <c r="G28" s="34"/>
      <c r="H28" s="34"/>
      <c r="I28" s="34"/>
      <c r="J28" s="34"/>
      <c r="K28" s="34"/>
      <c r="L28" s="34"/>
      <c r="M28" s="34"/>
      <c r="N28" s="34"/>
      <c r="O28" s="82" t="s">
        <v>2091</v>
      </c>
      <c r="P28" s="82"/>
      <c r="Q28" s="82"/>
    </row>
    <row r="29" spans="1:17" ht="14.25" customHeight="1" x14ac:dyDescent="0.3">
      <c r="A29" s="34" t="s">
        <v>2092</v>
      </c>
      <c r="B29" s="34"/>
      <c r="C29" s="34"/>
      <c r="D29" s="34"/>
      <c r="E29" s="34"/>
      <c r="F29" s="34"/>
      <c r="G29" s="34"/>
      <c r="H29" s="34"/>
      <c r="I29" s="34"/>
      <c r="J29" s="34"/>
      <c r="K29" s="34"/>
      <c r="L29" s="34"/>
      <c r="M29" s="34"/>
      <c r="N29" s="34"/>
      <c r="O29" s="80">
        <f>O22*F5</f>
        <v>20875.7624747236</v>
      </c>
      <c r="P29" s="80">
        <f>P22*G5</f>
        <v>20434.5839308902</v>
      </c>
      <c r="Q29" s="80">
        <f>Q22*I5*C5</f>
        <v>28040.890385069099</v>
      </c>
    </row>
    <row r="30" spans="1:17" ht="14.25" customHeight="1" x14ac:dyDescent="0.3">
      <c r="A30" s="34" t="s">
        <v>2093</v>
      </c>
      <c r="B30" s="34"/>
      <c r="C30" s="34"/>
      <c r="D30" s="34"/>
      <c r="E30" s="34"/>
      <c r="F30" s="34"/>
      <c r="G30" s="34"/>
      <c r="H30" s="34"/>
      <c r="I30" s="34"/>
      <c r="J30" s="34"/>
      <c r="K30" s="34"/>
      <c r="L30" s="34"/>
      <c r="M30" s="34"/>
      <c r="N30" s="34"/>
      <c r="O30" s="80">
        <f>E5-D5</f>
        <v>-1635.29000000001</v>
      </c>
      <c r="P30" s="80">
        <f>E5-D5</f>
        <v>-1635.29000000001</v>
      </c>
      <c r="Q30" s="80">
        <f>E5-D5</f>
        <v>-1635.29000000001</v>
      </c>
    </row>
    <row r="31" spans="1:17" ht="14.25" customHeight="1" x14ac:dyDescent="0.3">
      <c r="A31" s="34" t="s">
        <v>2094</v>
      </c>
      <c r="B31" s="34"/>
      <c r="C31" s="34"/>
      <c r="D31" s="34"/>
      <c r="E31" s="34"/>
      <c r="F31" s="34"/>
      <c r="G31" s="34"/>
      <c r="H31" s="34"/>
      <c r="I31" s="34"/>
      <c r="J31" s="34"/>
      <c r="K31" s="34"/>
      <c r="L31" s="34"/>
      <c r="M31" s="34"/>
      <c r="N31" s="34"/>
      <c r="O31" s="80">
        <f>O29-O30</f>
        <v>22511.052474723601</v>
      </c>
      <c r="P31" s="80">
        <f>P29-P30</f>
        <v>22069.8739308902</v>
      </c>
      <c r="Q31" s="80">
        <f>Q29-Q30</f>
        <v>29676.180385069099</v>
      </c>
    </row>
    <row r="32" spans="1:17" ht="14.25" customHeight="1" x14ac:dyDescent="0.3">
      <c r="A32" s="34" t="s">
        <v>2095</v>
      </c>
      <c r="B32" s="34"/>
      <c r="C32" s="34"/>
      <c r="D32" s="34"/>
      <c r="E32" s="34"/>
      <c r="F32" s="34"/>
      <c r="G32" s="34"/>
      <c r="H32" s="34"/>
      <c r="I32" s="34"/>
      <c r="J32" s="34"/>
      <c r="K32" s="34"/>
      <c r="L32" s="34"/>
      <c r="M32" s="34"/>
      <c r="N32" s="34"/>
      <c r="O32" s="80">
        <f>C5</f>
        <v>64.775000000000006</v>
      </c>
      <c r="P32" s="80">
        <f>C5</f>
        <v>64.775000000000006</v>
      </c>
      <c r="Q32" s="80">
        <f>C5</f>
        <v>64.775000000000006</v>
      </c>
    </row>
    <row r="33" spans="1:17" ht="14.25" customHeight="1" x14ac:dyDescent="0.3">
      <c r="A33" s="34"/>
      <c r="B33" s="34"/>
      <c r="C33" s="34"/>
      <c r="D33" s="34"/>
      <c r="E33" s="34"/>
      <c r="F33" s="34"/>
      <c r="G33" s="34"/>
      <c r="H33" s="34"/>
      <c r="I33" s="34"/>
      <c r="J33" s="34"/>
      <c r="K33" s="34"/>
      <c r="L33" s="34"/>
      <c r="M33" s="34"/>
      <c r="N33" s="34"/>
      <c r="O33" s="34"/>
      <c r="P33" s="34"/>
      <c r="Q33" s="34"/>
    </row>
    <row r="34" spans="1:17" ht="14.25" customHeight="1" x14ac:dyDescent="0.3">
      <c r="A34" s="83" t="s">
        <v>2096</v>
      </c>
      <c r="B34" s="34"/>
      <c r="C34" s="34"/>
      <c r="D34" s="34"/>
      <c r="E34" s="34"/>
      <c r="F34" s="34"/>
      <c r="G34" s="34"/>
      <c r="H34" s="34"/>
      <c r="I34" s="34"/>
      <c r="J34" s="34"/>
      <c r="K34" s="34"/>
      <c r="L34" s="34"/>
      <c r="M34" s="34"/>
      <c r="N34" s="34"/>
      <c r="O34" s="84">
        <f>O31/O32</f>
        <v>347.52686182514202</v>
      </c>
      <c r="P34" s="84">
        <f>P31/P32</f>
        <v>340.71592328661001</v>
      </c>
      <c r="Q34" s="84">
        <f>Q22*I5</f>
        <v>432.89680254834599</v>
      </c>
    </row>
  </sheetData>
  <mergeCells count="6">
    <mergeCell ref="A1:M1"/>
    <mergeCell ref="B3:E3"/>
    <mergeCell ref="F3:I3"/>
    <mergeCell ref="J3:M3"/>
    <mergeCell ref="A13:M13"/>
    <mergeCell ref="A3:A4"/>
  </mergeCells>
  <hyperlinks>
    <hyperlink ref="A6" r:id="rId1" xr:uid="{00000000-0004-0000-0F00-000000000000}"/>
    <hyperlink ref="A7" r:id="rId2" xr:uid="{00000000-0004-0000-0F00-000001000000}"/>
    <hyperlink ref="A8" r:id="rId3" xr:uid="{00000000-0004-0000-0F00-000002000000}"/>
    <hyperlink ref="A9" r:id="rId4" xr:uid="{00000000-0004-0000-0F00-000003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9"/>
  <sheetViews>
    <sheetView showGridLines="0" workbookViewId="0">
      <selection activeCell="D21" sqref="D21"/>
    </sheetView>
  </sheetViews>
  <sheetFormatPr defaultColWidth="8.6640625" defaultRowHeight="14.4" x14ac:dyDescent="0.3"/>
  <cols>
    <col min="1" max="1" width="24.5546875" customWidth="1"/>
    <col min="2" max="9" width="9.44140625" customWidth="1"/>
    <col min="10" max="12" width="10.5546875" customWidth="1"/>
    <col min="13" max="15" width="7.6640625" customWidth="1"/>
    <col min="16" max="16" width="14" customWidth="1"/>
  </cols>
  <sheetData>
    <row r="1" spans="1:16" ht="14.25" customHeight="1" x14ac:dyDescent="0.3">
      <c r="A1" s="33" t="s">
        <v>2097</v>
      </c>
      <c r="B1" s="34"/>
      <c r="C1" s="34"/>
      <c r="D1" s="34"/>
      <c r="E1" s="34"/>
      <c r="F1" s="34"/>
      <c r="G1" s="34"/>
      <c r="H1" s="34"/>
      <c r="I1" s="34"/>
      <c r="J1" s="34"/>
      <c r="K1" s="34"/>
      <c r="L1" s="34"/>
    </row>
    <row r="2" spans="1:16" ht="14.25" customHeight="1" x14ac:dyDescent="0.3">
      <c r="A2" s="35" t="s">
        <v>2098</v>
      </c>
      <c r="B2" s="36" t="s">
        <v>2099</v>
      </c>
      <c r="C2" s="36" t="s">
        <v>2100</v>
      </c>
      <c r="D2" s="36" t="s">
        <v>2101</v>
      </c>
      <c r="E2" s="36" t="s">
        <v>2102</v>
      </c>
      <c r="F2" s="36" t="s">
        <v>2103</v>
      </c>
      <c r="G2" s="36" t="s">
        <v>2104</v>
      </c>
      <c r="H2" s="36" t="s">
        <v>2105</v>
      </c>
      <c r="I2" s="36" t="s">
        <v>2106</v>
      </c>
      <c r="J2" s="36" t="s">
        <v>2107</v>
      </c>
      <c r="K2" s="36" t="s">
        <v>2108</v>
      </c>
      <c r="L2" s="36" t="s">
        <v>2109</v>
      </c>
    </row>
    <row r="3" spans="1:16" ht="14.25" customHeight="1" x14ac:dyDescent="0.3">
      <c r="A3" s="34" t="s">
        <v>2039</v>
      </c>
      <c r="B3" s="37">
        <f>Assumptions!F3</f>
        <v>3284.73</v>
      </c>
      <c r="C3" s="37">
        <f t="shared" ref="C3:L3" si="0">B3*(1+C4)</f>
        <v>3798.1594521539801</v>
      </c>
      <c r="D3" s="37">
        <f t="shared" si="0"/>
        <v>4356.9799920871401</v>
      </c>
      <c r="E3" s="37">
        <f t="shared" si="0"/>
        <v>4958.0281580138799</v>
      </c>
      <c r="F3" s="37">
        <f t="shared" si="0"/>
        <v>5596.4832345088198</v>
      </c>
      <c r="G3" s="37">
        <f t="shared" si="0"/>
        <v>6265.7852014464397</v>
      </c>
      <c r="H3" s="37">
        <f t="shared" si="0"/>
        <v>6957.6196801603</v>
      </c>
      <c r="I3" s="37">
        <f t="shared" si="0"/>
        <v>7661.98117806557</v>
      </c>
      <c r="J3" s="37">
        <f t="shared" si="0"/>
        <v>8367.3226687366096</v>
      </c>
      <c r="K3" s="37">
        <f t="shared" si="0"/>
        <v>9060.7951798004306</v>
      </c>
      <c r="L3" s="37">
        <f t="shared" si="0"/>
        <v>9728.5757845517292</v>
      </c>
      <c r="M3" s="38">
        <f>Assumptions!B25</f>
        <v>0.15630796204070899</v>
      </c>
      <c r="N3" s="39"/>
      <c r="O3" s="39"/>
      <c r="P3" s="39" t="s">
        <v>2110</v>
      </c>
    </row>
    <row r="4" spans="1:16" ht="14.25" customHeight="1" x14ac:dyDescent="0.3">
      <c r="A4" s="34" t="s">
        <v>2111</v>
      </c>
      <c r="B4" s="40"/>
      <c r="C4" s="41">
        <f>M3</f>
        <v>0.15630796204070899</v>
      </c>
      <c r="D4" s="41">
        <f t="shared" ref="D4:L4" si="1">C4-$O$4</f>
        <v>0.14712929959174101</v>
      </c>
      <c r="E4" s="41">
        <f t="shared" si="1"/>
        <v>0.137950637142774</v>
      </c>
      <c r="F4" s="41">
        <f t="shared" si="1"/>
        <v>0.128771974693806</v>
      </c>
      <c r="G4" s="41">
        <f t="shared" si="1"/>
        <v>0.119593312244838</v>
      </c>
      <c r="H4" s="41">
        <f t="shared" si="1"/>
        <v>0.110414649795871</v>
      </c>
      <c r="I4" s="41">
        <f t="shared" si="1"/>
        <v>0.10123598734690301</v>
      </c>
      <c r="J4" s="41">
        <f t="shared" si="1"/>
        <v>9.2057324897935305E-2</v>
      </c>
      <c r="K4" s="41">
        <f t="shared" si="1"/>
        <v>8.2878662448967702E-2</v>
      </c>
      <c r="L4" s="41">
        <f t="shared" si="1"/>
        <v>7.3700000000000002E-2</v>
      </c>
      <c r="M4" s="38">
        <v>7.3700000000000002E-2</v>
      </c>
      <c r="N4" s="38">
        <f>M3-M4</f>
        <v>8.2607962040708804E-2</v>
      </c>
      <c r="O4" s="38">
        <f>N4/9</f>
        <v>9.1786624489676501E-3</v>
      </c>
      <c r="P4" s="38">
        <f>M4</f>
        <v>7.3700000000000002E-2</v>
      </c>
    </row>
    <row r="5" spans="1:16" ht="14.25" customHeight="1" x14ac:dyDescent="0.3">
      <c r="A5" s="34"/>
      <c r="B5" s="40"/>
      <c r="C5" s="42"/>
      <c r="D5" s="42"/>
      <c r="E5" s="42"/>
      <c r="F5" s="42"/>
      <c r="G5" s="42"/>
      <c r="H5" s="42"/>
      <c r="I5" s="42"/>
      <c r="J5" s="42"/>
      <c r="K5" s="42"/>
      <c r="L5" s="42"/>
      <c r="M5" s="39"/>
      <c r="N5" s="39"/>
      <c r="O5" s="39"/>
      <c r="P5" s="39"/>
    </row>
    <row r="6" spans="1:16" ht="14.25" customHeight="1" x14ac:dyDescent="0.3">
      <c r="A6" s="33" t="s">
        <v>2112</v>
      </c>
      <c r="B6" s="36"/>
      <c r="C6" s="36"/>
      <c r="D6" s="36"/>
      <c r="E6" s="36"/>
      <c r="F6" s="36"/>
      <c r="G6" s="36"/>
      <c r="H6" s="36"/>
      <c r="I6" s="36"/>
      <c r="J6" s="36"/>
      <c r="K6" s="36"/>
      <c r="L6" s="36"/>
      <c r="M6" s="39"/>
      <c r="N6" s="39"/>
      <c r="O6" s="39"/>
      <c r="P6" s="39"/>
    </row>
    <row r="7" spans="1:16" ht="14.25" customHeight="1" x14ac:dyDescent="0.3">
      <c r="A7" s="35" t="s">
        <v>2098</v>
      </c>
      <c r="B7" s="36" t="s">
        <v>2099</v>
      </c>
      <c r="C7" s="36" t="s">
        <v>2100</v>
      </c>
      <c r="D7" s="36" t="s">
        <v>2101</v>
      </c>
      <c r="E7" s="36" t="s">
        <v>2102</v>
      </c>
      <c r="F7" s="36" t="s">
        <v>2103</v>
      </c>
      <c r="G7" s="36" t="s">
        <v>2104</v>
      </c>
      <c r="H7" s="36" t="s">
        <v>2105</v>
      </c>
      <c r="I7" s="36" t="s">
        <v>2106</v>
      </c>
      <c r="J7" s="36" t="s">
        <v>2107</v>
      </c>
      <c r="K7" s="36" t="s">
        <v>2108</v>
      </c>
      <c r="L7" s="36" t="s">
        <v>2109</v>
      </c>
      <c r="M7" s="39"/>
      <c r="N7" s="38">
        <f>Assumptions!B24</f>
        <v>0.208415457463068</v>
      </c>
      <c r="O7" s="39"/>
      <c r="P7" s="39"/>
    </row>
    <row r="8" spans="1:16" ht="14.25" customHeight="1" x14ac:dyDescent="0.3">
      <c r="A8" s="34" t="s">
        <v>2039</v>
      </c>
      <c r="B8" s="37">
        <f>B3</f>
        <v>3284.73</v>
      </c>
      <c r="C8" s="37">
        <f t="shared" ref="C8:L8" si="2">B8*(1+C9)</f>
        <v>3969.3185055926601</v>
      </c>
      <c r="D8" s="37">
        <f t="shared" si="2"/>
        <v>4737.1715534970999</v>
      </c>
      <c r="E8" s="37">
        <f t="shared" si="2"/>
        <v>5582.6557225868</v>
      </c>
      <c r="F8" s="37">
        <f t="shared" si="2"/>
        <v>6495.4774623595104</v>
      </c>
      <c r="G8" s="37">
        <f t="shared" si="2"/>
        <v>7460.3281612147503</v>
      </c>
      <c r="H8" s="37">
        <f t="shared" si="2"/>
        <v>8456.8305782796797</v>
      </c>
      <c r="I8" s="37">
        <f t="shared" si="2"/>
        <v>9459.8542585790892</v>
      </c>
      <c r="J8" s="37">
        <f t="shared" si="2"/>
        <v>10440.242982764899</v>
      </c>
      <c r="K8" s="37">
        <f t="shared" si="2"/>
        <v>11365.9624583112</v>
      </c>
      <c r="L8" s="37">
        <f t="shared" si="2"/>
        <v>12203.6338914887</v>
      </c>
      <c r="M8" s="39"/>
      <c r="N8" s="38">
        <f>M4</f>
        <v>7.3700000000000002E-2</v>
      </c>
      <c r="O8" s="38">
        <f>N7-N8</f>
        <v>0.13471545746306801</v>
      </c>
      <c r="P8" s="38">
        <f>O8/9</f>
        <v>1.49683841625631E-2</v>
      </c>
    </row>
    <row r="9" spans="1:16" ht="14.25" customHeight="1" x14ac:dyDescent="0.3">
      <c r="A9" s="34" t="s">
        <v>2111</v>
      </c>
      <c r="B9" s="40"/>
      <c r="C9" s="43">
        <f>N7</f>
        <v>0.208415457463068</v>
      </c>
      <c r="D9" s="44">
        <f t="shared" ref="D9:L9" si="3">C9-$P$8</f>
        <v>0.19344707330050501</v>
      </c>
      <c r="E9" s="44">
        <f t="shared" si="3"/>
        <v>0.17847868913794199</v>
      </c>
      <c r="F9" s="44">
        <f t="shared" si="3"/>
        <v>0.163510304975378</v>
      </c>
      <c r="G9" s="44">
        <f t="shared" si="3"/>
        <v>0.148541920812815</v>
      </c>
      <c r="H9" s="44">
        <f t="shared" si="3"/>
        <v>0.13357353665025201</v>
      </c>
      <c r="I9" s="44">
        <f t="shared" si="3"/>
        <v>0.11860515248768901</v>
      </c>
      <c r="J9" s="44">
        <f t="shared" si="3"/>
        <v>0.103636768325126</v>
      </c>
      <c r="K9" s="44">
        <f t="shared" si="3"/>
        <v>8.8668384162563105E-2</v>
      </c>
      <c r="L9" s="44">
        <f t="shared" si="3"/>
        <v>7.3700000000000002E-2</v>
      </c>
      <c r="M9" s="39"/>
      <c r="N9" s="39"/>
      <c r="O9" s="39"/>
      <c r="P9" s="39"/>
    </row>
    <row r="10" spans="1:16" ht="14.25" customHeight="1" x14ac:dyDescent="0.3">
      <c r="A10" s="34"/>
      <c r="B10" s="40"/>
      <c r="C10" s="40"/>
      <c r="D10" s="40"/>
      <c r="E10" s="40"/>
      <c r="F10" s="40"/>
      <c r="G10" s="40"/>
      <c r="H10" s="40"/>
      <c r="I10" s="40"/>
      <c r="J10" s="40"/>
      <c r="K10" s="40"/>
      <c r="L10" s="40"/>
      <c r="M10" s="39"/>
      <c r="N10" s="39"/>
      <c r="O10" s="39"/>
      <c r="P10" s="39"/>
    </row>
    <row r="11" spans="1:16" ht="14.25" customHeight="1" x14ac:dyDescent="0.3">
      <c r="A11" s="33" t="s">
        <v>2113</v>
      </c>
      <c r="B11" s="40"/>
      <c r="C11" s="40"/>
      <c r="D11" s="40"/>
      <c r="E11" s="40"/>
      <c r="F11" s="40"/>
      <c r="G11" s="40"/>
      <c r="H11" s="40"/>
      <c r="I11" s="40"/>
      <c r="J11" s="40"/>
      <c r="K11" s="40"/>
      <c r="L11" s="40"/>
      <c r="M11" s="39"/>
      <c r="N11" s="39"/>
      <c r="O11" s="39"/>
      <c r="P11" s="39"/>
    </row>
    <row r="12" spans="1:16" ht="14.25" customHeight="1" x14ac:dyDescent="0.3">
      <c r="A12" s="35" t="s">
        <v>2098</v>
      </c>
      <c r="B12" s="36" t="s">
        <v>2099</v>
      </c>
      <c r="C12" s="36" t="s">
        <v>2100</v>
      </c>
      <c r="D12" s="36" t="s">
        <v>2101</v>
      </c>
      <c r="E12" s="36" t="s">
        <v>2102</v>
      </c>
      <c r="F12" s="36" t="s">
        <v>2103</v>
      </c>
      <c r="G12" s="36" t="s">
        <v>2104</v>
      </c>
      <c r="H12" s="36" t="s">
        <v>2105</v>
      </c>
      <c r="I12" s="36" t="s">
        <v>2106</v>
      </c>
      <c r="J12" s="36" t="s">
        <v>2107</v>
      </c>
      <c r="K12" s="36" t="s">
        <v>2108</v>
      </c>
      <c r="L12" s="36" t="s">
        <v>2109</v>
      </c>
      <c r="M12" s="39"/>
      <c r="N12" s="38">
        <f>FCFF!C12*Assumptions!F45</f>
        <v>1.7206721148948099E-3</v>
      </c>
      <c r="O12" s="39"/>
      <c r="P12" s="39"/>
    </row>
    <row r="13" spans="1:16" ht="14.25" customHeight="1" x14ac:dyDescent="0.3">
      <c r="A13" s="34" t="s">
        <v>2039</v>
      </c>
      <c r="B13" s="37">
        <f>B8</f>
        <v>3284.73</v>
      </c>
      <c r="C13" s="37">
        <f t="shared" ref="C13:L13" si="4">B13*(1+C14)</f>
        <v>3290.3819433159601</v>
      </c>
      <c r="D13" s="37">
        <f t="shared" si="4"/>
        <v>3322.3591096359701</v>
      </c>
      <c r="E13" s="37">
        <f t="shared" si="4"/>
        <v>3381.2182838014901</v>
      </c>
      <c r="F13" s="37">
        <f t="shared" si="4"/>
        <v>3468.16219165042</v>
      </c>
      <c r="G13" s="37">
        <f t="shared" si="4"/>
        <v>3585.0790876464298</v>
      </c>
      <c r="H13" s="37">
        <f t="shared" si="4"/>
        <v>3734.6098238976401</v>
      </c>
      <c r="I13" s="37">
        <f t="shared" si="4"/>
        <v>3920.2456662398099</v>
      </c>
      <c r="J13" s="37">
        <f t="shared" si="4"/>
        <v>4146.4618500193701</v>
      </c>
      <c r="K13" s="37">
        <f t="shared" si="4"/>
        <v>4418.89391758072</v>
      </c>
      <c r="L13" s="37">
        <f t="shared" si="4"/>
        <v>4744.56639930642</v>
      </c>
      <c r="M13" s="39"/>
      <c r="N13" s="38">
        <f>N8</f>
        <v>7.3700000000000002E-2</v>
      </c>
      <c r="O13" s="38">
        <f>N12-N13</f>
        <v>-7.1979327885105193E-2</v>
      </c>
      <c r="P13" s="39">
        <f>O13/9</f>
        <v>-7.9977030983450197E-3</v>
      </c>
    </row>
    <row r="14" spans="1:16" ht="14.25" customHeight="1" x14ac:dyDescent="0.3">
      <c r="A14" s="34" t="s">
        <v>2111</v>
      </c>
      <c r="B14" s="40"/>
      <c r="C14" s="44">
        <f>N12</f>
        <v>1.7206721148948099E-3</v>
      </c>
      <c r="D14" s="44">
        <f t="shared" ref="D14:L14" si="5">C14-($P$13)</f>
        <v>9.7183752132398299E-3</v>
      </c>
      <c r="E14" s="44">
        <f t="shared" si="5"/>
        <v>1.77160783115849E-2</v>
      </c>
      <c r="F14" s="44">
        <f t="shared" si="5"/>
        <v>2.5713781409929901E-2</v>
      </c>
      <c r="G14" s="44">
        <f t="shared" si="5"/>
        <v>3.3711484508274901E-2</v>
      </c>
      <c r="H14" s="44">
        <f t="shared" si="5"/>
        <v>4.1709187606619902E-2</v>
      </c>
      <c r="I14" s="44">
        <f t="shared" si="5"/>
        <v>4.9706890704964903E-2</v>
      </c>
      <c r="J14" s="44">
        <f t="shared" si="5"/>
        <v>5.770459380331E-2</v>
      </c>
      <c r="K14" s="44">
        <f t="shared" si="5"/>
        <v>6.5702296901654994E-2</v>
      </c>
      <c r="L14" s="44">
        <f t="shared" si="5"/>
        <v>7.3700000000000002E-2</v>
      </c>
      <c r="P14" s="45"/>
    </row>
    <row r="15" spans="1:16" ht="14.25" customHeight="1" x14ac:dyDescent="0.3">
      <c r="A15" s="34"/>
      <c r="B15" s="40"/>
      <c r="C15" s="40"/>
      <c r="D15" s="40"/>
      <c r="E15" s="40"/>
      <c r="F15" s="40"/>
      <c r="G15" s="40"/>
      <c r="H15" s="40"/>
      <c r="I15" s="40"/>
      <c r="J15" s="40"/>
      <c r="K15" s="40"/>
      <c r="L15" s="40"/>
    </row>
    <row r="16" spans="1:16" ht="14.25" customHeight="1" x14ac:dyDescent="0.3">
      <c r="A16" s="33" t="s">
        <v>2114</v>
      </c>
      <c r="B16" s="46">
        <v>3</v>
      </c>
      <c r="C16" s="40"/>
      <c r="D16" s="40"/>
      <c r="E16" s="40"/>
      <c r="F16" s="40"/>
      <c r="G16" s="40"/>
      <c r="H16" s="40"/>
      <c r="I16" s="40"/>
      <c r="J16" s="40"/>
      <c r="K16" s="40"/>
      <c r="L16" s="40"/>
    </row>
    <row r="17" spans="1:12" ht="14.25" customHeight="1" x14ac:dyDescent="0.3">
      <c r="A17" s="35" t="s">
        <v>2098</v>
      </c>
      <c r="B17" s="36" t="s">
        <v>2099</v>
      </c>
      <c r="C17" s="36" t="s">
        <v>2100</v>
      </c>
      <c r="D17" s="36" t="s">
        <v>2101</v>
      </c>
      <c r="E17" s="36" t="s">
        <v>2102</v>
      </c>
      <c r="F17" s="36" t="s">
        <v>2103</v>
      </c>
      <c r="G17" s="36" t="s">
        <v>2104</v>
      </c>
      <c r="H17" s="36" t="s">
        <v>2105</v>
      </c>
      <c r="I17" s="36" t="s">
        <v>2106</v>
      </c>
      <c r="J17" s="36" t="s">
        <v>2107</v>
      </c>
      <c r="K17" s="36" t="s">
        <v>2108</v>
      </c>
      <c r="L17" s="36" t="s">
        <v>2109</v>
      </c>
    </row>
    <row r="18" spans="1:12" ht="14.25" customHeight="1" x14ac:dyDescent="0.3">
      <c r="A18" s="34" t="s">
        <v>2039</v>
      </c>
      <c r="B18" s="37">
        <f>B13</f>
        <v>3284.73</v>
      </c>
      <c r="C18" s="37">
        <f t="shared" ref="C18:L18" si="6">B18*(1+C19)</f>
        <v>3290.3819433159601</v>
      </c>
      <c r="D18" s="37">
        <f t="shared" si="6"/>
        <v>3322.3591096359701</v>
      </c>
      <c r="E18" s="37">
        <f t="shared" si="6"/>
        <v>3381.2182838014901</v>
      </c>
      <c r="F18" s="37">
        <f t="shared" si="6"/>
        <v>3468.16219165042</v>
      </c>
      <c r="G18" s="37">
        <f t="shared" si="6"/>
        <v>3585.0790876464298</v>
      </c>
      <c r="H18" s="37">
        <f t="shared" si="6"/>
        <v>3734.6098238976401</v>
      </c>
      <c r="I18" s="37">
        <f t="shared" si="6"/>
        <v>3920.2456662398099</v>
      </c>
      <c r="J18" s="37">
        <f t="shared" si="6"/>
        <v>4146.4618500193701</v>
      </c>
      <c r="K18" s="37">
        <f t="shared" si="6"/>
        <v>4418.89391758072</v>
      </c>
      <c r="L18" s="37">
        <f t="shared" si="6"/>
        <v>4744.56639930642</v>
      </c>
    </row>
    <row r="19" spans="1:12" ht="14.25" customHeight="1" x14ac:dyDescent="0.3">
      <c r="A19" s="34" t="s">
        <v>2111</v>
      </c>
      <c r="B19" s="40"/>
      <c r="C19" s="44">
        <f t="shared" ref="C19:L19" si="7">CHOOSE($B$16,C4,C9,C14)</f>
        <v>1.7206721148948099E-3</v>
      </c>
      <c r="D19" s="44">
        <f t="shared" si="7"/>
        <v>9.7183752132398299E-3</v>
      </c>
      <c r="E19" s="44">
        <f t="shared" si="7"/>
        <v>1.77160783115849E-2</v>
      </c>
      <c r="F19" s="44">
        <f t="shared" si="7"/>
        <v>2.5713781409929901E-2</v>
      </c>
      <c r="G19" s="44">
        <f t="shared" si="7"/>
        <v>3.3711484508274901E-2</v>
      </c>
      <c r="H19" s="44">
        <f t="shared" si="7"/>
        <v>4.1709187606619902E-2</v>
      </c>
      <c r="I19" s="44">
        <f t="shared" si="7"/>
        <v>4.9706890704964903E-2</v>
      </c>
      <c r="J19" s="44">
        <f t="shared" si="7"/>
        <v>5.770459380331E-2</v>
      </c>
      <c r="K19" s="44">
        <f t="shared" si="7"/>
        <v>6.5702296901654994E-2</v>
      </c>
      <c r="L19" s="44">
        <f t="shared" si="7"/>
        <v>7.3700000000000002E-2</v>
      </c>
    </row>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31"/>
  <sheetViews>
    <sheetView showGridLines="0" workbookViewId="0">
      <selection activeCell="H22" sqref="H22:L22"/>
    </sheetView>
  </sheetViews>
  <sheetFormatPr defaultColWidth="8.6640625" defaultRowHeight="14.4" x14ac:dyDescent="0.3"/>
  <cols>
    <col min="1" max="1" width="29.77734375" customWidth="1"/>
    <col min="2" max="2" width="9.88671875" customWidth="1"/>
    <col min="3" max="7" width="12" customWidth="1"/>
    <col min="8" max="8" width="33.109375" customWidth="1"/>
    <col min="9" max="13" width="12" customWidth="1"/>
    <col min="14" max="14" width="12.44140625" customWidth="1"/>
    <col min="16" max="16" width="42.21875" customWidth="1"/>
    <col min="17" max="17" width="7" customWidth="1"/>
  </cols>
  <sheetData>
    <row r="1" spans="1:17" ht="14.25" customHeight="1" x14ac:dyDescent="0.3">
      <c r="C1">
        <v>1</v>
      </c>
      <c r="D1">
        <v>2</v>
      </c>
      <c r="E1">
        <v>3</v>
      </c>
      <c r="F1">
        <v>4</v>
      </c>
      <c r="G1">
        <v>5</v>
      </c>
      <c r="H1">
        <v>6</v>
      </c>
      <c r="I1">
        <v>7</v>
      </c>
      <c r="J1">
        <v>8</v>
      </c>
      <c r="K1">
        <v>9</v>
      </c>
      <c r="L1">
        <v>10</v>
      </c>
    </row>
    <row r="2" spans="1:17" ht="14.25" customHeight="1" x14ac:dyDescent="0.3">
      <c r="A2" s="8" t="s">
        <v>2115</v>
      </c>
      <c r="B2" s="9" t="s">
        <v>2099</v>
      </c>
      <c r="C2" s="9" t="s">
        <v>2100</v>
      </c>
      <c r="D2" s="9" t="s">
        <v>2101</v>
      </c>
      <c r="E2" s="9" t="s">
        <v>2102</v>
      </c>
      <c r="F2" s="9" t="s">
        <v>2116</v>
      </c>
      <c r="G2" s="9" t="s">
        <v>2104</v>
      </c>
      <c r="H2" s="9" t="s">
        <v>2105</v>
      </c>
      <c r="I2" s="9" t="s">
        <v>2106</v>
      </c>
      <c r="J2" s="9" t="s">
        <v>2107</v>
      </c>
      <c r="K2" s="9" t="s">
        <v>2108</v>
      </c>
      <c r="L2" s="9" t="s">
        <v>2109</v>
      </c>
      <c r="M2" s="10"/>
      <c r="N2" s="8" t="s">
        <v>2117</v>
      </c>
      <c r="P2" s="11" t="s">
        <v>2118</v>
      </c>
      <c r="Q2" s="4">
        <v>0.04</v>
      </c>
    </row>
    <row r="3" spans="1:17" ht="14.25" customHeight="1" x14ac:dyDescent="0.3">
      <c r="A3" t="s">
        <v>2119</v>
      </c>
      <c r="B3" s="12">
        <f>'Growth scenario'!B18</f>
        <v>3284.73</v>
      </c>
      <c r="C3" s="12">
        <f>'Growth scenario'!C18</f>
        <v>3290.3819433159601</v>
      </c>
      <c r="D3" s="12">
        <f>'Growth scenario'!D18</f>
        <v>3322.3591096359701</v>
      </c>
      <c r="E3" s="12">
        <f>'Growth scenario'!E18</f>
        <v>3381.2182838014901</v>
      </c>
      <c r="F3" s="12">
        <f>'Growth scenario'!F18</f>
        <v>3468.16219165042</v>
      </c>
      <c r="G3" s="12">
        <f>'Growth scenario'!G18</f>
        <v>3585.0790876464298</v>
      </c>
      <c r="H3" s="12">
        <f>'Growth scenario'!H18</f>
        <v>3734.6098238976401</v>
      </c>
      <c r="I3" s="12">
        <f>'Growth scenario'!I18</f>
        <v>3920.2456662398099</v>
      </c>
      <c r="J3" s="12">
        <f>'Growth scenario'!J18</f>
        <v>4146.4618500193701</v>
      </c>
      <c r="K3" s="12">
        <f>'Growth scenario'!K18</f>
        <v>4418.89391758072</v>
      </c>
      <c r="L3" s="12">
        <f>'Growth scenario'!L18</f>
        <v>4744.56639930642</v>
      </c>
      <c r="N3" s="13">
        <f>L3*(1+$Q$2)</f>
        <v>4934.3490552786798</v>
      </c>
      <c r="P3" s="11" t="s">
        <v>2120</v>
      </c>
      <c r="Q3" s="4">
        <f>Wacc!D26</f>
        <v>0.149774783022594</v>
      </c>
    </row>
    <row r="4" spans="1:17" ht="14.25" customHeight="1" x14ac:dyDescent="0.3">
      <c r="A4" t="s">
        <v>352</v>
      </c>
      <c r="C4" s="4">
        <f>'Growth scenario'!C19</f>
        <v>1.7206721148948099E-3</v>
      </c>
      <c r="D4" s="4">
        <f>'Growth scenario'!D19</f>
        <v>9.7183752132398299E-3</v>
      </c>
      <c r="E4" s="4">
        <f>'Growth scenario'!E19</f>
        <v>1.77160783115849E-2</v>
      </c>
      <c r="F4" s="4">
        <f>'Growth scenario'!F19</f>
        <v>2.5713781409929901E-2</v>
      </c>
      <c r="G4" s="4">
        <f>'Growth scenario'!G19</f>
        <v>3.3711484508274901E-2</v>
      </c>
      <c r="H4" s="4">
        <f>'Growth scenario'!H19</f>
        <v>4.1709187606619902E-2</v>
      </c>
      <c r="I4" s="4">
        <f>'Growth scenario'!I19</f>
        <v>4.9706890704964903E-2</v>
      </c>
      <c r="J4" s="4">
        <f>'Growth scenario'!J19</f>
        <v>5.770459380331E-2</v>
      </c>
      <c r="K4" s="4">
        <f>'Growth scenario'!K19</f>
        <v>6.5702296901654994E-2</v>
      </c>
      <c r="L4" s="4">
        <f>'Growth scenario'!L19</f>
        <v>7.3700000000000002E-2</v>
      </c>
      <c r="N4" s="14">
        <f>$Q$2</f>
        <v>0.04</v>
      </c>
      <c r="P4" s="11" t="s">
        <v>2121</v>
      </c>
      <c r="Q4" s="4">
        <f>$Q$2/$Q$3</f>
        <v>0.26706765446601199</v>
      </c>
    </row>
    <row r="5" spans="1:17" ht="14.25" customHeight="1" x14ac:dyDescent="0.3">
      <c r="A5" t="s">
        <v>384</v>
      </c>
      <c r="C5" s="15">
        <f t="shared" ref="C5:L5" si="0">C3*C6</f>
        <v>902.76581897375399</v>
      </c>
      <c r="D5" s="15">
        <f t="shared" si="0"/>
        <v>911.53923593222805</v>
      </c>
      <c r="E5" s="15">
        <f t="shared" si="0"/>
        <v>927.68813642008604</v>
      </c>
      <c r="F5" s="15">
        <f t="shared" si="0"/>
        <v>951.54250637657697</v>
      </c>
      <c r="G5" s="15">
        <f t="shared" si="0"/>
        <v>983.620416839256</v>
      </c>
      <c r="H5" s="15">
        <f t="shared" si="0"/>
        <v>1024.6464253389099</v>
      </c>
      <c r="I5" s="15">
        <f t="shared" si="0"/>
        <v>1075.5784132144599</v>
      </c>
      <c r="J5" s="15">
        <f t="shared" si="0"/>
        <v>1137.6442286526101</v>
      </c>
      <c r="K5" s="15">
        <f t="shared" si="0"/>
        <v>1212.3900675320001</v>
      </c>
      <c r="L5" s="15">
        <f t="shared" si="0"/>
        <v>1301.7432155091101</v>
      </c>
      <c r="N5" s="13">
        <f>N6*N3</f>
        <v>1353.81294412947</v>
      </c>
      <c r="P5" s="11"/>
    </row>
    <row r="6" spans="1:17" ht="14.25" customHeight="1" x14ac:dyDescent="0.3">
      <c r="A6" t="s">
        <v>2122</v>
      </c>
      <c r="C6" s="4">
        <f>AVERAGE(Assumptions!B29:F29)</f>
        <v>0.27436505382228399</v>
      </c>
      <c r="D6" s="4">
        <f t="shared" ref="D6:L6" si="1">C6</f>
        <v>0.27436505382228399</v>
      </c>
      <c r="E6" s="4">
        <f t="shared" si="1"/>
        <v>0.27436505382228399</v>
      </c>
      <c r="F6" s="4">
        <f t="shared" si="1"/>
        <v>0.27436505382228399</v>
      </c>
      <c r="G6" s="4">
        <f t="shared" si="1"/>
        <v>0.27436505382228399</v>
      </c>
      <c r="H6" s="4">
        <f t="shared" si="1"/>
        <v>0.27436505382228399</v>
      </c>
      <c r="I6" s="4">
        <f t="shared" si="1"/>
        <v>0.27436505382228399</v>
      </c>
      <c r="J6" s="4">
        <f t="shared" si="1"/>
        <v>0.27436505382228399</v>
      </c>
      <c r="K6" s="4">
        <f t="shared" si="1"/>
        <v>0.27436505382228399</v>
      </c>
      <c r="L6" s="4">
        <f t="shared" si="1"/>
        <v>0.27436505382228399</v>
      </c>
      <c r="N6" s="14">
        <f>L6</f>
        <v>0.27436505382228399</v>
      </c>
      <c r="P6" s="11" t="s">
        <v>2123</v>
      </c>
    </row>
    <row r="7" spans="1:17" ht="14.25" customHeight="1" x14ac:dyDescent="0.3">
      <c r="A7" t="s">
        <v>385</v>
      </c>
      <c r="C7" s="12">
        <f>Assumptions!$B$35*'DCF Valuation'!C5</f>
        <v>270.82974569212598</v>
      </c>
      <c r="D7" s="12">
        <f>Assumptions!$B$35*'DCF Valuation'!D5</f>
        <v>273.46177077966797</v>
      </c>
      <c r="E7" s="12">
        <f>Assumptions!$B$35*'DCF Valuation'!E5</f>
        <v>278.30644092602603</v>
      </c>
      <c r="F7" s="12">
        <f>Assumptions!$B$35*'DCF Valuation'!F5</f>
        <v>285.46275191297298</v>
      </c>
      <c r="G7" s="12">
        <f>Assumptions!$B$35*'DCF Valuation'!G5</f>
        <v>295.086125051777</v>
      </c>
      <c r="H7" s="12">
        <f>Assumptions!$B$35*'DCF Valuation'!H5</f>
        <v>307.39392760167198</v>
      </c>
      <c r="I7" s="12">
        <f>Assumptions!$B$35*'DCF Valuation'!I5</f>
        <v>322.67352396433802</v>
      </c>
      <c r="J7" s="12">
        <f>Assumptions!$B$35*'DCF Valuation'!J5</f>
        <v>341.29326859578299</v>
      </c>
      <c r="K7" s="12">
        <f>Assumptions!$B$35*'DCF Valuation'!K5</f>
        <v>363.717020259599</v>
      </c>
      <c r="L7" s="12">
        <f>Assumptions!$B$35*'DCF Valuation'!L5</f>
        <v>390.52296465273201</v>
      </c>
      <c r="N7" s="13">
        <f>Assumptions!$B$35*N5</f>
        <v>406.143883238841</v>
      </c>
    </row>
    <row r="8" spans="1:17" ht="14.25" customHeight="1" x14ac:dyDescent="0.3">
      <c r="A8" s="16" t="s">
        <v>2124</v>
      </c>
      <c r="B8" s="10"/>
      <c r="C8" s="17">
        <f t="shared" ref="C8:L8" si="2">C5-C7</f>
        <v>631.93607328162796</v>
      </c>
      <c r="D8" s="17">
        <f t="shared" si="2"/>
        <v>638.07746515255997</v>
      </c>
      <c r="E8" s="17">
        <f t="shared" si="2"/>
        <v>649.38169549405995</v>
      </c>
      <c r="F8" s="17">
        <f t="shared" si="2"/>
        <v>666.07975446360399</v>
      </c>
      <c r="G8" s="17">
        <f t="shared" si="2"/>
        <v>688.53429178747899</v>
      </c>
      <c r="H8" s="17">
        <f t="shared" si="2"/>
        <v>717.25249773723499</v>
      </c>
      <c r="I8" s="17">
        <f t="shared" si="2"/>
        <v>752.90488925012198</v>
      </c>
      <c r="J8" s="17">
        <f t="shared" si="2"/>
        <v>796.35096005682703</v>
      </c>
      <c r="K8" s="17">
        <f t="shared" si="2"/>
        <v>848.67304727239798</v>
      </c>
      <c r="L8" s="17">
        <f t="shared" si="2"/>
        <v>911.22025085637404</v>
      </c>
      <c r="M8" s="10"/>
      <c r="N8" s="13">
        <f>N5-N7</f>
        <v>947.669060890629</v>
      </c>
      <c r="O8" s="10"/>
      <c r="P8" s="10"/>
      <c r="Q8" s="10"/>
    </row>
    <row r="9" spans="1:17" ht="14.25" customHeight="1" x14ac:dyDescent="0.3">
      <c r="A9" t="s">
        <v>2125</v>
      </c>
      <c r="C9" s="5">
        <f>C3*'Fixed Asset scheduled'!$C$11</f>
        <v>87.827965753771906</v>
      </c>
      <c r="D9" s="5">
        <f>D3*'Fixed Asset scheduled'!$C$11</f>
        <v>88.681510879182696</v>
      </c>
      <c r="E9" s="5">
        <f>E3*'Fixed Asset scheduled'!$C$11</f>
        <v>90.252599470707906</v>
      </c>
      <c r="F9" s="5">
        <f>F3*'Fixed Asset scheduled'!$C$11</f>
        <v>92.5733350851757</v>
      </c>
      <c r="G9" s="5">
        <f>G3*'Fixed Asset scheduled'!$C$11</f>
        <v>95.694119636778893</v>
      </c>
      <c r="H9" s="5">
        <f>H3*'Fixed Asset scheduled'!$C$11</f>
        <v>99.685443625559699</v>
      </c>
      <c r="I9" s="5">
        <f>I3*'Fixed Asset scheduled'!$C$11</f>
        <v>104.64049707673099</v>
      </c>
      <c r="J9" s="5">
        <f>J3*'Fixed Asset scheduled'!$C$11</f>
        <v>110.678734455921</v>
      </c>
      <c r="K9" s="5">
        <f>K3*'Fixed Asset scheduled'!$C$11</f>
        <v>117.950581527843</v>
      </c>
      <c r="L9" s="5">
        <f>L3*'Fixed Asset scheduled'!$C$11</f>
        <v>126.643539386445</v>
      </c>
    </row>
    <row r="10" spans="1:17" ht="14.25" customHeight="1" x14ac:dyDescent="0.3">
      <c r="A10" t="s">
        <v>2126</v>
      </c>
      <c r="B10" s="7">
        <f>'Change in working capital'!E5</f>
        <v>-62.2</v>
      </c>
      <c r="C10" s="12">
        <f>'Change in working capital'!$C$9*'DCF Valuation'!C3</f>
        <v>-97.8826145647391</v>
      </c>
      <c r="D10" s="12">
        <f>'Change in working capital'!$C$9*'DCF Valuation'!D3</f>
        <v>-98.833874539932197</v>
      </c>
      <c r="E10" s="12">
        <f>'Change in working capital'!$C$9*'DCF Valuation'!E3</f>
        <v>-100.58482320111899</v>
      </c>
      <c r="F10" s="12">
        <f>'Change in working capital'!$C$9*'DCF Valuation'!F3</f>
        <v>-103.171239358069</v>
      </c>
      <c r="G10" s="12">
        <f>'Change in working capital'!$C$9*'DCF Valuation'!G3</f>
        <v>-106.649294995388</v>
      </c>
      <c r="H10" s="12">
        <f>'Change in working capital'!$C$9*'DCF Valuation'!H3</f>
        <v>-111.09755044846401</v>
      </c>
      <c r="I10" s="12">
        <f>'Change in working capital'!$C$9*'DCF Valuation'!I3</f>
        <v>-116.619864246196</v>
      </c>
      <c r="J10" s="12">
        <f>'Change in working capital'!$C$9*'DCF Valuation'!J3</f>
        <v>-123.34936614192</v>
      </c>
      <c r="K10" s="12">
        <f>'Change in working capital'!$C$9*'DCF Valuation'!K3</f>
        <v>-131.45370281880699</v>
      </c>
      <c r="L10" s="12">
        <f>'Change in working capital'!$C$9*'DCF Valuation'!L3</f>
        <v>-141.14184071655299</v>
      </c>
    </row>
    <row r="11" spans="1:17" ht="14.25" customHeight="1" x14ac:dyDescent="0.3">
      <c r="A11" t="s">
        <v>2127</v>
      </c>
      <c r="C11" s="12">
        <f t="shared" ref="C11:L11" si="3">C10-B10</f>
        <v>-35.682614564739097</v>
      </c>
      <c r="D11" s="12">
        <f t="shared" si="3"/>
        <v>-0.95125997519308203</v>
      </c>
      <c r="E11" s="12">
        <f t="shared" si="3"/>
        <v>-1.7509486611867799</v>
      </c>
      <c r="F11" s="12">
        <f t="shared" si="3"/>
        <v>-2.5864161569500199</v>
      </c>
      <c r="G11" s="12">
        <f t="shared" si="3"/>
        <v>-3.4780556373190699</v>
      </c>
      <c r="H11" s="12">
        <f t="shared" si="3"/>
        <v>-4.4482554530764</v>
      </c>
      <c r="I11" s="12">
        <f t="shared" si="3"/>
        <v>-5.5223137977311403</v>
      </c>
      <c r="J11" s="12">
        <f t="shared" si="3"/>
        <v>-6.7295018957238701</v>
      </c>
      <c r="K11" s="12">
        <f t="shared" si="3"/>
        <v>-8.1043366768873408</v>
      </c>
      <c r="L11" s="12">
        <f t="shared" si="3"/>
        <v>-9.6881378977460901</v>
      </c>
    </row>
    <row r="12" spans="1:17" ht="14.25" customHeight="1" x14ac:dyDescent="0.3">
      <c r="A12" t="s">
        <v>389</v>
      </c>
      <c r="C12" s="5">
        <f t="shared" ref="C12:L12" si="4">C9+C11</f>
        <v>52.145351189032802</v>
      </c>
      <c r="D12" s="5">
        <f t="shared" si="4"/>
        <v>87.730250903989599</v>
      </c>
      <c r="E12" s="5">
        <f t="shared" si="4"/>
        <v>88.501650809521195</v>
      </c>
      <c r="F12" s="5">
        <f t="shared" si="4"/>
        <v>89.986918928225606</v>
      </c>
      <c r="G12" s="5">
        <f t="shared" si="4"/>
        <v>92.216063999459806</v>
      </c>
      <c r="H12" s="5">
        <f t="shared" si="4"/>
        <v>95.2371881724833</v>
      </c>
      <c r="I12" s="5">
        <f t="shared" si="4"/>
        <v>99.118183279000206</v>
      </c>
      <c r="J12" s="5">
        <f t="shared" si="4"/>
        <v>103.949232560197</v>
      </c>
      <c r="K12" s="5">
        <f t="shared" si="4"/>
        <v>109.846244850956</v>
      </c>
      <c r="L12" s="5">
        <f t="shared" si="4"/>
        <v>116.955401488699</v>
      </c>
      <c r="N12" s="13">
        <f>N8*N14</f>
        <v>253.09175330206901</v>
      </c>
    </row>
    <row r="13" spans="1:17" ht="14.25" customHeight="1" x14ac:dyDescent="0.3">
      <c r="A13" s="10" t="s">
        <v>2128</v>
      </c>
      <c r="C13" s="17">
        <f>C8-C12</f>
        <v>579.79072209259505</v>
      </c>
      <c r="D13" s="17">
        <f t="shared" ref="D13:L13" si="5">D8-(D12)</f>
        <v>550.34721424857003</v>
      </c>
      <c r="E13" s="17">
        <f t="shared" si="5"/>
        <v>560.88004468453903</v>
      </c>
      <c r="F13" s="17">
        <f t="shared" si="5"/>
        <v>576.09283553537796</v>
      </c>
      <c r="G13" s="17">
        <f t="shared" si="5"/>
        <v>596.31822778801995</v>
      </c>
      <c r="H13" s="17">
        <f t="shared" si="5"/>
        <v>622.01530956475096</v>
      </c>
      <c r="I13" s="17">
        <f t="shared" si="5"/>
        <v>653.78670597112205</v>
      </c>
      <c r="J13" s="17">
        <f t="shared" si="5"/>
        <v>692.40172749662997</v>
      </c>
      <c r="K13" s="17">
        <f t="shared" si="5"/>
        <v>738.82680242144295</v>
      </c>
      <c r="L13" s="17">
        <f t="shared" si="5"/>
        <v>794.26484936767599</v>
      </c>
      <c r="N13" s="13">
        <f>N8-N12</f>
        <v>694.57730758855996</v>
      </c>
    </row>
    <row r="14" spans="1:17" ht="14.25" customHeight="1" x14ac:dyDescent="0.3">
      <c r="A14" t="s">
        <v>2129</v>
      </c>
      <c r="C14" s="18">
        <f t="shared" ref="C14:L14" si="6">C12/C8</f>
        <v>8.2516813636296094E-2</v>
      </c>
      <c r="D14" s="18">
        <f t="shared" si="6"/>
        <v>0.13749153620871701</v>
      </c>
      <c r="E14" s="18">
        <f t="shared" si="6"/>
        <v>0.13628602626716699</v>
      </c>
      <c r="F14" s="18">
        <f t="shared" si="6"/>
        <v>0.13509931554771901</v>
      </c>
      <c r="G14" s="18">
        <f t="shared" si="6"/>
        <v>0.13393096770832</v>
      </c>
      <c r="H14" s="18">
        <f t="shared" si="6"/>
        <v>0.13278055980695</v>
      </c>
      <c r="I14" s="18">
        <f t="shared" si="6"/>
        <v>0.131647681791149</v>
      </c>
      <c r="J14" s="18">
        <f t="shared" si="6"/>
        <v>0.13053193601069901</v>
      </c>
      <c r="K14" s="18">
        <f t="shared" si="6"/>
        <v>0.129432936752259</v>
      </c>
      <c r="L14" s="18">
        <f t="shared" si="6"/>
        <v>0.12835030979478701</v>
      </c>
      <c r="N14" s="19">
        <f>$Q$4</f>
        <v>0.26706765446601199</v>
      </c>
    </row>
    <row r="16" spans="1:17" ht="14.25" customHeight="1" x14ac:dyDescent="0.3">
      <c r="A16" t="s">
        <v>2130</v>
      </c>
      <c r="L16" s="17">
        <f>N13/(Q3-Q2)</f>
        <v>6327.2938325517298</v>
      </c>
    </row>
    <row r="18" spans="1:17" ht="14.25" customHeight="1" x14ac:dyDescent="0.3">
      <c r="A18" t="s">
        <v>2131</v>
      </c>
      <c r="C18">
        <f t="shared" ref="C18:L18" si="7">1/(1+$Q$3)^C1</f>
        <v>0.86973554714006096</v>
      </c>
      <c r="D18">
        <f t="shared" si="7"/>
        <v>0.75643992195902099</v>
      </c>
      <c r="E18">
        <f t="shared" si="7"/>
        <v>0.65790268940361296</v>
      </c>
      <c r="F18">
        <f t="shared" si="7"/>
        <v>0.57220135553336904</v>
      </c>
      <c r="G18">
        <f t="shared" si="7"/>
        <v>0.49766385902909899</v>
      </c>
      <c r="H18">
        <f t="shared" si="7"/>
        <v>0.43283594872450698</v>
      </c>
      <c r="I18">
        <f t="shared" si="7"/>
        <v>0.376452810685797</v>
      </c>
      <c r="J18">
        <f t="shared" si="7"/>
        <v>0.327414391274225</v>
      </c>
      <c r="K18">
        <f t="shared" si="7"/>
        <v>0.28476393473641798</v>
      </c>
      <c r="L18">
        <f t="shared" si="7"/>
        <v>0.24766931658373501</v>
      </c>
    </row>
    <row r="20" spans="1:17" ht="14.25" customHeight="1" x14ac:dyDescent="0.3">
      <c r="A20" t="s">
        <v>2132</v>
      </c>
      <c r="C20" s="5">
        <f>SUMPRODUCT(C18:L18,C13:L13)</f>
        <v>3065.1398059796802</v>
      </c>
    </row>
    <row r="21" spans="1:17" ht="14.25" customHeight="1" x14ac:dyDescent="0.3">
      <c r="A21" t="s">
        <v>2133</v>
      </c>
      <c r="C21" s="12">
        <f>L16*L18</f>
        <v>1567.0765393325701</v>
      </c>
    </row>
    <row r="22" spans="1:17" ht="14.25" customHeight="1" x14ac:dyDescent="0.3">
      <c r="C22" s="12"/>
      <c r="H22" s="343" t="s">
        <v>2134</v>
      </c>
      <c r="I22" s="344"/>
      <c r="J22" s="344"/>
      <c r="K22" s="344"/>
      <c r="L22" s="344"/>
    </row>
    <row r="23" spans="1:17" ht="24" customHeight="1" x14ac:dyDescent="0.3">
      <c r="A23" s="10" t="s">
        <v>2135</v>
      </c>
      <c r="C23" s="17">
        <f>C20+C21</f>
        <v>4632.2163453122403</v>
      </c>
      <c r="H23" s="20" t="s">
        <v>2136</v>
      </c>
      <c r="I23" s="21"/>
      <c r="J23" s="21"/>
      <c r="K23" s="21"/>
      <c r="L23" s="21"/>
    </row>
    <row r="24" spans="1:17" ht="14.25" customHeight="1" x14ac:dyDescent="0.3">
      <c r="A24" s="22" t="s">
        <v>2137</v>
      </c>
      <c r="C24" s="7">
        <f>'consolidated balance sheet'!E40</f>
        <v>267.13</v>
      </c>
      <c r="H24" s="23">
        <f>C30</f>
        <v>46.078986419332203</v>
      </c>
      <c r="I24" s="24">
        <f>J24-1%</f>
        <v>0.12977478302259399</v>
      </c>
      <c r="J24" s="24">
        <f>K24-1%</f>
        <v>0.139774783022594</v>
      </c>
      <c r="K24" s="24">
        <f>$Q$3</f>
        <v>0.149774783022594</v>
      </c>
      <c r="L24" s="24">
        <f>K24+1%</f>
        <v>0.15977478302259401</v>
      </c>
      <c r="M24" s="24">
        <f>L24+1%</f>
        <v>0.16977478302259399</v>
      </c>
    </row>
    <row r="25" spans="1:17" ht="14.25" customHeight="1" x14ac:dyDescent="0.3">
      <c r="A25" s="22" t="s">
        <v>2138</v>
      </c>
      <c r="C25" s="7">
        <f>'consolidated balance sheet'!E14+'consolidated balance sheet'!E20</f>
        <v>1.27</v>
      </c>
      <c r="H25" s="25">
        <f>H26-1%</f>
        <v>0.02</v>
      </c>
      <c r="P25" s="13"/>
      <c r="Q25" s="13"/>
    </row>
    <row r="26" spans="1:17" ht="14.25" customHeight="1" x14ac:dyDescent="0.3">
      <c r="A26" s="22" t="s">
        <v>2139</v>
      </c>
      <c r="C26" s="7">
        <f>'consolidated balance sheet'!E12</f>
        <v>1913.31</v>
      </c>
      <c r="H26" s="25">
        <f>H27-1%</f>
        <v>0.03</v>
      </c>
      <c r="P26" s="13"/>
      <c r="Q26" s="26"/>
    </row>
    <row r="27" spans="1:17" ht="15" customHeight="1" x14ac:dyDescent="0.3">
      <c r="A27" s="27" t="s">
        <v>2140</v>
      </c>
      <c r="B27" s="28"/>
      <c r="C27" s="29">
        <f>C23+C24-C25-C26</f>
        <v>2984.76634531224</v>
      </c>
      <c r="H27" s="25">
        <f>$Q$2</f>
        <v>0.04</v>
      </c>
      <c r="K27" s="30"/>
      <c r="P27" s="13"/>
      <c r="Q27" s="31"/>
    </row>
    <row r="28" spans="1:17" ht="15" customHeight="1" x14ac:dyDescent="0.3">
      <c r="H28" s="25">
        <f>H27+1%</f>
        <v>0.05</v>
      </c>
      <c r="P28" s="13"/>
      <c r="Q28" s="13"/>
    </row>
    <row r="29" spans="1:17" ht="14.25" customHeight="1" x14ac:dyDescent="0.3">
      <c r="A29" s="22" t="s">
        <v>2141</v>
      </c>
      <c r="C29" s="12">
        <f>'Relative valuation'!C5</f>
        <v>64.775000000000006</v>
      </c>
      <c r="H29" s="25">
        <f>H28+1%</f>
        <v>0.06</v>
      </c>
      <c r="P29" s="13"/>
      <c r="Q29" s="13"/>
    </row>
    <row r="30" spans="1:17" ht="15" customHeight="1" x14ac:dyDescent="0.3">
      <c r="A30" s="27" t="s">
        <v>2142</v>
      </c>
      <c r="B30" s="28"/>
      <c r="C30" s="32">
        <f>C27/C29</f>
        <v>46.078986419332203</v>
      </c>
      <c r="E30" s="27"/>
    </row>
    <row r="31" spans="1:17" ht="15" customHeight="1" x14ac:dyDescent="0.3"/>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9"/>
  <sheetViews>
    <sheetView showGridLines="0" workbookViewId="0">
      <selection activeCell="D21" sqref="D21"/>
    </sheetView>
  </sheetViews>
  <sheetFormatPr defaultColWidth="8.6640625" defaultRowHeight="14.4" x14ac:dyDescent="0.3"/>
  <cols>
    <col min="1" max="1" width="45" customWidth="1"/>
    <col min="2" max="2" width="15" customWidth="1"/>
    <col min="3" max="3" width="45" customWidth="1"/>
    <col min="4" max="6" width="15" customWidth="1"/>
  </cols>
  <sheetData>
    <row r="1" spans="1:5" ht="15" customHeight="1" x14ac:dyDescent="0.3">
      <c r="A1" s="1" t="s">
        <v>2143</v>
      </c>
    </row>
    <row r="2" spans="1:5" ht="15" customHeight="1" x14ac:dyDescent="0.3">
      <c r="A2" s="2" t="s">
        <v>2144</v>
      </c>
    </row>
    <row r="4" spans="1:5" ht="15" customHeight="1" x14ac:dyDescent="0.3">
      <c r="A4" s="1" t="s">
        <v>2145</v>
      </c>
    </row>
    <row r="5" spans="1:5" ht="15" customHeight="1" x14ac:dyDescent="0.3">
      <c r="A5" t="s">
        <v>2038</v>
      </c>
      <c r="B5" t="s">
        <v>2146</v>
      </c>
      <c r="C5" t="s">
        <v>2147</v>
      </c>
      <c r="D5" t="s">
        <v>2148</v>
      </c>
      <c r="E5" t="s">
        <v>2149</v>
      </c>
    </row>
    <row r="6" spans="1:5" ht="15" customHeight="1" x14ac:dyDescent="0.3">
      <c r="A6" t="s">
        <v>2150</v>
      </c>
      <c r="B6" s="3">
        <f>'consolidated P&amp;l '!B34</f>
        <v>205.78</v>
      </c>
      <c r="C6" s="3">
        <f>'consolidated P&amp;l '!C34</f>
        <v>193.16</v>
      </c>
      <c r="D6" s="3">
        <f>'consolidated P&amp;l '!D34</f>
        <v>245.21</v>
      </c>
      <c r="E6" s="3">
        <f>'consolidated P&amp;l '!E34</f>
        <v>310.20999999999998</v>
      </c>
    </row>
    <row r="7" spans="1:5" ht="15" customHeight="1" x14ac:dyDescent="0.3">
      <c r="A7" t="s">
        <v>2151</v>
      </c>
      <c r="B7">
        <f>'consolidated balance sheet'!B6/2</f>
        <v>64.355000000000004</v>
      </c>
      <c r="C7">
        <f>'consolidated balance sheet'!C6/2</f>
        <v>64.504999999999995</v>
      </c>
      <c r="D7">
        <f>'consolidated balance sheet'!D6/2</f>
        <v>64.564999999999998</v>
      </c>
      <c r="E7">
        <f>'consolidated balance sheet'!E6/2</f>
        <v>64.715000000000003</v>
      </c>
    </row>
    <row r="8" spans="1:5" ht="15" customHeight="1" x14ac:dyDescent="0.3">
      <c r="A8" t="s">
        <v>2152</v>
      </c>
      <c r="B8">
        <f>B6/B7</f>
        <v>3.19757594592495</v>
      </c>
      <c r="C8">
        <f>C6/C7</f>
        <v>2.9944965506549899</v>
      </c>
      <c r="D8">
        <f>D6/D7</f>
        <v>3.7978781073336898</v>
      </c>
      <c r="E8">
        <f>E6/E7</f>
        <v>4.7934791006721804</v>
      </c>
    </row>
    <row r="10" spans="1:5" ht="15" customHeight="1" x14ac:dyDescent="0.3">
      <c r="A10" s="1" t="s">
        <v>2153</v>
      </c>
    </row>
    <row r="11" spans="1:5" ht="15" customHeight="1" x14ac:dyDescent="0.3">
      <c r="A11" t="s">
        <v>2154</v>
      </c>
      <c r="C11">
        <f>(C8-B8)/B8</f>
        <v>-6.3510421239178896E-2</v>
      </c>
      <c r="D11">
        <f>(D8-C8)/C8</f>
        <v>0.26828601839697702</v>
      </c>
      <c r="E11">
        <f>(E8-D8)/D8</f>
        <v>0.26214664220423001</v>
      </c>
    </row>
    <row r="12" spans="1:5" ht="15" customHeight="1" x14ac:dyDescent="0.3">
      <c r="A12" t="s">
        <v>2155</v>
      </c>
      <c r="B12">
        <f>AVERAGE(C11:E11)</f>
        <v>0.15564074645400899</v>
      </c>
      <c r="C12" t="s">
        <v>2156</v>
      </c>
    </row>
    <row r="13" spans="1:5" ht="15" customHeight="1" x14ac:dyDescent="0.3">
      <c r="A13" t="s">
        <v>2157</v>
      </c>
      <c r="B13">
        <f>(E8/B8)^(1/3)-1</f>
        <v>0.14448469680852</v>
      </c>
      <c r="C13" t="s">
        <v>2158</v>
      </c>
    </row>
    <row r="14" spans="1:5" ht="15" customHeight="1" x14ac:dyDescent="0.3">
      <c r="A14" t="s">
        <v>2159</v>
      </c>
      <c r="B14" s="4">
        <f>Assumptions!B25</f>
        <v>0.15630796204070899</v>
      </c>
      <c r="C14" t="s">
        <v>2160</v>
      </c>
    </row>
    <row r="16" spans="1:5" ht="15" customHeight="1" x14ac:dyDescent="0.3">
      <c r="A16" s="1" t="s">
        <v>2161</v>
      </c>
      <c r="B16" s="1">
        <f>B13</f>
        <v>0.14448469680852</v>
      </c>
      <c r="C16" t="s">
        <v>2162</v>
      </c>
    </row>
    <row r="18" spans="1:3" ht="15" customHeight="1" x14ac:dyDescent="0.3">
      <c r="A18" s="1" t="s">
        <v>2163</v>
      </c>
    </row>
    <row r="19" spans="1:3" ht="15" customHeight="1" x14ac:dyDescent="0.3">
      <c r="A19" t="s">
        <v>2164</v>
      </c>
      <c r="B19" s="4">
        <f>Wacc!B10</f>
        <v>7.0699999999999999E-2</v>
      </c>
      <c r="C19" t="s">
        <v>2165</v>
      </c>
    </row>
    <row r="20" spans="1:3" ht="15" customHeight="1" x14ac:dyDescent="0.3">
      <c r="A20" t="s">
        <v>455</v>
      </c>
      <c r="B20" s="5">
        <f>Wacc!B11</f>
        <v>1.14735892430715</v>
      </c>
      <c r="C20" t="s">
        <v>2166</v>
      </c>
    </row>
    <row r="21" spans="1:3" ht="15" customHeight="1" x14ac:dyDescent="0.3">
      <c r="A21" t="s">
        <v>456</v>
      </c>
      <c r="B21" s="4">
        <f>Wacc!B12</f>
        <v>6.8500000000000005E-2</v>
      </c>
      <c r="C21" t="s">
        <v>2167</v>
      </c>
    </row>
    <row r="22" spans="1:3" ht="15" customHeight="1" x14ac:dyDescent="0.3">
      <c r="A22" s="1" t="s">
        <v>2168</v>
      </c>
      <c r="B22" s="6">
        <f>Wacc!B13</f>
        <v>0.14929408631503999</v>
      </c>
    </row>
    <row r="24" spans="1:3" ht="15" customHeight="1" x14ac:dyDescent="0.3">
      <c r="A24" s="1" t="s">
        <v>2169</v>
      </c>
    </row>
    <row r="25" spans="1:3" ht="15" customHeight="1" x14ac:dyDescent="0.3">
      <c r="A25" t="s">
        <v>2170</v>
      </c>
      <c r="B25" s="4">
        <f>B22</f>
        <v>0.14929408631503999</v>
      </c>
    </row>
    <row r="26" spans="1:3" ht="15" customHeight="1" x14ac:dyDescent="0.3">
      <c r="A26" t="s">
        <v>2171</v>
      </c>
      <c r="B26">
        <f>B16</f>
        <v>0.14448469680852</v>
      </c>
    </row>
    <row r="27" spans="1:3" ht="15" customHeight="1" x14ac:dyDescent="0.3">
      <c r="A27" t="s">
        <v>2172</v>
      </c>
      <c r="B27" s="4">
        <f>B25-B26</f>
        <v>4.80938950651927E-3</v>
      </c>
      <c r="C27" t="str">
        <f>IF(B27&gt;0,"Valid — model can proceed","INVALID — g cannot exceed Ke")</f>
        <v>Valid — model can proceed</v>
      </c>
    </row>
    <row r="29" spans="1:3" ht="15" customHeight="1" x14ac:dyDescent="0.3">
      <c r="A29" s="1" t="s">
        <v>2173</v>
      </c>
    </row>
    <row r="30" spans="1:3" ht="15" customHeight="1" x14ac:dyDescent="0.3">
      <c r="A30" t="s">
        <v>2174</v>
      </c>
      <c r="B30">
        <f>E8</f>
        <v>4.7934791006721804</v>
      </c>
      <c r="C30" t="s">
        <v>2175</v>
      </c>
    </row>
    <row r="31" spans="1:3" ht="15" customHeight="1" x14ac:dyDescent="0.3">
      <c r="A31" s="1" t="s">
        <v>2176</v>
      </c>
      <c r="B31" s="1">
        <f>B30*(1+B16)</f>
        <v>5.4860634751907797</v>
      </c>
      <c r="C31" t="s">
        <v>2177</v>
      </c>
    </row>
    <row r="33" spans="1:6" ht="15" customHeight="1" x14ac:dyDescent="0.3">
      <c r="A33" s="1" t="s">
        <v>2178</v>
      </c>
    </row>
    <row r="34" spans="1:6" ht="15" customHeight="1" x14ac:dyDescent="0.3">
      <c r="A34" t="s">
        <v>2179</v>
      </c>
    </row>
    <row r="35" spans="1:6" ht="15.75" customHeight="1" x14ac:dyDescent="0.3">
      <c r="A35" s="1" t="s">
        <v>2180</v>
      </c>
      <c r="B35" s="1">
        <f>B31/(B25-B26)</f>
        <v>1140.6985164654</v>
      </c>
    </row>
    <row r="36" spans="1:6" ht="15" customHeight="1" x14ac:dyDescent="0.3">
      <c r="A36" t="s">
        <v>2181</v>
      </c>
      <c r="B36" s="7">
        <f>'Relative valuation'!B5</f>
        <v>988</v>
      </c>
      <c r="C36" t="s">
        <v>2182</v>
      </c>
    </row>
    <row r="37" spans="1:6" ht="15" customHeight="1" x14ac:dyDescent="0.3">
      <c r="A37" t="s">
        <v>2183</v>
      </c>
      <c r="B37">
        <f>(B36-B35)/B35</f>
        <v>-0.13386404405833099</v>
      </c>
      <c r="C37" t="str">
        <f>IF(B36&gt;B35,"Stock is OVERVALUED vs GGM","Stock is UNDERVALUED vs GGM")</f>
        <v>Stock is UNDERVALUED vs GGM</v>
      </c>
    </row>
    <row r="39" spans="1:6" ht="15" customHeight="1" x14ac:dyDescent="0.3">
      <c r="A39" s="1" t="s">
        <v>2184</v>
      </c>
    </row>
    <row r="40" spans="1:6" ht="15" customHeight="1" x14ac:dyDescent="0.3">
      <c r="A40" s="1" t="s">
        <v>2185</v>
      </c>
      <c r="B40" s="6">
        <f>B22-0.02</f>
        <v>0.12929408631504</v>
      </c>
      <c r="C40" s="6">
        <f>B22-0.01</f>
        <v>0.13929408631504001</v>
      </c>
      <c r="D40" s="6">
        <f>B22</f>
        <v>0.14929408631503999</v>
      </c>
      <c r="E40" s="6">
        <f>B22+0.01</f>
        <v>0.15929408631504</v>
      </c>
      <c r="F40" s="6">
        <f>B22+0.02</f>
        <v>0.16929408631504</v>
      </c>
    </row>
    <row r="41" spans="1:6" ht="15" customHeight="1" x14ac:dyDescent="0.3">
      <c r="A41" s="1">
        <f>B16-0.01</f>
        <v>0.13448469680851999</v>
      </c>
      <c r="B41">
        <f>B31/(B22+-0.02-(B16+-0.01))</f>
        <v>-1056.9206612750399</v>
      </c>
      <c r="C41">
        <f>B31/(B22+-0.01-(B16+-0.01))</f>
        <v>1140.6985164654</v>
      </c>
      <c r="D41">
        <f>B31/(B22-(B16+-0.01))</f>
        <v>370.44494459246602</v>
      </c>
      <c r="E41">
        <f>B31/(B22+0.01-(B16+-0.01))</f>
        <v>221.12851562708499</v>
      </c>
      <c r="F41">
        <f>B31/(B22+0.02-(B16+-0.01))</f>
        <v>157.60297876420199</v>
      </c>
    </row>
    <row r="42" spans="1:6" ht="15" customHeight="1" x14ac:dyDescent="0.3">
      <c r="A42" s="1">
        <f>B16</f>
        <v>0.14448469680852</v>
      </c>
      <c r="B42">
        <f>B31/(B22+-0.02-(B16))</f>
        <v>-361.14832103325898</v>
      </c>
      <c r="C42">
        <f>B31/(B22+-0.01-(B16))</f>
        <v>-1056.9206612750299</v>
      </c>
      <c r="D42">
        <f>B31/(B22-(B16))</f>
        <v>1140.6985164654</v>
      </c>
      <c r="E42">
        <f>B31/(B22+0.01-(B16))</f>
        <v>370.44494459246602</v>
      </c>
      <c r="F42">
        <f>B31/(B22+0.02-(B16))</f>
        <v>221.12851562708499</v>
      </c>
    </row>
    <row r="43" spans="1:6" ht="15" customHeight="1" x14ac:dyDescent="0.3">
      <c r="A43" s="1">
        <f>B16+0.01</f>
        <v>0.15448469680852001</v>
      </c>
      <c r="B43">
        <f>B31/(B22+-0.02-(B16+0.01))</f>
        <v>-217.78207704059199</v>
      </c>
      <c r="C43">
        <f>B31/(B22+-0.01-(B16+0.01))</f>
        <v>-361.14832103325898</v>
      </c>
      <c r="D43">
        <f>B31/(B22-(B16+0.01))</f>
        <v>-1056.9206612750299</v>
      </c>
      <c r="E43">
        <f>B31/(B22+0.01-(B16+0.01))</f>
        <v>1140.6985164654</v>
      </c>
      <c r="F43">
        <f>B31/(B22+0.02-(B16+0.01))</f>
        <v>370.44494459246602</v>
      </c>
    </row>
    <row r="44" spans="1:6" ht="15" customHeight="1" x14ac:dyDescent="0.3">
      <c r="A44" s="1">
        <f>B16+0.02</f>
        <v>0.16448469680851999</v>
      </c>
      <c r="B44">
        <f>B31/(B22+-0.02-(B16+0.02))</f>
        <v>-155.895660753231</v>
      </c>
      <c r="C44">
        <f>B31/(B22+-0.01-(B16+0.02))</f>
        <v>-217.78207704059199</v>
      </c>
      <c r="D44">
        <f>B31/(B22-(B16+0.02))</f>
        <v>-361.14832103325898</v>
      </c>
      <c r="E44">
        <f>B31/(B22+0.01-(B16+0.02))</f>
        <v>-1056.9206612750399</v>
      </c>
      <c r="F44">
        <f>B31/(B22+0.02-(B16+0.02))</f>
        <v>1140.6985164654</v>
      </c>
    </row>
    <row r="45" spans="1:6" ht="15" customHeight="1" x14ac:dyDescent="0.3">
      <c r="A45" s="1">
        <f>B16+0.03</f>
        <v>0.17448469680852</v>
      </c>
      <c r="B45">
        <f>B31/(B22+-0.02-(B16+0.03))</f>
        <v>-121.398304100853</v>
      </c>
      <c r="C45">
        <f>B31/(B22+-0.01-(B16+0.03))</f>
        <v>-155.895660753231</v>
      </c>
      <c r="D45">
        <f>B31/(B22-(B16+0.03))</f>
        <v>-217.78207704059199</v>
      </c>
      <c r="E45">
        <f>B31/(B22+0.01-(B16+0.03))</f>
        <v>-361.14832103325898</v>
      </c>
      <c r="F45">
        <f>B31/(B22+0.02-(B16+0.03))</f>
        <v>-1056.9206612750299</v>
      </c>
    </row>
    <row r="47" spans="1:6" x14ac:dyDescent="0.3">
      <c r="A47" s="2"/>
    </row>
    <row r="48" spans="1:6" x14ac:dyDescent="0.3">
      <c r="A48" s="2"/>
    </row>
    <row r="49" spans="1:1" x14ac:dyDescent="0.3">
      <c r="A49" s="2"/>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About the Company</vt:lpstr>
      <vt:lpstr>Promoter</vt:lpstr>
      <vt:lpstr>Public</vt:lpstr>
      <vt:lpstr>consolidated balance sheet</vt:lpstr>
      <vt:lpstr>consolidated P&amp;l </vt:lpstr>
      <vt:lpstr>Consolidated Quarterly Results</vt:lpstr>
      <vt:lpstr>cash flow statement </vt:lpstr>
      <vt:lpstr>Ratio Analysis</vt:lpstr>
      <vt:lpstr>FCFF</vt:lpstr>
      <vt:lpstr>Fixed Asset scheduled</vt:lpstr>
      <vt:lpstr>Change in working capital</vt:lpstr>
      <vt:lpstr>Assumptions</vt:lpstr>
      <vt:lpstr>Wacc</vt:lpstr>
      <vt:lpstr>Beta</vt:lpstr>
      <vt:lpstr>FORECASTING</vt:lpstr>
      <vt:lpstr>Relative valuation</vt:lpstr>
      <vt:lpstr>Growth scenario</vt:lpstr>
      <vt:lpstr>DCF Valuation</vt:lpstr>
      <vt:lpstr>Gordon Growth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 KUSHWAHA</dc:creator>
  <cp:lastModifiedBy>PRATHAM KUSHWAHA</cp:lastModifiedBy>
  <cp:revision>0</cp:revision>
  <dcterms:created xsi:type="dcterms:W3CDTF">2026-06-01T09:27:00Z</dcterms:created>
  <dcterms:modified xsi:type="dcterms:W3CDTF">2026-06-29T05:48:09Z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33E2703BB3CF4E9C8A8CAFD66AEDAF38_12</vt:lpwstr>
  </property>
  <property fmtid="{D5CDD505-2E9C-101B-9397-08002B2CF9AE}" pid="3" name="KSOProductBuildVer">
    <vt:lpwstr>1033-12.1.0.26880</vt:lpwstr>
  </property>
  <property fmtid="{D5CDD505-2E9C-101B-9397-08002B2CF9AE}" pid="4" name="CalculationRule">
    <vt:i4>0</vt:i4>
  </property>
</Properties>
</file>