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PRATHAM\Downloads\CSA ADVISOR\"/>
    </mc:Choice>
  </mc:AlternateContent>
  <xr:revisionPtr revIDLastSave="0" documentId="13_ncr:1_{14E7C009-3272-465F-9453-9FA2E8983157}" xr6:coauthVersionLast="47" xr6:coauthVersionMax="47" xr10:uidLastSave="{00000000-0000-0000-0000-000000000000}"/>
  <bookViews>
    <workbookView xWindow="-108" yWindow="-108" windowWidth="23256" windowHeight="12456" tabRatio="500" firstSheet="17" activeTab="22" xr2:uid="{00000000-000D-0000-FFFF-FFFF00000000}"/>
  </bookViews>
  <sheets>
    <sheet name="About the Company" sheetId="1" r:id="rId1"/>
    <sheet name="Promoter" sheetId="2" r:id="rId2"/>
    <sheet name="Public" sheetId="3" r:id="rId3"/>
    <sheet name="Standalone Quarterly Results" sheetId="4" r:id="rId4"/>
    <sheet name="Consolidated Quarterly Results" sheetId="5" r:id="rId5"/>
    <sheet name="Standalone balance sheet" sheetId="6" r:id="rId6"/>
    <sheet name="Standalone P&amp;L " sheetId="7" r:id="rId7"/>
    <sheet name="Consolidated Balance sheet" sheetId="8" r:id="rId8"/>
    <sheet name="Consolidated P&amp;L" sheetId="9" r:id="rId9"/>
    <sheet name="Peers" sheetId="10" r:id="rId10"/>
    <sheet name="Stock Analysis" sheetId="11" r:id="rId11"/>
    <sheet name="Beta" sheetId="12" r:id="rId12"/>
    <sheet name="Ratio Analysis" sheetId="13" r:id="rId13"/>
    <sheet name="FCFF" sheetId="14" r:id="rId14"/>
    <sheet name="Change in working Capital" sheetId="15" r:id="rId15"/>
    <sheet name="Fixed Asset Scheduled" sheetId="16" r:id="rId16"/>
    <sheet name="Forecasting" sheetId="17" r:id="rId17"/>
    <sheet name="Assumptions" sheetId="18" r:id="rId18"/>
    <sheet name="Growth scenario" sheetId="19" r:id="rId19"/>
    <sheet name="Historical FS" sheetId="20" r:id="rId20"/>
    <sheet name="WACC" sheetId="21" r:id="rId21"/>
    <sheet name="DCF Valuation" sheetId="22" r:id="rId22"/>
    <sheet name="Relative Valuation" sheetId="23" r:id="rId23"/>
  </sheets>
  <calcPr calcId="181029" iterateDelta="1E-4"/>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3" i="22" l="1"/>
  <c r="P21" i="23" l="1"/>
  <c r="K16" i="23"/>
  <c r="K17" i="23" s="1"/>
  <c r="K18" i="23" s="1"/>
  <c r="I12" i="23"/>
  <c r="H12" i="23"/>
  <c r="G12" i="23"/>
  <c r="F12" i="23"/>
  <c r="E12" i="23"/>
  <c r="D12" i="23"/>
  <c r="C12" i="23"/>
  <c r="B12" i="23"/>
  <c r="I11" i="23"/>
  <c r="H11" i="23"/>
  <c r="G11" i="23"/>
  <c r="F11" i="23"/>
  <c r="E11" i="23"/>
  <c r="D11" i="23"/>
  <c r="C11" i="23"/>
  <c r="B11" i="23"/>
  <c r="M10" i="23"/>
  <c r="L10" i="23"/>
  <c r="K10" i="23"/>
  <c r="J10" i="23"/>
  <c r="M9" i="23"/>
  <c r="L9" i="23"/>
  <c r="K9" i="23"/>
  <c r="J9" i="23"/>
  <c r="M8" i="23"/>
  <c r="L8" i="23"/>
  <c r="K8" i="23"/>
  <c r="J8" i="23"/>
  <c r="M7" i="23"/>
  <c r="M11" i="23" s="1"/>
  <c r="L7" i="23"/>
  <c r="L11" i="23" s="1"/>
  <c r="B17" i="23" s="1"/>
  <c r="E17" i="23" s="1"/>
  <c r="K7" i="23"/>
  <c r="K11" i="23" s="1"/>
  <c r="B16" i="23" s="1"/>
  <c r="E16" i="23" s="1"/>
  <c r="J7" i="23"/>
  <c r="M6" i="23"/>
  <c r="M12" i="23" s="1"/>
  <c r="L6" i="23"/>
  <c r="P25" i="23" s="1"/>
  <c r="K6" i="23"/>
  <c r="J6" i="23"/>
  <c r="I5" i="23"/>
  <c r="J5" i="23" s="1"/>
  <c r="D18" i="23" s="1"/>
  <c r="H5" i="23"/>
  <c r="G5" i="23"/>
  <c r="F5" i="23"/>
  <c r="C5" i="23"/>
  <c r="D5" i="23" s="1"/>
  <c r="H27" i="22"/>
  <c r="H28" i="22" s="1"/>
  <c r="H29" i="22" s="1"/>
  <c r="C26" i="22"/>
  <c r="C25" i="22"/>
  <c r="K24" i="22"/>
  <c r="J24" i="22" s="1"/>
  <c r="I24" i="22" s="1"/>
  <c r="C24" i="22"/>
  <c r="L18" i="22"/>
  <c r="K18" i="22"/>
  <c r="J18" i="22"/>
  <c r="I18" i="22"/>
  <c r="H18" i="22"/>
  <c r="G18" i="22"/>
  <c r="F18" i="22"/>
  <c r="E18" i="22"/>
  <c r="D18" i="22"/>
  <c r="C18" i="22"/>
  <c r="L16" i="22"/>
  <c r="L14" i="22"/>
  <c r="K14" i="22"/>
  <c r="J14" i="22"/>
  <c r="I14" i="22"/>
  <c r="H14" i="22"/>
  <c r="G14" i="22"/>
  <c r="F14" i="22"/>
  <c r="E14" i="22"/>
  <c r="D14" i="22"/>
  <c r="C14" i="22"/>
  <c r="L13" i="22"/>
  <c r="K13" i="22"/>
  <c r="J13" i="22"/>
  <c r="I13" i="22"/>
  <c r="H13" i="22"/>
  <c r="G13" i="22"/>
  <c r="F13" i="22"/>
  <c r="E13" i="22"/>
  <c r="D13" i="22"/>
  <c r="C13" i="22"/>
  <c r="L12" i="22"/>
  <c r="K12" i="22"/>
  <c r="J12" i="22"/>
  <c r="I12" i="22"/>
  <c r="H12" i="22"/>
  <c r="G12" i="22"/>
  <c r="F12" i="22"/>
  <c r="E12" i="22"/>
  <c r="D12" i="22"/>
  <c r="C12" i="22"/>
  <c r="L11" i="22"/>
  <c r="K11" i="22"/>
  <c r="J11" i="22"/>
  <c r="I11" i="22"/>
  <c r="H11" i="22"/>
  <c r="G11" i="22"/>
  <c r="F11" i="22"/>
  <c r="E11" i="22"/>
  <c r="D11" i="22"/>
  <c r="C11" i="22"/>
  <c r="L10" i="22"/>
  <c r="K10" i="22"/>
  <c r="J10" i="22"/>
  <c r="I10" i="22"/>
  <c r="H10" i="22"/>
  <c r="G10" i="22"/>
  <c r="F10" i="22"/>
  <c r="E10" i="22"/>
  <c r="D10" i="22"/>
  <c r="C10" i="22"/>
  <c r="B10" i="22"/>
  <c r="L9" i="22"/>
  <c r="K9" i="22"/>
  <c r="J9" i="22"/>
  <c r="I9" i="22"/>
  <c r="H9" i="22"/>
  <c r="G9" i="22"/>
  <c r="F9" i="22"/>
  <c r="E9" i="22"/>
  <c r="D9" i="22"/>
  <c r="C9" i="22"/>
  <c r="L8" i="22"/>
  <c r="K8" i="22"/>
  <c r="J8" i="22"/>
  <c r="I8" i="22"/>
  <c r="H8" i="22"/>
  <c r="G8" i="22"/>
  <c r="F8" i="22"/>
  <c r="E8" i="22"/>
  <c r="D8" i="22"/>
  <c r="C8" i="22"/>
  <c r="L7" i="22"/>
  <c r="K7" i="22"/>
  <c r="J7" i="22"/>
  <c r="I7" i="22"/>
  <c r="H7" i="22"/>
  <c r="G7" i="22"/>
  <c r="F7" i="22"/>
  <c r="E7" i="22"/>
  <c r="D7" i="22"/>
  <c r="C7" i="22"/>
  <c r="N6" i="22"/>
  <c r="L6" i="22"/>
  <c r="K6" i="22"/>
  <c r="J6" i="22"/>
  <c r="I6" i="22"/>
  <c r="H6" i="22"/>
  <c r="G6" i="22"/>
  <c r="F6" i="22"/>
  <c r="E6" i="22"/>
  <c r="D6" i="22"/>
  <c r="C6" i="22"/>
  <c r="L5" i="22"/>
  <c r="K5" i="22"/>
  <c r="J5" i="22"/>
  <c r="I5" i="22"/>
  <c r="H5" i="22"/>
  <c r="G5" i="22"/>
  <c r="F5" i="22"/>
  <c r="E5" i="22"/>
  <c r="D5" i="22"/>
  <c r="C5" i="22"/>
  <c r="Q4" i="22"/>
  <c r="N14" i="22" s="1"/>
  <c r="N4" i="22"/>
  <c r="L4" i="22"/>
  <c r="K4" i="22"/>
  <c r="J4" i="22"/>
  <c r="I4" i="22"/>
  <c r="H4" i="22"/>
  <c r="G4" i="22"/>
  <c r="F4" i="22"/>
  <c r="E4" i="22"/>
  <c r="D4" i="22"/>
  <c r="C4" i="22"/>
  <c r="N3" i="22"/>
  <c r="N5" i="22" s="1"/>
  <c r="N7" i="22" s="1"/>
  <c r="L3" i="22"/>
  <c r="K3" i="22"/>
  <c r="J3" i="22"/>
  <c r="I3" i="22"/>
  <c r="H3" i="22"/>
  <c r="G3" i="22"/>
  <c r="F3" i="22"/>
  <c r="E3" i="22"/>
  <c r="D3" i="22"/>
  <c r="C3" i="22"/>
  <c r="B3" i="22"/>
  <c r="E28" i="21"/>
  <c r="C28" i="21"/>
  <c r="E27" i="21"/>
  <c r="D27" i="21"/>
  <c r="C27" i="21"/>
  <c r="E26" i="21"/>
  <c r="D26" i="21"/>
  <c r="C26" i="21"/>
  <c r="C22" i="21"/>
  <c r="C21" i="21"/>
  <c r="C20" i="21"/>
  <c r="C19" i="21"/>
  <c r="C18" i="21"/>
  <c r="C15" i="21"/>
  <c r="C13" i="21"/>
  <c r="C9" i="21"/>
  <c r="C8" i="21"/>
  <c r="C7" i="21"/>
  <c r="C6" i="21"/>
  <c r="C5" i="21"/>
  <c r="C4" i="21"/>
  <c r="L19" i="19"/>
  <c r="K19" i="19"/>
  <c r="J19" i="19"/>
  <c r="I19" i="19"/>
  <c r="H19" i="19"/>
  <c r="G19" i="19"/>
  <c r="F19" i="19"/>
  <c r="E19" i="19"/>
  <c r="D19" i="19"/>
  <c r="C19" i="19"/>
  <c r="L18" i="19"/>
  <c r="K18" i="19"/>
  <c r="J18" i="19"/>
  <c r="I18" i="19"/>
  <c r="H18" i="19"/>
  <c r="G18" i="19"/>
  <c r="F18" i="19"/>
  <c r="E18" i="19"/>
  <c r="D18" i="19"/>
  <c r="C18" i="19"/>
  <c r="B18" i="19"/>
  <c r="L14" i="19"/>
  <c r="K14" i="19"/>
  <c r="J14" i="19"/>
  <c r="I14" i="19"/>
  <c r="H14" i="19"/>
  <c r="G14" i="19"/>
  <c r="F14" i="19"/>
  <c r="E14" i="19"/>
  <c r="D14" i="19"/>
  <c r="C14" i="19"/>
  <c r="P13" i="19"/>
  <c r="O13" i="19"/>
  <c r="N13" i="19"/>
  <c r="L13" i="19"/>
  <c r="K13" i="19"/>
  <c r="J13" i="19"/>
  <c r="I13" i="19"/>
  <c r="H13" i="19"/>
  <c r="G13" i="19"/>
  <c r="F13" i="19"/>
  <c r="E13" i="19"/>
  <c r="D13" i="19"/>
  <c r="C13" i="19"/>
  <c r="B13" i="19"/>
  <c r="N12" i="19"/>
  <c r="L9" i="19"/>
  <c r="K9" i="19"/>
  <c r="J9" i="19"/>
  <c r="I9" i="19"/>
  <c r="H9" i="19"/>
  <c r="G9" i="19"/>
  <c r="F9" i="19"/>
  <c r="E9" i="19"/>
  <c r="D9" i="19"/>
  <c r="C9" i="19"/>
  <c r="P8" i="19"/>
  <c r="O8" i="19"/>
  <c r="N8" i="19"/>
  <c r="L8" i="19"/>
  <c r="K8" i="19"/>
  <c r="J8" i="19"/>
  <c r="I8" i="19"/>
  <c r="H8" i="19"/>
  <c r="G8" i="19"/>
  <c r="F8" i="19"/>
  <c r="E8" i="19"/>
  <c r="D8" i="19"/>
  <c r="C8" i="19"/>
  <c r="B8" i="19"/>
  <c r="N7" i="19"/>
  <c r="P4" i="19"/>
  <c r="O4" i="19"/>
  <c r="N4" i="19"/>
  <c r="L4" i="19"/>
  <c r="K4" i="19"/>
  <c r="J4" i="19"/>
  <c r="I4" i="19"/>
  <c r="H4" i="19"/>
  <c r="G4" i="19"/>
  <c r="F4" i="19"/>
  <c r="E4" i="19"/>
  <c r="D4" i="19"/>
  <c r="C4" i="19"/>
  <c r="M3" i="19"/>
  <c r="L3" i="19"/>
  <c r="K3" i="19"/>
  <c r="J3" i="19"/>
  <c r="I3" i="19"/>
  <c r="H3" i="19"/>
  <c r="G3" i="19"/>
  <c r="F3" i="19"/>
  <c r="E3" i="19"/>
  <c r="D3" i="19"/>
  <c r="C3" i="19"/>
  <c r="B3" i="19"/>
  <c r="B48" i="18"/>
  <c r="F45" i="18"/>
  <c r="E45" i="18"/>
  <c r="D45" i="18"/>
  <c r="C45" i="18"/>
  <c r="B45" i="18"/>
  <c r="F44" i="18"/>
  <c r="E44" i="18"/>
  <c r="D44" i="18"/>
  <c r="C44" i="18"/>
  <c r="B44" i="18"/>
  <c r="F42" i="18"/>
  <c r="E42" i="18"/>
  <c r="D42" i="18"/>
  <c r="C42" i="18"/>
  <c r="B42" i="18"/>
  <c r="F41" i="18"/>
  <c r="E41" i="18"/>
  <c r="D41" i="18"/>
  <c r="C41" i="18"/>
  <c r="B41" i="18"/>
  <c r="F40" i="18"/>
  <c r="E40" i="18"/>
  <c r="D40" i="18"/>
  <c r="C40" i="18"/>
  <c r="B40" i="18"/>
  <c r="F39" i="18"/>
  <c r="E39" i="18"/>
  <c r="D39" i="18"/>
  <c r="C39" i="18"/>
  <c r="B39" i="18"/>
  <c r="F38" i="18"/>
  <c r="E38" i="18"/>
  <c r="D38" i="18"/>
  <c r="C38" i="18"/>
  <c r="B38" i="18"/>
  <c r="F35" i="18"/>
  <c r="E35" i="18"/>
  <c r="D35" i="18"/>
  <c r="C35" i="18"/>
  <c r="G34" i="18"/>
  <c r="F34" i="18"/>
  <c r="E34" i="18"/>
  <c r="D34" i="18"/>
  <c r="C34" i="18"/>
  <c r="B34" i="18"/>
  <c r="F31" i="18"/>
  <c r="E31" i="18"/>
  <c r="D31" i="18"/>
  <c r="C31" i="18"/>
  <c r="B31" i="18"/>
  <c r="F30" i="18"/>
  <c r="E30" i="18"/>
  <c r="D30" i="18"/>
  <c r="C30" i="18"/>
  <c r="B30" i="18"/>
  <c r="F29" i="18"/>
  <c r="E29" i="18"/>
  <c r="D29" i="18"/>
  <c r="C29" i="18"/>
  <c r="B29" i="18"/>
  <c r="F28" i="18"/>
  <c r="E28" i="18"/>
  <c r="D28" i="18"/>
  <c r="C28" i="18"/>
  <c r="B28" i="18"/>
  <c r="C25" i="18"/>
  <c r="B25" i="18"/>
  <c r="B24" i="18"/>
  <c r="F17" i="18"/>
  <c r="E17" i="18"/>
  <c r="D17" i="18"/>
  <c r="C17" i="18"/>
  <c r="B17" i="18"/>
  <c r="F16" i="18"/>
  <c r="E16" i="18"/>
  <c r="D16" i="18"/>
  <c r="C16" i="18"/>
  <c r="B16" i="18"/>
  <c r="F15" i="18"/>
  <c r="E15" i="18"/>
  <c r="D15" i="18"/>
  <c r="C15" i="18"/>
  <c r="B15" i="18"/>
  <c r="F14" i="18"/>
  <c r="E14" i="18"/>
  <c r="D14" i="18"/>
  <c r="C14" i="18"/>
  <c r="B14" i="18"/>
  <c r="F13" i="18"/>
  <c r="E13" i="18"/>
  <c r="D13" i="18"/>
  <c r="C13" i="18"/>
  <c r="B13" i="18"/>
  <c r="F12" i="18"/>
  <c r="E12" i="18"/>
  <c r="D12" i="18"/>
  <c r="C12" i="18"/>
  <c r="B12" i="18"/>
  <c r="F11" i="18"/>
  <c r="E11" i="18"/>
  <c r="D11" i="18"/>
  <c r="C11" i="18"/>
  <c r="B11" i="18"/>
  <c r="F10" i="18"/>
  <c r="E10" i="18"/>
  <c r="D10" i="18"/>
  <c r="C10" i="18"/>
  <c r="B10" i="18"/>
  <c r="F9" i="18"/>
  <c r="E9" i="18"/>
  <c r="D9" i="18"/>
  <c r="C9" i="18"/>
  <c r="B9" i="18"/>
  <c r="F8" i="18"/>
  <c r="E8" i="18"/>
  <c r="D8" i="18"/>
  <c r="C8" i="18"/>
  <c r="B8" i="18"/>
  <c r="F7" i="18"/>
  <c r="E7" i="18"/>
  <c r="D7" i="18"/>
  <c r="C7" i="18"/>
  <c r="B7" i="18"/>
  <c r="F6" i="18"/>
  <c r="E6" i="18"/>
  <c r="D6" i="18"/>
  <c r="C6" i="18"/>
  <c r="B6" i="18"/>
  <c r="F5" i="18"/>
  <c r="E5" i="18"/>
  <c r="D5" i="18"/>
  <c r="C5" i="18"/>
  <c r="B5" i="18"/>
  <c r="F4" i="18"/>
  <c r="E4" i="18"/>
  <c r="D4" i="18"/>
  <c r="C4" i="18"/>
  <c r="F3" i="18"/>
  <c r="E3" i="18"/>
  <c r="D3" i="18"/>
  <c r="C3" i="18"/>
  <c r="B3" i="18"/>
  <c r="R14" i="17"/>
  <c r="Q14" i="17"/>
  <c r="P14" i="17"/>
  <c r="O14" i="17"/>
  <c r="M14" i="17"/>
  <c r="L14" i="17"/>
  <c r="K14" i="17"/>
  <c r="J14" i="17"/>
  <c r="H14" i="17"/>
  <c r="G14" i="17"/>
  <c r="F14" i="17"/>
  <c r="E14" i="17"/>
  <c r="R13" i="17"/>
  <c r="Q13" i="17"/>
  <c r="P13" i="17"/>
  <c r="O13" i="17"/>
  <c r="M13" i="17"/>
  <c r="L13" i="17"/>
  <c r="K13" i="17"/>
  <c r="J13" i="17"/>
  <c r="H13" i="17"/>
  <c r="G13" i="17"/>
  <c r="F13" i="17"/>
  <c r="E13" i="17"/>
  <c r="R12" i="17"/>
  <c r="Q12" i="17"/>
  <c r="P12" i="17"/>
  <c r="O12" i="17"/>
  <c r="M12" i="17"/>
  <c r="L12" i="17"/>
  <c r="K12" i="17"/>
  <c r="J12" i="17"/>
  <c r="H12" i="17"/>
  <c r="G12" i="17"/>
  <c r="F12" i="17"/>
  <c r="E12" i="17"/>
  <c r="R11" i="17"/>
  <c r="Q11" i="17"/>
  <c r="P11" i="17"/>
  <c r="O11" i="17"/>
  <c r="M11" i="17"/>
  <c r="L11" i="17"/>
  <c r="K11" i="17"/>
  <c r="J11" i="17"/>
  <c r="H11" i="17"/>
  <c r="G11" i="17"/>
  <c r="F11" i="17"/>
  <c r="E11" i="17"/>
  <c r="R10" i="17"/>
  <c r="Q10" i="17"/>
  <c r="P10" i="17"/>
  <c r="O10" i="17"/>
  <c r="M10" i="17"/>
  <c r="L10" i="17"/>
  <c r="K10" i="17"/>
  <c r="J10" i="17"/>
  <c r="H10" i="17"/>
  <c r="G10" i="17"/>
  <c r="F10" i="17"/>
  <c r="E10" i="17"/>
  <c r="R9" i="17"/>
  <c r="Q9" i="17"/>
  <c r="P9" i="17"/>
  <c r="O9" i="17"/>
  <c r="M9" i="17"/>
  <c r="L9" i="17"/>
  <c r="K9" i="17"/>
  <c r="J9" i="17"/>
  <c r="H9" i="17"/>
  <c r="G9" i="17"/>
  <c r="F9" i="17"/>
  <c r="E9" i="17"/>
  <c r="R8" i="17"/>
  <c r="Q8" i="17"/>
  <c r="P8" i="17"/>
  <c r="O8" i="17"/>
  <c r="M8" i="17"/>
  <c r="L8" i="17"/>
  <c r="K8" i="17"/>
  <c r="J8" i="17"/>
  <c r="H8" i="17"/>
  <c r="G8" i="17"/>
  <c r="F8" i="17"/>
  <c r="E8" i="17"/>
  <c r="R7" i="17"/>
  <c r="Q7" i="17"/>
  <c r="P7" i="17"/>
  <c r="O7" i="17"/>
  <c r="M7" i="17"/>
  <c r="L7" i="17"/>
  <c r="K7" i="17"/>
  <c r="J7" i="17"/>
  <c r="H7" i="17"/>
  <c r="G7" i="17"/>
  <c r="F7" i="17"/>
  <c r="E7" i="17"/>
  <c r="R6" i="17"/>
  <c r="Q6" i="17"/>
  <c r="P6" i="17"/>
  <c r="O6" i="17"/>
  <c r="M6" i="17"/>
  <c r="L6" i="17"/>
  <c r="K6" i="17"/>
  <c r="J6" i="17"/>
  <c r="H6" i="17"/>
  <c r="G6" i="17"/>
  <c r="F6" i="17"/>
  <c r="E6" i="17"/>
  <c r="Q5" i="17"/>
  <c r="P5" i="17"/>
  <c r="L5" i="17"/>
  <c r="K5" i="17"/>
  <c r="G5" i="17"/>
  <c r="F5" i="17"/>
  <c r="C12" i="16"/>
  <c r="C11" i="16"/>
  <c r="F9" i="16"/>
  <c r="E9" i="16"/>
  <c r="D9" i="16"/>
  <c r="C9" i="16"/>
  <c r="F8" i="16"/>
  <c r="E8" i="16"/>
  <c r="D8" i="16"/>
  <c r="C8" i="16"/>
  <c r="F6" i="16"/>
  <c r="E6" i="16"/>
  <c r="D6" i="16"/>
  <c r="C6" i="16"/>
  <c r="B6" i="16"/>
  <c r="F5" i="16"/>
  <c r="E5" i="16"/>
  <c r="D5" i="16"/>
  <c r="C5" i="16"/>
  <c r="B5" i="16"/>
  <c r="F4" i="16"/>
  <c r="E4" i="16"/>
  <c r="D4" i="16"/>
  <c r="C4" i="16"/>
  <c r="B4" i="16"/>
  <c r="F3" i="16"/>
  <c r="E3" i="16"/>
  <c r="D3" i="16"/>
  <c r="C3" i="16"/>
  <c r="F2" i="16"/>
  <c r="E2" i="16"/>
  <c r="D2" i="16"/>
  <c r="C2" i="16"/>
  <c r="C10" i="15"/>
  <c r="C9" i="15"/>
  <c r="F7" i="15"/>
  <c r="E7" i="15"/>
  <c r="D7" i="15"/>
  <c r="C7" i="15"/>
  <c r="F6" i="15"/>
  <c r="E6" i="15"/>
  <c r="D6" i="15"/>
  <c r="C6" i="15"/>
  <c r="F5" i="15"/>
  <c r="E5" i="15"/>
  <c r="D5" i="15"/>
  <c r="C5" i="15"/>
  <c r="B5" i="15"/>
  <c r="F4" i="15"/>
  <c r="E4" i="15"/>
  <c r="D4" i="15"/>
  <c r="C4" i="15"/>
  <c r="B4" i="15"/>
  <c r="F3" i="15"/>
  <c r="E3" i="15"/>
  <c r="D3" i="15"/>
  <c r="C3" i="15"/>
  <c r="B3" i="15"/>
  <c r="F2" i="15"/>
  <c r="E2" i="15"/>
  <c r="D2" i="15"/>
  <c r="C2" i="15"/>
  <c r="B2" i="15"/>
  <c r="C13" i="14"/>
  <c r="C12" i="14"/>
  <c r="F10" i="14"/>
  <c r="E10" i="14"/>
  <c r="D10" i="14"/>
  <c r="C10" i="14"/>
  <c r="F8" i="14"/>
  <c r="E8" i="14"/>
  <c r="D8" i="14"/>
  <c r="C8" i="14"/>
  <c r="F7" i="14"/>
  <c r="E7" i="14"/>
  <c r="D7" i="14"/>
  <c r="C7" i="14"/>
  <c r="F6" i="14"/>
  <c r="E6" i="14"/>
  <c r="D6" i="14"/>
  <c r="C6" i="14"/>
  <c r="F5" i="14"/>
  <c r="E5" i="14"/>
  <c r="D5" i="14"/>
  <c r="C5" i="14"/>
  <c r="F4" i="14"/>
  <c r="E4" i="14"/>
  <c r="D4" i="14"/>
  <c r="C4" i="14"/>
  <c r="B4" i="14"/>
  <c r="F3" i="14"/>
  <c r="E3" i="14"/>
  <c r="D3" i="14"/>
  <c r="C3" i="14"/>
  <c r="B3" i="14"/>
  <c r="F2" i="14"/>
  <c r="E2" i="14"/>
  <c r="D2" i="14"/>
  <c r="C2" i="14"/>
  <c r="B2" i="14"/>
  <c r="I40" i="13"/>
  <c r="H40" i="13"/>
  <c r="F40" i="13"/>
  <c r="E40" i="13"/>
  <c r="D40" i="13"/>
  <c r="C40" i="13"/>
  <c r="B40" i="13"/>
  <c r="I39" i="13"/>
  <c r="H39" i="13"/>
  <c r="F39" i="13"/>
  <c r="E39" i="13"/>
  <c r="D39" i="13"/>
  <c r="C39" i="13"/>
  <c r="B39" i="13"/>
  <c r="I38" i="13"/>
  <c r="H38" i="13"/>
  <c r="F38" i="13"/>
  <c r="E38" i="13"/>
  <c r="D38" i="13"/>
  <c r="C38" i="13"/>
  <c r="B38" i="13"/>
  <c r="I36" i="13"/>
  <c r="H36" i="13"/>
  <c r="F36" i="13"/>
  <c r="E36" i="13"/>
  <c r="D36" i="13"/>
  <c r="C36" i="13"/>
  <c r="B36" i="13"/>
  <c r="I35" i="13"/>
  <c r="H35" i="13"/>
  <c r="F35" i="13"/>
  <c r="E35" i="13"/>
  <c r="D35" i="13"/>
  <c r="C35" i="13"/>
  <c r="B35" i="13"/>
  <c r="I34" i="13"/>
  <c r="H34" i="13"/>
  <c r="F34" i="13"/>
  <c r="E34" i="13"/>
  <c r="D34" i="13"/>
  <c r="C34" i="13"/>
  <c r="B34" i="13"/>
  <c r="I33" i="13"/>
  <c r="H33" i="13"/>
  <c r="F33" i="13"/>
  <c r="E33" i="13"/>
  <c r="D33" i="13"/>
  <c r="C33" i="13"/>
  <c r="B33" i="13"/>
  <c r="I30" i="13"/>
  <c r="H30" i="13"/>
  <c r="F30" i="13"/>
  <c r="E30" i="13"/>
  <c r="D30" i="13"/>
  <c r="C30" i="13"/>
  <c r="B30" i="13"/>
  <c r="I29" i="13"/>
  <c r="H29" i="13"/>
  <c r="F29" i="13"/>
  <c r="E29" i="13"/>
  <c r="D29" i="13"/>
  <c r="C29" i="13"/>
  <c r="B29" i="13"/>
  <c r="I28" i="13"/>
  <c r="H28" i="13"/>
  <c r="F28" i="13"/>
  <c r="E28" i="13"/>
  <c r="D28" i="13"/>
  <c r="C28" i="13"/>
  <c r="B28" i="13"/>
  <c r="I27" i="13"/>
  <c r="H27" i="13"/>
  <c r="F27" i="13"/>
  <c r="E27" i="13"/>
  <c r="D27" i="13"/>
  <c r="C27" i="13"/>
  <c r="B27" i="13"/>
  <c r="I26" i="13"/>
  <c r="H26" i="13"/>
  <c r="F26" i="13"/>
  <c r="E26" i="13"/>
  <c r="D26" i="13"/>
  <c r="C26" i="13"/>
  <c r="B26" i="13"/>
  <c r="I24" i="13"/>
  <c r="H24" i="13"/>
  <c r="F24" i="13"/>
  <c r="E24" i="13"/>
  <c r="D24" i="13"/>
  <c r="C24" i="13"/>
  <c r="B24" i="13"/>
  <c r="I23" i="13"/>
  <c r="H23" i="13"/>
  <c r="F23" i="13"/>
  <c r="E23" i="13"/>
  <c r="D23" i="13"/>
  <c r="C23" i="13"/>
  <c r="B23" i="13"/>
  <c r="I22" i="13"/>
  <c r="H22" i="13"/>
  <c r="F22" i="13"/>
  <c r="E22" i="13"/>
  <c r="D22" i="13"/>
  <c r="C22" i="13"/>
  <c r="B22" i="13"/>
  <c r="I21" i="13"/>
  <c r="H21" i="13"/>
  <c r="F21" i="13"/>
  <c r="E21" i="13"/>
  <c r="D21" i="13"/>
  <c r="C21" i="13"/>
  <c r="B21" i="13"/>
  <c r="I20" i="13"/>
  <c r="H20" i="13"/>
  <c r="F20" i="13"/>
  <c r="E20" i="13"/>
  <c r="D20" i="13"/>
  <c r="C20" i="13"/>
  <c r="B20" i="13"/>
  <c r="I18" i="13"/>
  <c r="H18" i="13"/>
  <c r="F18" i="13"/>
  <c r="E18" i="13"/>
  <c r="D18" i="13"/>
  <c r="C18" i="13"/>
  <c r="B18" i="13"/>
  <c r="I17" i="13"/>
  <c r="H17" i="13"/>
  <c r="F17" i="13"/>
  <c r="E17" i="13"/>
  <c r="D17" i="13"/>
  <c r="C17" i="13"/>
  <c r="B17" i="13"/>
  <c r="I16" i="13"/>
  <c r="H16" i="13"/>
  <c r="F16" i="13"/>
  <c r="E16" i="13"/>
  <c r="D16" i="13"/>
  <c r="C16" i="13"/>
  <c r="B16" i="13"/>
  <c r="I14" i="13"/>
  <c r="H14" i="13"/>
  <c r="F14" i="13"/>
  <c r="E14" i="13"/>
  <c r="D14" i="13"/>
  <c r="C14" i="13"/>
  <c r="B14" i="13"/>
  <c r="I13" i="13"/>
  <c r="H13" i="13"/>
  <c r="F13" i="13"/>
  <c r="E13" i="13"/>
  <c r="D13" i="13"/>
  <c r="C13" i="13"/>
  <c r="B13" i="13"/>
  <c r="I12" i="13"/>
  <c r="H12" i="13"/>
  <c r="F12" i="13"/>
  <c r="E12" i="13"/>
  <c r="D12" i="13"/>
  <c r="C12" i="13"/>
  <c r="B12" i="13"/>
  <c r="I11" i="13"/>
  <c r="H11" i="13"/>
  <c r="F11" i="13"/>
  <c r="E11" i="13"/>
  <c r="D11" i="13"/>
  <c r="C11" i="13"/>
  <c r="B11" i="13"/>
  <c r="I10" i="13"/>
  <c r="H10" i="13"/>
  <c r="F10" i="13"/>
  <c r="E10" i="13"/>
  <c r="D10" i="13"/>
  <c r="C10" i="13"/>
  <c r="B10" i="13"/>
  <c r="I7" i="13"/>
  <c r="H7" i="13"/>
  <c r="F7" i="13"/>
  <c r="E7" i="13"/>
  <c r="D7" i="13"/>
  <c r="C7" i="13"/>
  <c r="I6" i="13"/>
  <c r="H6" i="13"/>
  <c r="F6" i="13"/>
  <c r="E6" i="13"/>
  <c r="D6" i="13"/>
  <c r="C6" i="13"/>
  <c r="I5" i="13"/>
  <c r="H5" i="13"/>
  <c r="F5" i="13"/>
  <c r="E5" i="13"/>
  <c r="D5" i="13"/>
  <c r="C5" i="13"/>
  <c r="I4" i="13"/>
  <c r="H4" i="13"/>
  <c r="F4" i="13"/>
  <c r="E4" i="13"/>
  <c r="D4" i="13"/>
  <c r="C4" i="13"/>
  <c r="I1482" i="12"/>
  <c r="H1482" i="12"/>
  <c r="I1481" i="12"/>
  <c r="H1481" i="12"/>
  <c r="I1480" i="12"/>
  <c r="H1480" i="12"/>
  <c r="I1479" i="12"/>
  <c r="H1479" i="12"/>
  <c r="I1478" i="12"/>
  <c r="H1478" i="12"/>
  <c r="I1477" i="12"/>
  <c r="H1477" i="12"/>
  <c r="I1476" i="12"/>
  <c r="H1476" i="12"/>
  <c r="I1475" i="12"/>
  <c r="H1475" i="12"/>
  <c r="I1474" i="12"/>
  <c r="H1474" i="12"/>
  <c r="I1473" i="12"/>
  <c r="H1473" i="12"/>
  <c r="I1472" i="12"/>
  <c r="H1472" i="12"/>
  <c r="I1471" i="12"/>
  <c r="H1471" i="12"/>
  <c r="I1470" i="12"/>
  <c r="H1470" i="12"/>
  <c r="I1469" i="12"/>
  <c r="H1469" i="12"/>
  <c r="I1468" i="12"/>
  <c r="H1468" i="12"/>
  <c r="I1467" i="12"/>
  <c r="H1467" i="12"/>
  <c r="I1466" i="12"/>
  <c r="H1466" i="12"/>
  <c r="I1465" i="12"/>
  <c r="H1465" i="12"/>
  <c r="I1464" i="12"/>
  <c r="H1464" i="12"/>
  <c r="I1463" i="12"/>
  <c r="H1463" i="12"/>
  <c r="I1462" i="12"/>
  <c r="H1462" i="12"/>
  <c r="I1461" i="12"/>
  <c r="H1461" i="12"/>
  <c r="I1460" i="12"/>
  <c r="H1460" i="12"/>
  <c r="I1459" i="12"/>
  <c r="H1459" i="12"/>
  <c r="I1458" i="12"/>
  <c r="H1458" i="12"/>
  <c r="I1457" i="12"/>
  <c r="H1457" i="12"/>
  <c r="I1456" i="12"/>
  <c r="H1456" i="12"/>
  <c r="I1455" i="12"/>
  <c r="H1455" i="12"/>
  <c r="I1454" i="12"/>
  <c r="H1454" i="12"/>
  <c r="I1453" i="12"/>
  <c r="H1453" i="12"/>
  <c r="I1452" i="12"/>
  <c r="H1452" i="12"/>
  <c r="I1451" i="12"/>
  <c r="H1451" i="12"/>
  <c r="I1450" i="12"/>
  <c r="H1450" i="12"/>
  <c r="I1449" i="12"/>
  <c r="H1449" i="12"/>
  <c r="I1448" i="12"/>
  <c r="H1448" i="12"/>
  <c r="I1447" i="12"/>
  <c r="H1447" i="12"/>
  <c r="I1446" i="12"/>
  <c r="H1446" i="12"/>
  <c r="I1445" i="12"/>
  <c r="H1445" i="12"/>
  <c r="I1444" i="12"/>
  <c r="H1444" i="12"/>
  <c r="I1443" i="12"/>
  <c r="H1443" i="12"/>
  <c r="I1442" i="12"/>
  <c r="H1442" i="12"/>
  <c r="I1441" i="12"/>
  <c r="H1441" i="12"/>
  <c r="I1440" i="12"/>
  <c r="H1440" i="12"/>
  <c r="I1439" i="12"/>
  <c r="H1439" i="12"/>
  <c r="I1438" i="12"/>
  <c r="H1438" i="12"/>
  <c r="I1437" i="12"/>
  <c r="H1437" i="12"/>
  <c r="I1436" i="12"/>
  <c r="H1436" i="12"/>
  <c r="I1435" i="12"/>
  <c r="H1435" i="12"/>
  <c r="I1434" i="12"/>
  <c r="H1434" i="12"/>
  <c r="I1433" i="12"/>
  <c r="H1433" i="12"/>
  <c r="I1432" i="12"/>
  <c r="H1432" i="12"/>
  <c r="I1431" i="12"/>
  <c r="H1431" i="12"/>
  <c r="I1430" i="12"/>
  <c r="H1430" i="12"/>
  <c r="I1429" i="12"/>
  <c r="H1429" i="12"/>
  <c r="I1428" i="12"/>
  <c r="H1428" i="12"/>
  <c r="I1427" i="12"/>
  <c r="H1427" i="12"/>
  <c r="I1426" i="12"/>
  <c r="H1426" i="12"/>
  <c r="I1425" i="12"/>
  <c r="H1425" i="12"/>
  <c r="I1424" i="12"/>
  <c r="H1424" i="12"/>
  <c r="I1423" i="12"/>
  <c r="H1423" i="12"/>
  <c r="I1422" i="12"/>
  <c r="H1422" i="12"/>
  <c r="I1421" i="12"/>
  <c r="H1421" i="12"/>
  <c r="I1420" i="12"/>
  <c r="H1420" i="12"/>
  <c r="I1419" i="12"/>
  <c r="H1419" i="12"/>
  <c r="I1418" i="12"/>
  <c r="H1418" i="12"/>
  <c r="I1417" i="12"/>
  <c r="H1417" i="12"/>
  <c r="I1416" i="12"/>
  <c r="H1416" i="12"/>
  <c r="I1415" i="12"/>
  <c r="H1415" i="12"/>
  <c r="I1414" i="12"/>
  <c r="H1414" i="12"/>
  <c r="I1413" i="12"/>
  <c r="H1413" i="12"/>
  <c r="I1412" i="12"/>
  <c r="H1412" i="12"/>
  <c r="I1411" i="12"/>
  <c r="H1411" i="12"/>
  <c r="I1410" i="12"/>
  <c r="H1410" i="12"/>
  <c r="I1409" i="12"/>
  <c r="H1409" i="12"/>
  <c r="I1408" i="12"/>
  <c r="H1408" i="12"/>
  <c r="I1407" i="12"/>
  <c r="H1407" i="12"/>
  <c r="I1406" i="12"/>
  <c r="H1406" i="12"/>
  <c r="I1405" i="12"/>
  <c r="H1405" i="12"/>
  <c r="I1404" i="12"/>
  <c r="H1404" i="12"/>
  <c r="I1403" i="12"/>
  <c r="H1403" i="12"/>
  <c r="I1402" i="12"/>
  <c r="H1402" i="12"/>
  <c r="I1401" i="12"/>
  <c r="H1401" i="12"/>
  <c r="I1400" i="12"/>
  <c r="H1400" i="12"/>
  <c r="I1399" i="12"/>
  <c r="H1399" i="12"/>
  <c r="I1398" i="12"/>
  <c r="H1398" i="12"/>
  <c r="I1397" i="12"/>
  <c r="H1397" i="12"/>
  <c r="I1396" i="12"/>
  <c r="H1396" i="12"/>
  <c r="I1395" i="12"/>
  <c r="H1395" i="12"/>
  <c r="I1394" i="12"/>
  <c r="H1394" i="12"/>
  <c r="I1393" i="12"/>
  <c r="H1393" i="12"/>
  <c r="I1392" i="12"/>
  <c r="H1392" i="12"/>
  <c r="I1391" i="12"/>
  <c r="H1391" i="12"/>
  <c r="I1390" i="12"/>
  <c r="H1390" i="12"/>
  <c r="I1389" i="12"/>
  <c r="H1389" i="12"/>
  <c r="I1388" i="12"/>
  <c r="H1388" i="12"/>
  <c r="I1387" i="12"/>
  <c r="H1387" i="12"/>
  <c r="I1386" i="12"/>
  <c r="H1386" i="12"/>
  <c r="I1385" i="12"/>
  <c r="H1385" i="12"/>
  <c r="I1384" i="12"/>
  <c r="H1384" i="12"/>
  <c r="I1383" i="12"/>
  <c r="H1383" i="12"/>
  <c r="I1382" i="12"/>
  <c r="H1382" i="12"/>
  <c r="I1381" i="12"/>
  <c r="H1381" i="12"/>
  <c r="I1380" i="12"/>
  <c r="H1380" i="12"/>
  <c r="I1379" i="12"/>
  <c r="H1379" i="12"/>
  <c r="I1378" i="12"/>
  <c r="H1378" i="12"/>
  <c r="I1377" i="12"/>
  <c r="H1377" i="12"/>
  <c r="I1376" i="12"/>
  <c r="H1376" i="12"/>
  <c r="I1375" i="12"/>
  <c r="H1375" i="12"/>
  <c r="I1374" i="12"/>
  <c r="H1374" i="12"/>
  <c r="I1373" i="12"/>
  <c r="H1373" i="12"/>
  <c r="I1372" i="12"/>
  <c r="H1372" i="12"/>
  <c r="I1371" i="12"/>
  <c r="H1371" i="12"/>
  <c r="I1370" i="12"/>
  <c r="H1370" i="12"/>
  <c r="I1369" i="12"/>
  <c r="H1369" i="12"/>
  <c r="I1368" i="12"/>
  <c r="H1368" i="12"/>
  <c r="I1367" i="12"/>
  <c r="H1367" i="12"/>
  <c r="I1366" i="12"/>
  <c r="H1366" i="12"/>
  <c r="I1365" i="12"/>
  <c r="H1365" i="12"/>
  <c r="I1364" i="12"/>
  <c r="H1364" i="12"/>
  <c r="I1363" i="12"/>
  <c r="H1363" i="12"/>
  <c r="I1362" i="12"/>
  <c r="H1362" i="12"/>
  <c r="I1361" i="12"/>
  <c r="H1361" i="12"/>
  <c r="I1360" i="12"/>
  <c r="H1360" i="12"/>
  <c r="I1359" i="12"/>
  <c r="H1359" i="12"/>
  <c r="I1358" i="12"/>
  <c r="H1358" i="12"/>
  <c r="I1357" i="12"/>
  <c r="H1357" i="12"/>
  <c r="I1356" i="12"/>
  <c r="H1356" i="12"/>
  <c r="I1355" i="12"/>
  <c r="H1355" i="12"/>
  <c r="I1354" i="12"/>
  <c r="H1354" i="12"/>
  <c r="I1353" i="12"/>
  <c r="H1353" i="12"/>
  <c r="I1352" i="12"/>
  <c r="H1352" i="12"/>
  <c r="I1351" i="12"/>
  <c r="H1351" i="12"/>
  <c r="I1350" i="12"/>
  <c r="H1350" i="12"/>
  <c r="I1349" i="12"/>
  <c r="H1349" i="12"/>
  <c r="I1348" i="12"/>
  <c r="H1348" i="12"/>
  <c r="I1347" i="12"/>
  <c r="H1347" i="12"/>
  <c r="I1346" i="12"/>
  <c r="H1346" i="12"/>
  <c r="I1345" i="12"/>
  <c r="H1345" i="12"/>
  <c r="I1344" i="12"/>
  <c r="H1344" i="12"/>
  <c r="I1343" i="12"/>
  <c r="H1343" i="12"/>
  <c r="I1342" i="12"/>
  <c r="H1342" i="12"/>
  <c r="I1341" i="12"/>
  <c r="H1341" i="12"/>
  <c r="I1340" i="12"/>
  <c r="H1340" i="12"/>
  <c r="I1339" i="12"/>
  <c r="H1339" i="12"/>
  <c r="I1338" i="12"/>
  <c r="H1338" i="12"/>
  <c r="I1337" i="12"/>
  <c r="H1337" i="12"/>
  <c r="I1336" i="12"/>
  <c r="H1336" i="12"/>
  <c r="I1335" i="12"/>
  <c r="H1335" i="12"/>
  <c r="I1334" i="12"/>
  <c r="H1334" i="12"/>
  <c r="I1333" i="12"/>
  <c r="H1333" i="12"/>
  <c r="I1332" i="12"/>
  <c r="H1332" i="12"/>
  <c r="I1331" i="12"/>
  <c r="H1331" i="12"/>
  <c r="I1330" i="12"/>
  <c r="H1330" i="12"/>
  <c r="I1329" i="12"/>
  <c r="H1329" i="12"/>
  <c r="I1328" i="12"/>
  <c r="H1328" i="12"/>
  <c r="I1327" i="12"/>
  <c r="H1327" i="12"/>
  <c r="I1326" i="12"/>
  <c r="H1326" i="12"/>
  <c r="I1325" i="12"/>
  <c r="H1325" i="12"/>
  <c r="I1324" i="12"/>
  <c r="H1324" i="12"/>
  <c r="I1323" i="12"/>
  <c r="H1323" i="12"/>
  <c r="I1322" i="12"/>
  <c r="H1322" i="12"/>
  <c r="I1321" i="12"/>
  <c r="H1321" i="12"/>
  <c r="I1320" i="12"/>
  <c r="H1320" i="12"/>
  <c r="I1319" i="12"/>
  <c r="H1319" i="12"/>
  <c r="I1318" i="12"/>
  <c r="H1318" i="12"/>
  <c r="I1317" i="12"/>
  <c r="H1317" i="12"/>
  <c r="I1316" i="12"/>
  <c r="H1316" i="12"/>
  <c r="I1315" i="12"/>
  <c r="H1315" i="12"/>
  <c r="I1314" i="12"/>
  <c r="H1314" i="12"/>
  <c r="I1313" i="12"/>
  <c r="H1313" i="12"/>
  <c r="I1312" i="12"/>
  <c r="H1312" i="12"/>
  <c r="I1311" i="12"/>
  <c r="H1311" i="12"/>
  <c r="I1310" i="12"/>
  <c r="H1310" i="12"/>
  <c r="I1309" i="12"/>
  <c r="H1309" i="12"/>
  <c r="I1308" i="12"/>
  <c r="H1308" i="12"/>
  <c r="I1307" i="12"/>
  <c r="H1307" i="12"/>
  <c r="I1306" i="12"/>
  <c r="H1306" i="12"/>
  <c r="I1305" i="12"/>
  <c r="H1305" i="12"/>
  <c r="I1304" i="12"/>
  <c r="H1304" i="12"/>
  <c r="I1303" i="12"/>
  <c r="H1303" i="12"/>
  <c r="I1302" i="12"/>
  <c r="H1302" i="12"/>
  <c r="I1301" i="12"/>
  <c r="H1301" i="12"/>
  <c r="I1300" i="12"/>
  <c r="H1300" i="12"/>
  <c r="I1299" i="12"/>
  <c r="H1299" i="12"/>
  <c r="I1298" i="12"/>
  <c r="H1298" i="12"/>
  <c r="I1297" i="12"/>
  <c r="H1297" i="12"/>
  <c r="I1296" i="12"/>
  <c r="H1296" i="12"/>
  <c r="I1295" i="12"/>
  <c r="H1295" i="12"/>
  <c r="I1294" i="12"/>
  <c r="H1294" i="12"/>
  <c r="I1293" i="12"/>
  <c r="H1293" i="12"/>
  <c r="I1292" i="12"/>
  <c r="H1292" i="12"/>
  <c r="I1291" i="12"/>
  <c r="H1291" i="12"/>
  <c r="I1290" i="12"/>
  <c r="H1290" i="12"/>
  <c r="I1289" i="12"/>
  <c r="H1289" i="12"/>
  <c r="I1288" i="12"/>
  <c r="H1288" i="12"/>
  <c r="I1287" i="12"/>
  <c r="H1287" i="12"/>
  <c r="I1286" i="12"/>
  <c r="H1286" i="12"/>
  <c r="I1285" i="12"/>
  <c r="H1285" i="12"/>
  <c r="I1284" i="12"/>
  <c r="H1284" i="12"/>
  <c r="I1283" i="12"/>
  <c r="H1283" i="12"/>
  <c r="I1282" i="12"/>
  <c r="H1282" i="12"/>
  <c r="I1281" i="12"/>
  <c r="H1281" i="12"/>
  <c r="I1280" i="12"/>
  <c r="H1280" i="12"/>
  <c r="I1279" i="12"/>
  <c r="H1279" i="12"/>
  <c r="I1278" i="12"/>
  <c r="H1278" i="12"/>
  <c r="I1277" i="12"/>
  <c r="H1277" i="12"/>
  <c r="I1276" i="12"/>
  <c r="H1276" i="12"/>
  <c r="I1275" i="12"/>
  <c r="H1275" i="12"/>
  <c r="I1274" i="12"/>
  <c r="H1274" i="12"/>
  <c r="I1273" i="12"/>
  <c r="H1273" i="12"/>
  <c r="I1272" i="12"/>
  <c r="H1272" i="12"/>
  <c r="I1271" i="12"/>
  <c r="H1271" i="12"/>
  <c r="I1270" i="12"/>
  <c r="H1270" i="12"/>
  <c r="I1269" i="12"/>
  <c r="H1269" i="12"/>
  <c r="I1268" i="12"/>
  <c r="H1268" i="12"/>
  <c r="I1267" i="12"/>
  <c r="H1267" i="12"/>
  <c r="I1266" i="12"/>
  <c r="H1266" i="12"/>
  <c r="I1265" i="12"/>
  <c r="H1265" i="12"/>
  <c r="I1264" i="12"/>
  <c r="H1264" i="12"/>
  <c r="I1263" i="12"/>
  <c r="H1263" i="12"/>
  <c r="I1262" i="12"/>
  <c r="H1262" i="12"/>
  <c r="I1261" i="12"/>
  <c r="H1261" i="12"/>
  <c r="I1260" i="12"/>
  <c r="H1260" i="12"/>
  <c r="I1259" i="12"/>
  <c r="H1259" i="12"/>
  <c r="I1258" i="12"/>
  <c r="H1258" i="12"/>
  <c r="I1257" i="12"/>
  <c r="H1257" i="12"/>
  <c r="I1256" i="12"/>
  <c r="H1256" i="12"/>
  <c r="I1255" i="12"/>
  <c r="H1255" i="12"/>
  <c r="I1254" i="12"/>
  <c r="H1254" i="12"/>
  <c r="I1253" i="12"/>
  <c r="H1253" i="12"/>
  <c r="I1252" i="12"/>
  <c r="H1252" i="12"/>
  <c r="I1251" i="12"/>
  <c r="H1251" i="12"/>
  <c r="I1250" i="12"/>
  <c r="H1250" i="12"/>
  <c r="I1249" i="12"/>
  <c r="H1249" i="12"/>
  <c r="I1248" i="12"/>
  <c r="H1248" i="12"/>
  <c r="I1247" i="12"/>
  <c r="H1247" i="12"/>
  <c r="I1246" i="12"/>
  <c r="H1246" i="12"/>
  <c r="I1245" i="12"/>
  <c r="H1245" i="12"/>
  <c r="I1244" i="12"/>
  <c r="H1244" i="12"/>
  <c r="I1243" i="12"/>
  <c r="H1243" i="12"/>
  <c r="I1242" i="12"/>
  <c r="H1242" i="12"/>
  <c r="I1241" i="12"/>
  <c r="H1241" i="12"/>
  <c r="I1240" i="12"/>
  <c r="H1240" i="12"/>
  <c r="I1239" i="12"/>
  <c r="H1239" i="12"/>
  <c r="I1238" i="12"/>
  <c r="H1238" i="12"/>
  <c r="I1237" i="12"/>
  <c r="H1237" i="12"/>
  <c r="I1236" i="12"/>
  <c r="H1236" i="12"/>
  <c r="I1235" i="12"/>
  <c r="H1235" i="12"/>
  <c r="I1234" i="12"/>
  <c r="H1234" i="12"/>
  <c r="I1233" i="12"/>
  <c r="H1233" i="12"/>
  <c r="I1232" i="12"/>
  <c r="H1232" i="12"/>
  <c r="I1231" i="12"/>
  <c r="H1231" i="12"/>
  <c r="I1230" i="12"/>
  <c r="H1230" i="12"/>
  <c r="I1229" i="12"/>
  <c r="H1229" i="12"/>
  <c r="I1228" i="12"/>
  <c r="H1228" i="12"/>
  <c r="I1227" i="12"/>
  <c r="H1227" i="12"/>
  <c r="I1226" i="12"/>
  <c r="H1226" i="12"/>
  <c r="I1225" i="12"/>
  <c r="H1225" i="12"/>
  <c r="I1224" i="12"/>
  <c r="H1224" i="12"/>
  <c r="I1223" i="12"/>
  <c r="H1223" i="12"/>
  <c r="I1222" i="12"/>
  <c r="H1222" i="12"/>
  <c r="I1221" i="12"/>
  <c r="H1221" i="12"/>
  <c r="I1220" i="12"/>
  <c r="H1220" i="12"/>
  <c r="I1219" i="12"/>
  <c r="H1219" i="12"/>
  <c r="I1218" i="12"/>
  <c r="H1218" i="12"/>
  <c r="I1217" i="12"/>
  <c r="H1217" i="12"/>
  <c r="I1216" i="12"/>
  <c r="H1216" i="12"/>
  <c r="I1215" i="12"/>
  <c r="H1215" i="12"/>
  <c r="I1214" i="12"/>
  <c r="H1214" i="12"/>
  <c r="I1213" i="12"/>
  <c r="H1213" i="12"/>
  <c r="I1212" i="12"/>
  <c r="H1212" i="12"/>
  <c r="I1211" i="12"/>
  <c r="H1211" i="12"/>
  <c r="I1210" i="12"/>
  <c r="H1210" i="12"/>
  <c r="I1209" i="12"/>
  <c r="H1209" i="12"/>
  <c r="I1208" i="12"/>
  <c r="H1208" i="12"/>
  <c r="I1207" i="12"/>
  <c r="H1207" i="12"/>
  <c r="I1206" i="12"/>
  <c r="H1206" i="12"/>
  <c r="I1205" i="12"/>
  <c r="H1205" i="12"/>
  <c r="I1204" i="12"/>
  <c r="H1204" i="12"/>
  <c r="I1203" i="12"/>
  <c r="H1203" i="12"/>
  <c r="I1202" i="12"/>
  <c r="H1202" i="12"/>
  <c r="I1201" i="12"/>
  <c r="H1201" i="12"/>
  <c r="I1200" i="12"/>
  <c r="H1200" i="12"/>
  <c r="I1199" i="12"/>
  <c r="H1199" i="12"/>
  <c r="I1198" i="12"/>
  <c r="H1198" i="12"/>
  <c r="I1197" i="12"/>
  <c r="H1197" i="12"/>
  <c r="I1196" i="12"/>
  <c r="H1196" i="12"/>
  <c r="I1195" i="12"/>
  <c r="H1195" i="12"/>
  <c r="I1194" i="12"/>
  <c r="H1194" i="12"/>
  <c r="I1193" i="12"/>
  <c r="H1193" i="12"/>
  <c r="I1192" i="12"/>
  <c r="H1192" i="12"/>
  <c r="I1191" i="12"/>
  <c r="H1191" i="12"/>
  <c r="I1190" i="12"/>
  <c r="H1190" i="12"/>
  <c r="I1189" i="12"/>
  <c r="H1189" i="12"/>
  <c r="I1188" i="12"/>
  <c r="H1188" i="12"/>
  <c r="I1187" i="12"/>
  <c r="H1187" i="12"/>
  <c r="I1186" i="12"/>
  <c r="H1186" i="12"/>
  <c r="I1185" i="12"/>
  <c r="H1185" i="12"/>
  <c r="I1184" i="12"/>
  <c r="H1184" i="12"/>
  <c r="I1183" i="12"/>
  <c r="H1183" i="12"/>
  <c r="I1182" i="12"/>
  <c r="H1182" i="12"/>
  <c r="I1181" i="12"/>
  <c r="H1181" i="12"/>
  <c r="I1180" i="12"/>
  <c r="H1180" i="12"/>
  <c r="I1179" i="12"/>
  <c r="H1179" i="12"/>
  <c r="I1178" i="12"/>
  <c r="H1178" i="12"/>
  <c r="I1177" i="12"/>
  <c r="H1177" i="12"/>
  <c r="I1176" i="12"/>
  <c r="H1176" i="12"/>
  <c r="I1175" i="12"/>
  <c r="H1175" i="12"/>
  <c r="I1174" i="12"/>
  <c r="H1174" i="12"/>
  <c r="I1173" i="12"/>
  <c r="H1173" i="12"/>
  <c r="I1172" i="12"/>
  <c r="H1172" i="12"/>
  <c r="I1171" i="12"/>
  <c r="H1171" i="12"/>
  <c r="I1170" i="12"/>
  <c r="H1170" i="12"/>
  <c r="I1169" i="12"/>
  <c r="H1169" i="12"/>
  <c r="I1168" i="12"/>
  <c r="H1168" i="12"/>
  <c r="I1167" i="12"/>
  <c r="H1167" i="12"/>
  <c r="I1166" i="12"/>
  <c r="H1166" i="12"/>
  <c r="I1165" i="12"/>
  <c r="H1165" i="12"/>
  <c r="I1164" i="12"/>
  <c r="H1164" i="12"/>
  <c r="I1163" i="12"/>
  <c r="H1163" i="12"/>
  <c r="I1162" i="12"/>
  <c r="H1162" i="12"/>
  <c r="I1161" i="12"/>
  <c r="H1161" i="12"/>
  <c r="I1160" i="12"/>
  <c r="H1160" i="12"/>
  <c r="I1159" i="12"/>
  <c r="H1159" i="12"/>
  <c r="I1158" i="12"/>
  <c r="H1158" i="12"/>
  <c r="I1157" i="12"/>
  <c r="H1157" i="12"/>
  <c r="I1156" i="12"/>
  <c r="H1156" i="12"/>
  <c r="I1155" i="12"/>
  <c r="H1155" i="12"/>
  <c r="I1154" i="12"/>
  <c r="H1154" i="12"/>
  <c r="I1153" i="12"/>
  <c r="H1153" i="12"/>
  <c r="I1152" i="12"/>
  <c r="H1152" i="12"/>
  <c r="I1151" i="12"/>
  <c r="H1151" i="12"/>
  <c r="I1150" i="12"/>
  <c r="H1150" i="12"/>
  <c r="I1149" i="12"/>
  <c r="H1149" i="12"/>
  <c r="I1148" i="12"/>
  <c r="H1148" i="12"/>
  <c r="I1147" i="12"/>
  <c r="H1147" i="12"/>
  <c r="I1146" i="12"/>
  <c r="H1146" i="12"/>
  <c r="I1145" i="12"/>
  <c r="H1145" i="12"/>
  <c r="I1144" i="12"/>
  <c r="H1144" i="12"/>
  <c r="I1143" i="12"/>
  <c r="H1143" i="12"/>
  <c r="I1142" i="12"/>
  <c r="H1142" i="12"/>
  <c r="I1141" i="12"/>
  <c r="H1141" i="12"/>
  <c r="I1140" i="12"/>
  <c r="H1140" i="12"/>
  <c r="I1139" i="12"/>
  <c r="H1139" i="12"/>
  <c r="I1138" i="12"/>
  <c r="H1138" i="12"/>
  <c r="I1137" i="12"/>
  <c r="H1137" i="12"/>
  <c r="I1136" i="12"/>
  <c r="H1136" i="12"/>
  <c r="I1135" i="12"/>
  <c r="H1135" i="12"/>
  <c r="I1134" i="12"/>
  <c r="H1134" i="12"/>
  <c r="I1133" i="12"/>
  <c r="H1133" i="12"/>
  <c r="I1132" i="12"/>
  <c r="H1132" i="12"/>
  <c r="I1131" i="12"/>
  <c r="H1131" i="12"/>
  <c r="I1130" i="12"/>
  <c r="H1130" i="12"/>
  <c r="I1129" i="12"/>
  <c r="H1129" i="12"/>
  <c r="I1128" i="12"/>
  <c r="H1128" i="12"/>
  <c r="I1127" i="12"/>
  <c r="H1127" i="12"/>
  <c r="I1126" i="12"/>
  <c r="H1126" i="12"/>
  <c r="I1125" i="12"/>
  <c r="H1125" i="12"/>
  <c r="I1124" i="12"/>
  <c r="H1124" i="12"/>
  <c r="I1123" i="12"/>
  <c r="H1123" i="12"/>
  <c r="I1122" i="12"/>
  <c r="H1122" i="12"/>
  <c r="I1121" i="12"/>
  <c r="H1121" i="12"/>
  <c r="I1120" i="12"/>
  <c r="H1120" i="12"/>
  <c r="I1119" i="12"/>
  <c r="H1119" i="12"/>
  <c r="I1118" i="12"/>
  <c r="H1118" i="12"/>
  <c r="I1117" i="12"/>
  <c r="H1117" i="12"/>
  <c r="I1116" i="12"/>
  <c r="H1116" i="12"/>
  <c r="I1115" i="12"/>
  <c r="H1115" i="12"/>
  <c r="I1114" i="12"/>
  <c r="H1114" i="12"/>
  <c r="I1113" i="12"/>
  <c r="H1113" i="12"/>
  <c r="I1112" i="12"/>
  <c r="H1112" i="12"/>
  <c r="I1111" i="12"/>
  <c r="H1111" i="12"/>
  <c r="I1110" i="12"/>
  <c r="H1110" i="12"/>
  <c r="I1109" i="12"/>
  <c r="H1109" i="12"/>
  <c r="I1108" i="12"/>
  <c r="H1108" i="12"/>
  <c r="I1107" i="12"/>
  <c r="H1107" i="12"/>
  <c r="I1106" i="12"/>
  <c r="H1106" i="12"/>
  <c r="I1105" i="12"/>
  <c r="H1105" i="12"/>
  <c r="I1104" i="12"/>
  <c r="H1104" i="12"/>
  <c r="I1103" i="12"/>
  <c r="H1103" i="12"/>
  <c r="I1102" i="12"/>
  <c r="H1102" i="12"/>
  <c r="I1101" i="12"/>
  <c r="H1101" i="12"/>
  <c r="I1100" i="12"/>
  <c r="H1100" i="12"/>
  <c r="I1099" i="12"/>
  <c r="H1099" i="12"/>
  <c r="I1098" i="12"/>
  <c r="H1098" i="12"/>
  <c r="I1097" i="12"/>
  <c r="H1097" i="12"/>
  <c r="I1096" i="12"/>
  <c r="H1096" i="12"/>
  <c r="I1095" i="12"/>
  <c r="H1095" i="12"/>
  <c r="I1094" i="12"/>
  <c r="H1094" i="12"/>
  <c r="I1093" i="12"/>
  <c r="H1093" i="12"/>
  <c r="I1092" i="12"/>
  <c r="H1092" i="12"/>
  <c r="I1091" i="12"/>
  <c r="H1091" i="12"/>
  <c r="I1090" i="12"/>
  <c r="H1090" i="12"/>
  <c r="I1089" i="12"/>
  <c r="H1089" i="12"/>
  <c r="I1088" i="12"/>
  <c r="H1088" i="12"/>
  <c r="I1087" i="12"/>
  <c r="H1087" i="12"/>
  <c r="I1086" i="12"/>
  <c r="H1086" i="12"/>
  <c r="I1085" i="12"/>
  <c r="H1085" i="12"/>
  <c r="I1084" i="12"/>
  <c r="H1084" i="12"/>
  <c r="I1083" i="12"/>
  <c r="H1083" i="12"/>
  <c r="I1082" i="12"/>
  <c r="H1082" i="12"/>
  <c r="I1081" i="12"/>
  <c r="H1081" i="12"/>
  <c r="I1080" i="12"/>
  <c r="H1080" i="12"/>
  <c r="I1079" i="12"/>
  <c r="H1079" i="12"/>
  <c r="I1078" i="12"/>
  <c r="H1078" i="12"/>
  <c r="I1077" i="12"/>
  <c r="H1077" i="12"/>
  <c r="I1076" i="12"/>
  <c r="H1076" i="12"/>
  <c r="I1075" i="12"/>
  <c r="H1075" i="12"/>
  <c r="I1074" i="12"/>
  <c r="H1074" i="12"/>
  <c r="I1073" i="12"/>
  <c r="H1073" i="12"/>
  <c r="I1072" i="12"/>
  <c r="H1072" i="12"/>
  <c r="I1071" i="12"/>
  <c r="H1071" i="12"/>
  <c r="I1070" i="12"/>
  <c r="H1070" i="12"/>
  <c r="I1069" i="12"/>
  <c r="H1069" i="12"/>
  <c r="I1068" i="12"/>
  <c r="H1068" i="12"/>
  <c r="I1067" i="12"/>
  <c r="H1067" i="12"/>
  <c r="I1066" i="12"/>
  <c r="H1066" i="12"/>
  <c r="I1065" i="12"/>
  <c r="H1065" i="12"/>
  <c r="I1064" i="12"/>
  <c r="H1064" i="12"/>
  <c r="I1063" i="12"/>
  <c r="H1063" i="12"/>
  <c r="I1062" i="12"/>
  <c r="H1062" i="12"/>
  <c r="I1061" i="12"/>
  <c r="H1061" i="12"/>
  <c r="I1060" i="12"/>
  <c r="H1060" i="12"/>
  <c r="I1059" i="12"/>
  <c r="H1059" i="12"/>
  <c r="I1058" i="12"/>
  <c r="H1058" i="12"/>
  <c r="I1057" i="12"/>
  <c r="H1057" i="12"/>
  <c r="I1056" i="12"/>
  <c r="H1056" i="12"/>
  <c r="I1055" i="12"/>
  <c r="H1055" i="12"/>
  <c r="I1054" i="12"/>
  <c r="H1054" i="12"/>
  <c r="I1053" i="12"/>
  <c r="H1053" i="12"/>
  <c r="I1052" i="12"/>
  <c r="H1052" i="12"/>
  <c r="I1051" i="12"/>
  <c r="H1051" i="12"/>
  <c r="I1050" i="12"/>
  <c r="H1050" i="12"/>
  <c r="I1049" i="12"/>
  <c r="H1049" i="12"/>
  <c r="I1048" i="12"/>
  <c r="H1048" i="12"/>
  <c r="I1047" i="12"/>
  <c r="H1047" i="12"/>
  <c r="I1046" i="12"/>
  <c r="H1046" i="12"/>
  <c r="I1045" i="12"/>
  <c r="H1045" i="12"/>
  <c r="I1044" i="12"/>
  <c r="H1044" i="12"/>
  <c r="I1043" i="12"/>
  <c r="H1043" i="12"/>
  <c r="I1042" i="12"/>
  <c r="H1042" i="12"/>
  <c r="I1041" i="12"/>
  <c r="H1041" i="12"/>
  <c r="I1040" i="12"/>
  <c r="H1040" i="12"/>
  <c r="I1039" i="12"/>
  <c r="H1039" i="12"/>
  <c r="I1038" i="12"/>
  <c r="H1038" i="12"/>
  <c r="I1037" i="12"/>
  <c r="H1037" i="12"/>
  <c r="I1036" i="12"/>
  <c r="H1036" i="12"/>
  <c r="I1035" i="12"/>
  <c r="H1035" i="12"/>
  <c r="I1034" i="12"/>
  <c r="H1034" i="12"/>
  <c r="I1033" i="12"/>
  <c r="H1033" i="12"/>
  <c r="I1032" i="12"/>
  <c r="H1032" i="12"/>
  <c r="I1031" i="12"/>
  <c r="H1031" i="12"/>
  <c r="I1030" i="12"/>
  <c r="H1030" i="12"/>
  <c r="I1029" i="12"/>
  <c r="H1029" i="12"/>
  <c r="I1028" i="12"/>
  <c r="H1028" i="12"/>
  <c r="I1027" i="12"/>
  <c r="H1027" i="12"/>
  <c r="I1026" i="12"/>
  <c r="H1026" i="12"/>
  <c r="I1025" i="12"/>
  <c r="H1025" i="12"/>
  <c r="I1024" i="12"/>
  <c r="H1024" i="12"/>
  <c r="I1023" i="12"/>
  <c r="H1023" i="12"/>
  <c r="I1022" i="12"/>
  <c r="H1022" i="12"/>
  <c r="I1021" i="12"/>
  <c r="H1021" i="12"/>
  <c r="I1020" i="12"/>
  <c r="H1020" i="12"/>
  <c r="I1019" i="12"/>
  <c r="H1019" i="12"/>
  <c r="I1018" i="12"/>
  <c r="H1018" i="12"/>
  <c r="I1017" i="12"/>
  <c r="H1017" i="12"/>
  <c r="I1016" i="12"/>
  <c r="H1016" i="12"/>
  <c r="I1015" i="12"/>
  <c r="H1015" i="12"/>
  <c r="I1014" i="12"/>
  <c r="H1014" i="12"/>
  <c r="I1013" i="12"/>
  <c r="H1013" i="12"/>
  <c r="I1012" i="12"/>
  <c r="H1012" i="12"/>
  <c r="I1011" i="12"/>
  <c r="H1011" i="12"/>
  <c r="I1010" i="12"/>
  <c r="H1010" i="12"/>
  <c r="I1009" i="12"/>
  <c r="H1009" i="12"/>
  <c r="I1008" i="12"/>
  <c r="H1008" i="12"/>
  <c r="I1007" i="12"/>
  <c r="H1007" i="12"/>
  <c r="I1006" i="12"/>
  <c r="H1006" i="12"/>
  <c r="I1005" i="12"/>
  <c r="H1005" i="12"/>
  <c r="I1004" i="12"/>
  <c r="H1004" i="12"/>
  <c r="I1003" i="12"/>
  <c r="H1003" i="12"/>
  <c r="I1002" i="12"/>
  <c r="H1002" i="12"/>
  <c r="I1001" i="12"/>
  <c r="H1001" i="12"/>
  <c r="I1000" i="12"/>
  <c r="H1000" i="12"/>
  <c r="I999" i="12"/>
  <c r="H999" i="12"/>
  <c r="I998" i="12"/>
  <c r="H998" i="12"/>
  <c r="I997" i="12"/>
  <c r="H997" i="12"/>
  <c r="I996" i="12"/>
  <c r="H996" i="12"/>
  <c r="I995" i="12"/>
  <c r="H995" i="12"/>
  <c r="I994" i="12"/>
  <c r="H994" i="12"/>
  <c r="I993" i="12"/>
  <c r="H993" i="12"/>
  <c r="I992" i="12"/>
  <c r="H992" i="12"/>
  <c r="I991" i="12"/>
  <c r="H991" i="12"/>
  <c r="I990" i="12"/>
  <c r="H990" i="12"/>
  <c r="I989" i="12"/>
  <c r="H989" i="12"/>
  <c r="I988" i="12"/>
  <c r="H988" i="12"/>
  <c r="I987" i="12"/>
  <c r="H987" i="12"/>
  <c r="I986" i="12"/>
  <c r="H986" i="12"/>
  <c r="I985" i="12"/>
  <c r="H985" i="12"/>
  <c r="I984" i="12"/>
  <c r="H984" i="12"/>
  <c r="I983" i="12"/>
  <c r="H983" i="12"/>
  <c r="I982" i="12"/>
  <c r="H982" i="12"/>
  <c r="I981" i="12"/>
  <c r="H981" i="12"/>
  <c r="I980" i="12"/>
  <c r="H980" i="12"/>
  <c r="I979" i="12"/>
  <c r="H979" i="12"/>
  <c r="I978" i="12"/>
  <c r="H978" i="12"/>
  <c r="I977" i="12"/>
  <c r="H977" i="12"/>
  <c r="I976" i="12"/>
  <c r="H976" i="12"/>
  <c r="I975" i="12"/>
  <c r="H975" i="12"/>
  <c r="I974" i="12"/>
  <c r="H974" i="12"/>
  <c r="I973" i="12"/>
  <c r="H973" i="12"/>
  <c r="I972" i="12"/>
  <c r="H972" i="12"/>
  <c r="I971" i="12"/>
  <c r="H971" i="12"/>
  <c r="I970" i="12"/>
  <c r="H970" i="12"/>
  <c r="I969" i="12"/>
  <c r="H969" i="12"/>
  <c r="I968" i="12"/>
  <c r="H968" i="12"/>
  <c r="I967" i="12"/>
  <c r="H967" i="12"/>
  <c r="I966" i="12"/>
  <c r="H966" i="12"/>
  <c r="I965" i="12"/>
  <c r="H965" i="12"/>
  <c r="I964" i="12"/>
  <c r="H964" i="12"/>
  <c r="I963" i="12"/>
  <c r="H963" i="12"/>
  <c r="I962" i="12"/>
  <c r="H962" i="12"/>
  <c r="I961" i="12"/>
  <c r="H961" i="12"/>
  <c r="I960" i="12"/>
  <c r="H960" i="12"/>
  <c r="I959" i="12"/>
  <c r="H959" i="12"/>
  <c r="I958" i="12"/>
  <c r="H958" i="12"/>
  <c r="I957" i="12"/>
  <c r="H957" i="12"/>
  <c r="I956" i="12"/>
  <c r="H956" i="12"/>
  <c r="I955" i="12"/>
  <c r="H955" i="12"/>
  <c r="I954" i="12"/>
  <c r="H954" i="12"/>
  <c r="I953" i="12"/>
  <c r="H953" i="12"/>
  <c r="I952" i="12"/>
  <c r="H952" i="12"/>
  <c r="I951" i="12"/>
  <c r="H951" i="12"/>
  <c r="I950" i="12"/>
  <c r="H950" i="12"/>
  <c r="I949" i="12"/>
  <c r="H949" i="12"/>
  <c r="I948" i="12"/>
  <c r="H948" i="12"/>
  <c r="I947" i="12"/>
  <c r="H947" i="12"/>
  <c r="I946" i="12"/>
  <c r="H946" i="12"/>
  <c r="I945" i="12"/>
  <c r="H945" i="12"/>
  <c r="I944" i="12"/>
  <c r="H944" i="12"/>
  <c r="I943" i="12"/>
  <c r="H943" i="12"/>
  <c r="I942" i="12"/>
  <c r="H942" i="12"/>
  <c r="I941" i="12"/>
  <c r="H941" i="12"/>
  <c r="I940" i="12"/>
  <c r="H940" i="12"/>
  <c r="I939" i="12"/>
  <c r="H939" i="12"/>
  <c r="I938" i="12"/>
  <c r="H938" i="12"/>
  <c r="I937" i="12"/>
  <c r="H937" i="12"/>
  <c r="I936" i="12"/>
  <c r="H936" i="12"/>
  <c r="I935" i="12"/>
  <c r="H935" i="12"/>
  <c r="I934" i="12"/>
  <c r="H934" i="12"/>
  <c r="I933" i="12"/>
  <c r="H933" i="12"/>
  <c r="I932" i="12"/>
  <c r="H932" i="12"/>
  <c r="I931" i="12"/>
  <c r="H931" i="12"/>
  <c r="I930" i="12"/>
  <c r="H930" i="12"/>
  <c r="I929" i="12"/>
  <c r="H929" i="12"/>
  <c r="I928" i="12"/>
  <c r="H928" i="12"/>
  <c r="I927" i="12"/>
  <c r="H927" i="12"/>
  <c r="I926" i="12"/>
  <c r="H926" i="12"/>
  <c r="I925" i="12"/>
  <c r="H925" i="12"/>
  <c r="I924" i="12"/>
  <c r="H924" i="12"/>
  <c r="I923" i="12"/>
  <c r="H923" i="12"/>
  <c r="I922" i="12"/>
  <c r="H922" i="12"/>
  <c r="I921" i="12"/>
  <c r="H921" i="12"/>
  <c r="I920" i="12"/>
  <c r="H920" i="12"/>
  <c r="I919" i="12"/>
  <c r="H919" i="12"/>
  <c r="I918" i="12"/>
  <c r="H918" i="12"/>
  <c r="I917" i="12"/>
  <c r="H917" i="12"/>
  <c r="I916" i="12"/>
  <c r="H916" i="12"/>
  <c r="I915" i="12"/>
  <c r="H915" i="12"/>
  <c r="I914" i="12"/>
  <c r="H914" i="12"/>
  <c r="I913" i="12"/>
  <c r="H913" i="12"/>
  <c r="I912" i="12"/>
  <c r="H912" i="12"/>
  <c r="I911" i="12"/>
  <c r="H911" i="12"/>
  <c r="I910" i="12"/>
  <c r="H910" i="12"/>
  <c r="I909" i="12"/>
  <c r="H909" i="12"/>
  <c r="I908" i="12"/>
  <c r="H908" i="12"/>
  <c r="I907" i="12"/>
  <c r="H907" i="12"/>
  <c r="I906" i="12"/>
  <c r="H906" i="12"/>
  <c r="I905" i="12"/>
  <c r="H905" i="12"/>
  <c r="I904" i="12"/>
  <c r="H904" i="12"/>
  <c r="I903" i="12"/>
  <c r="H903" i="12"/>
  <c r="I902" i="12"/>
  <c r="H902" i="12"/>
  <c r="I901" i="12"/>
  <c r="H901" i="12"/>
  <c r="I900" i="12"/>
  <c r="H900" i="12"/>
  <c r="I899" i="12"/>
  <c r="H899" i="12"/>
  <c r="I898" i="12"/>
  <c r="H898" i="12"/>
  <c r="I897" i="12"/>
  <c r="H897" i="12"/>
  <c r="I896" i="12"/>
  <c r="H896" i="12"/>
  <c r="I895" i="12"/>
  <c r="H895" i="12"/>
  <c r="I894" i="12"/>
  <c r="H894" i="12"/>
  <c r="I893" i="12"/>
  <c r="H893" i="12"/>
  <c r="I892" i="12"/>
  <c r="H892" i="12"/>
  <c r="I891" i="12"/>
  <c r="H891" i="12"/>
  <c r="I890" i="12"/>
  <c r="H890" i="12"/>
  <c r="I889" i="12"/>
  <c r="H889" i="12"/>
  <c r="I888" i="12"/>
  <c r="H888" i="12"/>
  <c r="I887" i="12"/>
  <c r="H887" i="12"/>
  <c r="I886" i="12"/>
  <c r="H886" i="12"/>
  <c r="I885" i="12"/>
  <c r="H885" i="12"/>
  <c r="I884" i="12"/>
  <c r="H884" i="12"/>
  <c r="I883" i="12"/>
  <c r="H883" i="12"/>
  <c r="I882" i="12"/>
  <c r="H882" i="12"/>
  <c r="I881" i="12"/>
  <c r="H881" i="12"/>
  <c r="I880" i="12"/>
  <c r="H880" i="12"/>
  <c r="I879" i="12"/>
  <c r="H879" i="12"/>
  <c r="I878" i="12"/>
  <c r="H878" i="12"/>
  <c r="I877" i="12"/>
  <c r="H877" i="12"/>
  <c r="I876" i="12"/>
  <c r="H876" i="12"/>
  <c r="I875" i="12"/>
  <c r="H875" i="12"/>
  <c r="I874" i="12"/>
  <c r="H874" i="12"/>
  <c r="I873" i="12"/>
  <c r="H873" i="12"/>
  <c r="I872" i="12"/>
  <c r="H872" i="12"/>
  <c r="I871" i="12"/>
  <c r="H871" i="12"/>
  <c r="I870" i="12"/>
  <c r="H870" i="12"/>
  <c r="I869" i="12"/>
  <c r="H869" i="12"/>
  <c r="I868" i="12"/>
  <c r="H868" i="12"/>
  <c r="I867" i="12"/>
  <c r="H867" i="12"/>
  <c r="I866" i="12"/>
  <c r="H866" i="12"/>
  <c r="I865" i="12"/>
  <c r="H865" i="12"/>
  <c r="I864" i="12"/>
  <c r="H864" i="12"/>
  <c r="I863" i="12"/>
  <c r="H863" i="12"/>
  <c r="I862" i="12"/>
  <c r="H862" i="12"/>
  <c r="I861" i="12"/>
  <c r="H861" i="12"/>
  <c r="I860" i="12"/>
  <c r="H860" i="12"/>
  <c r="I859" i="12"/>
  <c r="H859" i="12"/>
  <c r="I858" i="12"/>
  <c r="H858" i="12"/>
  <c r="I857" i="12"/>
  <c r="H857" i="12"/>
  <c r="I856" i="12"/>
  <c r="H856" i="12"/>
  <c r="I855" i="12"/>
  <c r="H855" i="12"/>
  <c r="I854" i="12"/>
  <c r="H854" i="12"/>
  <c r="I853" i="12"/>
  <c r="H853" i="12"/>
  <c r="I852" i="12"/>
  <c r="H852" i="12"/>
  <c r="I851" i="12"/>
  <c r="H851" i="12"/>
  <c r="I850" i="12"/>
  <c r="H850" i="12"/>
  <c r="I849" i="12"/>
  <c r="H849" i="12"/>
  <c r="I848" i="12"/>
  <c r="H848" i="12"/>
  <c r="I847" i="12"/>
  <c r="H847" i="12"/>
  <c r="I846" i="12"/>
  <c r="H846" i="12"/>
  <c r="I845" i="12"/>
  <c r="H845" i="12"/>
  <c r="I844" i="12"/>
  <c r="H844" i="12"/>
  <c r="I843" i="12"/>
  <c r="H843" i="12"/>
  <c r="I842" i="12"/>
  <c r="H842" i="12"/>
  <c r="I841" i="12"/>
  <c r="H841" i="12"/>
  <c r="I840" i="12"/>
  <c r="H840" i="12"/>
  <c r="I839" i="12"/>
  <c r="H839" i="12"/>
  <c r="I838" i="12"/>
  <c r="H838" i="12"/>
  <c r="I837" i="12"/>
  <c r="H837" i="12"/>
  <c r="I836" i="12"/>
  <c r="H836" i="12"/>
  <c r="I835" i="12"/>
  <c r="H835" i="12"/>
  <c r="I834" i="12"/>
  <c r="H834" i="12"/>
  <c r="I833" i="12"/>
  <c r="H833" i="12"/>
  <c r="I832" i="12"/>
  <c r="H832" i="12"/>
  <c r="I831" i="12"/>
  <c r="H831" i="12"/>
  <c r="I830" i="12"/>
  <c r="H830" i="12"/>
  <c r="I829" i="12"/>
  <c r="H829" i="12"/>
  <c r="I828" i="12"/>
  <c r="H828" i="12"/>
  <c r="I827" i="12"/>
  <c r="H827" i="12"/>
  <c r="I826" i="12"/>
  <c r="H826" i="12"/>
  <c r="I825" i="12"/>
  <c r="H825" i="12"/>
  <c r="I824" i="12"/>
  <c r="H824" i="12"/>
  <c r="I823" i="12"/>
  <c r="H823" i="12"/>
  <c r="I822" i="12"/>
  <c r="H822" i="12"/>
  <c r="I821" i="12"/>
  <c r="H821" i="12"/>
  <c r="I820" i="12"/>
  <c r="H820" i="12"/>
  <c r="I819" i="12"/>
  <c r="H819" i="12"/>
  <c r="I818" i="12"/>
  <c r="H818" i="12"/>
  <c r="I817" i="12"/>
  <c r="H817" i="12"/>
  <c r="I816" i="12"/>
  <c r="H816" i="12"/>
  <c r="I815" i="12"/>
  <c r="H815" i="12"/>
  <c r="I814" i="12"/>
  <c r="H814" i="12"/>
  <c r="I813" i="12"/>
  <c r="H813" i="12"/>
  <c r="I812" i="12"/>
  <c r="H812" i="12"/>
  <c r="I811" i="12"/>
  <c r="H811" i="12"/>
  <c r="I810" i="12"/>
  <c r="H810" i="12"/>
  <c r="I809" i="12"/>
  <c r="H809" i="12"/>
  <c r="I808" i="12"/>
  <c r="H808" i="12"/>
  <c r="I807" i="12"/>
  <c r="H807" i="12"/>
  <c r="I806" i="12"/>
  <c r="H806" i="12"/>
  <c r="I805" i="12"/>
  <c r="H805" i="12"/>
  <c r="I804" i="12"/>
  <c r="H804" i="12"/>
  <c r="I803" i="12"/>
  <c r="H803" i="12"/>
  <c r="I802" i="12"/>
  <c r="H802" i="12"/>
  <c r="I801" i="12"/>
  <c r="H801" i="12"/>
  <c r="I800" i="12"/>
  <c r="H800" i="12"/>
  <c r="I799" i="12"/>
  <c r="H799" i="12"/>
  <c r="I798" i="12"/>
  <c r="H798" i="12"/>
  <c r="I797" i="12"/>
  <c r="H797" i="12"/>
  <c r="I796" i="12"/>
  <c r="H796" i="12"/>
  <c r="I795" i="12"/>
  <c r="H795" i="12"/>
  <c r="I794" i="12"/>
  <c r="H794" i="12"/>
  <c r="I793" i="12"/>
  <c r="H793" i="12"/>
  <c r="I792" i="12"/>
  <c r="H792" i="12"/>
  <c r="I791" i="12"/>
  <c r="H791" i="12"/>
  <c r="I790" i="12"/>
  <c r="H790" i="12"/>
  <c r="I789" i="12"/>
  <c r="H789" i="12"/>
  <c r="I788" i="12"/>
  <c r="H788" i="12"/>
  <c r="I787" i="12"/>
  <c r="H787" i="12"/>
  <c r="I786" i="12"/>
  <c r="H786" i="12"/>
  <c r="I785" i="12"/>
  <c r="H785" i="12"/>
  <c r="I784" i="12"/>
  <c r="H784" i="12"/>
  <c r="I783" i="12"/>
  <c r="H783" i="12"/>
  <c r="I782" i="12"/>
  <c r="H782" i="12"/>
  <c r="I781" i="12"/>
  <c r="H781" i="12"/>
  <c r="I780" i="12"/>
  <c r="H780" i="12"/>
  <c r="I779" i="12"/>
  <c r="H779" i="12"/>
  <c r="I778" i="12"/>
  <c r="H778" i="12"/>
  <c r="I777" i="12"/>
  <c r="H777" i="12"/>
  <c r="I776" i="12"/>
  <c r="H776" i="12"/>
  <c r="I775" i="12"/>
  <c r="H775" i="12"/>
  <c r="I774" i="12"/>
  <c r="H774" i="12"/>
  <c r="I773" i="12"/>
  <c r="H773" i="12"/>
  <c r="I772" i="12"/>
  <c r="H772" i="12"/>
  <c r="I771" i="12"/>
  <c r="H771" i="12"/>
  <c r="I770" i="12"/>
  <c r="H770" i="12"/>
  <c r="I769" i="12"/>
  <c r="H769" i="12"/>
  <c r="I768" i="12"/>
  <c r="H768" i="12"/>
  <c r="I767" i="12"/>
  <c r="H767" i="12"/>
  <c r="I766" i="12"/>
  <c r="H766" i="12"/>
  <c r="I765" i="12"/>
  <c r="H765" i="12"/>
  <c r="I764" i="12"/>
  <c r="H764" i="12"/>
  <c r="I763" i="12"/>
  <c r="H763" i="12"/>
  <c r="I762" i="12"/>
  <c r="H762" i="12"/>
  <c r="I761" i="12"/>
  <c r="H761" i="12"/>
  <c r="I760" i="12"/>
  <c r="H760" i="12"/>
  <c r="I759" i="12"/>
  <c r="H759" i="12"/>
  <c r="I758" i="12"/>
  <c r="H758" i="12"/>
  <c r="I757" i="12"/>
  <c r="H757" i="12"/>
  <c r="I756" i="12"/>
  <c r="H756" i="12"/>
  <c r="I755" i="12"/>
  <c r="H755" i="12"/>
  <c r="I754" i="12"/>
  <c r="H754" i="12"/>
  <c r="I753" i="12"/>
  <c r="H753" i="12"/>
  <c r="I752" i="12"/>
  <c r="H752" i="12"/>
  <c r="I751" i="12"/>
  <c r="H751" i="12"/>
  <c r="I750" i="12"/>
  <c r="H750" i="12"/>
  <c r="I749" i="12"/>
  <c r="H749" i="12"/>
  <c r="I748" i="12"/>
  <c r="H748" i="12"/>
  <c r="I747" i="12"/>
  <c r="H747" i="12"/>
  <c r="I746" i="12"/>
  <c r="H746" i="12"/>
  <c r="I745" i="12"/>
  <c r="H745" i="12"/>
  <c r="I744" i="12"/>
  <c r="H744" i="12"/>
  <c r="I743" i="12"/>
  <c r="H743" i="12"/>
  <c r="I742" i="12"/>
  <c r="H742" i="12"/>
  <c r="I741" i="12"/>
  <c r="H741" i="12"/>
  <c r="I740" i="12"/>
  <c r="H740" i="12"/>
  <c r="I739" i="12"/>
  <c r="H739" i="12"/>
  <c r="I738" i="12"/>
  <c r="H738" i="12"/>
  <c r="I737" i="12"/>
  <c r="H737" i="12"/>
  <c r="I736" i="12"/>
  <c r="H736" i="12"/>
  <c r="I735" i="12"/>
  <c r="H735" i="12"/>
  <c r="I734" i="12"/>
  <c r="H734" i="12"/>
  <c r="I733" i="12"/>
  <c r="H733" i="12"/>
  <c r="I732" i="12"/>
  <c r="H732" i="12"/>
  <c r="I731" i="12"/>
  <c r="H731" i="12"/>
  <c r="I730" i="12"/>
  <c r="H730" i="12"/>
  <c r="I729" i="12"/>
  <c r="H729" i="12"/>
  <c r="I728" i="12"/>
  <c r="H728" i="12"/>
  <c r="I727" i="12"/>
  <c r="H727" i="12"/>
  <c r="I726" i="12"/>
  <c r="H726" i="12"/>
  <c r="I725" i="12"/>
  <c r="H725" i="12"/>
  <c r="I724" i="12"/>
  <c r="H724" i="12"/>
  <c r="I723" i="12"/>
  <c r="H723" i="12"/>
  <c r="I722" i="12"/>
  <c r="H722" i="12"/>
  <c r="I721" i="12"/>
  <c r="H721" i="12"/>
  <c r="I720" i="12"/>
  <c r="H720" i="12"/>
  <c r="I719" i="12"/>
  <c r="H719" i="12"/>
  <c r="I718" i="12"/>
  <c r="H718" i="12"/>
  <c r="I717" i="12"/>
  <c r="H717" i="12"/>
  <c r="I716" i="12"/>
  <c r="H716" i="12"/>
  <c r="I715" i="12"/>
  <c r="H715" i="12"/>
  <c r="I714" i="12"/>
  <c r="H714" i="12"/>
  <c r="I713" i="12"/>
  <c r="H713" i="12"/>
  <c r="I712" i="12"/>
  <c r="H712" i="12"/>
  <c r="I711" i="12"/>
  <c r="H711" i="12"/>
  <c r="I710" i="12"/>
  <c r="H710" i="12"/>
  <c r="I709" i="12"/>
  <c r="H709" i="12"/>
  <c r="I708" i="12"/>
  <c r="H708" i="12"/>
  <c r="I707" i="12"/>
  <c r="H707" i="12"/>
  <c r="I706" i="12"/>
  <c r="H706" i="12"/>
  <c r="I705" i="12"/>
  <c r="H705" i="12"/>
  <c r="I704" i="12"/>
  <c r="H704" i="12"/>
  <c r="I703" i="12"/>
  <c r="H703" i="12"/>
  <c r="I702" i="12"/>
  <c r="H702" i="12"/>
  <c r="I701" i="12"/>
  <c r="H701" i="12"/>
  <c r="I700" i="12"/>
  <c r="H700" i="12"/>
  <c r="I699" i="12"/>
  <c r="H699" i="12"/>
  <c r="I698" i="12"/>
  <c r="H698" i="12"/>
  <c r="I697" i="12"/>
  <c r="H697" i="12"/>
  <c r="I696" i="12"/>
  <c r="H696" i="12"/>
  <c r="I695" i="12"/>
  <c r="H695" i="12"/>
  <c r="I694" i="12"/>
  <c r="H694" i="12"/>
  <c r="I693" i="12"/>
  <c r="H693" i="12"/>
  <c r="I692" i="12"/>
  <c r="H692" i="12"/>
  <c r="I691" i="12"/>
  <c r="H691" i="12"/>
  <c r="I690" i="12"/>
  <c r="H690" i="12"/>
  <c r="I689" i="12"/>
  <c r="H689" i="12"/>
  <c r="I688" i="12"/>
  <c r="H688" i="12"/>
  <c r="I687" i="12"/>
  <c r="H687" i="12"/>
  <c r="I686" i="12"/>
  <c r="H686" i="12"/>
  <c r="I685" i="12"/>
  <c r="H685" i="12"/>
  <c r="I684" i="12"/>
  <c r="H684" i="12"/>
  <c r="I683" i="12"/>
  <c r="H683" i="12"/>
  <c r="I682" i="12"/>
  <c r="H682" i="12"/>
  <c r="I681" i="12"/>
  <c r="H681" i="12"/>
  <c r="I680" i="12"/>
  <c r="H680" i="12"/>
  <c r="I679" i="12"/>
  <c r="H679" i="12"/>
  <c r="I678" i="12"/>
  <c r="H678" i="12"/>
  <c r="I677" i="12"/>
  <c r="H677" i="12"/>
  <c r="I676" i="12"/>
  <c r="H676" i="12"/>
  <c r="I675" i="12"/>
  <c r="H675" i="12"/>
  <c r="I674" i="12"/>
  <c r="H674" i="12"/>
  <c r="I673" i="12"/>
  <c r="H673" i="12"/>
  <c r="I672" i="12"/>
  <c r="H672" i="12"/>
  <c r="I671" i="12"/>
  <c r="H671" i="12"/>
  <c r="I670" i="12"/>
  <c r="H670" i="12"/>
  <c r="I669" i="12"/>
  <c r="H669" i="12"/>
  <c r="I668" i="12"/>
  <c r="H668" i="12"/>
  <c r="I667" i="12"/>
  <c r="H667" i="12"/>
  <c r="I666" i="12"/>
  <c r="H666" i="12"/>
  <c r="I665" i="12"/>
  <c r="H665" i="12"/>
  <c r="I664" i="12"/>
  <c r="H664" i="12"/>
  <c r="I663" i="12"/>
  <c r="H663" i="12"/>
  <c r="I662" i="12"/>
  <c r="H662" i="12"/>
  <c r="I661" i="12"/>
  <c r="H661" i="12"/>
  <c r="I660" i="12"/>
  <c r="H660" i="12"/>
  <c r="I659" i="12"/>
  <c r="H659" i="12"/>
  <c r="I658" i="12"/>
  <c r="H658" i="12"/>
  <c r="I657" i="12"/>
  <c r="H657" i="12"/>
  <c r="I656" i="12"/>
  <c r="H656" i="12"/>
  <c r="I655" i="12"/>
  <c r="H655" i="12"/>
  <c r="I654" i="12"/>
  <c r="H654" i="12"/>
  <c r="I653" i="12"/>
  <c r="H653" i="12"/>
  <c r="I652" i="12"/>
  <c r="H652" i="12"/>
  <c r="I651" i="12"/>
  <c r="H651" i="12"/>
  <c r="I650" i="12"/>
  <c r="H650" i="12"/>
  <c r="I649" i="12"/>
  <c r="H649" i="12"/>
  <c r="I648" i="12"/>
  <c r="H648" i="12"/>
  <c r="I647" i="12"/>
  <c r="H647" i="12"/>
  <c r="I646" i="12"/>
  <c r="H646" i="12"/>
  <c r="I645" i="12"/>
  <c r="H645" i="12"/>
  <c r="I644" i="12"/>
  <c r="H644" i="12"/>
  <c r="I643" i="12"/>
  <c r="H643" i="12"/>
  <c r="I642" i="12"/>
  <c r="H642" i="12"/>
  <c r="I641" i="12"/>
  <c r="H641" i="12"/>
  <c r="I640" i="12"/>
  <c r="H640" i="12"/>
  <c r="I639" i="12"/>
  <c r="H639" i="12"/>
  <c r="I638" i="12"/>
  <c r="H638" i="12"/>
  <c r="I637" i="12"/>
  <c r="H637" i="12"/>
  <c r="I636" i="12"/>
  <c r="H636" i="12"/>
  <c r="I635" i="12"/>
  <c r="H635" i="12"/>
  <c r="I634" i="12"/>
  <c r="H634" i="12"/>
  <c r="I633" i="12"/>
  <c r="H633" i="12"/>
  <c r="I632" i="12"/>
  <c r="H632" i="12"/>
  <c r="I631" i="12"/>
  <c r="H631" i="12"/>
  <c r="I630" i="12"/>
  <c r="H630" i="12"/>
  <c r="I629" i="12"/>
  <c r="H629" i="12"/>
  <c r="I628" i="12"/>
  <c r="H628" i="12"/>
  <c r="I627" i="12"/>
  <c r="H627" i="12"/>
  <c r="I626" i="12"/>
  <c r="H626" i="12"/>
  <c r="I625" i="12"/>
  <c r="H625" i="12"/>
  <c r="I624" i="12"/>
  <c r="H624" i="12"/>
  <c r="I623" i="12"/>
  <c r="H623" i="12"/>
  <c r="I622" i="12"/>
  <c r="H622" i="12"/>
  <c r="I621" i="12"/>
  <c r="H621" i="12"/>
  <c r="I620" i="12"/>
  <c r="H620" i="12"/>
  <c r="I619" i="12"/>
  <c r="H619" i="12"/>
  <c r="I618" i="12"/>
  <c r="H618" i="12"/>
  <c r="I617" i="12"/>
  <c r="H617" i="12"/>
  <c r="I616" i="12"/>
  <c r="H616" i="12"/>
  <c r="I615" i="12"/>
  <c r="H615" i="12"/>
  <c r="I614" i="12"/>
  <c r="H614" i="12"/>
  <c r="I613" i="12"/>
  <c r="H613" i="12"/>
  <c r="I612" i="12"/>
  <c r="H612" i="12"/>
  <c r="I611" i="12"/>
  <c r="H611" i="12"/>
  <c r="I610" i="12"/>
  <c r="H610" i="12"/>
  <c r="I609" i="12"/>
  <c r="H609" i="12"/>
  <c r="I608" i="12"/>
  <c r="H608" i="12"/>
  <c r="I607" i="12"/>
  <c r="H607" i="12"/>
  <c r="I606" i="12"/>
  <c r="H606" i="12"/>
  <c r="I605" i="12"/>
  <c r="H605" i="12"/>
  <c r="I604" i="12"/>
  <c r="H604" i="12"/>
  <c r="I603" i="12"/>
  <c r="H603" i="12"/>
  <c r="I602" i="12"/>
  <c r="H602" i="12"/>
  <c r="I601" i="12"/>
  <c r="H601" i="12"/>
  <c r="I600" i="12"/>
  <c r="H600" i="12"/>
  <c r="I599" i="12"/>
  <c r="H599" i="12"/>
  <c r="I598" i="12"/>
  <c r="H598" i="12"/>
  <c r="I597" i="12"/>
  <c r="H597" i="12"/>
  <c r="I596" i="12"/>
  <c r="H596" i="12"/>
  <c r="I595" i="12"/>
  <c r="H595" i="12"/>
  <c r="I594" i="12"/>
  <c r="H594" i="12"/>
  <c r="I593" i="12"/>
  <c r="H593" i="12"/>
  <c r="I592" i="12"/>
  <c r="H592" i="12"/>
  <c r="I591" i="12"/>
  <c r="H591" i="12"/>
  <c r="I590" i="12"/>
  <c r="H590" i="12"/>
  <c r="I589" i="12"/>
  <c r="H589" i="12"/>
  <c r="I588" i="12"/>
  <c r="H588" i="12"/>
  <c r="I587" i="12"/>
  <c r="H587" i="12"/>
  <c r="I586" i="12"/>
  <c r="H586" i="12"/>
  <c r="I585" i="12"/>
  <c r="H585" i="12"/>
  <c r="I584" i="12"/>
  <c r="H584" i="12"/>
  <c r="I583" i="12"/>
  <c r="H583" i="12"/>
  <c r="I582" i="12"/>
  <c r="H582" i="12"/>
  <c r="I581" i="12"/>
  <c r="H581" i="12"/>
  <c r="I580" i="12"/>
  <c r="H580" i="12"/>
  <c r="I579" i="12"/>
  <c r="H579" i="12"/>
  <c r="I578" i="12"/>
  <c r="H578" i="12"/>
  <c r="I577" i="12"/>
  <c r="H577" i="12"/>
  <c r="I576" i="12"/>
  <c r="H576" i="12"/>
  <c r="I575" i="12"/>
  <c r="H575" i="12"/>
  <c r="I574" i="12"/>
  <c r="H574" i="12"/>
  <c r="I573" i="12"/>
  <c r="H573" i="12"/>
  <c r="I572" i="12"/>
  <c r="H572" i="12"/>
  <c r="I571" i="12"/>
  <c r="H571" i="12"/>
  <c r="I570" i="12"/>
  <c r="H570" i="12"/>
  <c r="I569" i="12"/>
  <c r="H569" i="12"/>
  <c r="I568" i="12"/>
  <c r="H568" i="12"/>
  <c r="I567" i="12"/>
  <c r="H567" i="12"/>
  <c r="I566" i="12"/>
  <c r="H566" i="12"/>
  <c r="I565" i="12"/>
  <c r="H565" i="12"/>
  <c r="I564" i="12"/>
  <c r="H564" i="12"/>
  <c r="I563" i="12"/>
  <c r="H563" i="12"/>
  <c r="I562" i="12"/>
  <c r="H562" i="12"/>
  <c r="I561" i="12"/>
  <c r="H561" i="12"/>
  <c r="I560" i="12"/>
  <c r="H560" i="12"/>
  <c r="I559" i="12"/>
  <c r="H559" i="12"/>
  <c r="I558" i="12"/>
  <c r="H558" i="12"/>
  <c r="I557" i="12"/>
  <c r="H557" i="12"/>
  <c r="I556" i="12"/>
  <c r="H556" i="12"/>
  <c r="I555" i="12"/>
  <c r="H555" i="12"/>
  <c r="I554" i="12"/>
  <c r="H554" i="12"/>
  <c r="I553" i="12"/>
  <c r="H553" i="12"/>
  <c r="I552" i="12"/>
  <c r="H552" i="12"/>
  <c r="I551" i="12"/>
  <c r="H551" i="12"/>
  <c r="I550" i="12"/>
  <c r="H550" i="12"/>
  <c r="I549" i="12"/>
  <c r="H549" i="12"/>
  <c r="I548" i="12"/>
  <c r="H548" i="12"/>
  <c r="I547" i="12"/>
  <c r="H547" i="12"/>
  <c r="I546" i="12"/>
  <c r="H546" i="12"/>
  <c r="I545" i="12"/>
  <c r="H545" i="12"/>
  <c r="I544" i="12"/>
  <c r="H544" i="12"/>
  <c r="I543" i="12"/>
  <c r="H543" i="12"/>
  <c r="I542" i="12"/>
  <c r="H542" i="12"/>
  <c r="I541" i="12"/>
  <c r="H541" i="12"/>
  <c r="I540" i="12"/>
  <c r="H540" i="12"/>
  <c r="I539" i="12"/>
  <c r="H539" i="12"/>
  <c r="I538" i="12"/>
  <c r="H538" i="12"/>
  <c r="I537" i="12"/>
  <c r="H537" i="12"/>
  <c r="I536" i="12"/>
  <c r="H536" i="12"/>
  <c r="I535" i="12"/>
  <c r="H535" i="12"/>
  <c r="I534" i="12"/>
  <c r="H534" i="12"/>
  <c r="I533" i="12"/>
  <c r="H533" i="12"/>
  <c r="I532" i="12"/>
  <c r="H532" i="12"/>
  <c r="I531" i="12"/>
  <c r="H531" i="12"/>
  <c r="I530" i="12"/>
  <c r="H530" i="12"/>
  <c r="I529" i="12"/>
  <c r="H529" i="12"/>
  <c r="I528" i="12"/>
  <c r="H528" i="12"/>
  <c r="I527" i="12"/>
  <c r="H527" i="12"/>
  <c r="I526" i="12"/>
  <c r="H526" i="12"/>
  <c r="I525" i="12"/>
  <c r="H525" i="12"/>
  <c r="I524" i="12"/>
  <c r="H524" i="12"/>
  <c r="I523" i="12"/>
  <c r="H523" i="12"/>
  <c r="I522" i="12"/>
  <c r="H522" i="12"/>
  <c r="I521" i="12"/>
  <c r="H521" i="12"/>
  <c r="I520" i="12"/>
  <c r="H520" i="12"/>
  <c r="I519" i="12"/>
  <c r="H519" i="12"/>
  <c r="I518" i="12"/>
  <c r="H518" i="12"/>
  <c r="I517" i="12"/>
  <c r="H517" i="12"/>
  <c r="I516" i="12"/>
  <c r="H516" i="12"/>
  <c r="I515" i="12"/>
  <c r="H515" i="12"/>
  <c r="I514" i="12"/>
  <c r="H514" i="12"/>
  <c r="I513" i="12"/>
  <c r="H513" i="12"/>
  <c r="I512" i="12"/>
  <c r="H512" i="12"/>
  <c r="I511" i="12"/>
  <c r="H511" i="12"/>
  <c r="I510" i="12"/>
  <c r="H510" i="12"/>
  <c r="I509" i="12"/>
  <c r="H509" i="12"/>
  <c r="I508" i="12"/>
  <c r="H508" i="12"/>
  <c r="I507" i="12"/>
  <c r="H507" i="12"/>
  <c r="I506" i="12"/>
  <c r="H506" i="12"/>
  <c r="I505" i="12"/>
  <c r="H505" i="12"/>
  <c r="I504" i="12"/>
  <c r="H504" i="12"/>
  <c r="I503" i="12"/>
  <c r="H503" i="12"/>
  <c r="I502" i="12"/>
  <c r="H502" i="12"/>
  <c r="I501" i="12"/>
  <c r="H501" i="12"/>
  <c r="I500" i="12"/>
  <c r="H500" i="12"/>
  <c r="I499" i="12"/>
  <c r="H499" i="12"/>
  <c r="I498" i="12"/>
  <c r="H498" i="12"/>
  <c r="I497" i="12"/>
  <c r="H497" i="12"/>
  <c r="I496" i="12"/>
  <c r="H496" i="12"/>
  <c r="I495" i="12"/>
  <c r="H495" i="12"/>
  <c r="I494" i="12"/>
  <c r="H494" i="12"/>
  <c r="I493" i="12"/>
  <c r="H493" i="12"/>
  <c r="I492" i="12"/>
  <c r="H492" i="12"/>
  <c r="I491" i="12"/>
  <c r="H491" i="12"/>
  <c r="I490" i="12"/>
  <c r="H490" i="12"/>
  <c r="I489" i="12"/>
  <c r="H489" i="12"/>
  <c r="I488" i="12"/>
  <c r="H488" i="12"/>
  <c r="I487" i="12"/>
  <c r="H487" i="12"/>
  <c r="I486" i="12"/>
  <c r="H486" i="12"/>
  <c r="I485" i="12"/>
  <c r="H485" i="12"/>
  <c r="I484" i="12"/>
  <c r="H484" i="12"/>
  <c r="I483" i="12"/>
  <c r="H483" i="12"/>
  <c r="I482" i="12"/>
  <c r="H482" i="12"/>
  <c r="I481" i="12"/>
  <c r="H481" i="12"/>
  <c r="I480" i="12"/>
  <c r="H480" i="12"/>
  <c r="I479" i="12"/>
  <c r="H479" i="12"/>
  <c r="I478" i="12"/>
  <c r="H478" i="12"/>
  <c r="I477" i="12"/>
  <c r="H477" i="12"/>
  <c r="I476" i="12"/>
  <c r="H476" i="12"/>
  <c r="I475" i="12"/>
  <c r="H475" i="12"/>
  <c r="I474" i="12"/>
  <c r="H474" i="12"/>
  <c r="I473" i="12"/>
  <c r="H473" i="12"/>
  <c r="I472" i="12"/>
  <c r="H472" i="12"/>
  <c r="I471" i="12"/>
  <c r="H471" i="12"/>
  <c r="I470" i="12"/>
  <c r="H470" i="12"/>
  <c r="I469" i="12"/>
  <c r="H469" i="12"/>
  <c r="I468" i="12"/>
  <c r="H468" i="12"/>
  <c r="I467" i="12"/>
  <c r="H467" i="12"/>
  <c r="I466" i="12"/>
  <c r="H466" i="12"/>
  <c r="I465" i="12"/>
  <c r="H465" i="12"/>
  <c r="I464" i="12"/>
  <c r="H464" i="12"/>
  <c r="I463" i="12"/>
  <c r="H463" i="12"/>
  <c r="I462" i="12"/>
  <c r="H462" i="12"/>
  <c r="I461" i="12"/>
  <c r="H461" i="12"/>
  <c r="I460" i="12"/>
  <c r="H460" i="12"/>
  <c r="I459" i="12"/>
  <c r="H459" i="12"/>
  <c r="I458" i="12"/>
  <c r="H458" i="12"/>
  <c r="I457" i="12"/>
  <c r="H457" i="12"/>
  <c r="I456" i="12"/>
  <c r="H456" i="12"/>
  <c r="I455" i="12"/>
  <c r="H455" i="12"/>
  <c r="I454" i="12"/>
  <c r="H454" i="12"/>
  <c r="I453" i="12"/>
  <c r="H453" i="12"/>
  <c r="I452" i="12"/>
  <c r="H452" i="12"/>
  <c r="I451" i="12"/>
  <c r="H451" i="12"/>
  <c r="I450" i="12"/>
  <c r="H450" i="12"/>
  <c r="I449" i="12"/>
  <c r="H449" i="12"/>
  <c r="I448" i="12"/>
  <c r="H448" i="12"/>
  <c r="I447" i="12"/>
  <c r="H447" i="12"/>
  <c r="I446" i="12"/>
  <c r="H446" i="12"/>
  <c r="I445" i="12"/>
  <c r="H445" i="12"/>
  <c r="I444" i="12"/>
  <c r="H444" i="12"/>
  <c r="I443" i="12"/>
  <c r="H443" i="12"/>
  <c r="I442" i="12"/>
  <c r="H442" i="12"/>
  <c r="I441" i="12"/>
  <c r="H441" i="12"/>
  <c r="I440" i="12"/>
  <c r="H440" i="12"/>
  <c r="I439" i="12"/>
  <c r="H439" i="12"/>
  <c r="I438" i="12"/>
  <c r="H438" i="12"/>
  <c r="I437" i="12"/>
  <c r="H437" i="12"/>
  <c r="I436" i="12"/>
  <c r="H436" i="12"/>
  <c r="I435" i="12"/>
  <c r="H435" i="12"/>
  <c r="I434" i="12"/>
  <c r="H434" i="12"/>
  <c r="I433" i="12"/>
  <c r="H433" i="12"/>
  <c r="I432" i="12"/>
  <c r="H432" i="12"/>
  <c r="I431" i="12"/>
  <c r="H431" i="12"/>
  <c r="I430" i="12"/>
  <c r="H430" i="12"/>
  <c r="I429" i="12"/>
  <c r="H429" i="12"/>
  <c r="I428" i="12"/>
  <c r="H428" i="12"/>
  <c r="I427" i="12"/>
  <c r="H427" i="12"/>
  <c r="I426" i="12"/>
  <c r="H426" i="12"/>
  <c r="I425" i="12"/>
  <c r="H425" i="12"/>
  <c r="I424" i="12"/>
  <c r="H424" i="12"/>
  <c r="I423" i="12"/>
  <c r="H423" i="12"/>
  <c r="I422" i="12"/>
  <c r="H422" i="12"/>
  <c r="I421" i="12"/>
  <c r="H421" i="12"/>
  <c r="I420" i="12"/>
  <c r="H420" i="12"/>
  <c r="I419" i="12"/>
  <c r="H419" i="12"/>
  <c r="I418" i="12"/>
  <c r="H418" i="12"/>
  <c r="I417" i="12"/>
  <c r="H417" i="12"/>
  <c r="I416" i="12"/>
  <c r="H416" i="12"/>
  <c r="I415" i="12"/>
  <c r="H415" i="12"/>
  <c r="I414" i="12"/>
  <c r="H414" i="12"/>
  <c r="I413" i="12"/>
  <c r="H413" i="12"/>
  <c r="I412" i="12"/>
  <c r="H412" i="12"/>
  <c r="I411" i="12"/>
  <c r="H411" i="12"/>
  <c r="I410" i="12"/>
  <c r="H410" i="12"/>
  <c r="I409" i="12"/>
  <c r="H409" i="12"/>
  <c r="I408" i="12"/>
  <c r="H408" i="12"/>
  <c r="I407" i="12"/>
  <c r="H407" i="12"/>
  <c r="I406" i="12"/>
  <c r="H406" i="12"/>
  <c r="I405" i="12"/>
  <c r="H405" i="12"/>
  <c r="I404" i="12"/>
  <c r="H404" i="12"/>
  <c r="I403" i="12"/>
  <c r="H403" i="12"/>
  <c r="I402" i="12"/>
  <c r="H402" i="12"/>
  <c r="I401" i="12"/>
  <c r="H401" i="12"/>
  <c r="I400" i="12"/>
  <c r="H400" i="12"/>
  <c r="I399" i="12"/>
  <c r="H399" i="12"/>
  <c r="I398" i="12"/>
  <c r="H398" i="12"/>
  <c r="I397" i="12"/>
  <c r="H397" i="12"/>
  <c r="I396" i="12"/>
  <c r="H396" i="12"/>
  <c r="I395" i="12"/>
  <c r="H395" i="12"/>
  <c r="I394" i="12"/>
  <c r="H394" i="12"/>
  <c r="I393" i="12"/>
  <c r="H393" i="12"/>
  <c r="I392" i="12"/>
  <c r="H392" i="12"/>
  <c r="I391" i="12"/>
  <c r="H391" i="12"/>
  <c r="I390" i="12"/>
  <c r="H390" i="12"/>
  <c r="I389" i="12"/>
  <c r="H389" i="12"/>
  <c r="I388" i="12"/>
  <c r="H388" i="12"/>
  <c r="I387" i="12"/>
  <c r="H387" i="12"/>
  <c r="I386" i="12"/>
  <c r="H386" i="12"/>
  <c r="I385" i="12"/>
  <c r="H385" i="12"/>
  <c r="I384" i="12"/>
  <c r="H384" i="12"/>
  <c r="I383" i="12"/>
  <c r="H383" i="12"/>
  <c r="I382" i="12"/>
  <c r="H382" i="12"/>
  <c r="I381" i="12"/>
  <c r="H381" i="12"/>
  <c r="I380" i="12"/>
  <c r="H380" i="12"/>
  <c r="I379" i="12"/>
  <c r="H379" i="12"/>
  <c r="I378" i="12"/>
  <c r="H378" i="12"/>
  <c r="I377" i="12"/>
  <c r="H377" i="12"/>
  <c r="I376" i="12"/>
  <c r="H376" i="12"/>
  <c r="I375" i="12"/>
  <c r="H375" i="12"/>
  <c r="I374" i="12"/>
  <c r="H374" i="12"/>
  <c r="I373" i="12"/>
  <c r="H373" i="12"/>
  <c r="I372" i="12"/>
  <c r="H372" i="12"/>
  <c r="I371" i="12"/>
  <c r="H371" i="12"/>
  <c r="I370" i="12"/>
  <c r="H370" i="12"/>
  <c r="I369" i="12"/>
  <c r="H369" i="12"/>
  <c r="I368" i="12"/>
  <c r="H368" i="12"/>
  <c r="I367" i="12"/>
  <c r="H367" i="12"/>
  <c r="I366" i="12"/>
  <c r="H366" i="12"/>
  <c r="I365" i="12"/>
  <c r="H365" i="12"/>
  <c r="I364" i="12"/>
  <c r="H364" i="12"/>
  <c r="I363" i="12"/>
  <c r="H363" i="12"/>
  <c r="I362" i="12"/>
  <c r="H362" i="12"/>
  <c r="I361" i="12"/>
  <c r="H361" i="12"/>
  <c r="I360" i="12"/>
  <c r="H360" i="12"/>
  <c r="I359" i="12"/>
  <c r="H359" i="12"/>
  <c r="I358" i="12"/>
  <c r="H358" i="12"/>
  <c r="I357" i="12"/>
  <c r="H357" i="12"/>
  <c r="I356" i="12"/>
  <c r="H356" i="12"/>
  <c r="I355" i="12"/>
  <c r="H355" i="12"/>
  <c r="I354" i="12"/>
  <c r="H354" i="12"/>
  <c r="I353" i="12"/>
  <c r="H353" i="12"/>
  <c r="I352" i="12"/>
  <c r="H352" i="12"/>
  <c r="I351" i="12"/>
  <c r="H351" i="12"/>
  <c r="I350" i="12"/>
  <c r="H350" i="12"/>
  <c r="I349" i="12"/>
  <c r="H349" i="12"/>
  <c r="I348" i="12"/>
  <c r="H348" i="12"/>
  <c r="I347" i="12"/>
  <c r="H347" i="12"/>
  <c r="I346" i="12"/>
  <c r="H346" i="12"/>
  <c r="I345" i="12"/>
  <c r="H345" i="12"/>
  <c r="I344" i="12"/>
  <c r="H344" i="12"/>
  <c r="I343" i="12"/>
  <c r="H343" i="12"/>
  <c r="I342" i="12"/>
  <c r="H342" i="12"/>
  <c r="I341" i="12"/>
  <c r="H341" i="12"/>
  <c r="I340" i="12"/>
  <c r="H340" i="12"/>
  <c r="I339" i="12"/>
  <c r="H339" i="12"/>
  <c r="I338" i="12"/>
  <c r="H338" i="12"/>
  <c r="I337" i="12"/>
  <c r="H337" i="12"/>
  <c r="I336" i="12"/>
  <c r="H336" i="12"/>
  <c r="I335" i="12"/>
  <c r="H335" i="12"/>
  <c r="I334" i="12"/>
  <c r="H334" i="12"/>
  <c r="I333" i="12"/>
  <c r="H333" i="12"/>
  <c r="I332" i="12"/>
  <c r="H332" i="12"/>
  <c r="I331" i="12"/>
  <c r="H331" i="12"/>
  <c r="I330" i="12"/>
  <c r="H330" i="12"/>
  <c r="I329" i="12"/>
  <c r="H329" i="12"/>
  <c r="I328" i="12"/>
  <c r="H328" i="12"/>
  <c r="I327" i="12"/>
  <c r="H327" i="12"/>
  <c r="I326" i="12"/>
  <c r="H326" i="12"/>
  <c r="I325" i="12"/>
  <c r="H325" i="12"/>
  <c r="I324" i="12"/>
  <c r="H324" i="12"/>
  <c r="I323" i="12"/>
  <c r="H323" i="12"/>
  <c r="I322" i="12"/>
  <c r="H322" i="12"/>
  <c r="I321" i="12"/>
  <c r="H321" i="12"/>
  <c r="I320" i="12"/>
  <c r="H320" i="12"/>
  <c r="I319" i="12"/>
  <c r="H319" i="12"/>
  <c r="I318" i="12"/>
  <c r="H318" i="12"/>
  <c r="I317" i="12"/>
  <c r="H317" i="12"/>
  <c r="I316" i="12"/>
  <c r="H316" i="12"/>
  <c r="I315" i="12"/>
  <c r="H315" i="12"/>
  <c r="I314" i="12"/>
  <c r="H314" i="12"/>
  <c r="I313" i="12"/>
  <c r="H313" i="12"/>
  <c r="I312" i="12"/>
  <c r="H312" i="12"/>
  <c r="I311" i="12"/>
  <c r="H311" i="12"/>
  <c r="I310" i="12"/>
  <c r="H310" i="12"/>
  <c r="I309" i="12"/>
  <c r="H309" i="12"/>
  <c r="I308" i="12"/>
  <c r="H308" i="12"/>
  <c r="I307" i="12"/>
  <c r="H307" i="12"/>
  <c r="I306" i="12"/>
  <c r="H306" i="12"/>
  <c r="I305" i="12"/>
  <c r="H305" i="12"/>
  <c r="I304" i="12"/>
  <c r="H304" i="12"/>
  <c r="I303" i="12"/>
  <c r="H303" i="12"/>
  <c r="I302" i="12"/>
  <c r="H302" i="12"/>
  <c r="I301" i="12"/>
  <c r="H301" i="12"/>
  <c r="I300" i="12"/>
  <c r="H300" i="12"/>
  <c r="I299" i="12"/>
  <c r="H299" i="12"/>
  <c r="I298" i="12"/>
  <c r="H298" i="12"/>
  <c r="I297" i="12"/>
  <c r="H297" i="12"/>
  <c r="I296" i="12"/>
  <c r="H296" i="12"/>
  <c r="I295" i="12"/>
  <c r="H295" i="12"/>
  <c r="I294" i="12"/>
  <c r="H294" i="12"/>
  <c r="I293" i="12"/>
  <c r="H293" i="12"/>
  <c r="I292" i="12"/>
  <c r="H292" i="12"/>
  <c r="I291" i="12"/>
  <c r="H291" i="12"/>
  <c r="I290" i="12"/>
  <c r="H290" i="12"/>
  <c r="I289" i="12"/>
  <c r="H289" i="12"/>
  <c r="I288" i="12"/>
  <c r="H288" i="12"/>
  <c r="I287" i="12"/>
  <c r="H287" i="12"/>
  <c r="I286" i="12"/>
  <c r="H286" i="12"/>
  <c r="I285" i="12"/>
  <c r="H285" i="12"/>
  <c r="I284" i="12"/>
  <c r="H284" i="12"/>
  <c r="I283" i="12"/>
  <c r="H283" i="12"/>
  <c r="I282" i="12"/>
  <c r="H282" i="12"/>
  <c r="I281" i="12"/>
  <c r="H281" i="12"/>
  <c r="I280" i="12"/>
  <c r="H280" i="12"/>
  <c r="I279" i="12"/>
  <c r="H279" i="12"/>
  <c r="I278" i="12"/>
  <c r="H278" i="12"/>
  <c r="I277" i="12"/>
  <c r="H277" i="12"/>
  <c r="I276" i="12"/>
  <c r="H276" i="12"/>
  <c r="I275" i="12"/>
  <c r="H275" i="12"/>
  <c r="I274" i="12"/>
  <c r="H274" i="12"/>
  <c r="I273" i="12"/>
  <c r="H273" i="12"/>
  <c r="I272" i="12"/>
  <c r="H272" i="12"/>
  <c r="I271" i="12"/>
  <c r="H271" i="12"/>
  <c r="I270" i="12"/>
  <c r="H270" i="12"/>
  <c r="I269" i="12"/>
  <c r="H269" i="12"/>
  <c r="I268" i="12"/>
  <c r="H268" i="12"/>
  <c r="I267" i="12"/>
  <c r="H267" i="12"/>
  <c r="I266" i="12"/>
  <c r="H266" i="12"/>
  <c r="I265" i="12"/>
  <c r="H265" i="12"/>
  <c r="I264" i="12"/>
  <c r="H264" i="12"/>
  <c r="I263" i="12"/>
  <c r="H263" i="12"/>
  <c r="I262" i="12"/>
  <c r="H262" i="12"/>
  <c r="I261" i="12"/>
  <c r="H261" i="12"/>
  <c r="I260" i="12"/>
  <c r="H260" i="12"/>
  <c r="I259" i="12"/>
  <c r="H259" i="12"/>
  <c r="I258" i="12"/>
  <c r="H258" i="12"/>
  <c r="I257" i="12"/>
  <c r="H257" i="12"/>
  <c r="I256" i="12"/>
  <c r="H256" i="12"/>
  <c r="I255" i="12"/>
  <c r="H255" i="12"/>
  <c r="I254" i="12"/>
  <c r="H254" i="12"/>
  <c r="I253" i="12"/>
  <c r="H253" i="12"/>
  <c r="I252" i="12"/>
  <c r="H252" i="12"/>
  <c r="I251" i="12"/>
  <c r="H251" i="12"/>
  <c r="I250" i="12"/>
  <c r="H250" i="12"/>
  <c r="I249" i="12"/>
  <c r="H249" i="12"/>
  <c r="I248" i="12"/>
  <c r="H248" i="12"/>
  <c r="I247" i="12"/>
  <c r="H247" i="12"/>
  <c r="I246" i="12"/>
  <c r="H246" i="12"/>
  <c r="I245" i="12"/>
  <c r="H245" i="12"/>
  <c r="I244" i="12"/>
  <c r="H244" i="12"/>
  <c r="I243" i="12"/>
  <c r="H243" i="12"/>
  <c r="I242" i="12"/>
  <c r="H242" i="12"/>
  <c r="I241" i="12"/>
  <c r="H241" i="12"/>
  <c r="I240" i="12"/>
  <c r="H240" i="12"/>
  <c r="I239" i="12"/>
  <c r="H239" i="12"/>
  <c r="I238" i="12"/>
  <c r="H238" i="12"/>
  <c r="I237" i="12"/>
  <c r="H237" i="12"/>
  <c r="I236" i="12"/>
  <c r="H236" i="12"/>
  <c r="I235" i="12"/>
  <c r="H235" i="12"/>
  <c r="I234" i="12"/>
  <c r="H234" i="12"/>
  <c r="I233" i="12"/>
  <c r="H233" i="12"/>
  <c r="I232" i="12"/>
  <c r="H232" i="12"/>
  <c r="I231" i="12"/>
  <c r="H231" i="12"/>
  <c r="I230" i="12"/>
  <c r="H230" i="12"/>
  <c r="I229" i="12"/>
  <c r="H229" i="12"/>
  <c r="I228" i="12"/>
  <c r="H228" i="12"/>
  <c r="I227" i="12"/>
  <c r="H227" i="12"/>
  <c r="I226" i="12"/>
  <c r="H226" i="12"/>
  <c r="I225" i="12"/>
  <c r="H225" i="12"/>
  <c r="I224" i="12"/>
  <c r="H224" i="12"/>
  <c r="I223" i="12"/>
  <c r="H223" i="12"/>
  <c r="I222" i="12"/>
  <c r="H222" i="12"/>
  <c r="I221" i="12"/>
  <c r="H221" i="12"/>
  <c r="I220" i="12"/>
  <c r="H220" i="12"/>
  <c r="I219" i="12"/>
  <c r="H219" i="12"/>
  <c r="I218" i="12"/>
  <c r="H218" i="12"/>
  <c r="I217" i="12"/>
  <c r="H217" i="12"/>
  <c r="I216" i="12"/>
  <c r="H216" i="12"/>
  <c r="I215" i="12"/>
  <c r="H215" i="12"/>
  <c r="I214" i="12"/>
  <c r="H214" i="12"/>
  <c r="I213" i="12"/>
  <c r="H213" i="12"/>
  <c r="I212" i="12"/>
  <c r="H212" i="12"/>
  <c r="I211" i="12"/>
  <c r="H211" i="12"/>
  <c r="I210" i="12"/>
  <c r="H210" i="12"/>
  <c r="I209" i="12"/>
  <c r="H209" i="12"/>
  <c r="I208" i="12"/>
  <c r="H208" i="12"/>
  <c r="I207" i="12"/>
  <c r="H207" i="12"/>
  <c r="I206" i="12"/>
  <c r="H206" i="12"/>
  <c r="I205" i="12"/>
  <c r="H205" i="12"/>
  <c r="I204" i="12"/>
  <c r="H204" i="12"/>
  <c r="I203" i="12"/>
  <c r="H203" i="12"/>
  <c r="I202" i="12"/>
  <c r="H202" i="12"/>
  <c r="I201" i="12"/>
  <c r="H201" i="12"/>
  <c r="I200" i="12"/>
  <c r="H200" i="12"/>
  <c r="I199" i="12"/>
  <c r="H199" i="12"/>
  <c r="I198" i="12"/>
  <c r="H198" i="12"/>
  <c r="I197" i="12"/>
  <c r="H197" i="12"/>
  <c r="I196" i="12"/>
  <c r="H196" i="12"/>
  <c r="I195" i="12"/>
  <c r="H195" i="12"/>
  <c r="I194" i="12"/>
  <c r="H194" i="12"/>
  <c r="I193" i="12"/>
  <c r="H193" i="12"/>
  <c r="I192" i="12"/>
  <c r="H192" i="12"/>
  <c r="I191" i="12"/>
  <c r="H191" i="12"/>
  <c r="I190" i="12"/>
  <c r="H190" i="12"/>
  <c r="I189" i="12"/>
  <c r="H189" i="12"/>
  <c r="I188" i="12"/>
  <c r="H188" i="12"/>
  <c r="I187" i="12"/>
  <c r="H187" i="12"/>
  <c r="I186" i="12"/>
  <c r="H186" i="12"/>
  <c r="I185" i="12"/>
  <c r="H185" i="12"/>
  <c r="I184" i="12"/>
  <c r="H184" i="12"/>
  <c r="I183" i="12"/>
  <c r="H183" i="12"/>
  <c r="I182" i="12"/>
  <c r="H182" i="12"/>
  <c r="I181" i="12"/>
  <c r="H181" i="12"/>
  <c r="I180" i="12"/>
  <c r="H180" i="12"/>
  <c r="I179" i="12"/>
  <c r="H179" i="12"/>
  <c r="I178" i="12"/>
  <c r="H178" i="12"/>
  <c r="I177" i="12"/>
  <c r="H177" i="12"/>
  <c r="I176" i="12"/>
  <c r="H176" i="12"/>
  <c r="I175" i="12"/>
  <c r="H175" i="12"/>
  <c r="I174" i="12"/>
  <c r="H174" i="12"/>
  <c r="I173" i="12"/>
  <c r="H173" i="12"/>
  <c r="I172" i="12"/>
  <c r="H172" i="12"/>
  <c r="I171" i="12"/>
  <c r="H171" i="12"/>
  <c r="I170" i="12"/>
  <c r="H170" i="12"/>
  <c r="I169" i="12"/>
  <c r="H169" i="12"/>
  <c r="I168" i="12"/>
  <c r="H168" i="12"/>
  <c r="I167" i="12"/>
  <c r="H167" i="12"/>
  <c r="I166" i="12"/>
  <c r="H166" i="12"/>
  <c r="I165" i="12"/>
  <c r="H165" i="12"/>
  <c r="I164" i="12"/>
  <c r="H164" i="12"/>
  <c r="I163" i="12"/>
  <c r="H163" i="12"/>
  <c r="I162" i="12"/>
  <c r="H162" i="12"/>
  <c r="I161" i="12"/>
  <c r="H161" i="12"/>
  <c r="I160" i="12"/>
  <c r="H160" i="12"/>
  <c r="I159" i="12"/>
  <c r="H159" i="12"/>
  <c r="I158" i="12"/>
  <c r="H158" i="12"/>
  <c r="I157" i="12"/>
  <c r="H157" i="12"/>
  <c r="I156" i="12"/>
  <c r="H156" i="12"/>
  <c r="I155" i="12"/>
  <c r="H155" i="12"/>
  <c r="I154" i="12"/>
  <c r="H154" i="12"/>
  <c r="I153" i="12"/>
  <c r="H153" i="12"/>
  <c r="I152" i="12"/>
  <c r="H152" i="12"/>
  <c r="I151" i="12"/>
  <c r="H151" i="12"/>
  <c r="I150" i="12"/>
  <c r="H150" i="12"/>
  <c r="I149" i="12"/>
  <c r="H149" i="12"/>
  <c r="I148" i="12"/>
  <c r="H148" i="12"/>
  <c r="I147" i="12"/>
  <c r="H147" i="12"/>
  <c r="I146" i="12"/>
  <c r="H146" i="12"/>
  <c r="I145" i="12"/>
  <c r="H145" i="12"/>
  <c r="I144" i="12"/>
  <c r="H144" i="12"/>
  <c r="I143" i="12"/>
  <c r="H143" i="12"/>
  <c r="I142" i="12"/>
  <c r="H142" i="12"/>
  <c r="I141" i="12"/>
  <c r="H141" i="12"/>
  <c r="I140" i="12"/>
  <c r="H140" i="12"/>
  <c r="I139" i="12"/>
  <c r="H139" i="12"/>
  <c r="I138" i="12"/>
  <c r="H138" i="12"/>
  <c r="I137" i="12"/>
  <c r="H137" i="12"/>
  <c r="I136" i="12"/>
  <c r="H136" i="12"/>
  <c r="I135" i="12"/>
  <c r="H135" i="12"/>
  <c r="I134" i="12"/>
  <c r="H134" i="12"/>
  <c r="I133" i="12"/>
  <c r="H133" i="12"/>
  <c r="I132" i="12"/>
  <c r="H132" i="12"/>
  <c r="I131" i="12"/>
  <c r="H131" i="12"/>
  <c r="I130" i="12"/>
  <c r="H130" i="12"/>
  <c r="I129" i="12"/>
  <c r="H129" i="12"/>
  <c r="I128" i="12"/>
  <c r="H128" i="12"/>
  <c r="I127" i="12"/>
  <c r="H127" i="12"/>
  <c r="I126" i="12"/>
  <c r="H126" i="12"/>
  <c r="I125" i="12"/>
  <c r="H125" i="12"/>
  <c r="I124" i="12"/>
  <c r="H124" i="12"/>
  <c r="I123" i="12"/>
  <c r="H123" i="12"/>
  <c r="I122" i="12"/>
  <c r="H122" i="12"/>
  <c r="I121" i="12"/>
  <c r="H121" i="12"/>
  <c r="I120" i="12"/>
  <c r="H120" i="12"/>
  <c r="I119" i="12"/>
  <c r="H119" i="12"/>
  <c r="I118" i="12"/>
  <c r="H118" i="12"/>
  <c r="I117" i="12"/>
  <c r="H117" i="12"/>
  <c r="I116" i="12"/>
  <c r="H116" i="12"/>
  <c r="I115" i="12"/>
  <c r="H115" i="12"/>
  <c r="I114" i="12"/>
  <c r="H114" i="12"/>
  <c r="I113" i="12"/>
  <c r="H113" i="12"/>
  <c r="I112" i="12"/>
  <c r="H112" i="12"/>
  <c r="I111" i="12"/>
  <c r="H111" i="12"/>
  <c r="I110" i="12"/>
  <c r="H110" i="12"/>
  <c r="I109" i="12"/>
  <c r="H109" i="12"/>
  <c r="I108" i="12"/>
  <c r="H108" i="12"/>
  <c r="I107" i="12"/>
  <c r="H107" i="12"/>
  <c r="I106" i="12"/>
  <c r="H106" i="12"/>
  <c r="I105" i="12"/>
  <c r="H105" i="12"/>
  <c r="I104" i="12"/>
  <c r="H104" i="12"/>
  <c r="I103" i="12"/>
  <c r="H103" i="12"/>
  <c r="I102" i="12"/>
  <c r="H102" i="12"/>
  <c r="I101" i="12"/>
  <c r="H101" i="12"/>
  <c r="I100" i="12"/>
  <c r="H100" i="12"/>
  <c r="I99" i="12"/>
  <c r="H99" i="12"/>
  <c r="I98" i="12"/>
  <c r="H98" i="12"/>
  <c r="I97" i="12"/>
  <c r="H97" i="12"/>
  <c r="I96" i="12"/>
  <c r="H96" i="12"/>
  <c r="I95" i="12"/>
  <c r="H95" i="12"/>
  <c r="I94" i="12"/>
  <c r="H94" i="12"/>
  <c r="I93" i="12"/>
  <c r="H93" i="12"/>
  <c r="I92" i="12"/>
  <c r="H92" i="12"/>
  <c r="I91" i="12"/>
  <c r="H91" i="12"/>
  <c r="I90" i="12"/>
  <c r="H90" i="12"/>
  <c r="I89" i="12"/>
  <c r="H89" i="12"/>
  <c r="I88" i="12"/>
  <c r="H88" i="12"/>
  <c r="I87" i="12"/>
  <c r="H87" i="12"/>
  <c r="I86" i="12"/>
  <c r="H86" i="12"/>
  <c r="I85" i="12"/>
  <c r="H85" i="12"/>
  <c r="I84" i="12"/>
  <c r="H84" i="12"/>
  <c r="I83" i="12"/>
  <c r="H83" i="12"/>
  <c r="I82" i="12"/>
  <c r="H82" i="12"/>
  <c r="I81" i="12"/>
  <c r="H81" i="12"/>
  <c r="I80" i="12"/>
  <c r="H80" i="12"/>
  <c r="I79" i="12"/>
  <c r="H79" i="12"/>
  <c r="I78" i="12"/>
  <c r="H78" i="12"/>
  <c r="I77" i="12"/>
  <c r="H77" i="12"/>
  <c r="I76" i="12"/>
  <c r="H76" i="12"/>
  <c r="I75" i="12"/>
  <c r="H75" i="12"/>
  <c r="I74" i="12"/>
  <c r="H74" i="12"/>
  <c r="I73" i="12"/>
  <c r="H73" i="12"/>
  <c r="I72" i="12"/>
  <c r="H72" i="12"/>
  <c r="I71" i="12"/>
  <c r="H71" i="12"/>
  <c r="I70" i="12"/>
  <c r="H70" i="12"/>
  <c r="I69" i="12"/>
  <c r="H69" i="12"/>
  <c r="I68" i="12"/>
  <c r="H68" i="12"/>
  <c r="I67" i="12"/>
  <c r="H67" i="12"/>
  <c r="I66" i="12"/>
  <c r="H66" i="12"/>
  <c r="I65" i="12"/>
  <c r="H65" i="12"/>
  <c r="I64" i="12"/>
  <c r="H64" i="12"/>
  <c r="I63" i="12"/>
  <c r="H63" i="12"/>
  <c r="I62" i="12"/>
  <c r="H62" i="12"/>
  <c r="I61" i="12"/>
  <c r="H61" i="12"/>
  <c r="I60" i="12"/>
  <c r="H60" i="12"/>
  <c r="I59" i="12"/>
  <c r="H59" i="12"/>
  <c r="I58" i="12"/>
  <c r="H58" i="12"/>
  <c r="I57" i="12"/>
  <c r="H57" i="12"/>
  <c r="I56" i="12"/>
  <c r="H56" i="12"/>
  <c r="I55" i="12"/>
  <c r="H55" i="12"/>
  <c r="I54" i="12"/>
  <c r="H54" i="12"/>
  <c r="I53" i="12"/>
  <c r="H53" i="12"/>
  <c r="I52" i="12"/>
  <c r="H52" i="12"/>
  <c r="I51" i="12"/>
  <c r="H51" i="12"/>
  <c r="I50" i="12"/>
  <c r="H50" i="12"/>
  <c r="I49" i="12"/>
  <c r="H49" i="12"/>
  <c r="I48" i="12"/>
  <c r="H48" i="12"/>
  <c r="I47" i="12"/>
  <c r="H47" i="12"/>
  <c r="I46" i="12"/>
  <c r="H46" i="12"/>
  <c r="I45" i="12"/>
  <c r="H45" i="12"/>
  <c r="I44" i="12"/>
  <c r="H44" i="12"/>
  <c r="I43" i="12"/>
  <c r="H43" i="12"/>
  <c r="I42" i="12"/>
  <c r="H42" i="12"/>
  <c r="I41" i="12"/>
  <c r="H41" i="12"/>
  <c r="I40" i="12"/>
  <c r="H40" i="12"/>
  <c r="I39" i="12"/>
  <c r="H39" i="12"/>
  <c r="I38" i="12"/>
  <c r="H38" i="12"/>
  <c r="I37" i="12"/>
  <c r="H37" i="12"/>
  <c r="I36" i="12"/>
  <c r="H36" i="12"/>
  <c r="I35" i="12"/>
  <c r="H35" i="12"/>
  <c r="I34" i="12"/>
  <c r="H34" i="12"/>
  <c r="I33" i="12"/>
  <c r="H33" i="12"/>
  <c r="I32" i="12"/>
  <c r="H32" i="12"/>
  <c r="I31" i="12"/>
  <c r="H31" i="12"/>
  <c r="I30" i="12"/>
  <c r="H30" i="12"/>
  <c r="I29" i="12"/>
  <c r="H29" i="12"/>
  <c r="I28" i="12"/>
  <c r="H28" i="12"/>
  <c r="I27" i="12"/>
  <c r="H27" i="12"/>
  <c r="I26" i="12"/>
  <c r="H26" i="12"/>
  <c r="I25" i="12"/>
  <c r="H25" i="12"/>
  <c r="I24" i="12"/>
  <c r="H24" i="12"/>
  <c r="I23" i="12"/>
  <c r="H23" i="12"/>
  <c r="I22" i="12"/>
  <c r="H22" i="12"/>
  <c r="I21" i="12"/>
  <c r="H21" i="12"/>
  <c r="I20" i="12"/>
  <c r="H20" i="12"/>
  <c r="I19" i="12"/>
  <c r="H19" i="12"/>
  <c r="I18" i="12"/>
  <c r="H18" i="12"/>
  <c r="I17" i="12"/>
  <c r="H17" i="12"/>
  <c r="I16" i="12"/>
  <c r="H16" i="12"/>
  <c r="I15" i="12"/>
  <c r="H15" i="12"/>
  <c r="I14" i="12"/>
  <c r="H14" i="12"/>
  <c r="I13" i="12"/>
  <c r="H13" i="12"/>
  <c r="I12" i="12"/>
  <c r="H12" i="12"/>
  <c r="I11" i="12"/>
  <c r="H11" i="12"/>
  <c r="I10" i="12"/>
  <c r="H10" i="12"/>
  <c r="I9" i="12"/>
  <c r="H9" i="12"/>
  <c r="I8" i="12"/>
  <c r="H8" i="12"/>
  <c r="I7" i="12"/>
  <c r="H7" i="12"/>
  <c r="I6" i="12"/>
  <c r="H6" i="12"/>
  <c r="I5" i="12"/>
  <c r="H5" i="12"/>
  <c r="I4" i="12"/>
  <c r="H4" i="12"/>
  <c r="K3" i="12"/>
  <c r="J3" i="12"/>
  <c r="I3" i="12"/>
  <c r="H3" i="12"/>
  <c r="K5" i="11"/>
  <c r="J5" i="11"/>
  <c r="I5" i="11"/>
  <c r="K4" i="11"/>
  <c r="J4" i="11"/>
  <c r="I4" i="11"/>
  <c r="K3" i="11"/>
  <c r="J3" i="11"/>
  <c r="I3" i="11"/>
  <c r="K2" i="11"/>
  <c r="J2" i="11"/>
  <c r="I2" i="11"/>
  <c r="K47" i="9"/>
  <c r="J47" i="9"/>
  <c r="I47" i="9"/>
  <c r="H47" i="9"/>
  <c r="K45" i="9"/>
  <c r="J45" i="9"/>
  <c r="I45" i="9"/>
  <c r="H45" i="9"/>
  <c r="K44" i="9"/>
  <c r="J44" i="9"/>
  <c r="I44" i="9"/>
  <c r="H44" i="9"/>
  <c r="K43" i="9"/>
  <c r="J43" i="9"/>
  <c r="I43" i="9"/>
  <c r="H43" i="9"/>
  <c r="K42" i="9"/>
  <c r="J42" i="9"/>
  <c r="I42" i="9"/>
  <c r="H42" i="9"/>
  <c r="K41" i="9"/>
  <c r="J41" i="9"/>
  <c r="I41" i="9"/>
  <c r="H41" i="9"/>
  <c r="K37" i="9"/>
  <c r="J37" i="9"/>
  <c r="I37" i="9"/>
  <c r="H37" i="9"/>
  <c r="K36" i="9"/>
  <c r="J36" i="9"/>
  <c r="I36" i="9"/>
  <c r="H36" i="9"/>
  <c r="K35" i="9"/>
  <c r="J35" i="9"/>
  <c r="I35" i="9"/>
  <c r="H35" i="9"/>
  <c r="K34" i="9"/>
  <c r="J34" i="9"/>
  <c r="I34" i="9"/>
  <c r="H34" i="9"/>
  <c r="K33" i="9"/>
  <c r="J33" i="9"/>
  <c r="I33" i="9"/>
  <c r="H33" i="9"/>
  <c r="K32" i="9"/>
  <c r="J32" i="9"/>
  <c r="I32" i="9"/>
  <c r="H32" i="9"/>
  <c r="K31" i="9"/>
  <c r="J31" i="9"/>
  <c r="I31" i="9"/>
  <c r="H31" i="9"/>
  <c r="K30" i="9"/>
  <c r="J30" i="9"/>
  <c r="I30" i="9"/>
  <c r="H30" i="9"/>
  <c r="K29" i="9"/>
  <c r="J29" i="9"/>
  <c r="I29" i="9"/>
  <c r="H29" i="9"/>
  <c r="K28" i="9"/>
  <c r="J28" i="9"/>
  <c r="I28" i="9"/>
  <c r="H28" i="9"/>
  <c r="K27" i="9"/>
  <c r="J27" i="9"/>
  <c r="I27" i="9"/>
  <c r="H27" i="9"/>
  <c r="K26" i="9"/>
  <c r="J26" i="9"/>
  <c r="I26" i="9"/>
  <c r="H26" i="9"/>
  <c r="K25" i="9"/>
  <c r="J25" i="9"/>
  <c r="I25" i="9"/>
  <c r="H25" i="9"/>
  <c r="K23" i="9"/>
  <c r="J23" i="9"/>
  <c r="I23" i="9"/>
  <c r="H23" i="9"/>
  <c r="K22" i="9"/>
  <c r="J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2" i="9"/>
  <c r="J12" i="9"/>
  <c r="I12" i="9"/>
  <c r="H12" i="9"/>
  <c r="K10" i="9"/>
  <c r="J10" i="9"/>
  <c r="I10" i="9"/>
  <c r="H10" i="9"/>
  <c r="K9" i="9"/>
  <c r="J9" i="9"/>
  <c r="I9" i="9"/>
  <c r="H9" i="9"/>
  <c r="K8" i="9"/>
  <c r="J8" i="9"/>
  <c r="I8" i="9"/>
  <c r="H8" i="9"/>
  <c r="K7" i="9"/>
  <c r="J7" i="9"/>
  <c r="H7" i="9"/>
  <c r="K6" i="9"/>
  <c r="J6" i="9"/>
  <c r="I6" i="9"/>
  <c r="H6" i="9"/>
  <c r="K5" i="9"/>
  <c r="J5" i="9"/>
  <c r="I5" i="9"/>
  <c r="H5" i="9"/>
  <c r="K55" i="8"/>
  <c r="K53" i="8"/>
  <c r="J53" i="8"/>
  <c r="H53" i="8"/>
  <c r="K51" i="8"/>
  <c r="J51" i="8"/>
  <c r="I51" i="8"/>
  <c r="H51" i="8"/>
  <c r="K48" i="8"/>
  <c r="J48" i="8"/>
  <c r="I48" i="8"/>
  <c r="H48" i="8"/>
  <c r="K44" i="8"/>
  <c r="J44" i="8"/>
  <c r="I44" i="8"/>
  <c r="H44" i="8"/>
  <c r="K43" i="8"/>
  <c r="J43" i="8"/>
  <c r="I43" i="8"/>
  <c r="H43" i="8"/>
  <c r="K42" i="8"/>
  <c r="J42" i="8"/>
  <c r="I42" i="8"/>
  <c r="H42" i="8"/>
  <c r="K40" i="8"/>
  <c r="J40" i="8"/>
  <c r="I40" i="8"/>
  <c r="H40" i="8"/>
  <c r="K39" i="8"/>
  <c r="J39" i="8"/>
  <c r="I39" i="8"/>
  <c r="H39" i="8"/>
  <c r="K38" i="8"/>
  <c r="J38" i="8"/>
  <c r="I38" i="8"/>
  <c r="H38" i="8"/>
  <c r="K37" i="8"/>
  <c r="K35" i="8"/>
  <c r="J35" i="8"/>
  <c r="I35" i="8"/>
  <c r="H35" i="8"/>
  <c r="K34" i="8"/>
  <c r="J34" i="8"/>
  <c r="I34" i="8"/>
  <c r="H34" i="8"/>
  <c r="K33" i="8"/>
  <c r="J33" i="8"/>
  <c r="I33" i="8"/>
  <c r="H33" i="8"/>
  <c r="K32" i="8"/>
  <c r="J32" i="8"/>
  <c r="I32" i="8"/>
  <c r="H32" i="8"/>
  <c r="K31" i="8"/>
  <c r="J31" i="8"/>
  <c r="I31" i="8"/>
  <c r="H31" i="8"/>
  <c r="K30" i="8"/>
  <c r="J30" i="8"/>
  <c r="I30" i="8"/>
  <c r="H30" i="8"/>
  <c r="K29" i="8"/>
  <c r="J29" i="8"/>
  <c r="I29" i="8"/>
  <c r="H29" i="8"/>
  <c r="K28" i="8"/>
  <c r="J28" i="8"/>
  <c r="I28" i="8"/>
  <c r="H28" i="8"/>
  <c r="K27" i="8"/>
  <c r="J27" i="8"/>
  <c r="I27" i="8"/>
  <c r="H27" i="8"/>
  <c r="K26" i="8"/>
  <c r="J26" i="8"/>
  <c r="I26" i="8"/>
  <c r="H26" i="8"/>
  <c r="K23" i="8"/>
  <c r="J23" i="8"/>
  <c r="I23" i="8"/>
  <c r="H23" i="8"/>
  <c r="K22" i="8"/>
  <c r="J22" i="8"/>
  <c r="I22" i="8"/>
  <c r="H22" i="8"/>
  <c r="K21" i="8"/>
  <c r="J21" i="8"/>
  <c r="I21" i="8"/>
  <c r="H21" i="8"/>
  <c r="K20" i="8"/>
  <c r="J20" i="8"/>
  <c r="I20" i="8"/>
  <c r="H20" i="8"/>
  <c r="K19" i="8"/>
  <c r="J19" i="8"/>
  <c r="I19" i="8"/>
  <c r="H19" i="8"/>
  <c r="K18" i="8"/>
  <c r="J18" i="8"/>
  <c r="I18" i="8"/>
  <c r="H18" i="8"/>
  <c r="K16" i="8"/>
  <c r="J16" i="8"/>
  <c r="I16" i="8"/>
  <c r="H16" i="8"/>
  <c r="K15" i="8"/>
  <c r="J15" i="8"/>
  <c r="I15" i="8"/>
  <c r="H15" i="8"/>
  <c r="K14" i="8"/>
  <c r="J14" i="8"/>
  <c r="I14" i="8"/>
  <c r="H14" i="8"/>
  <c r="I13" i="8"/>
  <c r="H13" i="8"/>
  <c r="K11" i="8"/>
  <c r="J11" i="8"/>
  <c r="I11" i="8"/>
  <c r="H11" i="8"/>
  <c r="K10" i="8"/>
  <c r="J10" i="8"/>
  <c r="I10" i="8"/>
  <c r="H10" i="8"/>
  <c r="K9" i="8"/>
  <c r="J9" i="8"/>
  <c r="I9" i="8"/>
  <c r="H9" i="8"/>
  <c r="K8" i="8"/>
  <c r="J8" i="8"/>
  <c r="I8" i="8"/>
  <c r="H8" i="8"/>
  <c r="K7" i="8"/>
  <c r="J7" i="8"/>
  <c r="I7" i="8"/>
  <c r="H7" i="8"/>
  <c r="K6" i="8"/>
  <c r="J6" i="8"/>
  <c r="I6" i="8"/>
  <c r="H6" i="8"/>
  <c r="J45" i="7"/>
  <c r="I45" i="7"/>
  <c r="H45" i="7"/>
  <c r="G45" i="7"/>
  <c r="J44" i="7"/>
  <c r="I44" i="7"/>
  <c r="H44" i="7"/>
  <c r="G44" i="7"/>
  <c r="J42" i="7"/>
  <c r="I42" i="7"/>
  <c r="H42" i="7"/>
  <c r="G42" i="7"/>
  <c r="J41" i="7"/>
  <c r="I41" i="7"/>
  <c r="H41" i="7"/>
  <c r="G41" i="7"/>
  <c r="J40" i="7"/>
  <c r="I40" i="7"/>
  <c r="H40" i="7"/>
  <c r="G40" i="7"/>
  <c r="J39" i="7"/>
  <c r="I39" i="7"/>
  <c r="H39" i="7"/>
  <c r="G39" i="7"/>
  <c r="J38" i="7"/>
  <c r="I38" i="7"/>
  <c r="H38" i="7"/>
  <c r="G38" i="7"/>
  <c r="J34" i="7"/>
  <c r="I34" i="7"/>
  <c r="H34" i="7"/>
  <c r="G34" i="7"/>
  <c r="J33" i="7"/>
  <c r="I33" i="7"/>
  <c r="H33" i="7"/>
  <c r="G33" i="7"/>
  <c r="J32" i="7"/>
  <c r="I32" i="7"/>
  <c r="H32" i="7"/>
  <c r="G32" i="7"/>
  <c r="J31" i="7"/>
  <c r="I31" i="7"/>
  <c r="H31" i="7"/>
  <c r="G31" i="7"/>
  <c r="J30" i="7"/>
  <c r="I30" i="7"/>
  <c r="H30" i="7"/>
  <c r="G30" i="7"/>
  <c r="J29" i="7"/>
  <c r="I29" i="7"/>
  <c r="H29" i="7"/>
  <c r="G29" i="7"/>
  <c r="J28" i="7"/>
  <c r="I28" i="7"/>
  <c r="H28" i="7"/>
  <c r="G28" i="7"/>
  <c r="J27" i="7"/>
  <c r="I27" i="7"/>
  <c r="H27" i="7"/>
  <c r="G27" i="7"/>
  <c r="J26" i="7"/>
  <c r="I26" i="7"/>
  <c r="H26" i="7"/>
  <c r="G26" i="7"/>
  <c r="J25" i="7"/>
  <c r="I25" i="7"/>
  <c r="H25" i="7"/>
  <c r="G25" i="7"/>
  <c r="J23" i="7"/>
  <c r="I23" i="7"/>
  <c r="H23" i="7"/>
  <c r="G23" i="7"/>
  <c r="J22" i="7"/>
  <c r="I22" i="7"/>
  <c r="H22" i="7"/>
  <c r="G22" i="7"/>
  <c r="J21" i="7"/>
  <c r="I21" i="7"/>
  <c r="H21" i="7"/>
  <c r="G21" i="7"/>
  <c r="J20" i="7"/>
  <c r="I20" i="7"/>
  <c r="H20" i="7"/>
  <c r="G20" i="7"/>
  <c r="J19" i="7"/>
  <c r="I19" i="7"/>
  <c r="H19" i="7"/>
  <c r="G19" i="7"/>
  <c r="J18" i="7"/>
  <c r="I18" i="7"/>
  <c r="H18" i="7"/>
  <c r="G18" i="7"/>
  <c r="J17" i="7"/>
  <c r="I17" i="7"/>
  <c r="H17" i="7"/>
  <c r="G17" i="7"/>
  <c r="J16" i="7"/>
  <c r="I16" i="7"/>
  <c r="H16" i="7"/>
  <c r="G16" i="7"/>
  <c r="J15" i="7"/>
  <c r="I15" i="7"/>
  <c r="H15" i="7"/>
  <c r="G15" i="7"/>
  <c r="J14" i="7"/>
  <c r="I14" i="7"/>
  <c r="H14" i="7"/>
  <c r="G14" i="7"/>
  <c r="J13" i="7"/>
  <c r="I13" i="7"/>
  <c r="H13" i="7"/>
  <c r="G13" i="7"/>
  <c r="J12" i="7"/>
  <c r="I12" i="7"/>
  <c r="H12" i="7"/>
  <c r="G12" i="7"/>
  <c r="J10" i="7"/>
  <c r="I10" i="7"/>
  <c r="H10" i="7"/>
  <c r="G10" i="7"/>
  <c r="J9" i="7"/>
  <c r="I9" i="7"/>
  <c r="H9" i="7"/>
  <c r="G9" i="7"/>
  <c r="J8" i="7"/>
  <c r="I8" i="7"/>
  <c r="H8" i="7"/>
  <c r="G8" i="7"/>
  <c r="J7" i="7"/>
  <c r="I7" i="7"/>
  <c r="H7" i="7"/>
  <c r="G7" i="7"/>
  <c r="J6" i="7"/>
  <c r="I6" i="7"/>
  <c r="H6" i="7"/>
  <c r="G6" i="7"/>
  <c r="J5" i="7"/>
  <c r="I5" i="7"/>
  <c r="H5" i="7"/>
  <c r="G5" i="7"/>
  <c r="J55" i="6"/>
  <c r="I55" i="6"/>
  <c r="H55" i="6"/>
  <c r="G55" i="6"/>
  <c r="J54" i="6"/>
  <c r="I54" i="6"/>
  <c r="H54" i="6"/>
  <c r="G54" i="6"/>
  <c r="J52" i="6"/>
  <c r="I52" i="6"/>
  <c r="H52" i="6"/>
  <c r="G52" i="6"/>
  <c r="J51" i="6"/>
  <c r="I51" i="6"/>
  <c r="H51" i="6"/>
  <c r="G51" i="6"/>
  <c r="J49" i="6"/>
  <c r="I49" i="6"/>
  <c r="H49" i="6"/>
  <c r="G49" i="6"/>
  <c r="J47" i="6"/>
  <c r="I47" i="6"/>
  <c r="H47" i="6"/>
  <c r="G47" i="6"/>
  <c r="J46" i="6"/>
  <c r="I46" i="6"/>
  <c r="H46" i="6"/>
  <c r="G46" i="6"/>
  <c r="J42" i="6"/>
  <c r="I42" i="6"/>
  <c r="H42" i="6"/>
  <c r="G42" i="6"/>
  <c r="J41" i="6"/>
  <c r="I41" i="6"/>
  <c r="H41" i="6"/>
  <c r="G41" i="6"/>
  <c r="J40" i="6"/>
  <c r="I40" i="6"/>
  <c r="H40" i="6"/>
  <c r="G40" i="6"/>
  <c r="J38" i="6"/>
  <c r="I38" i="6"/>
  <c r="H38" i="6"/>
  <c r="G38" i="6"/>
  <c r="J37" i="6"/>
  <c r="I37" i="6"/>
  <c r="H37" i="6"/>
  <c r="G37" i="6"/>
  <c r="J36" i="6"/>
  <c r="I36" i="6"/>
  <c r="H36" i="6"/>
  <c r="G36" i="6"/>
  <c r="J34" i="6"/>
  <c r="I34" i="6"/>
  <c r="H34" i="6"/>
  <c r="G34" i="6"/>
  <c r="J33" i="6"/>
  <c r="I33" i="6"/>
  <c r="H33" i="6"/>
  <c r="G33" i="6"/>
  <c r="J32" i="6"/>
  <c r="I32" i="6"/>
  <c r="H32" i="6"/>
  <c r="G32" i="6"/>
  <c r="J31" i="6"/>
  <c r="I31" i="6"/>
  <c r="H31" i="6"/>
  <c r="G31" i="6"/>
  <c r="J30" i="6"/>
  <c r="I30" i="6"/>
  <c r="H30" i="6"/>
  <c r="G30" i="6"/>
  <c r="J29" i="6"/>
  <c r="I29" i="6"/>
  <c r="H29" i="6"/>
  <c r="G29" i="6"/>
  <c r="J28" i="6"/>
  <c r="I28" i="6"/>
  <c r="H28" i="6"/>
  <c r="G28" i="6"/>
  <c r="J27" i="6"/>
  <c r="I27" i="6"/>
  <c r="H27" i="6"/>
  <c r="G27" i="6"/>
  <c r="J26" i="6"/>
  <c r="I26" i="6"/>
  <c r="H26" i="6"/>
  <c r="G26" i="6"/>
  <c r="J25" i="6"/>
  <c r="I25" i="6"/>
  <c r="H25" i="6"/>
  <c r="G25" i="6"/>
  <c r="J22" i="6"/>
  <c r="I22" i="6"/>
  <c r="H22" i="6"/>
  <c r="G22" i="6"/>
  <c r="J21" i="6"/>
  <c r="I21" i="6"/>
  <c r="H21" i="6"/>
  <c r="G21" i="6"/>
  <c r="J20" i="6"/>
  <c r="I20" i="6"/>
  <c r="H20" i="6"/>
  <c r="G20" i="6"/>
  <c r="J19" i="6"/>
  <c r="I19" i="6"/>
  <c r="H19" i="6"/>
  <c r="G19" i="6"/>
  <c r="J18" i="6"/>
  <c r="I18" i="6"/>
  <c r="H18" i="6"/>
  <c r="G18" i="6"/>
  <c r="J17" i="6"/>
  <c r="I17" i="6"/>
  <c r="H17" i="6"/>
  <c r="G17" i="6"/>
  <c r="J15" i="6"/>
  <c r="I15" i="6"/>
  <c r="H15" i="6"/>
  <c r="G15" i="6"/>
  <c r="J14" i="6"/>
  <c r="I14" i="6"/>
  <c r="H14" i="6"/>
  <c r="G14" i="6"/>
  <c r="J13" i="6"/>
  <c r="I13" i="6"/>
  <c r="H13" i="6"/>
  <c r="G13" i="6"/>
  <c r="J12" i="6"/>
  <c r="I12" i="6"/>
  <c r="H12" i="6"/>
  <c r="J10" i="6"/>
  <c r="I10" i="6"/>
  <c r="H10" i="6"/>
  <c r="G10" i="6"/>
  <c r="J9" i="6"/>
  <c r="I9" i="6"/>
  <c r="H9" i="6"/>
  <c r="G9" i="6"/>
  <c r="J8" i="6"/>
  <c r="I8" i="6"/>
  <c r="H8" i="6"/>
  <c r="G8" i="6"/>
  <c r="J7" i="6"/>
  <c r="I7" i="6"/>
  <c r="H7" i="6"/>
  <c r="G7" i="6"/>
  <c r="J6" i="6"/>
  <c r="I6" i="6"/>
  <c r="H6" i="6"/>
  <c r="G6" i="6"/>
  <c r="M48" i="5"/>
  <c r="L48" i="5"/>
  <c r="K48" i="5"/>
  <c r="M46" i="5"/>
  <c r="L46" i="5"/>
  <c r="K46" i="5"/>
  <c r="M45" i="5"/>
  <c r="L45" i="5"/>
  <c r="K45" i="5"/>
  <c r="M44" i="5"/>
  <c r="L44" i="5"/>
  <c r="K44" i="5"/>
  <c r="M43" i="5"/>
  <c r="L43" i="5"/>
  <c r="K43" i="5"/>
  <c r="M41" i="5"/>
  <c r="L41" i="5"/>
  <c r="K41" i="5"/>
  <c r="M40" i="5"/>
  <c r="M38" i="5"/>
  <c r="L38" i="5"/>
  <c r="K38" i="5"/>
  <c r="M37" i="5"/>
  <c r="L37" i="5"/>
  <c r="K37" i="5"/>
  <c r="M36" i="5"/>
  <c r="L36" i="5"/>
  <c r="M35" i="5"/>
  <c r="L35" i="5"/>
  <c r="K35" i="5"/>
  <c r="M34" i="5"/>
  <c r="L34" i="5"/>
  <c r="K34" i="5"/>
  <c r="M33" i="5"/>
  <c r="L33" i="5"/>
  <c r="K33" i="5"/>
  <c r="M32" i="5"/>
  <c r="L32" i="5"/>
  <c r="K32" i="5"/>
  <c r="M31" i="5"/>
  <c r="L31" i="5"/>
  <c r="M30" i="5"/>
  <c r="L30" i="5"/>
  <c r="K30" i="5"/>
  <c r="M29" i="5"/>
  <c r="L29" i="5"/>
  <c r="K29" i="5"/>
  <c r="M28" i="5"/>
  <c r="L28" i="5"/>
  <c r="K28" i="5"/>
  <c r="M27" i="5"/>
  <c r="L27" i="5"/>
  <c r="K27" i="5"/>
  <c r="M26" i="5"/>
  <c r="L26" i="5"/>
  <c r="K26" i="5"/>
  <c r="M25" i="5"/>
  <c r="L25" i="5"/>
  <c r="K25" i="5"/>
  <c r="M23" i="5"/>
  <c r="L23" i="5"/>
  <c r="K23" i="5"/>
  <c r="M22" i="5"/>
  <c r="L22" i="5"/>
  <c r="K22" i="5"/>
  <c r="M21" i="5"/>
  <c r="L21" i="5"/>
  <c r="K21" i="5"/>
  <c r="M17" i="5"/>
  <c r="L17" i="5"/>
  <c r="M15" i="5"/>
  <c r="L15" i="5"/>
  <c r="K15" i="5"/>
  <c r="M14" i="5"/>
  <c r="L14" i="5"/>
  <c r="K14" i="5"/>
  <c r="M12" i="5"/>
  <c r="L12" i="5"/>
  <c r="K12" i="5"/>
  <c r="L11" i="5"/>
  <c r="K11" i="5"/>
  <c r="M10" i="5"/>
  <c r="L10" i="5"/>
  <c r="K10" i="5"/>
  <c r="M8" i="5"/>
  <c r="L8" i="5"/>
  <c r="K8" i="5"/>
  <c r="M6" i="5"/>
  <c r="L6" i="5"/>
  <c r="K6" i="5"/>
  <c r="M46" i="4"/>
  <c r="M45" i="4"/>
  <c r="M44" i="4"/>
  <c r="L44" i="4"/>
  <c r="K44" i="4"/>
  <c r="L43" i="4"/>
  <c r="K43" i="4"/>
  <c r="M42" i="4"/>
  <c r="L42" i="4"/>
  <c r="K42" i="4"/>
  <c r="M41" i="4"/>
  <c r="L41" i="4"/>
  <c r="K41" i="4"/>
  <c r="M40" i="4"/>
  <c r="L40" i="4"/>
  <c r="K40" i="4"/>
  <c r="M39" i="4"/>
  <c r="L39" i="4"/>
  <c r="K39" i="4"/>
  <c r="M37" i="4"/>
  <c r="L37" i="4"/>
  <c r="K37" i="4"/>
  <c r="M36" i="4"/>
  <c r="M34" i="4"/>
  <c r="L34" i="4"/>
  <c r="K34" i="4"/>
  <c r="M33" i="4"/>
  <c r="L33" i="4"/>
  <c r="K33" i="4"/>
  <c r="M32" i="4"/>
  <c r="L32" i="4"/>
  <c r="K32" i="4"/>
  <c r="M31" i="4"/>
  <c r="L31" i="4"/>
  <c r="K31" i="4"/>
  <c r="M30" i="4"/>
  <c r="L30" i="4"/>
  <c r="K30" i="4"/>
  <c r="M29" i="4"/>
  <c r="L29" i="4"/>
  <c r="K29" i="4"/>
  <c r="M28" i="4"/>
  <c r="L28" i="4"/>
  <c r="K28" i="4"/>
  <c r="M27" i="4"/>
  <c r="L27" i="4"/>
  <c r="K27" i="4"/>
  <c r="M26" i="4"/>
  <c r="L26" i="4"/>
  <c r="K26" i="4"/>
  <c r="M25" i="4"/>
  <c r="L25" i="4"/>
  <c r="K25" i="4"/>
  <c r="M23" i="4"/>
  <c r="L23" i="4"/>
  <c r="K23" i="4"/>
  <c r="M22" i="4"/>
  <c r="L22" i="4"/>
  <c r="K22" i="4"/>
  <c r="M21" i="4"/>
  <c r="L21" i="4"/>
  <c r="K21" i="4"/>
  <c r="M17" i="4"/>
  <c r="L17" i="4"/>
  <c r="K17" i="4"/>
  <c r="M15" i="4"/>
  <c r="L15" i="4"/>
  <c r="K15" i="4"/>
  <c r="M14" i="4"/>
  <c r="L14" i="4"/>
  <c r="K14" i="4"/>
  <c r="M12" i="4"/>
  <c r="L12" i="4"/>
  <c r="K12" i="4"/>
  <c r="L11" i="4"/>
  <c r="K11" i="4"/>
  <c r="M10" i="4"/>
  <c r="L10" i="4"/>
  <c r="K10" i="4"/>
  <c r="M8" i="4"/>
  <c r="L8" i="4"/>
  <c r="K8" i="4"/>
  <c r="M6" i="4"/>
  <c r="L6" i="4"/>
  <c r="K6" i="4"/>
  <c r="L24" i="22" l="1"/>
  <c r="M24" i="22" s="1"/>
  <c r="C21" i="22"/>
  <c r="C20" i="22"/>
  <c r="C23" i="22" s="1"/>
  <c r="C27" i="22" s="1"/>
  <c r="P22" i="23"/>
  <c r="Q25" i="23"/>
  <c r="P23" i="23"/>
  <c r="P30" i="23" s="1"/>
  <c r="O26" i="23"/>
  <c r="P24" i="23"/>
  <c r="P26" i="23"/>
  <c r="O21" i="23"/>
  <c r="Q33" i="23"/>
  <c r="N8" i="22"/>
  <c r="H26" i="22"/>
  <c r="H25" i="22" s="1"/>
  <c r="E5" i="23"/>
  <c r="C29" i="22"/>
  <c r="Q23" i="23"/>
  <c r="K12" i="23"/>
  <c r="C16" i="23" s="1"/>
  <c r="F16" i="23" s="1"/>
  <c r="Q26" i="23"/>
  <c r="O24" i="23"/>
  <c r="L12" i="23"/>
  <c r="C17" i="23" s="1"/>
  <c r="F17" i="23" s="1"/>
  <c r="Q21" i="23"/>
  <c r="O22" i="23"/>
  <c r="Q24" i="23"/>
  <c r="O33" i="23"/>
  <c r="J12" i="23"/>
  <c r="C18" i="23" s="1"/>
  <c r="F18" i="23" s="1"/>
  <c r="J11" i="23"/>
  <c r="B18" i="23" s="1"/>
  <c r="E18" i="23" s="1"/>
  <c r="O25" i="23"/>
  <c r="P33" i="23"/>
  <c r="Q22" i="23"/>
  <c r="O23" i="23"/>
  <c r="O30" i="23" s="1"/>
  <c r="N12" i="22" l="1"/>
  <c r="N13" i="22" s="1"/>
  <c r="C30" i="22"/>
  <c r="H24" i="22" s="1"/>
  <c r="I18" i="23"/>
  <c r="L18" i="23" s="1"/>
  <c r="G18" i="23"/>
  <c r="J18" i="23"/>
  <c r="M18" i="23" s="1"/>
  <c r="H18" i="23"/>
  <c r="H16" i="23"/>
  <c r="J16" i="23" s="1"/>
  <c r="M16" i="23" s="1"/>
  <c r="Q35" i="23"/>
  <c r="Q30" i="23"/>
  <c r="Q31" i="23"/>
  <c r="M5" i="23"/>
  <c r="P31" i="23"/>
  <c r="P32" i="23" s="1"/>
  <c r="P35" i="23" s="1"/>
  <c r="L5" i="23"/>
  <c r="D17" i="23" s="1"/>
  <c r="O31" i="23"/>
  <c r="O32" i="23" s="1"/>
  <c r="O35" i="23" s="1"/>
  <c r="K5" i="23"/>
  <c r="D16" i="23" s="1"/>
  <c r="H17" i="23"/>
  <c r="J17" i="23" s="1"/>
  <c r="M17" i="23" s="1"/>
  <c r="G17" i="23"/>
  <c r="I17" i="23" s="1"/>
  <c r="L17" i="23" s="1"/>
  <c r="G16" i="23"/>
  <c r="I16" i="23" s="1"/>
  <c r="L16" i="23" s="1"/>
  <c r="Q32" i="23" l="1"/>
</calcChain>
</file>

<file path=xl/sharedStrings.xml><?xml version="1.0" encoding="utf-8"?>
<sst xmlns="http://schemas.openxmlformats.org/spreadsheetml/2006/main" count="1499" uniqueCount="709">
  <si>
    <t>Message from CMD - "Iron ore is the lifeblood of India's infrastructure and industrial economy. Every tonne we mine contributes directly to the nation's roads, railways, ports, factories, and homes. We are committed to Responsible Mining to ensure progress is rooted in responsibility." - Shri Amitava Mukherjee, Chairman &amp; Managing Director, NMDC Limited
Who We Are - NMDC Limited is India's largest iron ore producer and a Navratna Public Sector Enterprise under the Ministry of Steel, Government of India. With over six decades of operational excellence, NMDC specialises in mechanised, cost-efficient and sustainable mining, serving markets both within India and internationally. Our operations include some of India's most advanced iron ore mines in Chhattisgarh and Karnataka, as well as South-East Asia's only mechanised diamond mine in Panna, Madhya Pradesh. Our mines have earned 5-Star ratings from the Indian Bureau of Mines. Our R&amp;D Centre in Hyderabad is recognised as a Centre of Excellence by UNIDO.
Products &amp; Services - Iron Ore Products: Baila ROM (Fe 65.5%), DRCLO (Fe 67%), Baila Lump (Fe 65.5%), 10-20mm Baila (Fe 65.5%), Baila Fine (Fe 64%), Kumaraswamy Lump (Fe 64.5%), Kumaraswamy Fine (Fe 65%), Doni Lump (Fe 61%), Doni Fines (Fe 60%), Iron Ore Pellets (BF Grade). Also produces Rough Diamonds from Panna Mines.
Industries Served - Steel manufacturing (primary), infrastructure, power, construction. Key customers include major steel producers across India. Current production ~44.07 MnT iron ore per annum; target 100 MTPA by FY30.
Vision - To emerge as a global environment friendly mining organisation and also as a quality steel producer with a positive thrust on social development.
Mission - To maintain its leadership as the largest iron ore producer in India, while establishing itself as a quality steel producer and expanding business by acquiring and operating iron ore, coal and other mineral assets in India and abroad, rendering optimum satisfaction to all stakeholders.
FY25 Key Highlights - Revenue from Operations: Rs.23,668 Cr | PAT: Rs.6,693 Cr | PBT: Rs.9,296 Cr | Net Worth: Rs.29,579 Cr | Dividend: Rs.2,901 Cr (330%) | EPS: Rs.7.61 | ROCE: 32% | Iron Ore Production: 44.07 MnT | Iron Ore Sales: 44.40 MnT | Pellet Production: 1,70,605 T | Diamond Production: 4,602.03 Carats</t>
  </si>
  <si>
    <t xml:space="preserve">  Subsidiaries &amp; Joint Ventures</t>
  </si>
  <si>
    <t>S.No</t>
  </si>
  <si>
    <t>Company Name</t>
  </si>
  <si>
    <t>Type</t>
  </si>
  <si>
    <t>Country / Stake</t>
  </si>
  <si>
    <t>Karnataka Vijaynagar Steel Ltd.</t>
  </si>
  <si>
    <t>Wholly Owned Subsidiary</t>
  </si>
  <si>
    <t>India - 100%</t>
  </si>
  <si>
    <t>NMDC CSR Foundation</t>
  </si>
  <si>
    <t>J&amp;KMDC Ltd.</t>
  </si>
  <si>
    <t>Subsidiary</t>
  </si>
  <si>
    <t>India - 95.86%</t>
  </si>
  <si>
    <t>Legacy Iron Ore Ltd.</t>
  </si>
  <si>
    <t>Australia - 92.84%</t>
  </si>
  <si>
    <t>Jharkhand NMDC Ltd.</t>
  </si>
  <si>
    <t>Joint Venture</t>
  </si>
  <si>
    <t>India - 60%</t>
  </si>
  <si>
    <t>Bastar Railway Private Ltd.</t>
  </si>
  <si>
    <t>India - 52%</t>
  </si>
  <si>
    <t>NMDC-CMDC Ltd.</t>
  </si>
  <si>
    <t>India - 51%</t>
  </si>
  <si>
    <t>Total Investments in Subsidiaries, JVs &amp; Associates</t>
  </si>
  <si>
    <t>Rs.1,115.34 Crore</t>
  </si>
  <si>
    <t xml:space="preserve">  Registered Office</t>
  </si>
  <si>
    <t>Khanij Bhavan, 10-3-311/A, Castle Hills, Masab Tank, Hyderabad - 500028, Telangana</t>
  </si>
  <si>
    <t>CIN: L13100AP1958GOI001674</t>
  </si>
  <si>
    <t>Website: www.nmdc.co.in  |  Email: investors@nmdc.co.in</t>
  </si>
  <si>
    <t xml:space="preserve">  Units &amp; Operational Footprint</t>
  </si>
  <si>
    <t>Company</t>
  </si>
  <si>
    <t>Unit Type</t>
  </si>
  <si>
    <t>Number</t>
  </si>
  <si>
    <t>Details</t>
  </si>
  <si>
    <t>NMDC Limited</t>
  </si>
  <si>
    <t>Iron Ore Mines</t>
  </si>
  <si>
    <t>Bailadila Complex (CG), Donimalai &amp; Kumaraswamy (KA)</t>
  </si>
  <si>
    <t>Diamond Mine</t>
  </si>
  <si>
    <t>Panna Diamond Mine, Madhya Pradesh</t>
  </si>
  <si>
    <t>Pellet Plant</t>
  </si>
  <si>
    <t>Donimalai Pellet Plant, Karnataka</t>
  </si>
  <si>
    <t>R&amp;D Centre</t>
  </si>
  <si>
    <t>Hyderabad - UNIDO Centre of Excellence</t>
  </si>
  <si>
    <t>Iron Ore Production Capacity</t>
  </si>
  <si>
    <t>44 MnT</t>
  </si>
  <si>
    <t>Current; target 100 MTPA by FY30</t>
  </si>
  <si>
    <t>Total Workforce</t>
  </si>
  <si>
    <t>As of FY2024-25</t>
  </si>
  <si>
    <t>Countries of Operation</t>
  </si>
  <si>
    <t>India, Australia, Mozambique</t>
  </si>
  <si>
    <t>Stock Exchanges</t>
  </si>
  <si>
    <t>BSE &amp; NSE (Nifty 50 Index)</t>
  </si>
  <si>
    <t xml:space="preserve">  Board of Directors</t>
  </si>
  <si>
    <t>Name</t>
  </si>
  <si>
    <t>Designation</t>
  </si>
  <si>
    <t>Shri Amitava Mukherjee</t>
  </si>
  <si>
    <t>Chairman &amp; Managing Director</t>
  </si>
  <si>
    <t>Shri Vishwanath Suresh</t>
  </si>
  <si>
    <t>Director (Commercial)</t>
  </si>
  <si>
    <t>Shri Joydeep Dasgupta</t>
  </si>
  <si>
    <t>Director (Production)</t>
  </si>
  <si>
    <t>Shri Vinay Kumar</t>
  </si>
  <si>
    <t>Director (Technical)</t>
  </si>
  <si>
    <t>Smt. Priyadarshini Gaddam</t>
  </si>
  <si>
    <t>Director (Personnel) &amp; Director (Finance) - Addl. Charge</t>
  </si>
  <si>
    <t>Shri Ashish Chatterjee IAS</t>
  </si>
  <si>
    <t>Addl. Secretary &amp; Financial Advisor, Ministry of Steel (Govt. Nominee)</t>
  </si>
  <si>
    <t>Shri Abhijit Narendra IRTS</t>
  </si>
  <si>
    <t>Joint Secretary, Ministry of Steel (Govt. Nominee)</t>
  </si>
  <si>
    <t>Shri Sanjay Tandon</t>
  </si>
  <si>
    <t>Independent Director</t>
  </si>
  <si>
    <t>Shri Mahendra Singh Rao</t>
  </si>
  <si>
    <t>Shri Bharat Baburao Patil</t>
  </si>
  <si>
    <t>Shri Achal Kumar Sinha</t>
  </si>
  <si>
    <t>Smt. G. Anupama</t>
  </si>
  <si>
    <t>Chief Financial Officer</t>
  </si>
  <si>
    <t>Shri Pravin Shekhar</t>
  </si>
  <si>
    <t>Company Secretary</t>
  </si>
  <si>
    <t>Shri B. Vishwanath IRSS</t>
  </si>
  <si>
    <t>Chief Vigilance Officer</t>
  </si>
  <si>
    <t>NMDC Limited — Shareholding Pattern  (As of Q4 FY2024-25)</t>
  </si>
  <si>
    <t>PROMOTER (GoI)</t>
  </si>
  <si>
    <t>INSTITUTIONAL (DII + FII)</t>
  </si>
  <si>
    <t>RETAIL &amp; OTHERS</t>
  </si>
  <si>
    <t>60.79%</t>
  </si>
  <si>
    <t>27.36%</t>
  </si>
  <si>
    <t>11.85%</t>
  </si>
  <si>
    <t>5,34,49,00,713 shares</t>
  </si>
  <si>
    <t>DII: 13.76%  |  FII: 13.60%</t>
  </si>
  <si>
    <t>Retail + NRI + Bodies Corp.</t>
  </si>
  <si>
    <t xml:space="preserve">  (A)  Promoter &amp; Promoter Group</t>
  </si>
  <si>
    <t>Category</t>
  </si>
  <si>
    <t>No. of Shareholders</t>
  </si>
  <si>
    <t>Shares Held</t>
  </si>
  <si>
    <t>Stake %</t>
  </si>
  <si>
    <t>Voting Rights %</t>
  </si>
  <si>
    <t>Demat Shares</t>
  </si>
  <si>
    <t>Central Govt. / State Govt. (Indian)</t>
  </si>
  <si>
    <t>5,34,49,00,713</t>
  </si>
  <si>
    <t xml:space="preserve">  PRESIDENT OF INDIA</t>
  </si>
  <si>
    <t>Sub-Total A1 (Indian)</t>
  </si>
  <si>
    <t>A2 — Foreign</t>
  </si>
  <si>
    <t>-</t>
  </si>
  <si>
    <t>0.00%</t>
  </si>
  <si>
    <t>TOTAL PROMOTER  (A = A1 + A2)</t>
  </si>
  <si>
    <t xml:space="preserve">  (B1)  Domestic Institutional Investors (DII)</t>
  </si>
  <si>
    <t>Investor Category</t>
  </si>
  <si>
    <t>Mutual Funds</t>
  </si>
  <si>
    <t>58,95,25,071</t>
  </si>
  <si>
    <t>6.71%</t>
  </si>
  <si>
    <t xml:space="preserve">  SBI Arbitrage Opp. Fund ★</t>
  </si>
  <si>
    <t>12,02,18,423</t>
  </si>
  <si>
    <t>1.37%</t>
  </si>
  <si>
    <t>—</t>
  </si>
  <si>
    <t>Insurance Companies</t>
  </si>
  <si>
    <t>60,67,99,104</t>
  </si>
  <si>
    <t>6.90%</t>
  </si>
  <si>
    <t xml:space="preserve">  LIC of India ★</t>
  </si>
  <si>
    <t>43,02,17,392</t>
  </si>
  <si>
    <t>4.89%</t>
  </si>
  <si>
    <t>Alternate Investment Funds</t>
  </si>
  <si>
    <t>84,47,230</t>
  </si>
  <si>
    <t>0.10%</t>
  </si>
  <si>
    <t>Banks</t>
  </si>
  <si>
    <t>82,469</t>
  </si>
  <si>
    <t>Other Financial Institutions</t>
  </si>
  <si>
    <t>46,93,620</t>
  </si>
  <si>
    <t>0.05%</t>
  </si>
  <si>
    <t>NBFCs (RBI Registered)</t>
  </si>
  <si>
    <t>2,61,021</t>
  </si>
  <si>
    <t>Sub-Total B1 — DII</t>
  </si>
  <si>
    <t>1,20,98,08,515</t>
  </si>
  <si>
    <t>13.76%</t>
  </si>
  <si>
    <t xml:space="preserve">  (B2)  Foreign Institutional Investors (FII)</t>
  </si>
  <si>
    <t>Foreign Portfolio Investors — Cat I</t>
  </si>
  <si>
    <t>1,13,53,68,005</t>
  </si>
  <si>
    <t>12.91%</t>
  </si>
  <si>
    <t>Foreign Portfolio Investors — Cat II</t>
  </si>
  <si>
    <t>6,04,21,353</t>
  </si>
  <si>
    <t>0.69%</t>
  </si>
  <si>
    <t>Foreign Direct Investment</t>
  </si>
  <si>
    <t>Sovereign Wealth Funds</t>
  </si>
  <si>
    <t>Sub-Total B2 — FII</t>
  </si>
  <si>
    <t>1,19,57,89,358</t>
  </si>
  <si>
    <t>13.60%</t>
  </si>
  <si>
    <t xml:space="preserve">  (B4)  Non-Institutions  (Retail &amp; Others)</t>
  </si>
  <si>
    <t>Resident Individuals (≤ ₹2L capital)</t>
  </si>
  <si>
    <t>75,48,95,145</t>
  </si>
  <si>
    <t>8.59%</t>
  </si>
  <si>
    <t>75,48,37,682</t>
  </si>
  <si>
    <t>Resident Individuals (&gt; ₹2L capital)</t>
  </si>
  <si>
    <t>13,24,54,755</t>
  </si>
  <si>
    <t>1.51%</t>
  </si>
  <si>
    <t>Bodies Corporate</t>
  </si>
  <si>
    <t>10,93,14,096</t>
  </si>
  <si>
    <t>1.24%</t>
  </si>
  <si>
    <t>10,93,12,096</t>
  </si>
  <si>
    <t>Non-Resident Indians (NRIs)</t>
  </si>
  <si>
    <t>3,96,00,637</t>
  </si>
  <si>
    <t>0.45%</t>
  </si>
  <si>
    <t>Trusts</t>
  </si>
  <si>
    <t>42,20,003</t>
  </si>
  <si>
    <t>Employees</t>
  </si>
  <si>
    <t>2,08,479</t>
  </si>
  <si>
    <t>2,00,989</t>
  </si>
  <si>
    <t>IEPF</t>
  </si>
  <si>
    <t>2,23,561</t>
  </si>
  <si>
    <t>Others (FPI Cat III, Clearing, etc.)</t>
  </si>
  <si>
    <t>3,94,088</t>
  </si>
  <si>
    <t>Foreign Nationals</t>
  </si>
  <si>
    <t>3,802</t>
  </si>
  <si>
    <t>Sub-Total B4 — Non-Institutions</t>
  </si>
  <si>
    <t>11,30,198</t>
  </si>
  <si>
    <t>1,04,13,14,746</t>
  </si>
  <si>
    <t>11.84%</t>
  </si>
  <si>
    <t>1,04,12,47,793</t>
  </si>
  <si>
    <t>GRAND TOTAL  (A + B)</t>
  </si>
  <si>
    <t>1,131,914</t>
  </si>
  <si>
    <t>8,79,18,17,550</t>
  </si>
  <si>
    <t>100.00%</t>
  </si>
  <si>
    <t>8,79,11,50,597</t>
  </si>
  <si>
    <t>★ = Top holder within category shown for reference  |  Source: NMDC BSE/NSE Filing, Q4 FY2024-25  |  All share counts in absolute numbers</t>
  </si>
  <si>
    <t>NMDC Limited — Public Shareholding Detail  (Q4 FY2024-25)</t>
  </si>
  <si>
    <t>DOMESTIC INSTITUTIONS (DII)</t>
  </si>
  <si>
    <t>FOREIGN INSTITUTIONS (FII)</t>
  </si>
  <si>
    <t>99 shareholders  |  1,20,98,08,515 shares</t>
  </si>
  <si>
    <t>614 shareholders  |  1,19,57,89,358 shares</t>
  </si>
  <si>
    <t>11,30,198 shareholders  |  1,04,13,14,746 shares</t>
  </si>
  <si>
    <t>Category &amp; Name of Shareholders</t>
  </si>
  <si>
    <t>Stake %
(A+B+C2)</t>
  </si>
  <si>
    <t>Voting
Rights %</t>
  </si>
  <si>
    <t>Diluted
Stake %</t>
  </si>
  <si>
    <t>Demat
Shares</t>
  </si>
  <si>
    <t>Institutions</t>
  </si>
  <si>
    <t>B2) Institutions (Domestic)</t>
  </si>
  <si>
    <t xml:space="preserve">  SBI Arbitrage Opportunities Fund ★</t>
  </si>
  <si>
    <t>Venture Capital Funds</t>
  </si>
  <si>
    <t xml:space="preserve">  Life Insurance Corporation of India ★</t>
  </si>
  <si>
    <t>Provident Funds / Pension Funds</t>
  </si>
  <si>
    <t>Asset Reconstruction Companies</t>
  </si>
  <si>
    <t>NBFCs Registered with RBI</t>
  </si>
  <si>
    <t>Any Other — Institutions (Domestic)</t>
  </si>
  <si>
    <t>B17) Institutions (Foreign)</t>
  </si>
  <si>
    <t>Foreign Venture Capital Investors</t>
  </si>
  <si>
    <t>Foreign Portfolio Investors — Category I</t>
  </si>
  <si>
    <t>Foreign Portfolio Investors — Category II</t>
  </si>
  <si>
    <t>Overseas Depositories (DRs) — balancing</t>
  </si>
  <si>
    <t>Any Other — Institutions (Foreign)</t>
  </si>
  <si>
    <t xml:space="preserve">  (B3)  Central / State Government (in Public Category)</t>
  </si>
  <si>
    <t>B26) Central Govt./ State Govt./ President of India</t>
  </si>
  <si>
    <t>Central Government / President of India</t>
  </si>
  <si>
    <t>State Government / Governor</t>
  </si>
  <si>
    <t>Bodies Corporate (Central/State Govt. promoter)</t>
  </si>
  <si>
    <t>4,218</t>
  </si>
  <si>
    <t>Sub-Total B3</t>
  </si>
  <si>
    <t>B31) Non-Institutions</t>
  </si>
  <si>
    <t>Associate Companies / Subsidiaries</t>
  </si>
  <si>
    <t>Directors &amp; Relatives (excl. Indep. / Nominee)</t>
  </si>
  <si>
    <t>180</t>
  </si>
  <si>
    <t>Key Managerial Personnel</t>
  </si>
  <si>
    <t>Relatives of Promoters (non-immediate)</t>
  </si>
  <si>
    <t>Trusts (Promoter group as trustee/beneficiary)</t>
  </si>
  <si>
    <t>Investor Education &amp; Protection Fund (IEPF)</t>
  </si>
  <si>
    <t>Resident Individuals — upto ₹2L share capital</t>
  </si>
  <si>
    <t>Resident Individuals — above ₹2L share capital</t>
  </si>
  <si>
    <t>Foreign Companies</t>
  </si>
  <si>
    <t>Any Other — FPI Category III</t>
  </si>
  <si>
    <t>66,000</t>
  </si>
  <si>
    <t>Any Other — Employees</t>
  </si>
  <si>
    <t>Any Other — Trusts</t>
  </si>
  <si>
    <t>Any Other — Clearing Members</t>
  </si>
  <si>
    <t>1,70,712</t>
  </si>
  <si>
    <t>Any Other — Unclaimed / Suspense / Escrow</t>
  </si>
  <si>
    <t>Any Other — Unclaimed Suspense Account</t>
  </si>
  <si>
    <t>1,57,376</t>
  </si>
  <si>
    <t>Sub-Total B4 — Retail &amp; Others</t>
  </si>
  <si>
    <t>TOTAL PUBLIC  (B = B1+B2+B3+B4)</t>
  </si>
  <si>
    <t>11,30,913</t>
  </si>
  <si>
    <t>3,44,69,16,837</t>
  </si>
  <si>
    <t>39.21%</t>
  </si>
  <si>
    <t>3,44,68,49,884</t>
  </si>
  <si>
    <t>★ = Top holder shown within category for reference  |  '—' = Nil / Not Applicable  |  Source: NMDC BSE/NSE Filing, Q4 FY2024-25  |  Share counts in absolute numbers</t>
  </si>
  <si>
    <t xml:space="preserve"> Standalone Quarterly Results  (Rs. Crores)</t>
  </si>
  <si>
    <t>% CHANGE</t>
  </si>
  <si>
    <t>Quarter ended</t>
  </si>
  <si>
    <t>Half Year ended</t>
  </si>
  <si>
    <t>Years</t>
  </si>
  <si>
    <t>QTQ</t>
  </si>
  <si>
    <t>HY YOY</t>
  </si>
  <si>
    <t>YOY</t>
  </si>
  <si>
    <t>Particulars</t>
  </si>
  <si>
    <t>I.  REVENUE</t>
  </si>
  <si>
    <t>Net Sales/Income from Operations</t>
  </si>
  <si>
    <t>Other Operating Income</t>
  </si>
  <si>
    <t>Total Income From Operations</t>
  </si>
  <si>
    <t>II.  EXPENSES</t>
  </si>
  <si>
    <t>Consumption of Raw Materials</t>
  </si>
  <si>
    <t>Purchase of Traded Goods</t>
  </si>
  <si>
    <t>Increase / Decrease in Stocks</t>
  </si>
  <si>
    <t>Power &amp; Fuel</t>
  </si>
  <si>
    <t>Employee Benefits Expense</t>
  </si>
  <si>
    <t>Depreciation &amp; Amortisation</t>
  </si>
  <si>
    <t>Excise Duty</t>
  </si>
  <si>
    <t>Admin. And Selling Expenses</t>
  </si>
  <si>
    <t>R &amp; D Expenses</t>
  </si>
  <si>
    <t>Provisions And Contingencies</t>
  </si>
  <si>
    <t>Exp. Capitalised</t>
  </si>
  <si>
    <t>Other Expenses</t>
  </si>
  <si>
    <t>Finance Costs</t>
  </si>
  <si>
    <t>Total Expenses</t>
  </si>
  <si>
    <t>III.  PROFIT &amp; LOSS</t>
  </si>
  <si>
    <t>EBITDA</t>
  </si>
  <si>
    <t>P/L Before Other Inc., Int., Excpt. Items &amp; Tax</t>
  </si>
  <si>
    <t>Other Income</t>
  </si>
  <si>
    <t>P/L Before Int., Excpt. Items &amp; Tax (EBIT)</t>
  </si>
  <si>
    <t>Finance Costs (Interest)</t>
  </si>
  <si>
    <t>Profit before Exceptional Items &amp; Tax</t>
  </si>
  <si>
    <t>Exceptional Items</t>
  </si>
  <si>
    <t>Profit Before Tax</t>
  </si>
  <si>
    <t>Tax Expense</t>
  </si>
  <si>
    <t>P/L After Tax from Ordinary Activities</t>
  </si>
  <si>
    <t>Prior Year Adjustments</t>
  </si>
  <si>
    <t>Extra Ordinary Items</t>
  </si>
  <si>
    <t>Net Profit/(Loss) For the Period</t>
  </si>
  <si>
    <t>IV.  EARNINGS PER SHARE (Rs.)</t>
  </si>
  <si>
    <t>EPS Before Extra Ordinary - Basic</t>
  </si>
  <si>
    <t>EPS Before Extra Ordinary - Diluted</t>
  </si>
  <si>
    <t>EPS After Extra Ordinary - Basic</t>
  </si>
  <si>
    <t>EPS After Extra Ordinary - Diluted</t>
  </si>
  <si>
    <t>V.  SUPPLEMENTARY</t>
  </si>
  <si>
    <t>Paid-up Equity Share Capital (Rs. Cr)</t>
  </si>
  <si>
    <t>Reserves excl. Revaluation (Rs. Cr)</t>
  </si>
  <si>
    <t>Equity Dividend Rate (%)</t>
  </si>
  <si>
    <t xml:space="preserve"> Consolidated Quarterly Results  (Rs. Crores)</t>
  </si>
  <si>
    <t>QOQ YOY</t>
  </si>
  <si>
    <t>Share Of P/L Of Associates</t>
  </si>
  <si>
    <t>Minority Interest</t>
  </si>
  <si>
    <t>Net P/L After Minority Interest &amp; Associates</t>
  </si>
  <si>
    <t>Total Comprehensive Income</t>
  </si>
  <si>
    <t>NMDC - Standalone Balance Sheet  (Rs. Cr.)</t>
  </si>
  <si>
    <t>Particulars  (Rs. Cr.)</t>
  </si>
  <si>
    <t>Mar 25</t>
  </si>
  <si>
    <t>Mar 24</t>
  </si>
  <si>
    <t>Mar 23</t>
  </si>
  <si>
    <t>Mar 22</t>
  </si>
  <si>
    <t>Mar 21</t>
  </si>
  <si>
    <t>% Chg Mar 25/Mar 24</t>
  </si>
  <si>
    <t>% Chg Mar 24/Mar 23</t>
  </si>
  <si>
    <t>% Chg Mar 23/Mar 22</t>
  </si>
  <si>
    <t>% Chg Mar 22/Mar 21</t>
  </si>
  <si>
    <t>12 Months Ended</t>
  </si>
  <si>
    <t>12 mths</t>
  </si>
  <si>
    <t>EQUITIES AND LIABILITIES</t>
  </si>
  <si>
    <t>SHAREHOLDER'S FUNDS</t>
  </si>
  <si>
    <t>Equity Share Capital</t>
  </si>
  <si>
    <t>Total Share Capital</t>
  </si>
  <si>
    <t>Reserves and Surplus</t>
  </si>
  <si>
    <t>Total Reserves and Surplus</t>
  </si>
  <si>
    <t>Total Shareholders Funds</t>
  </si>
  <si>
    <t>NON-CURRENT LIABILITIES</t>
  </si>
  <si>
    <t>Long Term Borrowings</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</si>
  <si>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</si>
  <si>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</si>
  <si>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</si>
  <si>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</si>
  <si>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</si>
  <si>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</si>
  <si>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</si>
  <si>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</si>
  <si>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</si>
  <si>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</si>
  <si>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</si>
  <si>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</si>
  <si>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</si>
  <si>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</si>
  <si>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</si>
  <si>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</si>
  <si>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</si>
  <si>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</si>
  <si>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</si>
  <si>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</si>
  <si>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</si>
  <si>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</si>
  <si>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</si>
  <si>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</si>
  <si>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</si>
  <si>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</si>
  <si>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</si>
  <si>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</si>
  <si>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</si>
  <si>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</si>
  <si>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</si>
  <si>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</si>
  <si>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</si>
  <si>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Other Earnings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</si>
  <si>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</si>
  <si>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</si>
  <si>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</si>
  <si>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</si>
  <si>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</si>
  <si>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</si>
  <si>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</si>
  <si>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</si>
  <si>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NMDC - Standalone Profit &amp; Loss  (Rs. Cr.)</t>
  </si>
  <si>
    <t>INCOME</t>
  </si>
  <si>
    <t>Revenue From Operations [Gross]</t>
  </si>
  <si>
    <t>Revenue From Operations [Net]</t>
  </si>
  <si>
    <t>Other Operating Revenues</t>
  </si>
  <si>
    <t>Total Operating Revenues</t>
  </si>
  <si>
    <t>Total Revenue</t>
  </si>
  <si>
    <t>EXPENSES</t>
  </si>
  <si>
    <t>Cost Of Materials Consumed</t>
  </si>
  <si>
    <t>Purchase Of Stock-In Trade</t>
  </si>
  <si>
    <t>Operating And Direct Expenses</t>
  </si>
  <si>
    <t>Changes In Inventories Of FG,WIP And Stock-In Trade</t>
  </si>
  <si>
    <t>Employee Benefit Expenses</t>
  </si>
  <si>
    <t>Depreciation And Amortisation Expenses</t>
  </si>
  <si>
    <t>Profit/Loss Before Exceptional, ExtraOrdinary Items And Tax</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</si>
  <si>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</si>
  <si>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</si>
  <si>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</si>
  <si>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</si>
  <si>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</si>
  <si>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</si>
  <si>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</si>
  <si>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</si>
  <si>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 Loss From Discontinuing Operations</t>
  </si>
  <si>
    <t>Total Tax Expenses Discontinuing Operations</t>
  </si>
  <si>
    <t>Net Profit Loss From Discontinuing Operations</t>
  </si>
  <si>
    <t>Profit/Loss For The Period</t>
  </si>
  <si>
    <t>EARNINGS PER SHARE</t>
  </si>
  <si>
    <t>Basic EPS (Rs.)</t>
  </si>
  <si>
    <t>Diluted EPS (Rs.)</t>
  </si>
  <si>
    <t>Indigenous Raw Materials</t>
  </si>
  <si>
    <t>Imported Stores And Spares</t>
  </si>
  <si>
    <t>Indigenous Stores And Spares</t>
  </si>
  <si>
    <t>DIVIDEND AND DIVIDEND PERCENTAGE</t>
  </si>
  <si>
    <t>Equity Share Dividend</t>
  </si>
  <si>
    <t>NMDC - Consolidated Balance Sheet  (Rs. Cr.)</t>
  </si>
  <si>
    <t>% Chg Mar 25/Mar 25</t>
  </si>
  <si>
    <t>Current Investments</t>
  </si>
  <si>
    <t>NMDC - Consolidated Profit &amp; Loss  (Rs. Cr.)</t>
  </si>
  <si>
    <t>Share Of Profit/Loss Of Associates</t>
  </si>
  <si>
    <t>Consolidated Profit/Loss After MI And Associates</t>
  </si>
  <si>
    <t>Attribute</t>
  </si>
  <si>
    <t>LTP (₹)</t>
  </si>
  <si>
    <t>Sales (₹ crore)</t>
  </si>
  <si>
    <t>PAT (₹ crore)</t>
  </si>
  <si>
    <t>Equity (₹ crore)</t>
  </si>
  <si>
    <t>Operating Profit Margin (OPM%)</t>
  </si>
  <si>
    <t>Net Profit Margin (NPM%)</t>
  </si>
  <si>
    <t>Earnings Per Share (EPS)</t>
  </si>
  <si>
    <t>Cash Earnings Per Share (CEPS)</t>
  </si>
  <si>
    <t>NMDC</t>
  </si>
  <si>
    <t>JSW Steel</t>
  </si>
  <si>
    <t>TATA Steel</t>
  </si>
  <si>
    <t>Hindalco</t>
  </si>
  <si>
    <t>Metric</t>
  </si>
  <si>
    <t>Debtor Days</t>
  </si>
  <si>
    <t>Inventory Days</t>
  </si>
  <si>
    <t>Days Payable</t>
  </si>
  <si>
    <t>Cash Conversion Cycle</t>
  </si>
  <si>
    <t>Working Capital Days</t>
  </si>
  <si>
    <t>ROCE %</t>
  </si>
  <si>
    <r>
      <rPr>
        <b/>
        <sz val="11"/>
        <color rgb="FF333333"/>
        <rFont val="Calibri"/>
        <family val="2"/>
      </rPr>
      <t xml:space="preserve">Peer Comparison — NMDC vs JSW Steel, TATA Steel, Hindalco
</t>
    </r>
    <r>
      <rPr>
        <b/>
        <sz val="11"/>
        <color theme="5"/>
        <rFont val="Calibri"/>
        <family val="2"/>
      </rPr>
      <t>Profitability: NMDC is the clear outlier in terms of margin quality. Its OPM of 34.1% and NPM of 27.4% are nearly 3x that of JSW Steel (13.6% / 2.1%) and Tata Steel (11.6% / 1.6%). Even Hindalco, a diversified metals major, earns only 6.7% NPM against NMDC's 27.4%. This difference exists because NMDC is a pure-play iron ore miner — it sells a raw material, not a finished product — which means no conversion costs, no capex-heavy manufacturing, and very low raw material expense. Peers are steel/metals manufacturers with high input costs, energy bills, and thin conversion margins. Comparing margins directly would be misleading; NMDC's margin advantage is structural, not cyclical.</t>
    </r>
    <r>
      <rPr>
        <b/>
        <sz val="11"/>
        <color rgb="FF333333"/>
        <rFont val="Calibri"/>
        <family val="2"/>
      </rPr>
      <t xml:space="preserve">
</t>
    </r>
    <r>
      <rPr>
        <b/>
        <sz val="11"/>
        <color rgb="FFFF0000"/>
        <rFont val="Calibri"/>
        <family val="2"/>
      </rPr>
      <t>ROCE: NMDC's 3-year ROCE has held steady at 28–29%, which is significantly above JSW Steel (8–13%), Tata Steel (8–13%), and Hindalco (11–14%). This confirms that NMDC generates far more operating profit per rupee of capital employed than any of its listed peers — a direct outcome of its low-cost, asset-light mining model relative to integrated steel and aluminium producers.</t>
    </r>
    <r>
      <rPr>
        <b/>
        <sz val="11"/>
        <color rgb="FF333333"/>
        <rFont val="Calibri"/>
        <family val="2"/>
      </rPr>
      <t xml:space="preserve">
</t>
    </r>
    <r>
      <rPr>
        <b/>
        <sz val="11"/>
        <color rgb="FF00B050"/>
        <rFont val="Calibri"/>
        <family val="2"/>
      </rPr>
      <t>Working Capital: NMDC's Cash Conversion Cycle (CCC) of 200 days looks alarming at first glance, but context matters. NMDC has negative days payable (it receives advance payments from customers before delivering ore) which distorts the CCC calculation upward. Tata Steel runs a negative CCC (-38 days) because it stretches payables beyond its receivables+inventory cycle — a typical integrated steel manufacturer pattern. JSW Steel's CCC of 7–10 days reflects tightly managed working capital. NMDC's debtor days have risen from 58 to 86 days over 3 years, suggesting receivables are piling up — this is worth monitoring as it can pressure cash flows if not managed.</t>
    </r>
    <r>
      <rPr>
        <b/>
        <sz val="11"/>
        <color rgb="FF333333"/>
        <rFont val="Calibri"/>
        <family val="2"/>
      </rPr>
      <t xml:space="preserve">
</t>
    </r>
    <r>
      <rPr>
        <b/>
        <sz val="11"/>
        <color theme="4" tint="-0.499984740745262"/>
        <rFont val="Calibri"/>
        <family val="2"/>
      </rPr>
      <t xml:space="preserve">
Overall Positioning: NMDC is not directly comparable to steel or metals manufacturers. It sits upstream — supplying the raw material that feeds JSW Steel and Tata Steel's furnaces. Its profitability metrics will always look superior on paper. The right peer for valuation purposes is a pure mining company, not a steel producer. Among the listed companies here, NMDC stands alone in its margin and return profile, which justifies a modest valuation premium over the steel names.</t>
    </r>
  </si>
  <si>
    <t>Value</t>
  </si>
  <si>
    <t>Financial Year</t>
  </si>
  <si>
    <t>Revenue (₹ Crore)</t>
  </si>
  <si>
    <t>Profit After Tax (PAT) (₹ Crore)</t>
  </si>
  <si>
    <t>Revenue Change (%)</t>
  </si>
  <si>
    <t>PAT Change (%)</t>
  </si>
  <si>
    <t>Nifty 50 Change (%)</t>
  </si>
  <si>
    <t>Nifty 50 Prices</t>
  </si>
  <si>
    <t>Market Cap</t>
  </si>
  <si>
    <t>FY 2025-26</t>
  </si>
  <si>
    <t>Current Price</t>
  </si>
  <si>
    <t>FY 2024-25</t>
  </si>
  <si>
    <t>High / Low</t>
  </si>
  <si>
    <t>90.77/89.20</t>
  </si>
  <si>
    <t>FY 2023-24</t>
  </si>
  <si>
    <t>Stock P/E</t>
  </si>
  <si>
    <t>FY 2022-23</t>
  </si>
  <si>
    <t>Book Value</t>
  </si>
  <si>
    <t>FY 2021-22</t>
  </si>
  <si>
    <t>Dividend Yield</t>
  </si>
  <si>
    <t>ROCE</t>
  </si>
  <si>
    <t>ROE</t>
  </si>
  <si>
    <t>Face Value</t>
  </si>
  <si>
    <t>NMDC is India's largest iron ore producer — a Navratna PSU with GoI holding 60.79%. FY25 revenue was ₹23,668 Cr with PAT of ₹6,693 Cr. ROCE stands at 32% and ROE at 22%, strong numbers for a commodity mining PSU. No long-term debt as of FY25. H1 FY26 revenue of ₹13,745 Cr is 21% ahead of H1 FY25 — earnings momentum is intact. Dividend yield at 3.91% adds an income component on top of any capital appreciation. Stock trades at 10.56x P/E and ~2.3x P/B — reasonable for a company generating this level of returns. Key risk: iron ore price cyclicality. FY23 revenue fell 32% from FY22 peak, showing how sharply earnings swing when global steel demand softens. Government ownership also means pricing is occasionally influenced by policy. Beta of 1.09 means slight outperformance vs market in rallies, similar downside in corrections. FII + DII together hold ~27%, reflecting genuine institutional conviction.</t>
  </si>
  <si>
    <t>ACCUMULATE / HOLD — Not a Sell.
At ₹89-90, the stock is in fair-to-cheap territory. 32% ROCE, 3.91% dividend yield, and a clean balance sheet at just 10.5x earnings is not expensive for a market leader in iron ore. Existing investors: hold and collect dividends — business fundamentals are not broken. Fresh entry: wait for ₹80-85 zone and accumulate in tranches, since iron ore cycle always creates periodic dips worth using. This is not a re-rating story — it will not double overnight. It is a steady dividend compounder for long-term investors. Single metric to watch: FY26 iron ore realization per tonne — that number determines whether the stock breaks above ₹100 or corrects toward ₹70 in the next commodity cycle.</t>
  </si>
  <si>
    <t>Date</t>
  </si>
  <si>
    <t>Close (Nifty)</t>
  </si>
  <si>
    <t>Close</t>
  </si>
  <si>
    <t>Rm Nifty</t>
  </si>
  <si>
    <t>Rm NMDC</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</si>
  <si>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</si>
  <si>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</si>
  <si>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</si>
  <si>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</si>
  <si>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</si>
  <si>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</si>
  <si>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</si>
  <si>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</si>
  <si>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</si>
  <si>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</si>
  <si>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</si>
  <si>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</si>
  <si>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</si>
  <si>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</si>
  <si>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</si>
  <si>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</si>
  <si>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</si>
  <si>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</si>
  <si>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</si>
  <si>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</si>
  <si>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</si>
  <si>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</si>
  <si>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</si>
  <si>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</si>
  <si>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</si>
  <si>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Ratio Analysis- NMDC</t>
  </si>
  <si>
    <t>Trends</t>
  </si>
  <si>
    <t>Mean</t>
  </si>
  <si>
    <t>Median</t>
  </si>
  <si>
    <t>Sales Growth</t>
  </si>
  <si>
    <t>EBITDA Growth</t>
  </si>
  <si>
    <t>EBIT Growth</t>
  </si>
  <si>
    <t>Net Profit Growth</t>
  </si>
  <si>
    <t xml:space="preserve">Dividend Growth </t>
  </si>
  <si>
    <t>Gross Margin</t>
  </si>
  <si>
    <t>EBITDA Margin</t>
  </si>
  <si>
    <t>EBIT Margin</t>
  </si>
  <si>
    <t>EBT Margin</t>
  </si>
  <si>
    <t>Net Profit Margin</t>
  </si>
  <si>
    <t>Sales Expenses%Sales</t>
  </si>
  <si>
    <t>Depriciation%Sales</t>
  </si>
  <si>
    <t>Operating Income%Sales</t>
  </si>
  <si>
    <t xml:space="preserve">Return on Capital Employed </t>
  </si>
  <si>
    <t>Retained Earning %</t>
  </si>
  <si>
    <t>Return on Equity %</t>
  </si>
  <si>
    <t xml:space="preserve">Self Sustained Growth Rate </t>
  </si>
  <si>
    <t xml:space="preserve">Interest Coverage Ratio </t>
  </si>
  <si>
    <t>Debtor Turnover Ratio</t>
  </si>
  <si>
    <t>Creditor Turnover Ratio</t>
  </si>
  <si>
    <t>Inventory Turnover</t>
  </si>
  <si>
    <t>Fixed Asset Turnover</t>
  </si>
  <si>
    <t>Capital Turnover Ratio</t>
  </si>
  <si>
    <t>(In days)</t>
  </si>
  <si>
    <t>Debtors Day</t>
  </si>
  <si>
    <t>Payable Days</t>
  </si>
  <si>
    <t>CFO/Sales</t>
  </si>
  <si>
    <t>CFO/Total Assets</t>
  </si>
  <si>
    <t>CFO/Total Debt</t>
  </si>
  <si>
    <t xml:space="preserve">Particular </t>
  </si>
  <si>
    <t>EBIT</t>
  </si>
  <si>
    <t>Less: Tax on EBIT</t>
  </si>
  <si>
    <t>EBIT * (1- Tax) NOPAT</t>
  </si>
  <si>
    <t xml:space="preserve">Less: Net Capital expenditure </t>
  </si>
  <si>
    <t xml:space="preserve">Less: Net Change in working Capital </t>
  </si>
  <si>
    <t>Reinvestment</t>
  </si>
  <si>
    <t>Free Cash Flow</t>
  </si>
  <si>
    <t xml:space="preserve">Reinvestment Rate </t>
  </si>
  <si>
    <t xml:space="preserve">Median Reinvestment rate   /Sales percentage </t>
  </si>
  <si>
    <t xml:space="preserve">Average Reinvestment rate   /Sales percentage </t>
  </si>
  <si>
    <t xml:space="preserve">Inventory </t>
  </si>
  <si>
    <t xml:space="preserve">Trade Receivables </t>
  </si>
  <si>
    <t>Trade Payable</t>
  </si>
  <si>
    <t xml:space="preserve">Non Cash working Capital </t>
  </si>
  <si>
    <t xml:space="preserve">Change in Working Capital </t>
  </si>
  <si>
    <t xml:space="preserve">change in working Capital /percentage of sales </t>
  </si>
  <si>
    <t xml:space="preserve">Median Non Cash working Capital  /Sales percentage </t>
  </si>
  <si>
    <t xml:space="preserve">Average  Non Cash working Capital  /Sales percentage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</si>
  <si>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</si>
  <si>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</si>
  <si>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</si>
  <si>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</si>
  <si>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</si>
  <si>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</si>
  <si>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</si>
  <si>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</si>
  <si>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</si>
  <si>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Sales Forecasting</t>
  </si>
  <si>
    <t>EBITDA Forecasting</t>
  </si>
  <si>
    <t>Earning per share Forecasting</t>
  </si>
  <si>
    <t>Year Weight</t>
  </si>
  <si>
    <t>Year</t>
  </si>
  <si>
    <t>Sales</t>
  </si>
  <si>
    <t>EPS</t>
  </si>
  <si>
    <t>EPS Growth</t>
  </si>
  <si>
    <t>Particulars (in RS Cr.)</t>
  </si>
  <si>
    <t>Revenue from operations</t>
  </si>
  <si>
    <t>Revenue growth in %</t>
  </si>
  <si>
    <t>Less: Material cost</t>
  </si>
  <si>
    <t>Less: Employee costs</t>
  </si>
  <si>
    <t>Less: Other Expenses</t>
  </si>
  <si>
    <t>Less: Depreciation And Amortization</t>
  </si>
  <si>
    <t xml:space="preserve">EBIT </t>
  </si>
  <si>
    <t>ADD: Non operating  income/ Other Income</t>
  </si>
  <si>
    <t xml:space="preserve">Less: Interest Expenses </t>
  </si>
  <si>
    <t>EBT</t>
  </si>
  <si>
    <t>Less: TAX</t>
  </si>
  <si>
    <t>Less:Non Controlling Interest/Minority Interest</t>
  </si>
  <si>
    <t>Net Profit- Pat</t>
  </si>
  <si>
    <t>Historical Growth</t>
  </si>
  <si>
    <t>Average Growth</t>
  </si>
  <si>
    <t>CAGR</t>
  </si>
  <si>
    <t>RRI</t>
  </si>
  <si>
    <t>Margins</t>
  </si>
  <si>
    <t>Net Proftt</t>
  </si>
  <si>
    <t>Tax Rate</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</si>
  <si>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</si>
  <si>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</si>
  <si>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</si>
  <si>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</si>
  <si>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</si>
  <si>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</si>
  <si>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</si>
  <si>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</si>
  <si>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</si>
  <si>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</si>
  <si>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 Margin</t>
  </si>
  <si>
    <t>Growth In EBIT</t>
  </si>
  <si>
    <t>Scenario 1: High Growth</t>
  </si>
  <si>
    <t>INR Cr.</t>
  </si>
  <si>
    <t>LTM</t>
  </si>
  <si>
    <t>Y1E</t>
  </si>
  <si>
    <t>Y2E</t>
  </si>
  <si>
    <t>Y3E</t>
  </si>
  <si>
    <t>Y4W</t>
  </si>
  <si>
    <t>Y5E</t>
  </si>
  <si>
    <t>Y6E</t>
  </si>
  <si>
    <t>Y7E</t>
  </si>
  <si>
    <t>Y8E</t>
  </si>
  <si>
    <t>Y9E</t>
  </si>
  <si>
    <t>Y10E</t>
  </si>
  <si>
    <t>Risk free rate</t>
  </si>
  <si>
    <t>Sales Growth %</t>
  </si>
  <si>
    <t>Scenario 2: Average Growth</t>
  </si>
  <si>
    <t>Scenario 3: EBIT Growth</t>
  </si>
  <si>
    <t>Live Scenario</t>
  </si>
  <si>
    <t>Capital Structure</t>
  </si>
  <si>
    <t>Total Debt</t>
  </si>
  <si>
    <t>Total Equity</t>
  </si>
  <si>
    <t>Total Mix (Debt + Equity)</t>
  </si>
  <si>
    <t>% of Debt</t>
  </si>
  <si>
    <t>% of Equity</t>
  </si>
  <si>
    <t>Debt to Equity</t>
  </si>
  <si>
    <t>Cost of Equity (CAPM)</t>
  </si>
  <si>
    <t>Risk-free Rate (Rf)</t>
  </si>
  <si>
    <t>Source: RBI 10-year Government Securities yield (FY2025)</t>
  </si>
  <si>
    <t>Beta (β)</t>
  </si>
  <si>
    <t>Market Risk Premium (Rm - Rf)</t>
  </si>
  <si>
    <t>Source: India Equity Risk Premium (Damodaran estimate)</t>
  </si>
  <si>
    <t>Cost of Equity [Ke = Rf + β×(Rm-Rf)]</t>
  </si>
  <si>
    <t>Cost of Debt</t>
  </si>
  <si>
    <t>Finance Cost (FY2025)</t>
  </si>
  <si>
    <t>Total Debt (FY2025)</t>
  </si>
  <si>
    <t>Pre-tax Cost of Debt [Kd = FC/Debt]</t>
  </si>
  <si>
    <t>Post-tax Cost of Debt [Kd*(1-T)]</t>
  </si>
  <si>
    <t>WACC</t>
  </si>
  <si>
    <t>Source</t>
  </si>
  <si>
    <t>Weight</t>
  </si>
  <si>
    <t>Cost</t>
  </si>
  <si>
    <t>Weighted Cost</t>
  </si>
  <si>
    <t>Debt</t>
  </si>
  <si>
    <t>Equity</t>
  </si>
  <si>
    <t>(Check: weights = 100%)</t>
  </si>
  <si>
    <t>wacc = we*ke+wd*kd</t>
  </si>
  <si>
    <t>INR Cr</t>
  </si>
  <si>
    <t>Y4E</t>
  </si>
  <si>
    <t>Terminal Year</t>
  </si>
  <si>
    <t>Terminal growth rate %</t>
  </si>
  <si>
    <t xml:space="preserve">Sales </t>
  </si>
  <si>
    <t>Cost of Capital %</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</si>
  <si>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</si>
  <si>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</si>
  <si>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</si>
  <si>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</si>
  <si>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</si>
  <si>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</si>
  <si>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</si>
  <si>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</si>
  <si>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</si>
  <si>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</si>
  <si>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</si>
  <si>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</si>
  <si>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</si>
  <si>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</si>
  <si>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</si>
  <si>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Terminal
Growth ↓ / WACC →</t>
  </si>
  <si>
    <t>Add: Cash</t>
  </si>
  <si>
    <t>Less: Debt</t>
  </si>
  <si>
    <t>Less: Minority Interest</t>
  </si>
  <si>
    <t>Equity Value</t>
  </si>
  <si>
    <t>No. of Shares outstanding (Cr)</t>
  </si>
  <si>
    <t xml:space="preserve">intrinsic value per share </t>
  </si>
  <si>
    <t>RELATIVE VALUATION – NMDC  (FY2025  |  INR Crores)</t>
  </si>
  <si>
    <t>Market Data</t>
  </si>
  <si>
    <t>Financial Data</t>
  </si>
  <si>
    <t>Valuation Ratios</t>
  </si>
  <si>
    <t>Price
(₹)</t>
  </si>
  <si>
    <t>Shares
(Cr.)</t>
  </si>
  <si>
    <t>Mkt Cap
(Cr.)</t>
  </si>
  <si>
    <t>EV
(Cr.)</t>
  </si>
  <si>
    <t>Revenue
(Cr.)</t>
  </si>
  <si>
    <t>EBITDA
(Cr.)</t>
  </si>
  <si>
    <t>EBIT
(Cr.)</t>
  </si>
  <si>
    <t>EPS
(₹)</t>
  </si>
  <si>
    <t>P/E</t>
  </si>
  <si>
    <t>EV/Sales</t>
  </si>
  <si>
    <t>EV/EBITDA</t>
  </si>
  <si>
    <t>EV/EBIT</t>
  </si>
  <si>
    <t>Tata Steel</t>
  </si>
  <si>
    <t>Jindal steel</t>
  </si>
  <si>
    <t>Lloyds steel</t>
  </si>
  <si>
    <t>Peer Average</t>
  </si>
  <si>
    <t>Peer Median</t>
  </si>
  <si>
    <t>NMDC — IMPLIED SHARE PRICE FROM PEER MULTIPLES</t>
  </si>
  <si>
    <t>Valuation
Basis</t>
  </si>
  <si>
    <t>Peer Avg
Multiple</t>
  </si>
  <si>
    <t>Peer Median
Multiple</t>
  </si>
  <si>
    <t>NMDC
Actual</t>
  </si>
  <si>
    <t>Implied EV
(Avg)</t>
  </si>
  <si>
    <t>Implied EV
(Median)</t>
  </si>
  <si>
    <t>Implied Equity
(Avg)</t>
  </si>
  <si>
    <t>Implied Equity
(Median)</t>
  </si>
  <si>
    <t>Implied Price
(Avg) ₹</t>
  </si>
  <si>
    <t>Implied Price
(Med) ₹</t>
  </si>
  <si>
    <t>CMP ₹</t>
  </si>
  <si>
    <t>Premium/Disc
(vs Avg)</t>
  </si>
  <si>
    <t>Premium/Disc
(vs Med)</t>
  </si>
  <si>
    <t>EV / Sales</t>
  </si>
  <si>
    <t>EV / EBITDA</t>
  </si>
  <si>
    <t>P / E</t>
  </si>
  <si>
    <t>EV/Revenue</t>
  </si>
  <si>
    <t>P/E Ratio</t>
  </si>
  <si>
    <t>Max</t>
  </si>
  <si>
    <t>75th Percentile</t>
  </si>
  <si>
    <t>Average</t>
  </si>
  <si>
    <t>median</t>
  </si>
  <si>
    <t>25th Percentile</t>
  </si>
  <si>
    <t>Min.</t>
  </si>
  <si>
    <t xml:space="preserve"> </t>
  </si>
  <si>
    <t>Implied Enterprise Value</t>
  </si>
  <si>
    <t>Net Debt</t>
  </si>
  <si>
    <t>Implied Market Value</t>
  </si>
  <si>
    <t>Share Outstanding</t>
  </si>
  <si>
    <t>Implied Value per Share</t>
  </si>
  <si>
    <t xml:space="preserve"> Industry Comparable comps</t>
  </si>
  <si>
    <t>About the Company (NMDC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</si>
</sst>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 &quot;#,##0.0"/>
    <numFmt numFmtId="165" formatCode="0.0\x"/>
    <numFmt numFmtId="166" formatCode="#,##0.0"/>
    <numFmt numFmtId="167" formatCode="&quot;₹&quot;#,##0"/>
    <numFmt numFmtId="168" formatCode="0.0%;\(0.0%\);\-"/>
    <numFmt numFmtId="169" formatCode="0.0"/>
    <numFmt numFmtId="170" formatCode="0.0000"/>
    <numFmt numFmtId="171" formatCode="0.\X"/>
    <numFmt numFmtId="172" formatCode="_ * #,##0.00_ ;_ * \-#,##0.00_ ;_ * \-??_ ;_ @_ "/>
    <numFmt numFmtId="173" formatCode="0.0%"/>
    <numFmt numFmtId="174" formatCode="_ * #,##0.0000_ ;_ * \-#,##0.0000_ ;_ * \-??_ ;_ @_ "/>
    <numFmt numFmtId="175" formatCode="0.000000000000000%"/>
    <numFmt numFmtId="176" formatCode="0.0%;\(0.0%\)"/>
    <numFmt numFmtId="177" formatCode="yyyy\ "/>
    <numFmt numFmtId="178" formatCode="yyyy\A"/>
    <numFmt numFmtId="179" formatCode="yyyy\E"/>
    <numFmt numFmtId="180" formatCode="m/d/yyyy"/>
    <numFmt numFmtId="181" formatCode="0.000%"/>
    <numFmt numFmtId="182" formatCode="&quot;₹ &quot;#,##0;[Red]&quot;₹ -&quot;#,##0"/>
    <numFmt numFmtId="183" formatCode="&quot;₹ &quot;#,##0.00;[Red]&quot;₹ -&quot;#,##0.00"/>
    <numFmt numFmtId="184" formatCode="0.00\%"/>
  </numFmts>
  <fonts count="93" x14ac:knownFonts="1">
    <font>
      <sz val="11"/>
      <color theme="1"/>
      <name val="Calibri"/>
      <charset val="1"/>
    </font>
    <font>
      <sz val="11"/>
      <color theme="1"/>
      <name val="Calibri"/>
      <family val="2"/>
      <scheme val="minor"/>
    </font>
    <font>
      <b/>
      <sz val="12"/>
      <color theme="0"/>
      <name val="Arial"/>
      <family val="2"/>
    </font>
    <font>
      <sz val="10"/>
      <name val="Arial"/>
      <family val="2"/>
    </font>
    <font>
      <b/>
      <sz val="10"/>
      <color theme="0"/>
      <name val="Arial"/>
      <family val="2"/>
    </font>
    <font>
      <b/>
      <sz val="9"/>
      <color theme="0"/>
      <name val="Arial"/>
      <family val="2"/>
    </font>
    <font>
      <b/>
      <sz val="10"/>
      <name val="Arial"/>
      <family val="2"/>
    </font>
    <font>
      <sz val="11"/>
      <name val="Calibri"/>
      <family val="2"/>
    </font>
    <font>
      <sz val="11"/>
      <color rgb="FF333333"/>
      <name val="Calibri"/>
      <family val="2"/>
    </font>
    <font>
      <sz val="11"/>
      <color rgb="FF000000"/>
      <name val="Calibri"/>
      <family val="2"/>
    </font>
    <font>
      <b/>
      <sz val="11"/>
      <name val="Calibri"/>
      <family val="2"/>
    </font>
    <font>
      <sz val="7"/>
      <color theme="1"/>
      <name val="Arial"/>
      <family val="2"/>
    </font>
    <font>
      <sz val="7"/>
      <color rgb="FF000000"/>
      <name val="Arial"/>
      <family val="2"/>
    </font>
    <font>
      <b/>
      <sz val="11"/>
      <color theme="0"/>
      <name val="Arial"/>
      <family val="2"/>
    </font>
    <font>
      <b/>
      <sz val="9"/>
      <color theme="1"/>
      <name val="Arial"/>
      <family val="2"/>
    </font>
    <font>
      <b/>
      <sz val="11"/>
      <color rgb="FFFF0000"/>
      <name val="Calibri"/>
      <family val="2"/>
    </font>
    <font>
      <b/>
      <sz val="11"/>
      <color theme="0"/>
      <name val="Calibri"/>
      <family val="2"/>
    </font>
    <font>
      <b/>
      <sz val="11"/>
      <color theme="1"/>
      <name val="Calibri"/>
      <family val="2"/>
    </font>
    <font>
      <sz val="11"/>
      <color theme="1"/>
      <name val="Calibri"/>
      <family val="2"/>
    </font>
    <font>
      <sz val="11"/>
      <color rgb="FF000000"/>
      <name val="Calibri"/>
      <family val="2"/>
      <scheme val="minor"/>
    </font>
    <font>
      <b/>
      <i/>
      <sz val="11"/>
      <color theme="1"/>
      <name val="Calibri"/>
      <family val="2"/>
    </font>
    <font>
      <sz val="11"/>
      <color theme="1"/>
      <name val="Calibri"/>
      <family val="2"/>
      <scheme val="minor"/>
    </font>
    <font>
      <b/>
      <sz val="11"/>
      <color theme="1"/>
      <name val="Calibri"/>
      <family val="2"/>
    </font>
    <font>
      <b/>
      <sz val="11"/>
      <color theme="0"/>
      <name val="Cambria"/>
      <family val="1"/>
    </font>
    <font>
      <b/>
      <sz val="9"/>
      <name val="Cambria"/>
      <family val="1"/>
    </font>
    <font>
      <i/>
      <sz val="11"/>
      <color theme="1"/>
      <name val="Calibri"/>
      <family val="2"/>
    </font>
    <font>
      <b/>
      <sz val="11"/>
      <color theme="1"/>
      <name val="Calibri"/>
      <family val="2"/>
      <scheme val="minor"/>
    </font>
    <font>
      <b/>
      <sz val="11"/>
      <color rgb="FF000000"/>
      <name val="Calibri"/>
      <family val="2"/>
      <scheme val="minor"/>
    </font>
    <font>
      <b/>
      <sz val="11"/>
      <color rgb="FFFFFFFF"/>
      <name val="Arial"/>
      <family val="2"/>
    </font>
    <font>
      <sz val="10"/>
      <color rgb="FF000000"/>
      <name val="Arial"/>
      <family val="2"/>
    </font>
    <font>
      <b/>
      <sz val="10"/>
      <color rgb="FF000000"/>
      <name val="Arial"/>
      <family val="2"/>
    </font>
    <font>
      <b/>
      <sz val="11"/>
      <color rgb="FF000000"/>
      <name val="Calibri"/>
      <family val="2"/>
    </font>
    <font>
      <sz val="10"/>
      <color theme="1"/>
      <name val="Arial"/>
      <family val="2"/>
    </font>
    <font>
      <b/>
      <sz val="14"/>
      <color rgb="FFFFFFFF"/>
      <name val="Arial"/>
      <family val="2"/>
    </font>
    <font>
      <b/>
      <sz val="12"/>
      <color rgb="FFFFFFFF"/>
      <name val="Arial"/>
      <family val="2"/>
    </font>
    <font>
      <sz val="11"/>
      <color rgb="FF595959"/>
      <name val="Calibri"/>
      <family val="2"/>
    </font>
    <font>
      <b/>
      <sz val="10"/>
      <color rgb="FFFFFFFF"/>
      <name val="Arial"/>
      <family val="2"/>
    </font>
    <font>
      <b/>
      <sz val="8"/>
      <color rgb="FF555555"/>
      <name val="Arial"/>
      <family val="2"/>
    </font>
    <font>
      <sz val="10"/>
      <color rgb="FF333333"/>
      <name val="Arial"/>
      <family val="2"/>
    </font>
    <font>
      <sz val="10"/>
      <color rgb="FF444444"/>
      <name val="Arial"/>
      <family val="2"/>
    </font>
    <font>
      <b/>
      <sz val="10"/>
      <color rgb="FF4A0030"/>
      <name val="Arial"/>
      <family val="2"/>
    </font>
    <font>
      <b/>
      <sz val="9"/>
      <color rgb="FFFFFFFF"/>
      <name val="Arial"/>
      <family val="2"/>
    </font>
    <font>
      <b/>
      <sz val="9"/>
      <color rgb="FF0D47A1"/>
      <name val="Arial"/>
      <family val="2"/>
    </font>
    <font>
      <sz val="9"/>
      <name val="Arial"/>
      <family val="2"/>
    </font>
    <font>
      <b/>
      <sz val="9"/>
      <name val="Arial"/>
      <family val="2"/>
    </font>
    <font>
      <i/>
      <sz val="11"/>
      <name val="Calibri"/>
      <family val="2"/>
    </font>
    <font>
      <sz val="11"/>
      <color theme="1"/>
      <name val="Cambria"/>
      <family val="1"/>
    </font>
    <font>
      <b/>
      <sz val="20"/>
      <color theme="0"/>
      <name val="Calibri"/>
      <family val="2"/>
    </font>
    <font>
      <b/>
      <sz val="11"/>
      <color rgb="FFFFFFFF"/>
      <name val="Calibri"/>
      <family val="2"/>
    </font>
    <font>
      <sz val="11"/>
      <color rgb="FF000000"/>
      <name val="Cambria"/>
      <family val="1"/>
    </font>
    <font>
      <b/>
      <sz val="11"/>
      <color theme="0"/>
      <name val="Calibri"/>
      <family val="2"/>
    </font>
    <font>
      <sz val="11"/>
      <color rgb="FF333333"/>
      <name val="Calibri"/>
      <family val="2"/>
      <scheme val="minor"/>
    </font>
    <font>
      <b/>
      <sz val="8"/>
      <color rgb="FF333333"/>
      <name val="Arial"/>
      <family val="2"/>
    </font>
    <font>
      <sz val="11"/>
      <name val="Calibri"/>
      <family val="2"/>
    </font>
    <font>
      <b/>
      <sz val="11"/>
      <color rgb="FF333333"/>
      <name val="Calibri"/>
      <family val="2"/>
    </font>
    <font>
      <b/>
      <sz val="11"/>
      <color rgb="FF333333"/>
      <name val="Calibri"/>
      <family val="2"/>
    </font>
    <font>
      <sz val="9"/>
      <color rgb="FF444444"/>
      <name val="Arial"/>
      <family val="2"/>
    </font>
    <font>
      <b/>
      <sz val="9"/>
      <color rgb="FF1B5E20"/>
      <name val="Arial"/>
      <family val="2"/>
    </font>
    <font>
      <b/>
      <sz val="11"/>
      <name val="Cambria"/>
      <family val="1"/>
    </font>
    <font>
      <b/>
      <sz val="11"/>
      <color rgb="FFFFFFFF"/>
      <name val="Calibri"/>
      <family val="2"/>
      <scheme val="minor"/>
    </font>
    <font>
      <b/>
      <sz val="11"/>
      <color rgb="FF1A6B72"/>
      <name val="Calibri"/>
      <family val="2"/>
      <scheme val="minor"/>
    </font>
    <font>
      <b/>
      <sz val="11"/>
      <color rgb="FF1A5276"/>
      <name val="Calibri"/>
      <family val="2"/>
      <scheme val="minor"/>
    </font>
    <font>
      <b/>
      <sz val="11"/>
      <color rgb="FF6E2F7A"/>
      <name val="Calibri"/>
      <family val="2"/>
      <scheme val="minor"/>
    </font>
    <font>
      <sz val="11"/>
      <color rgb="FF1A1A2E"/>
      <name val="Calibri"/>
      <family val="2"/>
      <scheme val="minor"/>
    </font>
    <font>
      <b/>
      <sz val="11"/>
      <color rgb="FF1A1A2E"/>
      <name val="Calibri"/>
      <family val="2"/>
      <scheme val="minor"/>
    </font>
    <font>
      <i/>
      <sz val="11"/>
      <color rgb="FF1A1A2E"/>
      <name val="Calibri"/>
      <family val="2"/>
      <scheme val="minor"/>
    </font>
    <font>
      <i/>
      <sz val="11"/>
      <color rgb="FF666666"/>
      <name val="Calibri"/>
      <family val="2"/>
      <scheme val="minor"/>
    </font>
    <font>
      <b/>
      <sz val="16"/>
      <color rgb="FFFFFFFF"/>
      <name val="Calibri"/>
      <family val="2"/>
    </font>
    <font>
      <b/>
      <sz val="10"/>
      <color rgb="FFFFFFFF"/>
      <name val="Calibri"/>
      <family val="2"/>
    </font>
    <font>
      <i/>
      <sz val="8"/>
      <color rgb="FF666666"/>
      <name val="Calibri"/>
      <family val="2"/>
    </font>
    <font>
      <b/>
      <sz val="18"/>
      <color rgb="FFFFFFFF"/>
      <name val="Calibri"/>
      <family val="2"/>
    </font>
    <font>
      <sz val="11"/>
      <color rgb="FF1A1A2E"/>
      <name val="Calibri"/>
      <family val="2"/>
    </font>
    <font>
      <b/>
      <sz val="14"/>
      <color rgb="FFFFFFFF"/>
      <name val="Calibri"/>
      <family val="2"/>
    </font>
    <font>
      <sz val="10"/>
      <color rgb="FF1A1A2E"/>
      <name val="Calibri"/>
      <family val="2"/>
    </font>
    <font>
      <b/>
      <sz val="10"/>
      <color rgb="FF1A1A2E"/>
      <name val="Calibri"/>
      <family val="2"/>
    </font>
    <font>
      <b/>
      <sz val="10"/>
      <color rgb="FF2E5FA3"/>
      <name val="Calibri"/>
      <family val="2"/>
    </font>
    <font>
      <b/>
      <sz val="11"/>
      <color theme="5"/>
      <name val="Calibri"/>
      <family val="2"/>
    </font>
    <font>
      <b/>
      <sz val="11"/>
      <color rgb="FF00B050"/>
      <name val="Calibri"/>
      <family val="2"/>
    </font>
    <font>
      <b/>
      <sz val="11"/>
      <color theme="4" tint="-0.499984740745262"/>
      <name val="Calibri"/>
      <family val="2"/>
    </font>
    <font>
      <b/>
      <sz val="11"/>
      <color theme="0"/>
      <name val="Calibri"/>
      <family val="2"/>
      <scheme val="minor"/>
    </font>
    <font>
      <sz val="11"/>
      <color theme="0"/>
      <name val="Calibri"/>
      <family val="2"/>
      <scheme val="minor"/>
    </font>
    <font>
      <sz val="11"/>
      <color theme="0"/>
      <name val="Calibri"/>
      <family val="2"/>
    </font>
    <font>
      <sz val="11"/>
      <color rgb="FF0070C0"/>
      <name val="Calibri"/>
      <family val="2"/>
      <scheme val="minor"/>
    </font>
    <font>
      <b/>
      <sz val="8"/>
      <color theme="0"/>
      <name val="Arial"/>
      <family val="2"/>
    </font>
    <font>
      <b/>
      <sz val="11"/>
      <color theme="4" tint="-0.249977111117893"/>
      <name val="Calibri"/>
      <family val="2"/>
    </font>
    <font>
      <sz val="11"/>
      <color theme="4" tint="-0.249977111117893"/>
      <name val="Calibri"/>
      <family val="2"/>
    </font>
    <font>
      <b/>
      <sz val="9"/>
      <color theme="0"/>
      <name val="Calibri"/>
      <family val="2"/>
    </font>
    <font>
      <sz val="9"/>
      <color theme="0"/>
      <name val="Calibri"/>
      <family val="2"/>
    </font>
    <font>
      <b/>
      <sz val="11"/>
      <color rgb="FF1A1A2E"/>
      <name val="Calibri"/>
      <family val="2"/>
    </font>
    <font>
      <b/>
      <sz val="12"/>
      <color rgb="FFFFFFFF"/>
      <name val="Calibri"/>
      <family val="2"/>
      <scheme val="minor"/>
    </font>
    <font>
      <b/>
      <sz val="11"/>
      <color rgb="FF0D47A1"/>
      <name val="Calibri"/>
      <family val="2"/>
      <scheme val="minor"/>
    </font>
    <font>
      <b/>
      <sz val="11"/>
      <name val="Calibri"/>
      <family val="2"/>
      <scheme val="minor"/>
    </font>
    <font>
      <sz val="11"/>
      <name val="Calibri"/>
      <family val="2"/>
      <scheme val="minor"/>
    </font>
  </fonts>
  <fills count="72">
    <fill>
      <patternFill patternType="none"/>
    </fill>
    <fill>
      <patternFill patternType="gray125"/>
    </fill>
    <fill>
      <patternFill patternType="solid">
        <fgColor rgb="FFFFFFFF"/>
        <bgColor rgb="FFFFF5F8"/>
      </patternFill>
    </fill>
    <fill>
      <patternFill patternType="solid">
        <fgColor rgb="FFD5E8F5"/>
        <bgColor rgb="FFDCE6F1"/>
      </patternFill>
    </fill>
    <fill>
      <patternFill patternType="solid">
        <fgColor theme="0" tint="-0.249977111117893"/>
        <bgColor rgb="FFA7A7A7"/>
      </patternFill>
    </fill>
    <fill>
      <patternFill patternType="solid">
        <fgColor theme="5" tint="-0.249977111117893"/>
        <bgColor indexed="64"/>
      </patternFill>
    </fill>
    <fill>
      <patternFill patternType="solid">
        <fgColor rgb="FFFFFF00"/>
        <bgColor rgb="FFFFF9C4"/>
      </patternFill>
    </fill>
    <fill>
      <patternFill patternType="solid">
        <fgColor rgb="FFE0E0E0"/>
        <bgColor rgb="FFD9D9D9"/>
      </patternFill>
    </fill>
    <fill>
      <patternFill patternType="solid">
        <fgColor rgb="FFA7A7A7"/>
        <bgColor rgb="FFBFBFBF"/>
      </patternFill>
    </fill>
    <fill>
      <patternFill patternType="solid">
        <fgColor rgb="FFD9E1F2"/>
        <bgColor rgb="FFDAE3F3"/>
      </patternFill>
    </fill>
    <fill>
      <patternFill patternType="solid">
        <fgColor theme="7" tint="0.79976805932798245"/>
        <bgColor rgb="FFFFF9C4"/>
      </patternFill>
    </fill>
    <fill>
      <patternFill patternType="solid">
        <fgColor rgb="FF1D324E"/>
        <bgColor rgb="FF1F3F5A"/>
      </patternFill>
    </fill>
    <fill>
      <patternFill patternType="solid">
        <fgColor theme="0" tint="-0.14996795556505021"/>
        <bgColor rgb="FFE0E0E0"/>
      </patternFill>
    </fill>
    <fill>
      <patternFill patternType="solid">
        <fgColor rgb="FFF6F8FB"/>
        <bgColor indexed="64"/>
      </patternFill>
    </fill>
    <fill>
      <patternFill patternType="solid">
        <fgColor theme="9" tint="0.39921262245551925"/>
        <bgColor rgb="FFA5D6A7"/>
      </patternFill>
    </fill>
    <fill>
      <patternFill patternType="solid">
        <fgColor theme="5" tint="-0.249977111117893"/>
        <bgColor rgb="FFA07830"/>
      </patternFill>
    </fill>
    <fill>
      <patternFill patternType="solid">
        <fgColor rgb="FFFFF5F8"/>
        <bgColor rgb="FFFFF0F5"/>
      </patternFill>
    </fill>
    <fill>
      <patternFill patternType="solid">
        <fgColor rgb="FF1A6B72"/>
        <bgColor indexed="64"/>
      </patternFill>
    </fill>
    <fill>
      <patternFill patternType="solid">
        <fgColor rgb="FF1A5276"/>
        <bgColor indexed="64"/>
      </patternFill>
    </fill>
    <fill>
      <patternFill patternType="solid">
        <fgColor rgb="FF6E2F7A"/>
        <bgColor indexed="64"/>
      </patternFill>
    </fill>
    <fill>
      <patternFill patternType="solid">
        <fgColor rgb="FFD4EDEA"/>
        <bgColor indexed="64"/>
      </patternFill>
    </fill>
    <fill>
      <patternFill patternType="solid">
        <fgColor rgb="FFD6E4F7"/>
        <bgColor indexed="64"/>
      </patternFill>
    </fill>
    <fill>
      <patternFill patternType="solid">
        <fgColor rgb="FFEFE6F5"/>
        <bgColor indexed="64"/>
      </patternFill>
    </fill>
    <fill>
      <patternFill patternType="solid">
        <fgColor rgb="FFF2F4F7"/>
        <bgColor indexed="64"/>
      </patternFill>
    </fill>
    <fill>
      <patternFill patternType="solid">
        <fgColor rgb="FFFFFFFF"/>
        <bgColor indexed="64"/>
      </patternFill>
    </fill>
    <fill>
      <patternFill patternType="solid">
        <fgColor rgb="FF2E5FA3"/>
        <bgColor indexed="64"/>
      </patternFill>
    </fill>
    <fill>
      <patternFill patternType="solid">
        <fgColor theme="4" tint="-0.249977111117893"/>
        <bgColor rgb="FF1D324E"/>
      </patternFill>
    </fill>
    <fill>
      <patternFill patternType="solid">
        <fgColor theme="4" tint="-0.249977111117893"/>
        <bgColor indexed="64"/>
      </patternFill>
    </fill>
    <fill>
      <patternFill patternType="solid">
        <fgColor theme="4" tint="-0.249977111117893"/>
        <bgColor rgb="FF164E7F"/>
      </patternFill>
    </fill>
    <fill>
      <patternFill patternType="solid">
        <fgColor theme="4" tint="-0.249977111117893"/>
        <bgColor rgb="FF0B6CBE"/>
      </patternFill>
    </fill>
    <fill>
      <patternFill patternType="mediumGray">
        <fgColor rgb="FF164E7F"/>
        <bgColor theme="4" tint="-0.249977111117893"/>
      </patternFill>
    </fill>
    <fill>
      <patternFill patternType="solid">
        <fgColor theme="4" tint="-0.249977111117893"/>
        <bgColor rgb="FF843C0B"/>
      </patternFill>
    </fill>
    <fill>
      <patternFill patternType="solid">
        <fgColor theme="4" tint="-0.249977111117893"/>
        <bgColor rgb="FFC75C12"/>
      </patternFill>
    </fill>
    <fill>
      <patternFill patternType="solid">
        <fgColor theme="0"/>
        <bgColor rgb="FF843C0B"/>
      </patternFill>
    </fill>
    <fill>
      <patternFill patternType="solid">
        <fgColor theme="0"/>
        <bgColor rgb="FFC75C12"/>
      </patternFill>
    </fill>
    <fill>
      <patternFill patternType="solid">
        <fgColor theme="0"/>
        <bgColor rgb="FFFFF5F8"/>
      </patternFill>
    </fill>
    <fill>
      <patternFill patternType="solid">
        <fgColor theme="0"/>
        <bgColor rgb="FFFBE5D6"/>
      </patternFill>
    </fill>
    <fill>
      <patternFill patternType="darkGray">
        <fgColor rgb="FF0B6CBE"/>
        <bgColor theme="4" tint="-0.249977111117893"/>
      </patternFill>
    </fill>
    <fill>
      <patternFill patternType="solid">
        <fgColor theme="4" tint="-0.249977111117893"/>
        <bgColor rgb="FF99CCFF"/>
      </patternFill>
    </fill>
    <fill>
      <patternFill patternType="solid">
        <fgColor theme="0"/>
        <bgColor rgb="FFD5E8F5"/>
      </patternFill>
    </fill>
    <fill>
      <patternFill patternType="solid">
        <fgColor theme="0"/>
        <bgColor rgb="FFF2F2F2"/>
      </patternFill>
    </fill>
    <fill>
      <patternFill patternType="solid">
        <fgColor theme="0"/>
        <bgColor rgb="FFE8F0FE"/>
      </patternFill>
    </fill>
    <fill>
      <patternFill patternType="solid">
        <fgColor theme="4" tint="-0.249977111117893"/>
        <bgColor rgb="FF7B2D5E"/>
      </patternFill>
    </fill>
    <fill>
      <patternFill patternType="solid">
        <fgColor theme="4" tint="-0.249977111117893"/>
        <bgColor rgb="FF3273B8"/>
      </patternFill>
    </fill>
    <fill>
      <patternFill patternType="solid">
        <fgColor theme="4" tint="-0.249977111117893"/>
        <bgColor rgb="FFDCE6F1"/>
      </patternFill>
    </fill>
    <fill>
      <patternFill patternType="solid">
        <fgColor theme="4" tint="-0.249977111117893"/>
        <bgColor rgb="FF0070C0"/>
      </patternFill>
    </fill>
    <fill>
      <patternFill patternType="solid">
        <fgColor theme="0"/>
        <bgColor rgb="FFFFF2CC"/>
      </patternFill>
    </fill>
    <fill>
      <patternFill patternType="solid">
        <fgColor theme="0"/>
        <bgColor indexed="64"/>
      </patternFill>
    </fill>
    <fill>
      <patternFill patternType="solid">
        <fgColor theme="4" tint="-0.249977111117893"/>
        <bgColor rgb="FFE3F2FD"/>
      </patternFill>
    </fill>
    <fill>
      <patternFill patternType="solid">
        <fgColor theme="0"/>
        <bgColor rgb="FFE3F2FD"/>
      </patternFill>
    </fill>
    <fill>
      <patternFill patternType="solid">
        <fgColor theme="4" tint="-0.249977111117893"/>
        <bgColor rgb="FFFBE5D6"/>
      </patternFill>
    </fill>
    <fill>
      <patternFill patternType="solid">
        <fgColor theme="0"/>
        <bgColor rgb="FFFFF0F5"/>
      </patternFill>
    </fill>
    <fill>
      <patternFill patternType="solid">
        <fgColor theme="4" tint="-0.249977111117893"/>
        <bgColor rgb="FF1B5E20"/>
      </patternFill>
    </fill>
    <fill>
      <patternFill patternType="solid">
        <fgColor theme="4" tint="-0.249977111117893"/>
        <bgColor rgb="FFA9D18E"/>
      </patternFill>
    </fill>
    <fill>
      <patternFill patternType="solid">
        <fgColor theme="4" tint="-0.249977111117893"/>
        <bgColor rgb="FFF1F8E9"/>
      </patternFill>
    </fill>
    <fill>
      <patternFill patternType="solid">
        <fgColor theme="0"/>
        <bgColor rgb="FFDCEDC8"/>
      </patternFill>
    </fill>
    <fill>
      <patternFill patternType="solid">
        <fgColor theme="0"/>
        <bgColor rgb="FFE8F5E9"/>
      </patternFill>
    </fill>
    <fill>
      <patternFill patternType="solid">
        <fgColor theme="0"/>
        <bgColor rgb="FFF1F8E9"/>
      </patternFill>
    </fill>
    <fill>
      <patternFill patternType="solid">
        <fgColor theme="0"/>
        <bgColor rgb="FFC8E6C9"/>
      </patternFill>
    </fill>
    <fill>
      <patternFill patternType="solid">
        <fgColor theme="0"/>
        <bgColor rgb="FFC8902A"/>
      </patternFill>
    </fill>
    <fill>
      <patternFill patternType="solid">
        <fgColor theme="0"/>
        <bgColor rgb="FFEEA018"/>
      </patternFill>
    </fill>
    <fill>
      <patternFill patternType="solid">
        <fgColor theme="0"/>
        <bgColor rgb="FFFFFFFF"/>
      </patternFill>
    </fill>
    <fill>
      <patternFill patternType="solid">
        <fgColor theme="4" tint="-0.249977111117893"/>
        <bgColor rgb="FFC8902A"/>
      </patternFill>
    </fill>
    <fill>
      <patternFill patternType="solid">
        <fgColor theme="4" tint="-0.249977111117893"/>
        <bgColor rgb="FFEEA018"/>
      </patternFill>
    </fill>
    <fill>
      <patternFill patternType="solid">
        <fgColor theme="0"/>
        <bgColor rgb="FFFCE4EC"/>
      </patternFill>
    </fill>
    <fill>
      <patternFill patternType="solid">
        <fgColor theme="0"/>
        <bgColor rgb="FFD9E1F2"/>
      </patternFill>
    </fill>
    <fill>
      <patternFill patternType="solid">
        <fgColor theme="0"/>
        <bgColor rgb="FFDAE3F3"/>
      </patternFill>
    </fill>
    <fill>
      <patternFill patternType="solid">
        <fgColor theme="0"/>
        <bgColor rgb="FFFFF9C4"/>
      </patternFill>
    </fill>
    <fill>
      <patternFill patternType="solid">
        <fgColor theme="4" tint="-0.249977111117893"/>
        <bgColor rgb="FFFCE4EC"/>
      </patternFill>
    </fill>
    <fill>
      <patternFill patternType="solid">
        <fgColor theme="4" tint="-0.249977111117893"/>
        <bgColor rgb="FFFFF9C4"/>
      </patternFill>
    </fill>
    <fill>
      <patternFill patternType="solid">
        <fgColor theme="4" tint="-0.249977111117893"/>
        <bgColor rgb="FFD9E1F2"/>
      </patternFill>
    </fill>
    <fill>
      <patternFill patternType="darkGray">
        <fgColor rgb="FFEEA018"/>
        <bgColor theme="4" tint="0.39997558519241921"/>
      </patternFill>
    </fill>
  </fills>
  <borders count="5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auto="1"/>
      </top>
      <bottom/>
      <diagonal/>
    </border>
    <border>
      <left style="medium">
        <color rgb="FFF2F2F2"/>
      </left>
      <right style="medium">
        <color rgb="FFF2F2F2"/>
      </right>
      <top/>
      <bottom/>
      <diagonal/>
    </border>
    <border>
      <left/>
      <right/>
      <top style="thin">
        <color auto="1"/>
      </top>
      <bottom style="thick">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style="thin">
        <color auto="1"/>
      </left>
      <right/>
      <top style="thin">
        <color theme="0"/>
      </top>
      <bottom style="thin">
        <color theme="0"/>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style="thin">
        <color theme="0"/>
      </right>
      <top style="thin">
        <color theme="0"/>
      </top>
      <bottom style="thin">
        <color theme="0"/>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medium">
        <color auto="1"/>
      </top>
      <bottom style="thin">
        <color auto="1"/>
      </bottom>
      <diagonal/>
    </border>
    <border>
      <left/>
      <right/>
      <top/>
      <bottom style="medium">
        <color auto="1"/>
      </bottom>
      <diagonal/>
    </border>
    <border>
      <left/>
      <right/>
      <top style="medium">
        <color rgb="FF000000"/>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rgb="FF1A6B72"/>
      </left>
      <right style="thin">
        <color rgb="FF1A6B72"/>
      </right>
      <top style="thin">
        <color rgb="FF1A6B72"/>
      </top>
      <bottom style="thin">
        <color rgb="FF1A6B72"/>
      </bottom>
      <diagonal/>
    </border>
    <border>
      <left/>
      <right style="thin">
        <color rgb="FF1A6B72"/>
      </right>
      <top style="thin">
        <color rgb="FF1A6B72"/>
      </top>
      <bottom style="thin">
        <color rgb="FF1A6B72"/>
      </bottom>
      <diagonal/>
    </border>
    <border>
      <left style="thin">
        <color rgb="FF1A5276"/>
      </left>
      <right style="thin">
        <color rgb="FF1A5276"/>
      </right>
      <top style="thin">
        <color rgb="FF1A5276"/>
      </top>
      <bottom style="thin">
        <color rgb="FF1A5276"/>
      </bottom>
      <diagonal/>
    </border>
    <border>
      <left/>
      <right style="thin">
        <color rgb="FF1A5276"/>
      </right>
      <top style="thin">
        <color rgb="FF1A5276"/>
      </top>
      <bottom style="thin">
        <color rgb="FF1A5276"/>
      </bottom>
      <diagonal/>
    </border>
    <border>
      <left style="thin">
        <color rgb="FF6E2F7A"/>
      </left>
      <right style="thin">
        <color rgb="FF6E2F7A"/>
      </right>
      <top style="thin">
        <color rgb="FF6E2F7A"/>
      </top>
      <bottom style="thin">
        <color rgb="FF6E2F7A"/>
      </bottom>
      <diagonal/>
    </border>
    <border>
      <left/>
      <right style="thin">
        <color rgb="FF6E2F7A"/>
      </right>
      <top style="thin">
        <color rgb="FF6E2F7A"/>
      </top>
      <bottom style="thin">
        <color rgb="FF6E2F7A"/>
      </bottom>
      <diagonal/>
    </border>
    <border>
      <left style="thin">
        <color rgb="FFBBBBBB"/>
      </left>
      <right style="thin">
        <color rgb="FFBBBBBB"/>
      </right>
      <top style="thin">
        <color rgb="FFBBBBBB"/>
      </top>
      <bottom style="thin">
        <color rgb="FFBBBBBB"/>
      </bottom>
      <diagonal/>
    </border>
    <border>
      <left style="thin">
        <color rgb="FF2E5FA3"/>
      </left>
      <right style="thin">
        <color rgb="FF2E5FA3"/>
      </right>
      <top style="thin">
        <color rgb="FF2E5FA3"/>
      </top>
      <bottom style="thin">
        <color rgb="FF2E5FA3"/>
      </bottom>
      <diagonal/>
    </border>
    <border>
      <left style="thin">
        <color rgb="FFC9A347"/>
      </left>
      <right style="thin">
        <color rgb="FFC9A347"/>
      </right>
      <top style="thin">
        <color rgb="FFC9A347"/>
      </top>
      <bottom style="thin">
        <color rgb="FFC9A347"/>
      </bottom>
      <diagonal/>
    </border>
    <border>
      <left style="thin">
        <color rgb="FF1F3864"/>
      </left>
      <right style="thin">
        <color rgb="FF1F3864"/>
      </right>
      <top style="thin">
        <color rgb="FF1F3864"/>
      </top>
      <bottom style="thin">
        <color rgb="FF1F3864"/>
      </bottom>
      <diagonal/>
    </border>
    <border>
      <left/>
      <right style="thin">
        <color rgb="FF1F3864"/>
      </right>
      <top style="thin">
        <color rgb="FF1F3864"/>
      </top>
      <bottom style="thin">
        <color rgb="FF1F3864"/>
      </bottom>
      <diagonal/>
    </border>
    <border>
      <left/>
      <right style="thin">
        <color rgb="FFC9A347"/>
      </right>
      <top style="thin">
        <color rgb="FFC9A347"/>
      </top>
      <bottom style="thin">
        <color rgb="FFC9A347"/>
      </bottom>
      <diagonal/>
    </border>
    <border>
      <left/>
      <right style="thin">
        <color rgb="FF2E5FA3"/>
      </right>
      <top style="thin">
        <color rgb="FF2E5FA3"/>
      </top>
      <bottom style="thin">
        <color rgb="FF2E5FA3"/>
      </bottom>
      <diagonal/>
    </border>
    <border>
      <left/>
      <right/>
      <top/>
      <bottom style="thin">
        <color rgb="FFAAAAAA"/>
      </bottom>
      <diagonal/>
    </border>
    <border>
      <left style="thin">
        <color rgb="FFAAAAAA"/>
      </left>
      <right style="thin">
        <color rgb="FFAAAAAA"/>
      </right>
      <top style="thin">
        <color rgb="FFAAAAAA"/>
      </top>
      <bottom style="thin">
        <color rgb="FFAAAAAA"/>
      </bottom>
      <diagonal/>
    </border>
    <border>
      <left style="medium">
        <color rgb="FF2E5FA3"/>
      </left>
      <right/>
      <top/>
      <bottom/>
      <diagonal/>
    </border>
  </borders>
  <cellStyleXfs count="2">
    <xf numFmtId="0" fontId="0" fillId="0" borderId="0"/>
    <xf numFmtId="9" fontId="3" fillId="0" borderId="0"/>
  </cellStyleXfs>
  <cellXfs count="494">
    <xf numFmtId="0" fontId="0" fillId="0" borderId="0" xfId="0"/>
    <xf numFmtId="0" fontId="3" fillId="0" borderId="0" xfId="0" applyFont="1"/>
    <xf numFmtId="0" fontId="6" fillId="0" borderId="1" xfId="0" applyFont="1" applyBorder="1" applyAlignment="1">
      <alignment horizontal="left" vertical="center"/>
    </xf>
    <xf numFmtId="4" fontId="7" fillId="0" borderId="1" xfId="0" applyNumberFormat="1" applyFont="1" applyBorder="1"/>
    <xf numFmtId="164" fontId="7" fillId="0" borderId="1" xfId="0" applyNumberFormat="1" applyFont="1" applyBorder="1"/>
    <xf numFmtId="165" fontId="7" fillId="3" borderId="1" xfId="0" applyNumberFormat="1" applyFont="1" applyFill="1" applyBorder="1"/>
    <xf numFmtId="0" fontId="3" fillId="0" borderId="1" xfId="0" applyFont="1" applyBorder="1" applyAlignment="1">
      <alignment horizontal="left" vertical="center"/>
    </xf>
    <xf numFmtId="166" fontId="7" fillId="0" borderId="1" xfId="0" applyNumberFormat="1" applyFont="1" applyBorder="1"/>
    <xf numFmtId="0" fontId="3" fillId="0" borderId="1" xfId="0" applyFont="1" applyBorder="1"/>
    <xf numFmtId="2" fontId="7" fillId="0" borderId="1" xfId="0" applyNumberFormat="1" applyFont="1" applyBorder="1"/>
    <xf numFmtId="0" fontId="7" fillId="0" borderId="1" xfId="0" applyFont="1" applyBorder="1"/>
    <xf numFmtId="3" fontId="10" fillId="0" borderId="1" xfId="0" applyNumberFormat="1" applyFont="1" applyBorder="1"/>
    <xf numFmtId="4" fontId="11" fillId="2" borderId="6" xfId="0" applyNumberFormat="1" applyFont="1" applyFill="1" applyBorder="1" applyAlignment="1">
      <alignment horizontal="right" vertical="center" wrapText="1"/>
    </xf>
    <xf numFmtId="0" fontId="11" fillId="2" borderId="6" xfId="0" applyFont="1" applyFill="1" applyBorder="1" applyAlignment="1">
      <alignment horizontal="right" vertical="center" wrapText="1"/>
    </xf>
    <xf numFmtId="4" fontId="12" fillId="0" borderId="0" xfId="0" applyNumberFormat="1" applyFont="1"/>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0" applyNumberFormat="1" applyFont="1" applyBorder="1" applyAlignment="1">
      <alignment horizontal="center" vertical="center"/>
    </xf>
    <xf numFmtId="168" fontId="7" fillId="0" borderId="1" xfId="0" applyNumberFormat="1" applyFont="1" applyBorder="1" applyAlignment="1">
      <alignment horizontal="center" vertical="center"/>
    </xf>
    <xf numFmtId="0" fontId="7" fillId="2" borderId="0" xfId="0" applyFont="1" applyFill="1" applyAlignment="1">
      <alignment horizontal="left" vertical="center"/>
    </xf>
    <xf numFmtId="0" fontId="7" fillId="0" borderId="0" xfId="0" applyFont="1"/>
    <xf numFmtId="169" fontId="7" fillId="0" borderId="0" xfId="0" applyNumberFormat="1" applyFont="1"/>
    <xf numFmtId="170" fontId="7" fillId="0" borderId="0" xfId="0" applyNumberFormat="1" applyFont="1"/>
    <xf numFmtId="171" fontId="7" fillId="0" borderId="0" xfId="0" applyNumberFormat="1" applyFont="1"/>
    <xf numFmtId="2" fontId="7" fillId="0" borderId="0" xfId="0" applyNumberFormat="1" applyFont="1"/>
    <xf numFmtId="0" fontId="10" fillId="0" borderId="0" xfId="0" applyFont="1"/>
    <xf numFmtId="0" fontId="10" fillId="0" borderId="7" xfId="0" applyFont="1" applyBorder="1"/>
    <xf numFmtId="0" fontId="7" fillId="0" borderId="7" xfId="0" applyFont="1" applyBorder="1"/>
    <xf numFmtId="2" fontId="10" fillId="0" borderId="7" xfId="0" applyNumberFormat="1" applyFont="1" applyBorder="1"/>
    <xf numFmtId="0" fontId="17" fillId="0" borderId="8" xfId="0" applyFont="1" applyBorder="1"/>
    <xf numFmtId="0" fontId="17" fillId="0" borderId="8" xfId="0" applyFont="1" applyBorder="1" applyAlignment="1">
      <alignment horizontal="right"/>
    </xf>
    <xf numFmtId="0" fontId="17" fillId="0" borderId="0" xfId="0" applyFont="1"/>
    <xf numFmtId="0" fontId="0" fillId="0" borderId="0" xfId="0" applyAlignment="1">
      <alignment horizontal="left"/>
    </xf>
    <xf numFmtId="10" fontId="0" fillId="0" borderId="0" xfId="0" applyNumberFormat="1"/>
    <xf numFmtId="0" fontId="18" fillId="0" borderId="0" xfId="0" applyFont="1"/>
    <xf numFmtId="172" fontId="0" fillId="0" borderId="0" xfId="0" applyNumberFormat="1"/>
    <xf numFmtId="4" fontId="19" fillId="0" borderId="0" xfId="0" applyNumberFormat="1" applyFont="1"/>
    <xf numFmtId="173" fontId="19" fillId="0" borderId="0" xfId="0" applyNumberFormat="1" applyFont="1"/>
    <xf numFmtId="174" fontId="0" fillId="0" borderId="0" xfId="0" applyNumberFormat="1"/>
    <xf numFmtId="0" fontId="20" fillId="0" borderId="0" xfId="0" applyFont="1"/>
    <xf numFmtId="172" fontId="17" fillId="0" borderId="0" xfId="0" applyNumberFormat="1" applyFont="1"/>
    <xf numFmtId="2" fontId="0" fillId="0" borderId="0" xfId="0" applyNumberFormat="1"/>
    <xf numFmtId="0" fontId="21" fillId="0" borderId="0" xfId="0" applyFont="1"/>
    <xf numFmtId="4" fontId="0" fillId="0" borderId="0" xfId="0" applyNumberFormat="1"/>
    <xf numFmtId="0" fontId="22" fillId="0" borderId="0" xfId="0" applyFont="1"/>
    <xf numFmtId="9" fontId="0" fillId="0" borderId="0" xfId="1" applyFont="1"/>
    <xf numFmtId="10" fontId="19" fillId="0" borderId="0" xfId="0" applyNumberFormat="1" applyFont="1"/>
    <xf numFmtId="2" fontId="24" fillId="0" borderId="0" xfId="0" applyNumberFormat="1" applyFont="1" applyAlignment="1">
      <alignment wrapText="1"/>
    </xf>
    <xf numFmtId="10" fontId="17" fillId="0" borderId="0" xfId="0" applyNumberFormat="1" applyFont="1"/>
    <xf numFmtId="0" fontId="25" fillId="0" borderId="0" xfId="0" applyFont="1"/>
    <xf numFmtId="4" fontId="26" fillId="0" borderId="0" xfId="0" applyNumberFormat="1" applyFont="1" applyAlignment="1">
      <alignment horizontal="left"/>
    </xf>
    <xf numFmtId="173" fontId="27" fillId="0" borderId="0" xfId="0" applyNumberFormat="1" applyFont="1"/>
    <xf numFmtId="173" fontId="27" fillId="0" borderId="0" xfId="0" applyNumberFormat="1" applyFont="1" applyAlignment="1">
      <alignment horizontal="left"/>
    </xf>
    <xf numFmtId="4" fontId="19" fillId="4" borderId="0" xfId="0" applyNumberFormat="1" applyFont="1" applyFill="1"/>
    <xf numFmtId="0" fontId="17" fillId="0" borderId="7" xfId="0" applyFont="1" applyBorder="1"/>
    <xf numFmtId="0" fontId="0" fillId="0" borderId="7" xfId="0" applyBorder="1"/>
    <xf numFmtId="172" fontId="17" fillId="0" borderId="7" xfId="0" applyNumberFormat="1" applyFont="1" applyBorder="1"/>
    <xf numFmtId="0" fontId="22" fillId="5" borderId="0" xfId="0" applyFont="1" applyFill="1"/>
    <xf numFmtId="4" fontId="19" fillId="2" borderId="0" xfId="0" applyNumberFormat="1" applyFont="1" applyFill="1"/>
    <xf numFmtId="4" fontId="27" fillId="6" borderId="0" xfId="0" applyNumberFormat="1" applyFont="1" applyFill="1"/>
    <xf numFmtId="2" fontId="17" fillId="0" borderId="7" xfId="0" applyNumberFormat="1" applyFont="1" applyBorder="1"/>
    <xf numFmtId="0" fontId="28" fillId="0" borderId="0" xfId="0" applyFont="1"/>
    <xf numFmtId="0" fontId="29" fillId="7" borderId="11" xfId="0" applyFont="1" applyFill="1" applyBorder="1"/>
    <xf numFmtId="4" fontId="0" fillId="0" borderId="1" xfId="0" applyNumberFormat="1" applyBorder="1"/>
    <xf numFmtId="0" fontId="0" fillId="0" borderId="1" xfId="0" applyBorder="1"/>
    <xf numFmtId="172" fontId="30" fillId="8" borderId="12" xfId="0" applyNumberFormat="1" applyFont="1" applyFill="1" applyBorder="1" applyAlignment="1">
      <alignment horizontal="left"/>
    </xf>
    <xf numFmtId="0" fontId="29" fillId="7" borderId="13" xfId="0" applyFont="1" applyFill="1" applyBorder="1"/>
    <xf numFmtId="10" fontId="0" fillId="0" borderId="1" xfId="0" applyNumberFormat="1" applyBorder="1"/>
    <xf numFmtId="172" fontId="30" fillId="8" borderId="14" xfId="0" applyNumberFormat="1" applyFont="1" applyFill="1" applyBorder="1"/>
    <xf numFmtId="0" fontId="29" fillId="7" borderId="1" xfId="0" applyFont="1" applyFill="1" applyBorder="1"/>
    <xf numFmtId="10" fontId="7" fillId="2" borderId="1" xfId="0" applyNumberFormat="1" applyFont="1" applyFill="1" applyBorder="1" applyAlignment="1">
      <alignment horizontal="center"/>
    </xf>
    <xf numFmtId="2" fontId="7" fillId="2" borderId="1" xfId="0" applyNumberFormat="1" applyFont="1" applyFill="1" applyBorder="1" applyAlignment="1">
      <alignment horizontal="center"/>
    </xf>
    <xf numFmtId="10" fontId="30" fillId="8" borderId="1" xfId="0" applyNumberFormat="1" applyFont="1" applyFill="1" applyBorder="1"/>
    <xf numFmtId="10" fontId="31" fillId="4" borderId="1" xfId="0" applyNumberFormat="1" applyFont="1" applyFill="1" applyBorder="1" applyAlignment="1">
      <alignment horizontal="center"/>
    </xf>
    <xf numFmtId="10" fontId="29" fillId="7" borderId="1" xfId="0" applyNumberFormat="1" applyFont="1" applyFill="1" applyBorder="1" applyAlignment="1">
      <alignment horizontal="left" vertical="center"/>
    </xf>
    <xf numFmtId="4" fontId="32" fillId="2" borderId="1" xfId="0" applyNumberFormat="1" applyFont="1" applyFill="1" applyBorder="1" applyAlignment="1">
      <alignment horizontal="center" vertical="center"/>
    </xf>
    <xf numFmtId="4" fontId="3" fillId="2" borderId="1" xfId="0" applyNumberFormat="1" applyFont="1" applyFill="1" applyBorder="1" applyAlignment="1">
      <alignment horizontal="center"/>
    </xf>
    <xf numFmtId="10" fontId="3" fillId="2" borderId="1" xfId="0" applyNumberFormat="1" applyFont="1" applyFill="1" applyBorder="1" applyAlignment="1">
      <alignment horizontal="center"/>
    </xf>
    <xf numFmtId="172" fontId="29" fillId="7" borderId="1" xfId="0" applyNumberFormat="1" applyFont="1" applyFill="1" applyBorder="1"/>
    <xf numFmtId="10" fontId="32" fillId="4" borderId="1" xfId="0" applyNumberFormat="1" applyFont="1" applyFill="1" applyBorder="1" applyAlignment="1">
      <alignment horizontal="center"/>
    </xf>
    <xf numFmtId="0" fontId="30" fillId="8" borderId="1" xfId="0" applyFont="1" applyFill="1" applyBorder="1"/>
    <xf numFmtId="10" fontId="6" fillId="0" borderId="1" xfId="0" applyNumberFormat="1" applyFont="1" applyBorder="1"/>
    <xf numFmtId="10" fontId="30" fillId="9" borderId="18" xfId="0" applyNumberFormat="1" applyFont="1" applyFill="1" applyBorder="1" applyAlignment="1">
      <alignment horizontal="center"/>
    </xf>
    <xf numFmtId="10" fontId="30" fillId="9" borderId="19" xfId="0" applyNumberFormat="1" applyFont="1" applyFill="1" applyBorder="1" applyAlignment="1">
      <alignment horizontal="center"/>
    </xf>
    <xf numFmtId="10" fontId="30" fillId="9" borderId="20" xfId="0" applyNumberFormat="1" applyFont="1" applyFill="1" applyBorder="1" applyAlignment="1">
      <alignment horizontal="center"/>
    </xf>
    <xf numFmtId="10" fontId="29" fillId="7" borderId="13" xfId="0" applyNumberFormat="1" applyFont="1" applyFill="1" applyBorder="1" applyAlignment="1">
      <alignment horizontal="left"/>
    </xf>
    <xf numFmtId="10" fontId="9" fillId="2" borderId="21" xfId="0" applyNumberFormat="1" applyFont="1" applyFill="1" applyBorder="1" applyAlignment="1">
      <alignment horizontal="center"/>
    </xf>
    <xf numFmtId="10" fontId="9" fillId="2" borderId="19" xfId="0" applyNumberFormat="1" applyFont="1" applyFill="1" applyBorder="1" applyAlignment="1">
      <alignment horizontal="center"/>
    </xf>
    <xf numFmtId="10" fontId="9" fillId="2" borderId="20" xfId="0" applyNumberFormat="1" applyFont="1" applyFill="1" applyBorder="1" applyAlignment="1">
      <alignment horizontal="center"/>
    </xf>
    <xf numFmtId="10" fontId="9" fillId="4" borderId="2" xfId="0" applyNumberFormat="1" applyFont="1" applyFill="1" applyBorder="1"/>
    <xf numFmtId="172" fontId="35" fillId="4" borderId="2" xfId="0" applyNumberFormat="1" applyFont="1" applyFill="1" applyBorder="1"/>
    <xf numFmtId="10" fontId="31" fillId="10" borderId="3" xfId="0" applyNumberFormat="1" applyFont="1" applyFill="1" applyBorder="1"/>
    <xf numFmtId="175" fontId="0" fillId="0" borderId="0" xfId="0" applyNumberFormat="1"/>
    <xf numFmtId="0" fontId="37" fillId="0" borderId="0" xfId="0" applyFont="1" applyAlignment="1">
      <alignment horizontal="center" vertical="center" wrapText="1"/>
    </xf>
    <xf numFmtId="0" fontId="38" fillId="2" borderId="1" xfId="0" applyFont="1" applyFill="1" applyBorder="1" applyAlignment="1">
      <alignment horizontal="left" vertical="center" wrapText="1"/>
    </xf>
    <xf numFmtId="4" fontId="38" fillId="2" borderId="1" xfId="0" applyNumberFormat="1" applyFont="1" applyFill="1" applyBorder="1" applyAlignment="1">
      <alignment horizontal="right" vertical="center"/>
    </xf>
    <xf numFmtId="10" fontId="39" fillId="0" borderId="0" xfId="0" applyNumberFormat="1" applyFont="1" applyAlignment="1">
      <alignment horizontal="center" vertical="center"/>
    </xf>
    <xf numFmtId="176" fontId="39" fillId="0" borderId="0" xfId="0" applyNumberFormat="1" applyFont="1" applyAlignment="1">
      <alignment horizontal="center" vertical="center"/>
    </xf>
    <xf numFmtId="0" fontId="42" fillId="0" borderId="0" xfId="0" applyFont="1" applyAlignment="1">
      <alignment horizontal="center" vertical="center" wrapText="1"/>
    </xf>
    <xf numFmtId="173" fontId="43" fillId="0" borderId="0" xfId="0" applyNumberFormat="1" applyFont="1" applyAlignment="1">
      <alignment horizontal="center" vertical="center"/>
    </xf>
    <xf numFmtId="0" fontId="42" fillId="0" borderId="0" xfId="0" applyFont="1"/>
    <xf numFmtId="0" fontId="10" fillId="0" borderId="1" xfId="0" applyFont="1" applyBorder="1"/>
    <xf numFmtId="0" fontId="45" fillId="0" borderId="1" xfId="0" applyFont="1" applyBorder="1"/>
    <xf numFmtId="0" fontId="10" fillId="0" borderId="1" xfId="0" applyFont="1" applyBorder="1" applyAlignment="1">
      <alignment horizontal="right"/>
    </xf>
    <xf numFmtId="172" fontId="7" fillId="0" borderId="1" xfId="0" applyNumberFormat="1" applyFont="1" applyBorder="1" applyAlignment="1">
      <alignment horizontal="right"/>
    </xf>
    <xf numFmtId="0" fontId="7" fillId="0" borderId="1" xfId="0" applyFont="1" applyBorder="1" applyAlignment="1">
      <alignment horizontal="right"/>
    </xf>
    <xf numFmtId="173" fontId="7" fillId="0" borderId="1" xfId="0" applyNumberFormat="1" applyFont="1" applyBorder="1" applyAlignment="1">
      <alignment horizontal="right"/>
    </xf>
    <xf numFmtId="10" fontId="46" fillId="0" borderId="0" xfId="0" applyNumberFormat="1" applyFont="1"/>
    <xf numFmtId="10" fontId="7" fillId="0" borderId="1" xfId="0" applyNumberFormat="1" applyFont="1" applyBorder="1" applyAlignment="1">
      <alignment horizontal="right"/>
    </xf>
    <xf numFmtId="9" fontId="7" fillId="0" borderId="1" xfId="0" applyNumberFormat="1" applyFont="1" applyBorder="1" applyAlignment="1">
      <alignment horizontal="right"/>
    </xf>
    <xf numFmtId="0" fontId="16" fillId="11" borderId="1" xfId="0" applyFont="1" applyFill="1" applyBorder="1" applyAlignment="1">
      <alignment horizontal="right"/>
    </xf>
    <xf numFmtId="0" fontId="17" fillId="0" borderId="1" xfId="0" applyFont="1" applyBorder="1"/>
    <xf numFmtId="0" fontId="10" fillId="0" borderId="22" xfId="0" applyFont="1" applyBorder="1"/>
    <xf numFmtId="0" fontId="7" fillId="0" borderId="23" xfId="0" applyFont="1" applyBorder="1"/>
    <xf numFmtId="10" fontId="49" fillId="0" borderId="1" xfId="0" applyNumberFormat="1" applyFont="1" applyBorder="1"/>
    <xf numFmtId="10" fontId="9" fillId="0" borderId="1" xfId="0" applyNumberFormat="1" applyFont="1" applyBorder="1"/>
    <xf numFmtId="10" fontId="17" fillId="0" borderId="1" xfId="0" applyNumberFormat="1" applyFont="1" applyBorder="1"/>
    <xf numFmtId="0" fontId="0" fillId="0" borderId="1" xfId="0" applyBorder="1" applyAlignment="1">
      <alignment horizontal="left"/>
    </xf>
    <xf numFmtId="4" fontId="0" fillId="0" borderId="23" xfId="0" applyNumberFormat="1" applyBorder="1"/>
    <xf numFmtId="4" fontId="17" fillId="0" borderId="1" xfId="0" applyNumberFormat="1" applyFont="1" applyBorder="1"/>
    <xf numFmtId="4" fontId="10" fillId="0" borderId="1" xfId="0" applyNumberFormat="1" applyFont="1" applyBorder="1"/>
    <xf numFmtId="4" fontId="9" fillId="0" borderId="1" xfId="0" applyNumberFormat="1" applyFont="1" applyBorder="1"/>
    <xf numFmtId="10" fontId="7" fillId="0" borderId="1" xfId="0" applyNumberFormat="1" applyFont="1" applyBorder="1"/>
    <xf numFmtId="10" fontId="7" fillId="0" borderId="0" xfId="0" applyNumberFormat="1" applyFont="1"/>
    <xf numFmtId="173" fontId="0" fillId="0" borderId="1" xfId="0" applyNumberFormat="1" applyBorder="1"/>
    <xf numFmtId="0" fontId="20" fillId="0" borderId="1" xfId="0" applyFont="1" applyBorder="1"/>
    <xf numFmtId="0" fontId="10" fillId="0" borderId="1" xfId="0" applyFont="1" applyBorder="1" applyAlignment="1">
      <alignment horizontal="center" vertical="top"/>
    </xf>
    <xf numFmtId="180" fontId="0" fillId="0" borderId="1" xfId="0" applyNumberFormat="1" applyBorder="1"/>
    <xf numFmtId="170" fontId="0" fillId="0" borderId="1" xfId="0" applyNumberFormat="1" applyBorder="1"/>
    <xf numFmtId="0" fontId="25" fillId="0" borderId="24" xfId="0" applyFont="1" applyBorder="1" applyAlignment="1">
      <alignment horizontal="center"/>
    </xf>
    <xf numFmtId="0" fontId="0" fillId="0" borderId="25" xfId="0" applyBorder="1"/>
    <xf numFmtId="4" fontId="52" fillId="13" borderId="26" xfId="0" applyNumberFormat="1" applyFont="1" applyFill="1" applyBorder="1" applyAlignment="1">
      <alignment horizontal="right" vertical="top" wrapText="1"/>
    </xf>
    <xf numFmtId="0" fontId="54" fillId="0" borderId="27" xfId="0" applyFont="1" applyBorder="1" applyAlignment="1">
      <alignment horizontal="center" vertical="center" wrapText="1"/>
    </xf>
    <xf numFmtId="0" fontId="54" fillId="0" borderId="28" xfId="0" applyFont="1" applyBorder="1" applyAlignment="1">
      <alignment horizontal="center" vertical="center" wrapText="1"/>
    </xf>
    <xf numFmtId="0" fontId="54" fillId="0" borderId="29" xfId="0" applyFont="1" applyBorder="1" applyAlignment="1">
      <alignment horizontal="center" vertical="center" wrapText="1"/>
    </xf>
    <xf numFmtId="0" fontId="54" fillId="14" borderId="30" xfId="0" applyFont="1" applyFill="1" applyBorder="1" applyAlignment="1">
      <alignment horizontal="center" wrapText="1"/>
    </xf>
    <xf numFmtId="4" fontId="8" fillId="14" borderId="1" xfId="0" applyNumberFormat="1" applyFont="1" applyFill="1" applyBorder="1" applyAlignment="1">
      <alignment horizontal="right" vertical="center" wrapText="1"/>
    </xf>
    <xf numFmtId="4" fontId="43" fillId="14" borderId="1" xfId="0" applyNumberFormat="1" applyFont="1" applyFill="1" applyBorder="1" applyAlignment="1">
      <alignment horizontal="right" vertical="center"/>
    </xf>
    <xf numFmtId="184" fontId="43" fillId="14" borderId="1" xfId="0" applyNumberFormat="1" applyFont="1" applyFill="1" applyBorder="1" applyAlignment="1">
      <alignment horizontal="right" vertical="center"/>
    </xf>
    <xf numFmtId="2" fontId="43" fillId="14" borderId="1" xfId="0" applyNumberFormat="1" applyFont="1" applyFill="1" applyBorder="1" applyAlignment="1">
      <alignment horizontal="right" vertical="center"/>
    </xf>
    <xf numFmtId="2" fontId="43" fillId="14" borderId="31" xfId="0" applyNumberFormat="1" applyFont="1" applyFill="1" applyBorder="1" applyAlignment="1">
      <alignment horizontal="right" vertical="center"/>
    </xf>
    <xf numFmtId="0" fontId="54" fillId="0" borderId="30" xfId="0" applyFont="1" applyBorder="1" applyAlignment="1">
      <alignment horizontal="center" wrapText="1"/>
    </xf>
    <xf numFmtId="4" fontId="8" fillId="0" borderId="1" xfId="0" applyNumberFormat="1" applyFont="1" applyBorder="1" applyAlignment="1">
      <alignment horizontal="right" vertical="center" wrapText="1"/>
    </xf>
    <xf numFmtId="4" fontId="43" fillId="0" borderId="1" xfId="0" applyNumberFormat="1" applyFont="1" applyBorder="1" applyAlignment="1">
      <alignment horizontal="right" vertical="center"/>
    </xf>
    <xf numFmtId="184" fontId="43" fillId="0" borderId="1" xfId="0" applyNumberFormat="1" applyFont="1" applyBorder="1" applyAlignment="1">
      <alignment horizontal="right" vertical="center"/>
    </xf>
    <xf numFmtId="2" fontId="43" fillId="0" borderId="1" xfId="0" applyNumberFormat="1" applyFont="1" applyBorder="1" applyAlignment="1">
      <alignment horizontal="right" vertical="center"/>
    </xf>
    <xf numFmtId="2" fontId="43" fillId="0" borderId="31" xfId="0" applyNumberFormat="1" applyFont="1" applyBorder="1" applyAlignment="1">
      <alignment horizontal="right" vertical="center"/>
    </xf>
    <xf numFmtId="0" fontId="54" fillId="0" borderId="32" xfId="0" applyFont="1" applyBorder="1" applyAlignment="1">
      <alignment horizontal="center" wrapText="1"/>
    </xf>
    <xf numFmtId="4" fontId="8" fillId="0" borderId="33" xfId="0" applyNumberFormat="1" applyFont="1" applyBorder="1" applyAlignment="1">
      <alignment horizontal="right" vertical="center" wrapText="1"/>
    </xf>
    <xf numFmtId="4" fontId="43" fillId="0" borderId="33" xfId="0" applyNumberFormat="1" applyFont="1" applyBorder="1" applyAlignment="1">
      <alignment horizontal="right" vertical="center"/>
    </xf>
    <xf numFmtId="184" fontId="43" fillId="0" borderId="33" xfId="0" applyNumberFormat="1" applyFont="1" applyBorder="1" applyAlignment="1">
      <alignment horizontal="right" vertical="center"/>
    </xf>
    <xf numFmtId="2" fontId="43" fillId="0" borderId="33" xfId="0" applyNumberFormat="1" applyFont="1" applyBorder="1" applyAlignment="1">
      <alignment horizontal="right" vertical="center"/>
    </xf>
    <xf numFmtId="2" fontId="43" fillId="0" borderId="34" xfId="0" applyNumberFormat="1" applyFont="1" applyBorder="1" applyAlignment="1">
      <alignment horizontal="right" vertical="center"/>
    </xf>
    <xf numFmtId="0" fontId="54" fillId="0" borderId="30" xfId="0" applyFont="1" applyBorder="1" applyAlignment="1">
      <alignment horizontal="center" vertical="center" wrapText="1"/>
    </xf>
    <xf numFmtId="17" fontId="54" fillId="0" borderId="1" xfId="0" applyNumberFormat="1" applyFont="1" applyBorder="1" applyAlignment="1">
      <alignment horizontal="center" vertical="center" wrapText="1"/>
    </xf>
    <xf numFmtId="17" fontId="17" fillId="0" borderId="31" xfId="0" applyNumberFormat="1" applyFont="1" applyBorder="1" applyAlignment="1">
      <alignment horizontal="center" vertical="center"/>
    </xf>
    <xf numFmtId="169" fontId="43" fillId="0" borderId="1" xfId="0" applyNumberFormat="1" applyFont="1" applyBorder="1" applyAlignment="1">
      <alignment horizontal="center" vertical="center"/>
    </xf>
    <xf numFmtId="169" fontId="43" fillId="0" borderId="31" xfId="0" applyNumberFormat="1" applyFont="1" applyBorder="1" applyAlignment="1">
      <alignment horizontal="center" vertical="center"/>
    </xf>
    <xf numFmtId="0" fontId="54" fillId="0" borderId="32" xfId="0" applyFont="1" applyBorder="1" applyAlignment="1">
      <alignment horizontal="center" vertical="center" wrapText="1"/>
    </xf>
    <xf numFmtId="184" fontId="43" fillId="0" borderId="33" xfId="0" applyNumberFormat="1" applyFont="1" applyBorder="1" applyAlignment="1">
      <alignment horizontal="center" vertical="center"/>
    </xf>
    <xf numFmtId="184" fontId="43" fillId="0" borderId="34" xfId="0" applyNumberFormat="1" applyFont="1" applyBorder="1" applyAlignment="1">
      <alignment horizontal="center" vertical="center"/>
    </xf>
    <xf numFmtId="169" fontId="43" fillId="0" borderId="1" xfId="0" applyNumberFormat="1" applyFont="1" applyBorder="1" applyAlignment="1">
      <alignment vertical="center"/>
    </xf>
    <xf numFmtId="169" fontId="43" fillId="0" borderId="31" xfId="0" applyNumberFormat="1" applyFont="1" applyBorder="1" applyAlignment="1">
      <alignment vertical="center"/>
    </xf>
    <xf numFmtId="184" fontId="43" fillId="0" borderId="33" xfId="0" applyNumberFormat="1" applyFont="1" applyBorder="1" applyAlignment="1">
      <alignment vertical="center"/>
    </xf>
    <xf numFmtId="184" fontId="43" fillId="0" borderId="34" xfId="0" applyNumberFormat="1" applyFont="1" applyBorder="1" applyAlignment="1">
      <alignment vertical="center"/>
    </xf>
    <xf numFmtId="176" fontId="56" fillId="16" borderId="1" xfId="0" applyNumberFormat="1" applyFont="1" applyFill="1" applyBorder="1" applyAlignment="1">
      <alignment horizontal="center" vertical="center"/>
    </xf>
    <xf numFmtId="0" fontId="0" fillId="0" borderId="1" xfId="0" applyBorder="1" applyAlignment="1">
      <alignment horizontal="center" vertical="center"/>
    </xf>
    <xf numFmtId="173" fontId="0" fillId="0" borderId="1" xfId="0" applyNumberFormat="1" applyBorder="1" applyAlignment="1">
      <alignment horizontal="center" vertical="center"/>
    </xf>
    <xf numFmtId="173" fontId="43" fillId="0" borderId="1" xfId="0" applyNumberFormat="1" applyFont="1" applyBorder="1" applyAlignment="1">
      <alignment horizontal="center" vertical="center"/>
    </xf>
    <xf numFmtId="173" fontId="0" fillId="0" borderId="0" xfId="0" applyNumberFormat="1"/>
    <xf numFmtId="0" fontId="43" fillId="0" borderId="0" xfId="0" applyFont="1" applyAlignment="1">
      <alignment horizontal="left" vertical="center" wrapText="1"/>
    </xf>
    <xf numFmtId="0" fontId="63" fillId="23" borderId="48" xfId="0" applyFont="1" applyFill="1" applyBorder="1" applyAlignment="1">
      <alignment horizontal="left" vertical="center" wrapText="1" indent="1"/>
    </xf>
    <xf numFmtId="0" fontId="63" fillId="23" borderId="48" xfId="0" applyFont="1" applyFill="1" applyBorder="1" applyAlignment="1">
      <alignment horizontal="center" vertical="center" wrapText="1"/>
    </xf>
    <xf numFmtId="0" fontId="63" fillId="24" borderId="48" xfId="0" applyFont="1" applyFill="1" applyBorder="1" applyAlignment="1">
      <alignment horizontal="left" vertical="center" wrapText="1" indent="1"/>
    </xf>
    <xf numFmtId="0" fontId="63" fillId="24" borderId="48" xfId="0" applyFont="1" applyFill="1" applyBorder="1" applyAlignment="1">
      <alignment horizontal="center" vertical="center" wrapText="1"/>
    </xf>
    <xf numFmtId="0" fontId="64" fillId="21" borderId="48" xfId="0" applyFont="1" applyFill="1" applyBorder="1" applyAlignment="1">
      <alignment horizontal="left" vertical="center" wrapText="1" indent="1"/>
    </xf>
    <xf numFmtId="0" fontId="63" fillId="21" borderId="48" xfId="0" applyFont="1" applyFill="1" applyBorder="1" applyAlignment="1">
      <alignment horizontal="center" vertical="center" wrapText="1"/>
    </xf>
    <xf numFmtId="0" fontId="63" fillId="21" borderId="48" xfId="0" applyFont="1" applyFill="1" applyBorder="1" applyAlignment="1">
      <alignment horizontal="left" vertical="center" wrapText="1" indent="1"/>
    </xf>
    <xf numFmtId="0" fontId="59" fillId="25" borderId="49" xfId="0" applyFont="1" applyFill="1" applyBorder="1" applyAlignment="1">
      <alignment horizontal="left" vertical="center" indent="2"/>
    </xf>
    <xf numFmtId="0" fontId="59" fillId="25" borderId="49" xfId="0" applyFont="1" applyFill="1" applyBorder="1" applyAlignment="1">
      <alignment horizontal="center" vertical="center"/>
    </xf>
    <xf numFmtId="4" fontId="8" fillId="2" borderId="1" xfId="0" applyNumberFormat="1" applyFont="1" applyFill="1" applyBorder="1" applyAlignment="1">
      <alignment horizontal="right" vertical="top" wrapText="1"/>
    </xf>
    <xf numFmtId="4" fontId="8" fillId="0" borderId="1" xfId="0" applyNumberFormat="1" applyFont="1" applyBorder="1"/>
    <xf numFmtId="0" fontId="9" fillId="0" borderId="1" xfId="0" applyFont="1" applyBorder="1"/>
    <xf numFmtId="0" fontId="0" fillId="0" borderId="0" xfId="0"/>
    <xf numFmtId="0" fontId="69" fillId="23" borderId="0" xfId="0" applyFont="1" applyFill="1" applyAlignment="1">
      <alignment horizontal="left" vertical="center" indent="1"/>
    </xf>
    <xf numFmtId="0" fontId="0" fillId="0" borderId="43" xfId="0" applyBorder="1"/>
    <xf numFmtId="0" fontId="21" fillId="0" borderId="0" xfId="0" applyFont="1"/>
    <xf numFmtId="0" fontId="66" fillId="23" borderId="0" xfId="0" applyFont="1" applyFill="1" applyAlignment="1">
      <alignment horizontal="left" vertical="center" indent="1"/>
    </xf>
    <xf numFmtId="0" fontId="63" fillId="20" borderId="42" xfId="0" applyFont="1" applyFill="1" applyBorder="1" applyAlignment="1">
      <alignment horizontal="center" vertical="center"/>
    </xf>
    <xf numFmtId="0" fontId="63" fillId="21" borderId="44" xfId="0" applyFont="1" applyFill="1" applyBorder="1" applyAlignment="1">
      <alignment horizontal="center" vertical="center"/>
    </xf>
    <xf numFmtId="0" fontId="0" fillId="0" borderId="45" xfId="0" applyBorder="1"/>
    <xf numFmtId="0" fontId="63" fillId="22" borderId="46" xfId="0" applyFont="1" applyFill="1" applyBorder="1" applyAlignment="1">
      <alignment horizontal="center" vertical="center"/>
    </xf>
    <xf numFmtId="0" fontId="0" fillId="0" borderId="47" xfId="0" applyBorder="1"/>
    <xf numFmtId="0" fontId="59" fillId="17" borderId="42" xfId="0" applyFont="1" applyFill="1" applyBorder="1" applyAlignment="1">
      <alignment horizontal="center" vertical="center"/>
    </xf>
    <xf numFmtId="0" fontId="59" fillId="18" borderId="44" xfId="0" applyFont="1" applyFill="1" applyBorder="1" applyAlignment="1">
      <alignment horizontal="center" vertical="center"/>
    </xf>
    <xf numFmtId="0" fontId="59" fillId="19" borderId="46" xfId="0" applyFont="1" applyFill="1" applyBorder="1" applyAlignment="1">
      <alignment horizontal="center" vertical="center"/>
    </xf>
    <xf numFmtId="0" fontId="60" fillId="20" borderId="42" xfId="0" applyFont="1" applyFill="1" applyBorder="1" applyAlignment="1">
      <alignment horizontal="center" vertical="center"/>
    </xf>
    <xf numFmtId="0" fontId="61" fillId="21" borderId="44" xfId="0" applyFont="1" applyFill="1" applyBorder="1" applyAlignment="1">
      <alignment horizontal="center" vertical="center"/>
    </xf>
    <xf numFmtId="0" fontId="62" fillId="22" borderId="46" xfId="0" applyFont="1" applyFill="1" applyBorder="1" applyAlignment="1">
      <alignment horizontal="center" vertical="center"/>
    </xf>
    <xf numFmtId="0" fontId="0" fillId="0" borderId="2" xfId="0" applyBorder="1"/>
    <xf numFmtId="0" fontId="0" fillId="0" borderId="3" xfId="0" applyBorder="1"/>
    <xf numFmtId="0" fontId="16" fillId="15" borderId="27" xfId="0" applyFont="1" applyFill="1" applyBorder="1" applyAlignment="1">
      <alignment horizontal="center" vertical="center"/>
    </xf>
    <xf numFmtId="0" fontId="0" fillId="0" borderId="24" xfId="0" applyBorder="1"/>
    <xf numFmtId="0" fontId="0" fillId="0" borderId="35" xfId="0" applyBorder="1"/>
    <xf numFmtId="0" fontId="55" fillId="0" borderId="36" xfId="0" applyFont="1" applyBorder="1" applyAlignment="1">
      <alignment vertical="top" wrapText="1"/>
    </xf>
    <xf numFmtId="0" fontId="22" fillId="0" borderId="5" xfId="0" applyFont="1" applyBorder="1"/>
    <xf numFmtId="0" fontId="22" fillId="0" borderId="37" xfId="0" applyFont="1" applyBorder="1"/>
    <xf numFmtId="0" fontId="22" fillId="0" borderId="38" xfId="0" applyFont="1" applyBorder="1"/>
    <xf numFmtId="0" fontId="22" fillId="0" borderId="0" xfId="0" applyFont="1" applyBorder="1"/>
    <xf numFmtId="0" fontId="22" fillId="0" borderId="39" xfId="0" applyFont="1" applyBorder="1"/>
    <xf numFmtId="0" fontId="22" fillId="0" borderId="40" xfId="0" applyFont="1" applyBorder="1"/>
    <xf numFmtId="0" fontId="22" fillId="0" borderId="25" xfId="0" applyFont="1" applyBorder="1"/>
    <xf numFmtId="0" fontId="22" fillId="0" borderId="41" xfId="0" applyFont="1" applyBorder="1"/>
    <xf numFmtId="0" fontId="53" fillId="0" borderId="0" xfId="0" applyFont="1" applyAlignment="1">
      <alignment vertical="top" wrapText="1"/>
    </xf>
    <xf numFmtId="0" fontId="25" fillId="0" borderId="24" xfId="0" applyFont="1" applyBorder="1" applyAlignment="1">
      <alignment horizontal="center"/>
    </xf>
    <xf numFmtId="0" fontId="17" fillId="0" borderId="1" xfId="0" applyFont="1" applyBorder="1" applyAlignment="1">
      <alignment horizontal="center"/>
    </xf>
    <xf numFmtId="0" fontId="0" fillId="0" borderId="0" xfId="0" applyAlignment="1">
      <alignment horizontal="center"/>
    </xf>
    <xf numFmtId="0" fontId="16" fillId="26" borderId="0" xfId="0" applyFont="1" applyFill="1" applyAlignment="1">
      <alignment horizontal="center"/>
    </xf>
    <xf numFmtId="0" fontId="16" fillId="26" borderId="0" xfId="0" applyFont="1" applyFill="1"/>
    <xf numFmtId="0" fontId="15" fillId="0" borderId="0" xfId="0" applyFont="1" applyFill="1" applyAlignment="1">
      <alignment horizontal="center"/>
    </xf>
    <xf numFmtId="0" fontId="7" fillId="2" borderId="1" xfId="0" applyFont="1" applyFill="1" applyBorder="1" applyAlignment="1">
      <alignment horizontal="left" vertical="center"/>
    </xf>
    <xf numFmtId="0" fontId="2" fillId="26" borderId="0" xfId="0" applyFont="1" applyFill="1" applyAlignment="1">
      <alignment horizontal="center" vertical="center"/>
    </xf>
    <xf numFmtId="0" fontId="0" fillId="27" borderId="0" xfId="0" applyFill="1"/>
    <xf numFmtId="0" fontId="4" fillId="26" borderId="1" xfId="0" applyFont="1" applyFill="1" applyBorder="1" applyAlignment="1">
      <alignment horizontal="center" vertical="center"/>
    </xf>
    <xf numFmtId="0" fontId="4" fillId="28" borderId="1" xfId="0" applyFont="1" applyFill="1" applyBorder="1" applyAlignment="1">
      <alignment horizontal="center" vertical="center"/>
    </xf>
    <xf numFmtId="0" fontId="0" fillId="27" borderId="2" xfId="0" applyFill="1" applyBorder="1"/>
    <xf numFmtId="0" fontId="0" fillId="27" borderId="3" xfId="0" applyFill="1" applyBorder="1"/>
    <xf numFmtId="0" fontId="4" fillId="29" borderId="1" xfId="0" applyFont="1" applyFill="1" applyBorder="1" applyAlignment="1">
      <alignment horizontal="center" vertical="center"/>
    </xf>
    <xf numFmtId="0" fontId="0" fillId="27" borderId="4" xfId="0" applyFill="1" applyBorder="1"/>
    <xf numFmtId="0" fontId="5" fillId="28" borderId="22" xfId="0" applyFont="1" applyFill="1" applyBorder="1" applyAlignment="1">
      <alignment horizontal="center" vertical="center" wrapText="1"/>
    </xf>
    <xf numFmtId="0" fontId="5" fillId="29" borderId="1" xfId="0" applyFont="1" applyFill="1" applyBorder="1" applyAlignment="1">
      <alignment horizontal="center" vertical="center" wrapText="1"/>
    </xf>
    <xf numFmtId="0" fontId="13" fillId="26" borderId="1" xfId="0" applyFont="1" applyFill="1" applyBorder="1" applyAlignment="1">
      <alignment horizontal="center" vertical="center"/>
    </xf>
    <xf numFmtId="0" fontId="5" fillId="26" borderId="1"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23" fillId="26" borderId="0" xfId="0" applyFont="1" applyFill="1"/>
    <xf numFmtId="0" fontId="28" fillId="30" borderId="9" xfId="0" applyFont="1" applyFill="1" applyBorder="1" applyAlignment="1">
      <alignment horizontal="center"/>
    </xf>
    <xf numFmtId="0" fontId="0" fillId="27" borderId="10" xfId="0" applyFill="1" applyBorder="1"/>
    <xf numFmtId="0" fontId="28" fillId="30" borderId="1" xfId="0" applyFont="1" applyFill="1" applyBorder="1" applyAlignment="1">
      <alignment horizontal="center"/>
    </xf>
    <xf numFmtId="0" fontId="33" fillId="30" borderId="15" xfId="0" applyFont="1" applyFill="1" applyBorder="1" applyAlignment="1">
      <alignment horizontal="center"/>
    </xf>
    <xf numFmtId="0" fontId="0" fillId="27" borderId="16" xfId="0" applyFill="1" applyBorder="1"/>
    <xf numFmtId="0" fontId="0" fillId="27" borderId="17" xfId="0" applyFill="1" applyBorder="1"/>
    <xf numFmtId="10" fontId="34" fillId="30" borderId="14" xfId="0" applyNumberFormat="1" applyFont="1" applyFill="1" applyBorder="1"/>
    <xf numFmtId="0" fontId="34" fillId="31" borderId="1" xfId="0" applyFont="1" applyFill="1" applyBorder="1" applyAlignment="1">
      <alignment horizontal="center" vertical="center"/>
    </xf>
    <xf numFmtId="0" fontId="36" fillId="32" borderId="1" xfId="0" applyFont="1" applyFill="1" applyBorder="1" applyAlignment="1">
      <alignment horizontal="left" vertical="center"/>
    </xf>
    <xf numFmtId="0" fontId="36" fillId="32" borderId="1" xfId="0" applyFont="1" applyFill="1" applyBorder="1" applyAlignment="1">
      <alignment horizontal="center" vertical="center"/>
    </xf>
    <xf numFmtId="0" fontId="36" fillId="32" borderId="1" xfId="0" applyFont="1" applyFill="1" applyBorder="1"/>
    <xf numFmtId="0" fontId="36" fillId="33" borderId="1" xfId="0" applyFont="1" applyFill="1" applyBorder="1" applyAlignment="1">
      <alignment vertical="center"/>
    </xf>
    <xf numFmtId="0" fontId="36" fillId="34" borderId="1" xfId="0" applyFont="1" applyFill="1" applyBorder="1" applyAlignment="1">
      <alignment vertical="center"/>
    </xf>
    <xf numFmtId="0" fontId="38" fillId="35" borderId="1" xfId="0" applyFont="1" applyFill="1" applyBorder="1" applyAlignment="1">
      <alignment horizontal="left" vertical="center" wrapText="1"/>
    </xf>
    <xf numFmtId="4" fontId="38" fillId="35" borderId="1" xfId="0" applyNumberFormat="1" applyFont="1" applyFill="1" applyBorder="1" applyAlignment="1">
      <alignment horizontal="right" vertical="center"/>
    </xf>
    <xf numFmtId="0" fontId="40" fillId="36" borderId="1" xfId="0" applyFont="1" applyFill="1" applyBorder="1" applyAlignment="1">
      <alignment horizontal="left" vertical="center" wrapText="1"/>
    </xf>
    <xf numFmtId="4" fontId="6" fillId="36" borderId="1" xfId="0" applyNumberFormat="1" applyFont="1" applyFill="1" applyBorder="1" applyAlignment="1">
      <alignment horizontal="right" vertical="center"/>
    </xf>
    <xf numFmtId="0" fontId="6" fillId="33" borderId="1" xfId="0" applyFont="1" applyFill="1" applyBorder="1" applyAlignment="1">
      <alignment vertical="center"/>
    </xf>
    <xf numFmtId="0" fontId="34" fillId="37" borderId="1" xfId="0" applyFont="1" applyFill="1" applyBorder="1" applyAlignment="1">
      <alignment horizontal="center" vertical="center"/>
    </xf>
    <xf numFmtId="0" fontId="41" fillId="38" borderId="1" xfId="0" applyFont="1" applyFill="1" applyBorder="1" applyAlignment="1">
      <alignment horizontal="left" vertical="center" wrapText="1"/>
    </xf>
    <xf numFmtId="0" fontId="41" fillId="38" borderId="1" xfId="0" applyFont="1" applyFill="1" applyBorder="1" applyAlignment="1">
      <alignment horizontal="center" vertical="center" wrapText="1"/>
    </xf>
    <xf numFmtId="0" fontId="41" fillId="38" borderId="1" xfId="0" applyFont="1" applyFill="1" applyBorder="1" applyAlignment="1">
      <alignment horizontal="left" vertical="center"/>
    </xf>
    <xf numFmtId="0" fontId="41" fillId="38" borderId="1" xfId="0" applyFont="1" applyFill="1" applyBorder="1" applyAlignment="1">
      <alignment horizontal="center" vertical="center"/>
    </xf>
    <xf numFmtId="0" fontId="42" fillId="39" borderId="1" xfId="0" applyFont="1" applyFill="1" applyBorder="1" applyAlignment="1">
      <alignment horizontal="left" vertical="center"/>
    </xf>
    <xf numFmtId="0" fontId="42" fillId="39" borderId="1" xfId="0" applyFont="1" applyFill="1" applyBorder="1"/>
    <xf numFmtId="0" fontId="44" fillId="40" borderId="1" xfId="0" applyFont="1" applyFill="1" applyBorder="1" applyAlignment="1">
      <alignment horizontal="left" vertical="center"/>
    </xf>
    <xf numFmtId="4" fontId="44" fillId="40" borderId="1" xfId="0" applyNumberFormat="1" applyFont="1" applyFill="1" applyBorder="1" applyAlignment="1">
      <alignment horizontal="right" vertical="center"/>
    </xf>
    <xf numFmtId="4" fontId="43" fillId="40" borderId="1" xfId="0" applyNumberFormat="1" applyFont="1" applyFill="1" applyBorder="1" applyAlignment="1">
      <alignment horizontal="right" vertical="center"/>
    </xf>
    <xf numFmtId="0" fontId="44" fillId="41" borderId="1" xfId="0" applyFont="1" applyFill="1" applyBorder="1" applyAlignment="1">
      <alignment horizontal="left" vertical="center"/>
    </xf>
    <xf numFmtId="4" fontId="44" fillId="41" borderId="1" xfId="0" applyNumberFormat="1" applyFont="1" applyFill="1" applyBorder="1" applyAlignment="1">
      <alignment horizontal="right" vertical="center"/>
    </xf>
    <xf numFmtId="0" fontId="43" fillId="35" borderId="1" xfId="0" applyFont="1" applyFill="1" applyBorder="1" applyAlignment="1">
      <alignment horizontal="left" vertical="center" indent="1"/>
    </xf>
    <xf numFmtId="4" fontId="43" fillId="35" borderId="1" xfId="0" applyNumberFormat="1" applyFont="1" applyFill="1" applyBorder="1" applyAlignment="1">
      <alignment horizontal="right" vertical="center"/>
    </xf>
    <xf numFmtId="0" fontId="43" fillId="40" borderId="1" xfId="0" applyFont="1" applyFill="1" applyBorder="1" applyAlignment="1">
      <alignment horizontal="left" vertical="center"/>
    </xf>
    <xf numFmtId="0" fontId="43" fillId="35" borderId="1" xfId="0" applyFont="1" applyFill="1" applyBorder="1" applyAlignment="1">
      <alignment horizontal="left" vertical="center"/>
    </xf>
    <xf numFmtId="0" fontId="47" fillId="42" borderId="1" xfId="0" applyFont="1" applyFill="1" applyBorder="1" applyAlignment="1">
      <alignment horizontal="center"/>
    </xf>
    <xf numFmtId="0" fontId="0" fillId="27" borderId="1" xfId="0" applyFill="1" applyBorder="1"/>
    <xf numFmtId="17" fontId="48" fillId="43" borderId="1" xfId="0" applyNumberFormat="1" applyFont="1" applyFill="1" applyBorder="1" applyAlignment="1">
      <alignment horizontal="center" vertical="center"/>
    </xf>
    <xf numFmtId="0" fontId="48" fillId="43" borderId="1" xfId="0" applyFont="1" applyFill="1" applyBorder="1" applyAlignment="1">
      <alignment horizontal="center" vertical="center"/>
    </xf>
    <xf numFmtId="0" fontId="81" fillId="27" borderId="1" xfId="0" applyFont="1" applyFill="1" applyBorder="1"/>
    <xf numFmtId="0" fontId="16" fillId="26" borderId="1" xfId="0" applyFont="1" applyFill="1" applyBorder="1" applyAlignment="1">
      <alignment horizontal="center"/>
    </xf>
    <xf numFmtId="0" fontId="16" fillId="26" borderId="1" xfId="0" applyFont="1" applyFill="1" applyBorder="1" applyAlignment="1">
      <alignment horizontal="center"/>
    </xf>
    <xf numFmtId="177" fontId="1" fillId="0" borderId="1" xfId="0" applyNumberFormat="1" applyFont="1" applyBorder="1" applyAlignment="1">
      <alignment horizontal="right"/>
    </xf>
    <xf numFmtId="4" fontId="82" fillId="0" borderId="1" xfId="0" applyNumberFormat="1" applyFont="1" applyBorder="1"/>
    <xf numFmtId="9" fontId="1" fillId="0" borderId="1" xfId="0" applyNumberFormat="1" applyFont="1" applyBorder="1"/>
    <xf numFmtId="0" fontId="1" fillId="0" borderId="0" xfId="0" applyFont="1"/>
    <xf numFmtId="0" fontId="1" fillId="0" borderId="1" xfId="0" applyFont="1" applyBorder="1" applyAlignment="1">
      <alignment horizontal="left"/>
    </xf>
    <xf numFmtId="178" fontId="1" fillId="0" borderId="1" xfId="0" applyNumberFormat="1" applyFont="1" applyBorder="1" applyAlignment="1">
      <alignment horizontal="right"/>
    </xf>
    <xf numFmtId="2" fontId="82" fillId="0" borderId="1" xfId="0" applyNumberFormat="1" applyFont="1" applyBorder="1"/>
    <xf numFmtId="179" fontId="1" fillId="12" borderId="1" xfId="0" applyNumberFormat="1" applyFont="1" applyFill="1" applyBorder="1" applyAlignment="1">
      <alignment horizontal="right"/>
    </xf>
    <xf numFmtId="2" fontId="1" fillId="12" borderId="1" xfId="0" applyNumberFormat="1" applyFont="1" applyFill="1" applyBorder="1"/>
    <xf numFmtId="17" fontId="16" fillId="26" borderId="1" xfId="0" applyNumberFormat="1" applyFont="1" applyFill="1" applyBorder="1"/>
    <xf numFmtId="0" fontId="16" fillId="44" borderId="1" xfId="0" applyFont="1" applyFill="1" applyBorder="1"/>
    <xf numFmtId="0" fontId="16" fillId="26" borderId="1" xfId="0" applyFont="1" applyFill="1" applyBorder="1"/>
    <xf numFmtId="17" fontId="16" fillId="26" borderId="1" xfId="0" applyNumberFormat="1" applyFont="1" applyFill="1" applyBorder="1" applyAlignment="1">
      <alignment horizontal="center"/>
    </xf>
    <xf numFmtId="0" fontId="50" fillId="45" borderId="1" xfId="0" applyFont="1" applyFill="1" applyBorder="1" applyAlignment="1">
      <alignment horizontal="center" vertical="center" wrapText="1"/>
    </xf>
    <xf numFmtId="0" fontId="22" fillId="46" borderId="1" xfId="0" applyFont="1" applyFill="1" applyBorder="1" applyAlignment="1">
      <alignment horizontal="center" vertical="center" wrapText="1"/>
    </xf>
    <xf numFmtId="0" fontId="0" fillId="46" borderId="1" xfId="0" applyFill="1" applyBorder="1" applyAlignment="1">
      <alignment horizontal="center" vertical="center" wrapText="1"/>
    </xf>
    <xf numFmtId="182" fontId="0" fillId="46" borderId="1" xfId="0" applyNumberFormat="1" applyFill="1" applyBorder="1" applyAlignment="1">
      <alignment horizontal="center" vertical="center" wrapText="1"/>
    </xf>
    <xf numFmtId="0" fontId="0" fillId="47" borderId="1" xfId="0" applyFill="1" applyBorder="1"/>
    <xf numFmtId="183" fontId="0" fillId="46" borderId="1" xfId="0" applyNumberFormat="1" applyFill="1" applyBorder="1" applyAlignment="1">
      <alignment horizontal="center" vertical="center" wrapText="1"/>
    </xf>
    <xf numFmtId="10" fontId="0" fillId="46" borderId="1" xfId="0" applyNumberFormat="1" applyFill="1" applyBorder="1" applyAlignment="1">
      <alignment horizontal="center" vertical="center" wrapText="1"/>
    </xf>
    <xf numFmtId="0" fontId="50" fillId="45" borderId="1" xfId="0" applyFont="1" applyFill="1" applyBorder="1" applyAlignment="1">
      <alignment horizontal="right" vertical="center" wrapText="1"/>
    </xf>
    <xf numFmtId="0" fontId="22" fillId="46" borderId="1" xfId="0" applyFont="1" applyFill="1" applyBorder="1" applyAlignment="1">
      <alignment horizontal="right" vertical="center" wrapText="1"/>
    </xf>
    <xf numFmtId="4" fontId="51" fillId="47" borderId="1" xfId="0" applyNumberFormat="1" applyFont="1" applyFill="1" applyBorder="1" applyAlignment="1">
      <alignment horizontal="right" vertical="top" wrapText="1"/>
    </xf>
    <xf numFmtId="181" fontId="0" fillId="46" borderId="1" xfId="0" applyNumberFormat="1" applyFill="1" applyBorder="1" applyAlignment="1">
      <alignment horizontal="center" vertical="center" wrapText="1"/>
    </xf>
    <xf numFmtId="9" fontId="0" fillId="46" borderId="1" xfId="0" applyNumberFormat="1" applyFill="1" applyBorder="1" applyAlignment="1">
      <alignment horizontal="center" vertical="center" wrapText="1"/>
    </xf>
    <xf numFmtId="0" fontId="0" fillId="27" borderId="8" xfId="0" applyFill="1" applyBorder="1"/>
    <xf numFmtId="0" fontId="43" fillId="35" borderId="0" xfId="0" applyFont="1" applyFill="1" applyAlignment="1">
      <alignment horizontal="left" vertical="center" indent="1"/>
    </xf>
    <xf numFmtId="4" fontId="43" fillId="35" borderId="0" xfId="0" applyNumberFormat="1" applyFont="1" applyFill="1" applyAlignment="1">
      <alignment horizontal="right" vertical="center"/>
    </xf>
    <xf numFmtId="0" fontId="34" fillId="31" borderId="14" xfId="0" applyFont="1" applyFill="1" applyBorder="1" applyAlignment="1">
      <alignment horizontal="center" vertical="center"/>
    </xf>
    <xf numFmtId="0" fontId="4" fillId="32" borderId="1" xfId="0" applyFont="1" applyFill="1" applyBorder="1" applyAlignment="1">
      <alignment horizontal="left" vertical="center"/>
    </xf>
    <xf numFmtId="0" fontId="4" fillId="32" borderId="1" xfId="0" applyFont="1" applyFill="1" applyBorder="1" applyAlignment="1">
      <alignment horizontal="center" vertical="center"/>
    </xf>
    <xf numFmtId="0" fontId="83" fillId="50" borderId="1" xfId="0" applyFont="1" applyFill="1" applyBorder="1" applyAlignment="1">
      <alignment horizontal="center" vertical="center" wrapText="1"/>
    </xf>
    <xf numFmtId="0" fontId="4" fillId="32" borderId="1" xfId="0" applyFont="1" applyFill="1" applyBorder="1"/>
    <xf numFmtId="0" fontId="0" fillId="47" borderId="2" xfId="0" applyFill="1" applyBorder="1"/>
    <xf numFmtId="0" fontId="0" fillId="47" borderId="3" xfId="0" applyFill="1" applyBorder="1"/>
    <xf numFmtId="10" fontId="39" fillId="51" borderId="1" xfId="0" applyNumberFormat="1" applyFont="1" applyFill="1" applyBorder="1" applyAlignment="1">
      <alignment horizontal="center" vertical="center"/>
    </xf>
    <xf numFmtId="176" fontId="39" fillId="51" borderId="1" xfId="0" applyNumberFormat="1" applyFont="1" applyFill="1" applyBorder="1" applyAlignment="1">
      <alignment horizontal="center" vertical="center"/>
    </xf>
    <xf numFmtId="0" fontId="0" fillId="47" borderId="0" xfId="0" applyFill="1"/>
    <xf numFmtId="176" fontId="56" fillId="51" borderId="1" xfId="0" applyNumberFormat="1" applyFont="1" applyFill="1" applyBorder="1" applyAlignment="1">
      <alignment horizontal="center" vertical="center"/>
    </xf>
    <xf numFmtId="0" fontId="34" fillId="52" borderId="1" xfId="0" applyFont="1" applyFill="1" applyBorder="1" applyAlignment="1">
      <alignment horizontal="center" vertical="center"/>
    </xf>
    <xf numFmtId="0" fontId="41" fillId="53" borderId="1" xfId="0" applyFont="1" applyFill="1" applyBorder="1" applyAlignment="1">
      <alignment horizontal="left" vertical="center" wrapText="1"/>
    </xf>
    <xf numFmtId="0" fontId="41" fillId="53" borderId="1" xfId="0" applyFont="1" applyFill="1" applyBorder="1" applyAlignment="1">
      <alignment horizontal="center" vertical="center" wrapText="1"/>
    </xf>
    <xf numFmtId="0" fontId="41" fillId="53" borderId="1" xfId="0" applyFont="1" applyFill="1" applyBorder="1" applyAlignment="1">
      <alignment horizontal="left" vertical="center"/>
    </xf>
    <xf numFmtId="0" fontId="41" fillId="53" borderId="1" xfId="0" applyFont="1" applyFill="1" applyBorder="1" applyAlignment="1">
      <alignment horizontal="center" vertical="center"/>
    </xf>
    <xf numFmtId="0" fontId="0" fillId="54" borderId="1" xfId="0" applyFill="1" applyBorder="1"/>
    <xf numFmtId="0" fontId="57" fillId="55" borderId="1" xfId="0" applyFont="1" applyFill="1" applyBorder="1" applyAlignment="1">
      <alignment horizontal="left" vertical="center"/>
    </xf>
    <xf numFmtId="0" fontId="57" fillId="55" borderId="1" xfId="0" applyFont="1" applyFill="1" applyBorder="1"/>
    <xf numFmtId="0" fontId="44" fillId="56" borderId="1" xfId="0" applyFont="1" applyFill="1" applyBorder="1" applyAlignment="1">
      <alignment horizontal="left" vertical="center"/>
    </xf>
    <xf numFmtId="4" fontId="44" fillId="56" borderId="1" xfId="0" applyNumberFormat="1" applyFont="1" applyFill="1" applyBorder="1" applyAlignment="1">
      <alignment horizontal="right" vertical="center"/>
    </xf>
    <xf numFmtId="173" fontId="43" fillId="57" borderId="1" xfId="0" applyNumberFormat="1" applyFont="1" applyFill="1" applyBorder="1" applyAlignment="1">
      <alignment horizontal="center" vertical="center"/>
    </xf>
    <xf numFmtId="0" fontId="43" fillId="56" borderId="1" xfId="0" applyFont="1" applyFill="1" applyBorder="1" applyAlignment="1">
      <alignment horizontal="left" vertical="center" indent="1"/>
    </xf>
    <xf numFmtId="4" fontId="43" fillId="56" borderId="1" xfId="0" applyNumberFormat="1" applyFont="1" applyFill="1" applyBorder="1" applyAlignment="1">
      <alignment horizontal="right" vertical="center"/>
    </xf>
    <xf numFmtId="0" fontId="44" fillId="58" borderId="1" xfId="0" applyFont="1" applyFill="1" applyBorder="1" applyAlignment="1">
      <alignment horizontal="left" vertical="center"/>
    </xf>
    <xf numFmtId="4" fontId="44" fillId="58" borderId="1" xfId="0" applyNumberFormat="1" applyFont="1" applyFill="1" applyBorder="1" applyAlignment="1">
      <alignment horizontal="right" vertical="center"/>
    </xf>
    <xf numFmtId="0" fontId="44" fillId="58" borderId="0" xfId="0" applyFont="1" applyFill="1" applyAlignment="1">
      <alignment horizontal="left" vertical="center"/>
    </xf>
    <xf numFmtId="4" fontId="44" fillId="58" borderId="0" xfId="0" applyNumberFormat="1" applyFont="1" applyFill="1" applyAlignment="1">
      <alignment horizontal="right" vertical="center"/>
    </xf>
    <xf numFmtId="173" fontId="43" fillId="57" borderId="0" xfId="0" applyNumberFormat="1" applyFont="1" applyFill="1" applyAlignment="1">
      <alignment horizontal="center" vertical="center"/>
    </xf>
    <xf numFmtId="0" fontId="57" fillId="55" borderId="0" xfId="0" applyFont="1" applyFill="1" applyAlignment="1">
      <alignment horizontal="left" vertical="center"/>
    </xf>
    <xf numFmtId="0" fontId="57" fillId="55" borderId="0" xfId="0" applyFont="1" applyFill="1"/>
    <xf numFmtId="0" fontId="57" fillId="58" borderId="0" xfId="0" applyFont="1" applyFill="1" applyAlignment="1">
      <alignment horizontal="left" vertical="center"/>
    </xf>
    <xf numFmtId="0" fontId="0" fillId="58" borderId="0" xfId="0" applyFill="1"/>
    <xf numFmtId="0" fontId="43" fillId="56" borderId="0" xfId="0" applyFont="1" applyFill="1" applyAlignment="1">
      <alignment horizontal="left" vertical="center" indent="1"/>
    </xf>
    <xf numFmtId="4" fontId="43" fillId="56" borderId="0" xfId="0" applyNumberFormat="1" applyFont="1" applyFill="1" applyAlignment="1">
      <alignment horizontal="right" vertical="center"/>
    </xf>
    <xf numFmtId="0" fontId="5" fillId="54" borderId="1" xfId="0" applyFont="1" applyFill="1" applyBorder="1" applyAlignment="1">
      <alignment horizontal="center" vertical="center" wrapText="1"/>
    </xf>
    <xf numFmtId="0" fontId="0" fillId="47" borderId="0" xfId="0" applyFill="1"/>
    <xf numFmtId="0" fontId="36" fillId="59" borderId="1" xfId="0" applyFont="1" applyFill="1" applyBorder="1" applyAlignment="1">
      <alignment horizontal="left" vertical="center"/>
    </xf>
    <xf numFmtId="0" fontId="0" fillId="47" borderId="2" xfId="0" applyFill="1" applyBorder="1"/>
    <xf numFmtId="0" fontId="0" fillId="47" borderId="3" xfId="0" applyFill="1" applyBorder="1"/>
    <xf numFmtId="0" fontId="36" fillId="60" borderId="1" xfId="0" applyFont="1" applyFill="1" applyBorder="1" applyAlignment="1">
      <alignment horizontal="left" vertical="center"/>
    </xf>
    <xf numFmtId="10" fontId="56" fillId="51" borderId="1" xfId="0" applyNumberFormat="1" applyFont="1" applyFill="1" applyBorder="1" applyAlignment="1">
      <alignment horizontal="center" vertical="center"/>
    </xf>
    <xf numFmtId="0" fontId="40" fillId="46" borderId="1" xfId="0" applyFont="1" applyFill="1" applyBorder="1" applyAlignment="1">
      <alignment horizontal="left" vertical="center" wrapText="1"/>
    </xf>
    <xf numFmtId="4" fontId="6" fillId="46" borderId="1" xfId="0" applyNumberFormat="1" applyFont="1" applyFill="1" applyBorder="1" applyAlignment="1">
      <alignment horizontal="right" vertical="center"/>
    </xf>
    <xf numFmtId="0" fontId="38" fillId="61" borderId="1" xfId="0" applyFont="1" applyFill="1" applyBorder="1" applyAlignment="1">
      <alignment horizontal="left" vertical="center" wrapText="1"/>
    </xf>
    <xf numFmtId="4" fontId="38" fillId="61" borderId="1" xfId="0" applyNumberFormat="1" applyFont="1" applyFill="1" applyBorder="1" applyAlignment="1">
      <alignment horizontal="right" vertical="center"/>
    </xf>
    <xf numFmtId="0" fontId="34" fillId="62" borderId="0" xfId="0" applyFont="1" applyFill="1" applyAlignment="1">
      <alignment horizontal="center" vertical="center"/>
    </xf>
    <xf numFmtId="0" fontId="36" fillId="63" borderId="1" xfId="0" applyFont="1" applyFill="1" applyBorder="1" applyAlignment="1">
      <alignment horizontal="left" vertical="center"/>
    </xf>
    <xf numFmtId="0" fontId="36" fillId="63" borderId="1" xfId="0" applyFont="1" applyFill="1" applyBorder="1" applyAlignment="1">
      <alignment horizontal="center" vertical="center"/>
    </xf>
    <xf numFmtId="0" fontId="36" fillId="63" borderId="1" xfId="0" applyFont="1" applyFill="1" applyBorder="1"/>
    <xf numFmtId="0" fontId="36" fillId="62" borderId="1" xfId="0" applyFont="1" applyFill="1" applyBorder="1" applyAlignment="1">
      <alignment horizontal="left" vertical="center"/>
    </xf>
    <xf numFmtId="0" fontId="36" fillId="63" borderId="1" xfId="0" applyFont="1" applyFill="1" applyBorder="1" applyAlignment="1">
      <alignment horizontal="left" vertical="center"/>
    </xf>
    <xf numFmtId="0" fontId="0" fillId="47" borderId="1" xfId="0" applyFill="1" applyBorder="1" applyAlignment="1">
      <alignment horizontal="center" vertical="center"/>
    </xf>
    <xf numFmtId="0" fontId="10" fillId="64" borderId="1" xfId="0" applyFont="1" applyFill="1" applyBorder="1" applyAlignment="1">
      <alignment horizontal="center" vertical="center" wrapText="1"/>
    </xf>
    <xf numFmtId="17" fontId="17" fillId="64" borderId="1" xfId="0" applyNumberFormat="1" applyFont="1" applyFill="1" applyBorder="1" applyAlignment="1">
      <alignment horizontal="center" vertical="center" wrapText="1"/>
    </xf>
    <xf numFmtId="0" fontId="10" fillId="66" borderId="1" xfId="0" applyFont="1" applyFill="1" applyBorder="1" applyAlignment="1">
      <alignment horizontal="center" vertical="center"/>
    </xf>
    <xf numFmtId="0" fontId="7" fillId="65" borderId="1" xfId="0" applyFont="1" applyFill="1" applyBorder="1" applyAlignment="1">
      <alignment horizontal="center" vertical="center" wrapText="1"/>
    </xf>
    <xf numFmtId="3" fontId="7" fillId="65" borderId="1" xfId="0" applyNumberFormat="1" applyFont="1" applyFill="1" applyBorder="1" applyAlignment="1">
      <alignment horizontal="center" vertical="center" wrapText="1"/>
    </xf>
    <xf numFmtId="4" fontId="7" fillId="65" borderId="1" xfId="0" applyNumberFormat="1" applyFont="1" applyFill="1" applyBorder="1" applyAlignment="1">
      <alignment horizontal="right" vertical="center"/>
    </xf>
    <xf numFmtId="0" fontId="10" fillId="66" borderId="1" xfId="0" applyFont="1" applyFill="1" applyBorder="1" applyAlignment="1">
      <alignment horizontal="center" vertical="center" wrapText="1"/>
    </xf>
    <xf numFmtId="3" fontId="10" fillId="66" borderId="1" xfId="0" applyNumberFormat="1" applyFont="1" applyFill="1" applyBorder="1" applyAlignment="1">
      <alignment horizontal="center" vertical="center" wrapText="1"/>
    </xf>
    <xf numFmtId="4" fontId="10" fillId="66" borderId="1" xfId="0" applyNumberFormat="1" applyFont="1" applyFill="1" applyBorder="1" applyAlignment="1">
      <alignment horizontal="right" vertical="center"/>
    </xf>
    <xf numFmtId="0" fontId="43" fillId="47" borderId="1" xfId="0" applyFont="1" applyFill="1" applyBorder="1" applyAlignment="1">
      <alignment horizontal="center" vertical="center" wrapText="1"/>
    </xf>
    <xf numFmtId="3" fontId="43" fillId="47" borderId="1" xfId="0" applyNumberFormat="1" applyFont="1" applyFill="1" applyBorder="1" applyAlignment="1">
      <alignment horizontal="center" vertical="center"/>
    </xf>
    <xf numFmtId="4" fontId="43" fillId="47" borderId="1" xfId="0" applyNumberFormat="1" applyFont="1" applyFill="1" applyBorder="1" applyAlignment="1">
      <alignment horizontal="right" vertical="center"/>
    </xf>
    <xf numFmtId="0" fontId="43" fillId="47" borderId="1" xfId="0" applyFont="1" applyFill="1" applyBorder="1" applyAlignment="1">
      <alignment horizontal="center" vertical="center"/>
    </xf>
    <xf numFmtId="0" fontId="7" fillId="67" borderId="1" xfId="0" applyFont="1" applyFill="1" applyBorder="1" applyAlignment="1">
      <alignment horizontal="center" vertical="center" wrapText="1"/>
    </xf>
    <xf numFmtId="3" fontId="7" fillId="67" borderId="1" xfId="0" applyNumberFormat="1" applyFont="1" applyFill="1" applyBorder="1" applyAlignment="1">
      <alignment horizontal="center" vertical="center" wrapText="1"/>
    </xf>
    <xf numFmtId="4" fontId="7" fillId="67" borderId="1" xfId="0" applyNumberFormat="1" applyFont="1" applyFill="1" applyBorder="1" applyAlignment="1">
      <alignment horizontal="right" vertical="center"/>
    </xf>
    <xf numFmtId="2" fontId="7" fillId="65" borderId="1" xfId="0" applyNumberFormat="1" applyFont="1" applyFill="1" applyBorder="1" applyAlignment="1">
      <alignment horizontal="center" vertical="center" wrapText="1"/>
    </xf>
    <xf numFmtId="2" fontId="43" fillId="47" borderId="1" xfId="0" applyNumberFormat="1" applyFont="1" applyFill="1" applyBorder="1" applyAlignment="1">
      <alignment horizontal="center" vertical="center"/>
    </xf>
    <xf numFmtId="0" fontId="44" fillId="47" borderId="1" xfId="0" applyFont="1" applyFill="1" applyBorder="1" applyAlignment="1">
      <alignment horizontal="center" vertical="center"/>
    </xf>
    <xf numFmtId="4" fontId="7" fillId="65" borderId="1" xfId="0" applyNumberFormat="1" applyFont="1" applyFill="1" applyBorder="1" applyAlignment="1">
      <alignment horizontal="center" vertical="center" wrapText="1"/>
    </xf>
    <xf numFmtId="0" fontId="84" fillId="64" borderId="1" xfId="0" applyFont="1" applyFill="1" applyBorder="1" applyAlignment="1">
      <alignment horizontal="center" vertical="center" wrapText="1"/>
    </xf>
    <xf numFmtId="0" fontId="85" fillId="47" borderId="2" xfId="0" applyFont="1" applyFill="1" applyBorder="1"/>
    <xf numFmtId="0" fontId="85" fillId="47" borderId="3" xfId="0" applyFont="1" applyFill="1" applyBorder="1"/>
    <xf numFmtId="0" fontId="85" fillId="47" borderId="1" xfId="0" applyFont="1" applyFill="1" applyBorder="1" applyAlignment="1">
      <alignment horizontal="center" vertical="center"/>
    </xf>
    <xf numFmtId="0" fontId="84" fillId="65" borderId="1" xfId="0" applyFont="1" applyFill="1" applyBorder="1" applyAlignment="1">
      <alignment horizontal="center" vertical="center"/>
    </xf>
    <xf numFmtId="0" fontId="58" fillId="67" borderId="1" xfId="0" applyFont="1" applyFill="1" applyBorder="1" applyAlignment="1">
      <alignment horizontal="center" vertical="center"/>
    </xf>
    <xf numFmtId="0" fontId="58" fillId="67" borderId="1" xfId="0" applyFont="1" applyFill="1" applyBorder="1" applyAlignment="1">
      <alignment horizontal="center" vertical="center"/>
    </xf>
    <xf numFmtId="173" fontId="0" fillId="47" borderId="1" xfId="0" applyNumberFormat="1" applyFill="1" applyBorder="1" applyAlignment="1">
      <alignment horizontal="center" vertical="center"/>
    </xf>
    <xf numFmtId="173" fontId="43" fillId="47" borderId="1" xfId="0" applyNumberFormat="1" applyFont="1" applyFill="1" applyBorder="1" applyAlignment="1">
      <alignment horizontal="center" vertical="center"/>
    </xf>
    <xf numFmtId="4" fontId="0" fillId="47" borderId="1" xfId="0" applyNumberFormat="1" applyFill="1" applyBorder="1" applyAlignment="1">
      <alignment horizontal="right" vertical="center"/>
    </xf>
    <xf numFmtId="0" fontId="16" fillId="68" borderId="1" xfId="0" applyFont="1" applyFill="1" applyBorder="1" applyAlignment="1">
      <alignment horizontal="center" vertical="center" wrapText="1"/>
    </xf>
    <xf numFmtId="0" fontId="81" fillId="27" borderId="2" xfId="0" applyFont="1" applyFill="1" applyBorder="1"/>
    <xf numFmtId="0" fontId="81" fillId="27" borderId="3" xfId="0" applyFont="1" applyFill="1" applyBorder="1"/>
    <xf numFmtId="0" fontId="23" fillId="69" borderId="1" xfId="0" applyFont="1" applyFill="1" applyBorder="1" applyAlignment="1">
      <alignment horizontal="center" vertical="center"/>
    </xf>
    <xf numFmtId="0" fontId="81" fillId="27" borderId="1" xfId="0" applyFont="1" applyFill="1" applyBorder="1" applyAlignment="1">
      <alignment horizontal="center" vertical="center"/>
    </xf>
    <xf numFmtId="0" fontId="16" fillId="70" borderId="1" xfId="0" applyFont="1" applyFill="1" applyBorder="1" applyAlignment="1">
      <alignment horizontal="center" vertical="center"/>
    </xf>
    <xf numFmtId="0" fontId="23" fillId="69" borderId="1" xfId="0" applyFont="1" applyFill="1" applyBorder="1" applyAlignment="1">
      <alignment horizontal="center" vertical="center"/>
    </xf>
    <xf numFmtId="0" fontId="16" fillId="68" borderId="1" xfId="0" applyFont="1" applyFill="1" applyBorder="1" applyAlignment="1">
      <alignment horizontal="center" vertical="center" wrapText="1"/>
    </xf>
    <xf numFmtId="17" fontId="16" fillId="68" borderId="1" xfId="0" applyNumberFormat="1" applyFont="1" applyFill="1" applyBorder="1" applyAlignment="1">
      <alignment horizontal="center" vertical="center" wrapText="1"/>
    </xf>
    <xf numFmtId="0" fontId="59" fillId="27" borderId="0" xfId="0" applyFont="1" applyFill="1" applyAlignment="1">
      <alignment horizontal="left" vertical="center" indent="2"/>
    </xf>
    <xf numFmtId="0" fontId="21" fillId="27" borderId="0" xfId="0" applyFont="1" applyFill="1"/>
    <xf numFmtId="0" fontId="59" fillId="27" borderId="42" xfId="0" applyFont="1" applyFill="1" applyBorder="1" applyAlignment="1">
      <alignment horizontal="center" vertical="center" wrapText="1"/>
    </xf>
    <xf numFmtId="0" fontId="59" fillId="27" borderId="42" xfId="0" applyFont="1" applyFill="1" applyBorder="1" applyAlignment="1">
      <alignment horizontal="left" vertical="center" indent="2"/>
    </xf>
    <xf numFmtId="0" fontId="59" fillId="27" borderId="42" xfId="0" applyFont="1" applyFill="1" applyBorder="1" applyAlignment="1">
      <alignment horizontal="center" vertical="center"/>
    </xf>
    <xf numFmtId="0" fontId="63" fillId="47" borderId="48" xfId="0" applyFont="1" applyFill="1" applyBorder="1" applyAlignment="1">
      <alignment horizontal="left" vertical="center" wrapText="1" indent="1"/>
    </xf>
    <xf numFmtId="0" fontId="63" fillId="47" borderId="48" xfId="0" applyFont="1" applyFill="1" applyBorder="1" applyAlignment="1">
      <alignment horizontal="center" vertical="center" wrapText="1"/>
    </xf>
    <xf numFmtId="0" fontId="64" fillId="47" borderId="48" xfId="0" applyFont="1" applyFill="1" applyBorder="1" applyAlignment="1">
      <alignment horizontal="left" vertical="center" wrapText="1" indent="1"/>
    </xf>
    <xf numFmtId="0" fontId="63" fillId="47" borderId="48" xfId="0" applyFont="1" applyFill="1" applyBorder="1" applyAlignment="1">
      <alignment horizontal="left" vertical="center" wrapText="1" indent="2"/>
    </xf>
    <xf numFmtId="0" fontId="65" fillId="47" borderId="48" xfId="0" applyFont="1" applyFill="1" applyBorder="1" applyAlignment="1">
      <alignment horizontal="center" vertical="center" wrapText="1"/>
    </xf>
    <xf numFmtId="0" fontId="59" fillId="27" borderId="44" xfId="0" applyFont="1" applyFill="1" applyBorder="1" applyAlignment="1">
      <alignment horizontal="center" vertical="center" wrapText="1"/>
    </xf>
    <xf numFmtId="0" fontId="59" fillId="27" borderId="44" xfId="0" applyFont="1" applyFill="1" applyBorder="1" applyAlignment="1">
      <alignment horizontal="left" vertical="center" indent="2"/>
    </xf>
    <xf numFmtId="0" fontId="59" fillId="27" borderId="44" xfId="0" applyFont="1" applyFill="1" applyBorder="1" applyAlignment="1">
      <alignment horizontal="center" vertical="center"/>
    </xf>
    <xf numFmtId="0" fontId="59" fillId="27" borderId="49" xfId="0" applyFont="1" applyFill="1" applyBorder="1" applyAlignment="1">
      <alignment horizontal="center" vertical="center" wrapText="1"/>
    </xf>
    <xf numFmtId="0" fontId="59" fillId="27" borderId="46" xfId="0" applyFont="1" applyFill="1" applyBorder="1" applyAlignment="1">
      <alignment horizontal="center" vertical="center" wrapText="1"/>
    </xf>
    <xf numFmtId="0" fontId="59" fillId="27" borderId="46" xfId="0" applyFont="1" applyFill="1" applyBorder="1" applyAlignment="1">
      <alignment horizontal="left" vertical="center" indent="2"/>
    </xf>
    <xf numFmtId="0" fontId="59" fillId="27" borderId="46" xfId="0" applyFont="1" applyFill="1" applyBorder="1" applyAlignment="1">
      <alignment horizontal="center" vertical="center"/>
    </xf>
    <xf numFmtId="0" fontId="59" fillId="27" borderId="50" xfId="0" applyFont="1" applyFill="1" applyBorder="1" applyAlignment="1">
      <alignment horizontal="left" vertical="center" indent="2"/>
    </xf>
    <xf numFmtId="0" fontId="59" fillId="27" borderId="50" xfId="0" applyFont="1" applyFill="1" applyBorder="1" applyAlignment="1">
      <alignment horizontal="center" vertical="center"/>
    </xf>
    <xf numFmtId="0" fontId="67" fillId="27" borderId="0" xfId="0" applyFont="1" applyFill="1" applyAlignment="1">
      <alignment horizontal="left" vertical="center" indent="2"/>
    </xf>
    <xf numFmtId="0" fontId="86" fillId="27" borderId="51" xfId="0" applyFont="1" applyFill="1" applyBorder="1" applyAlignment="1">
      <alignment horizontal="center" vertical="center"/>
    </xf>
    <xf numFmtId="0" fontId="81" fillId="27" borderId="52" xfId="0" applyFont="1" applyFill="1" applyBorder="1"/>
    <xf numFmtId="0" fontId="86" fillId="27" borderId="42" xfId="0" applyFont="1" applyFill="1" applyBorder="1" applyAlignment="1">
      <alignment horizontal="center" vertical="center"/>
    </xf>
    <xf numFmtId="0" fontId="81" fillId="27" borderId="43" xfId="0" applyFont="1" applyFill="1" applyBorder="1"/>
    <xf numFmtId="0" fontId="86" fillId="27" borderId="50" xfId="0" applyFont="1" applyFill="1" applyBorder="1" applyAlignment="1">
      <alignment horizontal="center" vertical="center"/>
    </xf>
    <xf numFmtId="0" fontId="81" fillId="27" borderId="53" xfId="0" applyFont="1" applyFill="1" applyBorder="1"/>
    <xf numFmtId="0" fontId="47" fillId="27" borderId="49" xfId="0" applyFont="1" applyFill="1" applyBorder="1" applyAlignment="1">
      <alignment horizontal="center" vertical="center"/>
    </xf>
    <xf numFmtId="0" fontId="81" fillId="27" borderId="54" xfId="0" applyFont="1" applyFill="1" applyBorder="1"/>
    <xf numFmtId="0" fontId="47" fillId="27" borderId="42" xfId="0" applyFont="1" applyFill="1" applyBorder="1" applyAlignment="1">
      <alignment horizontal="center" vertical="center"/>
    </xf>
    <xf numFmtId="0" fontId="47" fillId="27" borderId="50" xfId="0" applyFont="1" applyFill="1" applyBorder="1" applyAlignment="1">
      <alignment horizontal="center" vertical="center"/>
    </xf>
    <xf numFmtId="0" fontId="87" fillId="27" borderId="49" xfId="0" applyFont="1" applyFill="1" applyBorder="1" applyAlignment="1">
      <alignment horizontal="center" vertical="center"/>
    </xf>
    <xf numFmtId="0" fontId="87" fillId="27" borderId="42" xfId="0" applyFont="1" applyFill="1" applyBorder="1" applyAlignment="1">
      <alignment horizontal="center" vertical="center"/>
    </xf>
    <xf numFmtId="0" fontId="87" fillId="27" borderId="50" xfId="0" applyFont="1" applyFill="1" applyBorder="1" applyAlignment="1">
      <alignment horizontal="center" vertical="center"/>
    </xf>
    <xf numFmtId="0" fontId="48" fillId="27" borderId="0" xfId="0" applyFont="1" applyFill="1" applyAlignment="1">
      <alignment horizontal="left" vertical="center" indent="2"/>
    </xf>
    <xf numFmtId="0" fontId="18" fillId="27" borderId="0" xfId="0" applyFont="1" applyFill="1"/>
    <xf numFmtId="0" fontId="48" fillId="27" borderId="49" xfId="0" applyFont="1" applyFill="1" applyBorder="1" applyAlignment="1">
      <alignment horizontal="center" vertical="center" wrapText="1"/>
    </xf>
    <xf numFmtId="0" fontId="88" fillId="47" borderId="48" xfId="0" applyFont="1" applyFill="1" applyBorder="1" applyAlignment="1">
      <alignment horizontal="left" vertical="center" wrapText="1" indent="1"/>
    </xf>
    <xf numFmtId="0" fontId="71" fillId="47" borderId="48" xfId="0" applyFont="1" applyFill="1" applyBorder="1" applyAlignment="1">
      <alignment horizontal="center" vertical="center" wrapText="1"/>
    </xf>
    <xf numFmtId="0" fontId="71" fillId="47" borderId="48" xfId="0" applyFont="1" applyFill="1" applyBorder="1" applyAlignment="1">
      <alignment horizontal="left" vertical="center" wrapText="1" indent="2"/>
    </xf>
    <xf numFmtId="0" fontId="71" fillId="47" borderId="48" xfId="0" applyFont="1" applyFill="1" applyBorder="1" applyAlignment="1">
      <alignment horizontal="left" vertical="center" wrapText="1" indent="1"/>
    </xf>
    <xf numFmtId="0" fontId="48" fillId="27" borderId="51" xfId="0" applyFont="1" applyFill="1" applyBorder="1" applyAlignment="1">
      <alignment horizontal="left" vertical="center" indent="2"/>
    </xf>
    <xf numFmtId="0" fontId="48" fillId="27" borderId="51" xfId="0" applyFont="1" applyFill="1" applyBorder="1" applyAlignment="1">
      <alignment horizontal="center" vertical="center"/>
    </xf>
    <xf numFmtId="0" fontId="48" fillId="27" borderId="42" xfId="0" applyFont="1" applyFill="1" applyBorder="1" applyAlignment="1">
      <alignment horizontal="center" vertical="center" wrapText="1"/>
    </xf>
    <xf numFmtId="0" fontId="48" fillId="27" borderId="42" xfId="0" applyFont="1" applyFill="1" applyBorder="1" applyAlignment="1">
      <alignment horizontal="left" vertical="center" indent="2"/>
    </xf>
    <xf numFmtId="0" fontId="48" fillId="27" borderId="42" xfId="0" applyFont="1" applyFill="1" applyBorder="1" applyAlignment="1">
      <alignment horizontal="center" vertical="center"/>
    </xf>
    <xf numFmtId="0" fontId="48" fillId="27" borderId="44" xfId="0" applyFont="1" applyFill="1" applyBorder="1" applyAlignment="1">
      <alignment horizontal="center" vertical="center" wrapText="1"/>
    </xf>
    <xf numFmtId="0" fontId="48" fillId="27" borderId="44" xfId="0" applyFont="1" applyFill="1" applyBorder="1" applyAlignment="1">
      <alignment horizontal="left" vertical="center" indent="2"/>
    </xf>
    <xf numFmtId="0" fontId="48" fillId="27" borderId="44" xfId="0" applyFont="1" applyFill="1" applyBorder="1" applyAlignment="1">
      <alignment horizontal="center" vertical="center"/>
    </xf>
    <xf numFmtId="0" fontId="48" fillId="27" borderId="46" xfId="0" applyFont="1" applyFill="1" applyBorder="1" applyAlignment="1">
      <alignment horizontal="center" vertical="center" wrapText="1"/>
    </xf>
    <xf numFmtId="0" fontId="48" fillId="27" borderId="46" xfId="0" applyFont="1" applyFill="1" applyBorder="1" applyAlignment="1">
      <alignment horizontal="left" vertical="center" indent="2"/>
    </xf>
    <xf numFmtId="0" fontId="48" fillId="27" borderId="46" xfId="0" applyFont="1" applyFill="1" applyBorder="1" applyAlignment="1">
      <alignment horizontal="center" vertical="center"/>
    </xf>
    <xf numFmtId="0" fontId="48" fillId="27" borderId="50" xfId="0" applyFont="1" applyFill="1" applyBorder="1" applyAlignment="1">
      <alignment horizontal="left" vertical="center" indent="2"/>
    </xf>
    <xf numFmtId="0" fontId="48" fillId="27" borderId="50" xfId="0" applyFont="1" applyFill="1" applyBorder="1" applyAlignment="1">
      <alignment horizontal="center" vertical="center"/>
    </xf>
    <xf numFmtId="0" fontId="72" fillId="27" borderId="55" xfId="0" applyFont="1" applyFill="1" applyBorder="1" applyAlignment="1">
      <alignment horizontal="left" vertical="center" indent="1"/>
    </xf>
    <xf numFmtId="0" fontId="0" fillId="27" borderId="55" xfId="0" applyFill="1" applyBorder="1"/>
    <xf numFmtId="0" fontId="0" fillId="27" borderId="0" xfId="0" applyFill="1"/>
    <xf numFmtId="0" fontId="68" fillId="27" borderId="56" xfId="0" applyFont="1" applyFill="1" applyBorder="1" applyAlignment="1">
      <alignment horizontal="center" vertical="center" wrapText="1"/>
    </xf>
    <xf numFmtId="0" fontId="72" fillId="27" borderId="0" xfId="0" applyFont="1" applyFill="1" applyAlignment="1">
      <alignment horizontal="left" vertical="center" indent="1"/>
    </xf>
    <xf numFmtId="0" fontId="71" fillId="47" borderId="0" xfId="0" applyFont="1" applyFill="1" applyAlignment="1">
      <alignment vertical="top" wrapText="1" indent="1"/>
    </xf>
    <xf numFmtId="0" fontId="73" fillId="47" borderId="56" xfId="0" applyFont="1" applyFill="1" applyBorder="1" applyAlignment="1">
      <alignment horizontal="center" vertical="center" wrapText="1"/>
    </xf>
    <xf numFmtId="0" fontId="73" fillId="47" borderId="56" xfId="0" applyFont="1" applyFill="1" applyBorder="1" applyAlignment="1">
      <alignment horizontal="left" vertical="center" wrapText="1" indent="1"/>
    </xf>
    <xf numFmtId="0" fontId="73" fillId="47" borderId="57" xfId="0" applyFont="1" applyFill="1" applyBorder="1" applyAlignment="1">
      <alignment vertical="center" wrapText="1" indent="1"/>
    </xf>
    <xf numFmtId="0" fontId="72" fillId="27" borderId="55" xfId="0" applyFont="1" applyFill="1" applyBorder="1" applyAlignment="1">
      <alignment horizontal="center" vertical="center"/>
    </xf>
    <xf numFmtId="0" fontId="70" fillId="27" borderId="0" xfId="0" applyFont="1" applyFill="1" applyAlignment="1">
      <alignment horizontal="center" vertical="center"/>
    </xf>
    <xf numFmtId="0" fontId="74" fillId="47" borderId="56" xfId="0" applyFont="1" applyFill="1" applyBorder="1" applyAlignment="1">
      <alignment horizontal="left" vertical="center" indent="1"/>
    </xf>
    <xf numFmtId="0" fontId="75" fillId="47" borderId="56" xfId="0" applyFont="1" applyFill="1" applyBorder="1" applyAlignment="1">
      <alignment horizontal="left" vertical="center" indent="1"/>
    </xf>
    <xf numFmtId="0" fontId="68" fillId="47" borderId="56" xfId="0" applyFont="1" applyFill="1" applyBorder="1" applyAlignment="1">
      <alignment horizontal="center" vertical="center" wrapText="1"/>
    </xf>
    <xf numFmtId="0" fontId="89" fillId="37" borderId="14" xfId="0" applyFont="1" applyFill="1" applyBorder="1" applyAlignment="1">
      <alignment horizontal="center" vertical="center"/>
    </xf>
    <xf numFmtId="0" fontId="1" fillId="27" borderId="8" xfId="0" applyFont="1" applyFill="1" applyBorder="1"/>
    <xf numFmtId="0" fontId="80" fillId="48" borderId="1" xfId="0" applyFont="1" applyFill="1" applyBorder="1"/>
    <xf numFmtId="0" fontId="1" fillId="41" borderId="0" xfId="0" applyFont="1" applyFill="1"/>
    <xf numFmtId="0" fontId="79" fillId="38" borderId="1" xfId="0" applyFont="1" applyFill="1" applyBorder="1" applyAlignment="1">
      <alignment horizontal="left" vertical="center" wrapText="1"/>
    </xf>
    <xf numFmtId="0" fontId="79" fillId="38" borderId="1" xfId="0" applyFont="1" applyFill="1" applyBorder="1" applyAlignment="1">
      <alignment horizontal="center" vertical="center" wrapText="1"/>
    </xf>
    <xf numFmtId="0" fontId="79" fillId="48" borderId="1" xfId="0" applyFont="1" applyFill="1" applyBorder="1" applyAlignment="1">
      <alignment horizontal="center" vertical="center" wrapText="1"/>
    </xf>
    <xf numFmtId="0" fontId="79" fillId="38" borderId="1" xfId="0" applyFont="1" applyFill="1" applyBorder="1" applyAlignment="1">
      <alignment horizontal="left" vertical="center"/>
    </xf>
    <xf numFmtId="0" fontId="79" fillId="38" borderId="1" xfId="0" applyFont="1" applyFill="1" applyBorder="1" applyAlignment="1">
      <alignment horizontal="center" vertical="center"/>
    </xf>
    <xf numFmtId="0" fontId="90" fillId="39" borderId="1" xfId="0" applyFont="1" applyFill="1" applyBorder="1" applyAlignment="1">
      <alignment horizontal="left" vertical="center"/>
    </xf>
    <xf numFmtId="0" fontId="90" fillId="39" borderId="1" xfId="0" applyFont="1" applyFill="1" applyBorder="1"/>
    <xf numFmtId="0" fontId="91" fillId="40" borderId="1" xfId="0" applyFont="1" applyFill="1" applyBorder="1" applyAlignment="1">
      <alignment horizontal="left" vertical="center"/>
    </xf>
    <xf numFmtId="4" fontId="91" fillId="40" borderId="1" xfId="0" applyNumberFormat="1" applyFont="1" applyFill="1" applyBorder="1" applyAlignment="1">
      <alignment horizontal="right" vertical="center"/>
    </xf>
    <xf numFmtId="173" fontId="92" fillId="49" borderId="1" xfId="0" applyNumberFormat="1" applyFont="1" applyFill="1" applyBorder="1" applyAlignment="1">
      <alignment horizontal="center" vertical="center"/>
    </xf>
    <xf numFmtId="0" fontId="92" fillId="40" borderId="1" xfId="0" applyFont="1" applyFill="1" applyBorder="1" applyAlignment="1">
      <alignment horizontal="left" vertical="center" indent="1"/>
    </xf>
    <xf numFmtId="4" fontId="92" fillId="40" borderId="1" xfId="0" applyNumberFormat="1" applyFont="1" applyFill="1" applyBorder="1" applyAlignment="1">
      <alignment horizontal="right" vertical="center"/>
    </xf>
    <xf numFmtId="0" fontId="91" fillId="41" borderId="1" xfId="0" applyFont="1" applyFill="1" applyBorder="1" applyAlignment="1">
      <alignment horizontal="left" vertical="center"/>
    </xf>
    <xf numFmtId="4" fontId="91" fillId="41" borderId="1" xfId="0" applyNumberFormat="1" applyFont="1" applyFill="1" applyBorder="1" applyAlignment="1">
      <alignment horizontal="right" vertical="center"/>
    </xf>
    <xf numFmtId="0" fontId="92" fillId="35" borderId="1" xfId="0" applyFont="1" applyFill="1" applyBorder="1" applyAlignment="1">
      <alignment horizontal="left" vertical="center" indent="1"/>
    </xf>
    <xf numFmtId="4" fontId="92" fillId="35" borderId="1" xfId="0" applyNumberFormat="1" applyFont="1" applyFill="1" applyBorder="1" applyAlignment="1">
      <alignment horizontal="right" vertical="center"/>
    </xf>
    <xf numFmtId="0" fontId="91" fillId="41" borderId="0" xfId="0" applyFont="1" applyFill="1" applyAlignment="1">
      <alignment horizontal="left" vertical="center"/>
    </xf>
    <xf numFmtId="4" fontId="91" fillId="41" borderId="0" xfId="0" applyNumberFormat="1" applyFont="1" applyFill="1" applyAlignment="1">
      <alignment horizontal="right" vertical="center"/>
    </xf>
    <xf numFmtId="173" fontId="92" fillId="49" borderId="0" xfId="0" applyNumberFormat="1" applyFont="1" applyFill="1" applyAlignment="1">
      <alignment horizontal="center" vertical="center"/>
    </xf>
    <xf numFmtId="0" fontId="90" fillId="39" borderId="0" xfId="0" applyFont="1" applyFill="1" applyAlignment="1">
      <alignment horizontal="left" vertical="center"/>
    </xf>
    <xf numFmtId="0" fontId="90" fillId="39" borderId="0" xfId="0" applyFont="1" applyFill="1"/>
    <xf numFmtId="0" fontId="90" fillId="41" borderId="0" xfId="0" applyFont="1" applyFill="1" applyAlignment="1">
      <alignment horizontal="left" vertical="center"/>
    </xf>
    <xf numFmtId="0" fontId="92" fillId="35" borderId="0" xfId="0" applyFont="1" applyFill="1" applyAlignment="1">
      <alignment horizontal="left" vertical="center" indent="1"/>
    </xf>
    <xf numFmtId="4" fontId="92" fillId="35" borderId="0" xfId="0" applyNumberFormat="1" applyFont="1" applyFill="1" applyAlignment="1">
      <alignment horizontal="right" vertical="center"/>
    </xf>
    <xf numFmtId="0" fontId="92" fillId="40" borderId="0" xfId="0" applyFont="1" applyFill="1" applyAlignment="1">
      <alignment horizontal="left" vertical="center" indent="1"/>
    </xf>
    <xf numFmtId="4" fontId="92" fillId="40" borderId="0" xfId="0" applyNumberFormat="1" applyFont="1" applyFill="1" applyAlignment="1">
      <alignment horizontal="right" vertical="center"/>
    </xf>
    <xf numFmtId="0" fontId="14" fillId="71" borderId="1"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2F2F2"/>
      <rgbColor rgb="00008000"/>
      <rgbColor rgb="001B5E20"/>
      <rgbColor rgb="00A07830"/>
      <rgbColor rgb="00555555"/>
      <rgbColor rgb="001A5276"/>
      <rgbColor rgb="00BFBFBF"/>
      <rgbColor rgb="005A89C0"/>
      <rgbColor rgb="0090CAF9"/>
      <rgbColor rgb="007B2D5E"/>
      <rgbColor rgb="00FFF9C4"/>
      <rgbColor rgb="00E3F2FD"/>
      <rgbColor rgb="004A0030"/>
      <rgbColor rgb="00C8902A"/>
      <rgbColor rgb="000B6CBE"/>
      <rgbColor rgb="00BBDEFB"/>
      <rgbColor rgb="00FFFDE7"/>
      <rgbColor rgb="00E8F0FE"/>
      <rgbColor rgb="00C8E6C9"/>
      <rgbColor rgb="00DAE3F3"/>
      <rgbColor rgb="00E8F5E9"/>
      <rgbColor rgb="00F1F8E9"/>
      <rgbColor rgb="00164E7F"/>
      <rgbColor rgb="00FFF5F8"/>
      <rgbColor rgb="00D9E1F2"/>
      <rgbColor rgb="00DDEBF7"/>
      <rgbColor rgb="00DCEDC8"/>
      <rgbColor rgb="00FFF2CC"/>
      <rgbColor rgb="0099CCFF"/>
      <rgbColor rgb="00E0E0E0"/>
      <rgbColor rgb="00D9D9D9"/>
      <rgbColor rgb="00FBE5D6"/>
      <rgbColor rgb="003273B8"/>
      <rgbColor rgb="00A5D6A7"/>
      <rgbColor rgb="00A9D18E"/>
      <rgbColor rgb="00FCE4EC"/>
      <rgbColor rgb="00EEA018"/>
      <rgbColor rgb="00C75C12"/>
      <rgbColor rgb="00595959"/>
      <rgbColor rgb="00A7A7A7"/>
      <rgbColor rgb="00002060"/>
      <rgbColor rgb="002E7D32"/>
      <rgbColor rgb="001D324E"/>
      <rgbColor rgb="00444444"/>
      <rgbColor rgb="00843C0B"/>
      <rgbColor rgb="00B05080"/>
      <rgbColor rgb="001F3F5A"/>
      <rgbColor rgb="0031313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1" i="0" u="none" strike="noStrike" kern="1200" spc="-1" baseline="0">
                <a:solidFill>
                  <a:srgbClr val="D9D9D9"/>
                </a:solidFill>
                <a:latin typeface="Calibri" panose="020F0502020204030204"/>
                <a:ea typeface="+mn-ea"/>
                <a:cs typeface="+mn-cs"/>
              </a:defRPr>
            </a:pPr>
            <a:r>
              <a:rPr lang="en-IN" sz="1400" b="1" strike="noStrike" spc="-1">
                <a:solidFill>
                  <a:srgbClr val="D9D9D9"/>
                </a:solidFill>
                <a:latin typeface="Calibri" panose="020F0502020204030204"/>
              </a:rPr>
              <a:t>Sales Forecasting</a:t>
            </a:r>
          </a:p>
        </c:rich>
      </c:tx>
      <c:overlay val="0"/>
      <c:spPr>
        <a:noFill/>
        <a:ln w="0">
          <a:noFill/>
          <a:prstDash val="solid"/>
        </a:ln>
      </c:spPr>
    </c:title>
    <c:autoTitleDeleted val="0"/>
    <c:plotArea>
      <c:layout/>
      <c:barChart>
        <c:barDir val="col"/>
        <c:grouping val="clustered"/>
        <c:varyColors val="0"/>
        <c:ser>
          <c:idx val="0"/>
          <c:order val="0"/>
          <c:spPr>
            <a:noFill/>
            <a:ln w="9360">
              <a:solidFill>
                <a:srgbClr val="4472C4"/>
              </a:solidFill>
              <a:prstDash val="solid"/>
              <a:roun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900" b="0" i="0" u="none" strike="noStrike" kern="1200" spc="-1" baseline="0">
                    <a:solidFill>
                      <a:srgbClr val="BFBFBF"/>
                    </a:solidFill>
                    <a:latin typeface="Calibri" panose="020F0502020204030204"/>
                    <a:ea typeface="+mn-ea"/>
                    <a:cs typeface="+mn-cs"/>
                  </a:defRPr>
                </a:pPr>
                <a:endParaRPr lang="en-US"/>
              </a:p>
            </c:txPr>
            <c:dLblPos val="in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Forecasting!$F$10:$F$14</c:f>
              <c:numCache>
                <c:formatCode>yyyy\E</c:formatCode>
                <c:ptCount val="5"/>
                <c:pt idx="0">
                  <c:v>46081</c:v>
                </c:pt>
                <c:pt idx="1">
                  <c:v>46446</c:v>
                </c:pt>
                <c:pt idx="2">
                  <c:v>46811</c:v>
                </c:pt>
                <c:pt idx="3">
                  <c:v>47176</c:v>
                </c:pt>
                <c:pt idx="4">
                  <c:v>47541</c:v>
                </c:pt>
              </c:numCache>
            </c:numRef>
          </c:cat>
          <c:val>
            <c:numRef>
              <c:f>Forecasting!$G$10:$G$14</c:f>
              <c:numCache>
                <c:formatCode>0.00</c:formatCode>
                <c:ptCount val="5"/>
                <c:pt idx="0">
                  <c:v>24575.52</c:v>
                </c:pt>
                <c:pt idx="1">
                  <c:v>25825.223999999998</c:v>
                </c:pt>
                <c:pt idx="2">
                  <c:v>27074.928</c:v>
                </c:pt>
                <c:pt idx="3">
                  <c:v>28324.632000000001</c:v>
                </c:pt>
                <c:pt idx="4">
                  <c:v>29574.335999999999</c:v>
                </c:pt>
              </c:numCache>
            </c:numRef>
          </c:val>
          <c:extLst>
            <c:ext xmlns:c16="http://schemas.microsoft.com/office/drawing/2014/chart" uri="{C3380CC4-5D6E-409C-BE32-E72D297353CC}">
              <c16:uniqueId val="{00000000-50B3-42FC-86E7-EDC929A45542}"/>
            </c:ext>
          </c:extLst>
        </c:ser>
        <c:dLbls>
          <c:showLegendKey val="0"/>
          <c:showVal val="0"/>
          <c:showCatName val="0"/>
          <c:showSerName val="0"/>
          <c:showPercent val="0"/>
          <c:showBubbleSize val="0"/>
        </c:dLbls>
        <c:gapWidth val="315"/>
        <c:overlap val="-40"/>
        <c:axId val="65250184"/>
        <c:axId val="34574818"/>
      </c:barChart>
      <c:dateAx>
        <c:axId val="65250184"/>
        <c:scaling>
          <c:orientation val="minMax"/>
        </c:scaling>
        <c:delete val="0"/>
        <c:axPos val="b"/>
        <c:numFmt formatCode="yyyy\E" sourceLinked="0"/>
        <c:majorTickMark val="out"/>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BFBFBF"/>
                </a:solidFill>
                <a:latin typeface="Calibri" panose="020F0502020204030204"/>
                <a:ea typeface="+mn-ea"/>
                <a:cs typeface="+mn-cs"/>
              </a:defRPr>
            </a:pPr>
            <a:endParaRPr lang="en-US"/>
          </a:p>
        </c:txPr>
        <c:crossAx val="34574818"/>
        <c:crosses val="autoZero"/>
        <c:auto val="1"/>
        <c:lblOffset val="100"/>
        <c:baseTimeUnit val="years"/>
      </c:dateAx>
      <c:valAx>
        <c:axId val="34574818"/>
        <c:scaling>
          <c:orientation val="minMax"/>
        </c:scaling>
        <c:delete val="0"/>
        <c:axPos val="l"/>
        <c:majorGridlines>
          <c:spPr>
            <a:ln w="9360" cap="flat" cmpd="sng" algn="ctr">
              <a:solidFill>
                <a:srgbClr val="59595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BFBFBF"/>
                </a:solidFill>
                <a:latin typeface="Calibri" panose="020F0502020204030204"/>
                <a:ea typeface="+mn-ea"/>
                <a:cs typeface="+mn-cs"/>
              </a:defRPr>
            </a:pPr>
            <a:endParaRPr lang="en-US"/>
          </a:p>
        </c:txPr>
        <c:crossAx val="65250184"/>
        <c:crosses val="autoZero"/>
        <c:crossBetween val="between"/>
      </c:valAx>
    </c:plotArea>
    <c:plotVisOnly val="1"/>
    <c:dispBlanksAs val="gap"/>
    <c:showDLblsOverMax val="1"/>
    <c:extLst>
      <c:ext uri="{0b15fc19-7d7d-44ad-8c2d-2c3a37ce22c3}">
        <chartProps xmlns="https://web.wps.cn/et/2018/main" chartId="{a6a50ab3-1449-450f-8839-745477b20739}"/>
      </c:ext>
    </c:extLst>
  </c:chart>
  <c:spPr>
    <a:solidFill>
      <a:srgbClr val="404040"/>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600" b="1" i="0" u="none" strike="noStrike" kern="1200" spc="92" baseline="0">
                <a:solidFill>
                  <a:srgbClr val="F2F2F2"/>
                </a:solidFill>
                <a:latin typeface="Calibri" panose="020F0502020204030204"/>
                <a:ea typeface="+mn-ea"/>
                <a:cs typeface="+mn-cs"/>
              </a:defRPr>
            </a:pPr>
            <a:r>
              <a:rPr lang="en-IN" sz="1600" b="1" strike="noStrike" spc="92">
                <a:solidFill>
                  <a:srgbClr val="F2F2F2"/>
                </a:solidFill>
                <a:latin typeface="Calibri" panose="020F0502020204030204"/>
              </a:rPr>
              <a:t>EBITDA Forecasting</a:t>
            </a:r>
          </a:p>
        </c:rich>
      </c:tx>
      <c:overlay val="0"/>
      <c:spPr>
        <a:noFill/>
        <a:ln w="0">
          <a:noFill/>
          <a:prstDash val="solid"/>
        </a:ln>
      </c:spPr>
    </c:title>
    <c:autoTitleDeleted val="0"/>
    <c:plotArea>
      <c:layout/>
      <c:barChart>
        <c:barDir val="col"/>
        <c:grouping val="clustered"/>
        <c:varyColors val="0"/>
        <c:ser>
          <c:idx val="0"/>
          <c:order val="0"/>
          <c:tx>
            <c:strRef>
              <c:f>Forecasting!$K$10</c:f>
              <c:strCache>
                <c:ptCount val="1"/>
                <c:pt idx="0">
                  <c:v>2026E</c:v>
                </c:pt>
              </c:strCache>
            </c:strRef>
          </c:tx>
          <c:spPr>
            <a:gradFill>
              <a:gsLst>
                <a:gs pos="0">
                  <a:srgbClr val="6383CA"/>
                </a:gs>
                <a:gs pos="50000">
                  <a:srgbClr val="4371C3"/>
                </a:gs>
                <a:gs pos="100000">
                  <a:srgbClr val="3C65AD"/>
                </a:gs>
              </a:gsLst>
              <a:lin ang="5400000"/>
            </a:gra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Forecasting!$L$10</c:f>
              <c:numCache>
                <c:formatCode>0.00</c:formatCode>
                <c:ptCount val="1"/>
                <c:pt idx="0">
                  <c:v>6601.8969999999999</c:v>
                </c:pt>
              </c:numCache>
            </c:numRef>
          </c:val>
          <c:extLst>
            <c:ext xmlns:c16="http://schemas.microsoft.com/office/drawing/2014/chart" uri="{C3380CC4-5D6E-409C-BE32-E72D297353CC}">
              <c16:uniqueId val="{00000000-888D-4B1D-9A6E-DEAB65FE9058}"/>
            </c:ext>
          </c:extLst>
        </c:ser>
        <c:ser>
          <c:idx val="1"/>
          <c:order val="1"/>
          <c:tx>
            <c:strRef>
              <c:f>Forecasting!$K$11</c:f>
              <c:strCache>
                <c:ptCount val="1"/>
                <c:pt idx="0">
                  <c:v>2027E</c:v>
                </c:pt>
              </c:strCache>
            </c:strRef>
          </c:tx>
          <c:spPr>
            <a:gradFill>
              <a:gsLst>
                <a:gs pos="0">
                  <a:srgbClr val="EF8D5B"/>
                </a:gs>
                <a:gs pos="50000">
                  <a:srgbClr val="EC7C30"/>
                </a:gs>
                <a:gs pos="100000">
                  <a:srgbClr val="D26F2B"/>
                </a:gs>
              </a:gsLst>
              <a:lin ang="5400000"/>
            </a:gra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Forecasting!$L$11</c:f>
              <c:numCache>
                <c:formatCode>0.00</c:formatCode>
                <c:ptCount val="1"/>
                <c:pt idx="0">
                  <c:v>5944.808</c:v>
                </c:pt>
              </c:numCache>
            </c:numRef>
          </c:val>
          <c:extLst>
            <c:ext xmlns:c16="http://schemas.microsoft.com/office/drawing/2014/chart" uri="{C3380CC4-5D6E-409C-BE32-E72D297353CC}">
              <c16:uniqueId val="{00000001-888D-4B1D-9A6E-DEAB65FE9058}"/>
            </c:ext>
          </c:extLst>
        </c:ser>
        <c:ser>
          <c:idx val="2"/>
          <c:order val="2"/>
          <c:tx>
            <c:strRef>
              <c:f>Forecasting!$K$12</c:f>
              <c:strCache>
                <c:ptCount val="1"/>
                <c:pt idx="0">
                  <c:v>2028E</c:v>
                </c:pt>
              </c:strCache>
            </c:strRef>
          </c:tx>
          <c:spPr>
            <a:gradFill>
              <a:gsLst>
                <a:gs pos="0">
                  <a:srgbClr val="AFAFAF"/>
                </a:gs>
                <a:gs pos="50000">
                  <a:srgbClr val="A4A4A4"/>
                </a:gs>
                <a:gs pos="100000">
                  <a:srgbClr val="939393"/>
                </a:gs>
              </a:gsLst>
              <a:lin ang="5400000"/>
            </a:gra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Forecasting!$L$12</c:f>
              <c:numCache>
                <c:formatCode>0.00</c:formatCode>
                <c:ptCount val="1"/>
                <c:pt idx="0">
                  <c:v>5287.7190000000001</c:v>
                </c:pt>
              </c:numCache>
            </c:numRef>
          </c:val>
          <c:extLst>
            <c:ext xmlns:c16="http://schemas.microsoft.com/office/drawing/2014/chart" uri="{C3380CC4-5D6E-409C-BE32-E72D297353CC}">
              <c16:uniqueId val="{00000002-888D-4B1D-9A6E-DEAB65FE9058}"/>
            </c:ext>
          </c:extLst>
        </c:ser>
        <c:ser>
          <c:idx val="3"/>
          <c:order val="3"/>
          <c:tx>
            <c:strRef>
              <c:f>Forecasting!$K$13</c:f>
              <c:strCache>
                <c:ptCount val="1"/>
                <c:pt idx="0">
                  <c:v>2029E</c:v>
                </c:pt>
              </c:strCache>
            </c:strRef>
          </c:tx>
          <c:spPr>
            <a:gradFill>
              <a:gsLst>
                <a:gs pos="0">
                  <a:srgbClr val="FFC652"/>
                </a:gs>
                <a:gs pos="50000">
                  <a:srgbClr val="FFBF00"/>
                </a:gs>
                <a:gs pos="100000">
                  <a:srgbClr val="E2AA00"/>
                </a:gs>
              </a:gsLst>
              <a:lin ang="5400000"/>
            </a:gra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Forecasting!$L$13</c:f>
              <c:numCache>
                <c:formatCode>0.00</c:formatCode>
                <c:ptCount val="1"/>
                <c:pt idx="0">
                  <c:v>4630.63</c:v>
                </c:pt>
              </c:numCache>
            </c:numRef>
          </c:val>
          <c:extLst>
            <c:ext xmlns:c16="http://schemas.microsoft.com/office/drawing/2014/chart" uri="{C3380CC4-5D6E-409C-BE32-E72D297353CC}">
              <c16:uniqueId val="{00000003-888D-4B1D-9A6E-DEAB65FE9058}"/>
            </c:ext>
          </c:extLst>
        </c:ser>
        <c:ser>
          <c:idx val="4"/>
          <c:order val="4"/>
          <c:tx>
            <c:strRef>
              <c:f>Forecasting!$K$14</c:f>
              <c:strCache>
                <c:ptCount val="1"/>
                <c:pt idx="0">
                  <c:v>2030E</c:v>
                </c:pt>
              </c:strCache>
            </c:strRef>
          </c:tx>
          <c:spPr>
            <a:gradFill>
              <a:gsLst>
                <a:gs pos="0">
                  <a:srgbClr val="74A6D8"/>
                </a:gs>
                <a:gs pos="50000">
                  <a:srgbClr val="5B9AD4"/>
                </a:gs>
                <a:gs pos="100000">
                  <a:srgbClr val="4F8ABE"/>
                </a:gs>
              </a:gsLst>
              <a:lin ang="5400000"/>
            </a:gra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val>
            <c:numRef>
              <c:f>Forecasting!$L$14</c:f>
              <c:numCache>
                <c:formatCode>0.00</c:formatCode>
                <c:ptCount val="1"/>
                <c:pt idx="0">
                  <c:v>3973.5410000000002</c:v>
                </c:pt>
              </c:numCache>
            </c:numRef>
          </c:val>
          <c:extLst>
            <c:ext xmlns:c16="http://schemas.microsoft.com/office/drawing/2014/chart" uri="{C3380CC4-5D6E-409C-BE32-E72D297353CC}">
              <c16:uniqueId val="{00000004-888D-4B1D-9A6E-DEAB65FE9058}"/>
            </c:ext>
          </c:extLst>
        </c:ser>
        <c:dLbls>
          <c:showLegendKey val="0"/>
          <c:showVal val="0"/>
          <c:showCatName val="0"/>
          <c:showSerName val="0"/>
          <c:showPercent val="0"/>
          <c:showBubbleSize val="0"/>
        </c:dLbls>
        <c:gapWidth val="100"/>
        <c:overlap val="-24"/>
        <c:axId val="4465792"/>
        <c:axId val="55093399"/>
      </c:barChart>
      <c:catAx>
        <c:axId val="4465792"/>
        <c:scaling>
          <c:orientation val="minMax"/>
        </c:scaling>
        <c:delete val="0"/>
        <c:axPos val="b"/>
        <c:numFmt formatCode="General" sourceLinked="0"/>
        <c:majorTickMark val="none"/>
        <c:minorTickMark val="none"/>
        <c:tickLblPos val="nextTo"/>
        <c:spPr>
          <a:ln w="12600" cap="flat" cmpd="sng" algn="ctr">
            <a:solidFill>
              <a:srgbClr val="F2F2F2"/>
            </a:solidFill>
            <a:prstDash val="solid"/>
            <a:round/>
          </a:ln>
        </c:spPr>
        <c:txPr>
          <a:bodyPr rot="-6000000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crossAx val="55093399"/>
        <c:crosses val="autoZero"/>
        <c:auto val="1"/>
        <c:lblAlgn val="ctr"/>
        <c:lblOffset val="100"/>
        <c:noMultiLvlLbl val="0"/>
      </c:catAx>
      <c:valAx>
        <c:axId val="55093399"/>
        <c:scaling>
          <c:orientation val="minMax"/>
        </c:scaling>
        <c:delete val="0"/>
        <c:axPos val="l"/>
        <c:majorGridlines>
          <c:spPr>
            <a:ln w="9360" cap="flat" cmpd="sng" algn="ctr">
              <a:solidFill>
                <a:srgbClr val="F2F2F2"/>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crossAx val="4465792"/>
        <c:crosses val="autoZero"/>
        <c:crossBetween val="between"/>
      </c:valAx>
    </c:plotArea>
    <c:legend>
      <c:legendPos val="b"/>
      <c:overlay val="0"/>
      <c:spPr>
        <a:noFill/>
        <a:ln w="0">
          <a:noFill/>
          <a:prstDash val="solid"/>
        </a:ln>
      </c:spPr>
      <c:txPr>
        <a:bodyPr rot="0" spcFirstLastPara="0" vertOverflow="ellipsis" vert="horz" wrap="square" anchor="ctr" anchorCtr="1"/>
        <a:lstStyle/>
        <a:p>
          <a:pPr>
            <a:defRPr lang="en-US" sz="900" b="0" i="0" u="none" strike="noStrike" kern="1200" spc="-1" baseline="0">
              <a:solidFill>
                <a:srgbClr val="D9D9D9"/>
              </a:solidFill>
              <a:latin typeface="Calibri" panose="020F0502020204030204"/>
              <a:ea typeface="+mn-ea"/>
              <a:cs typeface="+mn-cs"/>
            </a:defRPr>
          </a:pPr>
          <a:endParaRPr lang="en-US"/>
        </a:p>
      </c:txPr>
    </c:legend>
    <c:plotVisOnly val="1"/>
    <c:dispBlanksAs val="gap"/>
    <c:showDLblsOverMax val="1"/>
    <c:extLst>
      <c:ext uri="{0b15fc19-7d7d-44ad-8c2d-2c3a37ce22c3}">
        <chartProps xmlns="https://web.wps.cn/et/2018/main" chartId="{b16e2d02-7fdf-47dd-919e-6d84849023c0}"/>
      </c:ext>
    </c:extLst>
  </c:chart>
  <c:spPr>
    <a:gradFill>
      <a:gsLst>
        <a:gs pos="0">
          <a:srgbClr val="595959"/>
        </a:gs>
        <a:gs pos="100000">
          <a:srgbClr val="262626"/>
        </a:gs>
      </a:gsLst>
      <a:path path="circle">
        <a:fillToRect l="50000" t="50000" r="50000" b="50000"/>
      </a:path>
    </a:gradFill>
    <a:ln w="9360" cap="flat" cmpd="sng" algn="ctr">
      <a:noFill/>
      <a:prstDash val="solid"/>
      <a:round/>
    </a:ln>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400" b="0" i="0" u="none" strike="noStrike" kern="1200" spc="-1" baseline="0">
                <a:solidFill>
                  <a:srgbClr val="595959"/>
                </a:solidFill>
                <a:latin typeface="Calibri" panose="020F0502020204030204"/>
                <a:ea typeface="+mn-ea"/>
                <a:cs typeface="+mn-cs"/>
              </a:defRPr>
            </a:pPr>
            <a:r>
              <a:rPr lang="en-IN" sz="1400" b="0" strike="noStrike" spc="-1">
                <a:solidFill>
                  <a:srgbClr val="595959"/>
                </a:solidFill>
                <a:latin typeface="Calibri" panose="020F0502020204030204"/>
              </a:rPr>
              <a:t>EPS Forecasting</a:t>
            </a:r>
          </a:p>
        </c:rich>
      </c:tx>
      <c:overlay val="0"/>
      <c:spPr>
        <a:noFill/>
        <a:ln w="0">
          <a:noFill/>
          <a:prstDash val="solid"/>
        </a:ln>
      </c:spPr>
    </c:title>
    <c:autoTitleDeleted val="0"/>
    <c:plotArea>
      <c:layout/>
      <c:barChart>
        <c:barDir val="col"/>
        <c:grouping val="clustered"/>
        <c:varyColors val="0"/>
        <c:ser>
          <c:idx val="0"/>
          <c:order val="0"/>
          <c:spPr>
            <a:solidFill>
              <a:srgbClr val="4472C4"/>
            </a:solidFill>
            <a:ln w="0">
              <a:noFill/>
              <a:prstDash val="solid"/>
            </a:ln>
          </c:spPr>
          <c:invertIfNegative val="0"/>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Forecasting!$P$10:$P$14</c:f>
              <c:numCache>
                <c:formatCode>yyyy\E</c:formatCode>
                <c:ptCount val="5"/>
                <c:pt idx="0">
                  <c:v>46081</c:v>
                </c:pt>
                <c:pt idx="1">
                  <c:v>46446</c:v>
                </c:pt>
                <c:pt idx="2">
                  <c:v>46811</c:v>
                </c:pt>
                <c:pt idx="3">
                  <c:v>47176</c:v>
                </c:pt>
                <c:pt idx="4">
                  <c:v>47541</c:v>
                </c:pt>
              </c:numCache>
            </c:numRef>
          </c:cat>
          <c:val>
            <c:numRef>
              <c:f>Forecasting!$Q$10:$Q$14</c:f>
              <c:numCache>
                <c:formatCode>0.00</c:formatCode>
                <c:ptCount val="5"/>
                <c:pt idx="0">
                  <c:v>8.0150000000000006</c:v>
                </c:pt>
                <c:pt idx="1">
                  <c:v>4.1280000000000001</c:v>
                </c:pt>
                <c:pt idx="2">
                  <c:v>0.240999999999996</c:v>
                </c:pt>
                <c:pt idx="3">
                  <c:v>-3.6459999999999999</c:v>
                </c:pt>
                <c:pt idx="4">
                  <c:v>-7.5330000000000004</c:v>
                </c:pt>
              </c:numCache>
            </c:numRef>
          </c:val>
          <c:extLst>
            <c:ext xmlns:c16="http://schemas.microsoft.com/office/drawing/2014/chart" uri="{C3380CC4-5D6E-409C-BE32-E72D297353CC}">
              <c16:uniqueId val="{00000000-80ED-4FB3-A58E-3AC801E1AE85}"/>
            </c:ext>
          </c:extLst>
        </c:ser>
        <c:dLbls>
          <c:showLegendKey val="0"/>
          <c:showVal val="0"/>
          <c:showCatName val="0"/>
          <c:showSerName val="0"/>
          <c:showPercent val="0"/>
          <c:showBubbleSize val="0"/>
        </c:dLbls>
        <c:gapWidth val="219"/>
        <c:overlap val="-27"/>
        <c:axId val="22356640"/>
        <c:axId val="41933864"/>
      </c:barChart>
      <c:dateAx>
        <c:axId val="22356640"/>
        <c:scaling>
          <c:orientation val="minMax"/>
        </c:scaling>
        <c:delete val="0"/>
        <c:axPos val="b"/>
        <c:numFmt formatCode="yyyy\E" sourceLinked="0"/>
        <c:majorTickMark val="out"/>
        <c:minorTickMark val="none"/>
        <c:tickLblPos val="nextTo"/>
        <c:spPr>
          <a:ln w="9360" cap="flat" cmpd="sng" algn="ctr">
            <a:solidFill>
              <a:srgbClr val="D9D9D9"/>
            </a:solid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41933864"/>
        <c:crosses val="autoZero"/>
        <c:auto val="1"/>
        <c:lblOffset val="100"/>
        <c:baseTimeUnit val="years"/>
      </c:dateAx>
      <c:valAx>
        <c:axId val="41933864"/>
        <c:scaling>
          <c:orientation val="minMax"/>
        </c:scaling>
        <c:delete val="0"/>
        <c:axPos val="l"/>
        <c:majorGridlines>
          <c:spPr>
            <a:ln w="9360" cap="flat" cmpd="sng" algn="ctr">
              <a:solidFill>
                <a:srgbClr val="D9D9D9"/>
              </a:solidFill>
              <a:prstDash val="solid"/>
              <a:round/>
            </a:ln>
          </c:spPr>
        </c:majorGridlines>
        <c:numFmt formatCode="0.00" sourceLinked="0"/>
        <c:majorTickMark val="none"/>
        <c:minorTickMark val="none"/>
        <c:tickLblPos val="nextTo"/>
        <c:spPr>
          <a:ln w="6480" cap="flat" cmpd="sng" algn="ctr">
            <a:noFill/>
            <a:prstDash val="solid"/>
            <a:round/>
          </a:ln>
        </c:spPr>
        <c:txPr>
          <a:bodyPr rot="-60000000" spcFirstLastPara="0" vertOverflow="ellipsis" vert="horz" wrap="square" anchor="ctr" anchorCtr="1"/>
          <a:lstStyle/>
          <a:p>
            <a:pPr>
              <a:defRPr lang="en-US" sz="900" b="0" i="0" u="none" strike="noStrike" kern="1200" spc="-1" baseline="0">
                <a:solidFill>
                  <a:srgbClr val="595959"/>
                </a:solidFill>
                <a:latin typeface="Calibri" panose="020F0502020204030204"/>
                <a:ea typeface="+mn-ea"/>
                <a:cs typeface="+mn-cs"/>
              </a:defRPr>
            </a:pPr>
            <a:endParaRPr lang="en-US"/>
          </a:p>
        </c:txPr>
        <c:crossAx val="22356640"/>
        <c:crosses val="autoZero"/>
        <c:crossBetween val="between"/>
      </c:valAx>
    </c:plotArea>
    <c:plotVisOnly val="1"/>
    <c:dispBlanksAs val="gap"/>
    <c:showDLblsOverMax val="1"/>
    <c:extLst>
      <c:ext uri="{0b15fc19-7d7d-44ad-8c2d-2c3a37ce22c3}">
        <chartProps xmlns="https://web.wps.cn/et/2018/main" chartId="{4c28b2b1-163b-45f0-b058-f2a1994589ff}"/>
      </c:ext>
    </c:extLst>
  </c:chart>
  <c:spPr>
    <a:solidFill>
      <a:srgbClr val="FFFFFF"/>
    </a:solidFill>
    <a:ln w="9360" cap="flat" cmpd="sng" algn="ctr">
      <a:solidFill>
        <a:srgbClr val="D9D9D9"/>
      </a:solidFill>
      <a:prstDash val="solid"/>
      <a:round/>
    </a:ln>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14</xdr:col>
      <xdr:colOff>55881</xdr:colOff>
      <xdr:row>0</xdr:row>
      <xdr:rowOff>40640</xdr:rowOff>
    </xdr:from>
    <xdr:to>
      <xdr:col>22</xdr:col>
      <xdr:colOff>264160</xdr:colOff>
      <xdr:row>20</xdr:row>
      <xdr:rowOff>127000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9225281" y="40640"/>
          <a:ext cx="4983479" cy="5610860"/>
        </a:xfrm>
        <a:prstGeom prst="rect">
          <a:avLst/>
        </a:prstGeom>
        <a:ln>
          <a:prstDash val="solid"/>
        </a:ln>
      </xdr:spPr>
    </xdr:pic>
    <xdr:clientData/>
  </xdr:twoCellAnchor>
  <xdr:twoCellAnchor editAs="oneCell">
    <xdr:from>
      <xdr:col>32</xdr:col>
      <xdr:colOff>241300</xdr:colOff>
      <xdr:row>0</xdr:row>
      <xdr:rowOff>0</xdr:rowOff>
    </xdr:from>
    <xdr:to>
      <xdr:col>41</xdr:col>
      <xdr:colOff>172720</xdr:colOff>
      <xdr:row>20</xdr:row>
      <xdr:rowOff>12700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20154900" y="0"/>
          <a:ext cx="5303520" cy="5537200"/>
        </a:xfrm>
        <a:prstGeom prst="rect">
          <a:avLst/>
        </a:prstGeom>
        <a:ln>
          <a:prstDash val="solid"/>
        </a:ln>
      </xdr:spPr>
    </xdr:pic>
    <xdr:clientData/>
  </xdr:twoCellAnchor>
  <xdr:twoCellAnchor editAs="oneCell">
    <xdr:from>
      <xdr:col>22</xdr:col>
      <xdr:colOff>335281</xdr:colOff>
      <xdr:row>0</xdr:row>
      <xdr:rowOff>38100</xdr:rowOff>
    </xdr:from>
    <xdr:to>
      <xdr:col>32</xdr:col>
      <xdr:colOff>177800</xdr:colOff>
      <xdr:row>20</xdr:row>
      <xdr:rowOff>88900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14279881" y="38100"/>
          <a:ext cx="5811519" cy="55753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14</xdr:row>
      <xdr:rowOff>178920</xdr:rowOff>
    </xdr:from>
    <xdr:to>
      <xdr:col>8</xdr:col>
      <xdr:colOff>6480</xdr:colOff>
      <xdr:row>29</xdr:row>
      <xdr:rowOff>177840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15120</xdr:colOff>
      <xdr:row>15</xdr:row>
      <xdr:rowOff>3960</xdr:rowOff>
    </xdr:from>
    <xdr:to>
      <xdr:col>14</xdr:col>
      <xdr:colOff>0</xdr:colOff>
      <xdr:row>30</xdr:row>
      <xdr:rowOff>2880</xdr:rowOff>
    </xdr:to>
    <xdr:graphicFrame macro="">
      <xdr:nvGraphicFramePr>
        <xdr:cNvPr id="3" name="Chart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15</xdr:row>
      <xdr:rowOff>3960</xdr:rowOff>
    </xdr:from>
    <xdr:to>
      <xdr:col>21</xdr:col>
      <xdr:colOff>14040</xdr:colOff>
      <xdr:row>30</xdr:row>
      <xdr:rowOff>2880</xdr:rowOff>
    </xdr:to>
    <xdr:graphicFrame macro="">
      <xdr:nvGraphicFramePr>
        <xdr:cNvPr id="4" name="Chart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L65"/>
  <sheetViews>
    <sheetView showGridLines="0" topLeftCell="B53" workbookViewId="0">
      <selection activeCell="C32" sqref="C32:D32"/>
    </sheetView>
  </sheetViews>
  <sheetFormatPr defaultColWidth="8.6640625" defaultRowHeight="14.4" x14ac:dyDescent="0.3"/>
  <cols>
    <col min="3" max="3" width="43" customWidth="1"/>
    <col min="4" max="4" width="49.21875" customWidth="1"/>
    <col min="5" max="5" width="22.44140625" customWidth="1"/>
    <col min="6" max="6" width="46.6640625" customWidth="1"/>
  </cols>
  <sheetData>
    <row r="1" spans="3:12" ht="14.4" customHeight="1" x14ac:dyDescent="0.3"/>
    <row r="2" spans="3:12" ht="14.4" customHeight="1" x14ac:dyDescent="0.3"/>
    <row r="3" spans="3:12" ht="23.4" x14ac:dyDescent="0.3">
      <c r="C3" s="459" t="s">
        <v>708</v>
      </c>
      <c r="D3" s="459"/>
      <c r="E3" s="459"/>
      <c r="F3" s="459"/>
      <c r="G3" s="459"/>
      <c r="H3" s="459"/>
      <c r="I3" s="459"/>
      <c r="J3" s="459"/>
      <c r="K3" s="459"/>
      <c r="L3" s="459"/>
    </row>
    <row r="4" spans="3:12" ht="14.4" customHeight="1" x14ac:dyDescent="0.3"/>
    <row r="5" spans="3:12" ht="14.4" customHeight="1" x14ac:dyDescent="0.3">
      <c r="C5" s="454" t="s">
        <v>0</v>
      </c>
      <c r="D5" s="340"/>
      <c r="E5" s="340"/>
      <c r="F5" s="340"/>
      <c r="G5" s="340"/>
      <c r="H5" s="340"/>
      <c r="I5" s="340"/>
      <c r="J5" s="340"/>
      <c r="K5" s="340"/>
      <c r="L5" s="340"/>
    </row>
    <row r="6" spans="3:12" ht="14.4" customHeight="1" x14ac:dyDescent="0.3">
      <c r="C6" s="340"/>
      <c r="D6" s="340"/>
      <c r="E6" s="340"/>
      <c r="F6" s="340"/>
      <c r="G6" s="340"/>
      <c r="H6" s="340"/>
      <c r="I6" s="340"/>
      <c r="J6" s="340"/>
      <c r="K6" s="340"/>
      <c r="L6" s="340"/>
    </row>
    <row r="7" spans="3:12" ht="14.4" customHeight="1" x14ac:dyDescent="0.3">
      <c r="C7" s="340"/>
      <c r="D7" s="340"/>
      <c r="E7" s="340"/>
      <c r="F7" s="340"/>
      <c r="G7" s="340"/>
      <c r="H7" s="340"/>
      <c r="I7" s="340"/>
      <c r="J7" s="340"/>
      <c r="K7" s="340"/>
      <c r="L7" s="340"/>
    </row>
    <row r="8" spans="3:12" ht="14.4" customHeight="1" x14ac:dyDescent="0.3">
      <c r="C8" s="340"/>
      <c r="D8" s="340"/>
      <c r="E8" s="340"/>
      <c r="F8" s="340"/>
      <c r="G8" s="340"/>
      <c r="H8" s="340"/>
      <c r="I8" s="340"/>
      <c r="J8" s="340"/>
      <c r="K8" s="340"/>
      <c r="L8" s="340"/>
    </row>
    <row r="9" spans="3:12" ht="14.4" customHeight="1" x14ac:dyDescent="0.3">
      <c r="C9" s="340"/>
      <c r="D9" s="340"/>
      <c r="E9" s="340"/>
      <c r="F9" s="340"/>
      <c r="G9" s="340"/>
      <c r="H9" s="340"/>
      <c r="I9" s="340"/>
      <c r="J9" s="340"/>
      <c r="K9" s="340"/>
      <c r="L9" s="340"/>
    </row>
    <row r="10" spans="3:12" ht="14.4" customHeight="1" x14ac:dyDescent="0.3">
      <c r="C10" s="340"/>
      <c r="D10" s="340"/>
      <c r="E10" s="340"/>
      <c r="F10" s="340"/>
      <c r="G10" s="340"/>
      <c r="H10" s="340"/>
      <c r="I10" s="340"/>
      <c r="J10" s="340"/>
      <c r="K10" s="340"/>
      <c r="L10" s="340"/>
    </row>
    <row r="11" spans="3:12" ht="14.4" customHeight="1" x14ac:dyDescent="0.3">
      <c r="C11" s="340"/>
      <c r="D11" s="340"/>
      <c r="E11" s="340"/>
      <c r="F11" s="340"/>
      <c r="G11" s="340"/>
      <c r="H11" s="340"/>
      <c r="I11" s="340"/>
      <c r="J11" s="340"/>
      <c r="K11" s="340"/>
      <c r="L11" s="340"/>
    </row>
    <row r="12" spans="3:12" ht="14.4" customHeight="1" x14ac:dyDescent="0.3">
      <c r="C12" s="340"/>
      <c r="D12" s="340"/>
      <c r="E12" s="340"/>
      <c r="F12" s="340"/>
      <c r="G12" s="340"/>
      <c r="H12" s="340"/>
      <c r="I12" s="340"/>
      <c r="J12" s="340"/>
      <c r="K12" s="340"/>
      <c r="L12" s="340"/>
    </row>
    <row r="13" spans="3:12" ht="14.4" customHeight="1" x14ac:dyDescent="0.3">
      <c r="C13" s="340"/>
      <c r="D13" s="340"/>
      <c r="E13" s="340"/>
      <c r="F13" s="340"/>
      <c r="G13" s="340"/>
      <c r="H13" s="340"/>
      <c r="I13" s="340"/>
      <c r="J13" s="340"/>
      <c r="K13" s="340"/>
      <c r="L13" s="340"/>
    </row>
    <row r="14" spans="3:12" ht="14.4" customHeight="1" x14ac:dyDescent="0.3">
      <c r="C14" s="340"/>
      <c r="D14" s="340"/>
      <c r="E14" s="340"/>
      <c r="F14" s="340"/>
      <c r="G14" s="340"/>
      <c r="H14" s="340"/>
      <c r="I14" s="340"/>
      <c r="J14" s="340"/>
      <c r="K14" s="340"/>
      <c r="L14" s="340"/>
    </row>
    <row r="15" spans="3:12" ht="14.4" customHeight="1" x14ac:dyDescent="0.3">
      <c r="C15" s="340"/>
      <c r="D15" s="340"/>
      <c r="E15" s="340"/>
      <c r="F15" s="340"/>
      <c r="G15" s="340"/>
      <c r="H15" s="340"/>
      <c r="I15" s="340"/>
      <c r="J15" s="340"/>
      <c r="K15" s="340"/>
      <c r="L15" s="340"/>
    </row>
    <row r="16" spans="3:12" ht="14.4" customHeight="1" x14ac:dyDescent="0.3">
      <c r="C16" s="340"/>
      <c r="D16" s="340"/>
      <c r="E16" s="340"/>
      <c r="F16" s="340"/>
      <c r="G16" s="340"/>
      <c r="H16" s="340"/>
      <c r="I16" s="340"/>
      <c r="J16" s="340"/>
      <c r="K16" s="340"/>
      <c r="L16" s="340"/>
    </row>
    <row r="17" spans="3:12" ht="74.400000000000006" customHeight="1" x14ac:dyDescent="0.3">
      <c r="C17" s="340"/>
      <c r="D17" s="340"/>
      <c r="E17" s="340"/>
      <c r="F17" s="340"/>
      <c r="G17" s="340"/>
      <c r="H17" s="340"/>
      <c r="I17" s="340"/>
      <c r="J17" s="340"/>
      <c r="K17" s="340"/>
      <c r="L17" s="340"/>
    </row>
    <row r="18" spans="3:12" ht="14.4" customHeight="1" x14ac:dyDescent="0.3"/>
    <row r="19" spans="3:12" ht="14.4" customHeight="1" x14ac:dyDescent="0.3">
      <c r="C19" s="458" t="s">
        <v>1</v>
      </c>
      <c r="D19" s="458"/>
      <c r="E19" s="458"/>
      <c r="F19" s="458"/>
    </row>
    <row r="20" spans="3:12" ht="14.4" customHeight="1" x14ac:dyDescent="0.3">
      <c r="C20" s="452" t="s">
        <v>2</v>
      </c>
      <c r="D20" s="452" t="s">
        <v>3</v>
      </c>
      <c r="E20" s="452" t="s">
        <v>4</v>
      </c>
      <c r="F20" s="452" t="s">
        <v>5</v>
      </c>
    </row>
    <row r="21" spans="3:12" ht="14.4" customHeight="1" x14ac:dyDescent="0.3">
      <c r="C21" s="455">
        <v>1</v>
      </c>
      <c r="D21" s="456" t="s">
        <v>6</v>
      </c>
      <c r="E21" s="456" t="s">
        <v>7</v>
      </c>
      <c r="F21" s="456" t="s">
        <v>8</v>
      </c>
    </row>
    <row r="22" spans="3:12" ht="14.4" customHeight="1" x14ac:dyDescent="0.3">
      <c r="C22" s="455">
        <v>2</v>
      </c>
      <c r="D22" s="456" t="s">
        <v>9</v>
      </c>
      <c r="E22" s="456" t="s">
        <v>7</v>
      </c>
      <c r="F22" s="456" t="s">
        <v>8</v>
      </c>
    </row>
    <row r="23" spans="3:12" ht="14.4" customHeight="1" x14ac:dyDescent="0.3">
      <c r="C23" s="455">
        <v>3</v>
      </c>
      <c r="D23" s="456" t="s">
        <v>10</v>
      </c>
      <c r="E23" s="456" t="s">
        <v>11</v>
      </c>
      <c r="F23" s="456" t="s">
        <v>12</v>
      </c>
    </row>
    <row r="24" spans="3:12" ht="14.4" customHeight="1" x14ac:dyDescent="0.3">
      <c r="C24" s="455">
        <v>4</v>
      </c>
      <c r="D24" s="456" t="s">
        <v>13</v>
      </c>
      <c r="E24" s="456" t="s">
        <v>11</v>
      </c>
      <c r="F24" s="456" t="s">
        <v>14</v>
      </c>
    </row>
    <row r="25" spans="3:12" ht="14.4" customHeight="1" x14ac:dyDescent="0.3">
      <c r="C25" s="455">
        <v>5</v>
      </c>
      <c r="D25" s="456" t="s">
        <v>15</v>
      </c>
      <c r="E25" s="456" t="s">
        <v>16</v>
      </c>
      <c r="F25" s="456" t="s">
        <v>17</v>
      </c>
    </row>
    <row r="26" spans="3:12" ht="14.4" customHeight="1" x14ac:dyDescent="0.3">
      <c r="C26" s="455">
        <v>6</v>
      </c>
      <c r="D26" s="456" t="s">
        <v>18</v>
      </c>
      <c r="E26" s="456" t="s">
        <v>16</v>
      </c>
      <c r="F26" s="456" t="s">
        <v>19</v>
      </c>
    </row>
    <row r="27" spans="3:12" ht="14.4" customHeight="1" x14ac:dyDescent="0.3">
      <c r="C27" s="455">
        <v>7</v>
      </c>
      <c r="D27" s="456" t="s">
        <v>20</v>
      </c>
      <c r="E27" s="456" t="s">
        <v>16</v>
      </c>
      <c r="F27" s="456" t="s">
        <v>21</v>
      </c>
    </row>
    <row r="28" spans="3:12" ht="14.4" customHeight="1" x14ac:dyDescent="0.3"/>
    <row r="29" spans="3:12" ht="14.4" customHeight="1" x14ac:dyDescent="0.3">
      <c r="C29" s="460" t="s">
        <v>22</v>
      </c>
      <c r="D29" s="461" t="s">
        <v>23</v>
      </c>
    </row>
    <row r="30" spans="3:12" ht="14.4" customHeight="1" x14ac:dyDescent="0.3"/>
    <row r="31" spans="3:12" ht="14.4" customHeight="1" x14ac:dyDescent="0.3"/>
    <row r="32" spans="3:12" ht="14.4" customHeight="1" x14ac:dyDescent="0.3">
      <c r="C32" s="453" t="s">
        <v>24</v>
      </c>
      <c r="D32" s="222"/>
      <c r="E32" s="451"/>
      <c r="F32" s="451"/>
    </row>
    <row r="33" spans="3:6" ht="14.4" customHeight="1" x14ac:dyDescent="0.3">
      <c r="C33" s="457" t="s">
        <v>25</v>
      </c>
      <c r="D33" s="340"/>
    </row>
    <row r="34" spans="3:6" ht="14.4" customHeight="1" x14ac:dyDescent="0.3">
      <c r="C34" s="457" t="s">
        <v>26</v>
      </c>
      <c r="D34" s="340"/>
    </row>
    <row r="35" spans="3:6" ht="14.4" customHeight="1" x14ac:dyDescent="0.3">
      <c r="C35" s="457" t="s">
        <v>27</v>
      </c>
      <c r="D35" s="340"/>
    </row>
    <row r="36" spans="3:6" ht="14.4" customHeight="1" x14ac:dyDescent="0.3"/>
    <row r="37" spans="3:6" ht="14.4" customHeight="1" x14ac:dyDescent="0.3"/>
    <row r="38" spans="3:6" ht="14.4" customHeight="1" x14ac:dyDescent="0.3">
      <c r="C38" s="449" t="s">
        <v>28</v>
      </c>
      <c r="D38" s="450"/>
      <c r="E38" s="450"/>
      <c r="F38" s="450"/>
    </row>
    <row r="39" spans="3:6" ht="14.4" customHeight="1" x14ac:dyDescent="0.3">
      <c r="C39" s="452" t="s">
        <v>29</v>
      </c>
      <c r="D39" s="452" t="s">
        <v>30</v>
      </c>
      <c r="E39" s="452" t="s">
        <v>31</v>
      </c>
      <c r="F39" s="452" t="s">
        <v>32</v>
      </c>
    </row>
    <row r="40" spans="3:6" ht="14.4" customHeight="1" x14ac:dyDescent="0.3">
      <c r="C40" s="456" t="s">
        <v>33</v>
      </c>
      <c r="D40" s="456" t="s">
        <v>34</v>
      </c>
      <c r="E40" s="455">
        <v>3</v>
      </c>
      <c r="F40" s="456" t="s">
        <v>35</v>
      </c>
    </row>
    <row r="41" spans="3:6" ht="14.4" customHeight="1" x14ac:dyDescent="0.3">
      <c r="C41" s="456" t="s">
        <v>33</v>
      </c>
      <c r="D41" s="456" t="s">
        <v>36</v>
      </c>
      <c r="E41" s="455">
        <v>1</v>
      </c>
      <c r="F41" s="456" t="s">
        <v>37</v>
      </c>
    </row>
    <row r="42" spans="3:6" ht="14.4" customHeight="1" x14ac:dyDescent="0.3">
      <c r="C42" s="456" t="s">
        <v>33</v>
      </c>
      <c r="D42" s="456" t="s">
        <v>38</v>
      </c>
      <c r="E42" s="455">
        <v>1</v>
      </c>
      <c r="F42" s="456" t="s">
        <v>39</v>
      </c>
    </row>
    <row r="43" spans="3:6" ht="14.4" customHeight="1" x14ac:dyDescent="0.3">
      <c r="C43" s="456" t="s">
        <v>33</v>
      </c>
      <c r="D43" s="456" t="s">
        <v>40</v>
      </c>
      <c r="E43" s="455">
        <v>1</v>
      </c>
      <c r="F43" s="456" t="s">
        <v>41</v>
      </c>
    </row>
    <row r="44" spans="3:6" ht="14.4" customHeight="1" x14ac:dyDescent="0.3">
      <c r="C44" s="456" t="s">
        <v>33</v>
      </c>
      <c r="D44" s="456" t="s">
        <v>42</v>
      </c>
      <c r="E44" s="455" t="s">
        <v>43</v>
      </c>
      <c r="F44" s="456" t="s">
        <v>44</v>
      </c>
    </row>
    <row r="45" spans="3:6" ht="14.4" customHeight="1" x14ac:dyDescent="0.3">
      <c r="C45" s="456" t="s">
        <v>33</v>
      </c>
      <c r="D45" s="456" t="s">
        <v>45</v>
      </c>
      <c r="E45" s="455">
        <v>5677</v>
      </c>
      <c r="F45" s="456" t="s">
        <v>46</v>
      </c>
    </row>
    <row r="46" spans="3:6" ht="14.4" customHeight="1" x14ac:dyDescent="0.3">
      <c r="C46" s="456" t="s">
        <v>33</v>
      </c>
      <c r="D46" s="456" t="s">
        <v>47</v>
      </c>
      <c r="E46" s="455">
        <v>3</v>
      </c>
      <c r="F46" s="456" t="s">
        <v>48</v>
      </c>
    </row>
    <row r="47" spans="3:6" ht="14.4" customHeight="1" x14ac:dyDescent="0.3">
      <c r="C47" s="456" t="s">
        <v>33</v>
      </c>
      <c r="D47" s="456" t="s">
        <v>49</v>
      </c>
      <c r="E47" s="455">
        <v>2</v>
      </c>
      <c r="F47" s="456" t="s">
        <v>50</v>
      </c>
    </row>
    <row r="48" spans="3:6" ht="14.4" customHeight="1" x14ac:dyDescent="0.3"/>
    <row r="49" spans="3:6" ht="14.4" customHeight="1" x14ac:dyDescent="0.3"/>
    <row r="50" spans="3:6" ht="14.4" customHeight="1" x14ac:dyDescent="0.3">
      <c r="C50" s="453" t="s">
        <v>51</v>
      </c>
      <c r="D50" s="222"/>
      <c r="E50" s="222"/>
      <c r="F50" s="222"/>
    </row>
    <row r="51" spans="3:6" ht="14.4" customHeight="1" x14ac:dyDescent="0.3">
      <c r="C51" s="462" t="s">
        <v>52</v>
      </c>
      <c r="D51" s="462" t="s">
        <v>53</v>
      </c>
    </row>
    <row r="52" spans="3:6" ht="14.4" customHeight="1" x14ac:dyDescent="0.3">
      <c r="C52" s="456" t="s">
        <v>54</v>
      </c>
      <c r="D52" s="456" t="s">
        <v>55</v>
      </c>
    </row>
    <row r="53" spans="3:6" ht="14.4" customHeight="1" x14ac:dyDescent="0.3">
      <c r="C53" s="456" t="s">
        <v>56</v>
      </c>
      <c r="D53" s="456" t="s">
        <v>57</v>
      </c>
    </row>
    <row r="54" spans="3:6" x14ac:dyDescent="0.3">
      <c r="C54" s="456" t="s">
        <v>58</v>
      </c>
      <c r="D54" s="456" t="s">
        <v>59</v>
      </c>
    </row>
    <row r="55" spans="3:6" x14ac:dyDescent="0.3">
      <c r="C55" s="456" t="s">
        <v>60</v>
      </c>
      <c r="D55" s="456" t="s">
        <v>61</v>
      </c>
    </row>
    <row r="56" spans="3:6" x14ac:dyDescent="0.3">
      <c r="C56" s="456" t="s">
        <v>62</v>
      </c>
      <c r="D56" s="456" t="s">
        <v>63</v>
      </c>
    </row>
    <row r="57" spans="3:6" ht="27.6" customHeight="1" x14ac:dyDescent="0.3">
      <c r="C57" s="456" t="s">
        <v>64</v>
      </c>
      <c r="D57" s="456" t="s">
        <v>65</v>
      </c>
    </row>
    <row r="58" spans="3:6" x14ac:dyDescent="0.3">
      <c r="C58" s="456" t="s">
        <v>66</v>
      </c>
      <c r="D58" s="456" t="s">
        <v>67</v>
      </c>
    </row>
    <row r="59" spans="3:6" x14ac:dyDescent="0.3">
      <c r="C59" s="456" t="s">
        <v>68</v>
      </c>
      <c r="D59" s="456" t="s">
        <v>69</v>
      </c>
    </row>
    <row r="60" spans="3:6" x14ac:dyDescent="0.3">
      <c r="C60" s="456" t="s">
        <v>70</v>
      </c>
      <c r="D60" s="456" t="s">
        <v>69</v>
      </c>
    </row>
    <row r="61" spans="3:6" x14ac:dyDescent="0.3">
      <c r="C61" s="456" t="s">
        <v>71</v>
      </c>
      <c r="D61" s="456" t="s">
        <v>69</v>
      </c>
    </row>
    <row r="62" spans="3:6" x14ac:dyDescent="0.3">
      <c r="C62" s="456" t="s">
        <v>72</v>
      </c>
      <c r="D62" s="456" t="s">
        <v>69</v>
      </c>
    </row>
    <row r="63" spans="3:6" x14ac:dyDescent="0.3">
      <c r="C63" s="456" t="s">
        <v>73</v>
      </c>
      <c r="D63" s="456" t="s">
        <v>74</v>
      </c>
    </row>
    <row r="64" spans="3:6" x14ac:dyDescent="0.3">
      <c r="C64" s="456" t="s">
        <v>75</v>
      </c>
      <c r="D64" s="456" t="s">
        <v>76</v>
      </c>
    </row>
    <row r="65" spans="3:4" x14ac:dyDescent="0.3">
      <c r="C65" s="456" t="s">
        <v>77</v>
      </c>
      <c r="D65" s="456" t="s">
        <v>78</v>
      </c>
    </row>
  </sheetData>
  <mergeCells count="9">
    <mergeCell ref="C35:D35"/>
    <mergeCell ref="C38:F38"/>
    <mergeCell ref="C50:F50"/>
    <mergeCell ref="C5:L17"/>
    <mergeCell ref="C3:L3"/>
    <mergeCell ref="C32:D32"/>
    <mergeCell ref="C33:D33"/>
    <mergeCell ref="C34:D34"/>
    <mergeCell ref="C19:F1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B2:G51"/>
  <sheetViews>
    <sheetView topLeftCell="B41" workbookViewId="0">
      <selection activeCell="I9" sqref="I9"/>
    </sheetView>
  </sheetViews>
  <sheetFormatPr defaultColWidth="9" defaultRowHeight="14.4" x14ac:dyDescent="0.3"/>
  <cols>
    <col min="1" max="1" width="2" customWidth="1"/>
    <col min="2" max="2" width="26.5546875" customWidth="1"/>
    <col min="3" max="3" width="9.88671875" customWidth="1"/>
    <col min="4" max="4" width="12.77734375" customWidth="1"/>
    <col min="5" max="5" width="7.88671875" customWidth="1"/>
    <col min="6" max="6" width="11.44140625" customWidth="1"/>
    <col min="7" max="7" width="12.77734375" customWidth="1"/>
    <col min="8" max="8" width="2" customWidth="1"/>
  </cols>
  <sheetData>
    <row r="2" spans="2:7" ht="21" customHeight="1" x14ac:dyDescent="0.3">
      <c r="B2" s="415" t="s">
        <v>79</v>
      </c>
      <c r="C2" s="222"/>
      <c r="D2" s="222"/>
      <c r="E2" s="222"/>
      <c r="F2" s="222"/>
      <c r="G2" s="222"/>
    </row>
    <row r="4" spans="2:7" x14ac:dyDescent="0.3">
      <c r="B4" s="416" t="s">
        <v>80</v>
      </c>
      <c r="C4" s="417"/>
      <c r="D4" s="418" t="s">
        <v>81</v>
      </c>
      <c r="E4" s="419"/>
      <c r="F4" s="420" t="s">
        <v>82</v>
      </c>
      <c r="G4" s="421"/>
    </row>
    <row r="5" spans="2:7" ht="25.8" customHeight="1" x14ac:dyDescent="0.3">
      <c r="B5" s="422" t="s">
        <v>83</v>
      </c>
      <c r="C5" s="423"/>
      <c r="D5" s="424" t="s">
        <v>84</v>
      </c>
      <c r="E5" s="419"/>
      <c r="F5" s="425" t="s">
        <v>85</v>
      </c>
      <c r="G5" s="421"/>
    </row>
    <row r="6" spans="2:7" x14ac:dyDescent="0.3">
      <c r="B6" s="426" t="s">
        <v>86</v>
      </c>
      <c r="C6" s="423"/>
      <c r="D6" s="427" t="s">
        <v>87</v>
      </c>
      <c r="E6" s="419"/>
      <c r="F6" s="428" t="s">
        <v>88</v>
      </c>
      <c r="G6" s="421"/>
    </row>
    <row r="8" spans="2:7" x14ac:dyDescent="0.3">
      <c r="B8" s="429" t="s">
        <v>89</v>
      </c>
      <c r="C8" s="430"/>
      <c r="D8" s="430"/>
      <c r="E8" s="430"/>
      <c r="F8" s="430"/>
      <c r="G8" s="430"/>
    </row>
    <row r="9" spans="2:7" ht="24" customHeight="1" x14ac:dyDescent="0.3">
      <c r="B9" s="431" t="s">
        <v>90</v>
      </c>
      <c r="C9" s="431" t="s">
        <v>91</v>
      </c>
      <c r="D9" s="431" t="s">
        <v>92</v>
      </c>
      <c r="E9" s="431" t="s">
        <v>93</v>
      </c>
      <c r="F9" s="431" t="s">
        <v>94</v>
      </c>
      <c r="G9" s="431" t="s">
        <v>95</v>
      </c>
    </row>
    <row r="10" spans="2:7" ht="28.8" x14ac:dyDescent="0.3">
      <c r="B10" s="432" t="s">
        <v>96</v>
      </c>
      <c r="C10" s="433">
        <v>1</v>
      </c>
      <c r="D10" s="433" t="s">
        <v>97</v>
      </c>
      <c r="E10" s="433" t="s">
        <v>83</v>
      </c>
      <c r="F10" s="433" t="s">
        <v>83</v>
      </c>
      <c r="G10" s="433" t="s">
        <v>97</v>
      </c>
    </row>
    <row r="11" spans="2:7" x14ac:dyDescent="0.3">
      <c r="B11" s="434" t="s">
        <v>98</v>
      </c>
      <c r="C11" s="433">
        <v>1</v>
      </c>
      <c r="D11" s="433" t="s">
        <v>97</v>
      </c>
      <c r="E11" s="433" t="s">
        <v>83</v>
      </c>
      <c r="F11" s="433" t="s">
        <v>83</v>
      </c>
      <c r="G11" s="433" t="s">
        <v>97</v>
      </c>
    </row>
    <row r="12" spans="2:7" x14ac:dyDescent="0.3">
      <c r="B12" s="432" t="s">
        <v>99</v>
      </c>
      <c r="C12" s="433">
        <v>1</v>
      </c>
      <c r="D12" s="433" t="s">
        <v>97</v>
      </c>
      <c r="E12" s="433" t="s">
        <v>83</v>
      </c>
      <c r="F12" s="433" t="s">
        <v>83</v>
      </c>
      <c r="G12" s="433" t="s">
        <v>97</v>
      </c>
    </row>
    <row r="13" spans="2:7" x14ac:dyDescent="0.3">
      <c r="B13" s="435" t="s">
        <v>100</v>
      </c>
      <c r="C13" s="433" t="s">
        <v>101</v>
      </c>
      <c r="D13" s="433" t="s">
        <v>101</v>
      </c>
      <c r="E13" s="433" t="s">
        <v>102</v>
      </c>
      <c r="F13" s="433" t="s">
        <v>102</v>
      </c>
      <c r="G13" s="433" t="s">
        <v>101</v>
      </c>
    </row>
    <row r="14" spans="2:7" x14ac:dyDescent="0.3">
      <c r="B14" s="436" t="s">
        <v>103</v>
      </c>
      <c r="C14" s="437">
        <v>1</v>
      </c>
      <c r="D14" s="437" t="s">
        <v>97</v>
      </c>
      <c r="E14" s="437" t="s">
        <v>83</v>
      </c>
      <c r="F14" s="437" t="s">
        <v>83</v>
      </c>
      <c r="G14" s="437" t="s">
        <v>97</v>
      </c>
    </row>
    <row r="15" spans="2:7" x14ac:dyDescent="0.3">
      <c r="B15" s="34"/>
      <c r="C15" s="34"/>
      <c r="D15" s="34"/>
      <c r="E15" s="34"/>
      <c r="F15" s="34"/>
      <c r="G15" s="34"/>
    </row>
    <row r="16" spans="2:7" x14ac:dyDescent="0.3">
      <c r="B16" s="429" t="s">
        <v>104</v>
      </c>
      <c r="C16" s="430"/>
      <c r="D16" s="430"/>
      <c r="E16" s="430"/>
      <c r="F16" s="430"/>
      <c r="G16" s="430"/>
    </row>
    <row r="17" spans="2:7" ht="24" customHeight="1" x14ac:dyDescent="0.3">
      <c r="B17" s="438" t="s">
        <v>105</v>
      </c>
      <c r="C17" s="438" t="s">
        <v>91</v>
      </c>
      <c r="D17" s="438" t="s">
        <v>92</v>
      </c>
      <c r="E17" s="438" t="s">
        <v>93</v>
      </c>
      <c r="F17" s="438" t="s">
        <v>94</v>
      </c>
      <c r="G17" s="438" t="s">
        <v>95</v>
      </c>
    </row>
    <row r="18" spans="2:7" x14ac:dyDescent="0.3">
      <c r="B18" s="435" t="s">
        <v>106</v>
      </c>
      <c r="C18" s="433">
        <v>41</v>
      </c>
      <c r="D18" s="433" t="s">
        <v>107</v>
      </c>
      <c r="E18" s="433" t="s">
        <v>108</v>
      </c>
      <c r="F18" s="433" t="s">
        <v>108</v>
      </c>
      <c r="G18" s="433" t="s">
        <v>107</v>
      </c>
    </row>
    <row r="19" spans="2:7" x14ac:dyDescent="0.3">
      <c r="B19" s="434" t="s">
        <v>109</v>
      </c>
      <c r="C19" s="433">
        <v>1</v>
      </c>
      <c r="D19" s="433" t="s">
        <v>110</v>
      </c>
      <c r="E19" s="433" t="s">
        <v>111</v>
      </c>
      <c r="F19" s="433" t="s">
        <v>111</v>
      </c>
      <c r="G19" s="433" t="s">
        <v>112</v>
      </c>
    </row>
    <row r="20" spans="2:7" x14ac:dyDescent="0.3">
      <c r="B20" s="435" t="s">
        <v>113</v>
      </c>
      <c r="C20" s="433">
        <v>27</v>
      </c>
      <c r="D20" s="433" t="s">
        <v>114</v>
      </c>
      <c r="E20" s="433" t="s">
        <v>115</v>
      </c>
      <c r="F20" s="433" t="s">
        <v>115</v>
      </c>
      <c r="G20" s="433" t="s">
        <v>114</v>
      </c>
    </row>
    <row r="21" spans="2:7" x14ac:dyDescent="0.3">
      <c r="B21" s="434" t="s">
        <v>116</v>
      </c>
      <c r="C21" s="433">
        <v>1</v>
      </c>
      <c r="D21" s="433" t="s">
        <v>117</v>
      </c>
      <c r="E21" s="433" t="s">
        <v>118</v>
      </c>
      <c r="F21" s="433" t="s">
        <v>118</v>
      </c>
      <c r="G21" s="433" t="s">
        <v>112</v>
      </c>
    </row>
    <row r="22" spans="2:7" x14ac:dyDescent="0.3">
      <c r="B22" s="435" t="s">
        <v>119</v>
      </c>
      <c r="C22" s="433">
        <v>17</v>
      </c>
      <c r="D22" s="433" t="s">
        <v>120</v>
      </c>
      <c r="E22" s="433" t="s">
        <v>121</v>
      </c>
      <c r="F22" s="433" t="s">
        <v>121</v>
      </c>
      <c r="G22" s="433" t="s">
        <v>120</v>
      </c>
    </row>
    <row r="23" spans="2:7" x14ac:dyDescent="0.3">
      <c r="B23" s="435" t="s">
        <v>122</v>
      </c>
      <c r="C23" s="433">
        <v>3</v>
      </c>
      <c r="D23" s="433" t="s">
        <v>123</v>
      </c>
      <c r="E23" s="433" t="s">
        <v>102</v>
      </c>
      <c r="F23" s="433" t="s">
        <v>102</v>
      </c>
      <c r="G23" s="433" t="s">
        <v>123</v>
      </c>
    </row>
    <row r="24" spans="2:7" x14ac:dyDescent="0.3">
      <c r="B24" s="435" t="s">
        <v>124</v>
      </c>
      <c r="C24" s="433">
        <v>1</v>
      </c>
      <c r="D24" s="433" t="s">
        <v>125</v>
      </c>
      <c r="E24" s="433" t="s">
        <v>126</v>
      </c>
      <c r="F24" s="433" t="s">
        <v>126</v>
      </c>
      <c r="G24" s="433" t="s">
        <v>125</v>
      </c>
    </row>
    <row r="25" spans="2:7" x14ac:dyDescent="0.3">
      <c r="B25" s="435" t="s">
        <v>127</v>
      </c>
      <c r="C25" s="433">
        <v>10</v>
      </c>
      <c r="D25" s="433" t="s">
        <v>128</v>
      </c>
      <c r="E25" s="433" t="s">
        <v>102</v>
      </c>
      <c r="F25" s="433" t="s">
        <v>102</v>
      </c>
      <c r="G25" s="433" t="s">
        <v>128</v>
      </c>
    </row>
    <row r="26" spans="2:7" x14ac:dyDescent="0.3">
      <c r="B26" s="439" t="s">
        <v>129</v>
      </c>
      <c r="C26" s="440">
        <v>99</v>
      </c>
      <c r="D26" s="440" t="s">
        <v>130</v>
      </c>
      <c r="E26" s="440" t="s">
        <v>131</v>
      </c>
      <c r="F26" s="440" t="s">
        <v>131</v>
      </c>
      <c r="G26" s="440" t="s">
        <v>130</v>
      </c>
    </row>
    <row r="27" spans="2:7" x14ac:dyDescent="0.3">
      <c r="B27" s="34"/>
      <c r="C27" s="34"/>
      <c r="D27" s="34"/>
      <c r="E27" s="34"/>
      <c r="F27" s="34"/>
      <c r="G27" s="34"/>
    </row>
    <row r="28" spans="2:7" x14ac:dyDescent="0.3">
      <c r="B28" s="429" t="s">
        <v>132</v>
      </c>
      <c r="C28" s="430"/>
      <c r="D28" s="430"/>
      <c r="E28" s="430"/>
      <c r="F28" s="430"/>
      <c r="G28" s="430"/>
    </row>
    <row r="29" spans="2:7" ht="24" customHeight="1" x14ac:dyDescent="0.3">
      <c r="B29" s="441" t="s">
        <v>105</v>
      </c>
      <c r="C29" s="441" t="s">
        <v>91</v>
      </c>
      <c r="D29" s="441" t="s">
        <v>92</v>
      </c>
      <c r="E29" s="441" t="s">
        <v>93</v>
      </c>
      <c r="F29" s="441" t="s">
        <v>94</v>
      </c>
      <c r="G29" s="441" t="s">
        <v>95</v>
      </c>
    </row>
    <row r="30" spans="2:7" ht="28.8" x14ac:dyDescent="0.3">
      <c r="B30" s="435" t="s">
        <v>133</v>
      </c>
      <c r="C30" s="433">
        <v>583</v>
      </c>
      <c r="D30" s="433" t="s">
        <v>134</v>
      </c>
      <c r="E30" s="433" t="s">
        <v>135</v>
      </c>
      <c r="F30" s="433" t="s">
        <v>135</v>
      </c>
      <c r="G30" s="433" t="s">
        <v>134</v>
      </c>
    </row>
    <row r="31" spans="2:7" ht="28.8" x14ac:dyDescent="0.3">
      <c r="B31" s="435" t="s">
        <v>136</v>
      </c>
      <c r="C31" s="433">
        <v>31</v>
      </c>
      <c r="D31" s="433" t="s">
        <v>137</v>
      </c>
      <c r="E31" s="433" t="s">
        <v>138</v>
      </c>
      <c r="F31" s="433" t="s">
        <v>138</v>
      </c>
      <c r="G31" s="433" t="s">
        <v>137</v>
      </c>
    </row>
    <row r="32" spans="2:7" x14ac:dyDescent="0.3">
      <c r="B32" s="435" t="s">
        <v>139</v>
      </c>
      <c r="C32" s="433">
        <v>0</v>
      </c>
      <c r="D32" s="433" t="s">
        <v>112</v>
      </c>
      <c r="E32" s="433" t="s">
        <v>102</v>
      </c>
      <c r="F32" s="433" t="s">
        <v>102</v>
      </c>
      <c r="G32" s="433" t="s">
        <v>112</v>
      </c>
    </row>
    <row r="33" spans="2:7" x14ac:dyDescent="0.3">
      <c r="B33" s="435" t="s">
        <v>140</v>
      </c>
      <c r="C33" s="433">
        <v>0</v>
      </c>
      <c r="D33" s="433" t="s">
        <v>112</v>
      </c>
      <c r="E33" s="433" t="s">
        <v>102</v>
      </c>
      <c r="F33" s="433" t="s">
        <v>102</v>
      </c>
      <c r="G33" s="433" t="s">
        <v>112</v>
      </c>
    </row>
    <row r="34" spans="2:7" x14ac:dyDescent="0.3">
      <c r="B34" s="442" t="s">
        <v>141</v>
      </c>
      <c r="C34" s="443">
        <v>614</v>
      </c>
      <c r="D34" s="443" t="s">
        <v>142</v>
      </c>
      <c r="E34" s="443" t="s">
        <v>143</v>
      </c>
      <c r="F34" s="443" t="s">
        <v>143</v>
      </c>
      <c r="G34" s="443" t="s">
        <v>142</v>
      </c>
    </row>
    <row r="35" spans="2:7" x14ac:dyDescent="0.3">
      <c r="B35" s="34"/>
      <c r="C35" s="34"/>
      <c r="D35" s="34"/>
      <c r="E35" s="34"/>
      <c r="F35" s="34"/>
      <c r="G35" s="34"/>
    </row>
    <row r="36" spans="2:7" x14ac:dyDescent="0.3">
      <c r="B36" s="429" t="s">
        <v>144</v>
      </c>
      <c r="C36" s="430"/>
      <c r="D36" s="430"/>
      <c r="E36" s="430"/>
      <c r="F36" s="430"/>
      <c r="G36" s="430"/>
    </row>
    <row r="37" spans="2:7" ht="24" customHeight="1" x14ac:dyDescent="0.3">
      <c r="B37" s="444" t="s">
        <v>90</v>
      </c>
      <c r="C37" s="444" t="s">
        <v>91</v>
      </c>
      <c r="D37" s="444" t="s">
        <v>92</v>
      </c>
      <c r="E37" s="444" t="s">
        <v>93</v>
      </c>
      <c r="F37" s="444" t="s">
        <v>94</v>
      </c>
      <c r="G37" s="444" t="s">
        <v>95</v>
      </c>
    </row>
    <row r="38" spans="2:7" ht="28.8" x14ac:dyDescent="0.3">
      <c r="B38" s="435" t="s">
        <v>145</v>
      </c>
      <c r="C38" s="433">
        <v>1112355</v>
      </c>
      <c r="D38" s="433" t="s">
        <v>146</v>
      </c>
      <c r="E38" s="433" t="s">
        <v>147</v>
      </c>
      <c r="F38" s="433" t="s">
        <v>147</v>
      </c>
      <c r="G38" s="433" t="s">
        <v>148</v>
      </c>
    </row>
    <row r="39" spans="2:7" ht="28.8" x14ac:dyDescent="0.3">
      <c r="B39" s="435" t="s">
        <v>149</v>
      </c>
      <c r="C39" s="433">
        <v>160</v>
      </c>
      <c r="D39" s="433" t="s">
        <v>150</v>
      </c>
      <c r="E39" s="433" t="s">
        <v>151</v>
      </c>
      <c r="F39" s="433" t="s">
        <v>151</v>
      </c>
      <c r="G39" s="433" t="s">
        <v>150</v>
      </c>
    </row>
    <row r="40" spans="2:7" x14ac:dyDescent="0.3">
      <c r="B40" s="435" t="s">
        <v>152</v>
      </c>
      <c r="C40" s="433">
        <v>2536</v>
      </c>
      <c r="D40" s="433" t="s">
        <v>153</v>
      </c>
      <c r="E40" s="433" t="s">
        <v>154</v>
      </c>
      <c r="F40" s="433" t="s">
        <v>154</v>
      </c>
      <c r="G40" s="433" t="s">
        <v>155</v>
      </c>
    </row>
    <row r="41" spans="2:7" x14ac:dyDescent="0.3">
      <c r="B41" s="435" t="s">
        <v>156</v>
      </c>
      <c r="C41" s="433">
        <v>14956</v>
      </c>
      <c r="D41" s="433" t="s">
        <v>157</v>
      </c>
      <c r="E41" s="433" t="s">
        <v>158</v>
      </c>
      <c r="F41" s="433" t="s">
        <v>158</v>
      </c>
      <c r="G41" s="433" t="s">
        <v>157</v>
      </c>
    </row>
    <row r="42" spans="2:7" x14ac:dyDescent="0.3">
      <c r="B42" s="435" t="s">
        <v>159</v>
      </c>
      <c r="C42" s="433">
        <v>60</v>
      </c>
      <c r="D42" s="433" t="s">
        <v>160</v>
      </c>
      <c r="E42" s="433" t="s">
        <v>126</v>
      </c>
      <c r="F42" s="433" t="s">
        <v>126</v>
      </c>
      <c r="G42" s="433" t="s">
        <v>160</v>
      </c>
    </row>
    <row r="43" spans="2:7" x14ac:dyDescent="0.3">
      <c r="B43" s="435" t="s">
        <v>161</v>
      </c>
      <c r="C43" s="433">
        <v>114</v>
      </c>
      <c r="D43" s="433" t="s">
        <v>162</v>
      </c>
      <c r="E43" s="433" t="s">
        <v>102</v>
      </c>
      <c r="F43" s="433" t="s">
        <v>102</v>
      </c>
      <c r="G43" s="433" t="s">
        <v>163</v>
      </c>
    </row>
    <row r="44" spans="2:7" x14ac:dyDescent="0.3">
      <c r="B44" s="435" t="s">
        <v>164</v>
      </c>
      <c r="C44" s="433">
        <v>1</v>
      </c>
      <c r="D44" s="433" t="s">
        <v>165</v>
      </c>
      <c r="E44" s="433" t="s">
        <v>102</v>
      </c>
      <c r="F44" s="433" t="s">
        <v>102</v>
      </c>
      <c r="G44" s="433" t="s">
        <v>165</v>
      </c>
    </row>
    <row r="45" spans="2:7" ht="28.8" x14ac:dyDescent="0.3">
      <c r="B45" s="435" t="s">
        <v>166</v>
      </c>
      <c r="C45" s="433">
        <v>10</v>
      </c>
      <c r="D45" s="433" t="s">
        <v>167</v>
      </c>
      <c r="E45" s="433" t="s">
        <v>102</v>
      </c>
      <c r="F45" s="433" t="s">
        <v>102</v>
      </c>
      <c r="G45" s="433" t="s">
        <v>167</v>
      </c>
    </row>
    <row r="46" spans="2:7" x14ac:dyDescent="0.3">
      <c r="B46" s="435" t="s">
        <v>168</v>
      </c>
      <c r="C46" s="433">
        <v>3</v>
      </c>
      <c r="D46" s="433" t="s">
        <v>169</v>
      </c>
      <c r="E46" s="433" t="s">
        <v>102</v>
      </c>
      <c r="F46" s="433" t="s">
        <v>102</v>
      </c>
      <c r="G46" s="433" t="s">
        <v>169</v>
      </c>
    </row>
    <row r="47" spans="2:7" x14ac:dyDescent="0.3">
      <c r="B47" s="445" t="s">
        <v>170</v>
      </c>
      <c r="C47" s="446" t="s">
        <v>171</v>
      </c>
      <c r="D47" s="446" t="s">
        <v>172</v>
      </c>
      <c r="E47" s="446" t="s">
        <v>173</v>
      </c>
      <c r="F47" s="446" t="s">
        <v>173</v>
      </c>
      <c r="G47" s="446" t="s">
        <v>174</v>
      </c>
    </row>
    <row r="48" spans="2:7" x14ac:dyDescent="0.3">
      <c r="B48" s="34"/>
      <c r="C48" s="34"/>
      <c r="D48" s="34"/>
      <c r="E48" s="34"/>
      <c r="F48" s="34"/>
      <c r="G48" s="34"/>
    </row>
    <row r="49" spans="2:7" x14ac:dyDescent="0.3">
      <c r="B49" s="447" t="s">
        <v>175</v>
      </c>
      <c r="C49" s="448" t="s">
        <v>176</v>
      </c>
      <c r="D49" s="448" t="s">
        <v>177</v>
      </c>
      <c r="E49" s="448" t="s">
        <v>178</v>
      </c>
      <c r="F49" s="448" t="s">
        <v>178</v>
      </c>
      <c r="G49" s="448" t="s">
        <v>179</v>
      </c>
    </row>
    <row r="51" spans="2:7" x14ac:dyDescent="0.3">
      <c r="B51" s="184" t="s">
        <v>180</v>
      </c>
      <c r="C51" s="183"/>
      <c r="D51" s="183"/>
      <c r="E51" s="183"/>
      <c r="F51" s="183"/>
      <c r="G51" s="183"/>
    </row>
  </sheetData>
  <mergeCells count="15">
    <mergeCell ref="B2:G2"/>
    <mergeCell ref="B4:C4"/>
    <mergeCell ref="D4:E4"/>
    <mergeCell ref="F4:G4"/>
    <mergeCell ref="B5:C5"/>
    <mergeCell ref="D5:E5"/>
    <mergeCell ref="F5:G5"/>
    <mergeCell ref="B28:G28"/>
    <mergeCell ref="B36:G36"/>
    <mergeCell ref="B51:G51"/>
    <mergeCell ref="B6:C6"/>
    <mergeCell ref="D6:E6"/>
    <mergeCell ref="F6:G6"/>
    <mergeCell ref="B8:G8"/>
    <mergeCell ref="B16:G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6B72"/>
  </sheetPr>
  <dimension ref="B2:H73"/>
  <sheetViews>
    <sheetView topLeftCell="A58" workbookViewId="0">
      <selection activeCell="B71" sqref="B71:H71"/>
    </sheetView>
  </sheetViews>
  <sheetFormatPr defaultColWidth="22.33203125" defaultRowHeight="14.4" x14ac:dyDescent="0.3"/>
  <cols>
    <col min="1" max="2" width="22.33203125" style="42" customWidth="1"/>
    <col min="3" max="16384" width="22.33203125" style="42"/>
  </cols>
  <sheetData>
    <row r="2" spans="2:8" x14ac:dyDescent="0.3">
      <c r="B2" s="396" t="s">
        <v>181</v>
      </c>
      <c r="C2" s="397"/>
      <c r="D2" s="397"/>
      <c r="E2" s="397"/>
      <c r="F2" s="397"/>
      <c r="G2" s="397"/>
      <c r="H2" s="397"/>
    </row>
    <row r="4" spans="2:8" x14ac:dyDescent="0.3">
      <c r="B4" s="193" t="s">
        <v>182</v>
      </c>
      <c r="C4" s="185"/>
      <c r="D4" s="194" t="s">
        <v>183</v>
      </c>
      <c r="E4" s="190"/>
      <c r="F4" s="195" t="s">
        <v>82</v>
      </c>
      <c r="G4" s="192"/>
    </row>
    <row r="5" spans="2:8" x14ac:dyDescent="0.3">
      <c r="B5" s="196" t="s">
        <v>131</v>
      </c>
      <c r="C5" s="185"/>
      <c r="D5" s="197" t="s">
        <v>143</v>
      </c>
      <c r="E5" s="190"/>
      <c r="F5" s="198" t="s">
        <v>173</v>
      </c>
      <c r="G5" s="192"/>
    </row>
    <row r="6" spans="2:8" x14ac:dyDescent="0.3">
      <c r="B6" s="188" t="s">
        <v>184</v>
      </c>
      <c r="C6" s="185"/>
      <c r="D6" s="189" t="s">
        <v>185</v>
      </c>
      <c r="E6" s="190"/>
      <c r="F6" s="191" t="s">
        <v>186</v>
      </c>
      <c r="G6" s="192"/>
    </row>
    <row r="9" spans="2:8" x14ac:dyDescent="0.3">
      <c r="B9" s="396" t="s">
        <v>104</v>
      </c>
      <c r="C9" s="397"/>
      <c r="D9" s="397"/>
      <c r="E9" s="397"/>
      <c r="F9" s="397"/>
      <c r="G9" s="397"/>
      <c r="H9" s="397"/>
    </row>
    <row r="10" spans="2:8" ht="28.8" customHeight="1" x14ac:dyDescent="0.3">
      <c r="B10" s="398" t="s">
        <v>187</v>
      </c>
      <c r="C10" s="398" t="s">
        <v>91</v>
      </c>
      <c r="D10" s="398" t="s">
        <v>92</v>
      </c>
      <c r="E10" s="398" t="s">
        <v>188</v>
      </c>
      <c r="F10" s="398" t="s">
        <v>189</v>
      </c>
      <c r="G10" s="398" t="s">
        <v>190</v>
      </c>
      <c r="H10" s="398" t="s">
        <v>191</v>
      </c>
    </row>
    <row r="11" spans="2:8" x14ac:dyDescent="0.3">
      <c r="B11" s="401" t="s">
        <v>192</v>
      </c>
      <c r="C11" s="402">
        <v>0</v>
      </c>
      <c r="D11" s="402">
        <v>0</v>
      </c>
      <c r="E11" s="402" t="s">
        <v>101</v>
      </c>
      <c r="F11" s="402" t="s">
        <v>101</v>
      </c>
      <c r="G11" s="402" t="s">
        <v>101</v>
      </c>
      <c r="H11" s="402" t="s">
        <v>101</v>
      </c>
    </row>
    <row r="12" spans="2:8" ht="28.8" customHeight="1" x14ac:dyDescent="0.3">
      <c r="B12" s="401" t="s">
        <v>193</v>
      </c>
      <c r="C12" s="402">
        <v>0</v>
      </c>
      <c r="D12" s="402">
        <v>0</v>
      </c>
      <c r="E12" s="402" t="s">
        <v>101</v>
      </c>
      <c r="F12" s="402" t="s">
        <v>101</v>
      </c>
      <c r="G12" s="402" t="s">
        <v>101</v>
      </c>
      <c r="H12" s="402" t="s">
        <v>101</v>
      </c>
    </row>
    <row r="13" spans="2:8" x14ac:dyDescent="0.3">
      <c r="B13" s="403" t="s">
        <v>106</v>
      </c>
      <c r="C13" s="402">
        <v>41</v>
      </c>
      <c r="D13" s="402" t="s">
        <v>107</v>
      </c>
      <c r="E13" s="402" t="s">
        <v>108</v>
      </c>
      <c r="F13" s="402" t="s">
        <v>108</v>
      </c>
      <c r="G13" s="402" t="s">
        <v>108</v>
      </c>
      <c r="H13" s="402" t="s">
        <v>107</v>
      </c>
    </row>
    <row r="14" spans="2:8" ht="28.8" customHeight="1" x14ac:dyDescent="0.3">
      <c r="B14" s="404" t="s">
        <v>194</v>
      </c>
      <c r="C14" s="405">
        <v>1</v>
      </c>
      <c r="D14" s="405" t="s">
        <v>110</v>
      </c>
      <c r="E14" s="405" t="s">
        <v>111</v>
      </c>
      <c r="F14" s="405" t="s">
        <v>111</v>
      </c>
      <c r="G14" s="405" t="s">
        <v>111</v>
      </c>
      <c r="H14" s="405" t="s">
        <v>112</v>
      </c>
    </row>
    <row r="15" spans="2:8" x14ac:dyDescent="0.3">
      <c r="B15" s="401" t="s">
        <v>195</v>
      </c>
      <c r="C15" s="402">
        <v>0</v>
      </c>
      <c r="D15" s="402">
        <v>0</v>
      </c>
      <c r="E15" s="402" t="s">
        <v>112</v>
      </c>
      <c r="F15" s="402" t="s">
        <v>112</v>
      </c>
      <c r="G15" s="402" t="s">
        <v>112</v>
      </c>
      <c r="H15" s="402" t="s">
        <v>112</v>
      </c>
    </row>
    <row r="16" spans="2:8" ht="28.8" customHeight="1" x14ac:dyDescent="0.3">
      <c r="B16" s="401" t="s">
        <v>119</v>
      </c>
      <c r="C16" s="402">
        <v>17</v>
      </c>
      <c r="D16" s="402" t="s">
        <v>120</v>
      </c>
      <c r="E16" s="402" t="s">
        <v>121</v>
      </c>
      <c r="F16" s="402" t="s">
        <v>121</v>
      </c>
      <c r="G16" s="402" t="s">
        <v>121</v>
      </c>
      <c r="H16" s="402" t="s">
        <v>120</v>
      </c>
    </row>
    <row r="17" spans="2:8" x14ac:dyDescent="0.3">
      <c r="B17" s="401" t="s">
        <v>122</v>
      </c>
      <c r="C17" s="402">
        <v>3</v>
      </c>
      <c r="D17" s="402" t="s">
        <v>123</v>
      </c>
      <c r="E17" s="402" t="s">
        <v>102</v>
      </c>
      <c r="F17" s="402" t="s">
        <v>102</v>
      </c>
      <c r="G17" s="402" t="s">
        <v>102</v>
      </c>
      <c r="H17" s="402" t="s">
        <v>123</v>
      </c>
    </row>
    <row r="18" spans="2:8" x14ac:dyDescent="0.3">
      <c r="B18" s="403" t="s">
        <v>113</v>
      </c>
      <c r="C18" s="402">
        <v>27</v>
      </c>
      <c r="D18" s="402" t="s">
        <v>114</v>
      </c>
      <c r="E18" s="402" t="s">
        <v>115</v>
      </c>
      <c r="F18" s="402" t="s">
        <v>115</v>
      </c>
      <c r="G18" s="402" t="s">
        <v>115</v>
      </c>
      <c r="H18" s="402" t="s">
        <v>114</v>
      </c>
    </row>
    <row r="19" spans="2:8" ht="43.2" customHeight="1" x14ac:dyDescent="0.3">
      <c r="B19" s="404" t="s">
        <v>196</v>
      </c>
      <c r="C19" s="405">
        <v>1</v>
      </c>
      <c r="D19" s="405" t="s">
        <v>117</v>
      </c>
      <c r="E19" s="405" t="s">
        <v>118</v>
      </c>
      <c r="F19" s="405" t="s">
        <v>118</v>
      </c>
      <c r="G19" s="405" t="s">
        <v>118</v>
      </c>
      <c r="H19" s="405" t="s">
        <v>112</v>
      </c>
    </row>
    <row r="20" spans="2:8" ht="28.8" customHeight="1" x14ac:dyDescent="0.3">
      <c r="B20" s="401" t="s">
        <v>197</v>
      </c>
      <c r="C20" s="402">
        <v>0</v>
      </c>
      <c r="D20" s="402">
        <v>0</v>
      </c>
      <c r="E20" s="402" t="s">
        <v>112</v>
      </c>
      <c r="F20" s="402" t="s">
        <v>112</v>
      </c>
      <c r="G20" s="402" t="s">
        <v>112</v>
      </c>
      <c r="H20" s="402" t="s">
        <v>112</v>
      </c>
    </row>
    <row r="21" spans="2:8" ht="28.8" customHeight="1" x14ac:dyDescent="0.3">
      <c r="B21" s="401" t="s">
        <v>198</v>
      </c>
      <c r="C21" s="402">
        <v>0</v>
      </c>
      <c r="D21" s="402">
        <v>0</v>
      </c>
      <c r="E21" s="402" t="s">
        <v>112</v>
      </c>
      <c r="F21" s="402" t="s">
        <v>112</v>
      </c>
      <c r="G21" s="402" t="s">
        <v>112</v>
      </c>
      <c r="H21" s="402" t="s">
        <v>112</v>
      </c>
    </row>
    <row r="22" spans="2:8" x14ac:dyDescent="0.3">
      <c r="B22" s="401" t="s">
        <v>140</v>
      </c>
      <c r="C22" s="402">
        <v>0</v>
      </c>
      <c r="D22" s="402">
        <v>0</v>
      </c>
      <c r="E22" s="402" t="s">
        <v>112</v>
      </c>
      <c r="F22" s="402" t="s">
        <v>112</v>
      </c>
      <c r="G22" s="402" t="s">
        <v>112</v>
      </c>
      <c r="H22" s="402" t="s">
        <v>112</v>
      </c>
    </row>
    <row r="23" spans="2:8" ht="28.8" customHeight="1" x14ac:dyDescent="0.3">
      <c r="B23" s="401" t="s">
        <v>199</v>
      </c>
      <c r="C23" s="402">
        <v>10</v>
      </c>
      <c r="D23" s="402" t="s">
        <v>128</v>
      </c>
      <c r="E23" s="402" t="s">
        <v>102</v>
      </c>
      <c r="F23" s="402" t="s">
        <v>102</v>
      </c>
      <c r="G23" s="402" t="s">
        <v>102</v>
      </c>
      <c r="H23" s="402" t="s">
        <v>128</v>
      </c>
    </row>
    <row r="24" spans="2:8" ht="28.8" customHeight="1" x14ac:dyDescent="0.3">
      <c r="B24" s="401" t="s">
        <v>124</v>
      </c>
      <c r="C24" s="402">
        <v>1</v>
      </c>
      <c r="D24" s="402" t="s">
        <v>125</v>
      </c>
      <c r="E24" s="402" t="s">
        <v>126</v>
      </c>
      <c r="F24" s="402" t="s">
        <v>126</v>
      </c>
      <c r="G24" s="402" t="s">
        <v>126</v>
      </c>
      <c r="H24" s="402" t="s">
        <v>125</v>
      </c>
    </row>
    <row r="25" spans="2:8" ht="28.8" customHeight="1" x14ac:dyDescent="0.3">
      <c r="B25" s="401" t="s">
        <v>200</v>
      </c>
      <c r="C25" s="402">
        <v>0</v>
      </c>
      <c r="D25" s="402">
        <v>0</v>
      </c>
      <c r="E25" s="402" t="s">
        <v>112</v>
      </c>
      <c r="F25" s="402" t="s">
        <v>112</v>
      </c>
      <c r="G25" s="402" t="s">
        <v>112</v>
      </c>
      <c r="H25" s="402" t="s">
        <v>112</v>
      </c>
    </row>
    <row r="26" spans="2:8" x14ac:dyDescent="0.3">
      <c r="B26" s="399" t="s">
        <v>129</v>
      </c>
      <c r="C26" s="400">
        <v>99</v>
      </c>
      <c r="D26" s="400" t="s">
        <v>130</v>
      </c>
      <c r="E26" s="400" t="s">
        <v>131</v>
      </c>
      <c r="F26" s="400" t="s">
        <v>131</v>
      </c>
      <c r="G26" s="400" t="s">
        <v>131</v>
      </c>
      <c r="H26" s="400" t="s">
        <v>130</v>
      </c>
    </row>
    <row r="28" spans="2:8" x14ac:dyDescent="0.3">
      <c r="B28" s="396" t="s">
        <v>132</v>
      </c>
      <c r="C28" s="397"/>
      <c r="D28" s="397"/>
      <c r="E28" s="397"/>
      <c r="F28" s="397"/>
      <c r="G28" s="397"/>
      <c r="H28" s="397"/>
    </row>
    <row r="29" spans="2:8" ht="28.8" customHeight="1" x14ac:dyDescent="0.3">
      <c r="B29" s="406" t="s">
        <v>187</v>
      </c>
      <c r="C29" s="406" t="s">
        <v>91</v>
      </c>
      <c r="D29" s="406" t="s">
        <v>92</v>
      </c>
      <c r="E29" s="406" t="s">
        <v>188</v>
      </c>
      <c r="F29" s="406" t="s">
        <v>189</v>
      </c>
      <c r="G29" s="406" t="s">
        <v>190</v>
      </c>
      <c r="H29" s="406" t="s">
        <v>191</v>
      </c>
    </row>
    <row r="30" spans="2:8" ht="28.8" customHeight="1" x14ac:dyDescent="0.3">
      <c r="B30" s="171" t="s">
        <v>201</v>
      </c>
      <c r="C30" s="172">
        <v>0</v>
      </c>
      <c r="D30" s="172">
        <v>0</v>
      </c>
      <c r="E30" s="172" t="s">
        <v>101</v>
      </c>
      <c r="F30" s="172" t="s">
        <v>101</v>
      </c>
      <c r="G30" s="172" t="s">
        <v>101</v>
      </c>
      <c r="H30" s="172" t="s">
        <v>101</v>
      </c>
    </row>
    <row r="31" spans="2:8" ht="28.8" customHeight="1" x14ac:dyDescent="0.3">
      <c r="B31" s="171" t="s">
        <v>139</v>
      </c>
      <c r="C31" s="172">
        <v>0</v>
      </c>
      <c r="D31" s="172">
        <v>0</v>
      </c>
      <c r="E31" s="172" t="s">
        <v>112</v>
      </c>
      <c r="F31" s="172" t="s">
        <v>112</v>
      </c>
      <c r="G31" s="172" t="s">
        <v>112</v>
      </c>
      <c r="H31" s="172" t="s">
        <v>112</v>
      </c>
    </row>
    <row r="32" spans="2:8" ht="28.8" customHeight="1" x14ac:dyDescent="0.3">
      <c r="B32" s="171" t="s">
        <v>202</v>
      </c>
      <c r="C32" s="172">
        <v>0</v>
      </c>
      <c r="D32" s="172">
        <v>0</v>
      </c>
      <c r="E32" s="172" t="s">
        <v>112</v>
      </c>
      <c r="F32" s="172" t="s">
        <v>112</v>
      </c>
      <c r="G32" s="172" t="s">
        <v>112</v>
      </c>
      <c r="H32" s="172" t="s">
        <v>112</v>
      </c>
    </row>
    <row r="33" spans="2:8" x14ac:dyDescent="0.3">
      <c r="B33" s="171" t="s">
        <v>140</v>
      </c>
      <c r="C33" s="172">
        <v>0</v>
      </c>
      <c r="D33" s="172">
        <v>0</v>
      </c>
      <c r="E33" s="172" t="s">
        <v>112</v>
      </c>
      <c r="F33" s="172" t="s">
        <v>112</v>
      </c>
      <c r="G33" s="172" t="s">
        <v>112</v>
      </c>
      <c r="H33" s="172" t="s">
        <v>112</v>
      </c>
    </row>
    <row r="34" spans="2:8" ht="28.8" customHeight="1" x14ac:dyDescent="0.3">
      <c r="B34" s="175" t="s">
        <v>203</v>
      </c>
      <c r="C34" s="176">
        <v>583</v>
      </c>
      <c r="D34" s="176" t="s">
        <v>134</v>
      </c>
      <c r="E34" s="176" t="s">
        <v>135</v>
      </c>
      <c r="F34" s="176" t="s">
        <v>135</v>
      </c>
      <c r="G34" s="176" t="s">
        <v>135</v>
      </c>
      <c r="H34" s="176" t="s">
        <v>134</v>
      </c>
    </row>
    <row r="35" spans="2:8" ht="28.8" customHeight="1" x14ac:dyDescent="0.3">
      <c r="B35" s="173" t="s">
        <v>204</v>
      </c>
      <c r="C35" s="174">
        <v>31</v>
      </c>
      <c r="D35" s="174" t="s">
        <v>137</v>
      </c>
      <c r="E35" s="174" t="s">
        <v>138</v>
      </c>
      <c r="F35" s="174" t="s">
        <v>138</v>
      </c>
      <c r="G35" s="174" t="s">
        <v>138</v>
      </c>
      <c r="H35" s="174" t="s">
        <v>137</v>
      </c>
    </row>
    <row r="36" spans="2:8" ht="28.8" customHeight="1" x14ac:dyDescent="0.3">
      <c r="B36" s="171" t="s">
        <v>205</v>
      </c>
      <c r="C36" s="172">
        <v>0</v>
      </c>
      <c r="D36" s="172">
        <v>0</v>
      </c>
      <c r="E36" s="172" t="s">
        <v>112</v>
      </c>
      <c r="F36" s="172" t="s">
        <v>112</v>
      </c>
      <c r="G36" s="172" t="s">
        <v>112</v>
      </c>
      <c r="H36" s="172" t="s">
        <v>112</v>
      </c>
    </row>
    <row r="37" spans="2:8" ht="28.8" customHeight="1" x14ac:dyDescent="0.3">
      <c r="B37" s="171" t="s">
        <v>206</v>
      </c>
      <c r="C37" s="172">
        <v>0</v>
      </c>
      <c r="D37" s="172">
        <v>0</v>
      </c>
      <c r="E37" s="172" t="s">
        <v>112</v>
      </c>
      <c r="F37" s="172" t="s">
        <v>112</v>
      </c>
      <c r="G37" s="172" t="s">
        <v>112</v>
      </c>
      <c r="H37" s="172" t="s">
        <v>112</v>
      </c>
    </row>
    <row r="38" spans="2:8" x14ac:dyDescent="0.3">
      <c r="B38" s="407" t="s">
        <v>141</v>
      </c>
      <c r="C38" s="408">
        <v>614</v>
      </c>
      <c r="D38" s="408" t="s">
        <v>142</v>
      </c>
      <c r="E38" s="408" t="s">
        <v>143</v>
      </c>
      <c r="F38" s="408" t="s">
        <v>143</v>
      </c>
      <c r="G38" s="408" t="s">
        <v>143</v>
      </c>
      <c r="H38" s="408" t="s">
        <v>142</v>
      </c>
    </row>
    <row r="40" spans="2:8" x14ac:dyDescent="0.3">
      <c r="B40" s="396" t="s">
        <v>207</v>
      </c>
      <c r="C40" s="397"/>
      <c r="D40" s="397"/>
      <c r="E40" s="397"/>
      <c r="F40" s="397"/>
      <c r="G40" s="397"/>
      <c r="H40" s="397"/>
    </row>
    <row r="41" spans="2:8" ht="28.8" customHeight="1" x14ac:dyDescent="0.3">
      <c r="B41" s="409" t="s">
        <v>187</v>
      </c>
      <c r="C41" s="409" t="s">
        <v>91</v>
      </c>
      <c r="D41" s="409" t="s">
        <v>92</v>
      </c>
      <c r="E41" s="409" t="s">
        <v>188</v>
      </c>
      <c r="F41" s="409" t="s">
        <v>189</v>
      </c>
      <c r="G41" s="409" t="s">
        <v>190</v>
      </c>
      <c r="H41" s="409" t="s">
        <v>191</v>
      </c>
    </row>
    <row r="42" spans="2:8" ht="43.2" customHeight="1" x14ac:dyDescent="0.3">
      <c r="B42" s="171" t="s">
        <v>208</v>
      </c>
      <c r="C42" s="172">
        <v>0</v>
      </c>
      <c r="D42" s="172">
        <v>0</v>
      </c>
      <c r="E42" s="172" t="s">
        <v>101</v>
      </c>
      <c r="F42" s="172" t="s">
        <v>101</v>
      </c>
      <c r="G42" s="172" t="s">
        <v>101</v>
      </c>
      <c r="H42" s="172" t="s">
        <v>101</v>
      </c>
    </row>
    <row r="43" spans="2:8" ht="28.8" customHeight="1" x14ac:dyDescent="0.3">
      <c r="B43" s="171" t="s">
        <v>209</v>
      </c>
      <c r="C43" s="172">
        <v>0</v>
      </c>
      <c r="D43" s="172">
        <v>0</v>
      </c>
      <c r="E43" s="172" t="s">
        <v>112</v>
      </c>
      <c r="F43" s="172" t="s">
        <v>112</v>
      </c>
      <c r="G43" s="172" t="s">
        <v>112</v>
      </c>
      <c r="H43" s="172" t="s">
        <v>112</v>
      </c>
    </row>
    <row r="44" spans="2:8" ht="28.8" customHeight="1" x14ac:dyDescent="0.3">
      <c r="B44" s="171" t="s">
        <v>210</v>
      </c>
      <c r="C44" s="172">
        <v>0</v>
      </c>
      <c r="D44" s="172">
        <v>0</v>
      </c>
      <c r="E44" s="172" t="s">
        <v>112</v>
      </c>
      <c r="F44" s="172" t="s">
        <v>112</v>
      </c>
      <c r="G44" s="172" t="s">
        <v>112</v>
      </c>
      <c r="H44" s="172" t="s">
        <v>112</v>
      </c>
    </row>
    <row r="45" spans="2:8" ht="43.2" customHeight="1" x14ac:dyDescent="0.3">
      <c r="B45" s="177" t="s">
        <v>211</v>
      </c>
      <c r="C45" s="176">
        <v>2</v>
      </c>
      <c r="D45" s="176" t="s">
        <v>212</v>
      </c>
      <c r="E45" s="176" t="s">
        <v>102</v>
      </c>
      <c r="F45" s="176" t="s">
        <v>102</v>
      </c>
      <c r="G45" s="176" t="s">
        <v>102</v>
      </c>
      <c r="H45" s="176" t="s">
        <v>212</v>
      </c>
    </row>
    <row r="46" spans="2:8" x14ac:dyDescent="0.3">
      <c r="B46" s="178" t="s">
        <v>213</v>
      </c>
      <c r="C46" s="179">
        <v>2</v>
      </c>
      <c r="D46" s="179" t="s">
        <v>212</v>
      </c>
      <c r="E46" s="179" t="s">
        <v>102</v>
      </c>
      <c r="F46" s="179" t="s">
        <v>102</v>
      </c>
      <c r="G46" s="179" t="s">
        <v>102</v>
      </c>
      <c r="H46" s="179" t="s">
        <v>212</v>
      </c>
    </row>
    <row r="48" spans="2:8" x14ac:dyDescent="0.3">
      <c r="B48" s="396" t="s">
        <v>144</v>
      </c>
      <c r="C48" s="397"/>
      <c r="D48" s="397"/>
      <c r="E48" s="397"/>
      <c r="F48" s="397"/>
      <c r="G48" s="397"/>
      <c r="H48" s="397"/>
    </row>
    <row r="49" spans="2:8" ht="28.8" customHeight="1" x14ac:dyDescent="0.3">
      <c r="B49" s="410" t="s">
        <v>187</v>
      </c>
      <c r="C49" s="410" t="s">
        <v>91</v>
      </c>
      <c r="D49" s="410" t="s">
        <v>92</v>
      </c>
      <c r="E49" s="410" t="s">
        <v>188</v>
      </c>
      <c r="F49" s="410" t="s">
        <v>189</v>
      </c>
      <c r="G49" s="410" t="s">
        <v>190</v>
      </c>
      <c r="H49" s="410" t="s">
        <v>191</v>
      </c>
    </row>
    <row r="50" spans="2:8" x14ac:dyDescent="0.3">
      <c r="B50" s="401" t="s">
        <v>214</v>
      </c>
      <c r="C50" s="402">
        <v>0</v>
      </c>
      <c r="D50" s="402">
        <v>0</v>
      </c>
      <c r="E50" s="402" t="s">
        <v>101</v>
      </c>
      <c r="F50" s="402" t="s">
        <v>101</v>
      </c>
      <c r="G50" s="402" t="s">
        <v>101</v>
      </c>
      <c r="H50" s="402" t="s">
        <v>101</v>
      </c>
    </row>
    <row r="51" spans="2:8" ht="28.8" customHeight="1" x14ac:dyDescent="0.3">
      <c r="B51" s="401" t="s">
        <v>215</v>
      </c>
      <c r="C51" s="402">
        <v>0</v>
      </c>
      <c r="D51" s="402">
        <v>0</v>
      </c>
      <c r="E51" s="402" t="s">
        <v>112</v>
      </c>
      <c r="F51" s="402" t="s">
        <v>112</v>
      </c>
      <c r="G51" s="402" t="s">
        <v>112</v>
      </c>
      <c r="H51" s="402" t="s">
        <v>112</v>
      </c>
    </row>
    <row r="52" spans="2:8" ht="28.8" customHeight="1" x14ac:dyDescent="0.3">
      <c r="B52" s="401" t="s">
        <v>216</v>
      </c>
      <c r="C52" s="402">
        <v>1</v>
      </c>
      <c r="D52" s="402" t="s">
        <v>217</v>
      </c>
      <c r="E52" s="402" t="s">
        <v>102</v>
      </c>
      <c r="F52" s="402" t="s">
        <v>102</v>
      </c>
      <c r="G52" s="402" t="s">
        <v>102</v>
      </c>
      <c r="H52" s="402" t="s">
        <v>217</v>
      </c>
    </row>
    <row r="53" spans="2:8" ht="28.8" customHeight="1" x14ac:dyDescent="0.3">
      <c r="B53" s="401" t="s">
        <v>218</v>
      </c>
      <c r="C53" s="402">
        <v>0</v>
      </c>
      <c r="D53" s="402">
        <v>0</v>
      </c>
      <c r="E53" s="402" t="s">
        <v>112</v>
      </c>
      <c r="F53" s="402" t="s">
        <v>112</v>
      </c>
      <c r="G53" s="402" t="s">
        <v>112</v>
      </c>
      <c r="H53" s="402" t="s">
        <v>112</v>
      </c>
    </row>
    <row r="54" spans="2:8" ht="28.8" customHeight="1" x14ac:dyDescent="0.3">
      <c r="B54" s="401" t="s">
        <v>219</v>
      </c>
      <c r="C54" s="402">
        <v>0</v>
      </c>
      <c r="D54" s="402">
        <v>0</v>
      </c>
      <c r="E54" s="402" t="s">
        <v>112</v>
      </c>
      <c r="F54" s="402" t="s">
        <v>112</v>
      </c>
      <c r="G54" s="402" t="s">
        <v>112</v>
      </c>
      <c r="H54" s="402" t="s">
        <v>112</v>
      </c>
    </row>
    <row r="55" spans="2:8" ht="28.8" customHeight="1" x14ac:dyDescent="0.3">
      <c r="B55" s="401" t="s">
        <v>220</v>
      </c>
      <c r="C55" s="402">
        <v>0</v>
      </c>
      <c r="D55" s="402">
        <v>0</v>
      </c>
      <c r="E55" s="402" t="s">
        <v>112</v>
      </c>
      <c r="F55" s="402" t="s">
        <v>112</v>
      </c>
      <c r="G55" s="402" t="s">
        <v>112</v>
      </c>
      <c r="H55" s="402" t="s">
        <v>112</v>
      </c>
    </row>
    <row r="56" spans="2:8" ht="28.8" customHeight="1" x14ac:dyDescent="0.3">
      <c r="B56" s="401" t="s">
        <v>221</v>
      </c>
      <c r="C56" s="402">
        <v>1</v>
      </c>
      <c r="D56" s="402" t="s">
        <v>165</v>
      </c>
      <c r="E56" s="402" t="s">
        <v>102</v>
      </c>
      <c r="F56" s="402" t="s">
        <v>102</v>
      </c>
      <c r="G56" s="402" t="s">
        <v>102</v>
      </c>
      <c r="H56" s="402" t="s">
        <v>165</v>
      </c>
    </row>
    <row r="57" spans="2:8" ht="28.8" customHeight="1" x14ac:dyDescent="0.3">
      <c r="B57" s="403" t="s">
        <v>222</v>
      </c>
      <c r="C57" s="402">
        <v>1112355</v>
      </c>
      <c r="D57" s="402" t="s">
        <v>146</v>
      </c>
      <c r="E57" s="402" t="s">
        <v>147</v>
      </c>
      <c r="F57" s="402" t="s">
        <v>147</v>
      </c>
      <c r="G57" s="402" t="s">
        <v>147</v>
      </c>
      <c r="H57" s="402" t="s">
        <v>148</v>
      </c>
    </row>
    <row r="58" spans="2:8" ht="28.8" customHeight="1" x14ac:dyDescent="0.3">
      <c r="B58" s="403" t="s">
        <v>223</v>
      </c>
      <c r="C58" s="402">
        <v>160</v>
      </c>
      <c r="D58" s="402" t="s">
        <v>150</v>
      </c>
      <c r="E58" s="402" t="s">
        <v>151</v>
      </c>
      <c r="F58" s="402" t="s">
        <v>151</v>
      </c>
      <c r="G58" s="402" t="s">
        <v>151</v>
      </c>
      <c r="H58" s="402" t="s">
        <v>150</v>
      </c>
    </row>
    <row r="59" spans="2:8" ht="28.8" customHeight="1" x14ac:dyDescent="0.3">
      <c r="B59" s="401" t="s">
        <v>156</v>
      </c>
      <c r="C59" s="402">
        <v>14956</v>
      </c>
      <c r="D59" s="402" t="s">
        <v>157</v>
      </c>
      <c r="E59" s="402" t="s">
        <v>158</v>
      </c>
      <c r="F59" s="402" t="s">
        <v>158</v>
      </c>
      <c r="G59" s="402" t="s">
        <v>158</v>
      </c>
      <c r="H59" s="402" t="s">
        <v>157</v>
      </c>
    </row>
    <row r="60" spans="2:8" x14ac:dyDescent="0.3">
      <c r="B60" s="401" t="s">
        <v>168</v>
      </c>
      <c r="C60" s="402">
        <v>3</v>
      </c>
      <c r="D60" s="402" t="s">
        <v>169</v>
      </c>
      <c r="E60" s="402" t="s">
        <v>102</v>
      </c>
      <c r="F60" s="402" t="s">
        <v>102</v>
      </c>
      <c r="G60" s="402" t="s">
        <v>102</v>
      </c>
      <c r="H60" s="402" t="s">
        <v>169</v>
      </c>
    </row>
    <row r="61" spans="2:8" x14ac:dyDescent="0.3">
      <c r="B61" s="401" t="s">
        <v>224</v>
      </c>
      <c r="C61" s="402">
        <v>0</v>
      </c>
      <c r="D61" s="402">
        <v>0</v>
      </c>
      <c r="E61" s="402" t="s">
        <v>112</v>
      </c>
      <c r="F61" s="402" t="s">
        <v>112</v>
      </c>
      <c r="G61" s="402" t="s">
        <v>112</v>
      </c>
      <c r="H61" s="402" t="s">
        <v>112</v>
      </c>
    </row>
    <row r="62" spans="2:8" x14ac:dyDescent="0.3">
      <c r="B62" s="401" t="s">
        <v>152</v>
      </c>
      <c r="C62" s="402">
        <v>2536</v>
      </c>
      <c r="D62" s="402" t="s">
        <v>153</v>
      </c>
      <c r="E62" s="402" t="s">
        <v>154</v>
      </c>
      <c r="F62" s="402" t="s">
        <v>154</v>
      </c>
      <c r="G62" s="402" t="s">
        <v>154</v>
      </c>
      <c r="H62" s="402" t="s">
        <v>155</v>
      </c>
    </row>
    <row r="63" spans="2:8" ht="28.8" customHeight="1" x14ac:dyDescent="0.3">
      <c r="B63" s="401" t="s">
        <v>225</v>
      </c>
      <c r="C63" s="402">
        <v>1</v>
      </c>
      <c r="D63" s="402" t="s">
        <v>226</v>
      </c>
      <c r="E63" s="402" t="s">
        <v>102</v>
      </c>
      <c r="F63" s="402" t="s">
        <v>102</v>
      </c>
      <c r="G63" s="402" t="s">
        <v>102</v>
      </c>
      <c r="H63" s="402" t="s">
        <v>226</v>
      </c>
    </row>
    <row r="64" spans="2:8" x14ac:dyDescent="0.3">
      <c r="B64" s="401" t="s">
        <v>227</v>
      </c>
      <c r="C64" s="402">
        <v>114</v>
      </c>
      <c r="D64" s="402" t="s">
        <v>162</v>
      </c>
      <c r="E64" s="402" t="s">
        <v>102</v>
      </c>
      <c r="F64" s="402" t="s">
        <v>102</v>
      </c>
      <c r="G64" s="402" t="s">
        <v>102</v>
      </c>
      <c r="H64" s="402" t="s">
        <v>163</v>
      </c>
    </row>
    <row r="65" spans="2:8" x14ac:dyDescent="0.3">
      <c r="B65" s="401" t="s">
        <v>228</v>
      </c>
      <c r="C65" s="402">
        <v>60</v>
      </c>
      <c r="D65" s="402" t="s">
        <v>160</v>
      </c>
      <c r="E65" s="402" t="s">
        <v>126</v>
      </c>
      <c r="F65" s="402" t="s">
        <v>126</v>
      </c>
      <c r="G65" s="402" t="s">
        <v>126</v>
      </c>
      <c r="H65" s="402" t="s">
        <v>160</v>
      </c>
    </row>
    <row r="66" spans="2:8" ht="28.8" customHeight="1" x14ac:dyDescent="0.3">
      <c r="B66" s="401" t="s">
        <v>229</v>
      </c>
      <c r="C66" s="402">
        <v>10</v>
      </c>
      <c r="D66" s="402" t="s">
        <v>230</v>
      </c>
      <c r="E66" s="402" t="s">
        <v>102</v>
      </c>
      <c r="F66" s="402" t="s">
        <v>102</v>
      </c>
      <c r="G66" s="402" t="s">
        <v>102</v>
      </c>
      <c r="H66" s="402" t="s">
        <v>230</v>
      </c>
    </row>
    <row r="67" spans="2:8" ht="28.8" customHeight="1" x14ac:dyDescent="0.3">
      <c r="B67" s="401" t="s">
        <v>231</v>
      </c>
      <c r="C67" s="402">
        <v>0</v>
      </c>
      <c r="D67" s="402">
        <v>0</v>
      </c>
      <c r="E67" s="402" t="s">
        <v>112</v>
      </c>
      <c r="F67" s="402" t="s">
        <v>112</v>
      </c>
      <c r="G67" s="402" t="s">
        <v>112</v>
      </c>
      <c r="H67" s="402" t="s">
        <v>112</v>
      </c>
    </row>
    <row r="68" spans="2:8" ht="28.8" customHeight="1" x14ac:dyDescent="0.3">
      <c r="B68" s="401" t="s">
        <v>232</v>
      </c>
      <c r="C68" s="402">
        <v>1</v>
      </c>
      <c r="D68" s="402" t="s">
        <v>233</v>
      </c>
      <c r="E68" s="402" t="s">
        <v>102</v>
      </c>
      <c r="F68" s="402" t="s">
        <v>102</v>
      </c>
      <c r="G68" s="402" t="s">
        <v>102</v>
      </c>
      <c r="H68" s="402" t="s">
        <v>233</v>
      </c>
    </row>
    <row r="69" spans="2:8" x14ac:dyDescent="0.3">
      <c r="B69" s="411" t="s">
        <v>234</v>
      </c>
      <c r="C69" s="412" t="s">
        <v>171</v>
      </c>
      <c r="D69" s="412" t="s">
        <v>172</v>
      </c>
      <c r="E69" s="412" t="s">
        <v>173</v>
      </c>
      <c r="F69" s="412" t="s">
        <v>173</v>
      </c>
      <c r="G69" s="412" t="s">
        <v>173</v>
      </c>
      <c r="H69" s="412" t="s">
        <v>174</v>
      </c>
    </row>
    <row r="71" spans="2:8" x14ac:dyDescent="0.3">
      <c r="B71" s="413" t="s">
        <v>235</v>
      </c>
      <c r="C71" s="414" t="s">
        <v>236</v>
      </c>
      <c r="D71" s="414" t="s">
        <v>237</v>
      </c>
      <c r="E71" s="414" t="s">
        <v>238</v>
      </c>
      <c r="F71" s="414" t="s">
        <v>238</v>
      </c>
      <c r="G71" s="414" t="s">
        <v>238</v>
      </c>
      <c r="H71" s="414" t="s">
        <v>239</v>
      </c>
    </row>
    <row r="73" spans="2:8" x14ac:dyDescent="0.3">
      <c r="B73" s="187" t="s">
        <v>240</v>
      </c>
      <c r="C73" s="186"/>
      <c r="D73" s="186"/>
      <c r="E73" s="186"/>
      <c r="F73" s="186"/>
      <c r="G73" s="186"/>
      <c r="H73" s="186"/>
    </row>
  </sheetData>
  <mergeCells count="15">
    <mergeCell ref="B2:H2"/>
    <mergeCell ref="B4:C4"/>
    <mergeCell ref="D4:E4"/>
    <mergeCell ref="F4:G4"/>
    <mergeCell ref="B5:C5"/>
    <mergeCell ref="D5:E5"/>
    <mergeCell ref="F5:G5"/>
    <mergeCell ref="B40:H40"/>
    <mergeCell ref="B48:H48"/>
    <mergeCell ref="B73:H73"/>
    <mergeCell ref="B6:C6"/>
    <mergeCell ref="D6:E6"/>
    <mergeCell ref="F6:G6"/>
    <mergeCell ref="B9:H9"/>
    <mergeCell ref="B28:H2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2:M46"/>
  <sheetViews>
    <sheetView showGridLines="0" topLeftCell="B33" workbookViewId="0">
      <selection activeCell="D2" sqref="D2:J2"/>
    </sheetView>
  </sheetViews>
  <sheetFormatPr defaultColWidth="8.6640625" defaultRowHeight="14.4" x14ac:dyDescent="0.3"/>
  <cols>
    <col min="4" max="4" width="34.77734375" customWidth="1"/>
    <col min="5" max="8" width="6.77734375" customWidth="1"/>
    <col min="9" max="10" width="9.109375" customWidth="1"/>
    <col min="11" max="11" width="7.6640625" customWidth="1"/>
    <col min="12" max="12" width="8" customWidth="1"/>
    <col min="13" max="13" width="7.6640625" customWidth="1"/>
  </cols>
  <sheetData>
    <row r="2" spans="4:13" ht="14.25" customHeight="1" x14ac:dyDescent="0.3">
      <c r="D2" s="387" t="s">
        <v>241</v>
      </c>
      <c r="E2" s="388"/>
      <c r="F2" s="388"/>
      <c r="G2" s="388"/>
      <c r="H2" s="388"/>
      <c r="I2" s="388"/>
      <c r="J2" s="389"/>
      <c r="K2" s="390" t="s">
        <v>242</v>
      </c>
      <c r="L2" s="388"/>
      <c r="M2" s="389"/>
    </row>
    <row r="3" spans="4:13" ht="14.25" customHeight="1" x14ac:dyDescent="0.3">
      <c r="D3" s="391"/>
      <c r="E3" s="392" t="s">
        <v>243</v>
      </c>
      <c r="F3" s="389"/>
      <c r="G3" s="392" t="s">
        <v>244</v>
      </c>
      <c r="H3" s="389"/>
      <c r="I3" s="392" t="s">
        <v>245</v>
      </c>
      <c r="J3" s="389"/>
      <c r="K3" s="393" t="s">
        <v>246</v>
      </c>
      <c r="L3" s="393" t="s">
        <v>247</v>
      </c>
      <c r="M3" s="393" t="s">
        <v>248</v>
      </c>
    </row>
    <row r="4" spans="4:13" ht="14.25" customHeight="1" x14ac:dyDescent="0.3">
      <c r="D4" s="394" t="s">
        <v>249</v>
      </c>
      <c r="E4" s="395">
        <v>45992</v>
      </c>
      <c r="F4" s="395">
        <v>45901</v>
      </c>
      <c r="G4" s="395">
        <v>45992</v>
      </c>
      <c r="H4" s="395">
        <v>45627</v>
      </c>
      <c r="I4" s="395">
        <v>45717</v>
      </c>
      <c r="J4" s="395">
        <v>45352</v>
      </c>
      <c r="K4" s="391"/>
      <c r="L4" s="391"/>
      <c r="M4" s="391"/>
    </row>
    <row r="5" spans="4:13" ht="14.25" customHeight="1" x14ac:dyDescent="0.3">
      <c r="D5" s="359" t="s">
        <v>250</v>
      </c>
      <c r="E5" s="356"/>
      <c r="F5" s="356"/>
      <c r="G5" s="356"/>
      <c r="H5" s="356"/>
      <c r="I5" s="356"/>
      <c r="J5" s="356"/>
      <c r="K5" s="356"/>
      <c r="L5" s="356"/>
      <c r="M5" s="356"/>
    </row>
    <row r="6" spans="4:13" ht="28.5" customHeight="1" x14ac:dyDescent="0.3">
      <c r="D6" s="360" t="s">
        <v>251</v>
      </c>
      <c r="E6" s="361">
        <v>7485</v>
      </c>
      <c r="F6" s="361">
        <v>6260</v>
      </c>
      <c r="G6" s="361">
        <v>13745</v>
      </c>
      <c r="H6" s="361">
        <v>11336</v>
      </c>
      <c r="I6" s="362">
        <v>23668.32</v>
      </c>
      <c r="J6" s="362">
        <v>21293.81</v>
      </c>
      <c r="K6" s="384">
        <f>(E6-F6)/F6</f>
        <v>0.195686900958466</v>
      </c>
      <c r="L6" s="384">
        <f>(G6-H6)/H6</f>
        <v>0.212508821453776</v>
      </c>
      <c r="M6" s="384">
        <f>(I6-J6)/J6</f>
        <v>0.11151174918908401</v>
      </c>
    </row>
    <row r="7" spans="4:13" ht="14.25" customHeight="1" x14ac:dyDescent="0.3">
      <c r="D7" s="360" t="s">
        <v>252</v>
      </c>
      <c r="E7" s="361"/>
      <c r="F7" s="361"/>
      <c r="G7" s="361"/>
      <c r="H7" s="361"/>
      <c r="I7" s="361"/>
      <c r="J7" s="361"/>
      <c r="K7" s="384"/>
      <c r="L7" s="384"/>
      <c r="M7" s="384"/>
    </row>
    <row r="8" spans="4:13" ht="14.25" customHeight="1" x14ac:dyDescent="0.3">
      <c r="D8" s="363" t="s">
        <v>253</v>
      </c>
      <c r="E8" s="364">
        <v>7485</v>
      </c>
      <c r="F8" s="364">
        <v>6260</v>
      </c>
      <c r="G8" s="364">
        <v>13745</v>
      </c>
      <c r="H8" s="364">
        <v>11336</v>
      </c>
      <c r="I8" s="365">
        <v>23668.32</v>
      </c>
      <c r="J8" s="365">
        <v>21293.81</v>
      </c>
      <c r="K8" s="384">
        <f>(E8-F8)/F8</f>
        <v>0.195686900958466</v>
      </c>
      <c r="L8" s="384">
        <f>(G8-H8)/H8</f>
        <v>0.212508821453776</v>
      </c>
      <c r="M8" s="384">
        <f>(I8-J8)/J8</f>
        <v>0.11151174918908401</v>
      </c>
    </row>
    <row r="9" spans="4:13" ht="14.25" customHeight="1" x14ac:dyDescent="0.3">
      <c r="D9" s="359" t="s">
        <v>254</v>
      </c>
      <c r="E9" s="356"/>
      <c r="F9" s="356"/>
      <c r="G9" s="356"/>
      <c r="H9" s="356"/>
      <c r="I9" s="356"/>
      <c r="J9" s="356"/>
      <c r="K9" s="384"/>
      <c r="L9" s="384"/>
      <c r="M9" s="384"/>
    </row>
    <row r="10" spans="4:13" ht="14.25" customHeight="1" x14ac:dyDescent="0.3">
      <c r="D10" s="366" t="s">
        <v>255</v>
      </c>
      <c r="E10" s="367">
        <v>0</v>
      </c>
      <c r="F10" s="367">
        <v>1</v>
      </c>
      <c r="G10" s="367">
        <v>1</v>
      </c>
      <c r="H10" s="367">
        <v>278</v>
      </c>
      <c r="I10" s="368">
        <v>12.42</v>
      </c>
      <c r="J10" s="368">
        <v>20.97</v>
      </c>
      <c r="K10" s="385">
        <f>IF(F10&lt;&gt;0,(E10-F10)/ABS(F10),"")</f>
        <v>-1</v>
      </c>
      <c r="L10" s="385">
        <f>IF(H10&lt;&gt;0,(G10-H10)/ABS(H10),"")</f>
        <v>-0.99640287769784197</v>
      </c>
      <c r="M10" s="384">
        <f>(I10-J10)/J10</f>
        <v>-0.40772532188841198</v>
      </c>
    </row>
    <row r="11" spans="4:13" ht="14.25" customHeight="1" x14ac:dyDescent="0.3">
      <c r="D11" s="366" t="s">
        <v>256</v>
      </c>
      <c r="E11" s="367">
        <v>582</v>
      </c>
      <c r="F11" s="367">
        <v>430</v>
      </c>
      <c r="G11" s="367">
        <v>1012</v>
      </c>
      <c r="H11" s="367">
        <v>113</v>
      </c>
      <c r="I11" s="368">
        <v>197.09</v>
      </c>
      <c r="J11" s="367"/>
      <c r="K11" s="385">
        <f>IF(F11&lt;&gt;0,(E11-F11)/ABS(F11),"")</f>
        <v>0.35348837209302297</v>
      </c>
      <c r="L11" s="385">
        <f>IF(H11&lt;&gt;0,(G11-H11)/ABS(H11),"")</f>
        <v>7.9557522123893802</v>
      </c>
      <c r="M11" s="384"/>
    </row>
    <row r="12" spans="4:13" ht="14.25" customHeight="1" x14ac:dyDescent="0.3">
      <c r="D12" s="366" t="s">
        <v>257</v>
      </c>
      <c r="E12" s="367">
        <v>-53</v>
      </c>
      <c r="F12" s="367">
        <v>100</v>
      </c>
      <c r="G12" s="367">
        <v>47</v>
      </c>
      <c r="H12" s="367">
        <v>140</v>
      </c>
      <c r="I12" s="368">
        <v>81.97</v>
      </c>
      <c r="J12" s="368">
        <v>-66.08</v>
      </c>
      <c r="K12" s="385">
        <f>IF(F12&lt;&gt;0,(E12-F12)/ABS(F12),"")</f>
        <v>-1.53</v>
      </c>
      <c r="L12" s="385">
        <f>IF(H12&lt;&gt;0,(G12-H12)/ABS(H12),"")</f>
        <v>-0.66428571428571404</v>
      </c>
      <c r="M12" s="384">
        <f>(I12-J12)/J12</f>
        <v>-2.2404661016949201</v>
      </c>
    </row>
    <row r="13" spans="4:13" ht="14.25" customHeight="1" x14ac:dyDescent="0.3">
      <c r="D13" s="366" t="s">
        <v>258</v>
      </c>
      <c r="E13" s="356"/>
      <c r="F13" s="356"/>
      <c r="G13" s="356"/>
      <c r="H13" s="356"/>
      <c r="I13" s="356"/>
      <c r="J13" s="356"/>
      <c r="K13" s="356"/>
      <c r="L13" s="356"/>
      <c r="M13" s="384"/>
    </row>
    <row r="14" spans="4:13" ht="14.25" customHeight="1" x14ac:dyDescent="0.3">
      <c r="D14" s="360" t="s">
        <v>259</v>
      </c>
      <c r="E14" s="361">
        <v>442</v>
      </c>
      <c r="F14" s="361">
        <v>401</v>
      </c>
      <c r="G14" s="361">
        <v>843</v>
      </c>
      <c r="H14" s="361">
        <v>847</v>
      </c>
      <c r="I14" s="362">
        <v>1781.44</v>
      </c>
      <c r="J14" s="362">
        <v>1619.44</v>
      </c>
      <c r="K14" s="384">
        <f>(E10-F10)/F10</f>
        <v>-1</v>
      </c>
      <c r="L14" s="384">
        <f>(G10-H10)/H10</f>
        <v>-0.99640287769784197</v>
      </c>
      <c r="M14" s="384">
        <f>(I14-J14)/J14</f>
        <v>0.10003457985476499</v>
      </c>
    </row>
    <row r="15" spans="4:13" ht="14.25" customHeight="1" x14ac:dyDescent="0.3">
      <c r="D15" s="369" t="s">
        <v>260</v>
      </c>
      <c r="E15" s="367">
        <v>103</v>
      </c>
      <c r="F15" s="367">
        <v>106</v>
      </c>
      <c r="G15" s="367">
        <v>209</v>
      </c>
      <c r="H15" s="367">
        <v>176</v>
      </c>
      <c r="I15" s="368">
        <v>372.78</v>
      </c>
      <c r="J15" s="368">
        <v>337.05</v>
      </c>
      <c r="K15" s="385">
        <f>IF(F15&lt;&gt;0,(E15-F15)/ABS(F15),"")</f>
        <v>-2.83018867924528E-2</v>
      </c>
      <c r="L15" s="385">
        <f>IF(H15&lt;&gt;0,(G15-H15)/ABS(H15),"")</f>
        <v>0.1875</v>
      </c>
      <c r="M15" s="384">
        <f>(I15-J15)/J15</f>
        <v>0.106008010680908</v>
      </c>
    </row>
    <row r="16" spans="4:13" ht="14.25" customHeight="1" x14ac:dyDescent="0.3">
      <c r="D16" s="366" t="s">
        <v>261</v>
      </c>
      <c r="E16" s="356"/>
      <c r="F16" s="356"/>
      <c r="G16" s="356"/>
      <c r="H16" s="356"/>
      <c r="I16" s="356"/>
      <c r="J16" s="356"/>
      <c r="K16" s="356"/>
      <c r="L16" s="356"/>
      <c r="M16" s="384"/>
    </row>
    <row r="17" spans="4:13" ht="14.25" customHeight="1" x14ac:dyDescent="0.3">
      <c r="D17" s="366" t="s">
        <v>262</v>
      </c>
      <c r="E17" s="367">
        <v>0</v>
      </c>
      <c r="F17" s="367">
        <v>0</v>
      </c>
      <c r="G17" s="367">
        <v>0</v>
      </c>
      <c r="H17" s="367">
        <v>0</v>
      </c>
      <c r="I17" s="367"/>
      <c r="J17" s="368">
        <v>329.52</v>
      </c>
      <c r="K17" s="385" t="str">
        <f>IF(F17&lt;&gt;0,(E17-F17)/ABS(F17),"")</f>
        <v/>
      </c>
      <c r="L17" s="385" t="str">
        <f>IF(H17&lt;&gt;0,(G17-H17)/ABS(H17),"")</f>
        <v/>
      </c>
      <c r="M17" s="384">
        <f>(I17-J17)/J17</f>
        <v>-1</v>
      </c>
    </row>
    <row r="18" spans="4:13" ht="14.25" customHeight="1" x14ac:dyDescent="0.3">
      <c r="D18" s="366" t="s">
        <v>263</v>
      </c>
      <c r="E18" s="356"/>
      <c r="F18" s="356"/>
      <c r="G18" s="356"/>
      <c r="H18" s="356"/>
      <c r="I18" s="356"/>
      <c r="J18" s="356"/>
      <c r="K18" s="356"/>
      <c r="L18" s="356"/>
      <c r="M18" s="384"/>
    </row>
    <row r="19" spans="4:13" ht="14.25" customHeight="1" x14ac:dyDescent="0.3">
      <c r="D19" s="366" t="s">
        <v>264</v>
      </c>
      <c r="E19" s="356"/>
      <c r="F19" s="356"/>
      <c r="G19" s="356"/>
      <c r="H19" s="356"/>
      <c r="I19" s="356"/>
      <c r="J19" s="356"/>
      <c r="K19" s="356"/>
      <c r="L19" s="356"/>
      <c r="M19" s="384"/>
    </row>
    <row r="20" spans="4:13" ht="14.25" customHeight="1" x14ac:dyDescent="0.3">
      <c r="D20" s="366" t="s">
        <v>265</v>
      </c>
      <c r="E20" s="356"/>
      <c r="F20" s="356"/>
      <c r="G20" s="356"/>
      <c r="H20" s="356"/>
      <c r="I20" s="356"/>
      <c r="J20" s="356"/>
      <c r="K20" s="356"/>
      <c r="L20" s="356"/>
      <c r="M20" s="384"/>
    </row>
    <row r="21" spans="4:13" ht="14.25" customHeight="1" x14ac:dyDescent="0.3">
      <c r="D21" s="360" t="s">
        <v>266</v>
      </c>
      <c r="E21" s="361">
        <v>4365</v>
      </c>
      <c r="F21" s="361">
        <v>3322</v>
      </c>
      <c r="G21" s="361">
        <v>7687</v>
      </c>
      <c r="H21" s="361">
        <v>6106</v>
      </c>
      <c r="I21" s="362">
        <v>13337.54</v>
      </c>
      <c r="J21" s="362">
        <v>12034.76</v>
      </c>
      <c r="K21" s="385">
        <f>IF(F21&lt;&gt;0,(E21-F21)/ABS(F21),"")</f>
        <v>0.31396748946417802</v>
      </c>
      <c r="L21" s="385">
        <f>IF(H21&lt;&gt;0,(G21-H21)/ABS(H21),"")</f>
        <v>0.258925646904684</v>
      </c>
      <c r="M21" s="384">
        <f>(I21-J21)/J21</f>
        <v>0.108251431686216</v>
      </c>
    </row>
    <row r="22" spans="4:13" ht="14.25" customHeight="1" x14ac:dyDescent="0.3">
      <c r="D22" s="360" t="s">
        <v>267</v>
      </c>
      <c r="E22" s="361">
        <v>34</v>
      </c>
      <c r="F22" s="361">
        <v>7</v>
      </c>
      <c r="G22" s="361">
        <v>41</v>
      </c>
      <c r="H22" s="361">
        <v>89</v>
      </c>
      <c r="I22" s="362">
        <v>177.65</v>
      </c>
      <c r="J22" s="362">
        <v>78.239999999999995</v>
      </c>
      <c r="K22" s="385">
        <f>IF(F22&lt;&gt;0,(E22-F22)/ABS(F22),"")</f>
        <v>3.8571428571428599</v>
      </c>
      <c r="L22" s="385">
        <f>IF(H22&lt;&gt;0,(G22-H22)/ABS(H22),"")</f>
        <v>-0.53932584269662898</v>
      </c>
      <c r="M22" s="384">
        <f>(I22-J22)/J22</f>
        <v>1.2705777096114499</v>
      </c>
    </row>
    <row r="23" spans="4:13" ht="14.25" customHeight="1" x14ac:dyDescent="0.3">
      <c r="D23" s="363" t="s">
        <v>268</v>
      </c>
      <c r="E23" s="364">
        <v>4944</v>
      </c>
      <c r="F23" s="364">
        <v>3836</v>
      </c>
      <c r="G23" s="364">
        <v>8780</v>
      </c>
      <c r="H23" s="364">
        <v>7218</v>
      </c>
      <c r="I23" s="365">
        <v>15960.89</v>
      </c>
      <c r="J23" s="365">
        <v>14353.88</v>
      </c>
      <c r="K23" s="385">
        <f>IF(F23&lt;&gt;0,(E23-F23)/ABS(F23),"")</f>
        <v>0.28884254431699702</v>
      </c>
      <c r="L23" s="385">
        <f>IF(H23&lt;&gt;0,(G23-H23)/ABS(H23),"")</f>
        <v>0.21640343585480701</v>
      </c>
      <c r="M23" s="384">
        <f>(I23-J23)/J23</f>
        <v>0.111956488419856</v>
      </c>
    </row>
    <row r="24" spans="4:13" ht="14.25" customHeight="1" x14ac:dyDescent="0.3">
      <c r="D24" s="359" t="s">
        <v>269</v>
      </c>
      <c r="E24" s="356"/>
      <c r="F24" s="356"/>
      <c r="G24" s="356"/>
      <c r="H24" s="356"/>
      <c r="I24" s="356"/>
      <c r="J24" s="356"/>
      <c r="K24" s="384"/>
      <c r="L24" s="384"/>
      <c r="M24" s="384"/>
    </row>
    <row r="25" spans="4:13" ht="14.25" customHeight="1" x14ac:dyDescent="0.3">
      <c r="D25" s="370" t="s">
        <v>270</v>
      </c>
      <c r="E25" s="371">
        <v>2503</v>
      </c>
      <c r="F25" s="371">
        <v>2384</v>
      </c>
      <c r="G25" s="371">
        <v>4887</v>
      </c>
      <c r="H25" s="371">
        <v>4583</v>
      </c>
      <c r="I25" s="372">
        <v>8257.86</v>
      </c>
      <c r="J25" s="372">
        <v>7355.2</v>
      </c>
      <c r="K25" s="385">
        <f>IF(AND(F25&lt;&gt;0,ISNUMBER(F25)),(E25-F25)/ABS(F25),"")</f>
        <v>4.9916107382550298E-2</v>
      </c>
      <c r="L25" s="385">
        <f>IF(AND(H25&lt;&gt;0,ISNUMBER(H25)),(G25-H25)/ABS(H25),"")</f>
        <v>6.6332096879773095E-2</v>
      </c>
      <c r="M25" s="384">
        <f t="shared" ref="M25:M34" si="0">(I25-J25)/J25</f>
        <v>0.122724059169023</v>
      </c>
    </row>
    <row r="26" spans="4:13" ht="22.5" customHeight="1" x14ac:dyDescent="0.3">
      <c r="D26" s="366" t="s">
        <v>271</v>
      </c>
      <c r="E26" s="367">
        <v>2044</v>
      </c>
      <c r="F26" s="367">
        <v>1897</v>
      </c>
      <c r="G26" s="367">
        <v>3941</v>
      </c>
      <c r="H26" s="367">
        <v>3672</v>
      </c>
      <c r="I26" s="368">
        <v>7885.08</v>
      </c>
      <c r="J26" s="368">
        <v>7018.15</v>
      </c>
      <c r="K26" s="385">
        <f t="shared" ref="K26:K34" si="1">IF(F26&lt;&gt;0,(E26-F26)/ABS(F26),"")</f>
        <v>7.7490774907749096E-2</v>
      </c>
      <c r="L26" s="385">
        <f t="shared" ref="L26:L34" si="2">IF(H26&lt;&gt;0,(G26-H26)/ABS(H26),"")</f>
        <v>7.3257080610021799E-2</v>
      </c>
      <c r="M26" s="384">
        <f t="shared" si="0"/>
        <v>0.123526855367868</v>
      </c>
    </row>
    <row r="27" spans="4:13" ht="14.25" customHeight="1" x14ac:dyDescent="0.3">
      <c r="D27" s="366" t="s">
        <v>272</v>
      </c>
      <c r="E27" s="367">
        <v>356</v>
      </c>
      <c r="F27" s="367">
        <v>381</v>
      </c>
      <c r="G27" s="367">
        <v>737</v>
      </c>
      <c r="H27" s="367">
        <v>734</v>
      </c>
      <c r="I27" s="368">
        <v>1590.24</v>
      </c>
      <c r="J27" s="368">
        <v>1355.54</v>
      </c>
      <c r="K27" s="385">
        <f t="shared" si="1"/>
        <v>-6.5616797900262494E-2</v>
      </c>
      <c r="L27" s="385">
        <f t="shared" si="2"/>
        <v>4.0871934604904602E-3</v>
      </c>
      <c r="M27" s="384">
        <f t="shared" si="0"/>
        <v>0.173141331130029</v>
      </c>
    </row>
    <row r="28" spans="4:13" ht="28.5" customHeight="1" x14ac:dyDescent="0.3">
      <c r="D28" s="370" t="s">
        <v>273</v>
      </c>
      <c r="E28" s="371">
        <v>2400</v>
      </c>
      <c r="F28" s="371">
        <v>2278</v>
      </c>
      <c r="G28" s="371">
        <v>4678</v>
      </c>
      <c r="H28" s="371">
        <v>4407</v>
      </c>
      <c r="I28" s="372">
        <v>9475.32</v>
      </c>
      <c r="J28" s="372">
        <v>8373.69</v>
      </c>
      <c r="K28" s="385">
        <f t="shared" si="1"/>
        <v>5.3555750658472297E-2</v>
      </c>
      <c r="L28" s="385">
        <f t="shared" si="2"/>
        <v>6.1493079192194197E-2</v>
      </c>
      <c r="M28" s="384">
        <f t="shared" si="0"/>
        <v>0.13155848855164201</v>
      </c>
    </row>
    <row r="29" spans="4:13" ht="14.25" customHeight="1" x14ac:dyDescent="0.3">
      <c r="D29" s="366" t="s">
        <v>274</v>
      </c>
      <c r="E29" s="367">
        <v>34</v>
      </c>
      <c r="F29" s="367">
        <v>7</v>
      </c>
      <c r="G29" s="367">
        <v>41</v>
      </c>
      <c r="H29" s="367">
        <v>89</v>
      </c>
      <c r="I29" s="368">
        <v>177.65</v>
      </c>
      <c r="J29" s="368">
        <v>78.239999999999995</v>
      </c>
      <c r="K29" s="385">
        <f t="shared" si="1"/>
        <v>3.8571428571428599</v>
      </c>
      <c r="L29" s="385">
        <f t="shared" si="2"/>
        <v>-0.53932584269662898</v>
      </c>
      <c r="M29" s="384">
        <f t="shared" si="0"/>
        <v>1.2705777096114499</v>
      </c>
    </row>
    <row r="30" spans="4:13" ht="28.5" customHeight="1" x14ac:dyDescent="0.3">
      <c r="D30" s="360" t="s">
        <v>275</v>
      </c>
      <c r="E30" s="361">
        <v>2365</v>
      </c>
      <c r="F30" s="361">
        <v>2270</v>
      </c>
      <c r="G30" s="361">
        <v>4635</v>
      </c>
      <c r="H30" s="361">
        <v>4317</v>
      </c>
      <c r="I30" s="362">
        <v>9297.67</v>
      </c>
      <c r="J30" s="362">
        <v>8295.4500000000007</v>
      </c>
      <c r="K30" s="385">
        <f t="shared" si="1"/>
        <v>4.1850220264317201E-2</v>
      </c>
      <c r="L30" s="385">
        <f t="shared" si="2"/>
        <v>7.3662265462126494E-2</v>
      </c>
      <c r="M30" s="384">
        <f t="shared" si="0"/>
        <v>0.12081562784418</v>
      </c>
    </row>
    <row r="31" spans="4:13" ht="14.25" customHeight="1" x14ac:dyDescent="0.3">
      <c r="D31" s="360" t="s">
        <v>276</v>
      </c>
      <c r="E31" s="361">
        <v>0</v>
      </c>
      <c r="F31" s="361">
        <v>0</v>
      </c>
      <c r="G31" s="361">
        <v>0</v>
      </c>
      <c r="H31" s="361">
        <v>0</v>
      </c>
      <c r="I31" s="361"/>
      <c r="J31" s="362">
        <v>-282.14999999999998</v>
      </c>
      <c r="K31" s="385" t="str">
        <f t="shared" si="1"/>
        <v/>
      </c>
      <c r="L31" s="385" t="str">
        <f t="shared" si="2"/>
        <v/>
      </c>
      <c r="M31" s="384">
        <f t="shared" si="0"/>
        <v>-1</v>
      </c>
    </row>
    <row r="32" spans="4:13" ht="14.25" customHeight="1" x14ac:dyDescent="0.3">
      <c r="D32" s="363" t="s">
        <v>277</v>
      </c>
      <c r="E32" s="364">
        <v>2365</v>
      </c>
      <c r="F32" s="364">
        <v>2270</v>
      </c>
      <c r="G32" s="364">
        <v>4635</v>
      </c>
      <c r="H32" s="364">
        <v>4317</v>
      </c>
      <c r="I32" s="365">
        <v>9297.67</v>
      </c>
      <c r="J32" s="365">
        <v>8013.3</v>
      </c>
      <c r="K32" s="385">
        <f t="shared" si="1"/>
        <v>4.1850220264317201E-2</v>
      </c>
      <c r="L32" s="385">
        <f t="shared" si="2"/>
        <v>7.3662265462126494E-2</v>
      </c>
      <c r="M32" s="384">
        <f t="shared" si="0"/>
        <v>0.160279784857674</v>
      </c>
    </row>
    <row r="33" spans="4:13" ht="14.25" customHeight="1" x14ac:dyDescent="0.3">
      <c r="D33" s="360" t="s">
        <v>278</v>
      </c>
      <c r="E33" s="361">
        <v>627</v>
      </c>
      <c r="F33" s="361">
        <v>576</v>
      </c>
      <c r="G33" s="361">
        <v>1203</v>
      </c>
      <c r="H33" s="361">
        <v>1104</v>
      </c>
      <c r="I33" s="362">
        <v>2604.14</v>
      </c>
      <c r="J33" s="362">
        <v>2380.42</v>
      </c>
      <c r="K33" s="385">
        <f t="shared" si="1"/>
        <v>8.8541666666666699E-2</v>
      </c>
      <c r="L33" s="385">
        <f t="shared" si="2"/>
        <v>8.9673913043478298E-2</v>
      </c>
      <c r="M33" s="384">
        <f t="shared" si="0"/>
        <v>9.3983414691524894E-2</v>
      </c>
    </row>
    <row r="34" spans="4:13" ht="28.5" customHeight="1" x14ac:dyDescent="0.3">
      <c r="D34" s="363" t="s">
        <v>279</v>
      </c>
      <c r="E34" s="364">
        <v>1738</v>
      </c>
      <c r="F34" s="364">
        <v>1694</v>
      </c>
      <c r="G34" s="364">
        <v>3432</v>
      </c>
      <c r="H34" s="364">
        <v>3212</v>
      </c>
      <c r="I34" s="365">
        <v>6693.53</v>
      </c>
      <c r="J34" s="365">
        <v>5632.88</v>
      </c>
      <c r="K34" s="385">
        <f t="shared" si="1"/>
        <v>2.5974025974026E-2</v>
      </c>
      <c r="L34" s="385">
        <f t="shared" si="2"/>
        <v>6.8493150684931503E-2</v>
      </c>
      <c r="M34" s="384">
        <f t="shared" si="0"/>
        <v>0.188296217920495</v>
      </c>
    </row>
    <row r="35" spans="4:13" ht="14.25" customHeight="1" x14ac:dyDescent="0.3">
      <c r="D35" s="366" t="s">
        <v>280</v>
      </c>
      <c r="E35" s="356"/>
      <c r="F35" s="356"/>
      <c r="G35" s="356"/>
      <c r="H35" s="356"/>
      <c r="I35" s="356"/>
      <c r="J35" s="356"/>
      <c r="K35" s="356"/>
      <c r="L35" s="356"/>
      <c r="M35" s="384"/>
    </row>
    <row r="36" spans="4:13" ht="14.25" customHeight="1" x14ac:dyDescent="0.3">
      <c r="D36" s="366" t="s">
        <v>281</v>
      </c>
      <c r="E36" s="367">
        <v>0</v>
      </c>
      <c r="F36" s="367">
        <v>0</v>
      </c>
      <c r="G36" s="367">
        <v>0</v>
      </c>
      <c r="H36" s="367">
        <v>0</v>
      </c>
      <c r="I36" s="368">
        <v>-0.93</v>
      </c>
      <c r="J36" s="368">
        <v>-0.99</v>
      </c>
      <c r="K36" s="356"/>
      <c r="L36" s="356"/>
      <c r="M36" s="384">
        <f>(I36-J36)/J36</f>
        <v>-6.0606060606060497E-2</v>
      </c>
    </row>
    <row r="37" spans="4:13" ht="14.25" customHeight="1" x14ac:dyDescent="0.3">
      <c r="D37" s="366" t="s">
        <v>282</v>
      </c>
      <c r="E37" s="367">
        <v>1738</v>
      </c>
      <c r="F37" s="367">
        <v>1694</v>
      </c>
      <c r="G37" s="367">
        <v>3432</v>
      </c>
      <c r="H37" s="367">
        <v>3212</v>
      </c>
      <c r="I37" s="368">
        <v>6692.6</v>
      </c>
      <c r="J37" s="368">
        <v>5631.89</v>
      </c>
      <c r="K37" s="385">
        <f>IF(F37&lt;&gt;0,(E37-F37)/ABS(F37),"")</f>
        <v>2.5974025974026E-2</v>
      </c>
      <c r="L37" s="385">
        <f>IF(H37&lt;&gt;0,(G37-H37)/ABS(H37),"")</f>
        <v>6.8493150684931503E-2</v>
      </c>
      <c r="M37" s="384">
        <f>(I37-J37)/J37</f>
        <v>0.18833997112869699</v>
      </c>
    </row>
    <row r="38" spans="4:13" ht="14.25" customHeight="1" x14ac:dyDescent="0.3">
      <c r="D38" s="359" t="s">
        <v>283</v>
      </c>
      <c r="E38" s="356"/>
      <c r="F38" s="356"/>
      <c r="G38" s="356"/>
      <c r="H38" s="356"/>
      <c r="I38" s="356"/>
      <c r="J38" s="356"/>
      <c r="K38" s="384"/>
      <c r="L38" s="384"/>
      <c r="M38" s="384"/>
    </row>
    <row r="39" spans="4:13" ht="28.5" customHeight="1" x14ac:dyDescent="0.3">
      <c r="D39" s="360" t="s">
        <v>284</v>
      </c>
      <c r="E39" s="373">
        <v>1.98</v>
      </c>
      <c r="F39" s="373">
        <v>1.93</v>
      </c>
      <c r="G39" s="373">
        <v>3.9</v>
      </c>
      <c r="H39" s="373">
        <v>3.65</v>
      </c>
      <c r="I39" s="362">
        <v>7.61</v>
      </c>
      <c r="J39" s="362">
        <v>19.22</v>
      </c>
      <c r="K39" s="385">
        <f>IF(AND(F39&lt;&gt;0,ISNUMBER(F39)),(E39-F39)/ABS(F39),"")</f>
        <v>2.5906735751295401E-2</v>
      </c>
      <c r="L39" s="385">
        <f>IF(AND(H39&lt;&gt;0,ISNUMBER(H39)),(G39-H39)/ABS(H39),"")</f>
        <v>6.8493150684931503E-2</v>
      </c>
      <c r="M39" s="384">
        <f>(I39-J39)/J39</f>
        <v>-0.60405827263267398</v>
      </c>
    </row>
    <row r="40" spans="4:13" ht="28.5" customHeight="1" x14ac:dyDescent="0.3">
      <c r="D40" s="360" t="s">
        <v>285</v>
      </c>
      <c r="E40" s="373">
        <v>1.98</v>
      </c>
      <c r="F40" s="373">
        <v>1.93</v>
      </c>
      <c r="G40" s="373">
        <v>3.9</v>
      </c>
      <c r="H40" s="373">
        <v>3.65</v>
      </c>
      <c r="I40" s="362">
        <v>7.61</v>
      </c>
      <c r="J40" s="362">
        <v>19.22</v>
      </c>
      <c r="K40" s="385">
        <f>IF(F40&lt;&gt;0,(E40-F40)/ABS(F40),"")</f>
        <v>2.5906735751295401E-2</v>
      </c>
      <c r="L40" s="385">
        <f>IF(H40&lt;&gt;0,(G40-H40)/ABS(H40),"")</f>
        <v>6.8493150684931503E-2</v>
      </c>
      <c r="M40" s="384">
        <f>(I40-J40)/J40</f>
        <v>-0.60405827263267398</v>
      </c>
    </row>
    <row r="41" spans="4:13" ht="14.25" customHeight="1" x14ac:dyDescent="0.3">
      <c r="D41" s="366" t="s">
        <v>286</v>
      </c>
      <c r="E41" s="374">
        <v>1.98</v>
      </c>
      <c r="F41" s="374">
        <v>1.93</v>
      </c>
      <c r="G41" s="374">
        <v>3.9</v>
      </c>
      <c r="H41" s="374">
        <v>3.65</v>
      </c>
      <c r="I41" s="368">
        <v>7.61</v>
      </c>
      <c r="J41" s="368">
        <v>19.22</v>
      </c>
      <c r="K41" s="385">
        <f>IF(F41&lt;&gt;0,(E41-F41)/ABS(F41),"")</f>
        <v>2.5906735751295401E-2</v>
      </c>
      <c r="L41" s="385">
        <f>IF(H41&lt;&gt;0,(G41-H41)/ABS(H41),"")</f>
        <v>6.8493150684931503E-2</v>
      </c>
      <c r="M41" s="384">
        <f>(I41-J41)/J41</f>
        <v>-0.60405827263267398</v>
      </c>
    </row>
    <row r="42" spans="4:13" ht="14.25" customHeight="1" x14ac:dyDescent="0.3">
      <c r="D42" s="366" t="s">
        <v>287</v>
      </c>
      <c r="E42" s="374">
        <v>1.98</v>
      </c>
      <c r="F42" s="374">
        <v>1.93</v>
      </c>
      <c r="G42" s="374">
        <v>3.9</v>
      </c>
      <c r="H42" s="374">
        <v>3.65</v>
      </c>
      <c r="I42" s="368">
        <v>7.61</v>
      </c>
      <c r="J42" s="368">
        <v>19.22</v>
      </c>
      <c r="K42" s="385">
        <f>IF(F42&lt;&gt;0,(E42-F42)/ABS(F42),"")</f>
        <v>2.5906735751295401E-2</v>
      </c>
      <c r="L42" s="385">
        <f>IF(H42&lt;&gt;0,(G42-H42)/ABS(H42),"")</f>
        <v>6.8493150684931503E-2</v>
      </c>
      <c r="M42" s="384">
        <f>(I42-J42)/J42</f>
        <v>-0.60405827263267398</v>
      </c>
    </row>
    <row r="43" spans="4:13" ht="14.25" customHeight="1" x14ac:dyDescent="0.3">
      <c r="D43" s="359" t="s">
        <v>288</v>
      </c>
      <c r="E43" s="356"/>
      <c r="F43" s="356"/>
      <c r="G43" s="356"/>
      <c r="H43" s="356"/>
      <c r="I43" s="356"/>
      <c r="J43" s="356"/>
      <c r="K43" s="385">
        <f>IF(F41&lt;&gt;0,(E41-F41)/ABS(F41),"")</f>
        <v>2.5906735751295401E-2</v>
      </c>
      <c r="L43" s="385">
        <f>IF(H41&lt;&gt;0,(G41-H41)/ABS(H41),"")</f>
        <v>6.8493150684931503E-2</v>
      </c>
      <c r="M43" s="384"/>
    </row>
    <row r="44" spans="4:13" ht="28.5" customHeight="1" x14ac:dyDescent="0.3">
      <c r="D44" s="360" t="s">
        <v>289</v>
      </c>
      <c r="E44" s="361">
        <v>879</v>
      </c>
      <c r="F44" s="361">
        <v>879</v>
      </c>
      <c r="G44" s="361">
        <v>879</v>
      </c>
      <c r="H44" s="361">
        <v>879</v>
      </c>
      <c r="I44" s="362">
        <v>879.18</v>
      </c>
      <c r="J44" s="362">
        <v>293.07</v>
      </c>
      <c r="K44" s="384">
        <f>(E27-F27)/F27</f>
        <v>-6.5616797900262494E-2</v>
      </c>
      <c r="L44" s="384">
        <f>(G27-H27)/H27</f>
        <v>4.0871934604904602E-3</v>
      </c>
      <c r="M44" s="384">
        <f>(I44-J44)/J44</f>
        <v>1.99989763537721</v>
      </c>
    </row>
    <row r="45" spans="4:13" ht="28.5" customHeight="1" x14ac:dyDescent="0.3">
      <c r="D45" s="360" t="s">
        <v>290</v>
      </c>
      <c r="E45" s="376"/>
      <c r="F45" s="376"/>
      <c r="G45" s="376"/>
      <c r="H45" s="376"/>
      <c r="I45" s="362">
        <v>28700</v>
      </c>
      <c r="J45" s="362">
        <v>25112.71</v>
      </c>
      <c r="K45" s="384"/>
      <c r="L45" s="384"/>
      <c r="M45" s="384">
        <f>(I45-J45)/J45</f>
        <v>0.142847585943532</v>
      </c>
    </row>
    <row r="46" spans="4:13" ht="14.25" customHeight="1" x14ac:dyDescent="0.3">
      <c r="D46" s="366" t="s">
        <v>291</v>
      </c>
      <c r="E46" s="356"/>
      <c r="F46" s="356"/>
      <c r="G46" s="356"/>
      <c r="H46" s="356"/>
      <c r="I46" s="386">
        <v>330</v>
      </c>
      <c r="J46" s="386">
        <v>725</v>
      </c>
      <c r="K46" s="356"/>
      <c r="L46" s="356"/>
      <c r="M46" s="384">
        <f>(I46-J46)/J46</f>
        <v>-0.54482758620689697</v>
      </c>
    </row>
  </sheetData>
  <mergeCells count="5">
    <mergeCell ref="D2:J2"/>
    <mergeCell ref="K2:M2"/>
    <mergeCell ref="E3:F3"/>
    <mergeCell ref="G3:H3"/>
    <mergeCell ref="I3:J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2:M51"/>
  <sheetViews>
    <sheetView showGridLines="0" workbookViewId="0">
      <selection activeCell="K2" sqref="K2:M3"/>
    </sheetView>
  </sheetViews>
  <sheetFormatPr defaultColWidth="8.6640625" defaultRowHeight="14.4" x14ac:dyDescent="0.3"/>
  <cols>
    <col min="4" max="4" width="27.33203125" customWidth="1"/>
    <col min="5" max="6" width="9.109375" customWidth="1"/>
    <col min="7" max="7" width="8.109375" customWidth="1"/>
    <col min="8" max="9" width="9.109375" customWidth="1"/>
    <col min="11" max="11" width="7.6640625" customWidth="1"/>
    <col min="12" max="12" width="9.6640625" customWidth="1"/>
  </cols>
  <sheetData>
    <row r="2" spans="4:13" ht="14.25" customHeight="1" x14ac:dyDescent="0.3">
      <c r="D2" s="377" t="s">
        <v>292</v>
      </c>
      <c r="E2" s="378"/>
      <c r="F2" s="378"/>
      <c r="G2" s="378"/>
      <c r="H2" s="378"/>
      <c r="I2" s="379"/>
      <c r="K2" s="382" t="s">
        <v>242</v>
      </c>
      <c r="L2" s="342"/>
      <c r="M2" s="343"/>
    </row>
    <row r="3" spans="4:13" ht="14.25" customHeight="1" x14ac:dyDescent="0.3">
      <c r="D3" s="380"/>
      <c r="E3" s="381" t="s">
        <v>243</v>
      </c>
      <c r="F3" s="378"/>
      <c r="G3" s="379"/>
      <c r="H3" s="381" t="s">
        <v>245</v>
      </c>
      <c r="I3" s="379"/>
      <c r="K3" s="383" t="s">
        <v>246</v>
      </c>
      <c r="L3" s="383" t="s">
        <v>293</v>
      </c>
      <c r="M3" s="383" t="s">
        <v>248</v>
      </c>
    </row>
    <row r="4" spans="4:13" ht="14.25" customHeight="1" x14ac:dyDescent="0.3">
      <c r="D4" s="357" t="s">
        <v>249</v>
      </c>
      <c r="E4" s="358">
        <v>45992</v>
      </c>
      <c r="F4" s="358">
        <v>45901</v>
      </c>
      <c r="G4" s="358">
        <v>45627</v>
      </c>
      <c r="H4" s="358">
        <v>45717</v>
      </c>
      <c r="I4" s="358">
        <v>45352</v>
      </c>
      <c r="K4" s="166"/>
      <c r="L4" s="166"/>
      <c r="M4" s="166"/>
    </row>
    <row r="5" spans="4:13" ht="14.25" customHeight="1" x14ac:dyDescent="0.3">
      <c r="D5" s="359" t="s">
        <v>250</v>
      </c>
      <c r="E5" s="356"/>
      <c r="F5" s="356"/>
      <c r="G5" s="356"/>
      <c r="H5" s="356"/>
      <c r="I5" s="356"/>
      <c r="K5" s="166"/>
      <c r="L5" s="166"/>
      <c r="M5" s="166"/>
    </row>
    <row r="6" spans="4:13" ht="27.75" customHeight="1" x14ac:dyDescent="0.3">
      <c r="D6" s="360" t="s">
        <v>251</v>
      </c>
      <c r="E6" s="361">
        <v>7610</v>
      </c>
      <c r="F6" s="361">
        <v>6378</v>
      </c>
      <c r="G6" s="361">
        <v>6567</v>
      </c>
      <c r="H6" s="362">
        <v>23905.52</v>
      </c>
      <c r="I6" s="362">
        <v>21307.85</v>
      </c>
      <c r="K6" s="167">
        <f>(E6-F6)/F6</f>
        <v>0.19316400125431199</v>
      </c>
      <c r="L6" s="167">
        <f>IF(G6&lt;&gt;0,(E6-G6)/ABS(G6),"")</f>
        <v>0.158824425156083</v>
      </c>
      <c r="M6" s="167">
        <f>(H6-I6)/I6</f>
        <v>0.12191140823687099</v>
      </c>
    </row>
    <row r="7" spans="4:13" ht="14.25" customHeight="1" x14ac:dyDescent="0.3">
      <c r="D7" s="360" t="s">
        <v>252</v>
      </c>
      <c r="E7" s="361"/>
      <c r="F7" s="361"/>
      <c r="G7" s="361"/>
      <c r="H7" s="361"/>
      <c r="I7" s="361"/>
      <c r="K7" s="167"/>
      <c r="L7" s="167"/>
      <c r="M7" s="167"/>
    </row>
    <row r="8" spans="4:13" ht="14.25" customHeight="1" x14ac:dyDescent="0.3">
      <c r="D8" s="363" t="s">
        <v>253</v>
      </c>
      <c r="E8" s="364">
        <v>7610</v>
      </c>
      <c r="F8" s="364">
        <v>6378</v>
      </c>
      <c r="G8" s="364">
        <v>6567</v>
      </c>
      <c r="H8" s="365">
        <v>23905.52</v>
      </c>
      <c r="I8" s="365">
        <v>21307.85</v>
      </c>
      <c r="K8" s="167">
        <f>(E8-F8)/F8</f>
        <v>0.19316400125431199</v>
      </c>
      <c r="L8" s="167">
        <f>IF(G8&lt;&gt;0,(E8-G8)/ABS(G8),"")</f>
        <v>0.158824425156083</v>
      </c>
      <c r="M8" s="167">
        <f>(H8-I8)/I8</f>
        <v>0.12191140823687099</v>
      </c>
    </row>
    <row r="9" spans="4:13" ht="14.25" customHeight="1" x14ac:dyDescent="0.3">
      <c r="D9" s="359" t="s">
        <v>254</v>
      </c>
      <c r="E9" s="356"/>
      <c r="F9" s="356"/>
      <c r="G9" s="356"/>
      <c r="H9" s="356"/>
      <c r="I9" s="356"/>
      <c r="K9" s="167"/>
      <c r="L9" s="166"/>
      <c r="M9" s="167"/>
    </row>
    <row r="10" spans="4:13" ht="15" customHeight="1" x14ac:dyDescent="0.3">
      <c r="D10" s="366" t="s">
        <v>255</v>
      </c>
      <c r="E10" s="367">
        <v>0</v>
      </c>
      <c r="F10" s="367">
        <v>1</v>
      </c>
      <c r="G10" s="367">
        <v>192</v>
      </c>
      <c r="H10" s="368">
        <v>12.42</v>
      </c>
      <c r="I10" s="368">
        <v>20.97</v>
      </c>
      <c r="K10" s="167">
        <f>(E10-F10)/F10</f>
        <v>-1</v>
      </c>
      <c r="L10" s="168">
        <f>IF(G10&lt;&gt;0,(E10-G10)/ABS(G10),"")</f>
        <v>-1</v>
      </c>
      <c r="M10" s="167">
        <f>(H10-I10)/I10</f>
        <v>-0.40772532188841198</v>
      </c>
    </row>
    <row r="11" spans="4:13" ht="15" customHeight="1" x14ac:dyDescent="0.3">
      <c r="D11" s="366" t="s">
        <v>256</v>
      </c>
      <c r="E11" s="367">
        <v>582</v>
      </c>
      <c r="F11" s="367">
        <v>430</v>
      </c>
      <c r="G11" s="367">
        <v>113</v>
      </c>
      <c r="H11" s="368">
        <v>197.09</v>
      </c>
      <c r="I11" s="367"/>
      <c r="K11" s="167">
        <f>(E11-F11)/F11</f>
        <v>0.35348837209302297</v>
      </c>
      <c r="L11" s="168">
        <f>IF(G11&lt;&gt;0,(E11-G11)/ABS(G11),"")</f>
        <v>4.1504424778761102</v>
      </c>
      <c r="M11" s="167"/>
    </row>
    <row r="12" spans="4:13" ht="15" customHeight="1" x14ac:dyDescent="0.3">
      <c r="D12" s="366" t="s">
        <v>257</v>
      </c>
      <c r="E12" s="367">
        <v>-52</v>
      </c>
      <c r="F12" s="367">
        <v>107</v>
      </c>
      <c r="G12" s="367">
        <v>-340</v>
      </c>
      <c r="H12" s="368">
        <v>99.31</v>
      </c>
      <c r="I12" s="368">
        <v>-93.36</v>
      </c>
      <c r="K12" s="167">
        <f>(E12-F12)/F12</f>
        <v>-1.4859813084112199</v>
      </c>
      <c r="L12" s="168">
        <f>IF(G12&lt;&gt;0,(E12-G12)/ABS(G12),"")</f>
        <v>0.84705882352941197</v>
      </c>
      <c r="M12" s="167">
        <f>(H12-I12)/I12</f>
        <v>-2.0637317909168802</v>
      </c>
    </row>
    <row r="13" spans="4:13" ht="15" customHeight="1" x14ac:dyDescent="0.3">
      <c r="D13" s="366" t="s">
        <v>258</v>
      </c>
      <c r="E13" s="356"/>
      <c r="F13" s="356"/>
      <c r="G13" s="356"/>
      <c r="H13" s="356"/>
      <c r="I13" s="356"/>
      <c r="K13" s="167"/>
      <c r="L13" s="166"/>
      <c r="M13" s="167"/>
    </row>
    <row r="14" spans="4:13" ht="14.25" customHeight="1" x14ac:dyDescent="0.3">
      <c r="D14" s="360" t="s">
        <v>259</v>
      </c>
      <c r="E14" s="361">
        <v>445</v>
      </c>
      <c r="F14" s="361">
        <v>402</v>
      </c>
      <c r="G14" s="361">
        <v>439</v>
      </c>
      <c r="H14" s="362">
        <v>1795.04</v>
      </c>
      <c r="I14" s="362">
        <v>1625.54</v>
      </c>
      <c r="K14" s="167">
        <f>(E14-F14)/F14</f>
        <v>0.106965174129353</v>
      </c>
      <c r="L14" s="167">
        <f>IF(G10&lt;&gt;0,(E10-G10)/ABS(G10),"")</f>
        <v>-1</v>
      </c>
      <c r="M14" s="167">
        <f>(H14-I14)/I14</f>
        <v>0.104273041573877</v>
      </c>
    </row>
    <row r="15" spans="4:13" ht="15" customHeight="1" x14ac:dyDescent="0.3">
      <c r="D15" s="369" t="s">
        <v>260</v>
      </c>
      <c r="E15" s="367">
        <v>106</v>
      </c>
      <c r="F15" s="367">
        <v>110</v>
      </c>
      <c r="G15" s="367">
        <v>102</v>
      </c>
      <c r="H15" s="368">
        <v>420.42</v>
      </c>
      <c r="I15" s="368">
        <v>350.66</v>
      </c>
      <c r="K15" s="167">
        <f>(E15-F15)/F15</f>
        <v>-3.6363636363636397E-2</v>
      </c>
      <c r="L15" s="168">
        <f>IF(G15&lt;&gt;0,(E15-G15)/ABS(G15),"")</f>
        <v>3.9215686274509803E-2</v>
      </c>
      <c r="M15" s="167">
        <f>(H15-I15)/I15</f>
        <v>0.19893914332972101</v>
      </c>
    </row>
    <row r="16" spans="4:13" ht="15" customHeight="1" x14ac:dyDescent="0.3">
      <c r="D16" s="366" t="s">
        <v>261</v>
      </c>
      <c r="E16" s="356"/>
      <c r="F16" s="356"/>
      <c r="G16" s="356"/>
      <c r="H16" s="356"/>
      <c r="I16" s="356"/>
      <c r="K16" s="167"/>
      <c r="L16" s="166"/>
      <c r="M16" s="167"/>
    </row>
    <row r="17" spans="4:13" ht="15" customHeight="1" x14ac:dyDescent="0.3">
      <c r="D17" s="366" t="s">
        <v>262</v>
      </c>
      <c r="E17" s="367">
        <v>0</v>
      </c>
      <c r="F17" s="367">
        <v>0</v>
      </c>
      <c r="G17" s="367">
        <v>0</v>
      </c>
      <c r="H17" s="368">
        <v>538.94000000000005</v>
      </c>
      <c r="I17" s="368">
        <v>338.47</v>
      </c>
      <c r="K17" s="167"/>
      <c r="L17" s="168" t="str">
        <f>IF(G17&lt;&gt;0,(E17-G17)/ABS(G17),"")</f>
        <v/>
      </c>
      <c r="M17" s="167">
        <f>(H17-I17)/I17</f>
        <v>0.59228292019972195</v>
      </c>
    </row>
    <row r="18" spans="4:13" ht="15" customHeight="1" x14ac:dyDescent="0.3">
      <c r="D18" s="366" t="s">
        <v>263</v>
      </c>
      <c r="E18" s="356"/>
      <c r="F18" s="356"/>
      <c r="G18" s="356"/>
      <c r="H18" s="356"/>
      <c r="I18" s="356"/>
      <c r="K18" s="167"/>
      <c r="L18" s="166"/>
      <c r="M18" s="167"/>
    </row>
    <row r="19" spans="4:13" ht="15" customHeight="1" x14ac:dyDescent="0.3">
      <c r="D19" s="366" t="s">
        <v>264</v>
      </c>
      <c r="E19" s="356"/>
      <c r="F19" s="356"/>
      <c r="G19" s="356"/>
      <c r="H19" s="356"/>
      <c r="I19" s="356"/>
      <c r="K19" s="167"/>
      <c r="L19" s="166"/>
      <c r="M19" s="167"/>
    </row>
    <row r="20" spans="4:13" ht="15" customHeight="1" x14ac:dyDescent="0.3">
      <c r="D20" s="366" t="s">
        <v>265</v>
      </c>
      <c r="E20" s="356"/>
      <c r="F20" s="356"/>
      <c r="G20" s="356"/>
      <c r="H20" s="356"/>
      <c r="I20" s="356"/>
      <c r="K20" s="167"/>
      <c r="L20" s="166"/>
      <c r="M20" s="167"/>
    </row>
    <row r="21" spans="4:13" ht="14.25" customHeight="1" x14ac:dyDescent="0.3">
      <c r="D21" s="360" t="s">
        <v>266</v>
      </c>
      <c r="E21" s="361">
        <v>4492</v>
      </c>
      <c r="F21" s="361">
        <v>3442</v>
      </c>
      <c r="G21" s="361">
        <v>3790</v>
      </c>
      <c r="H21" s="362">
        <v>13114.05</v>
      </c>
      <c r="I21" s="362">
        <v>12123.4</v>
      </c>
      <c r="K21" s="167">
        <f>(E21-F21)/F21</f>
        <v>0.30505520046484602</v>
      </c>
      <c r="L21" s="168">
        <f>IF(G21&lt;&gt;0,(E21-G21)/ABS(G21),"")</f>
        <v>0.18522427440633199</v>
      </c>
      <c r="M21" s="167">
        <f>(H21-I21)/I21</f>
        <v>8.1713875645445994E-2</v>
      </c>
    </row>
    <row r="22" spans="4:13" ht="14.25" customHeight="1" x14ac:dyDescent="0.3">
      <c r="D22" s="360" t="s">
        <v>267</v>
      </c>
      <c r="E22" s="361">
        <v>34</v>
      </c>
      <c r="F22" s="361">
        <v>7</v>
      </c>
      <c r="G22" s="361">
        <v>60</v>
      </c>
      <c r="H22" s="362">
        <v>177.68</v>
      </c>
      <c r="I22" s="362">
        <v>78.239999999999995</v>
      </c>
      <c r="K22" s="167">
        <f>(E22-F22)/F22</f>
        <v>3.8571428571428599</v>
      </c>
      <c r="L22" s="168">
        <f>IF(G22&lt;&gt;0,(E22-G22)/ABS(G22),"")</f>
        <v>-0.43333333333333302</v>
      </c>
      <c r="M22" s="167">
        <f>(H22-I22)/I22</f>
        <v>1.2709611451942699</v>
      </c>
    </row>
    <row r="23" spans="4:13" ht="14.25" customHeight="1" x14ac:dyDescent="0.3">
      <c r="D23" s="363" t="s">
        <v>268</v>
      </c>
      <c r="E23" s="364">
        <v>5077</v>
      </c>
      <c r="F23" s="364">
        <v>3961</v>
      </c>
      <c r="G23" s="364">
        <v>4391</v>
      </c>
      <c r="H23" s="365">
        <v>16354.95</v>
      </c>
      <c r="I23" s="365">
        <v>14443.92</v>
      </c>
      <c r="K23" s="167">
        <f>(E23-F23)/F23</f>
        <v>0.28174703357737901</v>
      </c>
      <c r="L23" s="168">
        <f>IF(G23&lt;&gt;0,(E23-G23)/ABS(G23),"")</f>
        <v>0.156228649510362</v>
      </c>
      <c r="M23" s="167">
        <f>(H23-I23)/I23</f>
        <v>0.13230688068059099</v>
      </c>
    </row>
    <row r="24" spans="4:13" ht="28.5" customHeight="1" x14ac:dyDescent="0.3">
      <c r="D24" s="359" t="s">
        <v>269</v>
      </c>
      <c r="E24" s="356"/>
      <c r="F24" s="356"/>
      <c r="G24" s="356"/>
      <c r="H24" s="356"/>
      <c r="I24" s="356"/>
      <c r="K24" s="167"/>
      <c r="L24" s="166"/>
      <c r="M24" s="167"/>
    </row>
    <row r="25" spans="4:13" ht="14.25" customHeight="1" x14ac:dyDescent="0.3">
      <c r="D25" s="370" t="s">
        <v>270</v>
      </c>
      <c r="E25" s="371">
        <v>2514</v>
      </c>
      <c r="F25" s="371">
        <v>2375</v>
      </c>
      <c r="G25" s="371">
        <v>2745</v>
      </c>
      <c r="H25" s="372">
        <v>8148.67</v>
      </c>
      <c r="I25" s="372">
        <v>7292.83</v>
      </c>
      <c r="K25" s="167">
        <f t="shared" ref="K25:K30" si="0">(E25-F25)/F25</f>
        <v>5.8526315789473697E-2</v>
      </c>
      <c r="L25" s="167" t="str">
        <f>IF(G16&lt;&gt;0,(E16-G16)/ABS(G16),"")</f>
        <v/>
      </c>
      <c r="M25" s="167">
        <f t="shared" ref="M25:M38" si="1">(H25-I25)/I25</f>
        <v>0.117353619925324</v>
      </c>
    </row>
    <row r="26" spans="4:13" ht="22.5" customHeight="1" x14ac:dyDescent="0.3">
      <c r="D26" s="366" t="s">
        <v>271</v>
      </c>
      <c r="E26" s="367">
        <v>2037</v>
      </c>
      <c r="F26" s="367">
        <v>1883</v>
      </c>
      <c r="G26" s="367">
        <v>2269</v>
      </c>
      <c r="H26" s="368">
        <v>7728.25</v>
      </c>
      <c r="I26" s="368">
        <v>6942.17</v>
      </c>
      <c r="K26" s="167">
        <f t="shared" si="0"/>
        <v>8.1784386617100399E-2</v>
      </c>
      <c r="L26" s="168">
        <f t="shared" ref="L26:L37" si="2">IF(G26&lt;&gt;0,(E26-G26)/ABS(G26),"")</f>
        <v>-0.102247686205377</v>
      </c>
      <c r="M26" s="167">
        <f t="shared" si="1"/>
        <v>0.113232605943098</v>
      </c>
    </row>
    <row r="27" spans="4:13" ht="15" customHeight="1" x14ac:dyDescent="0.3">
      <c r="D27" s="366" t="s">
        <v>272</v>
      </c>
      <c r="E27" s="367">
        <v>372</v>
      </c>
      <c r="F27" s="367">
        <v>383</v>
      </c>
      <c r="G27" s="367">
        <v>375</v>
      </c>
      <c r="H27" s="368">
        <v>1593.32</v>
      </c>
      <c r="I27" s="368">
        <v>1370.88</v>
      </c>
      <c r="K27" s="167">
        <f t="shared" si="0"/>
        <v>-2.8720626631853801E-2</v>
      </c>
      <c r="L27" s="168">
        <f t="shared" si="2"/>
        <v>-8.0000000000000002E-3</v>
      </c>
      <c r="M27" s="167">
        <f t="shared" si="1"/>
        <v>0.162260737628385</v>
      </c>
    </row>
    <row r="28" spans="4:13" ht="27.75" customHeight="1" x14ac:dyDescent="0.3">
      <c r="D28" s="370" t="s">
        <v>273</v>
      </c>
      <c r="E28" s="371">
        <v>2408</v>
      </c>
      <c r="F28" s="371">
        <v>2265</v>
      </c>
      <c r="G28" s="371">
        <v>2643</v>
      </c>
      <c r="H28" s="372">
        <v>9321.57</v>
      </c>
      <c r="I28" s="372">
        <v>8313.0499999999993</v>
      </c>
      <c r="K28" s="167">
        <f t="shared" si="0"/>
        <v>6.3134657836644598E-2</v>
      </c>
      <c r="L28" s="168">
        <f t="shared" si="2"/>
        <v>-8.8914112750662105E-2</v>
      </c>
      <c r="M28" s="167">
        <f t="shared" si="1"/>
        <v>0.121317687250768</v>
      </c>
    </row>
    <row r="29" spans="4:13" ht="15" customHeight="1" x14ac:dyDescent="0.3">
      <c r="D29" s="366" t="s">
        <v>274</v>
      </c>
      <c r="E29" s="367">
        <v>34</v>
      </c>
      <c r="F29" s="367">
        <v>7</v>
      </c>
      <c r="G29" s="367">
        <v>60</v>
      </c>
      <c r="H29" s="368">
        <v>177.68</v>
      </c>
      <c r="I29" s="368">
        <v>78.239999999999995</v>
      </c>
      <c r="K29" s="167">
        <f t="shared" si="0"/>
        <v>3.8571428571428599</v>
      </c>
      <c r="L29" s="168">
        <f t="shared" si="2"/>
        <v>-0.43333333333333302</v>
      </c>
      <c r="M29" s="167">
        <f t="shared" si="1"/>
        <v>1.2709611451942699</v>
      </c>
    </row>
    <row r="30" spans="4:13" ht="28.5" customHeight="1" x14ac:dyDescent="0.3">
      <c r="D30" s="360" t="s">
        <v>275</v>
      </c>
      <c r="E30" s="361">
        <v>2374</v>
      </c>
      <c r="F30" s="361">
        <v>2258</v>
      </c>
      <c r="G30" s="361">
        <v>2583</v>
      </c>
      <c r="H30" s="362">
        <v>9143.89</v>
      </c>
      <c r="I30" s="362">
        <v>8234.81</v>
      </c>
      <c r="K30" s="167">
        <f t="shared" si="0"/>
        <v>5.1372896368467702E-2</v>
      </c>
      <c r="L30" s="168">
        <f t="shared" si="2"/>
        <v>-8.0913666279519902E-2</v>
      </c>
      <c r="M30" s="167">
        <f t="shared" si="1"/>
        <v>0.110394775350008</v>
      </c>
    </row>
    <row r="31" spans="4:13" ht="28.5" customHeight="1" x14ac:dyDescent="0.3">
      <c r="D31" s="360" t="s">
        <v>276</v>
      </c>
      <c r="E31" s="361">
        <v>0</v>
      </c>
      <c r="F31" s="361">
        <v>0</v>
      </c>
      <c r="G31" s="361">
        <v>0</v>
      </c>
      <c r="H31" s="361"/>
      <c r="I31" s="362">
        <v>-282.14999999999998</v>
      </c>
      <c r="K31" s="167"/>
      <c r="L31" s="168" t="str">
        <f t="shared" si="2"/>
        <v/>
      </c>
      <c r="M31" s="167">
        <f t="shared" si="1"/>
        <v>-1</v>
      </c>
    </row>
    <row r="32" spans="4:13" ht="14.25" customHeight="1" x14ac:dyDescent="0.3">
      <c r="D32" s="363" t="s">
        <v>277</v>
      </c>
      <c r="E32" s="364">
        <v>2374</v>
      </c>
      <c r="F32" s="364">
        <v>2258</v>
      </c>
      <c r="G32" s="364">
        <v>2583</v>
      </c>
      <c r="H32" s="365">
        <v>9143.89</v>
      </c>
      <c r="I32" s="365">
        <v>7952.66</v>
      </c>
      <c r="K32" s="167">
        <f>(E32-F32)/F32</f>
        <v>5.1372896368467702E-2</v>
      </c>
      <c r="L32" s="168">
        <f t="shared" si="2"/>
        <v>-8.0913666279519902E-2</v>
      </c>
      <c r="M32" s="167">
        <f t="shared" si="1"/>
        <v>0.14979013311269401</v>
      </c>
    </row>
    <row r="33" spans="4:13" ht="14.25" customHeight="1" x14ac:dyDescent="0.3">
      <c r="D33" s="360" t="s">
        <v>278</v>
      </c>
      <c r="E33" s="361">
        <v>627</v>
      </c>
      <c r="F33" s="361">
        <v>576</v>
      </c>
      <c r="G33" s="361">
        <v>686</v>
      </c>
      <c r="H33" s="362">
        <v>2604.14</v>
      </c>
      <c r="I33" s="362">
        <v>2380.42</v>
      </c>
      <c r="K33" s="167">
        <f>(E33-F33)/F33</f>
        <v>8.8541666666666699E-2</v>
      </c>
      <c r="L33" s="168">
        <f t="shared" si="2"/>
        <v>-8.6005830903790104E-2</v>
      </c>
      <c r="M33" s="167">
        <f t="shared" si="1"/>
        <v>9.3983414691524894E-2</v>
      </c>
    </row>
    <row r="34" spans="4:13" ht="27.75" customHeight="1" x14ac:dyDescent="0.3">
      <c r="D34" s="363" t="s">
        <v>279</v>
      </c>
      <c r="E34" s="364">
        <v>1747</v>
      </c>
      <c r="F34" s="364">
        <v>1682</v>
      </c>
      <c r="G34" s="364">
        <v>1896</v>
      </c>
      <c r="H34" s="365">
        <v>6539.75</v>
      </c>
      <c r="I34" s="365">
        <v>5572.24</v>
      </c>
      <c r="K34" s="167">
        <f>(E34-F34)/F34</f>
        <v>3.86444708680143E-2</v>
      </c>
      <c r="L34" s="168">
        <f t="shared" si="2"/>
        <v>-7.8586497890295398E-2</v>
      </c>
      <c r="M34" s="167">
        <f t="shared" si="1"/>
        <v>0.173630353322901</v>
      </c>
    </row>
    <row r="35" spans="4:13" ht="15" customHeight="1" x14ac:dyDescent="0.3">
      <c r="D35" s="366" t="s">
        <v>294</v>
      </c>
      <c r="E35" s="367">
        <v>10</v>
      </c>
      <c r="F35" s="367">
        <v>15</v>
      </c>
      <c r="G35" s="367">
        <v>1</v>
      </c>
      <c r="H35" s="368">
        <v>10.95</v>
      </c>
      <c r="I35" s="368">
        <v>-0.38</v>
      </c>
      <c r="K35" s="167">
        <f>(E35-F35)/F35</f>
        <v>-0.33333333333333298</v>
      </c>
      <c r="L35" s="168">
        <f t="shared" si="2"/>
        <v>9</v>
      </c>
      <c r="M35" s="167">
        <f t="shared" si="1"/>
        <v>-29.815789473684202</v>
      </c>
    </row>
    <row r="36" spans="4:13" ht="14.25" customHeight="1" x14ac:dyDescent="0.3">
      <c r="D36" s="360" t="s">
        <v>295</v>
      </c>
      <c r="E36" s="361">
        <v>0</v>
      </c>
      <c r="F36" s="361">
        <v>0</v>
      </c>
      <c r="G36" s="361">
        <v>-16</v>
      </c>
      <c r="H36" s="362">
        <v>-7.79</v>
      </c>
      <c r="I36" s="362">
        <v>4.1900000000000004</v>
      </c>
      <c r="K36" s="167"/>
      <c r="L36" s="168">
        <f t="shared" si="2"/>
        <v>1</v>
      </c>
      <c r="M36" s="167">
        <f t="shared" si="1"/>
        <v>-2.8591885441527398</v>
      </c>
    </row>
    <row r="37" spans="4:13" ht="27.75" customHeight="1" x14ac:dyDescent="0.3">
      <c r="D37" s="363" t="s">
        <v>296</v>
      </c>
      <c r="E37" s="364">
        <v>1756</v>
      </c>
      <c r="F37" s="364">
        <v>1698</v>
      </c>
      <c r="G37" s="364">
        <v>1881</v>
      </c>
      <c r="H37" s="365">
        <v>6541.98</v>
      </c>
      <c r="I37" s="365">
        <v>5575.06</v>
      </c>
      <c r="K37" s="167">
        <f>(E37-F37)/F37</f>
        <v>3.4157832744405203E-2</v>
      </c>
      <c r="L37" s="168">
        <f t="shared" si="2"/>
        <v>-6.6454013822434904E-2</v>
      </c>
      <c r="M37" s="167">
        <f t="shared" si="1"/>
        <v>0.17343669843911999</v>
      </c>
    </row>
    <row r="38" spans="4:13" ht="14.25" customHeight="1" x14ac:dyDescent="0.3">
      <c r="D38" s="363" t="s">
        <v>297</v>
      </c>
      <c r="E38" s="364">
        <v>1756</v>
      </c>
      <c r="F38" s="364">
        <v>1698</v>
      </c>
      <c r="G38" s="364">
        <v>1881</v>
      </c>
      <c r="H38" s="365">
        <v>6541.98</v>
      </c>
      <c r="I38" s="365">
        <v>5575.06</v>
      </c>
      <c r="K38" s="167">
        <f>(E38-F38)/F38</f>
        <v>3.4157832744405203E-2</v>
      </c>
      <c r="L38" s="167">
        <f>IF(G25&lt;&gt;0,(E25-G25)/ABS(G25),"")</f>
        <v>-8.4153005464480901E-2</v>
      </c>
      <c r="M38" s="167">
        <f t="shared" si="1"/>
        <v>0.17343669843911999</v>
      </c>
    </row>
    <row r="39" spans="4:13" ht="15" customHeight="1" x14ac:dyDescent="0.3">
      <c r="D39" s="366" t="s">
        <v>280</v>
      </c>
      <c r="E39" s="356"/>
      <c r="F39" s="356"/>
      <c r="G39" s="356"/>
      <c r="H39" s="356"/>
      <c r="I39" s="356"/>
      <c r="K39" s="167"/>
      <c r="L39" s="166"/>
      <c r="M39" s="167"/>
    </row>
    <row r="40" spans="4:13" ht="15" customHeight="1" x14ac:dyDescent="0.3">
      <c r="D40" s="366" t="s">
        <v>281</v>
      </c>
      <c r="E40" s="367">
        <v>0</v>
      </c>
      <c r="F40" s="367">
        <v>0</v>
      </c>
      <c r="G40" s="367">
        <v>0</v>
      </c>
      <c r="H40" s="368">
        <v>-0.93</v>
      </c>
      <c r="I40" s="368">
        <v>-0.99</v>
      </c>
      <c r="K40" s="167"/>
      <c r="L40" s="166"/>
      <c r="M40" s="167">
        <f>(H40-I40)/I40</f>
        <v>-6.0606060606060497E-2</v>
      </c>
    </row>
    <row r="41" spans="4:13" ht="15" customHeight="1" x14ac:dyDescent="0.3">
      <c r="D41" s="366" t="s">
        <v>282</v>
      </c>
      <c r="E41" s="367">
        <v>1756</v>
      </c>
      <c r="F41" s="367">
        <v>1698</v>
      </c>
      <c r="G41" s="367">
        <v>1881</v>
      </c>
      <c r="H41" s="368">
        <v>6538.82</v>
      </c>
      <c r="I41" s="368">
        <v>5571.25</v>
      </c>
      <c r="K41" s="167">
        <f>(E41-F41)/F41</f>
        <v>3.4157832744405203E-2</v>
      </c>
      <c r="L41" s="168">
        <f>IF(G41&lt;&gt;0,(E41-G41)/ABS(G41),"")</f>
        <v>-6.6454013822434904E-2</v>
      </c>
      <c r="M41" s="167">
        <f>(H41-I41)/I41</f>
        <v>0.17367197666591899</v>
      </c>
    </row>
    <row r="42" spans="4:13" ht="14.25" customHeight="1" x14ac:dyDescent="0.3">
      <c r="D42" s="359" t="s">
        <v>283</v>
      </c>
      <c r="E42" s="356"/>
      <c r="F42" s="356"/>
      <c r="G42" s="356"/>
      <c r="H42" s="356"/>
      <c r="I42" s="356"/>
      <c r="K42" s="167"/>
      <c r="L42" s="166"/>
      <c r="M42" s="167"/>
    </row>
    <row r="43" spans="4:13" ht="27.75" customHeight="1" x14ac:dyDescent="0.3">
      <c r="D43" s="360" t="s">
        <v>284</v>
      </c>
      <c r="E43" s="373">
        <v>2</v>
      </c>
      <c r="F43" s="373">
        <v>1.93</v>
      </c>
      <c r="G43" s="373">
        <v>2.14</v>
      </c>
      <c r="H43" s="362">
        <v>7.44</v>
      </c>
      <c r="I43" s="362">
        <v>19.02</v>
      </c>
      <c r="K43" s="167">
        <f>(E43-F43)/F43</f>
        <v>3.6269430051813503E-2</v>
      </c>
      <c r="L43" s="168">
        <f>IF(G43&lt;&gt;0,(E43-G43)/ABS(G43),"")</f>
        <v>-6.54205607476636E-2</v>
      </c>
      <c r="M43" s="167">
        <f>(H43-I43)/I43</f>
        <v>-0.60883280757097802</v>
      </c>
    </row>
    <row r="44" spans="4:13" ht="14.25" customHeight="1" x14ac:dyDescent="0.3">
      <c r="D44" s="359" t="s">
        <v>285</v>
      </c>
      <c r="E44" s="374">
        <v>2</v>
      </c>
      <c r="F44" s="374">
        <v>1.93</v>
      </c>
      <c r="G44" s="374">
        <v>2.14</v>
      </c>
      <c r="H44" s="368">
        <v>7.44</v>
      </c>
      <c r="I44" s="368">
        <v>19.02</v>
      </c>
      <c r="K44" s="167">
        <f>(E44-F44)/F44</f>
        <v>3.6269430051813503E-2</v>
      </c>
      <c r="L44" s="168">
        <f>IF(G44&lt;&gt;0,(E44-G44)/ABS(G44),"")</f>
        <v>-6.54205607476636E-2</v>
      </c>
      <c r="M44" s="167">
        <f>(H44-I44)/I44</f>
        <v>-0.60883280757097802</v>
      </c>
    </row>
    <row r="45" spans="4:13" ht="14.25" customHeight="1" x14ac:dyDescent="0.3">
      <c r="D45" s="366" t="s">
        <v>286</v>
      </c>
      <c r="E45" s="374">
        <v>2</v>
      </c>
      <c r="F45" s="374">
        <v>1.93</v>
      </c>
      <c r="G45" s="374">
        <v>2.14</v>
      </c>
      <c r="H45" s="368">
        <v>7.44</v>
      </c>
      <c r="I45" s="368">
        <v>19.02</v>
      </c>
      <c r="K45" s="167">
        <f>(E45-F45)/F45</f>
        <v>3.6269430051813503E-2</v>
      </c>
      <c r="L45" s="168">
        <f>IF(G45&lt;&gt;0,(E45-G45)/ABS(G45),"")</f>
        <v>-6.54205607476636E-2</v>
      </c>
      <c r="M45" s="167">
        <f>(H45-I45)/I45</f>
        <v>-0.60883280757097802</v>
      </c>
    </row>
    <row r="46" spans="4:13" ht="15" customHeight="1" x14ac:dyDescent="0.3">
      <c r="D46" s="366" t="s">
        <v>287</v>
      </c>
      <c r="E46" s="374">
        <v>2</v>
      </c>
      <c r="F46" s="374">
        <v>1.93</v>
      </c>
      <c r="G46" s="374">
        <v>2.14</v>
      </c>
      <c r="H46" s="368">
        <v>7.44</v>
      </c>
      <c r="I46" s="368">
        <v>19.02</v>
      </c>
      <c r="K46" s="167">
        <f>(E46-F46)/F46</f>
        <v>3.6269430051813503E-2</v>
      </c>
      <c r="L46" s="168">
        <f>IF(G46&lt;&gt;0,(E46-G46)/ABS(G46),"")</f>
        <v>-6.54205607476636E-2</v>
      </c>
      <c r="M46" s="167">
        <f>(H46-I46)/I46</f>
        <v>-0.60883280757097802</v>
      </c>
    </row>
    <row r="47" spans="4:13" ht="15" customHeight="1" x14ac:dyDescent="0.3">
      <c r="D47" s="375" t="s">
        <v>288</v>
      </c>
      <c r="E47" s="356"/>
      <c r="F47" s="356"/>
      <c r="G47" s="356"/>
      <c r="H47" s="356"/>
      <c r="I47" s="356"/>
      <c r="K47" s="167"/>
      <c r="L47" s="166"/>
      <c r="M47" s="167"/>
    </row>
    <row r="48" spans="4:13" ht="27.75" customHeight="1" x14ac:dyDescent="0.3">
      <c r="D48" s="360" t="s">
        <v>289</v>
      </c>
      <c r="E48" s="361">
        <v>879</v>
      </c>
      <c r="F48" s="361">
        <v>879</v>
      </c>
      <c r="G48" s="361">
        <v>879</v>
      </c>
      <c r="H48" s="362">
        <v>879.18</v>
      </c>
      <c r="I48" s="362">
        <v>293.07</v>
      </c>
      <c r="K48" s="167">
        <f>(E48-F48)/F48</f>
        <v>0</v>
      </c>
      <c r="L48" s="167">
        <f>IF(G30&lt;&gt;0,(E30-G30)/ABS(G30),"")</f>
        <v>-8.0913666279519902E-2</v>
      </c>
      <c r="M48" s="167">
        <f>(H48-I48)/I48</f>
        <v>1.99989763537721</v>
      </c>
    </row>
    <row r="49" spans="4:13" ht="27.75" customHeight="1" x14ac:dyDescent="0.3">
      <c r="D49" s="360" t="s">
        <v>290</v>
      </c>
      <c r="E49" s="376"/>
      <c r="F49" s="376"/>
      <c r="G49" s="376"/>
      <c r="H49" s="362">
        <v>28816.59</v>
      </c>
      <c r="I49" s="362">
        <v>25362.83</v>
      </c>
      <c r="K49" s="169"/>
      <c r="L49" s="169"/>
      <c r="M49" s="169"/>
    </row>
    <row r="51" spans="4:13" ht="15" customHeight="1" x14ac:dyDescent="0.3">
      <c r="D51" s="170"/>
    </row>
  </sheetData>
  <mergeCells count="4">
    <mergeCell ref="D2:I2"/>
    <mergeCell ref="K2:M2"/>
    <mergeCell ref="E3:G3"/>
    <mergeCell ref="H3:I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5"/>
  <sheetViews>
    <sheetView showGridLines="0" topLeftCell="A37" workbookViewId="0">
      <selection activeCell="C59" sqref="C59"/>
    </sheetView>
  </sheetViews>
  <sheetFormatPr defaultColWidth="8.6640625" defaultRowHeight="14.4" x14ac:dyDescent="0.3"/>
  <cols>
    <col min="1" max="1" width="38" customWidth="1"/>
    <col min="2" max="6" width="13" customWidth="1"/>
    <col min="7" max="10" width="11" customWidth="1"/>
  </cols>
  <sheetData>
    <row r="1" spans="1:10" ht="21.75" customHeight="1" x14ac:dyDescent="0.3">
      <c r="A1" s="350" t="s">
        <v>298</v>
      </c>
      <c r="B1" s="222"/>
      <c r="C1" s="222"/>
      <c r="D1" s="222"/>
      <c r="E1" s="222"/>
      <c r="F1" s="222"/>
      <c r="G1" s="222"/>
      <c r="H1" s="222"/>
      <c r="I1" s="222"/>
      <c r="J1" s="222"/>
    </row>
    <row r="2" spans="1:10" ht="27.75" customHeight="1" x14ac:dyDescent="0.3">
      <c r="A2" s="351" t="s">
        <v>299</v>
      </c>
      <c r="B2" s="352" t="s">
        <v>300</v>
      </c>
      <c r="C2" s="352" t="s">
        <v>301</v>
      </c>
      <c r="D2" s="352" t="s">
        <v>302</v>
      </c>
      <c r="E2" s="352" t="s">
        <v>303</v>
      </c>
      <c r="F2" s="352" t="s">
        <v>304</v>
      </c>
      <c r="G2" s="307" t="s">
        <v>305</v>
      </c>
      <c r="H2" s="307" t="s">
        <v>306</v>
      </c>
      <c r="I2" s="307" t="s">
        <v>307</v>
      </c>
      <c r="J2" s="307" t="s">
        <v>308</v>
      </c>
    </row>
    <row r="3" spans="1:10" ht="14.25" customHeight="1" x14ac:dyDescent="0.3">
      <c r="A3" s="353" t="s">
        <v>309</v>
      </c>
      <c r="B3" s="352" t="s">
        <v>310</v>
      </c>
      <c r="C3" s="352" t="s">
        <v>310</v>
      </c>
      <c r="D3" s="352" t="s">
        <v>310</v>
      </c>
      <c r="E3" s="352" t="s">
        <v>310</v>
      </c>
      <c r="F3" s="352" t="s">
        <v>310</v>
      </c>
      <c r="G3" s="270"/>
      <c r="H3" s="270"/>
      <c r="I3" s="270"/>
      <c r="J3" s="270"/>
    </row>
    <row r="4" spans="1:10" ht="14.25" customHeight="1" x14ac:dyDescent="0.3">
      <c r="A4" s="354" t="s">
        <v>311</v>
      </c>
      <c r="B4" s="225"/>
      <c r="C4" s="225"/>
      <c r="D4" s="225"/>
      <c r="E4" s="225"/>
      <c r="F4" s="225"/>
      <c r="G4" s="225"/>
      <c r="H4" s="225"/>
      <c r="I4" s="225"/>
      <c r="J4" s="226"/>
    </row>
    <row r="5" spans="1:10" ht="14.25" customHeight="1" x14ac:dyDescent="0.3">
      <c r="A5" s="355" t="s">
        <v>312</v>
      </c>
      <c r="B5" s="225"/>
      <c r="C5" s="225"/>
      <c r="D5" s="225"/>
      <c r="E5" s="225"/>
      <c r="F5" s="225"/>
      <c r="G5" s="225"/>
      <c r="H5" s="225"/>
      <c r="I5" s="225"/>
      <c r="J5" s="226"/>
    </row>
    <row r="6" spans="1:10" ht="14.25" customHeight="1" x14ac:dyDescent="0.3">
      <c r="A6" s="248" t="s">
        <v>313</v>
      </c>
      <c r="B6" s="249">
        <v>879.18</v>
      </c>
      <c r="C6" s="249">
        <v>293.07</v>
      </c>
      <c r="D6" s="249">
        <v>293.07</v>
      </c>
      <c r="E6" s="249">
        <v>293.07</v>
      </c>
      <c r="F6" s="249">
        <v>293.07</v>
      </c>
      <c r="G6" s="345">
        <f t="shared" ref="G6:J10" si="0">(B6-C6)/C6</f>
        <v>1.99989763537721</v>
      </c>
      <c r="H6" s="345">
        <f t="shared" si="0"/>
        <v>0</v>
      </c>
      <c r="I6" s="345">
        <f t="shared" si="0"/>
        <v>0</v>
      </c>
      <c r="J6" s="345">
        <f t="shared" si="0"/>
        <v>0</v>
      </c>
    </row>
    <row r="7" spans="1:10" ht="14.25" customHeight="1" x14ac:dyDescent="0.3">
      <c r="A7" s="346" t="s">
        <v>314</v>
      </c>
      <c r="B7" s="347">
        <v>879.18</v>
      </c>
      <c r="C7" s="347">
        <v>293.07</v>
      </c>
      <c r="D7" s="347">
        <v>293.07</v>
      </c>
      <c r="E7" s="347">
        <v>293.07</v>
      </c>
      <c r="F7" s="347">
        <v>293.07</v>
      </c>
      <c r="G7" s="345">
        <f t="shared" si="0"/>
        <v>1.99989763537721</v>
      </c>
      <c r="H7" s="345">
        <f t="shared" si="0"/>
        <v>0</v>
      </c>
      <c r="I7" s="345">
        <f t="shared" si="0"/>
        <v>0</v>
      </c>
      <c r="J7" s="345">
        <f t="shared" si="0"/>
        <v>0</v>
      </c>
    </row>
    <row r="8" spans="1:10" ht="14.25" customHeight="1" x14ac:dyDescent="0.3">
      <c r="A8" s="348" t="s">
        <v>315</v>
      </c>
      <c r="B8" s="349">
        <v>28700</v>
      </c>
      <c r="C8" s="349">
        <v>25112.71</v>
      </c>
      <c r="D8" s="349">
        <v>22039.24</v>
      </c>
      <c r="E8" s="349">
        <v>34550.9</v>
      </c>
      <c r="F8" s="349">
        <v>29463.07</v>
      </c>
      <c r="G8" s="345">
        <f t="shared" si="0"/>
        <v>0.142847585943532</v>
      </c>
      <c r="H8" s="345">
        <f t="shared" si="0"/>
        <v>0.13945444579758601</v>
      </c>
      <c r="I8" s="345">
        <f t="shared" si="0"/>
        <v>-0.36212254962967699</v>
      </c>
      <c r="J8" s="345">
        <f t="shared" si="0"/>
        <v>0.172684991754084</v>
      </c>
    </row>
    <row r="9" spans="1:10" ht="14.25" customHeight="1" x14ac:dyDescent="0.3">
      <c r="A9" s="346" t="s">
        <v>316</v>
      </c>
      <c r="B9" s="347">
        <v>28700</v>
      </c>
      <c r="C9" s="347">
        <v>25112.71</v>
      </c>
      <c r="D9" s="347">
        <v>22039.24</v>
      </c>
      <c r="E9" s="347">
        <v>34550.9</v>
      </c>
      <c r="F9" s="347">
        <v>29463.07</v>
      </c>
      <c r="G9" s="345">
        <f t="shared" si="0"/>
        <v>0.142847585943532</v>
      </c>
      <c r="H9" s="345">
        <f t="shared" si="0"/>
        <v>0.13945444579758601</v>
      </c>
      <c r="I9" s="345">
        <f t="shared" si="0"/>
        <v>-0.36212254962967699</v>
      </c>
      <c r="J9" s="345">
        <f t="shared" si="0"/>
        <v>0.172684991754084</v>
      </c>
    </row>
    <row r="10" spans="1:10" ht="14.25" customHeight="1" x14ac:dyDescent="0.3">
      <c r="A10" s="346" t="s">
        <v>317</v>
      </c>
      <c r="B10" s="347">
        <v>29579.18</v>
      </c>
      <c r="C10" s="347">
        <v>25405.78</v>
      </c>
      <c r="D10" s="347">
        <v>22332.31</v>
      </c>
      <c r="E10" s="347">
        <v>34843.97</v>
      </c>
      <c r="F10" s="347">
        <v>29756.14</v>
      </c>
      <c r="G10" s="345">
        <f t="shared" si="0"/>
        <v>0.16426970555519299</v>
      </c>
      <c r="H10" s="345">
        <f t="shared" si="0"/>
        <v>0.13762436577317799</v>
      </c>
      <c r="I10" s="345">
        <f t="shared" si="0"/>
        <v>-0.35907676421487</v>
      </c>
      <c r="J10" s="345">
        <f t="shared" si="0"/>
        <v>0.17098420695695099</v>
      </c>
    </row>
    <row r="11" spans="1:10" ht="14.25" customHeight="1" x14ac:dyDescent="0.3">
      <c r="A11" s="344" t="s">
        <v>318</v>
      </c>
      <c r="B11" s="342"/>
      <c r="C11" s="342"/>
      <c r="D11" s="342"/>
      <c r="E11" s="342"/>
      <c r="F11" s="342"/>
      <c r="G11" s="342"/>
      <c r="H11" s="342"/>
      <c r="I11" s="342"/>
      <c r="J11" s="343"/>
    </row>
    <row r="12" spans="1:10" ht="14.25" customHeight="1" x14ac:dyDescent="0.3">
      <c r="A12" s="248" t="s">
        <v>319</v>
      </c>
      <c r="B12" s="249">
        <v>0</v>
      </c>
      <c r="C12" s="249">
        <v>0</v>
      </c>
      <c r="D12" s="249">
        <v>0</v>
      </c>
      <c r="E12" s="249">
        <v>1668.22</v>
      </c>
      <c r="F12" s="249">
        <v>546.42999999999995</v>
      </c>
      <c r="G12" s="314"/>
      <c r="H12" s="314" t="str">
        <f>IF(D12&lt;&gt;0,C12/D12-1,"")</f>
        <v/>
      </c>
      <c r="I12" s="345">
        <f t="shared" ref="I12:J15" si="1">(D12-E12)/E12</f>
        <v>-1</v>
      </c>
      <c r="J12" s="345">
        <f t="shared" si="1"/>
        <v>2.0529436524348998</v>
      </c>
    </row>
    <row r="13" spans="1:10" ht="14.25" customHeight="1" x14ac:dyDescent="0.3">
      <c r="A13" s="348" t="s">
        <v>320</v>
      </c>
      <c r="B13" s="349">
        <v>152.25</v>
      </c>
      <c r="C13" s="349">
        <v>151.94999999999999</v>
      </c>
      <c r="D13" s="349">
        <v>155.02000000000001</v>
      </c>
      <c r="E13" s="349">
        <v>156.13</v>
      </c>
      <c r="F13" s="349">
        <v>4.57</v>
      </c>
      <c r="G13" s="345">
        <f t="shared" ref="G13:H15" si="2">(B13-C13)/C13</f>
        <v>1.9743336623890199E-3</v>
      </c>
      <c r="H13" s="345">
        <f t="shared" si="2"/>
        <v>-1.9803896271449E-2</v>
      </c>
      <c r="I13" s="345">
        <f t="shared" si="1"/>
        <v>-7.1094600653300796E-3</v>
      </c>
      <c r="J13" s="345">
        <f t="shared" si="1"/>
        <v>33.164113785558001</v>
      </c>
    </row>
    <row r="14" spans="1:10" ht="14.25" customHeight="1" x14ac:dyDescent="0.3">
      <c r="A14" s="248" t="s">
        <v>321</v>
      </c>
      <c r="B14" s="249">
        <v>1453.81</v>
      </c>
      <c r="C14" s="249">
        <v>1430.75</v>
      </c>
      <c r="D14" s="249">
        <v>1255.56</v>
      </c>
      <c r="E14" s="249">
        <v>1092</v>
      </c>
      <c r="F14" s="249">
        <v>945.16</v>
      </c>
      <c r="G14" s="345">
        <f t="shared" si="2"/>
        <v>1.6117420933077001E-2</v>
      </c>
      <c r="H14" s="345">
        <f t="shared" si="2"/>
        <v>0.13953136449074499</v>
      </c>
      <c r="I14" s="345">
        <f t="shared" si="1"/>
        <v>0.14978021978021999</v>
      </c>
      <c r="J14" s="345">
        <f t="shared" si="1"/>
        <v>0.15535993905793699</v>
      </c>
    </row>
    <row r="15" spans="1:10" ht="14.25" customHeight="1" x14ac:dyDescent="0.3">
      <c r="A15" s="346" t="s">
        <v>322</v>
      </c>
      <c r="B15" s="347">
        <v>1606.06</v>
      </c>
      <c r="C15" s="347">
        <v>1582.7</v>
      </c>
      <c r="D15" s="347">
        <v>1410.58</v>
      </c>
      <c r="E15" s="347">
        <v>2916.35</v>
      </c>
      <c r="F15" s="347">
        <v>1496.16</v>
      </c>
      <c r="G15" s="345">
        <f t="shared" si="2"/>
        <v>1.4759588045744501E-2</v>
      </c>
      <c r="H15" s="345">
        <f t="shared" si="2"/>
        <v>0.122020729061804</v>
      </c>
      <c r="I15" s="345">
        <f t="shared" si="1"/>
        <v>-0.51632005760625399</v>
      </c>
      <c r="J15" s="345">
        <f t="shared" si="1"/>
        <v>0.94922334509678097</v>
      </c>
    </row>
    <row r="16" spans="1:10" ht="14.25" customHeight="1" x14ac:dyDescent="0.3">
      <c r="A16" s="344" t="s">
        <v>323</v>
      </c>
      <c r="B16" s="342"/>
      <c r="C16" s="342"/>
      <c r="D16" s="342"/>
      <c r="E16" s="342"/>
      <c r="F16" s="342"/>
      <c r="G16" s="342"/>
      <c r="H16" s="342"/>
      <c r="I16" s="342"/>
      <c r="J16" s="343"/>
    </row>
    <row r="17" spans="1:10" ht="14.25" customHeight="1" x14ac:dyDescent="0.3">
      <c r="A17" s="348" t="s">
        <v>324</v>
      </c>
      <c r="B17" s="349">
        <v>3770.45</v>
      </c>
      <c r="C17" s="349">
        <v>3356.54</v>
      </c>
      <c r="D17" s="349">
        <v>415.98</v>
      </c>
      <c r="E17" s="349">
        <v>1815.13</v>
      </c>
      <c r="F17" s="349">
        <v>1448.04</v>
      </c>
      <c r="G17" s="345">
        <f t="shared" ref="G17:J22" si="3">(B17-C17)/C17</f>
        <v>0.123314484558504</v>
      </c>
      <c r="H17" s="345">
        <f t="shared" si="3"/>
        <v>7.0689937016202702</v>
      </c>
      <c r="I17" s="345">
        <f t="shared" si="3"/>
        <v>-0.77082633199825901</v>
      </c>
      <c r="J17" s="345">
        <f t="shared" si="3"/>
        <v>0.25350819038148098</v>
      </c>
    </row>
    <row r="18" spans="1:10" ht="14.25" customHeight="1" x14ac:dyDescent="0.3">
      <c r="A18" s="248" t="s">
        <v>325</v>
      </c>
      <c r="B18" s="249">
        <v>298.49</v>
      </c>
      <c r="C18" s="249">
        <v>372.52</v>
      </c>
      <c r="D18" s="249">
        <v>425.76</v>
      </c>
      <c r="E18" s="249">
        <v>967.22</v>
      </c>
      <c r="F18" s="249">
        <v>360.26</v>
      </c>
      <c r="G18" s="345">
        <f t="shared" si="3"/>
        <v>-0.198727585096102</v>
      </c>
      <c r="H18" s="345">
        <f t="shared" si="3"/>
        <v>-0.12504697482149599</v>
      </c>
      <c r="I18" s="345">
        <f t="shared" si="3"/>
        <v>-0.55981059117884202</v>
      </c>
      <c r="J18" s="345">
        <f t="shared" si="3"/>
        <v>1.68478321212458</v>
      </c>
    </row>
    <row r="19" spans="1:10" ht="14.25" customHeight="1" x14ac:dyDescent="0.3">
      <c r="A19" s="348" t="s">
        <v>326</v>
      </c>
      <c r="B19" s="349">
        <v>5190.9399999999996</v>
      </c>
      <c r="C19" s="349">
        <v>4377.1400000000003</v>
      </c>
      <c r="D19" s="349">
        <v>3233.84</v>
      </c>
      <c r="E19" s="349">
        <v>4134.88</v>
      </c>
      <c r="F19" s="349">
        <v>3626.3</v>
      </c>
      <c r="G19" s="345">
        <f t="shared" si="3"/>
        <v>0.18592048689326801</v>
      </c>
      <c r="H19" s="345">
        <f t="shared" si="3"/>
        <v>0.35354253766420102</v>
      </c>
      <c r="I19" s="345">
        <f t="shared" si="3"/>
        <v>-0.21791200711991601</v>
      </c>
      <c r="J19" s="345">
        <f t="shared" si="3"/>
        <v>0.140247635330778</v>
      </c>
    </row>
    <row r="20" spans="1:10" ht="14.25" customHeight="1" x14ac:dyDescent="0.3">
      <c r="A20" s="248" t="s">
        <v>327</v>
      </c>
      <c r="B20" s="249">
        <v>382.61</v>
      </c>
      <c r="C20" s="249">
        <v>254.41</v>
      </c>
      <c r="D20" s="249">
        <v>123.23</v>
      </c>
      <c r="E20" s="249">
        <v>14.39</v>
      </c>
      <c r="F20" s="249">
        <v>98</v>
      </c>
      <c r="G20" s="345">
        <f t="shared" si="3"/>
        <v>0.50391100978735104</v>
      </c>
      <c r="H20" s="345">
        <f t="shared" si="3"/>
        <v>1.0645135113202999</v>
      </c>
      <c r="I20" s="345">
        <f t="shared" si="3"/>
        <v>7.5635858234885296</v>
      </c>
      <c r="J20" s="345">
        <f t="shared" si="3"/>
        <v>-0.85316326530612197</v>
      </c>
    </row>
    <row r="21" spans="1:10" ht="14.25" customHeight="1" x14ac:dyDescent="0.3">
      <c r="A21" s="346" t="s">
        <v>328</v>
      </c>
      <c r="B21" s="347">
        <v>9642.49</v>
      </c>
      <c r="C21" s="347">
        <v>8360.61</v>
      </c>
      <c r="D21" s="347">
        <v>4198.8100000000004</v>
      </c>
      <c r="E21" s="347">
        <v>6931.62</v>
      </c>
      <c r="F21" s="347">
        <v>5532.6</v>
      </c>
      <c r="G21" s="345">
        <f t="shared" si="3"/>
        <v>0.15332374073183599</v>
      </c>
      <c r="H21" s="345">
        <f t="shared" si="3"/>
        <v>0.99118559782414495</v>
      </c>
      <c r="I21" s="345">
        <f t="shared" si="3"/>
        <v>-0.394252714372686</v>
      </c>
      <c r="J21" s="345">
        <f t="shared" si="3"/>
        <v>0.25286845244550499</v>
      </c>
    </row>
    <row r="22" spans="1:10" ht="14.25" customHeight="1" x14ac:dyDescent="0.3">
      <c r="A22" s="346" t="s">
        <v>329</v>
      </c>
      <c r="B22" s="347">
        <v>40827.730000000003</v>
      </c>
      <c r="C22" s="347">
        <v>35349.089999999997</v>
      </c>
      <c r="D22" s="347">
        <v>27941.7</v>
      </c>
      <c r="E22" s="347">
        <v>44691.94</v>
      </c>
      <c r="F22" s="347">
        <v>36784.9</v>
      </c>
      <c r="G22" s="345">
        <f t="shared" si="3"/>
        <v>0.15498673374618699</v>
      </c>
      <c r="H22" s="345">
        <f t="shared" si="3"/>
        <v>0.26510162230644502</v>
      </c>
      <c r="I22" s="345">
        <f t="shared" si="3"/>
        <v>-0.37479330724958498</v>
      </c>
      <c r="J22" s="345">
        <f t="shared" si="3"/>
        <v>0.21495341838634899</v>
      </c>
    </row>
    <row r="23" spans="1:10" ht="14.25" customHeight="1" x14ac:dyDescent="0.3">
      <c r="A23" s="341" t="s">
        <v>330</v>
      </c>
      <c r="B23" s="342"/>
      <c r="C23" s="342"/>
      <c r="D23" s="342"/>
      <c r="E23" s="342"/>
      <c r="F23" s="342"/>
      <c r="G23" s="342"/>
      <c r="H23" s="342"/>
      <c r="I23" s="342"/>
      <c r="J23" s="343"/>
    </row>
    <row r="24" spans="1:10" ht="14.25" customHeight="1" x14ac:dyDescent="0.3">
      <c r="A24" s="344" t="s">
        <v>331</v>
      </c>
      <c r="B24" s="342"/>
      <c r="C24" s="342"/>
      <c r="D24" s="342"/>
      <c r="E24" s="342"/>
      <c r="F24" s="342"/>
      <c r="G24" s="342"/>
      <c r="H24" s="342"/>
      <c r="I24" s="342"/>
      <c r="J24" s="343"/>
    </row>
    <row r="25" spans="1:10" ht="14.25" customHeight="1" x14ac:dyDescent="0.3">
      <c r="A25" s="348" t="s">
        <v>332</v>
      </c>
      <c r="B25" s="349">
        <v>4156.54</v>
      </c>
      <c r="C25" s="349">
        <v>2499.06</v>
      </c>
      <c r="D25" s="349">
        <v>2385.54</v>
      </c>
      <c r="E25" s="349">
        <v>3522.13</v>
      </c>
      <c r="F25" s="349">
        <v>2677.28</v>
      </c>
      <c r="G25" s="345">
        <f t="shared" ref="G25:G34" si="4">(B25-C25)/C25</f>
        <v>0.66324137875841305</v>
      </c>
      <c r="H25" s="345">
        <f t="shared" ref="H25:H34" si="5">(C25-D25)/D25</f>
        <v>4.75867099273121E-2</v>
      </c>
      <c r="I25" s="345">
        <f t="shared" ref="I25:I34" si="6">(D25-E25)/E25</f>
        <v>-0.32269961642528799</v>
      </c>
      <c r="J25" s="345">
        <f t="shared" ref="J25:J34" si="7">(E25-F25)/F25</f>
        <v>0.31556281001613601</v>
      </c>
    </row>
    <row r="26" spans="1:10" ht="14.25" customHeight="1" x14ac:dyDescent="0.3">
      <c r="A26" s="248" t="s">
        <v>333</v>
      </c>
      <c r="B26" s="249">
        <v>645.61</v>
      </c>
      <c r="C26" s="249">
        <v>663.59</v>
      </c>
      <c r="D26" s="249">
        <v>628.33000000000004</v>
      </c>
      <c r="E26" s="249">
        <v>443.9</v>
      </c>
      <c r="F26" s="249">
        <v>441.17</v>
      </c>
      <c r="G26" s="345">
        <f t="shared" si="4"/>
        <v>-2.7095043626335601E-2</v>
      </c>
      <c r="H26" s="345">
        <f t="shared" si="5"/>
        <v>5.6117008578294797E-2</v>
      </c>
      <c r="I26" s="345">
        <f t="shared" si="6"/>
        <v>0.415476458661861</v>
      </c>
      <c r="J26" s="345">
        <f t="shared" si="7"/>
        <v>6.1880907586643703E-3</v>
      </c>
    </row>
    <row r="27" spans="1:10" ht="14.25" customHeight="1" x14ac:dyDescent="0.3">
      <c r="A27" s="348" t="s">
        <v>334</v>
      </c>
      <c r="B27" s="349">
        <v>4737.4799999999996</v>
      </c>
      <c r="C27" s="349">
        <v>3230.51</v>
      </c>
      <c r="D27" s="349">
        <v>1961.72</v>
      </c>
      <c r="E27" s="349">
        <v>18294.689999999999</v>
      </c>
      <c r="F27" s="349">
        <v>17076.68</v>
      </c>
      <c r="G27" s="345">
        <f t="shared" si="4"/>
        <v>0.46648052474686602</v>
      </c>
      <c r="H27" s="345">
        <f t="shared" si="5"/>
        <v>0.64677425932345101</v>
      </c>
      <c r="I27" s="345">
        <f t="shared" si="6"/>
        <v>-0.89277107182466597</v>
      </c>
      <c r="J27" s="345">
        <f t="shared" si="7"/>
        <v>7.1325925179835797E-2</v>
      </c>
    </row>
    <row r="28" spans="1:10" ht="14.25" customHeight="1" x14ac:dyDescent="0.3">
      <c r="A28" s="248" t="s">
        <v>335</v>
      </c>
      <c r="B28" s="249">
        <v>0</v>
      </c>
      <c r="C28" s="249">
        <v>4.1399999999999997</v>
      </c>
      <c r="D28" s="249">
        <v>6.49</v>
      </c>
      <c r="E28" s="249">
        <v>5</v>
      </c>
      <c r="F28" s="249">
        <v>51.42</v>
      </c>
      <c r="G28" s="345">
        <f t="shared" si="4"/>
        <v>-1</v>
      </c>
      <c r="H28" s="345">
        <f t="shared" si="5"/>
        <v>-0.36209553158705698</v>
      </c>
      <c r="I28" s="345">
        <f t="shared" si="6"/>
        <v>0.29799999999999999</v>
      </c>
      <c r="J28" s="345">
        <f t="shared" si="7"/>
        <v>-0.90276157137300705</v>
      </c>
    </row>
    <row r="29" spans="1:10" ht="14.25" customHeight="1" x14ac:dyDescent="0.3">
      <c r="A29" s="346" t="s">
        <v>336</v>
      </c>
      <c r="B29" s="347">
        <v>9539.6299999999992</v>
      </c>
      <c r="C29" s="347">
        <v>6397.3</v>
      </c>
      <c r="D29" s="347">
        <v>4982.08</v>
      </c>
      <c r="E29" s="347">
        <v>22265.72</v>
      </c>
      <c r="F29" s="347">
        <v>20246.55</v>
      </c>
      <c r="G29" s="345">
        <f t="shared" si="4"/>
        <v>0.49119628593312797</v>
      </c>
      <c r="H29" s="345">
        <f t="shared" si="5"/>
        <v>0.28406207848930598</v>
      </c>
      <c r="I29" s="345">
        <f t="shared" si="6"/>
        <v>-0.77624437925205203</v>
      </c>
      <c r="J29" s="345">
        <f t="shared" si="7"/>
        <v>9.9729089647372093E-2</v>
      </c>
    </row>
    <row r="30" spans="1:10" ht="14.25" customHeight="1" x14ac:dyDescent="0.3">
      <c r="A30" s="348" t="s">
        <v>337</v>
      </c>
      <c r="B30" s="349">
        <v>1115.3399999999999</v>
      </c>
      <c r="C30" s="349">
        <v>991.65</v>
      </c>
      <c r="D30" s="349">
        <v>886.72</v>
      </c>
      <c r="E30" s="349">
        <v>987.43</v>
      </c>
      <c r="F30" s="349">
        <v>984.88</v>
      </c>
      <c r="G30" s="345">
        <f t="shared" si="4"/>
        <v>0.124731508092573</v>
      </c>
      <c r="H30" s="345">
        <f t="shared" si="5"/>
        <v>0.11833498736918099</v>
      </c>
      <c r="I30" s="345">
        <f t="shared" si="6"/>
        <v>-0.101992039942072</v>
      </c>
      <c r="J30" s="345">
        <f t="shared" si="7"/>
        <v>2.5891479164974001E-3</v>
      </c>
    </row>
    <row r="31" spans="1:10" ht="14.25" customHeight="1" x14ac:dyDescent="0.3">
      <c r="A31" s="248" t="s">
        <v>338</v>
      </c>
      <c r="B31" s="249">
        <v>296.25</v>
      </c>
      <c r="C31" s="249">
        <v>265.89</v>
      </c>
      <c r="D31" s="249">
        <v>297.5</v>
      </c>
      <c r="E31" s="249">
        <v>530.95000000000005</v>
      </c>
      <c r="F31" s="249">
        <v>408.28</v>
      </c>
      <c r="G31" s="345">
        <f t="shared" si="4"/>
        <v>0.114182556696378</v>
      </c>
      <c r="H31" s="345">
        <f t="shared" si="5"/>
        <v>-0.106252100840336</v>
      </c>
      <c r="I31" s="345">
        <f t="shared" si="6"/>
        <v>-0.43968358602504898</v>
      </c>
      <c r="J31" s="345">
        <f t="shared" si="7"/>
        <v>0.300455569707064</v>
      </c>
    </row>
    <row r="32" spans="1:10" ht="14.25" customHeight="1" x14ac:dyDescent="0.3">
      <c r="A32" s="348" t="s">
        <v>339</v>
      </c>
      <c r="B32" s="349">
        <v>769.64</v>
      </c>
      <c r="C32" s="349">
        <v>724.43</v>
      </c>
      <c r="D32" s="349">
        <v>705.06</v>
      </c>
      <c r="E32" s="349">
        <v>682.99</v>
      </c>
      <c r="F32" s="349">
        <v>901.16</v>
      </c>
      <c r="G32" s="345">
        <f t="shared" si="4"/>
        <v>6.2407686042819897E-2</v>
      </c>
      <c r="H32" s="345">
        <f t="shared" si="5"/>
        <v>2.7472839190990798E-2</v>
      </c>
      <c r="I32" s="345">
        <f t="shared" si="6"/>
        <v>3.2313796688091999E-2</v>
      </c>
      <c r="J32" s="345">
        <f t="shared" si="7"/>
        <v>-0.242099072306805</v>
      </c>
    </row>
    <row r="33" spans="1:10" ht="14.25" customHeight="1" x14ac:dyDescent="0.3">
      <c r="A33" s="248" t="s">
        <v>340</v>
      </c>
      <c r="B33" s="249">
        <v>5816.66</v>
      </c>
      <c r="C33" s="249">
        <v>5562.82</v>
      </c>
      <c r="D33" s="249">
        <v>5309.48</v>
      </c>
      <c r="E33" s="249">
        <v>4449.79</v>
      </c>
      <c r="F33" s="249">
        <v>3695.91</v>
      </c>
      <c r="G33" s="345">
        <f t="shared" si="4"/>
        <v>4.5631532208484198E-2</v>
      </c>
      <c r="H33" s="345">
        <f t="shared" si="5"/>
        <v>4.77146537890717E-2</v>
      </c>
      <c r="I33" s="345">
        <f t="shared" si="6"/>
        <v>0.19319788124832801</v>
      </c>
      <c r="J33" s="345">
        <f t="shared" si="7"/>
        <v>0.20397682844008699</v>
      </c>
    </row>
    <row r="34" spans="1:10" ht="14.25" customHeight="1" x14ac:dyDescent="0.3">
      <c r="A34" s="346" t="s">
        <v>341</v>
      </c>
      <c r="B34" s="347">
        <v>17537.52</v>
      </c>
      <c r="C34" s="347">
        <v>13942.09</v>
      </c>
      <c r="D34" s="347">
        <v>12180.84</v>
      </c>
      <c r="E34" s="347">
        <v>28916.880000000001</v>
      </c>
      <c r="F34" s="347">
        <v>26236.78</v>
      </c>
      <c r="G34" s="345">
        <f t="shared" si="4"/>
        <v>0.25788314377543098</v>
      </c>
      <c r="H34" s="345">
        <f t="shared" si="5"/>
        <v>0.14459183438909001</v>
      </c>
      <c r="I34" s="345">
        <f t="shared" si="6"/>
        <v>-0.57876368404890199</v>
      </c>
      <c r="J34" s="345">
        <f t="shared" si="7"/>
        <v>0.10215049255282101</v>
      </c>
    </row>
    <row r="35" spans="1:10" ht="14.25" customHeight="1" x14ac:dyDescent="0.3">
      <c r="A35" s="344" t="s">
        <v>342</v>
      </c>
      <c r="B35" s="342"/>
      <c r="C35" s="342"/>
      <c r="D35" s="342"/>
      <c r="E35" s="342"/>
      <c r="F35" s="342"/>
      <c r="G35" s="342"/>
      <c r="H35" s="342"/>
      <c r="I35" s="342"/>
      <c r="J35" s="343"/>
    </row>
    <row r="36" spans="1:10" ht="14.25" customHeight="1" x14ac:dyDescent="0.3">
      <c r="A36" s="348" t="s">
        <v>343</v>
      </c>
      <c r="B36" s="349">
        <v>2626.89</v>
      </c>
      <c r="C36" s="349">
        <v>2738.92</v>
      </c>
      <c r="D36" s="349">
        <v>2660.58</v>
      </c>
      <c r="E36" s="349">
        <v>2164.9</v>
      </c>
      <c r="F36" s="349">
        <v>921.72</v>
      </c>
      <c r="G36" s="345">
        <f t="shared" ref="G36:J38" si="8">(B36-C36)/C36</f>
        <v>-4.09029836577922E-2</v>
      </c>
      <c r="H36" s="345">
        <f t="shared" si="8"/>
        <v>2.9444707544971499E-2</v>
      </c>
      <c r="I36" s="345">
        <f t="shared" si="8"/>
        <v>0.22896207677029001</v>
      </c>
      <c r="J36" s="345">
        <f t="shared" si="8"/>
        <v>1.3487610120210001</v>
      </c>
    </row>
    <row r="37" spans="1:10" ht="14.25" customHeight="1" x14ac:dyDescent="0.3">
      <c r="A37" s="248" t="s">
        <v>344</v>
      </c>
      <c r="B37" s="249">
        <v>7734.19</v>
      </c>
      <c r="C37" s="249">
        <v>3499.21</v>
      </c>
      <c r="D37" s="249">
        <v>2656.02</v>
      </c>
      <c r="E37" s="249">
        <v>2954.3</v>
      </c>
      <c r="F37" s="249">
        <v>2139.89</v>
      </c>
      <c r="G37" s="345">
        <f t="shared" si="8"/>
        <v>1.21026746036963</v>
      </c>
      <c r="H37" s="345">
        <f t="shared" si="8"/>
        <v>0.31746372391774202</v>
      </c>
      <c r="I37" s="345">
        <f t="shared" si="8"/>
        <v>-0.100964695528552</v>
      </c>
      <c r="J37" s="345">
        <f t="shared" si="8"/>
        <v>0.38058498334026503</v>
      </c>
    </row>
    <row r="38" spans="1:10" ht="14.25" customHeight="1" x14ac:dyDescent="0.3">
      <c r="A38" s="348" t="s">
        <v>345</v>
      </c>
      <c r="B38" s="349">
        <v>10030.75</v>
      </c>
      <c r="C38" s="349">
        <v>12272.95</v>
      </c>
      <c r="D38" s="349">
        <v>7048.04</v>
      </c>
      <c r="E38" s="349">
        <v>7940.17</v>
      </c>
      <c r="F38" s="349">
        <v>5806.01</v>
      </c>
      <c r="G38" s="345">
        <f t="shared" si="8"/>
        <v>-0.18269446221161201</v>
      </c>
      <c r="H38" s="345">
        <f t="shared" si="8"/>
        <v>0.74132808553867502</v>
      </c>
      <c r="I38" s="345">
        <f t="shared" si="8"/>
        <v>-0.112356536446953</v>
      </c>
      <c r="J38" s="345">
        <f t="shared" si="8"/>
        <v>0.36757773410655498</v>
      </c>
    </row>
    <row r="39" spans="1:10" ht="14.25" customHeight="1" x14ac:dyDescent="0.3">
      <c r="A39" s="248" t="s">
        <v>346</v>
      </c>
      <c r="B39" s="249">
        <v>51.68</v>
      </c>
      <c r="C39" s="249">
        <v>0</v>
      </c>
      <c r="D39" s="249">
        <v>0</v>
      </c>
      <c r="E39" s="249">
        <v>0</v>
      </c>
      <c r="F39" s="249">
        <v>0</v>
      </c>
      <c r="G39" s="345"/>
      <c r="H39" s="345"/>
      <c r="I39" s="345"/>
      <c r="J39" s="345"/>
    </row>
    <row r="40" spans="1:10" ht="14.25" customHeight="1" x14ac:dyDescent="0.3">
      <c r="A40" s="348" t="s">
        <v>347</v>
      </c>
      <c r="B40" s="349">
        <v>2846.7</v>
      </c>
      <c r="C40" s="349">
        <v>2895.92</v>
      </c>
      <c r="D40" s="349">
        <v>3396.22</v>
      </c>
      <c r="E40" s="349">
        <v>2715.69</v>
      </c>
      <c r="F40" s="349">
        <v>1680.5</v>
      </c>
      <c r="G40" s="345">
        <f t="shared" ref="G40:J42" si="9">(B40-C40)/C40</f>
        <v>-1.6996325865355499E-2</v>
      </c>
      <c r="H40" s="345">
        <f t="shared" si="9"/>
        <v>-0.147310833809353</v>
      </c>
      <c r="I40" s="345">
        <f t="shared" si="9"/>
        <v>0.25059193059590701</v>
      </c>
      <c r="J40" s="345">
        <f t="shared" si="9"/>
        <v>0.61600119012198795</v>
      </c>
    </row>
    <row r="41" spans="1:10" ht="14.25" customHeight="1" x14ac:dyDescent="0.3">
      <c r="A41" s="346" t="s">
        <v>348</v>
      </c>
      <c r="B41" s="347">
        <v>23290.21</v>
      </c>
      <c r="C41" s="347">
        <v>21407</v>
      </c>
      <c r="D41" s="347">
        <v>15760.86</v>
      </c>
      <c r="E41" s="347">
        <v>15775.06</v>
      </c>
      <c r="F41" s="347">
        <v>10548.12</v>
      </c>
      <c r="G41" s="345">
        <f t="shared" si="9"/>
        <v>8.7971691502779406E-2</v>
      </c>
      <c r="H41" s="345">
        <f t="shared" si="9"/>
        <v>0.35823806568930899</v>
      </c>
      <c r="I41" s="345">
        <f t="shared" si="9"/>
        <v>-9.00155054877694E-4</v>
      </c>
      <c r="J41" s="345">
        <f t="shared" si="9"/>
        <v>0.49553285324778201</v>
      </c>
    </row>
    <row r="42" spans="1:10" ht="14.25" customHeight="1" x14ac:dyDescent="0.3">
      <c r="A42" s="346" t="s">
        <v>349</v>
      </c>
      <c r="B42" s="347">
        <v>40827.730000000003</v>
      </c>
      <c r="C42" s="347">
        <v>35349.089999999997</v>
      </c>
      <c r="D42" s="347">
        <v>27941.7</v>
      </c>
      <c r="E42" s="347">
        <v>44691.94</v>
      </c>
      <c r="F42" s="347">
        <v>36784.9</v>
      </c>
      <c r="G42" s="345">
        <f t="shared" si="9"/>
        <v>0.15498673374618699</v>
      </c>
      <c r="H42" s="345">
        <f t="shared" si="9"/>
        <v>0.26510162230644502</v>
      </c>
      <c r="I42" s="345">
        <f t="shared" si="9"/>
        <v>-0.37479330724958498</v>
      </c>
      <c r="J42" s="345">
        <f t="shared" si="9"/>
        <v>0.21495341838634899</v>
      </c>
    </row>
    <row r="44" spans="1:10" ht="14.25" customHeight="1" x14ac:dyDescent="0.3">
      <c r="A44" s="341" t="s">
        <v>350</v>
      </c>
      <c r="B44" s="342"/>
      <c r="C44" s="342"/>
      <c r="D44" s="342"/>
      <c r="E44" s="342"/>
      <c r="F44" s="342"/>
      <c r="G44" s="342"/>
      <c r="H44" s="342"/>
      <c r="I44" s="342"/>
      <c r="J44" s="343"/>
    </row>
    <row r="45" spans="1:10" ht="14.25" customHeight="1" x14ac:dyDescent="0.3">
      <c r="A45" s="344" t="s">
        <v>351</v>
      </c>
      <c r="B45" s="342"/>
      <c r="C45" s="342"/>
      <c r="D45" s="342"/>
      <c r="E45" s="342"/>
      <c r="F45" s="342"/>
      <c r="G45" s="342"/>
      <c r="H45" s="342"/>
      <c r="I45" s="342"/>
      <c r="J45" s="343"/>
    </row>
    <row r="46" spans="1:10" ht="14.25" customHeight="1" x14ac:dyDescent="0.3">
      <c r="A46" s="248" t="s">
        <v>352</v>
      </c>
      <c r="B46" s="249">
        <v>25533.63</v>
      </c>
      <c r="C46" s="249">
        <v>7742.6</v>
      </c>
      <c r="D46" s="249">
        <v>8951.59</v>
      </c>
      <c r="E46" s="249">
        <v>11783.56</v>
      </c>
      <c r="F46" s="249">
        <v>9795.84</v>
      </c>
      <c r="G46" s="314">
        <f t="shared" ref="G46:J47" si="10">IF(C46&lt;&gt;0,B46/C46-1,"")</f>
        <v>2.2978108129052299</v>
      </c>
      <c r="H46" s="314">
        <f t="shared" si="10"/>
        <v>-0.13505868789790401</v>
      </c>
      <c r="I46" s="314">
        <f t="shared" si="10"/>
        <v>-0.24033229346649099</v>
      </c>
      <c r="J46" s="314">
        <f t="shared" si="10"/>
        <v>0.20291470665098599</v>
      </c>
    </row>
    <row r="47" spans="1:10" ht="14.25" customHeight="1" x14ac:dyDescent="0.3">
      <c r="A47" s="348" t="s">
        <v>353</v>
      </c>
      <c r="B47" s="349">
        <v>448.19</v>
      </c>
      <c r="C47" s="349">
        <v>0</v>
      </c>
      <c r="D47" s="349">
        <v>0</v>
      </c>
      <c r="E47" s="349">
        <v>0</v>
      </c>
      <c r="F47" s="349">
        <v>0</v>
      </c>
      <c r="G47" s="314" t="str">
        <f t="shared" si="10"/>
        <v/>
      </c>
      <c r="H47" s="314" t="str">
        <f t="shared" si="10"/>
        <v/>
      </c>
      <c r="I47" s="314" t="str">
        <f t="shared" si="10"/>
        <v/>
      </c>
      <c r="J47" s="314" t="str">
        <f t="shared" si="10"/>
        <v/>
      </c>
    </row>
    <row r="48" spans="1:10" ht="14.25" customHeight="1" x14ac:dyDescent="0.3">
      <c r="A48" s="344" t="s">
        <v>354</v>
      </c>
      <c r="B48" s="342"/>
      <c r="C48" s="342"/>
      <c r="D48" s="342"/>
      <c r="E48" s="342"/>
      <c r="F48" s="342"/>
      <c r="G48" s="342"/>
      <c r="H48" s="342"/>
      <c r="I48" s="342"/>
      <c r="J48" s="343"/>
    </row>
    <row r="49" spans="1:10" ht="14.25" customHeight="1" x14ac:dyDescent="0.3">
      <c r="A49" s="248" t="s">
        <v>355</v>
      </c>
      <c r="B49" s="249">
        <v>841.9</v>
      </c>
      <c r="C49" s="249">
        <v>255.79</v>
      </c>
      <c r="D49" s="249">
        <v>255.79</v>
      </c>
      <c r="E49" s="249">
        <v>255.79</v>
      </c>
      <c r="F49" s="249">
        <v>255.79</v>
      </c>
      <c r="G49" s="314">
        <f>IF(C49&lt;&gt;0,B49/C49-1,"")</f>
        <v>2.29137182845303</v>
      </c>
      <c r="H49" s="314">
        <f>IF(D49&lt;&gt;0,C49/D49-1,"")</f>
        <v>0</v>
      </c>
      <c r="I49" s="314">
        <f>IF(E49&lt;&gt;0,D49/E49-1,"")</f>
        <v>0</v>
      </c>
      <c r="J49" s="314">
        <f>IF(F49&lt;&gt;0,E49/F49-1,"")</f>
        <v>0</v>
      </c>
    </row>
    <row r="50" spans="1:10" ht="14.25" customHeight="1" x14ac:dyDescent="0.3">
      <c r="A50" s="344" t="s">
        <v>356</v>
      </c>
      <c r="B50" s="342"/>
      <c r="C50" s="342"/>
      <c r="D50" s="342"/>
      <c r="E50" s="342"/>
      <c r="F50" s="342"/>
      <c r="G50" s="342"/>
      <c r="H50" s="342"/>
      <c r="I50" s="342"/>
      <c r="J50" s="343"/>
    </row>
    <row r="51" spans="1:10" ht="26.25" customHeight="1" x14ac:dyDescent="0.3">
      <c r="A51" s="348" t="s">
        <v>357</v>
      </c>
      <c r="B51" s="349">
        <v>536.44000000000005</v>
      </c>
      <c r="C51" s="349">
        <v>648.42999999999995</v>
      </c>
      <c r="D51" s="349">
        <v>476.01</v>
      </c>
      <c r="E51" s="349">
        <v>622.09</v>
      </c>
      <c r="F51" s="349">
        <v>321.25</v>
      </c>
      <c r="G51" s="314">
        <f t="shared" ref="G51:J52" si="11">IF(C51&lt;&gt;0,B51/C51-1,"")</f>
        <v>-0.17270946748299701</v>
      </c>
      <c r="H51" s="314">
        <f t="shared" si="11"/>
        <v>0.36221928110753998</v>
      </c>
      <c r="I51" s="314">
        <f t="shared" si="11"/>
        <v>-0.234821328103651</v>
      </c>
      <c r="J51" s="314">
        <f t="shared" si="11"/>
        <v>0.93646692607003901</v>
      </c>
    </row>
    <row r="52" spans="1:10" ht="26.25" customHeight="1" x14ac:dyDescent="0.3">
      <c r="A52" s="248" t="s">
        <v>358</v>
      </c>
      <c r="B52" s="249">
        <v>707.84</v>
      </c>
      <c r="C52" s="249">
        <v>707.84</v>
      </c>
      <c r="D52" s="249">
        <v>707.84</v>
      </c>
      <c r="E52" s="249">
        <v>809.26</v>
      </c>
      <c r="F52" s="249">
        <v>806.74</v>
      </c>
      <c r="G52" s="314">
        <f t="shared" si="11"/>
        <v>0</v>
      </c>
      <c r="H52" s="314">
        <f t="shared" si="11"/>
        <v>0</v>
      </c>
      <c r="I52" s="314">
        <f t="shared" si="11"/>
        <v>-0.12532437041247599</v>
      </c>
      <c r="J52" s="314">
        <f t="shared" si="11"/>
        <v>3.12368297096954E-3</v>
      </c>
    </row>
    <row r="53" spans="1:10" ht="14.25" customHeight="1" x14ac:dyDescent="0.3">
      <c r="A53" s="344" t="s">
        <v>359</v>
      </c>
      <c r="B53" s="342"/>
      <c r="C53" s="342"/>
      <c r="D53" s="342"/>
      <c r="E53" s="342"/>
      <c r="F53" s="342"/>
      <c r="G53" s="342"/>
      <c r="H53" s="342"/>
      <c r="I53" s="342"/>
      <c r="J53" s="343"/>
    </row>
    <row r="54" spans="1:10" ht="14.25" customHeight="1" x14ac:dyDescent="0.3">
      <c r="A54" s="348" t="s">
        <v>360</v>
      </c>
      <c r="B54" s="349"/>
      <c r="C54" s="349"/>
      <c r="D54" s="349"/>
      <c r="E54" s="349"/>
      <c r="F54" s="349"/>
      <c r="G54" s="314" t="str">
        <f t="shared" ref="G54:J55" si="12">IF(C54&lt;&gt;0,B54/C54-1,"")</f>
        <v/>
      </c>
      <c r="H54" s="314" t="str">
        <f t="shared" si="12"/>
        <v/>
      </c>
      <c r="I54" s="314" t="str">
        <f t="shared" si="12"/>
        <v/>
      </c>
      <c r="J54" s="314" t="str">
        <f t="shared" si="12"/>
        <v/>
      </c>
    </row>
    <row r="55" spans="1:10" ht="14.25" customHeight="1" x14ac:dyDescent="0.3">
      <c r="A55" s="94" t="s">
        <v>361</v>
      </c>
      <c r="B55" s="95"/>
      <c r="C55" s="95"/>
      <c r="D55" s="95"/>
      <c r="E55" s="95"/>
      <c r="F55" s="95"/>
      <c r="G55" s="165" t="str">
        <f t="shared" si="12"/>
        <v/>
      </c>
      <c r="H55" s="165" t="str">
        <f t="shared" si="12"/>
        <v/>
      </c>
      <c r="I55" s="165" t="str">
        <f t="shared" si="12"/>
        <v/>
      </c>
      <c r="J55" s="165" t="str">
        <f t="shared" si="12"/>
        <v/>
      </c>
    </row>
  </sheetData>
  <mergeCells count="13">
    <mergeCell ref="A1:J1"/>
    <mergeCell ref="A4:J4"/>
    <mergeCell ref="A5:J5"/>
    <mergeCell ref="A11:J11"/>
    <mergeCell ref="A16:J16"/>
    <mergeCell ref="A48:J48"/>
    <mergeCell ref="A50:J50"/>
    <mergeCell ref="A53:J53"/>
    <mergeCell ref="A23:J23"/>
    <mergeCell ref="A24:J24"/>
    <mergeCell ref="A35:J35"/>
    <mergeCell ref="A44:J44"/>
    <mergeCell ref="A45:J45"/>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5"/>
  <sheetViews>
    <sheetView showGridLines="0" topLeftCell="A25" workbookViewId="0">
      <selection activeCell="B13" sqref="B13"/>
    </sheetView>
  </sheetViews>
  <sheetFormatPr defaultColWidth="8.6640625" defaultRowHeight="14.4" x14ac:dyDescent="0.3"/>
  <cols>
    <col min="1" max="1" width="48" customWidth="1"/>
    <col min="2" max="6" width="14" customWidth="1"/>
    <col min="7" max="10" width="16" customWidth="1"/>
  </cols>
  <sheetData>
    <row r="1" spans="1:10" ht="21.75" customHeight="1" x14ac:dyDescent="0.3">
      <c r="A1" s="315" t="s">
        <v>362</v>
      </c>
      <c r="B1" s="225"/>
      <c r="C1" s="225"/>
      <c r="D1" s="225"/>
      <c r="E1" s="225"/>
      <c r="F1" s="225"/>
      <c r="G1" s="225"/>
      <c r="H1" s="225"/>
      <c r="I1" s="225"/>
      <c r="J1" s="226"/>
    </row>
    <row r="2" spans="1:10" ht="30" customHeight="1" x14ac:dyDescent="0.3">
      <c r="A2" s="316" t="s">
        <v>299</v>
      </c>
      <c r="B2" s="317" t="s">
        <v>300</v>
      </c>
      <c r="C2" s="317" t="s">
        <v>301</v>
      </c>
      <c r="D2" s="317" t="s">
        <v>302</v>
      </c>
      <c r="E2" s="317" t="s">
        <v>303</v>
      </c>
      <c r="F2" s="317" t="s">
        <v>304</v>
      </c>
      <c r="G2" s="339" t="s">
        <v>305</v>
      </c>
      <c r="H2" s="339" t="s">
        <v>306</v>
      </c>
      <c r="I2" s="339" t="s">
        <v>307</v>
      </c>
      <c r="J2" s="339" t="s">
        <v>308</v>
      </c>
    </row>
    <row r="3" spans="1:10" ht="18" customHeight="1" x14ac:dyDescent="0.3">
      <c r="A3" s="318" t="s">
        <v>309</v>
      </c>
      <c r="B3" s="319" t="s">
        <v>310</v>
      </c>
      <c r="C3" s="319" t="s">
        <v>310</v>
      </c>
      <c r="D3" s="319" t="s">
        <v>310</v>
      </c>
      <c r="E3" s="319" t="s">
        <v>310</v>
      </c>
      <c r="F3" s="319" t="s">
        <v>310</v>
      </c>
      <c r="G3" s="320"/>
      <c r="H3" s="320"/>
      <c r="I3" s="320"/>
      <c r="J3" s="320"/>
    </row>
    <row r="4" spans="1:10" ht="15.75" customHeight="1" x14ac:dyDescent="0.3">
      <c r="A4" s="321" t="s">
        <v>363</v>
      </c>
      <c r="B4" s="322"/>
      <c r="C4" s="322"/>
      <c r="D4" s="322"/>
      <c r="E4" s="322"/>
      <c r="F4" s="322"/>
      <c r="G4" s="322"/>
      <c r="H4" s="322"/>
      <c r="I4" s="322"/>
      <c r="J4" s="322"/>
    </row>
    <row r="5" spans="1:10" ht="15.75" customHeight="1" x14ac:dyDescent="0.3">
      <c r="A5" s="323" t="s">
        <v>364</v>
      </c>
      <c r="B5" s="324">
        <v>23663.58</v>
      </c>
      <c r="C5" s="324">
        <v>21289.96</v>
      </c>
      <c r="D5" s="324">
        <v>17661.099999999999</v>
      </c>
      <c r="E5" s="324">
        <v>25881.73</v>
      </c>
      <c r="F5" s="324">
        <v>15370.05</v>
      </c>
      <c r="G5" s="325">
        <f t="shared" ref="G5:J10" si="0">IF(C5=0,"",(B5-C5)/C5)</f>
        <v>0.111490110831585</v>
      </c>
      <c r="H5" s="325">
        <f t="shared" si="0"/>
        <v>0.205471912848011</v>
      </c>
      <c r="I5" s="325">
        <f t="shared" si="0"/>
        <v>-0.31762289460557702</v>
      </c>
      <c r="J5" s="325">
        <f t="shared" si="0"/>
        <v>0.68390668865748605</v>
      </c>
    </row>
    <row r="6" spans="1:10" ht="15.75" customHeight="1" x14ac:dyDescent="0.3">
      <c r="A6" s="323" t="s">
        <v>365</v>
      </c>
      <c r="B6" s="324">
        <v>23663.58</v>
      </c>
      <c r="C6" s="324">
        <v>21289.96</v>
      </c>
      <c r="D6" s="324">
        <v>17661.099999999999</v>
      </c>
      <c r="E6" s="324">
        <v>25881.73</v>
      </c>
      <c r="F6" s="324">
        <v>15370.05</v>
      </c>
      <c r="G6" s="325">
        <f t="shared" si="0"/>
        <v>0.111490110831585</v>
      </c>
      <c r="H6" s="325">
        <f t="shared" si="0"/>
        <v>0.205471912848011</v>
      </c>
      <c r="I6" s="325">
        <f t="shared" si="0"/>
        <v>-0.31762289460557702</v>
      </c>
      <c r="J6" s="325">
        <f t="shared" si="0"/>
        <v>0.68390668865748605</v>
      </c>
    </row>
    <row r="7" spans="1:10" ht="15.75" customHeight="1" x14ac:dyDescent="0.3">
      <c r="A7" s="326" t="s">
        <v>366</v>
      </c>
      <c r="B7" s="327">
        <v>4.74</v>
      </c>
      <c r="C7" s="327">
        <v>3.85</v>
      </c>
      <c r="D7" s="327">
        <v>5.78</v>
      </c>
      <c r="E7" s="327">
        <v>0</v>
      </c>
      <c r="F7" s="327">
        <v>0.01</v>
      </c>
      <c r="G7" s="325">
        <f t="shared" si="0"/>
        <v>0.231168831168831</v>
      </c>
      <c r="H7" s="325">
        <f t="shared" si="0"/>
        <v>-0.33391003460207602</v>
      </c>
      <c r="I7" s="325" t="str">
        <f t="shared" si="0"/>
        <v/>
      </c>
      <c r="J7" s="325">
        <f t="shared" si="0"/>
        <v>-1</v>
      </c>
    </row>
    <row r="8" spans="1:10" ht="15.75" customHeight="1" x14ac:dyDescent="0.3">
      <c r="A8" s="328" t="s">
        <v>367</v>
      </c>
      <c r="B8" s="329">
        <v>23668.32</v>
      </c>
      <c r="C8" s="329">
        <v>21293.81</v>
      </c>
      <c r="D8" s="329">
        <v>17666.88</v>
      </c>
      <c r="E8" s="329">
        <v>25881.73</v>
      </c>
      <c r="F8" s="329">
        <v>15370.06</v>
      </c>
      <c r="G8" s="325">
        <f t="shared" si="0"/>
        <v>0.11151174918908401</v>
      </c>
      <c r="H8" s="325">
        <f t="shared" si="0"/>
        <v>0.20529544548896</v>
      </c>
      <c r="I8" s="325">
        <f t="shared" si="0"/>
        <v>-0.31739957104876698</v>
      </c>
      <c r="J8" s="325">
        <f t="shared" si="0"/>
        <v>0.68390559308161503</v>
      </c>
    </row>
    <row r="9" spans="1:10" ht="15.75" customHeight="1" x14ac:dyDescent="0.3">
      <c r="A9" s="265" t="s">
        <v>272</v>
      </c>
      <c r="B9" s="266">
        <v>1590.24</v>
      </c>
      <c r="C9" s="266">
        <v>1355.54</v>
      </c>
      <c r="D9" s="266">
        <v>747.85</v>
      </c>
      <c r="E9" s="266">
        <v>718.33</v>
      </c>
      <c r="F9" s="266">
        <v>349.88</v>
      </c>
      <c r="G9" s="325">
        <f t="shared" si="0"/>
        <v>0.173141331130029</v>
      </c>
      <c r="H9" s="325">
        <f t="shared" si="0"/>
        <v>0.81258273717991603</v>
      </c>
      <c r="I9" s="325">
        <f t="shared" si="0"/>
        <v>4.1095318307741498E-2</v>
      </c>
      <c r="J9" s="325">
        <f t="shared" si="0"/>
        <v>1.05307534011661</v>
      </c>
    </row>
    <row r="10" spans="1:10" ht="15.75" customHeight="1" x14ac:dyDescent="0.3">
      <c r="A10" s="328" t="s">
        <v>368</v>
      </c>
      <c r="B10" s="329">
        <v>25258.560000000001</v>
      </c>
      <c r="C10" s="329">
        <v>22649.35</v>
      </c>
      <c r="D10" s="329">
        <v>18414.73</v>
      </c>
      <c r="E10" s="329">
        <v>26600.06</v>
      </c>
      <c r="F10" s="329">
        <v>15719.94</v>
      </c>
      <c r="G10" s="325">
        <f t="shared" si="0"/>
        <v>0.115200215458722</v>
      </c>
      <c r="H10" s="325">
        <f t="shared" si="0"/>
        <v>0.229958299687261</v>
      </c>
      <c r="I10" s="325">
        <f t="shared" si="0"/>
        <v>-0.30771847883049902</v>
      </c>
      <c r="J10" s="325">
        <f t="shared" si="0"/>
        <v>0.69212223456323596</v>
      </c>
    </row>
    <row r="11" spans="1:10" ht="15.75" customHeight="1" x14ac:dyDescent="0.3">
      <c r="A11" s="321" t="s">
        <v>369</v>
      </c>
      <c r="B11" s="322"/>
      <c r="C11" s="322"/>
      <c r="D11" s="322"/>
      <c r="E11" s="322"/>
      <c r="F11" s="322"/>
      <c r="G11" s="322"/>
      <c r="H11" s="322"/>
      <c r="I11" s="322"/>
      <c r="J11" s="322"/>
    </row>
    <row r="12" spans="1:10" ht="15.75" customHeight="1" x14ac:dyDescent="0.3">
      <c r="A12" s="326" t="s">
        <v>370</v>
      </c>
      <c r="B12" s="327">
        <v>772.11</v>
      </c>
      <c r="C12" s="327">
        <v>777.39</v>
      </c>
      <c r="D12" s="327">
        <v>771</v>
      </c>
      <c r="E12" s="327">
        <v>625.99</v>
      </c>
      <c r="F12" s="327">
        <v>410.21</v>
      </c>
      <c r="G12" s="325">
        <f t="shared" ref="G12:G23" si="1">IF(C12=0,"",(B12-C12)/C12)</f>
        <v>-6.7919577046269899E-3</v>
      </c>
      <c r="H12" s="325">
        <f t="shared" ref="H12:H23" si="2">IF(D12=0,"",(C12-D12)/D12)</f>
        <v>8.2879377431906397E-3</v>
      </c>
      <c r="I12" s="325">
        <f t="shared" ref="I12:I23" si="3">IF(E12=0,"",(D12-E12)/E12)</f>
        <v>0.23164906787648401</v>
      </c>
      <c r="J12" s="325">
        <f t="shared" ref="J12:J23" si="4">IF(F12=0,"",(E12-F12)/F12)</f>
        <v>0.52602325638087799</v>
      </c>
    </row>
    <row r="13" spans="1:10" ht="15.75" customHeight="1" x14ac:dyDescent="0.3">
      <c r="A13" s="265" t="s">
        <v>371</v>
      </c>
      <c r="B13" s="266">
        <v>197.09</v>
      </c>
      <c r="C13" s="266">
        <v>0</v>
      </c>
      <c r="D13" s="266">
        <v>0</v>
      </c>
      <c r="E13" s="266">
        <v>0</v>
      </c>
      <c r="F13" s="266">
        <v>0</v>
      </c>
      <c r="G13" s="325" t="str">
        <f t="shared" si="1"/>
        <v/>
      </c>
      <c r="H13" s="325" t="str">
        <f t="shared" si="2"/>
        <v/>
      </c>
      <c r="I13" s="325" t="str">
        <f t="shared" si="3"/>
        <v/>
      </c>
      <c r="J13" s="325" t="str">
        <f t="shared" si="4"/>
        <v/>
      </c>
    </row>
    <row r="14" spans="1:10" ht="15.75" customHeight="1" x14ac:dyDescent="0.3">
      <c r="A14" s="326" t="s">
        <v>372</v>
      </c>
      <c r="B14" s="327">
        <v>10327.27</v>
      </c>
      <c r="C14" s="327">
        <v>9460.2800000000007</v>
      </c>
      <c r="D14" s="327">
        <v>7934.97</v>
      </c>
      <c r="E14" s="327">
        <v>9986.76</v>
      </c>
      <c r="F14" s="327">
        <v>2969.38</v>
      </c>
      <c r="G14" s="325">
        <f t="shared" si="1"/>
        <v>9.1645278998084598E-2</v>
      </c>
      <c r="H14" s="325">
        <f t="shared" si="2"/>
        <v>0.192226309614277</v>
      </c>
      <c r="I14" s="325">
        <f t="shared" si="3"/>
        <v>-0.205451017146702</v>
      </c>
      <c r="J14" s="325">
        <f t="shared" si="4"/>
        <v>2.3632475466258902</v>
      </c>
    </row>
    <row r="15" spans="1:10" ht="15.75" customHeight="1" x14ac:dyDescent="0.3">
      <c r="A15" s="265" t="s">
        <v>373</v>
      </c>
      <c r="B15" s="266">
        <v>81.97</v>
      </c>
      <c r="C15" s="266">
        <v>-66.08</v>
      </c>
      <c r="D15" s="266">
        <v>-496.6</v>
      </c>
      <c r="E15" s="266">
        <v>-1200.5</v>
      </c>
      <c r="F15" s="266">
        <v>-161.81</v>
      </c>
      <c r="G15" s="325">
        <f t="shared" si="1"/>
        <v>-2.2404661016949201</v>
      </c>
      <c r="H15" s="325">
        <f t="shared" si="2"/>
        <v>-0.866935159081756</v>
      </c>
      <c r="I15" s="325">
        <f t="shared" si="3"/>
        <v>-0.58633902540608096</v>
      </c>
      <c r="J15" s="325">
        <f t="shared" si="4"/>
        <v>6.4191953525740102</v>
      </c>
    </row>
    <row r="16" spans="1:10" ht="15.75" customHeight="1" x14ac:dyDescent="0.3">
      <c r="A16" s="326" t="s">
        <v>374</v>
      </c>
      <c r="B16" s="327">
        <v>1781.44</v>
      </c>
      <c r="C16" s="327">
        <v>1619.44</v>
      </c>
      <c r="D16" s="327">
        <v>1526.5</v>
      </c>
      <c r="E16" s="327">
        <v>1333.68</v>
      </c>
      <c r="F16" s="327">
        <v>1081.81</v>
      </c>
      <c r="G16" s="325">
        <f t="shared" si="1"/>
        <v>0.10003457985476499</v>
      </c>
      <c r="H16" s="325">
        <f t="shared" si="2"/>
        <v>6.0884376023583403E-2</v>
      </c>
      <c r="I16" s="325">
        <f t="shared" si="3"/>
        <v>0.14457740987343301</v>
      </c>
      <c r="J16" s="325">
        <f t="shared" si="4"/>
        <v>0.23282276924783499</v>
      </c>
    </row>
    <row r="17" spans="1:10" ht="15.75" customHeight="1" x14ac:dyDescent="0.3">
      <c r="A17" s="265" t="s">
        <v>267</v>
      </c>
      <c r="B17" s="266">
        <v>177.65</v>
      </c>
      <c r="C17" s="266">
        <v>78.239999999999995</v>
      </c>
      <c r="D17" s="266">
        <v>75.23</v>
      </c>
      <c r="E17" s="266">
        <v>39.06</v>
      </c>
      <c r="F17" s="266">
        <v>16.809999999999999</v>
      </c>
      <c r="G17" s="325">
        <f t="shared" si="1"/>
        <v>1.2705777096114499</v>
      </c>
      <c r="H17" s="325">
        <f t="shared" si="2"/>
        <v>4.0010634055562801E-2</v>
      </c>
      <c r="I17" s="325">
        <f t="shared" si="3"/>
        <v>0.92601126472094197</v>
      </c>
      <c r="J17" s="325">
        <f t="shared" si="4"/>
        <v>1.32361689470553</v>
      </c>
    </row>
    <row r="18" spans="1:10" ht="15.75" customHeight="1" x14ac:dyDescent="0.3">
      <c r="A18" s="326" t="s">
        <v>375</v>
      </c>
      <c r="B18" s="327">
        <v>372.78</v>
      </c>
      <c r="C18" s="327">
        <v>337.05</v>
      </c>
      <c r="D18" s="327">
        <v>335.41</v>
      </c>
      <c r="E18" s="327">
        <v>286.85000000000002</v>
      </c>
      <c r="F18" s="327">
        <v>227.83</v>
      </c>
      <c r="G18" s="325">
        <f t="shared" si="1"/>
        <v>0.106008010680908</v>
      </c>
      <c r="H18" s="325">
        <f t="shared" si="2"/>
        <v>4.8895381771562798E-3</v>
      </c>
      <c r="I18" s="325">
        <f t="shared" si="3"/>
        <v>0.169287083841729</v>
      </c>
      <c r="J18" s="325">
        <f t="shared" si="4"/>
        <v>0.25905280252820101</v>
      </c>
    </row>
    <row r="19" spans="1:10" ht="15.75" customHeight="1" x14ac:dyDescent="0.3">
      <c r="A19" s="265" t="s">
        <v>266</v>
      </c>
      <c r="B19" s="266">
        <v>2250.58</v>
      </c>
      <c r="C19" s="266">
        <v>2147.56</v>
      </c>
      <c r="D19" s="266">
        <v>1867.97</v>
      </c>
      <c r="E19" s="266">
        <v>2546.81</v>
      </c>
      <c r="F19" s="266">
        <v>2274.61</v>
      </c>
      <c r="G19" s="325">
        <f t="shared" si="1"/>
        <v>4.7970720259271002E-2</v>
      </c>
      <c r="H19" s="325">
        <f t="shared" si="2"/>
        <v>0.149675851325235</v>
      </c>
      <c r="I19" s="325">
        <f t="shared" si="3"/>
        <v>-0.26654520753413102</v>
      </c>
      <c r="J19" s="325">
        <f t="shared" si="4"/>
        <v>0.11966886631114799</v>
      </c>
    </row>
    <row r="20" spans="1:10" ht="15.75" customHeight="1" x14ac:dyDescent="0.3">
      <c r="A20" s="328" t="s">
        <v>268</v>
      </c>
      <c r="B20" s="329">
        <v>15960.89</v>
      </c>
      <c r="C20" s="329">
        <v>14353.88</v>
      </c>
      <c r="D20" s="329">
        <v>12014.48</v>
      </c>
      <c r="E20" s="329">
        <v>13618.65</v>
      </c>
      <c r="F20" s="329">
        <v>6818.84</v>
      </c>
      <c r="G20" s="325">
        <f t="shared" si="1"/>
        <v>0.111956488419856</v>
      </c>
      <c r="H20" s="325">
        <f t="shared" si="2"/>
        <v>0.19471504384709101</v>
      </c>
      <c r="I20" s="325">
        <f t="shared" si="3"/>
        <v>-0.117792145330117</v>
      </c>
      <c r="J20" s="325">
        <f t="shared" si="4"/>
        <v>0.99720920273829605</v>
      </c>
    </row>
    <row r="21" spans="1:10" ht="15.75" customHeight="1" x14ac:dyDescent="0.3">
      <c r="A21" s="328" t="s">
        <v>376</v>
      </c>
      <c r="B21" s="329">
        <v>9297.67</v>
      </c>
      <c r="C21" s="329">
        <v>8295.4699999999993</v>
      </c>
      <c r="D21" s="329">
        <v>6400.25</v>
      </c>
      <c r="E21" s="329">
        <v>12981.41</v>
      </c>
      <c r="F21" s="329">
        <v>8901.1</v>
      </c>
      <c r="G21" s="325">
        <f t="shared" si="1"/>
        <v>0.120812925608796</v>
      </c>
      <c r="H21" s="325">
        <f t="shared" si="2"/>
        <v>0.29611655794695502</v>
      </c>
      <c r="I21" s="325">
        <f t="shared" si="3"/>
        <v>-0.50696804122202399</v>
      </c>
      <c r="J21" s="325">
        <f t="shared" si="4"/>
        <v>0.45840514093763701</v>
      </c>
    </row>
    <row r="22" spans="1:10" ht="15.75" customHeight="1" x14ac:dyDescent="0.3">
      <c r="A22" s="326" t="s">
        <v>276</v>
      </c>
      <c r="B22" s="327">
        <v>0</v>
      </c>
      <c r="C22" s="327">
        <v>-282.14999999999998</v>
      </c>
      <c r="D22" s="327">
        <v>1237.27</v>
      </c>
      <c r="E22" s="327">
        <v>0</v>
      </c>
      <c r="F22" s="327">
        <v>0</v>
      </c>
      <c r="G22" s="325">
        <f t="shared" si="1"/>
        <v>-1</v>
      </c>
      <c r="H22" s="325">
        <f t="shared" si="2"/>
        <v>-1.2280423836349399</v>
      </c>
      <c r="I22" s="325" t="str">
        <f t="shared" si="3"/>
        <v/>
      </c>
      <c r="J22" s="325" t="str">
        <f t="shared" si="4"/>
        <v/>
      </c>
    </row>
    <row r="23" spans="1:10" ht="15.75" customHeight="1" x14ac:dyDescent="0.3">
      <c r="A23" s="328" t="s">
        <v>377</v>
      </c>
      <c r="B23" s="329">
        <v>9297.67</v>
      </c>
      <c r="C23" s="329">
        <v>8013.32</v>
      </c>
      <c r="D23" s="329">
        <v>7637.52</v>
      </c>
      <c r="E23" s="329">
        <v>12981.41</v>
      </c>
      <c r="F23" s="329">
        <v>8901.1</v>
      </c>
      <c r="G23" s="325">
        <f t="shared" si="1"/>
        <v>0.16027688897984901</v>
      </c>
      <c r="H23" s="325">
        <f t="shared" si="2"/>
        <v>4.9204453801757503E-2</v>
      </c>
      <c r="I23" s="325">
        <f t="shared" si="3"/>
        <v>-0.41165713123612901</v>
      </c>
      <c r="J23" s="325">
        <f t="shared" si="4"/>
        <v>0.45840514093763701</v>
      </c>
    </row>
    <row r="24" spans="1:10" ht="15.75" customHeight="1" x14ac:dyDescent="0.3">
      <c r="A24" s="321" t="s">
        <v>378</v>
      </c>
      <c r="B24" s="322"/>
      <c r="C24" s="322"/>
      <c r="D24" s="322"/>
      <c r="E24" s="322"/>
      <c r="F24" s="322"/>
      <c r="G24" s="322"/>
      <c r="H24" s="322"/>
      <c r="I24" s="322"/>
      <c r="J24" s="322"/>
    </row>
    <row r="25" spans="1:10" ht="15.75" customHeight="1" x14ac:dyDescent="0.3">
      <c r="A25" s="265" t="s">
        <v>379</v>
      </c>
      <c r="B25" s="266">
        <v>2410.81</v>
      </c>
      <c r="C25" s="266">
        <v>2117.62</v>
      </c>
      <c r="D25" s="266">
        <v>1664.65</v>
      </c>
      <c r="E25" s="266">
        <v>3444.39</v>
      </c>
      <c r="F25" s="266">
        <v>2316.46</v>
      </c>
      <c r="G25" s="325">
        <f t="shared" ref="G25:G34" si="5">IF(C25=0,"",(B25-C25)/C25)</f>
        <v>0.13845260244992</v>
      </c>
      <c r="H25" s="325">
        <f t="shared" ref="H25:H34" si="6">IF(D25=0,"",(C25-D25)/D25)</f>
        <v>0.27211125461808799</v>
      </c>
      <c r="I25" s="325">
        <f t="shared" ref="I25:I34" si="7">IF(E25=0,"",(D25-E25)/E25)</f>
        <v>-0.516706876979668</v>
      </c>
      <c r="J25" s="325">
        <f t="shared" ref="J25:J34" si="8">IF(F25=0,"",(E25-F25)/F25)</f>
        <v>0.48691969643335098</v>
      </c>
    </row>
    <row r="26" spans="1:10" ht="15.75" customHeight="1" x14ac:dyDescent="0.3">
      <c r="A26" s="326" t="s">
        <v>380</v>
      </c>
      <c r="B26" s="327">
        <v>-30.36</v>
      </c>
      <c r="C26" s="327">
        <v>31.62</v>
      </c>
      <c r="D26" s="327">
        <v>271.43</v>
      </c>
      <c r="E26" s="327">
        <v>-122.67</v>
      </c>
      <c r="F26" s="327">
        <v>-11.21</v>
      </c>
      <c r="G26" s="325">
        <f t="shared" si="5"/>
        <v>-1.9601518026565501</v>
      </c>
      <c r="H26" s="325">
        <f t="shared" si="6"/>
        <v>-0.88350587628486199</v>
      </c>
      <c r="I26" s="325">
        <f t="shared" si="7"/>
        <v>-3.2126844379228801</v>
      </c>
      <c r="J26" s="325">
        <f t="shared" si="8"/>
        <v>9.94290811775201</v>
      </c>
    </row>
    <row r="27" spans="1:10" ht="15.75" customHeight="1" x14ac:dyDescent="0.3">
      <c r="A27" s="265" t="s">
        <v>381</v>
      </c>
      <c r="B27" s="266">
        <v>223.69</v>
      </c>
      <c r="C27" s="266">
        <v>231.18</v>
      </c>
      <c r="D27" s="266">
        <v>172.13</v>
      </c>
      <c r="E27" s="266">
        <v>260.52999999999997</v>
      </c>
      <c r="F27" s="266">
        <v>343.2</v>
      </c>
      <c r="G27" s="325">
        <f t="shared" si="5"/>
        <v>-3.2398996452980403E-2</v>
      </c>
      <c r="H27" s="325">
        <f t="shared" si="6"/>
        <v>0.34305466798350098</v>
      </c>
      <c r="I27" s="325">
        <f t="shared" si="7"/>
        <v>-0.33930833301347202</v>
      </c>
      <c r="J27" s="325">
        <f t="shared" si="8"/>
        <v>-0.24087995337995299</v>
      </c>
    </row>
    <row r="28" spans="1:10" ht="15.75" customHeight="1" x14ac:dyDescent="0.3">
      <c r="A28" s="328" t="s">
        <v>382</v>
      </c>
      <c r="B28" s="329">
        <v>2604.14</v>
      </c>
      <c r="C28" s="329">
        <v>2380.42</v>
      </c>
      <c r="D28" s="329">
        <v>2108.21</v>
      </c>
      <c r="E28" s="329">
        <v>3582.25</v>
      </c>
      <c r="F28" s="329">
        <v>2648.45</v>
      </c>
      <c r="G28" s="325">
        <f t="shared" si="5"/>
        <v>9.3983414691524894E-2</v>
      </c>
      <c r="H28" s="325">
        <f t="shared" si="6"/>
        <v>0.12911901565783299</v>
      </c>
      <c r="I28" s="325">
        <f t="shared" si="7"/>
        <v>-0.41148440226114902</v>
      </c>
      <c r="J28" s="325">
        <f t="shared" si="8"/>
        <v>0.35258358662613998</v>
      </c>
    </row>
    <row r="29" spans="1:10" ht="15.75" customHeight="1" x14ac:dyDescent="0.3">
      <c r="A29" s="328" t="s">
        <v>383</v>
      </c>
      <c r="B29" s="329">
        <v>6693.53</v>
      </c>
      <c r="C29" s="329">
        <v>5632.9</v>
      </c>
      <c r="D29" s="329">
        <v>5529.31</v>
      </c>
      <c r="E29" s="329">
        <v>9399.16</v>
      </c>
      <c r="F29" s="329">
        <v>6252.65</v>
      </c>
      <c r="G29" s="325">
        <f t="shared" si="5"/>
        <v>0.188291998792807</v>
      </c>
      <c r="H29" s="325">
        <f t="shared" si="6"/>
        <v>1.87347065004493E-2</v>
      </c>
      <c r="I29" s="325">
        <f t="shared" si="7"/>
        <v>-0.41172296247749801</v>
      </c>
      <c r="J29" s="325">
        <f t="shared" si="8"/>
        <v>0.50322823122995897</v>
      </c>
    </row>
    <row r="30" spans="1:10" ht="15.75" customHeight="1" x14ac:dyDescent="0.3">
      <c r="A30" s="323" t="s">
        <v>384</v>
      </c>
      <c r="B30" s="324">
        <v>6693.53</v>
      </c>
      <c r="C30" s="324">
        <v>5632.9</v>
      </c>
      <c r="D30" s="324">
        <v>5529.31</v>
      </c>
      <c r="E30" s="324">
        <v>9399.16</v>
      </c>
      <c r="F30" s="324">
        <v>6252.65</v>
      </c>
      <c r="G30" s="325">
        <f t="shared" si="5"/>
        <v>0.188291998792807</v>
      </c>
      <c r="H30" s="325">
        <f t="shared" si="6"/>
        <v>1.87347065004493E-2</v>
      </c>
      <c r="I30" s="325">
        <f t="shared" si="7"/>
        <v>-0.41172296247749801</v>
      </c>
      <c r="J30" s="325">
        <f t="shared" si="8"/>
        <v>0.50322823122995897</v>
      </c>
    </row>
    <row r="31" spans="1:10" ht="15.75" customHeight="1" x14ac:dyDescent="0.3">
      <c r="A31" s="326" t="s">
        <v>385</v>
      </c>
      <c r="B31" s="327">
        <v>-1.24</v>
      </c>
      <c r="C31" s="327">
        <v>-1.32</v>
      </c>
      <c r="D31" s="327">
        <v>-0.91</v>
      </c>
      <c r="E31" s="327">
        <v>-0.91</v>
      </c>
      <c r="F31" s="327">
        <v>0.53</v>
      </c>
      <c r="G31" s="325">
        <f t="shared" si="5"/>
        <v>-6.0606060606060698E-2</v>
      </c>
      <c r="H31" s="325">
        <f t="shared" si="6"/>
        <v>0.450549450549451</v>
      </c>
      <c r="I31" s="325">
        <f t="shared" si="7"/>
        <v>0</v>
      </c>
      <c r="J31" s="325">
        <f t="shared" si="8"/>
        <v>-2.7169811320754702</v>
      </c>
    </row>
    <row r="32" spans="1:10" ht="15.75" customHeight="1" x14ac:dyDescent="0.3">
      <c r="A32" s="265" t="s">
        <v>386</v>
      </c>
      <c r="B32" s="266">
        <v>-0.31</v>
      </c>
      <c r="C32" s="266">
        <v>-0.33</v>
      </c>
      <c r="D32" s="266">
        <v>-0.23</v>
      </c>
      <c r="E32" s="266">
        <v>-0.23</v>
      </c>
      <c r="F32" s="266">
        <v>0.13</v>
      </c>
      <c r="G32" s="325">
        <f t="shared" si="5"/>
        <v>-6.0606060606060698E-2</v>
      </c>
      <c r="H32" s="325">
        <f t="shared" si="6"/>
        <v>0.434782608695652</v>
      </c>
      <c r="I32" s="325">
        <f t="shared" si="7"/>
        <v>0</v>
      </c>
      <c r="J32" s="325">
        <f t="shared" si="8"/>
        <v>-2.7692307692307701</v>
      </c>
    </row>
    <row r="33" spans="1:10" ht="15.75" customHeight="1" x14ac:dyDescent="0.3">
      <c r="A33" s="326" t="s">
        <v>387</v>
      </c>
      <c r="B33" s="327">
        <v>-0.93</v>
      </c>
      <c r="C33" s="327">
        <v>-0.99</v>
      </c>
      <c r="D33" s="327">
        <v>-0.68</v>
      </c>
      <c r="E33" s="327">
        <v>-0.68</v>
      </c>
      <c r="F33" s="327">
        <v>0.4</v>
      </c>
      <c r="G33" s="325">
        <f t="shared" si="5"/>
        <v>-6.0606060606060497E-2</v>
      </c>
      <c r="H33" s="325">
        <f t="shared" si="6"/>
        <v>0.45588235294117602</v>
      </c>
      <c r="I33" s="325">
        <f t="shared" si="7"/>
        <v>0</v>
      </c>
      <c r="J33" s="325">
        <f t="shared" si="8"/>
        <v>-2.7</v>
      </c>
    </row>
    <row r="34" spans="1:10" ht="15.75" customHeight="1" x14ac:dyDescent="0.3">
      <c r="A34" s="328" t="s">
        <v>388</v>
      </c>
      <c r="B34" s="329">
        <v>6692.6</v>
      </c>
      <c r="C34" s="329">
        <v>5631.91</v>
      </c>
      <c r="D34" s="329">
        <v>5528.63</v>
      </c>
      <c r="E34" s="329">
        <v>9398.48</v>
      </c>
      <c r="F34" s="329">
        <v>6253.05</v>
      </c>
      <c r="G34" s="325">
        <f t="shared" si="5"/>
        <v>0.18833575110397699</v>
      </c>
      <c r="H34" s="325">
        <f t="shared" si="6"/>
        <v>1.8680939039147099E-2</v>
      </c>
      <c r="I34" s="325">
        <f t="shared" si="7"/>
        <v>-0.41175275150875501</v>
      </c>
      <c r="J34" s="325">
        <f t="shared" si="8"/>
        <v>0.50302332461758603</v>
      </c>
    </row>
    <row r="35" spans="1:10" ht="15.75" customHeight="1" x14ac:dyDescent="0.3">
      <c r="A35" s="330"/>
      <c r="B35" s="331"/>
      <c r="C35" s="331"/>
      <c r="D35" s="331"/>
      <c r="E35" s="331"/>
      <c r="F35" s="331"/>
      <c r="G35" s="332"/>
      <c r="H35" s="332"/>
      <c r="I35" s="332"/>
      <c r="J35" s="332"/>
    </row>
    <row r="36" spans="1:10" ht="15.75" customHeight="1" x14ac:dyDescent="0.3">
      <c r="A36" s="333" t="s">
        <v>350</v>
      </c>
      <c r="B36" s="334"/>
      <c r="C36" s="334"/>
      <c r="D36" s="334"/>
      <c r="E36" s="334"/>
      <c r="F36" s="334"/>
      <c r="G36" s="334"/>
      <c r="H36" s="334"/>
      <c r="I36" s="334"/>
      <c r="J36" s="334"/>
    </row>
    <row r="37" spans="1:10" ht="15.75" customHeight="1" x14ac:dyDescent="0.3">
      <c r="A37" s="335" t="s">
        <v>389</v>
      </c>
      <c r="B37" s="336"/>
      <c r="C37" s="336"/>
      <c r="D37" s="336"/>
      <c r="E37" s="336"/>
      <c r="F37" s="336"/>
      <c r="G37" s="336"/>
      <c r="H37" s="336"/>
      <c r="I37" s="336"/>
      <c r="J37" s="336"/>
    </row>
    <row r="38" spans="1:10" ht="15.75" customHeight="1" x14ac:dyDescent="0.3">
      <c r="A38" s="302" t="s">
        <v>390</v>
      </c>
      <c r="B38" s="303">
        <v>7.61</v>
      </c>
      <c r="C38" s="303">
        <v>19.22</v>
      </c>
      <c r="D38" s="303">
        <v>18.86</v>
      </c>
      <c r="E38" s="303">
        <v>32.07</v>
      </c>
      <c r="F38" s="303">
        <v>20.62</v>
      </c>
      <c r="G38" s="332">
        <f t="shared" ref="G38:J42" si="9">IF(C38=0,"",(B38-C38)/C38)</f>
        <v>-0.60405827263267398</v>
      </c>
      <c r="H38" s="332">
        <f t="shared" si="9"/>
        <v>1.9088016967126201E-2</v>
      </c>
      <c r="I38" s="332">
        <f t="shared" si="9"/>
        <v>-0.411911443716869</v>
      </c>
      <c r="J38" s="332">
        <f t="shared" si="9"/>
        <v>0.55528612997090199</v>
      </c>
    </row>
    <row r="39" spans="1:10" ht="15.75" customHeight="1" x14ac:dyDescent="0.3">
      <c r="A39" s="337" t="s">
        <v>391</v>
      </c>
      <c r="B39" s="338">
        <v>7.61</v>
      </c>
      <c r="C39" s="338">
        <v>19.22</v>
      </c>
      <c r="D39" s="338">
        <v>18.86</v>
      </c>
      <c r="E39" s="338">
        <v>32.07</v>
      </c>
      <c r="F39" s="338">
        <v>20.62</v>
      </c>
      <c r="G39" s="332">
        <f t="shared" si="9"/>
        <v>-0.60405827263267398</v>
      </c>
      <c r="H39" s="332">
        <f t="shared" si="9"/>
        <v>1.9088016967126201E-2</v>
      </c>
      <c r="I39" s="332">
        <f t="shared" si="9"/>
        <v>-0.411911443716869</v>
      </c>
      <c r="J39" s="332">
        <f t="shared" si="9"/>
        <v>0.55528612997090199</v>
      </c>
    </row>
    <row r="40" spans="1:10" ht="15.75" customHeight="1" x14ac:dyDescent="0.3">
      <c r="A40" s="302" t="s">
        <v>392</v>
      </c>
      <c r="B40" s="303">
        <v>12.42</v>
      </c>
      <c r="C40" s="303">
        <v>20.97</v>
      </c>
      <c r="D40" s="303">
        <v>70.59</v>
      </c>
      <c r="E40" s="303">
        <v>106.95</v>
      </c>
      <c r="F40" s="303">
        <v>42.01</v>
      </c>
      <c r="G40" s="332">
        <f t="shared" si="9"/>
        <v>-0.40772532188841198</v>
      </c>
      <c r="H40" s="332">
        <f t="shared" si="9"/>
        <v>-0.70293242668933298</v>
      </c>
      <c r="I40" s="332">
        <f t="shared" si="9"/>
        <v>-0.33997194950911602</v>
      </c>
      <c r="J40" s="332">
        <f t="shared" si="9"/>
        <v>1.5458224232325599</v>
      </c>
    </row>
    <row r="41" spans="1:10" ht="15.75" customHeight="1" x14ac:dyDescent="0.3">
      <c r="A41" s="337" t="s">
        <v>393</v>
      </c>
      <c r="B41" s="338">
        <v>1.1200000000000001</v>
      </c>
      <c r="C41" s="338">
        <v>1.85</v>
      </c>
      <c r="D41" s="338">
        <v>1.69</v>
      </c>
      <c r="E41" s="338">
        <v>2.0699999999999998</v>
      </c>
      <c r="F41" s="338">
        <v>6.01</v>
      </c>
      <c r="G41" s="332">
        <f t="shared" si="9"/>
        <v>-0.39459459459459501</v>
      </c>
      <c r="H41" s="332">
        <f t="shared" si="9"/>
        <v>9.4674556213017805E-2</v>
      </c>
      <c r="I41" s="332">
        <f t="shared" si="9"/>
        <v>-0.18357487922705301</v>
      </c>
      <c r="J41" s="332">
        <f t="shared" si="9"/>
        <v>-0.65557404326123103</v>
      </c>
    </row>
    <row r="42" spans="1:10" ht="15.75" customHeight="1" x14ac:dyDescent="0.3">
      <c r="A42" s="302" t="s">
        <v>394</v>
      </c>
      <c r="B42" s="303">
        <v>595.47</v>
      </c>
      <c r="C42" s="303">
        <v>586.49</v>
      </c>
      <c r="D42" s="303">
        <v>554.65</v>
      </c>
      <c r="E42" s="303">
        <v>394.46</v>
      </c>
      <c r="F42" s="303">
        <v>251.4</v>
      </c>
      <c r="G42" s="332">
        <f t="shared" si="9"/>
        <v>1.5311429009872301E-2</v>
      </c>
      <c r="H42" s="332">
        <f t="shared" si="9"/>
        <v>5.7405571080861903E-2</v>
      </c>
      <c r="I42" s="332">
        <f t="shared" si="9"/>
        <v>0.406099477767074</v>
      </c>
      <c r="J42" s="332">
        <f t="shared" si="9"/>
        <v>0.56905330151153499</v>
      </c>
    </row>
    <row r="43" spans="1:10" ht="15.75" customHeight="1" x14ac:dyDescent="0.3">
      <c r="A43" s="335" t="s">
        <v>395</v>
      </c>
      <c r="B43" s="336"/>
      <c r="C43" s="336"/>
      <c r="D43" s="336"/>
      <c r="E43" s="336"/>
      <c r="F43" s="336"/>
      <c r="G43" s="336"/>
      <c r="H43" s="336"/>
      <c r="I43" s="336"/>
      <c r="J43" s="336"/>
    </row>
    <row r="44" spans="1:10" ht="15.75" customHeight="1" x14ac:dyDescent="0.3">
      <c r="A44" s="337" t="s">
        <v>396</v>
      </c>
      <c r="B44" s="338">
        <v>2461.71</v>
      </c>
      <c r="C44" s="338">
        <v>2520.34</v>
      </c>
      <c r="D44" s="338">
        <v>1098.98</v>
      </c>
      <c r="E44" s="338">
        <v>4319.72</v>
      </c>
      <c r="F44" s="338">
        <v>2274.15</v>
      </c>
      <c r="G44" s="332">
        <f t="shared" ref="G44:J45" si="10">IF(C44=0,"",(B44-C44)/C44)</f>
        <v>-2.3262734392978799E-2</v>
      </c>
      <c r="H44" s="332">
        <f t="shared" si="10"/>
        <v>1.29334473784782</v>
      </c>
      <c r="I44" s="332">
        <f t="shared" si="10"/>
        <v>-0.74558999194392195</v>
      </c>
      <c r="J44" s="332">
        <f t="shared" si="10"/>
        <v>0.89948772068685001</v>
      </c>
    </row>
    <row r="45" spans="1:10" ht="15.75" customHeight="1" x14ac:dyDescent="0.3">
      <c r="A45" s="302" t="s">
        <v>291</v>
      </c>
      <c r="B45" s="303">
        <v>330</v>
      </c>
      <c r="C45" s="303">
        <v>725</v>
      </c>
      <c r="D45" s="303">
        <v>660</v>
      </c>
      <c r="E45" s="303">
        <v>1474</v>
      </c>
      <c r="F45" s="303">
        <v>776</v>
      </c>
      <c r="G45" s="332">
        <f t="shared" si="10"/>
        <v>-0.54482758620689697</v>
      </c>
      <c r="H45" s="332">
        <f t="shared" si="10"/>
        <v>9.8484848484848495E-2</v>
      </c>
      <c r="I45" s="332">
        <f t="shared" si="10"/>
        <v>-0.55223880597014896</v>
      </c>
      <c r="J45" s="332">
        <f t="shared" si="10"/>
        <v>0.89948453608247403</v>
      </c>
    </row>
  </sheetData>
  <mergeCells count="1">
    <mergeCell ref="A1:J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5"/>
  <sheetViews>
    <sheetView showGridLines="0" workbookViewId="0">
      <selection activeCell="A11" sqref="A11"/>
    </sheetView>
  </sheetViews>
  <sheetFormatPr defaultColWidth="8.6640625" defaultRowHeight="14.4" x14ac:dyDescent="0.3"/>
  <cols>
    <col min="1" max="1" width="38" customWidth="1"/>
    <col min="2" max="6" width="13" customWidth="1"/>
    <col min="7" max="10" width="11" customWidth="1"/>
    <col min="11" max="11" width="11.6640625" customWidth="1"/>
  </cols>
  <sheetData>
    <row r="1" spans="1:11" ht="21.75" customHeight="1" x14ac:dyDescent="0.3">
      <c r="A1" s="304" t="s">
        <v>397</v>
      </c>
      <c r="B1" s="301"/>
      <c r="C1" s="301"/>
      <c r="D1" s="301"/>
      <c r="E1" s="301"/>
      <c r="F1" s="301"/>
      <c r="G1" s="301"/>
      <c r="H1" s="301"/>
      <c r="I1" s="301"/>
      <c r="J1" s="301"/>
      <c r="K1" s="301"/>
    </row>
    <row r="2" spans="1:11" ht="27.75" customHeight="1" x14ac:dyDescent="0.3">
      <c r="A2" s="305" t="s">
        <v>299</v>
      </c>
      <c r="B2" s="306" t="s">
        <v>304</v>
      </c>
      <c r="C2" s="306" t="s">
        <v>303</v>
      </c>
      <c r="D2" s="306" t="s">
        <v>302</v>
      </c>
      <c r="E2" s="306" t="s">
        <v>301</v>
      </c>
      <c r="F2" s="306" t="s">
        <v>300</v>
      </c>
      <c r="G2" s="307" t="s">
        <v>308</v>
      </c>
      <c r="H2" s="307" t="s">
        <v>307</v>
      </c>
      <c r="I2" s="307" t="s">
        <v>306</v>
      </c>
      <c r="J2" s="307" t="s">
        <v>305</v>
      </c>
      <c r="K2" s="307" t="s">
        <v>398</v>
      </c>
    </row>
    <row r="3" spans="1:11" ht="14.25" customHeight="1" x14ac:dyDescent="0.3">
      <c r="A3" s="308" t="s">
        <v>309</v>
      </c>
      <c r="B3" s="306" t="s">
        <v>310</v>
      </c>
      <c r="C3" s="306" t="s">
        <v>310</v>
      </c>
      <c r="D3" s="306" t="s">
        <v>310</v>
      </c>
      <c r="E3" s="306" t="s">
        <v>310</v>
      </c>
      <c r="F3" s="306" t="s">
        <v>310</v>
      </c>
      <c r="G3" s="273"/>
      <c r="H3" s="273"/>
      <c r="I3" s="273"/>
      <c r="J3" s="273"/>
      <c r="K3" s="273"/>
    </row>
    <row r="4" spans="1:11" ht="14.25" customHeight="1" x14ac:dyDescent="0.3">
      <c r="A4" s="246" t="s">
        <v>311</v>
      </c>
      <c r="B4" s="309"/>
      <c r="C4" s="309"/>
      <c r="D4" s="309"/>
      <c r="E4" s="309"/>
      <c r="F4" s="309"/>
      <c r="G4" s="309"/>
      <c r="H4" s="309"/>
      <c r="I4" s="309"/>
      <c r="J4" s="310"/>
      <c r="K4" s="310"/>
    </row>
    <row r="5" spans="1:11" ht="14.25" customHeight="1" x14ac:dyDescent="0.3">
      <c r="A5" s="247" t="s">
        <v>312</v>
      </c>
      <c r="B5" s="309"/>
      <c r="C5" s="309"/>
      <c r="D5" s="309"/>
      <c r="E5" s="309"/>
      <c r="F5" s="309"/>
      <c r="G5" s="309"/>
      <c r="H5" s="309"/>
      <c r="I5" s="309"/>
      <c r="J5" s="310"/>
      <c r="K5" s="310"/>
    </row>
    <row r="6" spans="1:11" ht="14.25" customHeight="1" x14ac:dyDescent="0.3">
      <c r="A6" s="248" t="s">
        <v>313</v>
      </c>
      <c r="B6" s="249">
        <v>293.07</v>
      </c>
      <c r="C6" s="249">
        <v>293.07</v>
      </c>
      <c r="D6" s="249">
        <v>293.07</v>
      </c>
      <c r="E6" s="249">
        <v>293.07</v>
      </c>
      <c r="F6" s="249">
        <v>879.18</v>
      </c>
      <c r="G6" s="311"/>
      <c r="H6" s="311">
        <f t="shared" ref="H6:K11" si="0">(C6-B6)/B6</f>
        <v>0</v>
      </c>
      <c r="I6" s="311">
        <f t="shared" si="0"/>
        <v>0</v>
      </c>
      <c r="J6" s="311">
        <f t="shared" si="0"/>
        <v>0</v>
      </c>
      <c r="K6" s="311">
        <f t="shared" si="0"/>
        <v>1.99989763537721</v>
      </c>
    </row>
    <row r="7" spans="1:11" ht="14.25" customHeight="1" x14ac:dyDescent="0.3">
      <c r="A7" s="250" t="s">
        <v>314</v>
      </c>
      <c r="B7" s="251">
        <v>293.07</v>
      </c>
      <c r="C7" s="251">
        <v>293.07</v>
      </c>
      <c r="D7" s="251">
        <v>293.07</v>
      </c>
      <c r="E7" s="251">
        <v>293.07</v>
      </c>
      <c r="F7" s="251">
        <v>879.18</v>
      </c>
      <c r="G7" s="311"/>
      <c r="H7" s="311">
        <f t="shared" si="0"/>
        <v>0</v>
      </c>
      <c r="I7" s="311">
        <f t="shared" si="0"/>
        <v>0</v>
      </c>
      <c r="J7" s="311">
        <f t="shared" si="0"/>
        <v>0</v>
      </c>
      <c r="K7" s="311">
        <f t="shared" si="0"/>
        <v>1.99989763537721</v>
      </c>
    </row>
    <row r="8" spans="1:11" ht="14.25" customHeight="1" x14ac:dyDescent="0.3">
      <c r="A8" s="248" t="s">
        <v>315</v>
      </c>
      <c r="B8" s="249">
        <v>29590.98</v>
      </c>
      <c r="C8" s="249">
        <v>34693.83</v>
      </c>
      <c r="D8" s="249">
        <v>22327.759999999998</v>
      </c>
      <c r="E8" s="249">
        <v>25362.83</v>
      </c>
      <c r="F8" s="249">
        <v>28816.59</v>
      </c>
      <c r="G8" s="311"/>
      <c r="H8" s="311">
        <f t="shared" si="0"/>
        <v>0.17244613054383501</v>
      </c>
      <c r="I8" s="311">
        <f t="shared" si="0"/>
        <v>-0.35643427087756002</v>
      </c>
      <c r="J8" s="311">
        <f t="shared" si="0"/>
        <v>0.135932578995833</v>
      </c>
      <c r="K8" s="311">
        <f t="shared" si="0"/>
        <v>0.13617407836586101</v>
      </c>
    </row>
    <row r="9" spans="1:11" ht="14.25" customHeight="1" x14ac:dyDescent="0.3">
      <c r="A9" s="250" t="s">
        <v>316</v>
      </c>
      <c r="B9" s="251">
        <v>29590.98</v>
      </c>
      <c r="C9" s="251">
        <v>34693.83</v>
      </c>
      <c r="D9" s="251">
        <v>22327.759999999998</v>
      </c>
      <c r="E9" s="251">
        <v>25362.83</v>
      </c>
      <c r="F9" s="251">
        <v>28816.59</v>
      </c>
      <c r="G9" s="311"/>
      <c r="H9" s="311">
        <f t="shared" si="0"/>
        <v>0.17244613054383501</v>
      </c>
      <c r="I9" s="311">
        <f t="shared" si="0"/>
        <v>-0.35643427087756002</v>
      </c>
      <c r="J9" s="311">
        <f t="shared" si="0"/>
        <v>0.135932578995833</v>
      </c>
      <c r="K9" s="311">
        <f t="shared" si="0"/>
        <v>0.13617407836586101</v>
      </c>
    </row>
    <row r="10" spans="1:11" ht="14.25" customHeight="1" x14ac:dyDescent="0.3">
      <c r="A10" s="248" t="s">
        <v>295</v>
      </c>
      <c r="B10" s="249">
        <v>13.54</v>
      </c>
      <c r="C10" s="249">
        <v>13.45</v>
      </c>
      <c r="D10" s="249">
        <v>14.23</v>
      </c>
      <c r="E10" s="249">
        <v>17.010000000000002</v>
      </c>
      <c r="F10" s="249">
        <v>11.41</v>
      </c>
      <c r="G10" s="311"/>
      <c r="H10" s="311">
        <f t="shared" si="0"/>
        <v>-6.6469719350073803E-3</v>
      </c>
      <c r="I10" s="311">
        <f t="shared" si="0"/>
        <v>5.7992565055762203E-2</v>
      </c>
      <c r="J10" s="311">
        <f t="shared" si="0"/>
        <v>0.19536191145467299</v>
      </c>
      <c r="K10" s="311">
        <f t="shared" si="0"/>
        <v>-0.329218106995885</v>
      </c>
    </row>
    <row r="11" spans="1:11" ht="14.25" customHeight="1" x14ac:dyDescent="0.3">
      <c r="A11" s="250" t="s">
        <v>317</v>
      </c>
      <c r="B11" s="251">
        <v>29884.05</v>
      </c>
      <c r="C11" s="251">
        <v>34986.9</v>
      </c>
      <c r="D11" s="251">
        <v>22620.83</v>
      </c>
      <c r="E11" s="251">
        <v>25655.9</v>
      </c>
      <c r="F11" s="251">
        <v>29695.77</v>
      </c>
      <c r="G11" s="311"/>
      <c r="H11" s="311">
        <f t="shared" si="0"/>
        <v>0.17075496795113099</v>
      </c>
      <c r="I11" s="311">
        <f t="shared" si="0"/>
        <v>-0.35344857646719202</v>
      </c>
      <c r="J11" s="311">
        <f t="shared" si="0"/>
        <v>0.13417146939347499</v>
      </c>
      <c r="K11" s="311">
        <f t="shared" si="0"/>
        <v>0.157463585374124</v>
      </c>
    </row>
    <row r="12" spans="1:11" ht="14.25" customHeight="1" x14ac:dyDescent="0.3">
      <c r="A12" s="247" t="s">
        <v>318</v>
      </c>
      <c r="B12" s="309"/>
      <c r="C12" s="309"/>
      <c r="D12" s="309"/>
      <c r="E12" s="309"/>
      <c r="F12" s="309"/>
      <c r="G12" s="309"/>
      <c r="H12" s="311"/>
      <c r="I12" s="311"/>
      <c r="J12" s="311"/>
      <c r="K12" s="311"/>
    </row>
    <row r="13" spans="1:11" ht="14.25" customHeight="1" x14ac:dyDescent="0.3">
      <c r="A13" s="248" t="s">
        <v>319</v>
      </c>
      <c r="B13" s="249">
        <v>546.42999999999995</v>
      </c>
      <c r="C13" s="249">
        <v>1668.22</v>
      </c>
      <c r="D13" s="249">
        <v>0</v>
      </c>
      <c r="E13" s="249">
        <v>0</v>
      </c>
      <c r="F13" s="249">
        <v>0</v>
      </c>
      <c r="G13" s="311"/>
      <c r="H13" s="311">
        <f t="shared" ref="H13:I16" si="1">(C13-B13)/B13</f>
        <v>2.0529436524348998</v>
      </c>
      <c r="I13" s="311">
        <f t="shared" si="1"/>
        <v>-1</v>
      </c>
      <c r="J13" s="311"/>
      <c r="K13" s="311"/>
    </row>
    <row r="14" spans="1:11" ht="14.25" customHeight="1" x14ac:dyDescent="0.3">
      <c r="A14" s="248" t="s">
        <v>320</v>
      </c>
      <c r="B14" s="249">
        <v>4.7</v>
      </c>
      <c r="C14" s="249">
        <v>156.13</v>
      </c>
      <c r="D14" s="249">
        <v>155.30000000000001</v>
      </c>
      <c r="E14" s="249">
        <v>152.04</v>
      </c>
      <c r="F14" s="249">
        <v>152.25</v>
      </c>
      <c r="G14" s="311"/>
      <c r="H14" s="311">
        <f t="shared" si="1"/>
        <v>32.2191489361702</v>
      </c>
      <c r="I14" s="311">
        <f t="shared" si="1"/>
        <v>-5.3160827515530903E-3</v>
      </c>
      <c r="J14" s="311">
        <f t="shared" ref="J14:K16" si="2">(E14-D14)/D14</f>
        <v>-2.09916291049583E-2</v>
      </c>
      <c r="K14" s="311">
        <f t="shared" si="2"/>
        <v>1.3812154696133099E-3</v>
      </c>
    </row>
    <row r="15" spans="1:11" ht="14.25" customHeight="1" x14ac:dyDescent="0.3">
      <c r="A15" s="248" t="s">
        <v>321</v>
      </c>
      <c r="B15" s="249">
        <v>945.41</v>
      </c>
      <c r="C15" s="249">
        <v>1092.46</v>
      </c>
      <c r="D15" s="249">
        <v>1255.99</v>
      </c>
      <c r="E15" s="249">
        <v>1431.26</v>
      </c>
      <c r="F15" s="249">
        <v>1479.09</v>
      </c>
      <c r="G15" s="311"/>
      <c r="H15" s="311">
        <f t="shared" si="1"/>
        <v>0.155540982219355</v>
      </c>
      <c r="I15" s="311">
        <f t="shared" si="1"/>
        <v>0.14968969115573999</v>
      </c>
      <c r="J15" s="311">
        <f t="shared" si="2"/>
        <v>0.13954728938924699</v>
      </c>
      <c r="K15" s="311">
        <f t="shared" si="2"/>
        <v>3.3418107122395603E-2</v>
      </c>
    </row>
    <row r="16" spans="1:11" ht="14.25" customHeight="1" x14ac:dyDescent="0.3">
      <c r="A16" s="250" t="s">
        <v>322</v>
      </c>
      <c r="B16" s="251">
        <v>1496.54</v>
      </c>
      <c r="C16" s="251">
        <v>2916.81</v>
      </c>
      <c r="D16" s="251">
        <v>1411.29</v>
      </c>
      <c r="E16" s="251">
        <v>1583.3</v>
      </c>
      <c r="F16" s="251">
        <v>1631.34</v>
      </c>
      <c r="G16" s="311"/>
      <c r="H16" s="311">
        <f t="shared" si="1"/>
        <v>0.94903577585630905</v>
      </c>
      <c r="I16" s="311">
        <f t="shared" si="1"/>
        <v>-0.51615292048505002</v>
      </c>
      <c r="J16" s="311">
        <f t="shared" si="2"/>
        <v>0.12188139928717701</v>
      </c>
      <c r="K16" s="311">
        <f t="shared" si="2"/>
        <v>3.0341691404029501E-2</v>
      </c>
    </row>
    <row r="17" spans="1:11" ht="14.25" customHeight="1" x14ac:dyDescent="0.3">
      <c r="A17" s="247" t="s">
        <v>323</v>
      </c>
      <c r="B17" s="309"/>
      <c r="C17" s="309"/>
      <c r="D17" s="309"/>
      <c r="E17" s="309"/>
      <c r="F17" s="309"/>
      <c r="G17" s="309"/>
      <c r="H17" s="311"/>
      <c r="I17" s="311"/>
      <c r="J17" s="311"/>
      <c r="K17" s="311"/>
    </row>
    <row r="18" spans="1:11" ht="14.25" customHeight="1" x14ac:dyDescent="0.3">
      <c r="A18" s="248" t="s">
        <v>324</v>
      </c>
      <c r="B18" s="249">
        <v>1448.04</v>
      </c>
      <c r="C18" s="249">
        <v>1815.13</v>
      </c>
      <c r="D18" s="249">
        <v>415.98</v>
      </c>
      <c r="E18" s="249">
        <v>3356.54</v>
      </c>
      <c r="F18" s="249">
        <v>3770.45</v>
      </c>
      <c r="G18" s="311"/>
      <c r="H18" s="311">
        <f t="shared" ref="H18:K23" si="3">(C18-B18)/B18</f>
        <v>0.25350819038148098</v>
      </c>
      <c r="I18" s="311">
        <f t="shared" si="3"/>
        <v>-0.77082633199825901</v>
      </c>
      <c r="J18" s="311">
        <f t="shared" si="3"/>
        <v>7.0689937016202702</v>
      </c>
      <c r="K18" s="311">
        <f t="shared" si="3"/>
        <v>0.123314484558504</v>
      </c>
    </row>
    <row r="19" spans="1:11" ht="14.25" customHeight="1" x14ac:dyDescent="0.3">
      <c r="A19" s="248" t="s">
        <v>325</v>
      </c>
      <c r="B19" s="249">
        <v>360.78</v>
      </c>
      <c r="C19" s="249">
        <v>967.53</v>
      </c>
      <c r="D19" s="249">
        <v>425.91</v>
      </c>
      <c r="E19" s="249">
        <v>412.55</v>
      </c>
      <c r="F19" s="249">
        <v>321.45999999999998</v>
      </c>
      <c r="G19" s="311"/>
      <c r="H19" s="311">
        <f t="shared" si="3"/>
        <v>1.68177282554465</v>
      </c>
      <c r="I19" s="311">
        <f t="shared" si="3"/>
        <v>-0.55979659545440397</v>
      </c>
      <c r="J19" s="311">
        <f t="shared" si="3"/>
        <v>-3.1368129417013002E-2</v>
      </c>
      <c r="K19" s="311">
        <f t="shared" si="3"/>
        <v>-0.22079747909344299</v>
      </c>
    </row>
    <row r="20" spans="1:11" ht="14.25" customHeight="1" x14ac:dyDescent="0.3">
      <c r="A20" s="248" t="s">
        <v>326</v>
      </c>
      <c r="B20" s="249">
        <v>3628.29</v>
      </c>
      <c r="C20" s="249">
        <v>4136.62</v>
      </c>
      <c r="D20" s="249">
        <v>3235.61</v>
      </c>
      <c r="E20" s="249">
        <v>4380.4399999999996</v>
      </c>
      <c r="F20" s="249">
        <v>5192.7</v>
      </c>
      <c r="G20" s="311"/>
      <c r="H20" s="311">
        <f t="shared" si="3"/>
        <v>0.14010181104597499</v>
      </c>
      <c r="I20" s="311">
        <f t="shared" si="3"/>
        <v>-0.21781309378187999</v>
      </c>
      <c r="J20" s="311">
        <f t="shared" si="3"/>
        <v>0.35382199956113403</v>
      </c>
      <c r="K20" s="311">
        <f t="shared" si="3"/>
        <v>0.18542886102765899</v>
      </c>
    </row>
    <row r="21" spans="1:11" ht="14.25" customHeight="1" x14ac:dyDescent="0.3">
      <c r="A21" s="248" t="s">
        <v>327</v>
      </c>
      <c r="B21" s="249">
        <v>98.56</v>
      </c>
      <c r="C21" s="249">
        <v>15.13</v>
      </c>
      <c r="D21" s="249">
        <v>123.86</v>
      </c>
      <c r="E21" s="249">
        <v>255.29</v>
      </c>
      <c r="F21" s="249">
        <v>383.75</v>
      </c>
      <c r="G21" s="311"/>
      <c r="H21" s="311">
        <f t="shared" si="3"/>
        <v>-0.84648944805194803</v>
      </c>
      <c r="I21" s="311">
        <f t="shared" si="3"/>
        <v>7.18638466622604</v>
      </c>
      <c r="J21" s="311">
        <f t="shared" si="3"/>
        <v>1.0611173906022899</v>
      </c>
      <c r="K21" s="311">
        <f t="shared" si="3"/>
        <v>0.50319244780445804</v>
      </c>
    </row>
    <row r="22" spans="1:11" ht="14.25" customHeight="1" x14ac:dyDescent="0.3">
      <c r="A22" s="250" t="s">
        <v>328</v>
      </c>
      <c r="B22" s="251">
        <v>5535.67</v>
      </c>
      <c r="C22" s="251">
        <v>6934.41</v>
      </c>
      <c r="D22" s="251">
        <v>4201.3599999999997</v>
      </c>
      <c r="E22" s="251">
        <v>8404.82</v>
      </c>
      <c r="F22" s="251">
        <v>9668.36</v>
      </c>
      <c r="G22" s="311"/>
      <c r="H22" s="311">
        <f t="shared" si="3"/>
        <v>0.25267763432430002</v>
      </c>
      <c r="I22" s="311">
        <f t="shared" si="3"/>
        <v>-0.39412870020665097</v>
      </c>
      <c r="J22" s="311">
        <f t="shared" si="3"/>
        <v>1.00049983814765</v>
      </c>
      <c r="K22" s="311">
        <f t="shared" si="3"/>
        <v>0.15033516482209</v>
      </c>
    </row>
    <row r="23" spans="1:11" ht="14.25" customHeight="1" x14ac:dyDescent="0.3">
      <c r="A23" s="250" t="s">
        <v>329</v>
      </c>
      <c r="B23" s="251">
        <v>36929.800000000003</v>
      </c>
      <c r="C23" s="251">
        <v>44851.57</v>
      </c>
      <c r="D23" s="251">
        <v>28247.71</v>
      </c>
      <c r="E23" s="251">
        <v>35661.03</v>
      </c>
      <c r="F23" s="251">
        <v>41006.879999999997</v>
      </c>
      <c r="G23" s="311"/>
      <c r="H23" s="311">
        <f t="shared" si="3"/>
        <v>0.21450887900828</v>
      </c>
      <c r="I23" s="311">
        <f t="shared" si="3"/>
        <v>-0.37019573673786699</v>
      </c>
      <c r="J23" s="311">
        <f t="shared" si="3"/>
        <v>0.26243968095112802</v>
      </c>
      <c r="K23" s="311">
        <f t="shared" si="3"/>
        <v>0.14990733582288601</v>
      </c>
    </row>
    <row r="24" spans="1:11" ht="14.25" customHeight="1" x14ac:dyDescent="0.3">
      <c r="A24" s="246" t="s">
        <v>330</v>
      </c>
      <c r="B24" s="309"/>
      <c r="C24" s="309"/>
      <c r="D24" s="309"/>
      <c r="E24" s="309"/>
      <c r="F24" s="309"/>
      <c r="G24" s="309"/>
      <c r="H24" s="311"/>
      <c r="I24" s="311"/>
      <c r="J24" s="311"/>
      <c r="K24" s="311"/>
    </row>
    <row r="25" spans="1:11" ht="14.25" customHeight="1" x14ac:dyDescent="0.3">
      <c r="A25" s="247" t="s">
        <v>331</v>
      </c>
      <c r="B25" s="309"/>
      <c r="C25" s="309"/>
      <c r="D25" s="309"/>
      <c r="E25" s="309"/>
      <c r="F25" s="309"/>
      <c r="G25" s="309"/>
      <c r="H25" s="311"/>
      <c r="I25" s="311"/>
      <c r="J25" s="311"/>
      <c r="K25" s="311"/>
    </row>
    <row r="26" spans="1:11" ht="14.25" customHeight="1" x14ac:dyDescent="0.3">
      <c r="A26" s="248" t="s">
        <v>332</v>
      </c>
      <c r="B26" s="249">
        <v>3320.95</v>
      </c>
      <c r="C26" s="249">
        <v>4165.13</v>
      </c>
      <c r="D26" s="249">
        <v>2388.75</v>
      </c>
      <c r="E26" s="249">
        <v>2520.4899999999998</v>
      </c>
      <c r="F26" s="249">
        <v>4177.3</v>
      </c>
      <c r="G26" s="311"/>
      <c r="H26" s="311">
        <f t="shared" ref="H26:H35" si="4">(C26-B26)/B26</f>
        <v>0.25419834685858</v>
      </c>
      <c r="I26" s="311">
        <f t="shared" ref="I26:I35" si="5">(D26-C26)/C26</f>
        <v>-0.42648848895472702</v>
      </c>
      <c r="J26" s="311">
        <f t="shared" ref="J26:J35" si="6">(E26-D26)/D26</f>
        <v>5.5150183150183101E-2</v>
      </c>
      <c r="K26" s="311">
        <f t="shared" ref="K26:K35" si="7">(F26-E26)/E26</f>
        <v>0.65733647028950704</v>
      </c>
    </row>
    <row r="27" spans="1:11" ht="14.25" customHeight="1" x14ac:dyDescent="0.3">
      <c r="A27" s="248" t="s">
        <v>333</v>
      </c>
      <c r="B27" s="249">
        <v>518.57000000000005</v>
      </c>
      <c r="C27" s="249">
        <v>535.73</v>
      </c>
      <c r="D27" s="249">
        <v>715.93</v>
      </c>
      <c r="E27" s="249">
        <v>762.24</v>
      </c>
      <c r="F27" s="249">
        <v>767.27</v>
      </c>
      <c r="G27" s="311"/>
      <c r="H27" s="311">
        <f t="shared" si="4"/>
        <v>3.3091000250689298E-2</v>
      </c>
      <c r="I27" s="311">
        <f t="shared" si="5"/>
        <v>0.33636346667164402</v>
      </c>
      <c r="J27" s="311">
        <f t="shared" si="6"/>
        <v>6.4685094911513794E-2</v>
      </c>
      <c r="K27" s="311">
        <f t="shared" si="7"/>
        <v>6.5989714525608398E-3</v>
      </c>
    </row>
    <row r="28" spans="1:11" ht="14.25" customHeight="1" x14ac:dyDescent="0.3">
      <c r="A28" s="248" t="s">
        <v>334</v>
      </c>
      <c r="B28" s="249">
        <v>17106.509999999998</v>
      </c>
      <c r="C28" s="249">
        <v>18324.52</v>
      </c>
      <c r="D28" s="249">
        <v>1991.55</v>
      </c>
      <c r="E28" s="249">
        <v>3230.51</v>
      </c>
      <c r="F28" s="249">
        <v>4737.4799999999996</v>
      </c>
      <c r="G28" s="311"/>
      <c r="H28" s="311">
        <f t="shared" si="4"/>
        <v>7.1201548416363294E-2</v>
      </c>
      <c r="I28" s="311">
        <f t="shared" si="5"/>
        <v>-0.89131775348003695</v>
      </c>
      <c r="J28" s="311">
        <f t="shared" si="6"/>
        <v>0.62210840802390099</v>
      </c>
      <c r="K28" s="311">
        <f t="shared" si="7"/>
        <v>0.46648052474686602</v>
      </c>
    </row>
    <row r="29" spans="1:11" ht="14.25" customHeight="1" x14ac:dyDescent="0.3">
      <c r="A29" s="248" t="s">
        <v>335</v>
      </c>
      <c r="B29" s="249">
        <v>51.42</v>
      </c>
      <c r="C29" s="249">
        <v>5</v>
      </c>
      <c r="D29" s="249">
        <v>6.49</v>
      </c>
      <c r="E29" s="249">
        <v>4.1399999999999997</v>
      </c>
      <c r="F29" s="249">
        <v>0</v>
      </c>
      <c r="G29" s="311"/>
      <c r="H29" s="311">
        <f t="shared" si="4"/>
        <v>-0.90276157137300705</v>
      </c>
      <c r="I29" s="311">
        <f t="shared" si="5"/>
        <v>0.29799999999999999</v>
      </c>
      <c r="J29" s="311">
        <f t="shared" si="6"/>
        <v>-0.36209553158705698</v>
      </c>
      <c r="K29" s="311">
        <f t="shared" si="7"/>
        <v>-1</v>
      </c>
    </row>
    <row r="30" spans="1:11" ht="14.25" customHeight="1" x14ac:dyDescent="0.3">
      <c r="A30" s="250" t="s">
        <v>336</v>
      </c>
      <c r="B30" s="251">
        <v>20997.45</v>
      </c>
      <c r="C30" s="251">
        <v>23030.38</v>
      </c>
      <c r="D30" s="251">
        <v>5102.72</v>
      </c>
      <c r="E30" s="251">
        <v>6517.38</v>
      </c>
      <c r="F30" s="251">
        <v>9682.0499999999993</v>
      </c>
      <c r="G30" s="311"/>
      <c r="H30" s="311">
        <f t="shared" si="4"/>
        <v>9.6817946941176194E-2</v>
      </c>
      <c r="I30" s="311">
        <f t="shared" si="5"/>
        <v>-0.77843526680844999</v>
      </c>
      <c r="J30" s="311">
        <f t="shared" si="6"/>
        <v>0.27723645428320598</v>
      </c>
      <c r="K30" s="311">
        <f t="shared" si="7"/>
        <v>0.48557395763328198</v>
      </c>
    </row>
    <row r="31" spans="1:11" ht="14.25" customHeight="1" x14ac:dyDescent="0.3">
      <c r="A31" s="248" t="s">
        <v>337</v>
      </c>
      <c r="B31" s="249">
        <v>874.9</v>
      </c>
      <c r="C31" s="249">
        <v>894.95</v>
      </c>
      <c r="D31" s="249">
        <v>934.68</v>
      </c>
      <c r="E31" s="249">
        <v>951.17</v>
      </c>
      <c r="F31" s="249">
        <v>974.53</v>
      </c>
      <c r="G31" s="311"/>
      <c r="H31" s="311">
        <f t="shared" si="4"/>
        <v>2.29169047891188E-2</v>
      </c>
      <c r="I31" s="311">
        <f t="shared" si="5"/>
        <v>4.4393541538633299E-2</v>
      </c>
      <c r="J31" s="311">
        <f t="shared" si="6"/>
        <v>1.7642401677579501E-2</v>
      </c>
      <c r="K31" s="311">
        <f t="shared" si="7"/>
        <v>2.45592270572032E-2</v>
      </c>
    </row>
    <row r="32" spans="1:11" ht="14.25" customHeight="1" x14ac:dyDescent="0.3">
      <c r="A32" s="248" t="s">
        <v>338</v>
      </c>
      <c r="B32" s="249">
        <v>408.28</v>
      </c>
      <c r="C32" s="249">
        <v>530.95000000000005</v>
      </c>
      <c r="D32" s="249">
        <v>297.5</v>
      </c>
      <c r="E32" s="249">
        <v>265.89</v>
      </c>
      <c r="F32" s="249">
        <v>296.25</v>
      </c>
      <c r="G32" s="311"/>
      <c r="H32" s="311">
        <f t="shared" si="4"/>
        <v>0.300455569707064</v>
      </c>
      <c r="I32" s="311">
        <f t="shared" si="5"/>
        <v>-0.43968358602504898</v>
      </c>
      <c r="J32" s="311">
        <f t="shared" si="6"/>
        <v>-0.106252100840336</v>
      </c>
      <c r="K32" s="311">
        <f t="shared" si="7"/>
        <v>0.114182556696378</v>
      </c>
    </row>
    <row r="33" spans="1:11" ht="14.25" customHeight="1" x14ac:dyDescent="0.3">
      <c r="A33" s="248" t="s">
        <v>339</v>
      </c>
      <c r="B33" s="249">
        <v>259.17</v>
      </c>
      <c r="C33" s="249">
        <v>40.770000000000003</v>
      </c>
      <c r="D33" s="249">
        <v>62.62</v>
      </c>
      <c r="E33" s="249">
        <v>81.739999999999995</v>
      </c>
      <c r="F33" s="249">
        <v>126.72</v>
      </c>
      <c r="G33" s="311"/>
      <c r="H33" s="311">
        <f t="shared" si="4"/>
        <v>-0.842690126172011</v>
      </c>
      <c r="I33" s="311">
        <f t="shared" si="5"/>
        <v>0.53593328427765496</v>
      </c>
      <c r="J33" s="311">
        <f t="shared" si="6"/>
        <v>0.30533375918236999</v>
      </c>
      <c r="K33" s="311">
        <f t="shared" si="7"/>
        <v>0.55028137998531901</v>
      </c>
    </row>
    <row r="34" spans="1:11" ht="14.25" customHeight="1" x14ac:dyDescent="0.3">
      <c r="A34" s="248" t="s">
        <v>340</v>
      </c>
      <c r="B34" s="249">
        <v>3695.91</v>
      </c>
      <c r="C34" s="249">
        <v>4449.8</v>
      </c>
      <c r="D34" s="249">
        <v>5949.09</v>
      </c>
      <c r="E34" s="249">
        <v>6202.43</v>
      </c>
      <c r="F34" s="249">
        <v>6456.76</v>
      </c>
      <c r="G34" s="311"/>
      <c r="H34" s="311">
        <f t="shared" si="4"/>
        <v>0.203979534133678</v>
      </c>
      <c r="I34" s="311">
        <f t="shared" si="5"/>
        <v>0.33693424423569601</v>
      </c>
      <c r="J34" s="311">
        <f t="shared" si="6"/>
        <v>4.2584664209147999E-2</v>
      </c>
      <c r="K34" s="311">
        <f t="shared" si="7"/>
        <v>4.1004896467997203E-2</v>
      </c>
    </row>
    <row r="35" spans="1:11" ht="14.25" customHeight="1" x14ac:dyDescent="0.3">
      <c r="A35" s="250" t="s">
        <v>341</v>
      </c>
      <c r="B35" s="251">
        <v>26329.599999999999</v>
      </c>
      <c r="C35" s="251">
        <v>29040.74</v>
      </c>
      <c r="D35" s="251">
        <v>12440.5</v>
      </c>
      <c r="E35" s="251">
        <v>14112.5</v>
      </c>
      <c r="F35" s="251">
        <v>17630.2</v>
      </c>
      <c r="G35" s="311"/>
      <c r="H35" s="311">
        <f t="shared" si="4"/>
        <v>0.102969281720953</v>
      </c>
      <c r="I35" s="311">
        <f t="shared" si="5"/>
        <v>-0.57161904276543896</v>
      </c>
      <c r="J35" s="311">
        <f t="shared" si="6"/>
        <v>0.13439974277561201</v>
      </c>
      <c r="K35" s="311">
        <f t="shared" si="7"/>
        <v>0.249261293179805</v>
      </c>
    </row>
    <row r="36" spans="1:11" ht="14.25" customHeight="1" x14ac:dyDescent="0.3">
      <c r="A36" s="247" t="s">
        <v>342</v>
      </c>
      <c r="B36" s="309"/>
      <c r="C36" s="309"/>
      <c r="D36" s="309"/>
      <c r="E36" s="309"/>
      <c r="F36" s="309"/>
      <c r="G36" s="309"/>
      <c r="H36" s="311"/>
      <c r="I36" s="311"/>
      <c r="J36" s="311"/>
      <c r="K36" s="311"/>
    </row>
    <row r="37" spans="1:11" ht="14.25" customHeight="1" x14ac:dyDescent="0.3">
      <c r="A37" s="248" t="s">
        <v>399</v>
      </c>
      <c r="B37" s="249">
        <v>0</v>
      </c>
      <c r="C37" s="249">
        <v>0</v>
      </c>
      <c r="D37" s="249">
        <v>0</v>
      </c>
      <c r="E37" s="249">
        <v>4.8899999999999997</v>
      </c>
      <c r="F37" s="249">
        <v>3.6</v>
      </c>
      <c r="G37" s="312"/>
      <c r="H37" s="311"/>
      <c r="I37" s="311"/>
      <c r="J37" s="311"/>
      <c r="K37" s="311">
        <f>(F37-E37)/E37</f>
        <v>-0.26380368098159501</v>
      </c>
    </row>
    <row r="38" spans="1:11" ht="14.25" customHeight="1" x14ac:dyDescent="0.3">
      <c r="A38" s="248" t="s">
        <v>343</v>
      </c>
      <c r="B38" s="249">
        <v>921.72</v>
      </c>
      <c r="C38" s="249">
        <v>2164.9</v>
      </c>
      <c r="D38" s="249">
        <v>2660.58</v>
      </c>
      <c r="E38" s="249">
        <v>2766.95</v>
      </c>
      <c r="F38" s="249">
        <v>2637.72</v>
      </c>
      <c r="G38" s="311"/>
      <c r="H38" s="311">
        <f t="shared" ref="H38:J40" si="8">(C38-B38)/B38</f>
        <v>1.3487610120210001</v>
      </c>
      <c r="I38" s="311">
        <f t="shared" si="8"/>
        <v>0.22896207677029001</v>
      </c>
      <c r="J38" s="311">
        <f t="shared" si="8"/>
        <v>3.9980004359951499E-2</v>
      </c>
      <c r="K38" s="311">
        <f>(F38-E38)/E38</f>
        <v>-4.67048555268436E-2</v>
      </c>
    </row>
    <row r="39" spans="1:11" ht="14.25" customHeight="1" x14ac:dyDescent="0.3">
      <c r="A39" s="248" t="s">
        <v>344</v>
      </c>
      <c r="B39" s="249">
        <v>2139.89</v>
      </c>
      <c r="C39" s="249">
        <v>2954.3</v>
      </c>
      <c r="D39" s="249">
        <v>2656.02</v>
      </c>
      <c r="E39" s="249">
        <v>3508.93</v>
      </c>
      <c r="F39" s="249">
        <v>7744.61</v>
      </c>
      <c r="G39" s="311"/>
      <c r="H39" s="311">
        <f t="shared" si="8"/>
        <v>0.38058498334026503</v>
      </c>
      <c r="I39" s="311">
        <f t="shared" si="8"/>
        <v>-0.100964695528552</v>
      </c>
      <c r="J39" s="311">
        <f t="shared" si="8"/>
        <v>0.32112333491464701</v>
      </c>
      <c r="K39" s="311">
        <f>(F39-E39)/E39</f>
        <v>1.2071144194954</v>
      </c>
    </row>
    <row r="40" spans="1:11" ht="14.25" customHeight="1" x14ac:dyDescent="0.3">
      <c r="A40" s="248" t="s">
        <v>345</v>
      </c>
      <c r="B40" s="249">
        <v>5861.82</v>
      </c>
      <c r="C40" s="249">
        <v>7978.29</v>
      </c>
      <c r="D40" s="249">
        <v>7097.75</v>
      </c>
      <c r="E40" s="249">
        <v>12363.65</v>
      </c>
      <c r="F40" s="249">
        <v>10088.549999999999</v>
      </c>
      <c r="G40" s="311"/>
      <c r="H40" s="311">
        <f t="shared" si="8"/>
        <v>0.36106021679273698</v>
      </c>
      <c r="I40" s="311">
        <f t="shared" si="8"/>
        <v>-0.110367008469233</v>
      </c>
      <c r="J40" s="311">
        <f t="shared" si="8"/>
        <v>0.74191116903244003</v>
      </c>
      <c r="K40" s="311">
        <f>(F40-E40)/E40</f>
        <v>-0.184015238218487</v>
      </c>
    </row>
    <row r="41" spans="1:11" ht="14.25" customHeight="1" x14ac:dyDescent="0.3">
      <c r="A41" s="248" t="s">
        <v>346</v>
      </c>
      <c r="B41" s="249">
        <v>0</v>
      </c>
      <c r="C41" s="249">
        <v>0</v>
      </c>
      <c r="D41" s="249">
        <v>0</v>
      </c>
      <c r="E41" s="249">
        <v>0</v>
      </c>
      <c r="F41" s="249">
        <v>53.91</v>
      </c>
      <c r="G41" s="311"/>
      <c r="H41" s="311"/>
      <c r="I41" s="311"/>
      <c r="J41" s="311"/>
      <c r="K41" s="311"/>
    </row>
    <row r="42" spans="1:11" ht="14.25" customHeight="1" x14ac:dyDescent="0.3">
      <c r="A42" s="248" t="s">
        <v>347</v>
      </c>
      <c r="B42" s="249">
        <v>1676.77</v>
      </c>
      <c r="C42" s="249">
        <v>2713.34</v>
      </c>
      <c r="D42" s="249">
        <v>3392.86</v>
      </c>
      <c r="E42" s="249">
        <v>2904.11</v>
      </c>
      <c r="F42" s="249">
        <v>2848.29</v>
      </c>
      <c r="G42" s="311"/>
      <c r="H42" s="311">
        <f t="shared" ref="H42:K44" si="9">(C42-B42)/B42</f>
        <v>0.61819450491122796</v>
      </c>
      <c r="I42" s="311">
        <f t="shared" si="9"/>
        <v>0.25043673111368298</v>
      </c>
      <c r="J42" s="311">
        <f t="shared" si="9"/>
        <v>-0.14405251027157001</v>
      </c>
      <c r="K42" s="311">
        <f t="shared" si="9"/>
        <v>-1.92210350158913E-2</v>
      </c>
    </row>
    <row r="43" spans="1:11" ht="14.25" customHeight="1" x14ac:dyDescent="0.3">
      <c r="A43" s="250" t="s">
        <v>348</v>
      </c>
      <c r="B43" s="251">
        <v>10600.2</v>
      </c>
      <c r="C43" s="251">
        <v>15810.83</v>
      </c>
      <c r="D43" s="251">
        <v>15807.21</v>
      </c>
      <c r="E43" s="251">
        <v>21548.53</v>
      </c>
      <c r="F43" s="251">
        <v>23376.68</v>
      </c>
      <c r="G43" s="311"/>
      <c r="H43" s="311">
        <f t="shared" si="9"/>
        <v>0.49155959321522202</v>
      </c>
      <c r="I43" s="311">
        <f t="shared" si="9"/>
        <v>-2.28956987077895E-4</v>
      </c>
      <c r="J43" s="311">
        <f t="shared" si="9"/>
        <v>0.36320894073021098</v>
      </c>
      <c r="K43" s="311">
        <f t="shared" si="9"/>
        <v>8.4838733779056E-2</v>
      </c>
    </row>
    <row r="44" spans="1:11" ht="14.25" customHeight="1" x14ac:dyDescent="0.3">
      <c r="A44" s="250" t="s">
        <v>349</v>
      </c>
      <c r="B44" s="251">
        <v>36929.800000000003</v>
      </c>
      <c r="C44" s="251">
        <v>44851.57</v>
      </c>
      <c r="D44" s="251">
        <v>28247.71</v>
      </c>
      <c r="E44" s="251">
        <v>35661.03</v>
      </c>
      <c r="F44" s="251">
        <v>41006.879999999997</v>
      </c>
      <c r="G44" s="311"/>
      <c r="H44" s="311">
        <f t="shared" si="9"/>
        <v>0.21450887900828</v>
      </c>
      <c r="I44" s="311">
        <f t="shared" si="9"/>
        <v>-0.37019573673786699</v>
      </c>
      <c r="J44" s="311">
        <f t="shared" si="9"/>
        <v>0.26243968095112802</v>
      </c>
      <c r="K44" s="311">
        <f t="shared" si="9"/>
        <v>0.14990733582288601</v>
      </c>
    </row>
    <row r="45" spans="1:11" ht="14.25" customHeight="1" x14ac:dyDescent="0.3">
      <c r="A45" s="313"/>
      <c r="B45" s="313"/>
      <c r="C45" s="313"/>
      <c r="D45" s="313"/>
      <c r="E45" s="313"/>
      <c r="F45" s="313"/>
      <c r="G45" s="313"/>
      <c r="H45" s="311"/>
      <c r="I45" s="311"/>
      <c r="J45" s="311"/>
      <c r="K45" s="311"/>
    </row>
    <row r="46" spans="1:11" ht="14.25" customHeight="1" x14ac:dyDescent="0.3">
      <c r="A46" s="246" t="s">
        <v>350</v>
      </c>
      <c r="B46" s="309"/>
      <c r="C46" s="309"/>
      <c r="D46" s="309"/>
      <c r="E46" s="309"/>
      <c r="F46" s="309"/>
      <c r="G46" s="309"/>
      <c r="H46" s="311"/>
      <c r="I46" s="311"/>
      <c r="J46" s="311"/>
      <c r="K46" s="311"/>
    </row>
    <row r="47" spans="1:11" ht="14.25" customHeight="1" x14ac:dyDescent="0.3">
      <c r="A47" s="247" t="s">
        <v>351</v>
      </c>
      <c r="B47" s="309"/>
      <c r="C47" s="309"/>
      <c r="D47" s="309"/>
      <c r="E47" s="309"/>
      <c r="F47" s="309"/>
      <c r="G47" s="309"/>
      <c r="H47" s="311"/>
      <c r="I47" s="311"/>
      <c r="J47" s="311"/>
      <c r="K47" s="311"/>
    </row>
    <row r="48" spans="1:11" ht="14.25" customHeight="1" x14ac:dyDescent="0.3">
      <c r="A48" s="248" t="s">
        <v>352</v>
      </c>
      <c r="B48" s="249">
        <v>9854.61</v>
      </c>
      <c r="C48" s="249">
        <v>11844.86</v>
      </c>
      <c r="D48" s="249">
        <v>8756.7000000000007</v>
      </c>
      <c r="E48" s="249">
        <v>7742.6</v>
      </c>
      <c r="F48" s="249">
        <v>25543.54</v>
      </c>
      <c r="G48" s="312"/>
      <c r="H48" s="311">
        <f>(C48-B48)/B48</f>
        <v>0.20196131556702901</v>
      </c>
      <c r="I48" s="311">
        <f>(D48-C48)/C48</f>
        <v>-0.260717306916249</v>
      </c>
      <c r="J48" s="311">
        <f>(E48-D48)/D48</f>
        <v>-0.11580846665981499</v>
      </c>
      <c r="K48" s="311">
        <f>(F48-E48)/E48</f>
        <v>2.29909074471108</v>
      </c>
    </row>
    <row r="49" spans="1:11" ht="14.25" customHeight="1" x14ac:dyDescent="0.3">
      <c r="A49" s="248" t="s">
        <v>353</v>
      </c>
      <c r="B49" s="249">
        <v>0</v>
      </c>
      <c r="C49" s="249">
        <v>0</v>
      </c>
      <c r="D49" s="249">
        <v>0</v>
      </c>
      <c r="E49" s="249">
        <v>0</v>
      </c>
      <c r="F49" s="249">
        <v>448.19</v>
      </c>
      <c r="G49" s="314"/>
      <c r="H49" s="311"/>
      <c r="I49" s="311"/>
      <c r="J49" s="311"/>
      <c r="K49" s="311"/>
    </row>
    <row r="50" spans="1:11" ht="14.25" customHeight="1" x14ac:dyDescent="0.3">
      <c r="A50" s="247" t="s">
        <v>354</v>
      </c>
      <c r="B50" s="309"/>
      <c r="C50" s="309"/>
      <c r="D50" s="309"/>
      <c r="E50" s="309"/>
      <c r="F50" s="309"/>
      <c r="G50" s="309"/>
      <c r="H50" s="311"/>
      <c r="I50" s="311"/>
      <c r="J50" s="311"/>
      <c r="K50" s="311"/>
    </row>
    <row r="51" spans="1:11" ht="14.25" customHeight="1" x14ac:dyDescent="0.3">
      <c r="A51" s="248" t="s">
        <v>355</v>
      </c>
      <c r="B51" s="249">
        <v>255.79</v>
      </c>
      <c r="C51" s="249">
        <v>255.79</v>
      </c>
      <c r="D51" s="249">
        <v>255.79</v>
      </c>
      <c r="E51" s="249">
        <v>255.79</v>
      </c>
      <c r="F51" s="249">
        <v>841.9</v>
      </c>
      <c r="G51" s="312"/>
      <c r="H51" s="311">
        <f>(C51-B51)/B51</f>
        <v>0</v>
      </c>
      <c r="I51" s="311">
        <f>(D51-C51)/C51</f>
        <v>0</v>
      </c>
      <c r="J51" s="311">
        <f>(E51-D51)/D51</f>
        <v>0</v>
      </c>
      <c r="K51" s="311">
        <f>(F51-E51)/E51</f>
        <v>2.29137182845303</v>
      </c>
    </row>
    <row r="52" spans="1:11" ht="14.25" customHeight="1" x14ac:dyDescent="0.3">
      <c r="A52" s="247" t="s">
        <v>356</v>
      </c>
      <c r="B52" s="309"/>
      <c r="C52" s="309"/>
      <c r="D52" s="309"/>
      <c r="E52" s="309"/>
      <c r="F52" s="309"/>
      <c r="G52" s="309"/>
      <c r="H52" s="311"/>
      <c r="I52" s="311"/>
      <c r="J52" s="311"/>
      <c r="K52" s="311"/>
    </row>
    <row r="53" spans="1:11" ht="26.25" customHeight="1" x14ac:dyDescent="0.3">
      <c r="A53" s="248" t="s">
        <v>358</v>
      </c>
      <c r="B53" s="249">
        <v>880.15</v>
      </c>
      <c r="C53" s="249">
        <v>0</v>
      </c>
      <c r="D53" s="249">
        <v>934.68</v>
      </c>
      <c r="E53" s="249">
        <v>951.17</v>
      </c>
      <c r="F53" s="249">
        <v>974.53</v>
      </c>
      <c r="G53" s="312"/>
      <c r="H53" s="311">
        <f>(C53-B53)/B53</f>
        <v>-1</v>
      </c>
      <c r="I53" s="311"/>
      <c r="J53" s="311">
        <f>(E53-D53)/D53</f>
        <v>1.7642401677579501E-2</v>
      </c>
      <c r="K53" s="311">
        <f>(F53-E53)/E53</f>
        <v>2.45592270572032E-2</v>
      </c>
    </row>
    <row r="54" spans="1:11" ht="14.25" customHeight="1" x14ac:dyDescent="0.3">
      <c r="A54" s="247" t="s">
        <v>359</v>
      </c>
      <c r="B54" s="309"/>
      <c r="C54" s="309"/>
      <c r="D54" s="309"/>
      <c r="E54" s="309"/>
      <c r="F54" s="309"/>
      <c r="G54" s="309"/>
      <c r="H54" s="311"/>
      <c r="I54" s="311"/>
      <c r="J54" s="311"/>
      <c r="K54" s="311"/>
    </row>
    <row r="55" spans="1:11" ht="14.25" customHeight="1" x14ac:dyDescent="0.3">
      <c r="A55" s="248" t="s">
        <v>361</v>
      </c>
      <c r="B55" s="249">
        <v>0</v>
      </c>
      <c r="C55" s="249">
        <v>0</v>
      </c>
      <c r="D55" s="249">
        <v>0</v>
      </c>
      <c r="E55" s="249">
        <v>4.8899999999999997</v>
      </c>
      <c r="F55" s="249">
        <v>3.6</v>
      </c>
      <c r="G55" s="314"/>
      <c r="H55" s="311"/>
      <c r="I55" s="311"/>
      <c r="J55" s="311"/>
      <c r="K55" s="311">
        <f>(F55-E55)/E55</f>
        <v>-0.26380368098159501</v>
      </c>
    </row>
  </sheetData>
  <mergeCells count="1">
    <mergeCell ref="A1:K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7"/>
  <sheetViews>
    <sheetView showGridLines="0" workbookViewId="0">
      <selection activeCell="A13" sqref="A13"/>
    </sheetView>
  </sheetViews>
  <sheetFormatPr defaultColWidth="8.6640625" defaultRowHeight="14.4" x14ac:dyDescent="0.3"/>
  <cols>
    <col min="1" max="1" width="48" customWidth="1"/>
    <col min="2" max="6" width="14" customWidth="1"/>
    <col min="7" max="10" width="16" customWidth="1"/>
    <col min="11" max="12" width="16.44140625" customWidth="1"/>
  </cols>
  <sheetData>
    <row r="1" spans="1:11" ht="21.75" customHeight="1" x14ac:dyDescent="0.3">
      <c r="A1" s="463" t="s">
        <v>400</v>
      </c>
      <c r="B1" s="464"/>
      <c r="C1" s="464"/>
      <c r="D1" s="464"/>
      <c r="E1" s="464"/>
      <c r="F1" s="464"/>
      <c r="G1" s="464"/>
      <c r="H1" s="464"/>
      <c r="I1" s="464"/>
      <c r="J1" s="464"/>
      <c r="K1" s="464"/>
    </row>
    <row r="2" spans="1:11" ht="30" customHeight="1" x14ac:dyDescent="0.3">
      <c r="A2" s="467" t="s">
        <v>299</v>
      </c>
      <c r="B2" s="468" t="s">
        <v>304</v>
      </c>
      <c r="C2" s="468" t="s">
        <v>303</v>
      </c>
      <c r="D2" s="468" t="s">
        <v>302</v>
      </c>
      <c r="E2" s="468" t="s">
        <v>301</v>
      </c>
      <c r="F2" s="468" t="s">
        <v>300</v>
      </c>
      <c r="G2" s="469" t="s">
        <v>308</v>
      </c>
      <c r="H2" s="469" t="s">
        <v>307</v>
      </c>
      <c r="I2" s="469" t="s">
        <v>306</v>
      </c>
      <c r="J2" s="469" t="s">
        <v>305</v>
      </c>
      <c r="K2" s="469" t="s">
        <v>305</v>
      </c>
    </row>
    <row r="3" spans="1:11" ht="18" customHeight="1" x14ac:dyDescent="0.3">
      <c r="A3" s="470" t="s">
        <v>309</v>
      </c>
      <c r="B3" s="471" t="s">
        <v>310</v>
      </c>
      <c r="C3" s="471" t="s">
        <v>310</v>
      </c>
      <c r="D3" s="471" t="s">
        <v>310</v>
      </c>
      <c r="E3" s="471" t="s">
        <v>310</v>
      </c>
      <c r="F3" s="471" t="s">
        <v>310</v>
      </c>
      <c r="G3" s="465"/>
      <c r="H3" s="465"/>
      <c r="I3" s="465"/>
      <c r="J3" s="465"/>
      <c r="K3" s="465"/>
    </row>
    <row r="4" spans="1:11" ht="15.75" customHeight="1" x14ac:dyDescent="0.3">
      <c r="A4" s="472" t="s">
        <v>363</v>
      </c>
      <c r="B4" s="473"/>
      <c r="C4" s="473"/>
      <c r="D4" s="473"/>
      <c r="E4" s="473"/>
      <c r="F4" s="473"/>
      <c r="G4" s="473"/>
      <c r="H4" s="473"/>
      <c r="I4" s="473"/>
      <c r="J4" s="473"/>
      <c r="K4" s="473"/>
    </row>
    <row r="5" spans="1:11" ht="15.75" customHeight="1" x14ac:dyDescent="0.3">
      <c r="A5" s="474" t="s">
        <v>364</v>
      </c>
      <c r="B5" s="475">
        <v>15370.05</v>
      </c>
      <c r="C5" s="475">
        <v>25881.73</v>
      </c>
      <c r="D5" s="475">
        <v>17661.099999999999</v>
      </c>
      <c r="E5" s="475">
        <v>21301.23</v>
      </c>
      <c r="F5" s="475">
        <v>23900.78</v>
      </c>
      <c r="G5" s="476"/>
      <c r="H5" s="476">
        <f t="shared" ref="H5:K6" si="0">(C5-B5)/B5</f>
        <v>0.68390668865748605</v>
      </c>
      <c r="I5" s="476">
        <f t="shared" si="0"/>
        <v>-0.31762289460557702</v>
      </c>
      <c r="J5" s="476">
        <f t="shared" si="0"/>
        <v>0.206110038446076</v>
      </c>
      <c r="K5" s="476">
        <f t="shared" si="0"/>
        <v>0.12203755369995101</v>
      </c>
    </row>
    <row r="6" spans="1:11" ht="15.75" customHeight="1" x14ac:dyDescent="0.3">
      <c r="A6" s="474" t="s">
        <v>365</v>
      </c>
      <c r="B6" s="475">
        <v>15370.05</v>
      </c>
      <c r="C6" s="475">
        <v>25881.73</v>
      </c>
      <c r="D6" s="475">
        <v>17661.099999999999</v>
      </c>
      <c r="E6" s="475">
        <v>21301.23</v>
      </c>
      <c r="F6" s="475">
        <v>23900.78</v>
      </c>
      <c r="G6" s="476"/>
      <c r="H6" s="476">
        <f t="shared" si="0"/>
        <v>0.68390668865748605</v>
      </c>
      <c r="I6" s="476">
        <f t="shared" si="0"/>
        <v>-0.31762289460557702</v>
      </c>
      <c r="J6" s="476">
        <f t="shared" si="0"/>
        <v>0.206110038446076</v>
      </c>
      <c r="K6" s="476">
        <f t="shared" si="0"/>
        <v>0.12203755369995101</v>
      </c>
    </row>
    <row r="7" spans="1:11" ht="15.75" customHeight="1" x14ac:dyDescent="0.3">
      <c r="A7" s="477" t="s">
        <v>366</v>
      </c>
      <c r="B7" s="478">
        <v>0.01</v>
      </c>
      <c r="C7" s="478">
        <v>0</v>
      </c>
      <c r="D7" s="478">
        <v>5.78</v>
      </c>
      <c r="E7" s="478">
        <v>6.62</v>
      </c>
      <c r="F7" s="478">
        <v>4.74</v>
      </c>
      <c r="G7" s="476"/>
      <c r="H7" s="476">
        <f>(C7-B7)/B7</f>
        <v>-1</v>
      </c>
      <c r="I7" s="476"/>
      <c r="J7" s="476">
        <f t="shared" ref="J7:K10" si="1">(E7-D7)/D7</f>
        <v>0.14532871972318301</v>
      </c>
      <c r="K7" s="476">
        <f t="shared" si="1"/>
        <v>-0.28398791540785501</v>
      </c>
    </row>
    <row r="8" spans="1:11" ht="15.75" customHeight="1" x14ac:dyDescent="0.3">
      <c r="A8" s="479" t="s">
        <v>367</v>
      </c>
      <c r="B8" s="480">
        <v>15370.06</v>
      </c>
      <c r="C8" s="480">
        <v>25881.73</v>
      </c>
      <c r="D8" s="480">
        <v>17666.88</v>
      </c>
      <c r="E8" s="480">
        <v>21307.85</v>
      </c>
      <c r="F8" s="480">
        <v>23905.52</v>
      </c>
      <c r="G8" s="476"/>
      <c r="H8" s="476">
        <f>(C8-B8)/B8</f>
        <v>0.68390559308161503</v>
      </c>
      <c r="I8" s="476">
        <f>(D8-C8)/C8</f>
        <v>-0.31739957104876698</v>
      </c>
      <c r="J8" s="476">
        <f t="shared" si="1"/>
        <v>0.206090152873626</v>
      </c>
      <c r="K8" s="476">
        <f t="shared" si="1"/>
        <v>0.12191140823687099</v>
      </c>
    </row>
    <row r="9" spans="1:11" ht="15.75" customHeight="1" x14ac:dyDescent="0.3">
      <c r="A9" s="481" t="s">
        <v>272</v>
      </c>
      <c r="B9" s="482">
        <v>351.6</v>
      </c>
      <c r="C9" s="482">
        <v>718.52</v>
      </c>
      <c r="D9" s="482">
        <v>768.22</v>
      </c>
      <c r="E9" s="482">
        <v>1370.88</v>
      </c>
      <c r="F9" s="482">
        <v>1593.32</v>
      </c>
      <c r="G9" s="476"/>
      <c r="H9" s="476">
        <f>(C9-B9)/B9</f>
        <v>1.0435722411831601</v>
      </c>
      <c r="I9" s="476">
        <f>(D9-C9)/C9</f>
        <v>6.9169960474308401E-2</v>
      </c>
      <c r="J9" s="476">
        <f t="shared" si="1"/>
        <v>0.78448881830725603</v>
      </c>
      <c r="K9" s="476">
        <f t="shared" si="1"/>
        <v>0.162260737628385</v>
      </c>
    </row>
    <row r="10" spans="1:11" ht="15.75" customHeight="1" x14ac:dyDescent="0.3">
      <c r="A10" s="479" t="s">
        <v>368</v>
      </c>
      <c r="B10" s="480">
        <v>15721.66</v>
      </c>
      <c r="C10" s="480">
        <v>26600.25</v>
      </c>
      <c r="D10" s="480">
        <v>18435.099999999999</v>
      </c>
      <c r="E10" s="480">
        <v>22678.73</v>
      </c>
      <c r="F10" s="480">
        <v>25498.84</v>
      </c>
      <c r="G10" s="476"/>
      <c r="H10" s="476">
        <f>(C10-B10)/B10</f>
        <v>0.69194919620447204</v>
      </c>
      <c r="I10" s="476">
        <f>(D10-C10)/C10</f>
        <v>-0.30695764137555098</v>
      </c>
      <c r="J10" s="476">
        <f t="shared" si="1"/>
        <v>0.23019294714973099</v>
      </c>
      <c r="K10" s="476">
        <f t="shared" si="1"/>
        <v>0.12435043761268801</v>
      </c>
    </row>
    <row r="11" spans="1:11" ht="15.75" customHeight="1" x14ac:dyDescent="0.3">
      <c r="A11" s="472" t="s">
        <v>369</v>
      </c>
      <c r="B11" s="473"/>
      <c r="C11" s="473"/>
      <c r="D11" s="473"/>
      <c r="E11" s="473"/>
      <c r="F11" s="473"/>
      <c r="G11" s="473"/>
      <c r="H11" s="476"/>
      <c r="I11" s="476"/>
      <c r="J11" s="476"/>
      <c r="K11" s="476"/>
    </row>
    <row r="12" spans="1:11" ht="15.75" customHeight="1" x14ac:dyDescent="0.3">
      <c r="A12" s="477" t="s">
        <v>370</v>
      </c>
      <c r="B12" s="478">
        <v>410.24</v>
      </c>
      <c r="C12" s="478">
        <v>626.02</v>
      </c>
      <c r="D12" s="478">
        <v>771.03</v>
      </c>
      <c r="E12" s="478">
        <v>841.79</v>
      </c>
      <c r="F12" s="478">
        <v>896.39</v>
      </c>
      <c r="G12" s="476"/>
      <c r="H12" s="476">
        <f>(C12-B12)/B12</f>
        <v>0.525984789391576</v>
      </c>
      <c r="I12" s="476">
        <f>(D12-C12)/C12</f>
        <v>0.23163796683811999</v>
      </c>
      <c r="J12" s="476">
        <f>(E12-D12)/D12</f>
        <v>9.1773342152704801E-2</v>
      </c>
      <c r="K12" s="476">
        <f>(F12-E12)/E12</f>
        <v>6.4861782629872106E-2</v>
      </c>
    </row>
    <row r="13" spans="1:11" ht="15.75" customHeight="1" x14ac:dyDescent="0.3">
      <c r="A13" s="481" t="s">
        <v>371</v>
      </c>
      <c r="B13" s="482">
        <v>0</v>
      </c>
      <c r="C13" s="482">
        <v>0</v>
      </c>
      <c r="D13" s="482">
        <v>0</v>
      </c>
      <c r="E13" s="482">
        <v>0</v>
      </c>
      <c r="F13" s="482">
        <v>197.09</v>
      </c>
      <c r="G13" s="476"/>
      <c r="H13" s="476"/>
      <c r="I13" s="476"/>
      <c r="J13" s="476"/>
      <c r="K13" s="476"/>
    </row>
    <row r="14" spans="1:11" ht="15.75" customHeight="1" x14ac:dyDescent="0.3">
      <c r="A14" s="477" t="s">
        <v>372</v>
      </c>
      <c r="B14" s="478">
        <v>2969.38</v>
      </c>
      <c r="C14" s="478">
        <v>10178.99</v>
      </c>
      <c r="D14" s="478">
        <v>7935.05</v>
      </c>
      <c r="E14" s="478">
        <v>9460.4699999999993</v>
      </c>
      <c r="F14" s="478">
        <v>10502.91</v>
      </c>
      <c r="G14" s="476"/>
      <c r="H14" s="476">
        <f t="shared" ref="H14:K21" si="2">(C14-B14)/B14</f>
        <v>2.4279849665586801</v>
      </c>
      <c r="I14" s="476">
        <f t="shared" si="2"/>
        <v>-0.22044819770920299</v>
      </c>
      <c r="J14" s="476">
        <f t="shared" si="2"/>
        <v>0.19223823416361599</v>
      </c>
      <c r="K14" s="476">
        <f t="shared" si="2"/>
        <v>0.110189028663481</v>
      </c>
    </row>
    <row r="15" spans="1:11" ht="15.75" customHeight="1" x14ac:dyDescent="0.3">
      <c r="A15" s="481" t="s">
        <v>373</v>
      </c>
      <c r="B15" s="482">
        <v>-161.81</v>
      </c>
      <c r="C15" s="482">
        <v>-1200.5</v>
      </c>
      <c r="D15" s="482">
        <v>-496.6</v>
      </c>
      <c r="E15" s="482">
        <v>-93.36</v>
      </c>
      <c r="F15" s="482">
        <v>99.31</v>
      </c>
      <c r="G15" s="476"/>
      <c r="H15" s="476">
        <f t="shared" si="2"/>
        <v>6.4191953525740102</v>
      </c>
      <c r="I15" s="476">
        <f t="shared" si="2"/>
        <v>-0.58633902540608096</v>
      </c>
      <c r="J15" s="476">
        <f t="shared" si="2"/>
        <v>-0.81200161095449097</v>
      </c>
      <c r="K15" s="476">
        <f t="shared" si="2"/>
        <v>-2.0637317909168802</v>
      </c>
    </row>
    <row r="16" spans="1:11" ht="15.75" customHeight="1" x14ac:dyDescent="0.3">
      <c r="A16" s="477" t="s">
        <v>374</v>
      </c>
      <c r="B16" s="478">
        <v>1085.24</v>
      </c>
      <c r="C16" s="478">
        <v>1337.07</v>
      </c>
      <c r="D16" s="478">
        <v>1530.57</v>
      </c>
      <c r="E16" s="478">
        <v>1625.54</v>
      </c>
      <c r="F16" s="478">
        <v>1795.04</v>
      </c>
      <c r="G16" s="476"/>
      <c r="H16" s="476">
        <f t="shared" si="2"/>
        <v>0.232050053444399</v>
      </c>
      <c r="I16" s="476">
        <f t="shared" si="2"/>
        <v>0.144719423814759</v>
      </c>
      <c r="J16" s="476">
        <f t="shared" si="2"/>
        <v>6.2048779212972999E-2</v>
      </c>
      <c r="K16" s="476">
        <f t="shared" si="2"/>
        <v>0.104273041573877</v>
      </c>
    </row>
    <row r="17" spans="1:11" ht="15.75" customHeight="1" x14ac:dyDescent="0.3">
      <c r="A17" s="481" t="s">
        <v>267</v>
      </c>
      <c r="B17" s="482">
        <v>16.809999999999999</v>
      </c>
      <c r="C17" s="482">
        <v>39.06</v>
      </c>
      <c r="D17" s="482">
        <v>75.23</v>
      </c>
      <c r="E17" s="482">
        <v>78.239999999999995</v>
      </c>
      <c r="F17" s="482">
        <v>177.68</v>
      </c>
      <c r="G17" s="476"/>
      <c r="H17" s="476">
        <f t="shared" si="2"/>
        <v>1.32361689470553</v>
      </c>
      <c r="I17" s="476">
        <f t="shared" si="2"/>
        <v>0.92601126472094197</v>
      </c>
      <c r="J17" s="476">
        <f t="shared" si="2"/>
        <v>4.0010634055562801E-2</v>
      </c>
      <c r="K17" s="476">
        <f t="shared" si="2"/>
        <v>1.2709611451942699</v>
      </c>
    </row>
    <row r="18" spans="1:11" ht="15.75" customHeight="1" x14ac:dyDescent="0.3">
      <c r="A18" s="477" t="s">
        <v>375</v>
      </c>
      <c r="B18" s="478">
        <v>228.54</v>
      </c>
      <c r="C18" s="478">
        <v>287.74</v>
      </c>
      <c r="D18" s="478">
        <v>336.18</v>
      </c>
      <c r="E18" s="478">
        <v>350.66</v>
      </c>
      <c r="F18" s="478">
        <v>420.42</v>
      </c>
      <c r="G18" s="476"/>
      <c r="H18" s="476">
        <f t="shared" si="2"/>
        <v>0.259035617397392</v>
      </c>
      <c r="I18" s="476">
        <f t="shared" si="2"/>
        <v>0.168346423854869</v>
      </c>
      <c r="J18" s="476">
        <f t="shared" si="2"/>
        <v>4.3072163721815701E-2</v>
      </c>
      <c r="K18" s="476">
        <f t="shared" si="2"/>
        <v>0.19893914332972101</v>
      </c>
    </row>
    <row r="19" spans="1:11" ht="15.75" customHeight="1" x14ac:dyDescent="0.3">
      <c r="A19" s="481" t="s">
        <v>266</v>
      </c>
      <c r="B19" s="482">
        <v>2277.7399999999998</v>
      </c>
      <c r="C19" s="482">
        <v>2357.63</v>
      </c>
      <c r="D19" s="482">
        <v>1874.3</v>
      </c>
      <c r="E19" s="482">
        <v>2180.58</v>
      </c>
      <c r="F19" s="482">
        <v>2266.11</v>
      </c>
      <c r="G19" s="476"/>
      <c r="H19" s="476">
        <f t="shared" si="2"/>
        <v>3.5074240255692203E-2</v>
      </c>
      <c r="I19" s="476">
        <f t="shared" si="2"/>
        <v>-0.20500672285303501</v>
      </c>
      <c r="J19" s="476">
        <f t="shared" si="2"/>
        <v>0.163410339860214</v>
      </c>
      <c r="K19" s="476">
        <f t="shared" si="2"/>
        <v>3.9223509341551402E-2</v>
      </c>
    </row>
    <row r="20" spans="1:11" ht="15.75" customHeight="1" x14ac:dyDescent="0.3">
      <c r="A20" s="479" t="s">
        <v>268</v>
      </c>
      <c r="B20" s="480">
        <v>6826.14</v>
      </c>
      <c r="C20" s="480">
        <v>13626.01</v>
      </c>
      <c r="D20" s="480">
        <v>12025.76</v>
      </c>
      <c r="E20" s="480">
        <v>14443.92</v>
      </c>
      <c r="F20" s="480">
        <v>16354.95</v>
      </c>
      <c r="G20" s="476"/>
      <c r="H20" s="476">
        <f t="shared" si="2"/>
        <v>0.99615155856750703</v>
      </c>
      <c r="I20" s="476">
        <f t="shared" si="2"/>
        <v>-0.11744083557842699</v>
      </c>
      <c r="J20" s="476">
        <f t="shared" si="2"/>
        <v>0.201081677997898</v>
      </c>
      <c r="K20" s="476">
        <f t="shared" si="2"/>
        <v>0.13230688068059099</v>
      </c>
    </row>
    <row r="21" spans="1:11" ht="15.75" customHeight="1" x14ac:dyDescent="0.3">
      <c r="A21" s="479" t="s">
        <v>376</v>
      </c>
      <c r="B21" s="480">
        <v>8895.52</v>
      </c>
      <c r="C21" s="480">
        <v>12974.24</v>
      </c>
      <c r="D21" s="480">
        <v>6409.34</v>
      </c>
      <c r="E21" s="480">
        <v>8234.81</v>
      </c>
      <c r="F21" s="480">
        <v>9143.89</v>
      </c>
      <c r="G21" s="476"/>
      <c r="H21" s="476">
        <f t="shared" si="2"/>
        <v>0.45851394859434902</v>
      </c>
      <c r="I21" s="476">
        <f t="shared" si="2"/>
        <v>-0.50599495615928203</v>
      </c>
      <c r="J21" s="476">
        <f t="shared" si="2"/>
        <v>0.28481403701473201</v>
      </c>
      <c r="K21" s="476">
        <f t="shared" si="2"/>
        <v>0.110394775350008</v>
      </c>
    </row>
    <row r="22" spans="1:11" ht="15.75" customHeight="1" x14ac:dyDescent="0.3">
      <c r="A22" s="477" t="s">
        <v>276</v>
      </c>
      <c r="B22" s="478">
        <v>0</v>
      </c>
      <c r="C22" s="478">
        <v>0</v>
      </c>
      <c r="D22" s="478">
        <v>1237.27</v>
      </c>
      <c r="E22" s="478">
        <v>-282.14999999999998</v>
      </c>
      <c r="F22" s="478">
        <v>0</v>
      </c>
      <c r="G22" s="476"/>
      <c r="H22" s="476"/>
      <c r="I22" s="476"/>
      <c r="J22" s="476">
        <f>(E22-D22)/D22</f>
        <v>-1.2280423836349399</v>
      </c>
      <c r="K22" s="476">
        <f>(F22-E22)/E22</f>
        <v>-1</v>
      </c>
    </row>
    <row r="23" spans="1:11" ht="15.75" customHeight="1" x14ac:dyDescent="0.3">
      <c r="A23" s="479" t="s">
        <v>377</v>
      </c>
      <c r="B23" s="480">
        <v>8895.52</v>
      </c>
      <c r="C23" s="480">
        <v>12974.24</v>
      </c>
      <c r="D23" s="480">
        <v>7646.61</v>
      </c>
      <c r="E23" s="480">
        <v>7952.66</v>
      </c>
      <c r="F23" s="480">
        <v>9143.89</v>
      </c>
      <c r="G23" s="476"/>
      <c r="H23" s="476">
        <f>(C23-B23)/B23</f>
        <v>0.45851394859434902</v>
      </c>
      <c r="I23" s="476">
        <f>(D23-C23)/C23</f>
        <v>-0.41063137416912299</v>
      </c>
      <c r="J23" s="476">
        <f>(E23-D23)/D23</f>
        <v>4.0024272193821903E-2</v>
      </c>
      <c r="K23" s="476">
        <f>(F23-E23)/E23</f>
        <v>0.14979013311269401</v>
      </c>
    </row>
    <row r="24" spans="1:11" ht="15.75" customHeight="1" x14ac:dyDescent="0.3">
      <c r="A24" s="472" t="s">
        <v>378</v>
      </c>
      <c r="B24" s="473"/>
      <c r="C24" s="473"/>
      <c r="D24" s="473"/>
      <c r="E24" s="473"/>
      <c r="F24" s="473"/>
      <c r="G24" s="473"/>
      <c r="H24" s="476"/>
      <c r="I24" s="476"/>
      <c r="J24" s="476"/>
      <c r="K24" s="476"/>
    </row>
    <row r="25" spans="1:11" ht="15.75" customHeight="1" x14ac:dyDescent="0.3">
      <c r="A25" s="481" t="s">
        <v>379</v>
      </c>
      <c r="B25" s="482">
        <v>2316.46</v>
      </c>
      <c r="C25" s="482">
        <v>3444.39</v>
      </c>
      <c r="D25" s="482">
        <v>1664.65</v>
      </c>
      <c r="E25" s="482">
        <v>2117.62</v>
      </c>
      <c r="F25" s="482">
        <v>2410.81</v>
      </c>
      <c r="G25" s="476"/>
      <c r="H25" s="476">
        <f t="shared" ref="H25:H37" si="3">(C25-B25)/B25</f>
        <v>0.48691969643335098</v>
      </c>
      <c r="I25" s="476">
        <f t="shared" ref="I25:I37" si="4">(D25-C25)/C25</f>
        <v>-0.516706876979668</v>
      </c>
      <c r="J25" s="476">
        <f t="shared" ref="J25:J37" si="5">(E25-D25)/D25</f>
        <v>0.27211125461808799</v>
      </c>
      <c r="K25" s="476">
        <f t="shared" ref="K25:K37" si="6">(F25-E25)/E25</f>
        <v>0.13845260244992</v>
      </c>
    </row>
    <row r="26" spans="1:11" ht="15.75" customHeight="1" x14ac:dyDescent="0.3">
      <c r="A26" s="477" t="s">
        <v>380</v>
      </c>
      <c r="B26" s="478">
        <v>-11.21</v>
      </c>
      <c r="C26" s="478">
        <v>-122.67</v>
      </c>
      <c r="D26" s="478">
        <v>271.43</v>
      </c>
      <c r="E26" s="478">
        <v>31.62</v>
      </c>
      <c r="F26" s="478">
        <v>-30.36</v>
      </c>
      <c r="G26" s="476"/>
      <c r="H26" s="476">
        <f t="shared" si="3"/>
        <v>9.94290811775201</v>
      </c>
      <c r="I26" s="476">
        <f t="shared" si="4"/>
        <v>-3.2126844379228801</v>
      </c>
      <c r="J26" s="476">
        <f t="shared" si="5"/>
        <v>-0.88350587628486199</v>
      </c>
      <c r="K26" s="476">
        <f t="shared" si="6"/>
        <v>-1.9601518026565501</v>
      </c>
    </row>
    <row r="27" spans="1:11" ht="15.75" customHeight="1" x14ac:dyDescent="0.3">
      <c r="A27" s="481" t="s">
        <v>381</v>
      </c>
      <c r="B27" s="482">
        <v>343.2</v>
      </c>
      <c r="C27" s="482">
        <v>260.52999999999997</v>
      </c>
      <c r="D27" s="482">
        <v>172.13</v>
      </c>
      <c r="E27" s="482">
        <v>231.18</v>
      </c>
      <c r="F27" s="482">
        <v>223.69</v>
      </c>
      <c r="G27" s="476"/>
      <c r="H27" s="476">
        <f t="shared" si="3"/>
        <v>-0.24087995337995299</v>
      </c>
      <c r="I27" s="476">
        <f t="shared" si="4"/>
        <v>-0.33930833301347202</v>
      </c>
      <c r="J27" s="476">
        <f t="shared" si="5"/>
        <v>0.34305466798350098</v>
      </c>
      <c r="K27" s="476">
        <f t="shared" si="6"/>
        <v>-3.2398996452980403E-2</v>
      </c>
    </row>
    <row r="28" spans="1:11" ht="15.75" customHeight="1" x14ac:dyDescent="0.3">
      <c r="A28" s="479" t="s">
        <v>382</v>
      </c>
      <c r="B28" s="480">
        <v>2648.45</v>
      </c>
      <c r="C28" s="480">
        <v>3582.25</v>
      </c>
      <c r="D28" s="480">
        <v>2108.21</v>
      </c>
      <c r="E28" s="480">
        <v>2380.42</v>
      </c>
      <c r="F28" s="480">
        <v>2604.14</v>
      </c>
      <c r="G28" s="476"/>
      <c r="H28" s="476">
        <f t="shared" si="3"/>
        <v>0.35258358662613998</v>
      </c>
      <c r="I28" s="476">
        <f t="shared" si="4"/>
        <v>-0.41148440226114902</v>
      </c>
      <c r="J28" s="476">
        <f t="shared" si="5"/>
        <v>0.12911901565783299</v>
      </c>
      <c r="K28" s="476">
        <f t="shared" si="6"/>
        <v>9.3983414691524894E-2</v>
      </c>
    </row>
    <row r="29" spans="1:11" ht="15.75" customHeight="1" x14ac:dyDescent="0.3">
      <c r="A29" s="479" t="s">
        <v>383</v>
      </c>
      <c r="B29" s="480">
        <v>6247.07</v>
      </c>
      <c r="C29" s="480">
        <v>9391.99</v>
      </c>
      <c r="D29" s="480">
        <v>5538.4</v>
      </c>
      <c r="E29" s="480">
        <v>5572.24</v>
      </c>
      <c r="F29" s="480">
        <v>6539.75</v>
      </c>
      <c r="G29" s="476"/>
      <c r="H29" s="476">
        <f t="shared" si="3"/>
        <v>0.50342320479840996</v>
      </c>
      <c r="I29" s="476">
        <f t="shared" si="4"/>
        <v>-0.41030601608391798</v>
      </c>
      <c r="J29" s="476">
        <f t="shared" si="5"/>
        <v>6.1100678896432404E-3</v>
      </c>
      <c r="K29" s="476">
        <f t="shared" si="6"/>
        <v>0.173630353322901</v>
      </c>
    </row>
    <row r="30" spans="1:11" ht="15.75" customHeight="1" x14ac:dyDescent="0.3">
      <c r="A30" s="474" t="s">
        <v>384</v>
      </c>
      <c r="B30" s="475">
        <v>6247.07</v>
      </c>
      <c r="C30" s="475">
        <v>9391.99</v>
      </c>
      <c r="D30" s="475">
        <v>5538.4</v>
      </c>
      <c r="E30" s="475">
        <v>5572.24</v>
      </c>
      <c r="F30" s="475">
        <v>6539.75</v>
      </c>
      <c r="G30" s="476"/>
      <c r="H30" s="476">
        <f t="shared" si="3"/>
        <v>0.50342320479840996</v>
      </c>
      <c r="I30" s="476">
        <f t="shared" si="4"/>
        <v>-0.41030601608391798</v>
      </c>
      <c r="J30" s="476">
        <f t="shared" si="5"/>
        <v>6.1100678896432404E-3</v>
      </c>
      <c r="K30" s="476">
        <f t="shared" si="6"/>
        <v>0.173630353322901</v>
      </c>
    </row>
    <row r="31" spans="1:11" ht="15.75" customHeight="1" x14ac:dyDescent="0.3">
      <c r="A31" s="477" t="s">
        <v>385</v>
      </c>
      <c r="B31" s="478">
        <v>0.53</v>
      </c>
      <c r="C31" s="478">
        <v>-0.91</v>
      </c>
      <c r="D31" s="478">
        <v>-0.91</v>
      </c>
      <c r="E31" s="478">
        <v>-1.32</v>
      </c>
      <c r="F31" s="478">
        <v>-1.24</v>
      </c>
      <c r="G31" s="476"/>
      <c r="H31" s="476">
        <f t="shared" si="3"/>
        <v>-2.7169811320754702</v>
      </c>
      <c r="I31" s="476">
        <f t="shared" si="4"/>
        <v>0</v>
      </c>
      <c r="J31" s="476">
        <f t="shared" si="5"/>
        <v>0.450549450549451</v>
      </c>
      <c r="K31" s="476">
        <f t="shared" si="6"/>
        <v>-6.0606060606060698E-2</v>
      </c>
    </row>
    <row r="32" spans="1:11" ht="15.75" customHeight="1" x14ac:dyDescent="0.3">
      <c r="A32" s="481" t="s">
        <v>386</v>
      </c>
      <c r="B32" s="482">
        <v>0.13</v>
      </c>
      <c r="C32" s="482">
        <v>-0.23</v>
      </c>
      <c r="D32" s="482">
        <v>-0.23</v>
      </c>
      <c r="E32" s="482">
        <v>-0.33</v>
      </c>
      <c r="F32" s="482">
        <v>-0.31</v>
      </c>
      <c r="G32" s="476"/>
      <c r="H32" s="476">
        <f t="shared" si="3"/>
        <v>-2.7692307692307701</v>
      </c>
      <c r="I32" s="476">
        <f t="shared" si="4"/>
        <v>0</v>
      </c>
      <c r="J32" s="476">
        <f t="shared" si="5"/>
        <v>0.434782608695652</v>
      </c>
      <c r="K32" s="476">
        <f t="shared" si="6"/>
        <v>-6.0606060606060698E-2</v>
      </c>
    </row>
    <row r="33" spans="1:11" ht="15.75" customHeight="1" x14ac:dyDescent="0.3">
      <c r="A33" s="477" t="s">
        <v>387</v>
      </c>
      <c r="B33" s="478">
        <v>0.4</v>
      </c>
      <c r="C33" s="478">
        <v>-0.68</v>
      </c>
      <c r="D33" s="478">
        <v>-0.68</v>
      </c>
      <c r="E33" s="478">
        <v>-0.99</v>
      </c>
      <c r="F33" s="478">
        <v>-0.93</v>
      </c>
      <c r="G33" s="476"/>
      <c r="H33" s="476">
        <f t="shared" si="3"/>
        <v>-2.7</v>
      </c>
      <c r="I33" s="476">
        <f t="shared" si="4"/>
        <v>0</v>
      </c>
      <c r="J33" s="476">
        <f t="shared" si="5"/>
        <v>0.45588235294117602</v>
      </c>
      <c r="K33" s="476">
        <f t="shared" si="6"/>
        <v>-6.0606060606060497E-2</v>
      </c>
    </row>
    <row r="34" spans="1:11" ht="15.75" customHeight="1" x14ac:dyDescent="0.3">
      <c r="A34" s="479" t="s">
        <v>388</v>
      </c>
      <c r="B34" s="480">
        <v>6247.47</v>
      </c>
      <c r="C34" s="480">
        <v>9391.31</v>
      </c>
      <c r="D34" s="480">
        <v>5537.72</v>
      </c>
      <c r="E34" s="480">
        <v>5571.25</v>
      </c>
      <c r="F34" s="480">
        <v>6538.82</v>
      </c>
      <c r="G34" s="476"/>
      <c r="H34" s="476">
        <f t="shared" si="3"/>
        <v>0.50321810268796796</v>
      </c>
      <c r="I34" s="476">
        <f t="shared" si="4"/>
        <v>-0.410335725260906</v>
      </c>
      <c r="J34" s="476">
        <f t="shared" si="5"/>
        <v>6.0548384533706603E-3</v>
      </c>
      <c r="K34" s="476">
        <f t="shared" si="6"/>
        <v>0.17367197666591899</v>
      </c>
    </row>
    <row r="35" spans="1:11" ht="15.75" customHeight="1" x14ac:dyDescent="0.3">
      <c r="A35" s="481" t="s">
        <v>295</v>
      </c>
      <c r="B35" s="482">
        <v>0.37</v>
      </c>
      <c r="C35" s="482">
        <v>0.55000000000000004</v>
      </c>
      <c r="D35" s="482">
        <v>-1.1000000000000001</v>
      </c>
      <c r="E35" s="482">
        <v>4.1900000000000004</v>
      </c>
      <c r="F35" s="482">
        <v>10.95</v>
      </c>
      <c r="G35" s="476"/>
      <c r="H35" s="476">
        <f t="shared" si="3"/>
        <v>0.48648648648648701</v>
      </c>
      <c r="I35" s="476">
        <f t="shared" si="4"/>
        <v>-3</v>
      </c>
      <c r="J35" s="476">
        <f t="shared" si="5"/>
        <v>-4.8090909090909104</v>
      </c>
      <c r="K35" s="476">
        <f t="shared" si="6"/>
        <v>1.61336515513126</v>
      </c>
    </row>
    <row r="36" spans="1:11" ht="15.75" customHeight="1" x14ac:dyDescent="0.3">
      <c r="A36" s="477" t="s">
        <v>401</v>
      </c>
      <c r="B36" s="478">
        <v>29.17</v>
      </c>
      <c r="C36" s="478">
        <v>-12.26</v>
      </c>
      <c r="D36" s="478">
        <v>64.84</v>
      </c>
      <c r="E36" s="478">
        <v>-0.38</v>
      </c>
      <c r="F36" s="478">
        <v>-7.79</v>
      </c>
      <c r="G36" s="476"/>
      <c r="H36" s="476">
        <f t="shared" si="3"/>
        <v>-1.42029482344875</v>
      </c>
      <c r="I36" s="476">
        <f t="shared" si="4"/>
        <v>-6.2887438825448596</v>
      </c>
      <c r="J36" s="476">
        <f t="shared" si="5"/>
        <v>-1.0058605798889599</v>
      </c>
      <c r="K36" s="476">
        <f t="shared" si="6"/>
        <v>19.5</v>
      </c>
    </row>
    <row r="37" spans="1:11" ht="15.75" customHeight="1" x14ac:dyDescent="0.3">
      <c r="A37" s="479" t="s">
        <v>402</v>
      </c>
      <c r="B37" s="480">
        <v>6277.01</v>
      </c>
      <c r="C37" s="480">
        <v>9379.6</v>
      </c>
      <c r="D37" s="480">
        <v>5601.46</v>
      </c>
      <c r="E37" s="480">
        <v>5575.06</v>
      </c>
      <c r="F37" s="480">
        <v>6541.98</v>
      </c>
      <c r="G37" s="476"/>
      <c r="H37" s="476">
        <f t="shared" si="3"/>
        <v>0.49427832678297501</v>
      </c>
      <c r="I37" s="476">
        <f t="shared" si="4"/>
        <v>-0.40280395752484099</v>
      </c>
      <c r="J37" s="476">
        <f t="shared" si="5"/>
        <v>-4.7130569530086097E-3</v>
      </c>
      <c r="K37" s="476">
        <f t="shared" si="6"/>
        <v>0.17343669843911999</v>
      </c>
    </row>
    <row r="38" spans="1:11" ht="15.75" customHeight="1" x14ac:dyDescent="0.3">
      <c r="A38" s="483"/>
      <c r="B38" s="484"/>
      <c r="C38" s="484"/>
      <c r="D38" s="484"/>
      <c r="E38" s="484"/>
      <c r="F38" s="484"/>
      <c r="G38" s="485"/>
      <c r="H38" s="476"/>
      <c r="I38" s="476"/>
      <c r="J38" s="476"/>
      <c r="K38" s="476"/>
    </row>
    <row r="39" spans="1:11" ht="15.75" customHeight="1" x14ac:dyDescent="0.3">
      <c r="A39" s="486" t="s">
        <v>350</v>
      </c>
      <c r="B39" s="487"/>
      <c r="C39" s="487"/>
      <c r="D39" s="487"/>
      <c r="E39" s="487"/>
      <c r="F39" s="487"/>
      <c r="G39" s="487"/>
      <c r="H39" s="476"/>
      <c r="I39" s="476"/>
      <c r="J39" s="476"/>
      <c r="K39" s="476"/>
    </row>
    <row r="40" spans="1:11" ht="15.75" customHeight="1" x14ac:dyDescent="0.3">
      <c r="A40" s="488" t="s">
        <v>389</v>
      </c>
      <c r="B40" s="466"/>
      <c r="C40" s="466"/>
      <c r="D40" s="466"/>
      <c r="E40" s="466"/>
      <c r="F40" s="466"/>
      <c r="G40" s="466"/>
      <c r="H40" s="476"/>
      <c r="I40" s="476"/>
      <c r="J40" s="476"/>
      <c r="K40" s="476"/>
    </row>
    <row r="41" spans="1:11" ht="15.75" customHeight="1" x14ac:dyDescent="0.3">
      <c r="A41" s="489" t="s">
        <v>390</v>
      </c>
      <c r="B41" s="490">
        <v>21</v>
      </c>
      <c r="C41" s="490">
        <v>32</v>
      </c>
      <c r="D41" s="490">
        <v>19</v>
      </c>
      <c r="E41" s="490">
        <v>19</v>
      </c>
      <c r="F41" s="490">
        <v>7</v>
      </c>
      <c r="G41" s="485"/>
      <c r="H41" s="476">
        <f t="shared" ref="H41:K45" si="7">(C41-B41)/B41</f>
        <v>0.52380952380952395</v>
      </c>
      <c r="I41" s="476">
        <f t="shared" si="7"/>
        <v>-0.40625</v>
      </c>
      <c r="J41" s="476">
        <f t="shared" si="7"/>
        <v>0</v>
      </c>
      <c r="K41" s="476">
        <f t="shared" si="7"/>
        <v>-0.63157894736842102</v>
      </c>
    </row>
    <row r="42" spans="1:11" ht="15.75" customHeight="1" x14ac:dyDescent="0.3">
      <c r="A42" s="491" t="s">
        <v>391</v>
      </c>
      <c r="B42" s="492">
        <v>21</v>
      </c>
      <c r="C42" s="492">
        <v>32</v>
      </c>
      <c r="D42" s="492">
        <v>19</v>
      </c>
      <c r="E42" s="492">
        <v>19</v>
      </c>
      <c r="F42" s="492">
        <v>7</v>
      </c>
      <c r="G42" s="485"/>
      <c r="H42" s="476">
        <f t="shared" si="7"/>
        <v>0.52380952380952395</v>
      </c>
      <c r="I42" s="476">
        <f t="shared" si="7"/>
        <v>-0.40625</v>
      </c>
      <c r="J42" s="476">
        <f t="shared" si="7"/>
        <v>0</v>
      </c>
      <c r="K42" s="476">
        <f t="shared" si="7"/>
        <v>-0.63157894736842102</v>
      </c>
    </row>
    <row r="43" spans="1:11" ht="15.75" customHeight="1" x14ac:dyDescent="0.3">
      <c r="A43" s="489" t="s">
        <v>392</v>
      </c>
      <c r="B43" s="490">
        <v>42.01</v>
      </c>
      <c r="C43" s="490">
        <v>106.95</v>
      </c>
      <c r="D43" s="490">
        <v>70.59</v>
      </c>
      <c r="E43" s="490">
        <v>20.97</v>
      </c>
      <c r="F43" s="490">
        <v>12.42</v>
      </c>
      <c r="G43" s="485"/>
      <c r="H43" s="476">
        <f t="shared" si="7"/>
        <v>1.5458224232325599</v>
      </c>
      <c r="I43" s="476">
        <f t="shared" si="7"/>
        <v>-0.33997194950911602</v>
      </c>
      <c r="J43" s="476">
        <f t="shared" si="7"/>
        <v>-0.70293242668933298</v>
      </c>
      <c r="K43" s="476">
        <f t="shared" si="7"/>
        <v>-0.40772532188841198</v>
      </c>
    </row>
    <row r="44" spans="1:11" ht="15.75" customHeight="1" x14ac:dyDescent="0.3">
      <c r="A44" s="491" t="s">
        <v>393</v>
      </c>
      <c r="B44" s="492">
        <v>6.01</v>
      </c>
      <c r="C44" s="492">
        <v>2.0699999999999998</v>
      </c>
      <c r="D44" s="492">
        <v>1.69</v>
      </c>
      <c r="E44" s="492">
        <v>1.85</v>
      </c>
      <c r="F44" s="492">
        <v>1.1200000000000001</v>
      </c>
      <c r="G44" s="485"/>
      <c r="H44" s="476">
        <f t="shared" si="7"/>
        <v>-0.65557404326123103</v>
      </c>
      <c r="I44" s="476">
        <f t="shared" si="7"/>
        <v>-0.18357487922705301</v>
      </c>
      <c r="J44" s="476">
        <f t="shared" si="7"/>
        <v>9.4674556213017805E-2</v>
      </c>
      <c r="K44" s="476">
        <f t="shared" si="7"/>
        <v>-0.39459459459459501</v>
      </c>
    </row>
    <row r="45" spans="1:11" ht="15.75" customHeight="1" x14ac:dyDescent="0.3">
      <c r="A45" s="489" t="s">
        <v>394</v>
      </c>
      <c r="B45" s="490">
        <v>251.4</v>
      </c>
      <c r="C45" s="490">
        <v>394.46</v>
      </c>
      <c r="D45" s="490">
        <v>554.65</v>
      </c>
      <c r="E45" s="490">
        <v>586.49</v>
      </c>
      <c r="F45" s="490">
        <v>595.47</v>
      </c>
      <c r="G45" s="485"/>
      <c r="H45" s="476">
        <f t="shared" si="7"/>
        <v>0.56905330151153499</v>
      </c>
      <c r="I45" s="476">
        <f t="shared" si="7"/>
        <v>0.406099477767074</v>
      </c>
      <c r="J45" s="476">
        <f t="shared" si="7"/>
        <v>5.7405571080861903E-2</v>
      </c>
      <c r="K45" s="476">
        <f t="shared" si="7"/>
        <v>1.5311429009872301E-2</v>
      </c>
    </row>
    <row r="46" spans="1:11" ht="15.75" customHeight="1" x14ac:dyDescent="0.3">
      <c r="A46" s="488" t="s">
        <v>395</v>
      </c>
      <c r="B46" s="466"/>
      <c r="C46" s="466"/>
      <c r="D46" s="466"/>
      <c r="E46" s="466"/>
      <c r="F46" s="466"/>
      <c r="G46" s="466"/>
      <c r="H46" s="476"/>
      <c r="I46" s="476"/>
      <c r="J46" s="476"/>
      <c r="K46" s="476"/>
    </row>
    <row r="47" spans="1:11" ht="15.75" customHeight="1" x14ac:dyDescent="0.3">
      <c r="A47" s="491" t="s">
        <v>396</v>
      </c>
      <c r="B47" s="492">
        <v>2274.15</v>
      </c>
      <c r="C47" s="492">
        <v>4319.72</v>
      </c>
      <c r="D47" s="492">
        <v>1098.98</v>
      </c>
      <c r="E47" s="492">
        <v>2520.34</v>
      </c>
      <c r="F47" s="492">
        <v>2461.71</v>
      </c>
      <c r="G47" s="485"/>
      <c r="H47" s="476">
        <f>(C47-B47)/B47</f>
        <v>0.89948772068685001</v>
      </c>
      <c r="I47" s="476">
        <f>(D47-C47)/C47</f>
        <v>-0.74558999194392195</v>
      </c>
      <c r="J47" s="476">
        <f>(E47-D47)/D47</f>
        <v>1.29334473784782</v>
      </c>
      <c r="K47" s="476">
        <f>(F47-E47)/E47</f>
        <v>-2.3262734392978799E-2</v>
      </c>
    </row>
  </sheetData>
  <mergeCells count="1">
    <mergeCell ref="A1:K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F1:O40"/>
  <sheetViews>
    <sheetView showGridLines="0" workbookViewId="0">
      <selection activeCell="I5" sqref="I5"/>
    </sheetView>
  </sheetViews>
  <sheetFormatPr defaultColWidth="8.6640625" defaultRowHeight="14.4" x14ac:dyDescent="0.3"/>
  <cols>
    <col min="6" max="6" width="17.5546875" customWidth="1"/>
    <col min="7" max="7" width="8" customWidth="1"/>
    <col min="8" max="9" width="9.21875" customWidth="1"/>
    <col min="10" max="10" width="8.44140625" customWidth="1"/>
    <col min="11" max="11" width="10.21875" customWidth="1"/>
    <col min="12" max="12" width="16.88671875" customWidth="1"/>
    <col min="13" max="14" width="8.109375" customWidth="1"/>
    <col min="15" max="15" width="7.109375" customWidth="1"/>
  </cols>
  <sheetData>
    <row r="1" spans="6:15" ht="15" customHeight="1" x14ac:dyDescent="0.3"/>
    <row r="2" spans="6:15" ht="72" customHeight="1" x14ac:dyDescent="0.3">
      <c r="F2" s="132" t="s">
        <v>403</v>
      </c>
      <c r="G2" s="133" t="s">
        <v>404</v>
      </c>
      <c r="H2" s="133" t="s">
        <v>405</v>
      </c>
      <c r="I2" s="133" t="s">
        <v>406</v>
      </c>
      <c r="J2" s="133" t="s">
        <v>407</v>
      </c>
      <c r="K2" s="133" t="s">
        <v>408</v>
      </c>
      <c r="L2" s="133" t="s">
        <v>409</v>
      </c>
      <c r="M2" s="133" t="s">
        <v>410</v>
      </c>
      <c r="N2" s="134" t="s">
        <v>411</v>
      </c>
    </row>
    <row r="3" spans="6:15" ht="14.25" customHeight="1" x14ac:dyDescent="0.3">
      <c r="F3" s="135" t="s">
        <v>412</v>
      </c>
      <c r="G3" s="136">
        <v>90.66</v>
      </c>
      <c r="H3" s="137">
        <v>23905.52</v>
      </c>
      <c r="I3" s="137">
        <v>6538.82</v>
      </c>
      <c r="J3" s="137">
        <v>879.18</v>
      </c>
      <c r="K3" s="138">
        <v>34.08</v>
      </c>
      <c r="L3" s="138">
        <v>27.36</v>
      </c>
      <c r="M3" s="139">
        <v>7</v>
      </c>
      <c r="N3" s="140">
        <v>7.92</v>
      </c>
    </row>
    <row r="4" spans="6:15" ht="14.25" customHeight="1" x14ac:dyDescent="0.3">
      <c r="F4" s="141" t="s">
        <v>413</v>
      </c>
      <c r="G4" s="142">
        <v>1265</v>
      </c>
      <c r="H4" s="143">
        <v>168824</v>
      </c>
      <c r="I4" s="143">
        <v>3802</v>
      </c>
      <c r="J4" s="143">
        <v>271.57</v>
      </c>
      <c r="K4" s="144">
        <v>13.56</v>
      </c>
      <c r="L4" s="144">
        <v>2.0699999999999998</v>
      </c>
      <c r="M4" s="145">
        <v>14</v>
      </c>
      <c r="N4" s="146">
        <v>48.28</v>
      </c>
    </row>
    <row r="5" spans="6:15" ht="14.25" customHeight="1" x14ac:dyDescent="0.3">
      <c r="F5" s="141" t="s">
        <v>414</v>
      </c>
      <c r="G5" s="142">
        <v>211.39</v>
      </c>
      <c r="H5" s="143">
        <v>218542.51</v>
      </c>
      <c r="I5" s="143">
        <v>2982.97</v>
      </c>
      <c r="J5" s="143">
        <v>994.32</v>
      </c>
      <c r="K5" s="144">
        <v>11.57</v>
      </c>
      <c r="L5" s="144">
        <v>1.56</v>
      </c>
      <c r="M5" s="145">
        <v>3</v>
      </c>
      <c r="N5" s="146">
        <v>13.48</v>
      </c>
    </row>
    <row r="6" spans="6:15" ht="15" customHeight="1" x14ac:dyDescent="0.3">
      <c r="F6" s="147" t="s">
        <v>415</v>
      </c>
      <c r="G6" s="148">
        <v>1039.3</v>
      </c>
      <c r="H6" s="149">
        <v>238496</v>
      </c>
      <c r="I6" s="149">
        <v>15999</v>
      </c>
      <c r="J6" s="149">
        <v>222.21</v>
      </c>
      <c r="K6" s="150">
        <v>13.33</v>
      </c>
      <c r="L6" s="150">
        <v>6.7</v>
      </c>
      <c r="M6" s="151">
        <v>72</v>
      </c>
      <c r="N6" s="152">
        <v>107.47</v>
      </c>
    </row>
    <row r="7" spans="6:15" ht="15" customHeight="1" x14ac:dyDescent="0.3"/>
    <row r="8" spans="6:15" ht="14.25" customHeight="1" x14ac:dyDescent="0.3">
      <c r="F8" s="201" t="s">
        <v>412</v>
      </c>
      <c r="G8" s="202"/>
      <c r="H8" s="202"/>
      <c r="I8" s="203"/>
      <c r="L8" s="201" t="s">
        <v>413</v>
      </c>
      <c r="M8" s="202"/>
      <c r="N8" s="202"/>
      <c r="O8" s="203"/>
    </row>
    <row r="9" spans="6:15" ht="14.25" customHeight="1" x14ac:dyDescent="0.3">
      <c r="F9" s="153" t="s">
        <v>416</v>
      </c>
      <c r="G9" s="154">
        <v>44986</v>
      </c>
      <c r="H9" s="154">
        <v>45352</v>
      </c>
      <c r="I9" s="155">
        <v>45717</v>
      </c>
      <c r="L9" s="153" t="s">
        <v>416</v>
      </c>
      <c r="M9" s="154">
        <v>44986</v>
      </c>
      <c r="N9" s="154">
        <v>45352</v>
      </c>
      <c r="O9" s="155">
        <v>45717</v>
      </c>
    </row>
    <row r="10" spans="6:15" ht="14.25" customHeight="1" x14ac:dyDescent="0.3">
      <c r="F10" s="153" t="s">
        <v>417</v>
      </c>
      <c r="G10" s="156">
        <v>57.9</v>
      </c>
      <c r="H10" s="156">
        <v>52.8</v>
      </c>
      <c r="I10" s="157">
        <v>85.9</v>
      </c>
      <c r="L10" s="153" t="s">
        <v>417</v>
      </c>
      <c r="M10" s="156">
        <v>16</v>
      </c>
      <c r="N10" s="156">
        <v>15.3</v>
      </c>
      <c r="O10" s="157">
        <v>17.3</v>
      </c>
    </row>
    <row r="11" spans="6:15" ht="14.25" customHeight="1" x14ac:dyDescent="0.3">
      <c r="F11" s="153" t="s">
        <v>418</v>
      </c>
      <c r="G11" s="156">
        <v>55</v>
      </c>
      <c r="H11" s="156">
        <v>47.4</v>
      </c>
      <c r="I11" s="157">
        <v>40.299999999999997</v>
      </c>
      <c r="L11" s="153" t="s">
        <v>418</v>
      </c>
      <c r="M11" s="156">
        <v>72.900000000000006</v>
      </c>
      <c r="N11" s="156">
        <v>78.8</v>
      </c>
      <c r="O11" s="157">
        <v>75.599999999999994</v>
      </c>
    </row>
    <row r="12" spans="6:15" ht="14.25" customHeight="1" x14ac:dyDescent="0.3">
      <c r="F12" s="153" t="s">
        <v>419</v>
      </c>
      <c r="G12" s="156">
        <v>-37.5</v>
      </c>
      <c r="H12" s="156">
        <v>-106.9</v>
      </c>
      <c r="I12" s="157">
        <v>-74.099999999999994</v>
      </c>
      <c r="L12" s="153" t="s">
        <v>419</v>
      </c>
      <c r="M12" s="156">
        <v>78.900000000000006</v>
      </c>
      <c r="N12" s="156">
        <v>84.4</v>
      </c>
      <c r="O12" s="157">
        <v>86.2</v>
      </c>
    </row>
    <row r="13" spans="6:15" ht="28.5" customHeight="1" x14ac:dyDescent="0.3">
      <c r="F13" s="153" t="s">
        <v>420</v>
      </c>
      <c r="G13" s="156">
        <v>150.4</v>
      </c>
      <c r="H13" s="156">
        <v>207.1</v>
      </c>
      <c r="I13" s="157">
        <v>200.3</v>
      </c>
      <c r="L13" s="153" t="s">
        <v>420</v>
      </c>
      <c r="M13" s="156">
        <v>10</v>
      </c>
      <c r="N13" s="156">
        <v>9.6999999999999993</v>
      </c>
      <c r="O13" s="157">
        <v>6.7</v>
      </c>
    </row>
    <row r="14" spans="6:15" ht="28.5" customHeight="1" x14ac:dyDescent="0.3">
      <c r="F14" s="153" t="s">
        <v>421</v>
      </c>
      <c r="G14" s="156">
        <v>150.4</v>
      </c>
      <c r="H14" s="156">
        <v>207.1</v>
      </c>
      <c r="I14" s="157">
        <v>200.3</v>
      </c>
      <c r="L14" s="153" t="s">
        <v>421</v>
      </c>
      <c r="M14" s="156">
        <v>10</v>
      </c>
      <c r="N14" s="156">
        <v>9.6999999999999993</v>
      </c>
      <c r="O14" s="157">
        <v>6.7</v>
      </c>
    </row>
    <row r="15" spans="6:15" ht="15" customHeight="1" x14ac:dyDescent="0.3">
      <c r="F15" s="158" t="s">
        <v>422</v>
      </c>
      <c r="G15" s="159">
        <v>28.14</v>
      </c>
      <c r="H15" s="159">
        <v>28.65</v>
      </c>
      <c r="I15" s="160">
        <v>27.85</v>
      </c>
      <c r="L15" s="158" t="s">
        <v>422</v>
      </c>
      <c r="M15" s="159">
        <v>8.3699999999999992</v>
      </c>
      <c r="N15" s="159">
        <v>12.9</v>
      </c>
      <c r="O15" s="160">
        <v>8.14</v>
      </c>
    </row>
    <row r="18" spans="6:15" ht="15" customHeight="1" x14ac:dyDescent="0.3"/>
    <row r="19" spans="6:15" ht="14.25" customHeight="1" x14ac:dyDescent="0.3">
      <c r="F19" s="201" t="s">
        <v>414</v>
      </c>
      <c r="G19" s="202"/>
      <c r="H19" s="202"/>
      <c r="I19" s="203"/>
      <c r="L19" s="201" t="s">
        <v>415</v>
      </c>
      <c r="M19" s="202"/>
      <c r="N19" s="202"/>
      <c r="O19" s="203"/>
    </row>
    <row r="20" spans="6:15" ht="14.25" customHeight="1" x14ac:dyDescent="0.3">
      <c r="F20" s="153" t="s">
        <v>416</v>
      </c>
      <c r="G20" s="154">
        <v>44986</v>
      </c>
      <c r="H20" s="154">
        <v>45352</v>
      </c>
      <c r="I20" s="155">
        <v>45717</v>
      </c>
      <c r="L20" s="153" t="s">
        <v>416</v>
      </c>
      <c r="M20" s="154">
        <v>44986</v>
      </c>
      <c r="N20" s="154">
        <v>45352</v>
      </c>
      <c r="O20" s="155">
        <v>45717</v>
      </c>
    </row>
    <row r="21" spans="6:15" ht="14.25" customHeight="1" x14ac:dyDescent="0.3">
      <c r="F21" s="153" t="s">
        <v>417</v>
      </c>
      <c r="G21" s="156">
        <v>15.4</v>
      </c>
      <c r="H21" s="156">
        <v>11.6</v>
      </c>
      <c r="I21" s="157">
        <v>9.6</v>
      </c>
      <c r="L21" s="153" t="s">
        <v>417</v>
      </c>
      <c r="M21" s="161">
        <v>30.5</v>
      </c>
      <c r="N21" s="161">
        <v>27.6</v>
      </c>
      <c r="O21" s="162">
        <v>27.7</v>
      </c>
    </row>
    <row r="22" spans="6:15" ht="14.25" customHeight="1" x14ac:dyDescent="0.3">
      <c r="F22" s="153" t="s">
        <v>418</v>
      </c>
      <c r="G22" s="156">
        <v>81.7</v>
      </c>
      <c r="H22" s="156">
        <v>78.3</v>
      </c>
      <c r="I22" s="157">
        <v>74.5</v>
      </c>
      <c r="L22" s="153" t="s">
        <v>418</v>
      </c>
      <c r="M22" s="161">
        <v>70.2</v>
      </c>
      <c r="N22" s="161">
        <v>69</v>
      </c>
      <c r="O22" s="162">
        <v>74.599999999999994</v>
      </c>
    </row>
    <row r="23" spans="6:15" ht="14.25" customHeight="1" x14ac:dyDescent="0.3">
      <c r="F23" s="153" t="s">
        <v>419</v>
      </c>
      <c r="G23" s="156">
        <v>119</v>
      </c>
      <c r="H23" s="156">
        <v>125.3</v>
      </c>
      <c r="I23" s="157">
        <v>122.5</v>
      </c>
      <c r="L23" s="153" t="s">
        <v>419</v>
      </c>
      <c r="M23" s="161">
        <v>81.8</v>
      </c>
      <c r="N23" s="161">
        <v>80.099999999999994</v>
      </c>
      <c r="O23" s="162">
        <v>87.6</v>
      </c>
    </row>
    <row r="24" spans="6:15" ht="28.5" customHeight="1" x14ac:dyDescent="0.3">
      <c r="F24" s="153" t="s">
        <v>420</v>
      </c>
      <c r="G24" s="156">
        <v>-21.9</v>
      </c>
      <c r="H24" s="156">
        <v>-35.4</v>
      </c>
      <c r="I24" s="157">
        <v>-38.4</v>
      </c>
      <c r="L24" s="153" t="s">
        <v>420</v>
      </c>
      <c r="M24" s="161">
        <v>18.899999999999999</v>
      </c>
      <c r="N24" s="161">
        <v>16.5</v>
      </c>
      <c r="O24" s="162">
        <v>14.7</v>
      </c>
    </row>
    <row r="25" spans="6:15" ht="28.5" customHeight="1" x14ac:dyDescent="0.3">
      <c r="F25" s="153" t="s">
        <v>421</v>
      </c>
      <c r="G25" s="156">
        <v>-21.9</v>
      </c>
      <c r="H25" s="156">
        <v>-35.4</v>
      </c>
      <c r="I25" s="157">
        <v>-38.4</v>
      </c>
      <c r="L25" s="153" t="s">
        <v>421</v>
      </c>
      <c r="M25" s="161">
        <v>18.899999999999999</v>
      </c>
      <c r="N25" s="161">
        <v>16.5</v>
      </c>
      <c r="O25" s="162">
        <v>14.7</v>
      </c>
    </row>
    <row r="26" spans="6:15" ht="15" customHeight="1" x14ac:dyDescent="0.3">
      <c r="F26" s="158" t="s">
        <v>422</v>
      </c>
      <c r="G26" s="159">
        <v>13.25</v>
      </c>
      <c r="H26" s="159">
        <v>8.19</v>
      </c>
      <c r="I26" s="160">
        <v>9.11</v>
      </c>
      <c r="L26" s="158" t="s">
        <v>422</v>
      </c>
      <c r="M26" s="163">
        <v>10.99</v>
      </c>
      <c r="N26" s="163">
        <v>11.1</v>
      </c>
      <c r="O26" s="164">
        <v>14.34</v>
      </c>
    </row>
    <row r="28" spans="6:15" ht="10.050000000000001" customHeight="1" x14ac:dyDescent="0.3"/>
    <row r="29" spans="6:15" ht="250.05" customHeight="1" x14ac:dyDescent="0.3">
      <c r="F29" s="204" t="s">
        <v>423</v>
      </c>
      <c r="G29" s="205"/>
      <c r="H29" s="205"/>
      <c r="I29" s="205"/>
      <c r="J29" s="205"/>
      <c r="K29" s="205"/>
      <c r="L29" s="205"/>
      <c r="M29" s="205"/>
      <c r="N29" s="205"/>
      <c r="O29" s="206"/>
    </row>
    <row r="30" spans="6:15" x14ac:dyDescent="0.3">
      <c r="F30" s="207"/>
      <c r="G30" s="208"/>
      <c r="H30" s="208"/>
      <c r="I30" s="208"/>
      <c r="J30" s="208"/>
      <c r="K30" s="208"/>
      <c r="L30" s="208"/>
      <c r="M30" s="208"/>
      <c r="N30" s="208"/>
      <c r="O30" s="209"/>
    </row>
    <row r="31" spans="6:15" x14ac:dyDescent="0.3">
      <c r="F31" s="207"/>
      <c r="G31" s="208"/>
      <c r="H31" s="208"/>
      <c r="I31" s="208"/>
      <c r="J31" s="208"/>
      <c r="K31" s="208"/>
      <c r="L31" s="208"/>
      <c r="M31" s="208"/>
      <c r="N31" s="208"/>
      <c r="O31" s="209"/>
    </row>
    <row r="32" spans="6:15" x14ac:dyDescent="0.3">
      <c r="F32" s="207"/>
      <c r="G32" s="208"/>
      <c r="H32" s="208"/>
      <c r="I32" s="208"/>
      <c r="J32" s="208"/>
      <c r="K32" s="208"/>
      <c r="L32" s="208"/>
      <c r="M32" s="208"/>
      <c r="N32" s="208"/>
      <c r="O32" s="209"/>
    </row>
    <row r="33" spans="6:15" x14ac:dyDescent="0.3">
      <c r="F33" s="207"/>
      <c r="G33" s="208"/>
      <c r="H33" s="208"/>
      <c r="I33" s="208"/>
      <c r="J33" s="208"/>
      <c r="K33" s="208"/>
      <c r="L33" s="208"/>
      <c r="M33" s="208"/>
      <c r="N33" s="208"/>
      <c r="O33" s="209"/>
    </row>
    <row r="34" spans="6:15" x14ac:dyDescent="0.3">
      <c r="F34" s="207"/>
      <c r="G34" s="208"/>
      <c r="H34" s="208"/>
      <c r="I34" s="208"/>
      <c r="J34" s="208"/>
      <c r="K34" s="208"/>
      <c r="L34" s="208"/>
      <c r="M34" s="208"/>
      <c r="N34" s="208"/>
      <c r="O34" s="209"/>
    </row>
    <row r="35" spans="6:15" x14ac:dyDescent="0.3">
      <c r="F35" s="207"/>
      <c r="G35" s="208"/>
      <c r="H35" s="208"/>
      <c r="I35" s="208"/>
      <c r="J35" s="208"/>
      <c r="K35" s="208"/>
      <c r="L35" s="208"/>
      <c r="M35" s="208"/>
      <c r="N35" s="208"/>
      <c r="O35" s="209"/>
    </row>
    <row r="36" spans="6:15" x14ac:dyDescent="0.3">
      <c r="F36" s="207"/>
      <c r="G36" s="208"/>
      <c r="H36" s="208"/>
      <c r="I36" s="208"/>
      <c r="J36" s="208"/>
      <c r="K36" s="208"/>
      <c r="L36" s="208"/>
      <c r="M36" s="208"/>
      <c r="N36" s="208"/>
      <c r="O36" s="209"/>
    </row>
    <row r="37" spans="6:15" x14ac:dyDescent="0.3">
      <c r="F37" s="207"/>
      <c r="G37" s="208"/>
      <c r="H37" s="208"/>
      <c r="I37" s="208"/>
      <c r="J37" s="208"/>
      <c r="K37" s="208"/>
      <c r="L37" s="208"/>
      <c r="M37" s="208"/>
      <c r="N37" s="208"/>
      <c r="O37" s="209"/>
    </row>
    <row r="38" spans="6:15" x14ac:dyDescent="0.3">
      <c r="F38" s="207"/>
      <c r="G38" s="208"/>
      <c r="H38" s="208"/>
      <c r="I38" s="208"/>
      <c r="J38" s="208"/>
      <c r="K38" s="208"/>
      <c r="L38" s="208"/>
      <c r="M38" s="208"/>
      <c r="N38" s="208"/>
      <c r="O38" s="209"/>
    </row>
    <row r="39" spans="6:15" x14ac:dyDescent="0.3">
      <c r="F39" s="207"/>
      <c r="G39" s="208"/>
      <c r="H39" s="208"/>
      <c r="I39" s="208"/>
      <c r="J39" s="208"/>
      <c r="K39" s="208"/>
      <c r="L39" s="208"/>
      <c r="M39" s="208"/>
      <c r="N39" s="208"/>
      <c r="O39" s="209"/>
    </row>
    <row r="40" spans="6:15" x14ac:dyDescent="0.3">
      <c r="F40" s="210"/>
      <c r="G40" s="211"/>
      <c r="H40" s="211"/>
      <c r="I40" s="211"/>
      <c r="J40" s="211"/>
      <c r="K40" s="211"/>
      <c r="L40" s="211"/>
      <c r="M40" s="211"/>
      <c r="N40" s="211"/>
      <c r="O40" s="212"/>
    </row>
  </sheetData>
  <mergeCells count="5">
    <mergeCell ref="F8:I8"/>
    <mergeCell ref="L8:O8"/>
    <mergeCell ref="F19:I19"/>
    <mergeCell ref="L19:O19"/>
    <mergeCell ref="F29:O40"/>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N28"/>
  <sheetViews>
    <sheetView zoomScaleNormal="100" workbookViewId="0">
      <selection activeCell="C12" sqref="C12"/>
    </sheetView>
  </sheetViews>
  <sheetFormatPr defaultColWidth="8.6640625" defaultRowHeight="14.4" x14ac:dyDescent="0.3"/>
  <cols>
    <col min="3" max="3" width="14.88671875" customWidth="1"/>
    <col min="4" max="4" width="11" customWidth="1"/>
    <col min="6" max="6" width="10.77734375" customWidth="1"/>
    <col min="7" max="7" width="10.109375" bestFit="1" customWidth="1"/>
    <col min="8" max="8" width="8.77734375" customWidth="1"/>
  </cols>
  <sheetData>
    <row r="1" spans="3:14" ht="58.2" customHeight="1" x14ac:dyDescent="0.3">
      <c r="C1" s="289" t="s">
        <v>416</v>
      </c>
      <c r="D1" s="289" t="s">
        <v>424</v>
      </c>
      <c r="F1" s="296" t="s">
        <v>425</v>
      </c>
      <c r="G1" s="289" t="s">
        <v>426</v>
      </c>
      <c r="H1" s="289" t="s">
        <v>427</v>
      </c>
      <c r="I1" s="289" t="s">
        <v>428</v>
      </c>
      <c r="J1" s="289" t="s">
        <v>429</v>
      </c>
      <c r="K1" s="289" t="s">
        <v>430</v>
      </c>
      <c r="L1" s="289" t="s">
        <v>431</v>
      </c>
    </row>
    <row r="2" spans="3:14" ht="15" customHeight="1" x14ac:dyDescent="0.3">
      <c r="C2" s="290" t="s">
        <v>432</v>
      </c>
      <c r="D2" s="291">
        <v>78598</v>
      </c>
      <c r="F2" s="297" t="s">
        <v>433</v>
      </c>
      <c r="G2" s="298">
        <v>32070.89</v>
      </c>
      <c r="H2" s="298">
        <v>7415.37</v>
      </c>
      <c r="I2" s="295">
        <f t="shared" ref="I2:J5" si="0">(G2-G3)/G3</f>
        <v>0.34183445059115197</v>
      </c>
      <c r="J2" s="299">
        <f t="shared" si="0"/>
        <v>0.13389196834741399</v>
      </c>
      <c r="K2" s="300">
        <f>(L2-L3)/L3</f>
        <v>-5.0509474113867803E-2</v>
      </c>
      <c r="L2" s="293">
        <v>22331.4</v>
      </c>
    </row>
    <row r="3" spans="3:14" ht="15" customHeight="1" x14ac:dyDescent="0.3">
      <c r="C3" s="290" t="s">
        <v>434</v>
      </c>
      <c r="D3" s="292">
        <v>89.45</v>
      </c>
      <c r="F3" s="297" t="s">
        <v>435</v>
      </c>
      <c r="G3" s="298">
        <v>23900.78</v>
      </c>
      <c r="H3" s="298">
        <v>6539.75</v>
      </c>
      <c r="I3" s="295">
        <f t="shared" si="0"/>
        <v>0.12203755369995101</v>
      </c>
      <c r="J3" s="299">
        <f t="shared" si="0"/>
        <v>0.173630353322901</v>
      </c>
      <c r="K3" s="300">
        <f>(L3-L4)/L4</f>
        <v>5.34086684671852E-2</v>
      </c>
      <c r="L3" s="293">
        <v>23519.35</v>
      </c>
    </row>
    <row r="4" spans="3:14" ht="15" customHeight="1" x14ac:dyDescent="0.3">
      <c r="C4" s="290" t="s">
        <v>436</v>
      </c>
      <c r="D4" s="291" t="s">
        <v>437</v>
      </c>
      <c r="F4" s="297" t="s">
        <v>438</v>
      </c>
      <c r="G4" s="298">
        <v>21301.23</v>
      </c>
      <c r="H4" s="298">
        <v>5572.24</v>
      </c>
      <c r="I4" s="295">
        <f t="shared" si="0"/>
        <v>0.206110038446076</v>
      </c>
      <c r="J4" s="299">
        <f t="shared" si="0"/>
        <v>6.1100678896432404E-3</v>
      </c>
      <c r="K4" s="300">
        <f>(L4-L5)/L5</f>
        <v>0.28613027261337298</v>
      </c>
      <c r="L4" s="293">
        <v>22326.9</v>
      </c>
    </row>
    <row r="5" spans="3:14" ht="15" customHeight="1" x14ac:dyDescent="0.3">
      <c r="C5" s="290" t="s">
        <v>439</v>
      </c>
      <c r="D5" s="291">
        <v>10.56</v>
      </c>
      <c r="F5" s="297" t="s">
        <v>440</v>
      </c>
      <c r="G5" s="298">
        <v>17661.099999999999</v>
      </c>
      <c r="H5" s="298">
        <v>5538.4</v>
      </c>
      <c r="I5" s="295">
        <f t="shared" si="0"/>
        <v>-0.31762289460557702</v>
      </c>
      <c r="J5" s="299">
        <f t="shared" si="0"/>
        <v>-0.41030036520831797</v>
      </c>
      <c r="K5" s="300">
        <f>(L5-L6)/L6</f>
        <v>-6.0121101075022504E-3</v>
      </c>
      <c r="L5" s="293">
        <v>17359.75</v>
      </c>
    </row>
    <row r="6" spans="3:14" x14ac:dyDescent="0.3">
      <c r="C6" s="290" t="s">
        <v>441</v>
      </c>
      <c r="D6" s="293">
        <v>38.9</v>
      </c>
      <c r="F6" s="297" t="s">
        <v>442</v>
      </c>
      <c r="G6" s="298">
        <v>25881.73</v>
      </c>
      <c r="H6" s="298">
        <v>9391.9</v>
      </c>
      <c r="I6" s="295"/>
      <c r="J6" s="299"/>
      <c r="K6" s="300"/>
      <c r="L6" s="293">
        <v>17464.75</v>
      </c>
    </row>
    <row r="7" spans="3:14" x14ac:dyDescent="0.3">
      <c r="C7" s="290" t="s">
        <v>443</v>
      </c>
      <c r="D7" s="294">
        <v>3.91</v>
      </c>
    </row>
    <row r="8" spans="3:14" x14ac:dyDescent="0.3">
      <c r="C8" s="290" t="s">
        <v>444</v>
      </c>
      <c r="D8" s="295">
        <v>0.28360000000000002</v>
      </c>
    </row>
    <row r="9" spans="3:14" x14ac:dyDescent="0.3">
      <c r="C9" s="290" t="s">
        <v>445</v>
      </c>
      <c r="D9" s="295">
        <v>0.21870000000000001</v>
      </c>
    </row>
    <row r="10" spans="3:14" ht="15" customHeight="1" x14ac:dyDescent="0.3">
      <c r="C10" s="290" t="s">
        <v>446</v>
      </c>
      <c r="D10" s="294">
        <v>1</v>
      </c>
    </row>
    <row r="11" spans="3:14" x14ac:dyDescent="0.3">
      <c r="J11" s="131"/>
      <c r="K11" s="131"/>
      <c r="L11" s="131"/>
      <c r="M11" s="131"/>
      <c r="N11" s="131"/>
    </row>
    <row r="12" spans="3:14" ht="120" customHeight="1" x14ac:dyDescent="0.3">
      <c r="F12" s="213" t="s">
        <v>447</v>
      </c>
      <c r="G12" s="183"/>
      <c r="H12" s="183"/>
      <c r="I12" s="183"/>
      <c r="J12" s="183"/>
      <c r="K12" s="183"/>
      <c r="L12" s="183"/>
      <c r="M12" s="183"/>
      <c r="N12" s="183"/>
    </row>
    <row r="13" spans="3:14" ht="14.25" customHeight="1" x14ac:dyDescent="0.3">
      <c r="F13" s="183"/>
      <c r="G13" s="183"/>
      <c r="H13" s="183"/>
      <c r="I13" s="183"/>
      <c r="J13" s="183"/>
      <c r="K13" s="183"/>
      <c r="L13" s="183"/>
      <c r="M13" s="183"/>
      <c r="N13" s="183"/>
    </row>
    <row r="14" spans="3:14" ht="14.25" customHeight="1" x14ac:dyDescent="0.3">
      <c r="F14" s="183"/>
      <c r="G14" s="183"/>
      <c r="H14" s="183"/>
      <c r="I14" s="183"/>
      <c r="J14" s="183"/>
      <c r="K14" s="183"/>
      <c r="L14" s="183"/>
      <c r="M14" s="183"/>
      <c r="N14" s="183"/>
    </row>
    <row r="15" spans="3:14" ht="14.25" customHeight="1" x14ac:dyDescent="0.3">
      <c r="F15" s="183"/>
      <c r="G15" s="183"/>
      <c r="H15" s="183"/>
      <c r="I15" s="183"/>
      <c r="J15" s="183"/>
      <c r="K15" s="183"/>
      <c r="L15" s="183"/>
      <c r="M15" s="183"/>
      <c r="N15" s="183"/>
    </row>
    <row r="16" spans="3:14" ht="14.25" customHeight="1" x14ac:dyDescent="0.3">
      <c r="F16" s="183"/>
      <c r="G16" s="183"/>
      <c r="H16" s="183"/>
      <c r="I16" s="183"/>
      <c r="J16" s="183"/>
      <c r="K16" s="183"/>
      <c r="L16" s="183"/>
      <c r="M16" s="183"/>
      <c r="N16" s="183"/>
    </row>
    <row r="17" spans="6:14" ht="14.25" customHeight="1" x14ac:dyDescent="0.3">
      <c r="F17" s="183"/>
      <c r="G17" s="183"/>
      <c r="H17" s="183"/>
      <c r="I17" s="183"/>
      <c r="J17" s="183"/>
      <c r="K17" s="183"/>
      <c r="L17" s="183"/>
      <c r="M17" s="183"/>
      <c r="N17" s="183"/>
    </row>
    <row r="18" spans="6:14" ht="14.25" customHeight="1" x14ac:dyDescent="0.3">
      <c r="F18" s="183"/>
      <c r="G18" s="183"/>
      <c r="H18" s="183"/>
      <c r="I18" s="183"/>
      <c r="J18" s="183"/>
      <c r="K18" s="183"/>
      <c r="L18" s="183"/>
      <c r="M18" s="183"/>
      <c r="N18" s="183"/>
    </row>
    <row r="19" spans="6:14" ht="14.25" customHeight="1" x14ac:dyDescent="0.3">
      <c r="F19" s="183"/>
      <c r="G19" s="183"/>
      <c r="H19" s="183"/>
      <c r="I19" s="183"/>
      <c r="J19" s="183"/>
      <c r="K19" s="183"/>
      <c r="L19" s="183"/>
      <c r="M19" s="183"/>
      <c r="N19" s="183"/>
    </row>
    <row r="21" spans="6:14" ht="109.95" customHeight="1" x14ac:dyDescent="0.3">
      <c r="F21" s="213" t="s">
        <v>448</v>
      </c>
      <c r="G21" s="183"/>
      <c r="H21" s="183"/>
      <c r="I21" s="183"/>
      <c r="J21" s="183"/>
      <c r="K21" s="183"/>
      <c r="L21" s="183"/>
      <c r="M21" s="183"/>
      <c r="N21" s="183"/>
    </row>
    <row r="22" spans="6:14" x14ac:dyDescent="0.3">
      <c r="F22" s="183"/>
      <c r="G22" s="183"/>
      <c r="H22" s="183"/>
      <c r="I22" s="183"/>
      <c r="J22" s="183"/>
      <c r="K22" s="183"/>
      <c r="L22" s="183"/>
      <c r="M22" s="183"/>
      <c r="N22" s="183"/>
    </row>
    <row r="23" spans="6:14" x14ac:dyDescent="0.3">
      <c r="F23" s="183"/>
      <c r="G23" s="183"/>
      <c r="H23" s="183"/>
      <c r="I23" s="183"/>
      <c r="J23" s="183"/>
      <c r="K23" s="183"/>
      <c r="L23" s="183"/>
      <c r="M23" s="183"/>
      <c r="N23" s="183"/>
    </row>
    <row r="24" spans="6:14" x14ac:dyDescent="0.3">
      <c r="F24" s="183"/>
      <c r="G24" s="183"/>
      <c r="H24" s="183"/>
      <c r="I24" s="183"/>
      <c r="J24" s="183"/>
      <c r="K24" s="183"/>
      <c r="L24" s="183"/>
      <c r="M24" s="183"/>
      <c r="N24" s="183"/>
    </row>
    <row r="25" spans="6:14" x14ac:dyDescent="0.3">
      <c r="F25" s="183"/>
      <c r="G25" s="183"/>
      <c r="H25" s="183"/>
      <c r="I25" s="183"/>
      <c r="J25" s="183"/>
      <c r="K25" s="183"/>
      <c r="L25" s="183"/>
      <c r="M25" s="183"/>
      <c r="N25" s="183"/>
    </row>
    <row r="26" spans="6:14" x14ac:dyDescent="0.3">
      <c r="F26" s="183"/>
      <c r="G26" s="183"/>
      <c r="H26" s="183"/>
      <c r="I26" s="183"/>
      <c r="J26" s="183"/>
      <c r="K26" s="183"/>
      <c r="L26" s="183"/>
      <c r="M26" s="183"/>
      <c r="N26" s="183"/>
    </row>
    <row r="27" spans="6:14" x14ac:dyDescent="0.3">
      <c r="F27" s="183"/>
      <c r="G27" s="183"/>
      <c r="H27" s="183"/>
      <c r="I27" s="183"/>
      <c r="J27" s="183"/>
      <c r="K27" s="183"/>
      <c r="L27" s="183"/>
      <c r="M27" s="183"/>
      <c r="N27" s="183"/>
    </row>
    <row r="28" spans="6:14" x14ac:dyDescent="0.3">
      <c r="F28" s="183"/>
      <c r="G28" s="183"/>
      <c r="H28" s="183"/>
      <c r="I28" s="183"/>
      <c r="J28" s="183"/>
      <c r="K28" s="183"/>
      <c r="L28" s="183"/>
      <c r="M28" s="183"/>
      <c r="N28" s="183"/>
    </row>
  </sheetData>
  <mergeCells count="2">
    <mergeCell ref="F21:N28"/>
    <mergeCell ref="F12:N19"/>
  </mergeCells>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1482"/>
  <sheetViews>
    <sheetView showGridLines="0" workbookViewId="0">
      <selection activeCell="H1" sqref="H1:I1"/>
    </sheetView>
  </sheetViews>
  <sheetFormatPr defaultColWidth="8.6640625" defaultRowHeight="14.4" x14ac:dyDescent="0.3"/>
  <cols>
    <col min="1" max="1" width="10.33203125" customWidth="1"/>
    <col min="2" max="2" width="11.33203125" customWidth="1"/>
    <col min="4" max="4" width="10.33203125" customWidth="1"/>
    <col min="9" max="9" width="9.44140625" bestFit="1" customWidth="1"/>
    <col min="10" max="11" width="9.5546875" customWidth="1"/>
    <col min="12" max="12" width="17.44140625" customWidth="1"/>
    <col min="13" max="13" width="12" customWidth="1"/>
    <col min="14" max="14" width="13.44140625" customWidth="1"/>
    <col min="16" max="16" width="12" customWidth="1"/>
    <col min="17" max="17" width="12.6640625" customWidth="1"/>
    <col min="19" max="19" width="12.6640625" customWidth="1"/>
  </cols>
  <sheetData>
    <row r="1" spans="1:13" ht="14.25" customHeight="1" x14ac:dyDescent="0.3">
      <c r="A1" s="126" t="s">
        <v>449</v>
      </c>
      <c r="B1" s="126" t="s">
        <v>450</v>
      </c>
      <c r="D1" s="126" t="s">
        <v>449</v>
      </c>
      <c r="E1" s="126" t="s">
        <v>451</v>
      </c>
      <c r="H1" s="64" t="s">
        <v>452</v>
      </c>
      <c r="I1" s="64" t="s">
        <v>453</v>
      </c>
    </row>
    <row r="2" spans="1:13" ht="14.25" customHeight="1" x14ac:dyDescent="0.3">
      <c r="A2" s="127">
        <v>43922</v>
      </c>
      <c r="B2" s="64">
        <v>8253.7999999999993</v>
      </c>
      <c r="D2" s="127">
        <v>43922</v>
      </c>
      <c r="E2" s="64">
        <v>13.81</v>
      </c>
      <c r="H2" s="64"/>
      <c r="I2" s="64"/>
    </row>
    <row r="3" spans="1:13" ht="14.25" customHeight="1" x14ac:dyDescent="0.3">
      <c r="A3" s="127">
        <v>43924</v>
      </c>
      <c r="B3" s="64">
        <v>8083.8</v>
      </c>
      <c r="D3" s="127">
        <v>43924</v>
      </c>
      <c r="E3" s="64">
        <v>13.93</v>
      </c>
      <c r="H3" s="128">
        <f t="shared" ref="H3:H66" si="0">(B3-B2)/B2</f>
        <v>-2.0596573699386798E-2</v>
      </c>
      <c r="I3" s="128">
        <f t="shared" ref="I3:I66" si="1">(E3-E2)/E2</f>
        <v>8.6893555394640994E-3</v>
      </c>
      <c r="J3" s="41">
        <f>SLOPE(I3:I1482,H3:H1482)</f>
        <v>1.08879371964295</v>
      </c>
      <c r="K3" s="41">
        <f>_xlfn.COVARIANCE.S(I3:I1482,H3:H1482)/_xlfn.VAR.S(H3:H1482)</f>
        <v>1.08879371964295</v>
      </c>
    </row>
    <row r="4" spans="1:13" ht="14.25" customHeight="1" x14ac:dyDescent="0.3">
      <c r="A4" s="127">
        <v>43928</v>
      </c>
      <c r="B4" s="64">
        <v>8792.2000000000007</v>
      </c>
      <c r="D4" s="127">
        <v>43928</v>
      </c>
      <c r="E4" s="64">
        <v>13.87</v>
      </c>
      <c r="H4" s="128">
        <f t="shared" si="0"/>
        <v>8.7632054231920706E-2</v>
      </c>
      <c r="I4" s="128">
        <f t="shared" si="1"/>
        <v>-4.3072505384063502E-3</v>
      </c>
    </row>
    <row r="5" spans="1:13" ht="14.25" customHeight="1" x14ac:dyDescent="0.3">
      <c r="A5" s="127">
        <v>43929</v>
      </c>
      <c r="B5" s="64">
        <v>8748.75</v>
      </c>
      <c r="D5" s="127">
        <v>43929</v>
      </c>
      <c r="E5" s="64">
        <v>13.23</v>
      </c>
      <c r="H5" s="128">
        <f t="shared" si="0"/>
        <v>-4.9418803029959201E-3</v>
      </c>
      <c r="I5" s="128">
        <f t="shared" si="1"/>
        <v>-4.6142754145638003E-2</v>
      </c>
    </row>
    <row r="6" spans="1:13" ht="14.25" customHeight="1" x14ac:dyDescent="0.3">
      <c r="A6" s="127">
        <v>43930</v>
      </c>
      <c r="B6" s="64">
        <v>9111.9</v>
      </c>
      <c r="D6" s="127">
        <v>43930</v>
      </c>
      <c r="E6" s="64">
        <v>14.02</v>
      </c>
      <c r="H6" s="128">
        <f t="shared" si="0"/>
        <v>4.1508786969567002E-2</v>
      </c>
      <c r="I6" s="128">
        <f t="shared" si="1"/>
        <v>5.9712773998488199E-2</v>
      </c>
    </row>
    <row r="7" spans="1:13" ht="14.25" customHeight="1" x14ac:dyDescent="0.3">
      <c r="A7" s="127">
        <v>43934</v>
      </c>
      <c r="B7" s="64">
        <v>8993.85</v>
      </c>
      <c r="D7" s="127">
        <v>43934</v>
      </c>
      <c r="E7" s="64">
        <v>14.57</v>
      </c>
      <c r="H7" s="128">
        <f t="shared" si="0"/>
        <v>-1.29555855529581E-2</v>
      </c>
      <c r="I7" s="128">
        <f t="shared" si="1"/>
        <v>3.9229671897289597E-2</v>
      </c>
      <c r="L7" t="s">
        <v>454</v>
      </c>
    </row>
    <row r="8" spans="1:13" ht="15" customHeight="1" x14ac:dyDescent="0.3">
      <c r="A8" s="127">
        <v>43936</v>
      </c>
      <c r="B8" s="64">
        <v>8925.2999999999993</v>
      </c>
      <c r="D8" s="127">
        <v>43936</v>
      </c>
      <c r="E8" s="64">
        <v>14.49</v>
      </c>
      <c r="H8" s="128">
        <f t="shared" si="0"/>
        <v>-7.6218749478811701E-3</v>
      </c>
      <c r="I8" s="128">
        <f t="shared" si="1"/>
        <v>-5.4907343857240999E-3</v>
      </c>
    </row>
    <row r="9" spans="1:13" ht="14.25" customHeight="1" x14ac:dyDescent="0.3">
      <c r="A9" s="127">
        <v>43937</v>
      </c>
      <c r="B9" s="64">
        <v>8992.7999999999993</v>
      </c>
      <c r="D9" s="127">
        <v>43937</v>
      </c>
      <c r="E9" s="64">
        <v>14.14</v>
      </c>
      <c r="H9" s="128">
        <f t="shared" si="0"/>
        <v>7.5627709992941404E-3</v>
      </c>
      <c r="I9" s="128">
        <f t="shared" si="1"/>
        <v>-2.41545893719807E-2</v>
      </c>
      <c r="L9" s="214" t="s">
        <v>455</v>
      </c>
      <c r="M9" s="202"/>
    </row>
    <row r="10" spans="1:13" ht="14.25" customHeight="1" x14ac:dyDescent="0.3">
      <c r="A10" s="127">
        <v>43938</v>
      </c>
      <c r="B10" s="64">
        <v>9266.75</v>
      </c>
      <c r="D10" s="127">
        <v>43938</v>
      </c>
      <c r="E10" s="64">
        <v>14.14</v>
      </c>
      <c r="H10" s="128">
        <f t="shared" si="0"/>
        <v>3.0463259496486199E-2</v>
      </c>
      <c r="I10" s="128">
        <f t="shared" si="1"/>
        <v>0</v>
      </c>
      <c r="L10" t="s">
        <v>456</v>
      </c>
      <c r="M10">
        <v>0.459931176701732</v>
      </c>
    </row>
    <row r="11" spans="1:13" ht="14.25" customHeight="1" x14ac:dyDescent="0.3">
      <c r="A11" s="127">
        <v>43941</v>
      </c>
      <c r="B11" s="64">
        <v>9261.85</v>
      </c>
      <c r="D11" s="127">
        <v>43941</v>
      </c>
      <c r="E11" s="64">
        <v>13.53</v>
      </c>
      <c r="H11" s="128">
        <f t="shared" si="0"/>
        <v>-5.2877222327133398E-4</v>
      </c>
      <c r="I11" s="128">
        <f t="shared" si="1"/>
        <v>-4.31400282885432E-2</v>
      </c>
      <c r="L11" t="s">
        <v>457</v>
      </c>
      <c r="M11">
        <v>0.21153668730223901</v>
      </c>
    </row>
    <row r="12" spans="1:13" ht="14.25" customHeight="1" x14ac:dyDescent="0.3">
      <c r="A12" s="127">
        <v>43942</v>
      </c>
      <c r="B12" s="64">
        <v>8981.4500000000007</v>
      </c>
      <c r="D12" s="127">
        <v>43942</v>
      </c>
      <c r="E12" s="64">
        <v>13.04</v>
      </c>
      <c r="H12" s="128">
        <f t="shared" si="0"/>
        <v>-3.0274729130789199E-2</v>
      </c>
      <c r="I12" s="128">
        <f t="shared" si="1"/>
        <v>-3.6215816703621603E-2</v>
      </c>
      <c r="L12" t="s">
        <v>458</v>
      </c>
      <c r="M12">
        <v>0.21100322092017099</v>
      </c>
    </row>
    <row r="13" spans="1:13" ht="14.25" customHeight="1" x14ac:dyDescent="0.3">
      <c r="A13" s="127">
        <v>43943</v>
      </c>
      <c r="B13" s="64">
        <v>9187.2999999999993</v>
      </c>
      <c r="D13" s="127">
        <v>43943</v>
      </c>
      <c r="E13" s="64">
        <v>13.1</v>
      </c>
      <c r="H13" s="128">
        <f t="shared" si="0"/>
        <v>2.2919461779556598E-2</v>
      </c>
      <c r="I13" s="128">
        <f t="shared" si="1"/>
        <v>4.60122699386507E-3</v>
      </c>
      <c r="L13" t="s">
        <v>459</v>
      </c>
      <c r="M13">
        <v>2.06097830771973E-2</v>
      </c>
    </row>
    <row r="14" spans="1:13" ht="15" customHeight="1" x14ac:dyDescent="0.3">
      <c r="A14" s="127">
        <v>43944</v>
      </c>
      <c r="B14" s="64">
        <v>9313.9</v>
      </c>
      <c r="D14" s="127">
        <v>43944</v>
      </c>
      <c r="E14" s="64">
        <v>13.53</v>
      </c>
      <c r="H14" s="128">
        <f t="shared" si="0"/>
        <v>1.37798918071686E-2</v>
      </c>
      <c r="I14" s="128">
        <f t="shared" si="1"/>
        <v>3.2824427480915998E-2</v>
      </c>
      <c r="L14" s="130" t="s">
        <v>460</v>
      </c>
      <c r="M14" s="130">
        <v>1480</v>
      </c>
    </row>
    <row r="15" spans="1:13" ht="14.25" customHeight="1" x14ac:dyDescent="0.3">
      <c r="A15" s="127">
        <v>43945</v>
      </c>
      <c r="B15" s="64">
        <v>9154.4</v>
      </c>
      <c r="D15" s="127">
        <v>43945</v>
      </c>
      <c r="E15" s="64">
        <v>12.97</v>
      </c>
      <c r="H15" s="128">
        <f t="shared" si="0"/>
        <v>-1.7124942290555001E-2</v>
      </c>
      <c r="I15" s="128">
        <f t="shared" si="1"/>
        <v>-4.1389504804138902E-2</v>
      </c>
    </row>
    <row r="16" spans="1:13" ht="15" customHeight="1" x14ac:dyDescent="0.3">
      <c r="A16" s="127">
        <v>43948</v>
      </c>
      <c r="B16" s="64">
        <v>9282.2999999999993</v>
      </c>
      <c r="D16" s="127">
        <v>43948</v>
      </c>
      <c r="E16" s="64">
        <v>13.02</v>
      </c>
      <c r="H16" s="128">
        <f t="shared" si="0"/>
        <v>1.3971423577733099E-2</v>
      </c>
      <c r="I16" s="128">
        <f t="shared" si="1"/>
        <v>3.8550501156514199E-3</v>
      </c>
      <c r="L16" t="s">
        <v>461</v>
      </c>
    </row>
    <row r="17" spans="1:20" ht="14.25" customHeight="1" x14ac:dyDescent="0.3">
      <c r="A17" s="127">
        <v>43949</v>
      </c>
      <c r="B17" s="64">
        <v>9380.9</v>
      </c>
      <c r="D17" s="127">
        <v>43949</v>
      </c>
      <c r="E17" s="64">
        <v>12.87</v>
      </c>
      <c r="H17" s="128">
        <f t="shared" si="0"/>
        <v>1.06223673012077E-2</v>
      </c>
      <c r="I17" s="128">
        <f t="shared" si="1"/>
        <v>-1.1520737327188999E-2</v>
      </c>
      <c r="L17" s="129"/>
      <c r="M17" s="129" t="s">
        <v>462</v>
      </c>
      <c r="N17" s="129" t="s">
        <v>463</v>
      </c>
      <c r="O17" s="129" t="s">
        <v>464</v>
      </c>
      <c r="P17" s="129" t="s">
        <v>465</v>
      </c>
      <c r="Q17" s="129" t="s">
        <v>466</v>
      </c>
    </row>
    <row r="18" spans="1:20" ht="14.25" customHeight="1" x14ac:dyDescent="0.3">
      <c r="A18" s="127">
        <v>43950</v>
      </c>
      <c r="B18" s="64">
        <v>9553.35</v>
      </c>
      <c r="D18" s="127">
        <v>43950</v>
      </c>
      <c r="E18" s="64">
        <v>13.25</v>
      </c>
      <c r="H18" s="128">
        <f t="shared" si="0"/>
        <v>1.83830975705957E-2</v>
      </c>
      <c r="I18" s="128">
        <f t="shared" si="1"/>
        <v>2.9526029526029601E-2</v>
      </c>
      <c r="L18" t="s">
        <v>467</v>
      </c>
      <c r="M18">
        <v>1</v>
      </c>
      <c r="N18">
        <v>0.16843234073413399</v>
      </c>
      <c r="O18">
        <v>0.16843234073413399</v>
      </c>
      <c r="P18">
        <v>396.53236719786099</v>
      </c>
      <c r="Q18">
        <v>2.3701233480480002E-78</v>
      </c>
    </row>
    <row r="19" spans="1:20" ht="14.25" customHeight="1" x14ac:dyDescent="0.3">
      <c r="A19" s="127">
        <v>43951</v>
      </c>
      <c r="B19" s="64">
        <v>9859.9</v>
      </c>
      <c r="D19" s="127">
        <v>43951</v>
      </c>
      <c r="E19" s="64">
        <v>14.16</v>
      </c>
      <c r="H19" s="128">
        <f t="shared" si="0"/>
        <v>3.2088220362490601E-2</v>
      </c>
      <c r="I19" s="128">
        <f t="shared" si="1"/>
        <v>6.86792452830189E-2</v>
      </c>
      <c r="L19" t="s">
        <v>468</v>
      </c>
      <c r="M19">
        <v>1478</v>
      </c>
      <c r="N19">
        <v>0.62779994824693097</v>
      </c>
      <c r="O19">
        <v>4.24763158489128E-4</v>
      </c>
    </row>
    <row r="20" spans="1:20" ht="15" customHeight="1" x14ac:dyDescent="0.3">
      <c r="A20" s="127">
        <v>43955</v>
      </c>
      <c r="B20" s="64">
        <v>9293.5</v>
      </c>
      <c r="D20" s="127">
        <v>43955</v>
      </c>
      <c r="E20" s="64">
        <v>13.13</v>
      </c>
      <c r="H20" s="128">
        <f t="shared" si="0"/>
        <v>-5.7444801671416502E-2</v>
      </c>
      <c r="I20" s="128">
        <f t="shared" si="1"/>
        <v>-7.2740112994350195E-2</v>
      </c>
      <c r="L20" s="130" t="s">
        <v>469</v>
      </c>
      <c r="M20" s="130">
        <v>1479</v>
      </c>
      <c r="N20" s="130">
        <v>0.79623228898106502</v>
      </c>
      <c r="O20" s="130"/>
      <c r="P20" s="130"/>
      <c r="Q20" s="130"/>
    </row>
    <row r="21" spans="1:20" ht="15" customHeight="1" x14ac:dyDescent="0.3">
      <c r="A21" s="127">
        <v>43956</v>
      </c>
      <c r="B21" s="64">
        <v>9205.6</v>
      </c>
      <c r="D21" s="127">
        <v>43956</v>
      </c>
      <c r="E21" s="64">
        <v>12.81</v>
      </c>
      <c r="H21" s="128">
        <f t="shared" si="0"/>
        <v>-9.4582234895356602E-3</v>
      </c>
      <c r="I21" s="128">
        <f t="shared" si="1"/>
        <v>-2.43716679360244E-2</v>
      </c>
    </row>
    <row r="22" spans="1:20" ht="14.25" customHeight="1" x14ac:dyDescent="0.3">
      <c r="A22" s="127">
        <v>43957</v>
      </c>
      <c r="B22" s="64">
        <v>9270.9</v>
      </c>
      <c r="D22" s="127">
        <v>43957</v>
      </c>
      <c r="E22" s="64">
        <v>12.86</v>
      </c>
      <c r="H22" s="128">
        <f t="shared" si="0"/>
        <v>7.0935082992960004E-3</v>
      </c>
      <c r="I22" s="128">
        <f t="shared" si="1"/>
        <v>3.9032006245120201E-3</v>
      </c>
      <c r="L22" s="129"/>
      <c r="M22" s="129" t="s">
        <v>470</v>
      </c>
      <c r="N22" s="129" t="s">
        <v>459</v>
      </c>
      <c r="O22" s="129" t="s">
        <v>471</v>
      </c>
      <c r="P22" s="129" t="s">
        <v>472</v>
      </c>
      <c r="Q22" s="129" t="s">
        <v>473</v>
      </c>
      <c r="R22" s="129" t="s">
        <v>474</v>
      </c>
      <c r="S22" s="129" t="s">
        <v>475</v>
      </c>
      <c r="T22" s="129" t="s">
        <v>476</v>
      </c>
    </row>
    <row r="23" spans="1:20" ht="14.25" customHeight="1" x14ac:dyDescent="0.3">
      <c r="A23" s="127">
        <v>43958</v>
      </c>
      <c r="B23" s="64">
        <v>9199.0499999999993</v>
      </c>
      <c r="D23" s="127">
        <v>43958</v>
      </c>
      <c r="E23" s="64">
        <v>12.83</v>
      </c>
      <c r="H23" s="128">
        <f t="shared" si="0"/>
        <v>-7.7500566288063004E-3</v>
      </c>
      <c r="I23" s="128">
        <f t="shared" si="1"/>
        <v>-2.3328149300154998E-3</v>
      </c>
      <c r="L23" t="s">
        <v>477</v>
      </c>
      <c r="M23">
        <v>6.40430391454992E-4</v>
      </c>
      <c r="N23">
        <v>5.3717317431902802E-4</v>
      </c>
      <c r="O23">
        <v>1.19222333145519</v>
      </c>
      <c r="P23">
        <v>0.23336506788509401</v>
      </c>
      <c r="Q23">
        <v>-4.1327257062786702E-4</v>
      </c>
      <c r="R23">
        <v>1.69413335353785E-3</v>
      </c>
      <c r="S23">
        <v>-4.1327257062786702E-4</v>
      </c>
      <c r="T23">
        <v>1.69413335353785E-3</v>
      </c>
    </row>
    <row r="24" spans="1:20" ht="15" customHeight="1" x14ac:dyDescent="0.3">
      <c r="A24" s="127">
        <v>43959</v>
      </c>
      <c r="B24" s="64">
        <v>9251.5</v>
      </c>
      <c r="D24" s="127">
        <v>43959</v>
      </c>
      <c r="E24" s="64">
        <v>12.86</v>
      </c>
      <c r="H24" s="128">
        <f t="shared" si="0"/>
        <v>5.7016757165142904E-3</v>
      </c>
      <c r="I24" s="128">
        <f t="shared" si="1"/>
        <v>2.3382696804364299E-3</v>
      </c>
      <c r="L24" s="130" t="s">
        <v>478</v>
      </c>
      <c r="M24" s="130">
        <v>1.08879371964296</v>
      </c>
      <c r="N24" s="130">
        <v>5.4677202440945698E-2</v>
      </c>
      <c r="O24" s="130">
        <v>19.913120478665899</v>
      </c>
      <c r="P24" s="130">
        <v>2.3701233480463099E-78</v>
      </c>
      <c r="Q24" s="130">
        <v>0.98154054147845604</v>
      </c>
      <c r="R24" s="130">
        <v>1.1960468978074601</v>
      </c>
      <c r="S24" s="130">
        <v>0.98154054147845604</v>
      </c>
      <c r="T24" s="130">
        <v>1.1960468978074601</v>
      </c>
    </row>
    <row r="25" spans="1:20" ht="14.25" customHeight="1" x14ac:dyDescent="0.3">
      <c r="A25" s="127">
        <v>43962</v>
      </c>
      <c r="B25" s="64">
        <v>9239.2000000000007</v>
      </c>
      <c r="D25" s="127">
        <v>43962</v>
      </c>
      <c r="E25" s="64">
        <v>12.72</v>
      </c>
      <c r="H25" s="128">
        <f t="shared" si="0"/>
        <v>-1.3295141328432401E-3</v>
      </c>
      <c r="I25" s="128">
        <f t="shared" si="1"/>
        <v>-1.0886469673405799E-2</v>
      </c>
    </row>
    <row r="26" spans="1:20" ht="14.25" customHeight="1" x14ac:dyDescent="0.3">
      <c r="A26" s="127">
        <v>43963</v>
      </c>
      <c r="B26" s="64">
        <v>9196.5499999999993</v>
      </c>
      <c r="D26" s="127">
        <v>43963</v>
      </c>
      <c r="E26" s="64">
        <v>12.47</v>
      </c>
      <c r="H26" s="128">
        <f t="shared" si="0"/>
        <v>-4.6162005368431697E-3</v>
      </c>
      <c r="I26" s="128">
        <f t="shared" si="1"/>
        <v>-1.9654088050314499E-2</v>
      </c>
    </row>
    <row r="27" spans="1:20" ht="14.25" customHeight="1" x14ac:dyDescent="0.3">
      <c r="A27" s="127">
        <v>43964</v>
      </c>
      <c r="B27" s="64">
        <v>9383.5499999999993</v>
      </c>
      <c r="D27" s="127">
        <v>43964</v>
      </c>
      <c r="E27" s="64">
        <v>13.17</v>
      </c>
      <c r="H27" s="128">
        <f t="shared" si="0"/>
        <v>2.03337120985587E-2</v>
      </c>
      <c r="I27" s="128">
        <f t="shared" si="1"/>
        <v>5.6134723336006401E-2</v>
      </c>
    </row>
    <row r="28" spans="1:20" ht="14.25" customHeight="1" x14ac:dyDescent="0.3">
      <c r="A28" s="127">
        <v>43965</v>
      </c>
      <c r="B28" s="64">
        <v>9142.75</v>
      </c>
      <c r="D28" s="127">
        <v>43965</v>
      </c>
      <c r="E28" s="64">
        <v>12.71</v>
      </c>
      <c r="H28" s="128">
        <f t="shared" si="0"/>
        <v>-2.5661929653489301E-2</v>
      </c>
      <c r="I28" s="128">
        <f t="shared" si="1"/>
        <v>-3.4927866362946001E-2</v>
      </c>
    </row>
    <row r="29" spans="1:20" ht="14.25" customHeight="1" x14ac:dyDescent="0.3">
      <c r="A29" s="127">
        <v>43966</v>
      </c>
      <c r="B29" s="64">
        <v>9136.85</v>
      </c>
      <c r="D29" s="127">
        <v>43966</v>
      </c>
      <c r="E29" s="64">
        <v>12.98</v>
      </c>
      <c r="H29" s="128">
        <f t="shared" si="0"/>
        <v>-6.4532006234444103E-4</v>
      </c>
      <c r="I29" s="128">
        <f t="shared" si="1"/>
        <v>2.1243115656963001E-2</v>
      </c>
    </row>
    <row r="30" spans="1:20" ht="14.25" customHeight="1" x14ac:dyDescent="0.3">
      <c r="A30" s="127">
        <v>43969</v>
      </c>
      <c r="B30" s="64">
        <v>8823.25</v>
      </c>
      <c r="D30" s="127">
        <v>43969</v>
      </c>
      <c r="E30" s="64">
        <v>12.5</v>
      </c>
      <c r="H30" s="128">
        <f t="shared" si="0"/>
        <v>-3.4322550988579302E-2</v>
      </c>
      <c r="I30" s="128">
        <f t="shared" si="1"/>
        <v>-3.6979969183359003E-2</v>
      </c>
    </row>
    <row r="31" spans="1:20" ht="14.25" customHeight="1" x14ac:dyDescent="0.3">
      <c r="A31" s="127">
        <v>43970</v>
      </c>
      <c r="B31" s="64">
        <v>8879.1</v>
      </c>
      <c r="D31" s="127">
        <v>43970</v>
      </c>
      <c r="E31" s="64">
        <v>12.55</v>
      </c>
      <c r="H31" s="128">
        <f t="shared" si="0"/>
        <v>6.3298671124586E-3</v>
      </c>
      <c r="I31" s="128">
        <f t="shared" si="1"/>
        <v>4.0000000000000599E-3</v>
      </c>
    </row>
    <row r="32" spans="1:20" ht="14.25" customHeight="1" x14ac:dyDescent="0.3">
      <c r="A32" s="127">
        <v>43971</v>
      </c>
      <c r="B32" s="64">
        <v>9066.5499999999993</v>
      </c>
      <c r="D32" s="127">
        <v>43971</v>
      </c>
      <c r="E32" s="64">
        <v>12.5</v>
      </c>
      <c r="H32" s="128">
        <f t="shared" si="0"/>
        <v>2.11113739005078E-2</v>
      </c>
      <c r="I32" s="128">
        <f t="shared" si="1"/>
        <v>-3.9840637450199801E-3</v>
      </c>
    </row>
    <row r="33" spans="1:9" ht="14.25" customHeight="1" x14ac:dyDescent="0.3">
      <c r="A33" s="127">
        <v>43972</v>
      </c>
      <c r="B33" s="64">
        <v>9106.25</v>
      </c>
      <c r="D33" s="127">
        <v>43972</v>
      </c>
      <c r="E33" s="64">
        <v>13.05</v>
      </c>
      <c r="H33" s="128">
        <f t="shared" si="0"/>
        <v>4.37873281457674E-3</v>
      </c>
      <c r="I33" s="128">
        <f t="shared" si="1"/>
        <v>4.4000000000000102E-2</v>
      </c>
    </row>
    <row r="34" spans="1:9" ht="14.25" customHeight="1" x14ac:dyDescent="0.3">
      <c r="A34" s="127">
        <v>43973</v>
      </c>
      <c r="B34" s="64">
        <v>9039.25</v>
      </c>
      <c r="D34" s="127">
        <v>43973</v>
      </c>
      <c r="E34" s="64">
        <v>12.73</v>
      </c>
      <c r="H34" s="128">
        <f t="shared" si="0"/>
        <v>-7.3575840768702796E-3</v>
      </c>
      <c r="I34" s="128">
        <f t="shared" si="1"/>
        <v>-2.4521072796934901E-2</v>
      </c>
    </row>
    <row r="35" spans="1:9" ht="14.25" customHeight="1" x14ac:dyDescent="0.3">
      <c r="A35" s="127">
        <v>43977</v>
      </c>
      <c r="B35" s="64">
        <v>9029.0499999999993</v>
      </c>
      <c r="D35" s="127">
        <v>43977</v>
      </c>
      <c r="E35" s="64">
        <v>13.32</v>
      </c>
      <c r="H35" s="128">
        <f t="shared" si="0"/>
        <v>-1.12841220233988E-3</v>
      </c>
      <c r="I35" s="128">
        <f t="shared" si="1"/>
        <v>4.6347211311861702E-2</v>
      </c>
    </row>
    <row r="36" spans="1:9" ht="14.25" customHeight="1" x14ac:dyDescent="0.3">
      <c r="A36" s="127">
        <v>43978</v>
      </c>
      <c r="B36" s="64">
        <v>9314.9500000000007</v>
      </c>
      <c r="D36" s="127">
        <v>43978</v>
      </c>
      <c r="E36" s="64">
        <v>13.19</v>
      </c>
      <c r="H36" s="128">
        <f t="shared" si="0"/>
        <v>3.1664460823674898E-2</v>
      </c>
      <c r="I36" s="128">
        <f t="shared" si="1"/>
        <v>-9.7597597597598208E-3</v>
      </c>
    </row>
    <row r="37" spans="1:9" ht="14.25" customHeight="1" x14ac:dyDescent="0.3">
      <c r="A37" s="127">
        <v>43979</v>
      </c>
      <c r="B37" s="64">
        <v>9490.1</v>
      </c>
      <c r="D37" s="127">
        <v>43979</v>
      </c>
      <c r="E37" s="64">
        <v>13.88</v>
      </c>
      <c r="H37" s="128">
        <f t="shared" si="0"/>
        <v>1.8803106833638401E-2</v>
      </c>
      <c r="I37" s="128">
        <f t="shared" si="1"/>
        <v>5.2312357846853799E-2</v>
      </c>
    </row>
    <row r="38" spans="1:9" ht="14.25" customHeight="1" x14ac:dyDescent="0.3">
      <c r="A38" s="127">
        <v>43980</v>
      </c>
      <c r="B38" s="64">
        <v>9580.2999999999993</v>
      </c>
      <c r="D38" s="127">
        <v>43980</v>
      </c>
      <c r="E38" s="64">
        <v>14.26</v>
      </c>
      <c r="H38" s="128">
        <f t="shared" si="0"/>
        <v>9.5046416792234998E-3</v>
      </c>
      <c r="I38" s="128">
        <f t="shared" si="1"/>
        <v>2.7377521613832799E-2</v>
      </c>
    </row>
    <row r="39" spans="1:9" ht="14.25" customHeight="1" x14ac:dyDescent="0.3">
      <c r="A39" s="127">
        <v>43983</v>
      </c>
      <c r="B39" s="64">
        <v>9826.15</v>
      </c>
      <c r="D39" s="127">
        <v>43983</v>
      </c>
      <c r="E39" s="64">
        <v>14.82</v>
      </c>
      <c r="H39" s="128">
        <f t="shared" si="0"/>
        <v>2.5662035635627301E-2</v>
      </c>
      <c r="I39" s="128">
        <f t="shared" si="1"/>
        <v>3.9270687237026702E-2</v>
      </c>
    </row>
    <row r="40" spans="1:9" ht="14.25" customHeight="1" x14ac:dyDescent="0.3">
      <c r="A40" s="127">
        <v>43984</v>
      </c>
      <c r="B40" s="64">
        <v>9979.1</v>
      </c>
      <c r="D40" s="127">
        <v>43984</v>
      </c>
      <c r="E40" s="64">
        <v>15</v>
      </c>
      <c r="H40" s="128">
        <f t="shared" si="0"/>
        <v>1.5565608096762299E-2</v>
      </c>
      <c r="I40" s="128">
        <f t="shared" si="1"/>
        <v>1.2145748987854201E-2</v>
      </c>
    </row>
    <row r="41" spans="1:9" ht="14.25" customHeight="1" x14ac:dyDescent="0.3">
      <c r="A41" s="127">
        <v>43985</v>
      </c>
      <c r="B41" s="64">
        <v>10061.549999999999</v>
      </c>
      <c r="D41" s="127">
        <v>43985</v>
      </c>
      <c r="E41" s="64">
        <v>14.88</v>
      </c>
      <c r="H41" s="128">
        <f t="shared" si="0"/>
        <v>8.2622681404133508E-3</v>
      </c>
      <c r="I41" s="128">
        <f t="shared" si="1"/>
        <v>-7.9999999999999499E-3</v>
      </c>
    </row>
    <row r="42" spans="1:9" ht="14.25" customHeight="1" x14ac:dyDescent="0.3">
      <c r="A42" s="127">
        <v>43986</v>
      </c>
      <c r="B42" s="64">
        <v>10029.1</v>
      </c>
      <c r="D42" s="127">
        <v>43986</v>
      </c>
      <c r="E42" s="64">
        <v>14.99</v>
      </c>
      <c r="H42" s="128">
        <f t="shared" si="0"/>
        <v>-3.2251492066330601E-3</v>
      </c>
      <c r="I42" s="128">
        <f t="shared" si="1"/>
        <v>7.3924731182795304E-3</v>
      </c>
    </row>
    <row r="43" spans="1:9" ht="14.25" customHeight="1" x14ac:dyDescent="0.3">
      <c r="A43" s="127">
        <v>43987</v>
      </c>
      <c r="B43" s="64">
        <v>10142.15</v>
      </c>
      <c r="D43" s="127">
        <v>43987</v>
      </c>
      <c r="E43" s="64">
        <v>15.62</v>
      </c>
      <c r="H43" s="128">
        <f t="shared" si="0"/>
        <v>1.1272197904099E-2</v>
      </c>
      <c r="I43" s="128">
        <f t="shared" si="1"/>
        <v>4.2028018679119303E-2</v>
      </c>
    </row>
    <row r="44" spans="1:9" ht="14.25" customHeight="1" x14ac:dyDescent="0.3">
      <c r="A44" s="127">
        <v>43990</v>
      </c>
      <c r="B44" s="64">
        <v>10167.450000000001</v>
      </c>
      <c r="D44" s="127">
        <v>43990</v>
      </c>
      <c r="E44" s="64">
        <v>16.03</v>
      </c>
      <c r="H44" s="128">
        <f t="shared" si="0"/>
        <v>2.4945401123037101E-3</v>
      </c>
      <c r="I44" s="128">
        <f t="shared" si="1"/>
        <v>2.6248399487836201E-2</v>
      </c>
    </row>
    <row r="45" spans="1:9" ht="14.25" customHeight="1" x14ac:dyDescent="0.3">
      <c r="A45" s="127">
        <v>43991</v>
      </c>
      <c r="B45" s="64">
        <v>10046.65</v>
      </c>
      <c r="D45" s="127">
        <v>43991</v>
      </c>
      <c r="E45" s="64">
        <v>16.12</v>
      </c>
      <c r="H45" s="128">
        <f t="shared" si="0"/>
        <v>-1.18810517878132E-2</v>
      </c>
      <c r="I45" s="128">
        <f t="shared" si="1"/>
        <v>5.6144728633811501E-3</v>
      </c>
    </row>
    <row r="46" spans="1:9" ht="14.25" customHeight="1" x14ac:dyDescent="0.3">
      <c r="A46" s="127">
        <v>43992</v>
      </c>
      <c r="B46" s="64">
        <v>10116.15</v>
      </c>
      <c r="D46" s="127">
        <v>43992</v>
      </c>
      <c r="E46" s="64">
        <v>15.8</v>
      </c>
      <c r="H46" s="128">
        <f t="shared" si="0"/>
        <v>6.9177287951705298E-3</v>
      </c>
      <c r="I46" s="128">
        <f t="shared" si="1"/>
        <v>-1.9851116625310201E-2</v>
      </c>
    </row>
    <row r="47" spans="1:9" ht="14.25" customHeight="1" x14ac:dyDescent="0.3">
      <c r="A47" s="127">
        <v>43993</v>
      </c>
      <c r="B47" s="64">
        <v>9902</v>
      </c>
      <c r="D47" s="127">
        <v>43993</v>
      </c>
      <c r="E47" s="64">
        <v>15.33</v>
      </c>
      <c r="H47" s="128">
        <f t="shared" si="0"/>
        <v>-2.1169120663493499E-2</v>
      </c>
      <c r="I47" s="128">
        <f t="shared" si="1"/>
        <v>-2.9746835443038001E-2</v>
      </c>
    </row>
    <row r="48" spans="1:9" ht="14.25" customHeight="1" x14ac:dyDescent="0.3">
      <c r="A48" s="127">
        <v>43994</v>
      </c>
      <c r="B48" s="64">
        <v>9972.9</v>
      </c>
      <c r="D48" s="127">
        <v>43994</v>
      </c>
      <c r="E48" s="64">
        <v>15.37</v>
      </c>
      <c r="H48" s="128">
        <f t="shared" si="0"/>
        <v>7.1601696626943699E-3</v>
      </c>
      <c r="I48" s="128">
        <f t="shared" si="1"/>
        <v>2.6092628832354299E-3</v>
      </c>
    </row>
    <row r="49" spans="1:9" ht="14.25" customHeight="1" x14ac:dyDescent="0.3">
      <c r="A49" s="127">
        <v>43997</v>
      </c>
      <c r="B49" s="64">
        <v>9813.7000000000007</v>
      </c>
      <c r="D49" s="127">
        <v>43997</v>
      </c>
      <c r="E49" s="64">
        <v>15</v>
      </c>
      <c r="H49" s="128">
        <f t="shared" si="0"/>
        <v>-1.5963260435780901E-2</v>
      </c>
      <c r="I49" s="128">
        <f t="shared" si="1"/>
        <v>-2.40728692257644E-2</v>
      </c>
    </row>
    <row r="50" spans="1:9" ht="14.25" customHeight="1" x14ac:dyDescent="0.3">
      <c r="A50" s="127">
        <v>43998</v>
      </c>
      <c r="B50" s="64">
        <v>9914</v>
      </c>
      <c r="D50" s="127">
        <v>43998</v>
      </c>
      <c r="E50" s="64">
        <v>14.91</v>
      </c>
      <c r="H50" s="128">
        <f t="shared" si="0"/>
        <v>1.0220406166889099E-2</v>
      </c>
      <c r="I50" s="128">
        <f t="shared" si="1"/>
        <v>-5.9999999999999897E-3</v>
      </c>
    </row>
    <row r="51" spans="1:9" ht="14.25" customHeight="1" x14ac:dyDescent="0.3">
      <c r="A51" s="127">
        <v>43999</v>
      </c>
      <c r="B51" s="64">
        <v>9881.15</v>
      </c>
      <c r="D51" s="127">
        <v>43999</v>
      </c>
      <c r="E51" s="64">
        <v>15.04</v>
      </c>
      <c r="H51" s="128">
        <f t="shared" si="0"/>
        <v>-3.3134960661690901E-3</v>
      </c>
      <c r="I51" s="128">
        <f t="shared" si="1"/>
        <v>8.7189805499664E-3</v>
      </c>
    </row>
    <row r="52" spans="1:9" ht="14.25" customHeight="1" x14ac:dyDescent="0.3">
      <c r="A52" s="127">
        <v>44000</v>
      </c>
      <c r="B52" s="64">
        <v>10091.65</v>
      </c>
      <c r="D52" s="127">
        <v>44000</v>
      </c>
      <c r="E52" s="64">
        <v>14.51</v>
      </c>
      <c r="H52" s="128">
        <f t="shared" si="0"/>
        <v>2.1303188394063401E-2</v>
      </c>
      <c r="I52" s="128">
        <f t="shared" si="1"/>
        <v>-3.5239361702127603E-2</v>
      </c>
    </row>
    <row r="53" spans="1:9" ht="14.25" customHeight="1" x14ac:dyDescent="0.3">
      <c r="A53" s="127">
        <v>44001</v>
      </c>
      <c r="B53" s="64">
        <v>10244.4</v>
      </c>
      <c r="D53" s="127">
        <v>44001</v>
      </c>
      <c r="E53" s="64">
        <v>14.49</v>
      </c>
      <c r="H53" s="128">
        <f t="shared" si="0"/>
        <v>1.51362760301834E-2</v>
      </c>
      <c r="I53" s="128">
        <f t="shared" si="1"/>
        <v>-1.3783597518952199E-3</v>
      </c>
    </row>
    <row r="54" spans="1:9" ht="14.25" customHeight="1" x14ac:dyDescent="0.3">
      <c r="A54" s="127">
        <v>44004</v>
      </c>
      <c r="B54" s="64">
        <v>10311.200000000001</v>
      </c>
      <c r="D54" s="127">
        <v>44004</v>
      </c>
      <c r="E54" s="64">
        <v>15.42</v>
      </c>
      <c r="H54" s="128">
        <f t="shared" si="0"/>
        <v>6.5206356643630796E-3</v>
      </c>
      <c r="I54" s="128">
        <f t="shared" si="1"/>
        <v>6.4182194616977203E-2</v>
      </c>
    </row>
    <row r="55" spans="1:9" ht="14.25" customHeight="1" x14ac:dyDescent="0.3">
      <c r="A55" s="127">
        <v>44005</v>
      </c>
      <c r="B55" s="64">
        <v>10471</v>
      </c>
      <c r="D55" s="127">
        <v>44005</v>
      </c>
      <c r="E55" s="64">
        <v>15.33</v>
      </c>
      <c r="H55" s="128">
        <f t="shared" si="0"/>
        <v>1.5497711226627299E-2</v>
      </c>
      <c r="I55" s="128">
        <f t="shared" si="1"/>
        <v>-5.8365758754863701E-3</v>
      </c>
    </row>
    <row r="56" spans="1:9" ht="14.25" customHeight="1" x14ac:dyDescent="0.3">
      <c r="A56" s="127">
        <v>44006</v>
      </c>
      <c r="B56" s="64">
        <v>10305.299999999999</v>
      </c>
      <c r="D56" s="127">
        <v>44006</v>
      </c>
      <c r="E56" s="64">
        <v>15.33</v>
      </c>
      <c r="H56" s="128">
        <f t="shared" si="0"/>
        <v>-1.58246585808424E-2</v>
      </c>
      <c r="I56" s="128">
        <f t="shared" si="1"/>
        <v>0</v>
      </c>
    </row>
    <row r="57" spans="1:9" ht="14.25" customHeight="1" x14ac:dyDescent="0.3">
      <c r="A57" s="127">
        <v>44007</v>
      </c>
      <c r="B57" s="64">
        <v>10288.9</v>
      </c>
      <c r="D57" s="127">
        <v>44007</v>
      </c>
      <c r="E57" s="64">
        <v>14.81</v>
      </c>
      <c r="H57" s="128">
        <f t="shared" si="0"/>
        <v>-1.5914141267114601E-3</v>
      </c>
      <c r="I57" s="128">
        <f t="shared" si="1"/>
        <v>-3.3920417482061302E-2</v>
      </c>
    </row>
    <row r="58" spans="1:9" ht="14.25" customHeight="1" x14ac:dyDescent="0.3">
      <c r="A58" s="127">
        <v>44008</v>
      </c>
      <c r="B58" s="64">
        <v>10383</v>
      </c>
      <c r="D58" s="127">
        <v>44008</v>
      </c>
      <c r="E58" s="64">
        <v>14.79</v>
      </c>
      <c r="H58" s="128">
        <f t="shared" si="0"/>
        <v>9.1457784602824808E-3</v>
      </c>
      <c r="I58" s="128">
        <f t="shared" si="1"/>
        <v>-1.3504388926402001E-3</v>
      </c>
    </row>
    <row r="59" spans="1:9" ht="14.25" customHeight="1" x14ac:dyDescent="0.3">
      <c r="A59" s="127">
        <v>44011</v>
      </c>
      <c r="B59" s="64">
        <v>10312.4</v>
      </c>
      <c r="D59" s="127">
        <v>44011</v>
      </c>
      <c r="E59" s="64">
        <v>14.24</v>
      </c>
      <c r="H59" s="128">
        <f t="shared" si="0"/>
        <v>-6.79957623037661E-3</v>
      </c>
      <c r="I59" s="128">
        <f t="shared" si="1"/>
        <v>-3.7187288708586799E-2</v>
      </c>
    </row>
    <row r="60" spans="1:9" ht="14.25" customHeight="1" x14ac:dyDescent="0.3">
      <c r="A60" s="127">
        <v>44012</v>
      </c>
      <c r="B60" s="64">
        <v>10302.1</v>
      </c>
      <c r="D60" s="127">
        <v>44012</v>
      </c>
      <c r="E60" s="64">
        <v>14.26</v>
      </c>
      <c r="H60" s="128">
        <f t="shared" si="0"/>
        <v>-9.9879756409752092E-4</v>
      </c>
      <c r="I60" s="128">
        <f t="shared" si="1"/>
        <v>1.40449438202244E-3</v>
      </c>
    </row>
    <row r="61" spans="1:9" ht="14.25" customHeight="1" x14ac:dyDescent="0.3">
      <c r="A61" s="127">
        <v>44013</v>
      </c>
      <c r="B61" s="64">
        <v>10430.049999999999</v>
      </c>
      <c r="D61" s="127">
        <v>44013</v>
      </c>
      <c r="E61" s="64">
        <v>14.24</v>
      </c>
      <c r="H61" s="128">
        <f t="shared" si="0"/>
        <v>1.2419797905281299E-2</v>
      </c>
      <c r="I61" s="128">
        <f t="shared" si="1"/>
        <v>-1.4025245441794899E-3</v>
      </c>
    </row>
    <row r="62" spans="1:9" ht="14.25" customHeight="1" x14ac:dyDescent="0.3">
      <c r="A62" s="127">
        <v>44014</v>
      </c>
      <c r="B62" s="64">
        <v>10551.7</v>
      </c>
      <c r="D62" s="127">
        <v>44014</v>
      </c>
      <c r="E62" s="64">
        <v>14.37</v>
      </c>
      <c r="H62" s="128">
        <f t="shared" si="0"/>
        <v>1.1663414844607801E-2</v>
      </c>
      <c r="I62" s="128">
        <f t="shared" si="1"/>
        <v>9.1292134831459995E-3</v>
      </c>
    </row>
    <row r="63" spans="1:9" ht="14.25" customHeight="1" x14ac:dyDescent="0.3">
      <c r="A63" s="127">
        <v>44015</v>
      </c>
      <c r="B63" s="64">
        <v>10607.35</v>
      </c>
      <c r="D63" s="127">
        <v>44015</v>
      </c>
      <c r="E63" s="64">
        <v>14.51</v>
      </c>
      <c r="H63" s="128">
        <f t="shared" si="0"/>
        <v>5.2740316726214397E-3</v>
      </c>
      <c r="I63" s="128">
        <f t="shared" si="1"/>
        <v>9.7425191370911993E-3</v>
      </c>
    </row>
    <row r="64" spans="1:9" ht="14.25" customHeight="1" x14ac:dyDescent="0.3">
      <c r="A64" s="127">
        <v>44018</v>
      </c>
      <c r="B64" s="64">
        <v>10763.65</v>
      </c>
      <c r="D64" s="127">
        <v>44018</v>
      </c>
      <c r="E64" s="64">
        <v>14.94</v>
      </c>
      <c r="H64" s="128">
        <f t="shared" si="0"/>
        <v>1.47350657798601E-2</v>
      </c>
      <c r="I64" s="128">
        <f t="shared" si="1"/>
        <v>2.9634734665747699E-2</v>
      </c>
    </row>
    <row r="65" spans="1:9" ht="14.25" customHeight="1" x14ac:dyDescent="0.3">
      <c r="A65" s="127">
        <v>44019</v>
      </c>
      <c r="B65" s="64">
        <v>10799.65</v>
      </c>
      <c r="D65" s="127">
        <v>44019</v>
      </c>
      <c r="E65" s="64">
        <v>14.53</v>
      </c>
      <c r="H65" s="128">
        <f t="shared" si="0"/>
        <v>3.3445903573601902E-3</v>
      </c>
      <c r="I65" s="128">
        <f t="shared" si="1"/>
        <v>-2.7443105756358801E-2</v>
      </c>
    </row>
    <row r="66" spans="1:9" ht="14.25" customHeight="1" x14ac:dyDescent="0.3">
      <c r="A66" s="127">
        <v>44020</v>
      </c>
      <c r="B66" s="64">
        <v>10705.75</v>
      </c>
      <c r="D66" s="127">
        <v>44020</v>
      </c>
      <c r="E66" s="64">
        <v>14.89</v>
      </c>
      <c r="H66" s="128">
        <f t="shared" si="0"/>
        <v>-8.6947262179792508E-3</v>
      </c>
      <c r="I66" s="128">
        <f t="shared" si="1"/>
        <v>2.47763248451481E-2</v>
      </c>
    </row>
    <row r="67" spans="1:9" ht="14.25" customHeight="1" x14ac:dyDescent="0.3">
      <c r="A67" s="127">
        <v>44021</v>
      </c>
      <c r="B67" s="64">
        <v>10813.45</v>
      </c>
      <c r="D67" s="127">
        <v>44021</v>
      </c>
      <c r="E67" s="64">
        <v>15.05</v>
      </c>
      <c r="H67" s="128">
        <f t="shared" ref="H67:H130" si="2">(B67-B66)/B66</f>
        <v>1.0060014478201E-2</v>
      </c>
      <c r="I67" s="128">
        <f t="shared" ref="I67:I130" si="3">(E67-E66)/E66</f>
        <v>1.0745466756212199E-2</v>
      </c>
    </row>
    <row r="68" spans="1:9" ht="14.25" customHeight="1" x14ac:dyDescent="0.3">
      <c r="A68" s="127">
        <v>44022</v>
      </c>
      <c r="B68" s="64">
        <v>10768.05</v>
      </c>
      <c r="D68" s="127">
        <v>44022</v>
      </c>
      <c r="E68" s="64">
        <v>14.82</v>
      </c>
      <c r="H68" s="128">
        <f t="shared" si="2"/>
        <v>-4.1984750472792197E-3</v>
      </c>
      <c r="I68" s="128">
        <f t="shared" si="3"/>
        <v>-1.52823920265781E-2</v>
      </c>
    </row>
    <row r="69" spans="1:9" ht="14.25" customHeight="1" x14ac:dyDescent="0.3">
      <c r="A69" s="127">
        <v>44025</v>
      </c>
      <c r="B69" s="64">
        <v>10802.7</v>
      </c>
      <c r="D69" s="127">
        <v>44025</v>
      </c>
      <c r="E69" s="64">
        <v>15.05</v>
      </c>
      <c r="H69" s="128">
        <f t="shared" si="2"/>
        <v>3.21785281457659E-3</v>
      </c>
      <c r="I69" s="128">
        <f t="shared" si="3"/>
        <v>1.5519568151147099E-2</v>
      </c>
    </row>
    <row r="70" spans="1:9" ht="14.25" customHeight="1" x14ac:dyDescent="0.3">
      <c r="A70" s="127">
        <v>44026</v>
      </c>
      <c r="B70" s="64">
        <v>10607.35</v>
      </c>
      <c r="D70" s="127">
        <v>44026</v>
      </c>
      <c r="E70" s="64">
        <v>14.51</v>
      </c>
      <c r="H70" s="128">
        <f t="shared" si="2"/>
        <v>-1.80834421024374E-2</v>
      </c>
      <c r="I70" s="128">
        <f t="shared" si="3"/>
        <v>-3.5880398671096402E-2</v>
      </c>
    </row>
    <row r="71" spans="1:9" ht="14.25" customHeight="1" x14ac:dyDescent="0.3">
      <c r="A71" s="127">
        <v>44027</v>
      </c>
      <c r="B71" s="64">
        <v>10618.2</v>
      </c>
      <c r="D71" s="127">
        <v>44027</v>
      </c>
      <c r="E71" s="64">
        <v>14.39</v>
      </c>
      <c r="H71" s="128">
        <f t="shared" si="2"/>
        <v>1.0228756475463101E-3</v>
      </c>
      <c r="I71" s="128">
        <f t="shared" si="3"/>
        <v>-8.2701585113714102E-3</v>
      </c>
    </row>
    <row r="72" spans="1:9" ht="14.25" customHeight="1" x14ac:dyDescent="0.3">
      <c r="A72" s="127">
        <v>44028</v>
      </c>
      <c r="B72" s="64">
        <v>10739.95</v>
      </c>
      <c r="D72" s="127">
        <v>44028</v>
      </c>
      <c r="E72" s="64">
        <v>14.43</v>
      </c>
      <c r="H72" s="128">
        <f t="shared" si="2"/>
        <v>1.14661618730105E-2</v>
      </c>
      <c r="I72" s="128">
        <f t="shared" si="3"/>
        <v>2.7797081306462201E-3</v>
      </c>
    </row>
    <row r="73" spans="1:9" ht="14.25" customHeight="1" x14ac:dyDescent="0.3">
      <c r="A73" s="127">
        <v>44029</v>
      </c>
      <c r="B73" s="64">
        <v>10901.7</v>
      </c>
      <c r="D73" s="127">
        <v>44029</v>
      </c>
      <c r="E73" s="64">
        <v>15.16</v>
      </c>
      <c r="H73" s="128">
        <f t="shared" si="2"/>
        <v>1.5060591529755699E-2</v>
      </c>
      <c r="I73" s="128">
        <f t="shared" si="3"/>
        <v>5.0589050589050603E-2</v>
      </c>
    </row>
    <row r="74" spans="1:9" ht="14.25" customHeight="1" x14ac:dyDescent="0.3">
      <c r="A74" s="127">
        <v>44032</v>
      </c>
      <c r="B74" s="64">
        <v>11022.2</v>
      </c>
      <c r="D74" s="127">
        <v>44032</v>
      </c>
      <c r="E74" s="64">
        <v>15.04</v>
      </c>
      <c r="H74" s="128">
        <f t="shared" si="2"/>
        <v>1.1053321958960499E-2</v>
      </c>
      <c r="I74" s="128">
        <f t="shared" si="3"/>
        <v>-7.9155672823219593E-3</v>
      </c>
    </row>
    <row r="75" spans="1:9" ht="14.25" customHeight="1" x14ac:dyDescent="0.3">
      <c r="A75" s="127">
        <v>44033</v>
      </c>
      <c r="B75" s="64">
        <v>11162.25</v>
      </c>
      <c r="D75" s="127">
        <v>44033</v>
      </c>
      <c r="E75" s="64">
        <v>14.73</v>
      </c>
      <c r="H75" s="128">
        <f t="shared" si="2"/>
        <v>1.2706174810836199E-2</v>
      </c>
      <c r="I75" s="128">
        <f t="shared" si="3"/>
        <v>-2.06117021276595E-2</v>
      </c>
    </row>
    <row r="76" spans="1:9" ht="14.25" customHeight="1" x14ac:dyDescent="0.3">
      <c r="A76" s="127">
        <v>44034</v>
      </c>
      <c r="B76" s="64">
        <v>11132.6</v>
      </c>
      <c r="D76" s="127">
        <v>44034</v>
      </c>
      <c r="E76" s="64">
        <v>14.92</v>
      </c>
      <c r="H76" s="128">
        <f t="shared" si="2"/>
        <v>-2.6562744966292301E-3</v>
      </c>
      <c r="I76" s="128">
        <f t="shared" si="3"/>
        <v>1.28988458927359E-2</v>
      </c>
    </row>
    <row r="77" spans="1:9" ht="14.25" customHeight="1" x14ac:dyDescent="0.3">
      <c r="A77" s="127">
        <v>44035</v>
      </c>
      <c r="B77" s="64">
        <v>11215.45</v>
      </c>
      <c r="D77" s="127">
        <v>44035</v>
      </c>
      <c r="E77" s="64">
        <v>15.18</v>
      </c>
      <c r="H77" s="128">
        <f t="shared" si="2"/>
        <v>7.4421069651294698E-3</v>
      </c>
      <c r="I77" s="128">
        <f t="shared" si="3"/>
        <v>1.7426273458445E-2</v>
      </c>
    </row>
    <row r="78" spans="1:9" ht="14.25" customHeight="1" x14ac:dyDescent="0.3">
      <c r="A78" s="127">
        <v>44036</v>
      </c>
      <c r="B78" s="64">
        <v>11194.15</v>
      </c>
      <c r="D78" s="127">
        <v>44036</v>
      </c>
      <c r="E78" s="64">
        <v>14.93</v>
      </c>
      <c r="H78" s="128">
        <f t="shared" si="2"/>
        <v>-1.8991658827778701E-3</v>
      </c>
      <c r="I78" s="128">
        <f t="shared" si="3"/>
        <v>-1.6469038208168599E-2</v>
      </c>
    </row>
    <row r="79" spans="1:9" ht="14.25" customHeight="1" x14ac:dyDescent="0.3">
      <c r="A79" s="127">
        <v>44039</v>
      </c>
      <c r="B79" s="64">
        <v>11131.8</v>
      </c>
      <c r="D79" s="127">
        <v>44039</v>
      </c>
      <c r="E79" s="64">
        <v>14.5</v>
      </c>
      <c r="H79" s="128">
        <f t="shared" si="2"/>
        <v>-5.5698735500239304E-3</v>
      </c>
      <c r="I79" s="128">
        <f t="shared" si="3"/>
        <v>-2.8801071667783E-2</v>
      </c>
    </row>
    <row r="80" spans="1:9" ht="14.25" customHeight="1" x14ac:dyDescent="0.3">
      <c r="A80" s="127">
        <v>44040</v>
      </c>
      <c r="B80" s="64">
        <v>11300.55</v>
      </c>
      <c r="D80" s="127">
        <v>44040</v>
      </c>
      <c r="E80" s="64">
        <v>14.94</v>
      </c>
      <c r="H80" s="128">
        <f t="shared" si="2"/>
        <v>1.5159273432867999E-2</v>
      </c>
      <c r="I80" s="128">
        <f t="shared" si="3"/>
        <v>3.03448275862069E-2</v>
      </c>
    </row>
    <row r="81" spans="1:9" ht="14.25" customHeight="1" x14ac:dyDescent="0.3">
      <c r="A81" s="127">
        <v>44041</v>
      </c>
      <c r="B81" s="64">
        <v>11202.85</v>
      </c>
      <c r="D81" s="127">
        <v>44041</v>
      </c>
      <c r="E81" s="64">
        <v>15.32</v>
      </c>
      <c r="H81" s="128">
        <f t="shared" si="2"/>
        <v>-8.6455968957262208E-3</v>
      </c>
      <c r="I81" s="128">
        <f t="shared" si="3"/>
        <v>2.5435073627844799E-2</v>
      </c>
    </row>
    <row r="82" spans="1:9" ht="14.25" customHeight="1" x14ac:dyDescent="0.3">
      <c r="A82" s="127">
        <v>44042</v>
      </c>
      <c r="B82" s="64">
        <v>11102.15</v>
      </c>
      <c r="D82" s="127">
        <v>44042</v>
      </c>
      <c r="E82" s="64">
        <v>15.26</v>
      </c>
      <c r="H82" s="128">
        <f t="shared" si="2"/>
        <v>-8.9887841040450205E-3</v>
      </c>
      <c r="I82" s="128">
        <f t="shared" si="3"/>
        <v>-3.9164490861619099E-3</v>
      </c>
    </row>
    <row r="83" spans="1:9" ht="14.25" customHeight="1" x14ac:dyDescent="0.3">
      <c r="A83" s="127">
        <v>44043</v>
      </c>
      <c r="B83" s="64">
        <v>11073.45</v>
      </c>
      <c r="D83" s="127">
        <v>44043</v>
      </c>
      <c r="E83" s="64">
        <v>14.73</v>
      </c>
      <c r="H83" s="128">
        <f t="shared" si="2"/>
        <v>-2.5850848709483201E-3</v>
      </c>
      <c r="I83" s="128">
        <f t="shared" si="3"/>
        <v>-3.4731323722149397E-2</v>
      </c>
    </row>
    <row r="84" spans="1:9" ht="14.25" customHeight="1" x14ac:dyDescent="0.3">
      <c r="A84" s="127">
        <v>44046</v>
      </c>
      <c r="B84" s="64">
        <v>10891.6</v>
      </c>
      <c r="D84" s="127">
        <v>44046</v>
      </c>
      <c r="E84" s="64">
        <v>14.84</v>
      </c>
      <c r="H84" s="128">
        <f t="shared" si="2"/>
        <v>-1.6422162921221499E-2</v>
      </c>
      <c r="I84" s="128">
        <f t="shared" si="3"/>
        <v>7.4677528852681203E-3</v>
      </c>
    </row>
    <row r="85" spans="1:9" ht="14.25" customHeight="1" x14ac:dyDescent="0.3">
      <c r="A85" s="127">
        <v>44047</v>
      </c>
      <c r="B85" s="64">
        <v>11095.25</v>
      </c>
      <c r="D85" s="127">
        <v>44047</v>
      </c>
      <c r="E85" s="64">
        <v>14.92</v>
      </c>
      <c r="H85" s="128">
        <f t="shared" si="2"/>
        <v>1.8697895625987001E-2</v>
      </c>
      <c r="I85" s="128">
        <f t="shared" si="3"/>
        <v>5.3908355795148303E-3</v>
      </c>
    </row>
    <row r="86" spans="1:9" ht="14.25" customHeight="1" x14ac:dyDescent="0.3">
      <c r="A86" s="127">
        <v>44048</v>
      </c>
      <c r="B86" s="64">
        <v>11101.65</v>
      </c>
      <c r="D86" s="127">
        <v>44048</v>
      </c>
      <c r="E86" s="64">
        <v>15.21</v>
      </c>
      <c r="H86" s="128">
        <f t="shared" si="2"/>
        <v>5.7682341542548705E-4</v>
      </c>
      <c r="I86" s="128">
        <f t="shared" si="3"/>
        <v>1.94369973190349E-2</v>
      </c>
    </row>
    <row r="87" spans="1:9" ht="14.25" customHeight="1" x14ac:dyDescent="0.3">
      <c r="A87" s="127">
        <v>44049</v>
      </c>
      <c r="B87" s="64">
        <v>11200.15</v>
      </c>
      <c r="D87" s="127">
        <v>44049</v>
      </c>
      <c r="E87" s="64">
        <v>15.41</v>
      </c>
      <c r="H87" s="128">
        <f t="shared" si="2"/>
        <v>8.8725549805659509E-3</v>
      </c>
      <c r="I87" s="128">
        <f t="shared" si="3"/>
        <v>1.31492439184746E-2</v>
      </c>
    </row>
    <row r="88" spans="1:9" ht="14.25" customHeight="1" x14ac:dyDescent="0.3">
      <c r="A88" s="127">
        <v>44050</v>
      </c>
      <c r="B88" s="64">
        <v>11214.05</v>
      </c>
      <c r="D88" s="127">
        <v>44050</v>
      </c>
      <c r="E88" s="64">
        <v>15.66</v>
      </c>
      <c r="H88" s="128">
        <f t="shared" si="2"/>
        <v>1.2410548073016601E-3</v>
      </c>
      <c r="I88" s="128">
        <f t="shared" si="3"/>
        <v>1.6223231667748202E-2</v>
      </c>
    </row>
    <row r="89" spans="1:9" ht="14.25" customHeight="1" x14ac:dyDescent="0.3">
      <c r="A89" s="127">
        <v>44053</v>
      </c>
      <c r="B89" s="64">
        <v>11270.15</v>
      </c>
      <c r="D89" s="127">
        <v>44053</v>
      </c>
      <c r="E89" s="64">
        <v>16.12</v>
      </c>
      <c r="H89" s="128">
        <f t="shared" si="2"/>
        <v>5.00265292200413E-3</v>
      </c>
      <c r="I89" s="128">
        <f t="shared" si="3"/>
        <v>2.9374201787994901E-2</v>
      </c>
    </row>
    <row r="90" spans="1:9" ht="14.25" customHeight="1" x14ac:dyDescent="0.3">
      <c r="A90" s="127">
        <v>44054</v>
      </c>
      <c r="B90" s="64">
        <v>11322.5</v>
      </c>
      <c r="D90" s="127">
        <v>44054</v>
      </c>
      <c r="E90" s="64">
        <v>16.39</v>
      </c>
      <c r="H90" s="128">
        <f t="shared" si="2"/>
        <v>4.6450135978669599E-3</v>
      </c>
      <c r="I90" s="128">
        <f t="shared" si="3"/>
        <v>1.6749379652605399E-2</v>
      </c>
    </row>
    <row r="91" spans="1:9" ht="14.25" customHeight="1" x14ac:dyDescent="0.3">
      <c r="A91" s="127">
        <v>44055</v>
      </c>
      <c r="B91" s="64">
        <v>11308.4</v>
      </c>
      <c r="D91" s="127">
        <v>44055</v>
      </c>
      <c r="E91" s="64">
        <v>16.579999999999998</v>
      </c>
      <c r="H91" s="128">
        <f t="shared" si="2"/>
        <v>-1.24530801501438E-3</v>
      </c>
      <c r="I91" s="128">
        <f t="shared" si="3"/>
        <v>1.1592434411226199E-2</v>
      </c>
    </row>
    <row r="92" spans="1:9" ht="14.25" customHeight="1" x14ac:dyDescent="0.3">
      <c r="A92" s="127">
        <v>44056</v>
      </c>
      <c r="B92" s="64">
        <v>11300.45</v>
      </c>
      <c r="D92" s="127">
        <v>44056</v>
      </c>
      <c r="E92" s="64">
        <v>16.37</v>
      </c>
      <c r="H92" s="128">
        <f t="shared" si="2"/>
        <v>-7.0301722613268995E-4</v>
      </c>
      <c r="I92" s="128">
        <f t="shared" si="3"/>
        <v>-1.26658624849214E-2</v>
      </c>
    </row>
    <row r="93" spans="1:9" ht="14.25" customHeight="1" x14ac:dyDescent="0.3">
      <c r="A93" s="127">
        <v>44057</v>
      </c>
      <c r="B93" s="64">
        <v>11178.4</v>
      </c>
      <c r="D93" s="127">
        <v>44057</v>
      </c>
      <c r="E93" s="64">
        <v>16.36</v>
      </c>
      <c r="H93" s="128">
        <f t="shared" si="2"/>
        <v>-1.08004548491433E-2</v>
      </c>
      <c r="I93" s="128">
        <f t="shared" si="3"/>
        <v>-6.1087354917541603E-4</v>
      </c>
    </row>
    <row r="94" spans="1:9" ht="14.25" customHeight="1" x14ac:dyDescent="0.3">
      <c r="A94" s="127">
        <v>44060</v>
      </c>
      <c r="B94" s="64">
        <v>11247.1</v>
      </c>
      <c r="D94" s="127">
        <v>44060</v>
      </c>
      <c r="E94" s="64">
        <v>16.649999999999999</v>
      </c>
      <c r="H94" s="128">
        <f t="shared" si="2"/>
        <v>6.1457811493595398E-3</v>
      </c>
      <c r="I94" s="128">
        <f t="shared" si="3"/>
        <v>1.77261613691931E-2</v>
      </c>
    </row>
    <row r="95" spans="1:9" ht="14.25" customHeight="1" x14ac:dyDescent="0.3">
      <c r="A95" s="127">
        <v>44061</v>
      </c>
      <c r="B95" s="64">
        <v>11385.35</v>
      </c>
      <c r="D95" s="127">
        <v>44061</v>
      </c>
      <c r="E95" s="64">
        <v>16.690000000000001</v>
      </c>
      <c r="H95" s="128">
        <f t="shared" si="2"/>
        <v>1.22920575081577E-2</v>
      </c>
      <c r="I95" s="128">
        <f t="shared" si="3"/>
        <v>2.4024024024025602E-3</v>
      </c>
    </row>
    <row r="96" spans="1:9" ht="14.25" customHeight="1" x14ac:dyDescent="0.3">
      <c r="A96" s="127">
        <v>44062</v>
      </c>
      <c r="B96" s="64">
        <v>11408.4</v>
      </c>
      <c r="D96" s="127">
        <v>44062</v>
      </c>
      <c r="E96" s="64">
        <v>17.16</v>
      </c>
      <c r="H96" s="128">
        <f t="shared" si="2"/>
        <v>2.0245315251616598E-3</v>
      </c>
      <c r="I96" s="128">
        <f t="shared" si="3"/>
        <v>2.81605751947273E-2</v>
      </c>
    </row>
    <row r="97" spans="1:9" ht="14.25" customHeight="1" x14ac:dyDescent="0.3">
      <c r="A97" s="127">
        <v>44063</v>
      </c>
      <c r="B97" s="64">
        <v>11312.2</v>
      </c>
      <c r="D97" s="127">
        <v>44063</v>
      </c>
      <c r="E97" s="64">
        <v>17.09</v>
      </c>
      <c r="H97" s="128">
        <f t="shared" si="2"/>
        <v>-8.4323831562707202E-3</v>
      </c>
      <c r="I97" s="128">
        <f t="shared" si="3"/>
        <v>-4.0792540792540999E-3</v>
      </c>
    </row>
    <row r="98" spans="1:9" ht="14.25" customHeight="1" x14ac:dyDescent="0.3">
      <c r="A98" s="127">
        <v>44064</v>
      </c>
      <c r="B98" s="64">
        <v>11371.6</v>
      </c>
      <c r="D98" s="127">
        <v>44064</v>
      </c>
      <c r="E98" s="64">
        <v>16.89</v>
      </c>
      <c r="H98" s="128">
        <f t="shared" si="2"/>
        <v>5.2509679814712997E-3</v>
      </c>
      <c r="I98" s="128">
        <f t="shared" si="3"/>
        <v>-1.17027501462843E-2</v>
      </c>
    </row>
    <row r="99" spans="1:9" ht="14.25" customHeight="1" x14ac:dyDescent="0.3">
      <c r="A99" s="127">
        <v>44067</v>
      </c>
      <c r="B99" s="64">
        <v>11466.45</v>
      </c>
      <c r="D99" s="127">
        <v>44067</v>
      </c>
      <c r="E99" s="64">
        <v>16.82</v>
      </c>
      <c r="H99" s="128">
        <f t="shared" si="2"/>
        <v>8.3409546589750198E-3</v>
      </c>
      <c r="I99" s="128">
        <f t="shared" si="3"/>
        <v>-4.1444641799881802E-3</v>
      </c>
    </row>
    <row r="100" spans="1:9" ht="14.25" customHeight="1" x14ac:dyDescent="0.3">
      <c r="A100" s="127">
        <v>44068</v>
      </c>
      <c r="B100" s="64">
        <v>11472.25</v>
      </c>
      <c r="D100" s="127">
        <v>44068</v>
      </c>
      <c r="E100" s="64">
        <v>16.579999999999998</v>
      </c>
      <c r="H100" s="128">
        <f t="shared" si="2"/>
        <v>5.0582351120000298E-4</v>
      </c>
      <c r="I100" s="128">
        <f t="shared" si="3"/>
        <v>-1.42687277051131E-2</v>
      </c>
    </row>
    <row r="101" spans="1:9" ht="14.25" customHeight="1" x14ac:dyDescent="0.3">
      <c r="A101" s="127">
        <v>44069</v>
      </c>
      <c r="B101" s="64">
        <v>11549.6</v>
      </c>
      <c r="D101" s="127">
        <v>44069</v>
      </c>
      <c r="E101" s="64">
        <v>16.91</v>
      </c>
      <c r="H101" s="128">
        <f t="shared" si="2"/>
        <v>6.7423565560374302E-3</v>
      </c>
      <c r="I101" s="128">
        <f t="shared" si="3"/>
        <v>1.9903498190591201E-2</v>
      </c>
    </row>
    <row r="102" spans="1:9" ht="14.25" customHeight="1" x14ac:dyDescent="0.3">
      <c r="A102" s="127">
        <v>44070</v>
      </c>
      <c r="B102" s="64">
        <v>11559.25</v>
      </c>
      <c r="D102" s="127">
        <v>44070</v>
      </c>
      <c r="E102" s="64">
        <v>16.89</v>
      </c>
      <c r="H102" s="128">
        <f t="shared" si="2"/>
        <v>8.3552677148989005E-4</v>
      </c>
      <c r="I102" s="128">
        <f t="shared" si="3"/>
        <v>-1.1827321111767899E-3</v>
      </c>
    </row>
    <row r="103" spans="1:9" ht="14.25" customHeight="1" x14ac:dyDescent="0.3">
      <c r="A103" s="127">
        <v>44071</v>
      </c>
      <c r="B103" s="64">
        <v>11647.6</v>
      </c>
      <c r="D103" s="127">
        <v>44071</v>
      </c>
      <c r="E103" s="64">
        <v>18.89</v>
      </c>
      <c r="H103" s="128">
        <f t="shared" si="2"/>
        <v>7.6432294482773897E-3</v>
      </c>
      <c r="I103" s="128">
        <f t="shared" si="3"/>
        <v>0.11841326228537601</v>
      </c>
    </row>
    <row r="104" spans="1:9" ht="14.25" customHeight="1" x14ac:dyDescent="0.3">
      <c r="A104" s="127">
        <v>44074</v>
      </c>
      <c r="B104" s="64">
        <v>11387.5</v>
      </c>
      <c r="D104" s="127">
        <v>44074</v>
      </c>
      <c r="E104" s="64">
        <v>17.07</v>
      </c>
      <c r="H104" s="128">
        <f t="shared" si="2"/>
        <v>-2.2330780589992799E-2</v>
      </c>
      <c r="I104" s="128">
        <f t="shared" si="3"/>
        <v>-9.6347273689783006E-2</v>
      </c>
    </row>
    <row r="105" spans="1:9" ht="14.25" customHeight="1" x14ac:dyDescent="0.3">
      <c r="A105" s="127">
        <v>44075</v>
      </c>
      <c r="B105" s="64">
        <v>11470.25</v>
      </c>
      <c r="D105" s="127">
        <v>44075</v>
      </c>
      <c r="E105" s="64">
        <v>16.96</v>
      </c>
      <c r="H105" s="128">
        <f t="shared" si="2"/>
        <v>7.2667398463227197E-3</v>
      </c>
      <c r="I105" s="128">
        <f t="shared" si="3"/>
        <v>-6.4440538957234597E-3</v>
      </c>
    </row>
    <row r="106" spans="1:9" ht="14.25" customHeight="1" x14ac:dyDescent="0.3">
      <c r="A106" s="127">
        <v>44076</v>
      </c>
      <c r="B106" s="64">
        <v>11535</v>
      </c>
      <c r="D106" s="127">
        <v>44076</v>
      </c>
      <c r="E106" s="64">
        <v>17.28</v>
      </c>
      <c r="H106" s="128">
        <f t="shared" si="2"/>
        <v>5.6450382511279203E-3</v>
      </c>
      <c r="I106" s="128">
        <f t="shared" si="3"/>
        <v>1.88679245283019E-2</v>
      </c>
    </row>
    <row r="107" spans="1:9" ht="14.25" customHeight="1" x14ac:dyDescent="0.3">
      <c r="A107" s="127">
        <v>44077</v>
      </c>
      <c r="B107" s="64">
        <v>11527.45</v>
      </c>
      <c r="D107" s="127">
        <v>44077</v>
      </c>
      <c r="E107" s="64">
        <v>17.03</v>
      </c>
      <c r="H107" s="128">
        <f t="shared" si="2"/>
        <v>-6.54529692240943E-4</v>
      </c>
      <c r="I107" s="128">
        <f t="shared" si="3"/>
        <v>-1.44675925925926E-2</v>
      </c>
    </row>
    <row r="108" spans="1:9" ht="14.25" customHeight="1" x14ac:dyDescent="0.3">
      <c r="A108" s="127">
        <v>44078</v>
      </c>
      <c r="B108" s="64">
        <v>11333.85</v>
      </c>
      <c r="D108" s="127">
        <v>44078</v>
      </c>
      <c r="E108" s="64">
        <v>16.47</v>
      </c>
      <c r="H108" s="128">
        <f t="shared" si="2"/>
        <v>-1.6794694403359001E-2</v>
      </c>
      <c r="I108" s="128">
        <f t="shared" si="3"/>
        <v>-3.2883147386964302E-2</v>
      </c>
    </row>
    <row r="109" spans="1:9" ht="14.25" customHeight="1" x14ac:dyDescent="0.3">
      <c r="A109" s="127">
        <v>44081</v>
      </c>
      <c r="B109" s="64">
        <v>11355.05</v>
      </c>
      <c r="D109" s="127">
        <v>44081</v>
      </c>
      <c r="E109" s="64">
        <v>16.48</v>
      </c>
      <c r="H109" s="128">
        <f t="shared" si="2"/>
        <v>1.8705029623648499E-3</v>
      </c>
      <c r="I109" s="128">
        <f t="shared" si="3"/>
        <v>6.07164541590866E-4</v>
      </c>
    </row>
    <row r="110" spans="1:9" ht="14.25" customHeight="1" x14ac:dyDescent="0.3">
      <c r="A110" s="127">
        <v>44082</v>
      </c>
      <c r="B110" s="64">
        <v>11317.35</v>
      </c>
      <c r="D110" s="127">
        <v>44082</v>
      </c>
      <c r="E110" s="64">
        <v>15.76</v>
      </c>
      <c r="H110" s="128">
        <f t="shared" si="2"/>
        <v>-3.3201086741140601E-3</v>
      </c>
      <c r="I110" s="128">
        <f t="shared" si="3"/>
        <v>-4.3689320388349599E-2</v>
      </c>
    </row>
    <row r="111" spans="1:9" ht="14.25" customHeight="1" x14ac:dyDescent="0.3">
      <c r="A111" s="127">
        <v>44083</v>
      </c>
      <c r="B111" s="64">
        <v>11278</v>
      </c>
      <c r="D111" s="127">
        <v>44083</v>
      </c>
      <c r="E111" s="64">
        <v>16.12</v>
      </c>
      <c r="H111" s="128">
        <f t="shared" si="2"/>
        <v>-3.4769623630973999E-3</v>
      </c>
      <c r="I111" s="128">
        <f t="shared" si="3"/>
        <v>2.2842639593908701E-2</v>
      </c>
    </row>
    <row r="112" spans="1:9" ht="14.25" customHeight="1" x14ac:dyDescent="0.3">
      <c r="A112" s="127">
        <v>44084</v>
      </c>
      <c r="B112" s="64">
        <v>11449.25</v>
      </c>
      <c r="D112" s="127">
        <v>44084</v>
      </c>
      <c r="E112" s="64">
        <v>15.73</v>
      </c>
      <c r="H112" s="128">
        <f t="shared" si="2"/>
        <v>1.5184429863450999E-2</v>
      </c>
      <c r="I112" s="128">
        <f t="shared" si="3"/>
        <v>-2.4193548387096801E-2</v>
      </c>
    </row>
    <row r="113" spans="1:9" ht="14.25" customHeight="1" x14ac:dyDescent="0.3">
      <c r="A113" s="127">
        <v>44085</v>
      </c>
      <c r="B113" s="64">
        <v>11464.45</v>
      </c>
      <c r="D113" s="127">
        <v>44085</v>
      </c>
      <c r="E113" s="64">
        <v>15.78</v>
      </c>
      <c r="H113" s="128">
        <f t="shared" si="2"/>
        <v>1.3275978775902999E-3</v>
      </c>
      <c r="I113" s="128">
        <f t="shared" si="3"/>
        <v>3.1786395422758401E-3</v>
      </c>
    </row>
    <row r="114" spans="1:9" ht="14.25" customHeight="1" x14ac:dyDescent="0.3">
      <c r="A114" s="127">
        <v>44088</v>
      </c>
      <c r="B114" s="64">
        <v>11440.05</v>
      </c>
      <c r="D114" s="127">
        <v>44088</v>
      </c>
      <c r="E114" s="64">
        <v>15.76</v>
      </c>
      <c r="H114" s="128">
        <f t="shared" si="2"/>
        <v>-2.1283184103905099E-3</v>
      </c>
      <c r="I114" s="128">
        <f t="shared" si="3"/>
        <v>-1.2674271229404001E-3</v>
      </c>
    </row>
    <row r="115" spans="1:9" ht="14.25" customHeight="1" x14ac:dyDescent="0.3">
      <c r="A115" s="127">
        <v>44089</v>
      </c>
      <c r="B115" s="64">
        <v>11521.8</v>
      </c>
      <c r="D115" s="127">
        <v>44089</v>
      </c>
      <c r="E115" s="64">
        <v>15.75</v>
      </c>
      <c r="H115" s="128">
        <f t="shared" si="2"/>
        <v>7.14594778868974E-3</v>
      </c>
      <c r="I115" s="128">
        <f t="shared" si="3"/>
        <v>-6.34517766497448E-4</v>
      </c>
    </row>
    <row r="116" spans="1:9" ht="14.25" customHeight="1" x14ac:dyDescent="0.3">
      <c r="A116" s="127">
        <v>44090</v>
      </c>
      <c r="B116" s="64">
        <v>11604.55</v>
      </c>
      <c r="D116" s="127">
        <v>44090</v>
      </c>
      <c r="E116" s="64">
        <v>15.95</v>
      </c>
      <c r="H116" s="128">
        <f t="shared" si="2"/>
        <v>7.1820375288583404E-3</v>
      </c>
      <c r="I116" s="128">
        <f t="shared" si="3"/>
        <v>1.26984126984127E-2</v>
      </c>
    </row>
    <row r="117" spans="1:9" ht="14.25" customHeight="1" x14ac:dyDescent="0.3">
      <c r="A117" s="127">
        <v>44091</v>
      </c>
      <c r="B117" s="64">
        <v>11516.1</v>
      </c>
      <c r="D117" s="127">
        <v>44091</v>
      </c>
      <c r="E117" s="64">
        <v>15.5</v>
      </c>
      <c r="H117" s="128">
        <f t="shared" si="2"/>
        <v>-7.6220103321540996E-3</v>
      </c>
      <c r="I117" s="128">
        <f t="shared" si="3"/>
        <v>-2.8213166144200601E-2</v>
      </c>
    </row>
    <row r="118" spans="1:9" ht="14.25" customHeight="1" x14ac:dyDescent="0.3">
      <c r="A118" s="127">
        <v>44092</v>
      </c>
      <c r="B118" s="64">
        <v>11504.95</v>
      </c>
      <c r="D118" s="127">
        <v>44092</v>
      </c>
      <c r="E118" s="64">
        <v>15.27</v>
      </c>
      <c r="H118" s="128">
        <f t="shared" si="2"/>
        <v>-9.6820972377798398E-4</v>
      </c>
      <c r="I118" s="128">
        <f t="shared" si="3"/>
        <v>-1.48387096774194E-2</v>
      </c>
    </row>
    <row r="119" spans="1:9" ht="14.25" customHeight="1" x14ac:dyDescent="0.3">
      <c r="A119" s="127">
        <v>44095</v>
      </c>
      <c r="B119" s="64">
        <v>11250.55</v>
      </c>
      <c r="D119" s="127">
        <v>44095</v>
      </c>
      <c r="E119" s="64">
        <v>14.64</v>
      </c>
      <c r="H119" s="128">
        <f t="shared" si="2"/>
        <v>-2.2112221261283298E-2</v>
      </c>
      <c r="I119" s="128">
        <f t="shared" si="3"/>
        <v>-4.1257367387033297E-2</v>
      </c>
    </row>
    <row r="120" spans="1:9" ht="14.25" customHeight="1" x14ac:dyDescent="0.3">
      <c r="A120" s="127">
        <v>44096</v>
      </c>
      <c r="B120" s="64">
        <v>11153.65</v>
      </c>
      <c r="D120" s="127">
        <v>44096</v>
      </c>
      <c r="E120" s="64">
        <v>14.25</v>
      </c>
      <c r="H120" s="128">
        <f t="shared" si="2"/>
        <v>-8.6129122576229303E-3</v>
      </c>
      <c r="I120" s="128">
        <f t="shared" si="3"/>
        <v>-2.6639344262295101E-2</v>
      </c>
    </row>
    <row r="121" spans="1:9" ht="14.25" customHeight="1" x14ac:dyDescent="0.3">
      <c r="A121" s="127">
        <v>44097</v>
      </c>
      <c r="B121" s="64">
        <v>11131.85</v>
      </c>
      <c r="D121" s="127">
        <v>44097</v>
      </c>
      <c r="E121" s="64">
        <v>14.1</v>
      </c>
      <c r="H121" s="128">
        <f t="shared" si="2"/>
        <v>-1.9545171311632801E-3</v>
      </c>
      <c r="I121" s="128">
        <f t="shared" si="3"/>
        <v>-1.05263157894737E-2</v>
      </c>
    </row>
    <row r="122" spans="1:9" ht="14.25" customHeight="1" x14ac:dyDescent="0.3">
      <c r="A122" s="127">
        <v>44098</v>
      </c>
      <c r="B122" s="64">
        <v>10805.55</v>
      </c>
      <c r="D122" s="127">
        <v>44098</v>
      </c>
      <c r="E122" s="64">
        <v>13.33</v>
      </c>
      <c r="H122" s="128">
        <f t="shared" si="2"/>
        <v>-2.93122886133034E-2</v>
      </c>
      <c r="I122" s="128">
        <f t="shared" si="3"/>
        <v>-5.4609929078014201E-2</v>
      </c>
    </row>
    <row r="123" spans="1:9" ht="14.25" customHeight="1" x14ac:dyDescent="0.3">
      <c r="A123" s="127">
        <v>44099</v>
      </c>
      <c r="B123" s="64">
        <v>11050.25</v>
      </c>
      <c r="D123" s="127">
        <v>44099</v>
      </c>
      <c r="E123" s="64">
        <v>13.94</v>
      </c>
      <c r="H123" s="128">
        <f t="shared" si="2"/>
        <v>2.2645769997825301E-2</v>
      </c>
      <c r="I123" s="128">
        <f t="shared" si="3"/>
        <v>4.576144036009E-2</v>
      </c>
    </row>
    <row r="124" spans="1:9" ht="14.25" customHeight="1" x14ac:dyDescent="0.3">
      <c r="A124" s="127">
        <v>44102</v>
      </c>
      <c r="B124" s="64">
        <v>11227.55</v>
      </c>
      <c r="D124" s="127">
        <v>44102</v>
      </c>
      <c r="E124" s="64">
        <v>14.36</v>
      </c>
      <c r="H124" s="128">
        <f t="shared" si="2"/>
        <v>1.60448858623107E-2</v>
      </c>
      <c r="I124" s="128">
        <f t="shared" si="3"/>
        <v>3.0129124820659998E-2</v>
      </c>
    </row>
    <row r="125" spans="1:9" ht="14.25" customHeight="1" x14ac:dyDescent="0.3">
      <c r="A125" s="127">
        <v>44103</v>
      </c>
      <c r="B125" s="64">
        <v>11222.4</v>
      </c>
      <c r="D125" s="127">
        <v>44103</v>
      </c>
      <c r="E125" s="64">
        <v>14.54</v>
      </c>
      <c r="H125" s="128">
        <f t="shared" si="2"/>
        <v>-4.5869312539241702E-4</v>
      </c>
      <c r="I125" s="128">
        <f t="shared" si="3"/>
        <v>1.2534818941504201E-2</v>
      </c>
    </row>
    <row r="126" spans="1:9" ht="14.25" customHeight="1" x14ac:dyDescent="0.3">
      <c r="A126" s="127">
        <v>44104</v>
      </c>
      <c r="B126" s="64">
        <v>11247.55</v>
      </c>
      <c r="D126" s="127">
        <v>44104</v>
      </c>
      <c r="E126" s="64">
        <v>14.46</v>
      </c>
      <c r="H126" s="128">
        <f t="shared" si="2"/>
        <v>2.24105360707154E-3</v>
      </c>
      <c r="I126" s="128">
        <f t="shared" si="3"/>
        <v>-5.50206327372753E-3</v>
      </c>
    </row>
    <row r="127" spans="1:9" ht="14.25" customHeight="1" x14ac:dyDescent="0.3">
      <c r="A127" s="127">
        <v>44105</v>
      </c>
      <c r="B127" s="64">
        <v>11416.95</v>
      </c>
      <c r="D127" s="127">
        <v>44105</v>
      </c>
      <c r="E127" s="64">
        <v>14.52</v>
      </c>
      <c r="H127" s="128">
        <f t="shared" si="2"/>
        <v>1.5061057741463799E-2</v>
      </c>
      <c r="I127" s="128">
        <f t="shared" si="3"/>
        <v>4.14937759336091E-3</v>
      </c>
    </row>
    <row r="128" spans="1:9" ht="14.25" customHeight="1" x14ac:dyDescent="0.3">
      <c r="A128" s="127">
        <v>44109</v>
      </c>
      <c r="B128" s="64">
        <v>11503.35</v>
      </c>
      <c r="D128" s="127">
        <v>44109</v>
      </c>
      <c r="E128" s="64">
        <v>14.68</v>
      </c>
      <c r="H128" s="128">
        <f t="shared" si="2"/>
        <v>7.5676954002601099E-3</v>
      </c>
      <c r="I128" s="128">
        <f t="shared" si="3"/>
        <v>1.10192837465565E-2</v>
      </c>
    </row>
    <row r="129" spans="1:9" ht="14.25" customHeight="1" x14ac:dyDescent="0.3">
      <c r="A129" s="127">
        <v>44110</v>
      </c>
      <c r="B129" s="64">
        <v>11662.4</v>
      </c>
      <c r="D129" s="127">
        <v>44110</v>
      </c>
      <c r="E129" s="64">
        <v>14.59</v>
      </c>
      <c r="H129" s="128">
        <f t="shared" si="2"/>
        <v>1.3826407090108499E-2</v>
      </c>
      <c r="I129" s="128">
        <f t="shared" si="3"/>
        <v>-6.1307901907356899E-3</v>
      </c>
    </row>
    <row r="130" spans="1:9" ht="14.25" customHeight="1" x14ac:dyDescent="0.3">
      <c r="A130" s="127">
        <v>44111</v>
      </c>
      <c r="B130" s="64">
        <v>11738.85</v>
      </c>
      <c r="D130" s="127">
        <v>44111</v>
      </c>
      <c r="E130" s="64">
        <v>14.43</v>
      </c>
      <c r="H130" s="128">
        <f t="shared" si="2"/>
        <v>6.5552544930718099E-3</v>
      </c>
      <c r="I130" s="128">
        <f t="shared" si="3"/>
        <v>-1.09664153529815E-2</v>
      </c>
    </row>
    <row r="131" spans="1:9" ht="14.25" customHeight="1" x14ac:dyDescent="0.3">
      <c r="A131" s="127">
        <v>44112</v>
      </c>
      <c r="B131" s="64">
        <v>11834.6</v>
      </c>
      <c r="D131" s="127">
        <v>44112</v>
      </c>
      <c r="E131" s="64">
        <v>14.5</v>
      </c>
      <c r="H131" s="128">
        <f t="shared" ref="H131:H194" si="4">(B131-B130)/B130</f>
        <v>8.15667633541616E-3</v>
      </c>
      <c r="I131" s="128">
        <f t="shared" ref="I131:I194" si="5">(E131-E130)/E130</f>
        <v>4.8510048510048698E-3</v>
      </c>
    </row>
    <row r="132" spans="1:9" ht="14.25" customHeight="1" x14ac:dyDescent="0.3">
      <c r="A132" s="127">
        <v>44113</v>
      </c>
      <c r="B132" s="64">
        <v>11914.2</v>
      </c>
      <c r="D132" s="127">
        <v>44113</v>
      </c>
      <c r="E132" s="64">
        <v>14.33</v>
      </c>
      <c r="H132" s="128">
        <f t="shared" si="4"/>
        <v>6.7260405928379801E-3</v>
      </c>
      <c r="I132" s="128">
        <f t="shared" si="5"/>
        <v>-1.17241379310345E-2</v>
      </c>
    </row>
    <row r="133" spans="1:9" ht="14.25" customHeight="1" x14ac:dyDescent="0.3">
      <c r="A133" s="127">
        <v>44116</v>
      </c>
      <c r="B133" s="64">
        <v>11930.95</v>
      </c>
      <c r="D133" s="127">
        <v>44116</v>
      </c>
      <c r="E133" s="64">
        <v>14.19</v>
      </c>
      <c r="H133" s="128">
        <f t="shared" si="4"/>
        <v>1.40588541404375E-3</v>
      </c>
      <c r="I133" s="128">
        <f t="shared" si="5"/>
        <v>-9.7697138869504898E-3</v>
      </c>
    </row>
    <row r="134" spans="1:9" ht="14.25" customHeight="1" x14ac:dyDescent="0.3">
      <c r="A134" s="127">
        <v>44117</v>
      </c>
      <c r="B134" s="64">
        <v>11934.5</v>
      </c>
      <c r="D134" s="127">
        <v>44117</v>
      </c>
      <c r="E134" s="64">
        <v>13.93</v>
      </c>
      <c r="H134" s="128">
        <f t="shared" si="4"/>
        <v>2.9754545949813499E-4</v>
      </c>
      <c r="I134" s="128">
        <f t="shared" si="5"/>
        <v>-1.8322762508809001E-2</v>
      </c>
    </row>
    <row r="135" spans="1:9" ht="14.25" customHeight="1" x14ac:dyDescent="0.3">
      <c r="A135" s="127">
        <v>44118</v>
      </c>
      <c r="B135" s="64">
        <v>11971.05</v>
      </c>
      <c r="D135" s="127">
        <v>44118</v>
      </c>
      <c r="E135" s="64">
        <v>14.05</v>
      </c>
      <c r="H135" s="128">
        <f t="shared" si="4"/>
        <v>3.0625497507226298E-3</v>
      </c>
      <c r="I135" s="128">
        <f t="shared" si="5"/>
        <v>8.6145010768127108E-3</v>
      </c>
    </row>
    <row r="136" spans="1:9" ht="14.25" customHeight="1" x14ac:dyDescent="0.3">
      <c r="A136" s="127">
        <v>44119</v>
      </c>
      <c r="B136" s="64">
        <v>11680.35</v>
      </c>
      <c r="D136" s="127">
        <v>44119</v>
      </c>
      <c r="E136" s="64">
        <v>14.19</v>
      </c>
      <c r="H136" s="128">
        <f t="shared" si="4"/>
        <v>-2.4283584146754002E-2</v>
      </c>
      <c r="I136" s="128">
        <f t="shared" si="5"/>
        <v>9.96441281138781E-3</v>
      </c>
    </row>
    <row r="137" spans="1:9" ht="14.25" customHeight="1" x14ac:dyDescent="0.3">
      <c r="A137" s="127">
        <v>44120</v>
      </c>
      <c r="B137" s="64">
        <v>11762.45</v>
      </c>
      <c r="D137" s="127">
        <v>44120</v>
      </c>
      <c r="E137" s="64">
        <v>14.6</v>
      </c>
      <c r="H137" s="128">
        <f t="shared" si="4"/>
        <v>7.02889896278796E-3</v>
      </c>
      <c r="I137" s="128">
        <f t="shared" si="5"/>
        <v>2.8893587033121899E-2</v>
      </c>
    </row>
    <row r="138" spans="1:9" ht="14.25" customHeight="1" x14ac:dyDescent="0.3">
      <c r="A138" s="127">
        <v>44123</v>
      </c>
      <c r="B138" s="64">
        <v>11873.05</v>
      </c>
      <c r="D138" s="127">
        <v>44123</v>
      </c>
      <c r="E138" s="64">
        <v>14.86</v>
      </c>
      <c r="H138" s="128">
        <f t="shared" si="4"/>
        <v>9.4028029874727199E-3</v>
      </c>
      <c r="I138" s="128">
        <f t="shared" si="5"/>
        <v>1.7808219178082198E-2</v>
      </c>
    </row>
    <row r="139" spans="1:9" ht="14.25" customHeight="1" x14ac:dyDescent="0.3">
      <c r="A139" s="127">
        <v>44124</v>
      </c>
      <c r="B139" s="64">
        <v>11896.8</v>
      </c>
      <c r="D139" s="127">
        <v>44124</v>
      </c>
      <c r="E139" s="64">
        <v>14.7</v>
      </c>
      <c r="H139" s="128">
        <f t="shared" si="4"/>
        <v>2.0003284749916801E-3</v>
      </c>
      <c r="I139" s="128">
        <f t="shared" si="5"/>
        <v>-1.0767160161507401E-2</v>
      </c>
    </row>
    <row r="140" spans="1:9" ht="14.25" customHeight="1" x14ac:dyDescent="0.3">
      <c r="A140" s="127">
        <v>44125</v>
      </c>
      <c r="B140" s="64">
        <v>11937.65</v>
      </c>
      <c r="D140" s="127">
        <v>44125</v>
      </c>
      <c r="E140" s="64">
        <v>14.98</v>
      </c>
      <c r="H140" s="128">
        <f t="shared" si="4"/>
        <v>3.43369645618993E-3</v>
      </c>
      <c r="I140" s="128">
        <f t="shared" si="5"/>
        <v>1.9047619047619101E-2</v>
      </c>
    </row>
    <row r="141" spans="1:9" ht="14.25" customHeight="1" x14ac:dyDescent="0.3">
      <c r="A141" s="127">
        <v>44126</v>
      </c>
      <c r="B141" s="64">
        <v>11896.45</v>
      </c>
      <c r="D141" s="127">
        <v>44126</v>
      </c>
      <c r="E141" s="64">
        <v>15.22</v>
      </c>
      <c r="H141" s="128">
        <f t="shared" si="4"/>
        <v>-3.4512655338361301E-3</v>
      </c>
      <c r="I141" s="128">
        <f t="shared" si="5"/>
        <v>1.6021361815754399E-2</v>
      </c>
    </row>
    <row r="142" spans="1:9" ht="14.25" customHeight="1" x14ac:dyDescent="0.3">
      <c r="A142" s="127">
        <v>44127</v>
      </c>
      <c r="B142" s="64">
        <v>11930.35</v>
      </c>
      <c r="D142" s="127">
        <v>44127</v>
      </c>
      <c r="E142" s="64">
        <v>14.91</v>
      </c>
      <c r="H142" s="128">
        <f t="shared" si="4"/>
        <v>2.84958958344713E-3</v>
      </c>
      <c r="I142" s="128">
        <f t="shared" si="5"/>
        <v>-2.0367936925098602E-2</v>
      </c>
    </row>
    <row r="143" spans="1:9" ht="14.25" customHeight="1" x14ac:dyDescent="0.3">
      <c r="A143" s="127">
        <v>44130</v>
      </c>
      <c r="B143" s="64">
        <v>11767.75</v>
      </c>
      <c r="D143" s="127">
        <v>44130</v>
      </c>
      <c r="E143" s="64">
        <v>14.65</v>
      </c>
      <c r="H143" s="128">
        <f t="shared" si="4"/>
        <v>-1.3629105600422501E-2</v>
      </c>
      <c r="I143" s="128">
        <f t="shared" si="5"/>
        <v>-1.7437961099932901E-2</v>
      </c>
    </row>
    <row r="144" spans="1:9" ht="14.25" customHeight="1" x14ac:dyDescent="0.3">
      <c r="A144" s="127">
        <v>44131</v>
      </c>
      <c r="B144" s="64">
        <v>11889.4</v>
      </c>
      <c r="D144" s="127">
        <v>44131</v>
      </c>
      <c r="E144" s="64">
        <v>14.52</v>
      </c>
      <c r="H144" s="128">
        <f t="shared" si="4"/>
        <v>1.03375751524293E-2</v>
      </c>
      <c r="I144" s="128">
        <f t="shared" si="5"/>
        <v>-8.8737201365188204E-3</v>
      </c>
    </row>
    <row r="145" spans="1:9" ht="14.25" customHeight="1" x14ac:dyDescent="0.3">
      <c r="A145" s="127">
        <v>44132</v>
      </c>
      <c r="B145" s="64">
        <v>11729.6</v>
      </c>
      <c r="D145" s="127">
        <v>44132</v>
      </c>
      <c r="E145" s="64">
        <v>14.25</v>
      </c>
      <c r="H145" s="128">
        <f t="shared" si="4"/>
        <v>-1.3440543677561499E-2</v>
      </c>
      <c r="I145" s="128">
        <f t="shared" si="5"/>
        <v>-1.8595041322314002E-2</v>
      </c>
    </row>
    <row r="146" spans="1:9" ht="14.25" customHeight="1" x14ac:dyDescent="0.3">
      <c r="A146" s="127">
        <v>44133</v>
      </c>
      <c r="B146" s="64">
        <v>11670.8</v>
      </c>
      <c r="D146" s="127">
        <v>44133</v>
      </c>
      <c r="E146" s="64">
        <v>14.2</v>
      </c>
      <c r="H146" s="128">
        <f t="shared" si="4"/>
        <v>-5.0129586686673997E-3</v>
      </c>
      <c r="I146" s="128">
        <f t="shared" si="5"/>
        <v>-3.50877192982461E-3</v>
      </c>
    </row>
    <row r="147" spans="1:9" ht="14.25" customHeight="1" x14ac:dyDescent="0.3">
      <c r="A147" s="127">
        <v>44134</v>
      </c>
      <c r="B147" s="64">
        <v>11642.4</v>
      </c>
      <c r="D147" s="127">
        <v>44134</v>
      </c>
      <c r="E147" s="64">
        <v>14.49</v>
      </c>
      <c r="H147" s="128">
        <f t="shared" si="4"/>
        <v>-2.4334235870719801E-3</v>
      </c>
      <c r="I147" s="128">
        <f t="shared" si="5"/>
        <v>2.04225352112677E-2</v>
      </c>
    </row>
    <row r="148" spans="1:9" ht="14.25" customHeight="1" x14ac:dyDescent="0.3">
      <c r="A148" s="127">
        <v>44137</v>
      </c>
      <c r="B148" s="64">
        <v>11669.15</v>
      </c>
      <c r="D148" s="127">
        <v>44137</v>
      </c>
      <c r="E148" s="64">
        <v>14.79</v>
      </c>
      <c r="H148" s="128">
        <f t="shared" si="4"/>
        <v>2.2976362262076499E-3</v>
      </c>
      <c r="I148" s="128">
        <f t="shared" si="5"/>
        <v>2.07039337474119E-2</v>
      </c>
    </row>
    <row r="149" spans="1:9" ht="14.25" customHeight="1" x14ac:dyDescent="0.3">
      <c r="A149" s="127">
        <v>44138</v>
      </c>
      <c r="B149" s="64">
        <v>11813.5</v>
      </c>
      <c r="D149" s="127">
        <v>44138</v>
      </c>
      <c r="E149" s="64">
        <v>15.02</v>
      </c>
      <c r="H149" s="128">
        <f t="shared" si="4"/>
        <v>1.2370224052308899E-2</v>
      </c>
      <c r="I149" s="128">
        <f t="shared" si="5"/>
        <v>1.55510480054091E-2</v>
      </c>
    </row>
    <row r="150" spans="1:9" ht="14.25" customHeight="1" x14ac:dyDescent="0.3">
      <c r="A150" s="127">
        <v>44139</v>
      </c>
      <c r="B150" s="64">
        <v>11908.5</v>
      </c>
      <c r="D150" s="127">
        <v>44139</v>
      </c>
      <c r="E150" s="64">
        <v>15</v>
      </c>
      <c r="H150" s="128">
        <f t="shared" si="4"/>
        <v>8.0416472679561493E-3</v>
      </c>
      <c r="I150" s="128">
        <f t="shared" si="5"/>
        <v>-1.33155792276961E-3</v>
      </c>
    </row>
    <row r="151" spans="1:9" ht="14.25" customHeight="1" x14ac:dyDescent="0.3">
      <c r="A151" s="127">
        <v>44140</v>
      </c>
      <c r="B151" s="64">
        <v>12120.3</v>
      </c>
      <c r="D151" s="127">
        <v>44140</v>
      </c>
      <c r="E151" s="64">
        <v>15.9</v>
      </c>
      <c r="H151" s="128">
        <f t="shared" si="4"/>
        <v>1.7785615316790501E-2</v>
      </c>
      <c r="I151" s="128">
        <f t="shared" si="5"/>
        <v>0.06</v>
      </c>
    </row>
    <row r="152" spans="1:9" ht="14.25" customHeight="1" x14ac:dyDescent="0.3">
      <c r="A152" s="127">
        <v>44141</v>
      </c>
      <c r="B152" s="64">
        <v>12263.55</v>
      </c>
      <c r="D152" s="127">
        <v>44141</v>
      </c>
      <c r="E152" s="64">
        <v>15.89</v>
      </c>
      <c r="H152" s="128">
        <f t="shared" si="4"/>
        <v>1.18190143808322E-2</v>
      </c>
      <c r="I152" s="128">
        <f t="shared" si="5"/>
        <v>-6.2893081761004996E-4</v>
      </c>
    </row>
    <row r="153" spans="1:9" ht="14.25" customHeight="1" x14ac:dyDescent="0.3">
      <c r="A153" s="127">
        <v>44144</v>
      </c>
      <c r="B153" s="64">
        <v>12461.05</v>
      </c>
      <c r="D153" s="127">
        <v>44144</v>
      </c>
      <c r="E153" s="64">
        <v>16.399999999999999</v>
      </c>
      <c r="H153" s="128">
        <f t="shared" si="4"/>
        <v>1.6104635280974899E-2</v>
      </c>
      <c r="I153" s="128">
        <f t="shared" si="5"/>
        <v>3.2095657646318297E-2</v>
      </c>
    </row>
    <row r="154" spans="1:9" ht="14.25" customHeight="1" x14ac:dyDescent="0.3">
      <c r="A154" s="127">
        <v>44145</v>
      </c>
      <c r="B154" s="64">
        <v>12631.1</v>
      </c>
      <c r="D154" s="127">
        <v>44145</v>
      </c>
      <c r="E154" s="64">
        <v>16.52</v>
      </c>
      <c r="H154" s="128">
        <f t="shared" si="4"/>
        <v>1.3646522564310501E-2</v>
      </c>
      <c r="I154" s="128">
        <f t="shared" si="5"/>
        <v>7.3170731707317702E-3</v>
      </c>
    </row>
    <row r="155" spans="1:9" ht="14.25" customHeight="1" x14ac:dyDescent="0.3">
      <c r="A155" s="127">
        <v>44146</v>
      </c>
      <c r="B155" s="64">
        <v>12749.15</v>
      </c>
      <c r="D155" s="127">
        <v>44146</v>
      </c>
      <c r="E155" s="64">
        <v>15.95</v>
      </c>
      <c r="H155" s="128">
        <f t="shared" si="4"/>
        <v>9.3459793683843308E-3</v>
      </c>
      <c r="I155" s="128">
        <f t="shared" si="5"/>
        <v>-3.45036319612591E-2</v>
      </c>
    </row>
    <row r="156" spans="1:9" ht="14.25" customHeight="1" x14ac:dyDescent="0.3">
      <c r="A156" s="127">
        <v>44147</v>
      </c>
      <c r="B156" s="64">
        <v>12690.8</v>
      </c>
      <c r="D156" s="127">
        <v>44147</v>
      </c>
      <c r="E156" s="64">
        <v>16</v>
      </c>
      <c r="H156" s="128">
        <f t="shared" si="4"/>
        <v>-4.5767757066157598E-3</v>
      </c>
      <c r="I156" s="128">
        <f t="shared" si="5"/>
        <v>3.13479623824456E-3</v>
      </c>
    </row>
    <row r="157" spans="1:9" ht="14.25" customHeight="1" x14ac:dyDescent="0.3">
      <c r="A157" s="127">
        <v>44148</v>
      </c>
      <c r="B157" s="64">
        <v>12719.95</v>
      </c>
      <c r="D157" s="127">
        <v>44148</v>
      </c>
      <c r="E157" s="64">
        <v>16.28</v>
      </c>
      <c r="H157" s="128">
        <f t="shared" si="4"/>
        <v>2.2969395152394999E-3</v>
      </c>
      <c r="I157" s="128">
        <f t="shared" si="5"/>
        <v>1.7500000000000099E-2</v>
      </c>
    </row>
    <row r="158" spans="1:9" ht="14.25" customHeight="1" x14ac:dyDescent="0.3">
      <c r="A158" s="127">
        <v>44152</v>
      </c>
      <c r="B158" s="64">
        <v>12874.2</v>
      </c>
      <c r="D158" s="127">
        <v>44152</v>
      </c>
      <c r="E158" s="64">
        <v>16.88</v>
      </c>
      <c r="H158" s="128">
        <f t="shared" si="4"/>
        <v>1.2126619994575399E-2</v>
      </c>
      <c r="I158" s="128">
        <f t="shared" si="5"/>
        <v>3.6855036855036702E-2</v>
      </c>
    </row>
    <row r="159" spans="1:9" ht="14.25" customHeight="1" x14ac:dyDescent="0.3">
      <c r="A159" s="127">
        <v>44153</v>
      </c>
      <c r="B159" s="64">
        <v>12938.25</v>
      </c>
      <c r="D159" s="127">
        <v>44153</v>
      </c>
      <c r="E159" s="64">
        <v>17.149999999999999</v>
      </c>
      <c r="H159" s="128">
        <f t="shared" si="4"/>
        <v>4.9750664118935004E-3</v>
      </c>
      <c r="I159" s="128">
        <f t="shared" si="5"/>
        <v>1.5995260663507101E-2</v>
      </c>
    </row>
    <row r="160" spans="1:9" ht="14.25" customHeight="1" x14ac:dyDescent="0.3">
      <c r="A160" s="127">
        <v>44154</v>
      </c>
      <c r="B160" s="64">
        <v>12771.7</v>
      </c>
      <c r="D160" s="127">
        <v>44154</v>
      </c>
      <c r="E160" s="64">
        <v>16.91</v>
      </c>
      <c r="H160" s="128">
        <f t="shared" si="4"/>
        <v>-1.2872683709156899E-2</v>
      </c>
      <c r="I160" s="128">
        <f t="shared" si="5"/>
        <v>-1.39941690962098E-2</v>
      </c>
    </row>
    <row r="161" spans="1:9" ht="14.25" customHeight="1" x14ac:dyDescent="0.3">
      <c r="A161" s="127">
        <v>44155</v>
      </c>
      <c r="B161" s="64">
        <v>12859.05</v>
      </c>
      <c r="D161" s="127">
        <v>44155</v>
      </c>
      <c r="E161" s="64">
        <v>16.420000000000002</v>
      </c>
      <c r="H161" s="128">
        <f t="shared" si="4"/>
        <v>6.8393401035099898E-3</v>
      </c>
      <c r="I161" s="128">
        <f t="shared" si="5"/>
        <v>-2.8976936723832E-2</v>
      </c>
    </row>
    <row r="162" spans="1:9" ht="14.25" customHeight="1" x14ac:dyDescent="0.3">
      <c r="A162" s="127">
        <v>44158</v>
      </c>
      <c r="B162" s="64">
        <v>12926.45</v>
      </c>
      <c r="D162" s="127">
        <v>44158</v>
      </c>
      <c r="E162" s="64">
        <v>16.440000000000001</v>
      </c>
      <c r="H162" s="128">
        <f t="shared" si="4"/>
        <v>5.2414447412523803E-3</v>
      </c>
      <c r="I162" s="128">
        <f t="shared" si="5"/>
        <v>1.2180267965895E-3</v>
      </c>
    </row>
    <row r="163" spans="1:9" ht="14.25" customHeight="1" x14ac:dyDescent="0.3">
      <c r="A163" s="127">
        <v>44159</v>
      </c>
      <c r="B163" s="64">
        <v>13055.15</v>
      </c>
      <c r="D163" s="127">
        <v>44159</v>
      </c>
      <c r="E163" s="64">
        <v>16.399999999999999</v>
      </c>
      <c r="H163" s="128">
        <f t="shared" si="4"/>
        <v>9.9563298508096899E-3</v>
      </c>
      <c r="I163" s="128">
        <f t="shared" si="5"/>
        <v>-2.4330900243310599E-3</v>
      </c>
    </row>
    <row r="164" spans="1:9" ht="14.25" customHeight="1" x14ac:dyDescent="0.3">
      <c r="A164" s="127">
        <v>44160</v>
      </c>
      <c r="B164" s="64">
        <v>12858.4</v>
      </c>
      <c r="D164" s="127">
        <v>44160</v>
      </c>
      <c r="E164" s="64">
        <v>16.36</v>
      </c>
      <c r="H164" s="128">
        <f t="shared" si="4"/>
        <v>-1.5070680919024301E-2</v>
      </c>
      <c r="I164" s="128">
        <f t="shared" si="5"/>
        <v>-2.43902439024385E-3</v>
      </c>
    </row>
    <row r="165" spans="1:9" ht="14.25" customHeight="1" x14ac:dyDescent="0.3">
      <c r="A165" s="127">
        <v>44161</v>
      </c>
      <c r="B165" s="64">
        <v>12987</v>
      </c>
      <c r="D165" s="127">
        <v>44161</v>
      </c>
      <c r="E165" s="64">
        <v>16.93</v>
      </c>
      <c r="H165" s="128">
        <f t="shared" si="4"/>
        <v>1.00012443227774E-2</v>
      </c>
      <c r="I165" s="128">
        <f t="shared" si="5"/>
        <v>3.4841075794621E-2</v>
      </c>
    </row>
    <row r="166" spans="1:9" ht="14.25" customHeight="1" x14ac:dyDescent="0.3">
      <c r="A166" s="127">
        <v>44162</v>
      </c>
      <c r="B166" s="64">
        <v>12968.95</v>
      </c>
      <c r="D166" s="127">
        <v>44162</v>
      </c>
      <c r="E166" s="64">
        <v>16.940000000000001</v>
      </c>
      <c r="H166" s="128">
        <f t="shared" si="4"/>
        <v>-1.3898513898513299E-3</v>
      </c>
      <c r="I166" s="128">
        <f t="shared" si="5"/>
        <v>5.9066745422336499E-4</v>
      </c>
    </row>
    <row r="167" spans="1:9" ht="14.25" customHeight="1" x14ac:dyDescent="0.3">
      <c r="A167" s="127">
        <v>44166</v>
      </c>
      <c r="B167" s="64">
        <v>13109.05</v>
      </c>
      <c r="D167" s="127">
        <v>44166</v>
      </c>
      <c r="E167" s="64">
        <v>17.440000000000001</v>
      </c>
      <c r="H167" s="128">
        <f t="shared" si="4"/>
        <v>1.0802724970024401E-2</v>
      </c>
      <c r="I167" s="128">
        <f t="shared" si="5"/>
        <v>2.9515938606847699E-2</v>
      </c>
    </row>
    <row r="168" spans="1:9" ht="14.25" customHeight="1" x14ac:dyDescent="0.3">
      <c r="A168" s="127">
        <v>44167</v>
      </c>
      <c r="B168" s="64">
        <v>13113.75</v>
      </c>
      <c r="D168" s="127">
        <v>44167</v>
      </c>
      <c r="E168" s="64">
        <v>18.14</v>
      </c>
      <c r="H168" s="128">
        <f t="shared" si="4"/>
        <v>3.58530938550141E-4</v>
      </c>
      <c r="I168" s="128">
        <f t="shared" si="5"/>
        <v>4.0137614678899002E-2</v>
      </c>
    </row>
    <row r="169" spans="1:9" ht="14.25" customHeight="1" x14ac:dyDescent="0.3">
      <c r="A169" s="127">
        <v>44168</v>
      </c>
      <c r="B169" s="64">
        <v>13133.9</v>
      </c>
      <c r="D169" s="127">
        <v>44168</v>
      </c>
      <c r="E169" s="64">
        <v>18.59</v>
      </c>
      <c r="H169" s="128">
        <f t="shared" si="4"/>
        <v>1.5365551425030701E-3</v>
      </c>
      <c r="I169" s="128">
        <f t="shared" si="5"/>
        <v>2.4807056229327398E-2</v>
      </c>
    </row>
    <row r="170" spans="1:9" ht="14.25" customHeight="1" x14ac:dyDescent="0.3">
      <c r="A170" s="127">
        <v>44169</v>
      </c>
      <c r="B170" s="64">
        <v>13258.55</v>
      </c>
      <c r="D170" s="127">
        <v>44169</v>
      </c>
      <c r="E170" s="64">
        <v>18.78</v>
      </c>
      <c r="H170" s="128">
        <f t="shared" si="4"/>
        <v>9.4907072537479108E-3</v>
      </c>
      <c r="I170" s="128">
        <f t="shared" si="5"/>
        <v>1.02205486820872E-2</v>
      </c>
    </row>
    <row r="171" spans="1:9" ht="14.25" customHeight="1" x14ac:dyDescent="0.3">
      <c r="A171" s="127">
        <v>44172</v>
      </c>
      <c r="B171" s="64">
        <v>13355.75</v>
      </c>
      <c r="D171" s="127">
        <v>44172</v>
      </c>
      <c r="E171" s="64">
        <v>19.22</v>
      </c>
      <c r="H171" s="128">
        <f t="shared" si="4"/>
        <v>7.3311184103842996E-3</v>
      </c>
      <c r="I171" s="128">
        <f t="shared" si="5"/>
        <v>2.3429179978700601E-2</v>
      </c>
    </row>
    <row r="172" spans="1:9" ht="14.25" customHeight="1" x14ac:dyDescent="0.3">
      <c r="A172" s="127">
        <v>44173</v>
      </c>
      <c r="B172" s="64">
        <v>13392.95</v>
      </c>
      <c r="D172" s="127">
        <v>44173</v>
      </c>
      <c r="E172" s="64">
        <v>18.95</v>
      </c>
      <c r="H172" s="128">
        <f t="shared" si="4"/>
        <v>2.7853171854819599E-3</v>
      </c>
      <c r="I172" s="128">
        <f t="shared" si="5"/>
        <v>-1.4047866805410999E-2</v>
      </c>
    </row>
    <row r="173" spans="1:9" ht="14.25" customHeight="1" x14ac:dyDescent="0.3">
      <c r="A173" s="127">
        <v>44174</v>
      </c>
      <c r="B173" s="64">
        <v>13529.1</v>
      </c>
      <c r="D173" s="127">
        <v>44174</v>
      </c>
      <c r="E173" s="64">
        <v>18.809999999999999</v>
      </c>
      <c r="H173" s="128">
        <f t="shared" si="4"/>
        <v>1.01657961838131E-2</v>
      </c>
      <c r="I173" s="128">
        <f t="shared" si="5"/>
        <v>-7.3878627968337997E-3</v>
      </c>
    </row>
    <row r="174" spans="1:9" ht="14.25" customHeight="1" x14ac:dyDescent="0.3">
      <c r="A174" s="127">
        <v>44175</v>
      </c>
      <c r="B174" s="64">
        <v>13478.3</v>
      </c>
      <c r="D174" s="127">
        <v>44175</v>
      </c>
      <c r="E174" s="64">
        <v>18.95</v>
      </c>
      <c r="H174" s="128">
        <f t="shared" si="4"/>
        <v>-3.7548691339409899E-3</v>
      </c>
      <c r="I174" s="128">
        <f t="shared" si="5"/>
        <v>7.4428495481127397E-3</v>
      </c>
    </row>
    <row r="175" spans="1:9" ht="14.25" customHeight="1" x14ac:dyDescent="0.3">
      <c r="A175" s="127">
        <v>44176</v>
      </c>
      <c r="B175" s="64">
        <v>13513.85</v>
      </c>
      <c r="D175" s="127">
        <v>44176</v>
      </c>
      <c r="E175" s="64">
        <v>19.48</v>
      </c>
      <c r="H175" s="128">
        <f t="shared" si="4"/>
        <v>2.6375729876914099E-3</v>
      </c>
      <c r="I175" s="128">
        <f t="shared" si="5"/>
        <v>2.7968337730870801E-2</v>
      </c>
    </row>
    <row r="176" spans="1:9" ht="14.25" customHeight="1" x14ac:dyDescent="0.3">
      <c r="A176" s="127">
        <v>44179</v>
      </c>
      <c r="B176" s="64">
        <v>13558.15</v>
      </c>
      <c r="D176" s="127">
        <v>44179</v>
      </c>
      <c r="E176" s="64">
        <v>20.5</v>
      </c>
      <c r="H176" s="128">
        <f t="shared" si="4"/>
        <v>3.27811837485241E-3</v>
      </c>
      <c r="I176" s="128">
        <f t="shared" si="5"/>
        <v>5.2361396303901402E-2</v>
      </c>
    </row>
    <row r="177" spans="1:9" ht="14.25" customHeight="1" x14ac:dyDescent="0.3">
      <c r="A177" s="127">
        <v>44180</v>
      </c>
      <c r="B177" s="64">
        <v>13567.85</v>
      </c>
      <c r="D177" s="127">
        <v>44180</v>
      </c>
      <c r="E177" s="64">
        <v>20.2</v>
      </c>
      <c r="H177" s="128">
        <f t="shared" si="4"/>
        <v>7.1543684057196095E-4</v>
      </c>
      <c r="I177" s="128">
        <f t="shared" si="5"/>
        <v>-1.46341463414634E-2</v>
      </c>
    </row>
    <row r="178" spans="1:9" ht="14.25" customHeight="1" x14ac:dyDescent="0.3">
      <c r="A178" s="127">
        <v>44181</v>
      </c>
      <c r="B178" s="64">
        <v>13682.7</v>
      </c>
      <c r="D178" s="127">
        <v>44181</v>
      </c>
      <c r="E178" s="64">
        <v>20.14</v>
      </c>
      <c r="H178" s="128">
        <f t="shared" si="4"/>
        <v>8.4648636298308398E-3</v>
      </c>
      <c r="I178" s="128">
        <f t="shared" si="5"/>
        <v>-2.9702970297029101E-3</v>
      </c>
    </row>
    <row r="179" spans="1:9" ht="14.25" customHeight="1" x14ac:dyDescent="0.3">
      <c r="A179" s="127">
        <v>44182</v>
      </c>
      <c r="B179" s="64">
        <v>13740.7</v>
      </c>
      <c r="D179" s="127">
        <v>44182</v>
      </c>
      <c r="E179" s="64">
        <v>20.32</v>
      </c>
      <c r="H179" s="128">
        <f t="shared" si="4"/>
        <v>4.2389294510586399E-3</v>
      </c>
      <c r="I179" s="128">
        <f t="shared" si="5"/>
        <v>8.9374379344587702E-3</v>
      </c>
    </row>
    <row r="180" spans="1:9" ht="14.25" customHeight="1" x14ac:dyDescent="0.3">
      <c r="A180" s="127">
        <v>44183</v>
      </c>
      <c r="B180" s="64">
        <v>13760.55</v>
      </c>
      <c r="D180" s="127">
        <v>44183</v>
      </c>
      <c r="E180" s="64">
        <v>20.329999999999998</v>
      </c>
      <c r="H180" s="128">
        <f t="shared" si="4"/>
        <v>1.44461344764084E-3</v>
      </c>
      <c r="I180" s="128">
        <f t="shared" si="5"/>
        <v>4.9212598425187103E-4</v>
      </c>
    </row>
    <row r="181" spans="1:9" ht="14.25" customHeight="1" x14ac:dyDescent="0.3">
      <c r="A181" s="127">
        <v>44186</v>
      </c>
      <c r="B181" s="64">
        <v>13328.4</v>
      </c>
      <c r="D181" s="127">
        <v>44186</v>
      </c>
      <c r="E181" s="64">
        <v>19.170000000000002</v>
      </c>
      <c r="H181" s="128">
        <f t="shared" si="4"/>
        <v>-3.1404994713147297E-2</v>
      </c>
      <c r="I181" s="128">
        <f t="shared" si="5"/>
        <v>-5.7058534185932E-2</v>
      </c>
    </row>
    <row r="182" spans="1:9" ht="14.25" customHeight="1" x14ac:dyDescent="0.3">
      <c r="A182" s="127">
        <v>44187</v>
      </c>
      <c r="B182" s="64">
        <v>13466.3</v>
      </c>
      <c r="D182" s="127">
        <v>44187</v>
      </c>
      <c r="E182" s="64">
        <v>19.54</v>
      </c>
      <c r="H182" s="128">
        <f t="shared" si="4"/>
        <v>1.03463281414123E-2</v>
      </c>
      <c r="I182" s="128">
        <f t="shared" si="5"/>
        <v>1.9300991131976902E-2</v>
      </c>
    </row>
    <row r="183" spans="1:9" ht="14.25" customHeight="1" x14ac:dyDescent="0.3">
      <c r="A183" s="127">
        <v>44188</v>
      </c>
      <c r="B183" s="64">
        <v>13601.1</v>
      </c>
      <c r="D183" s="127">
        <v>44188</v>
      </c>
      <c r="E183" s="64">
        <v>19.62</v>
      </c>
      <c r="H183" s="128">
        <f t="shared" si="4"/>
        <v>1.0010173544329299E-2</v>
      </c>
      <c r="I183" s="128">
        <f t="shared" si="5"/>
        <v>4.0941658137155501E-3</v>
      </c>
    </row>
    <row r="184" spans="1:9" ht="14.25" customHeight="1" x14ac:dyDescent="0.3">
      <c r="A184" s="127">
        <v>44189</v>
      </c>
      <c r="B184" s="64">
        <v>13749.25</v>
      </c>
      <c r="D184" s="127">
        <v>44189</v>
      </c>
      <c r="E184" s="64">
        <v>19.920000000000002</v>
      </c>
      <c r="H184" s="128">
        <f t="shared" si="4"/>
        <v>1.0892501341803199E-2</v>
      </c>
      <c r="I184" s="128">
        <f t="shared" si="5"/>
        <v>1.52905198776759E-2</v>
      </c>
    </row>
    <row r="185" spans="1:9" ht="14.25" customHeight="1" x14ac:dyDescent="0.3">
      <c r="A185" s="127">
        <v>44193</v>
      </c>
      <c r="B185" s="64">
        <v>13873.2</v>
      </c>
      <c r="D185" s="127">
        <v>44193</v>
      </c>
      <c r="E185" s="64">
        <v>20.38</v>
      </c>
      <c r="H185" s="128">
        <f t="shared" si="4"/>
        <v>9.0150371838464503E-3</v>
      </c>
      <c r="I185" s="128">
        <f t="shared" si="5"/>
        <v>2.30923694779115E-2</v>
      </c>
    </row>
    <row r="186" spans="1:9" ht="14.25" customHeight="1" x14ac:dyDescent="0.3">
      <c r="A186" s="127">
        <v>44194</v>
      </c>
      <c r="B186" s="64">
        <v>13932.6</v>
      </c>
      <c r="D186" s="127">
        <v>44194</v>
      </c>
      <c r="E186" s="64">
        <v>20</v>
      </c>
      <c r="H186" s="128">
        <f t="shared" si="4"/>
        <v>4.2816365366317496E-3</v>
      </c>
      <c r="I186" s="128">
        <f t="shared" si="5"/>
        <v>-1.8645731108930301E-2</v>
      </c>
    </row>
    <row r="187" spans="1:9" ht="14.25" customHeight="1" x14ac:dyDescent="0.3">
      <c r="A187" s="127">
        <v>44195</v>
      </c>
      <c r="B187" s="64">
        <v>13981.95</v>
      </c>
      <c r="D187" s="127">
        <v>44195</v>
      </c>
      <c r="E187" s="64">
        <v>20.37</v>
      </c>
      <c r="H187" s="128">
        <f t="shared" si="4"/>
        <v>3.54205245252145E-3</v>
      </c>
      <c r="I187" s="128">
        <f t="shared" si="5"/>
        <v>1.85000000000001E-2</v>
      </c>
    </row>
    <row r="188" spans="1:9" ht="14.25" customHeight="1" x14ac:dyDescent="0.3">
      <c r="A188" s="127">
        <v>44196</v>
      </c>
      <c r="B188" s="64">
        <v>13981.75</v>
      </c>
      <c r="D188" s="127">
        <v>44196</v>
      </c>
      <c r="E188" s="64">
        <v>20.11</v>
      </c>
      <c r="H188" s="128">
        <f t="shared" si="4"/>
        <v>-1.43041564303068E-5</v>
      </c>
      <c r="I188" s="128">
        <f t="shared" si="5"/>
        <v>-1.2763868433971599E-2</v>
      </c>
    </row>
    <row r="189" spans="1:9" ht="14.25" customHeight="1" x14ac:dyDescent="0.3">
      <c r="A189" s="127">
        <v>44197</v>
      </c>
      <c r="B189" s="64">
        <v>14018.5</v>
      </c>
      <c r="D189" s="127">
        <v>44197</v>
      </c>
      <c r="E189" s="64">
        <v>20.45</v>
      </c>
      <c r="H189" s="128">
        <f t="shared" si="4"/>
        <v>2.6284263414808602E-3</v>
      </c>
      <c r="I189" s="128">
        <f t="shared" si="5"/>
        <v>1.6907011437096001E-2</v>
      </c>
    </row>
    <row r="190" spans="1:9" ht="14.25" customHeight="1" x14ac:dyDescent="0.3">
      <c r="A190" s="127">
        <v>44200</v>
      </c>
      <c r="B190" s="64">
        <v>14132.9</v>
      </c>
      <c r="D190" s="127">
        <v>44200</v>
      </c>
      <c r="E190" s="64">
        <v>21.51</v>
      </c>
      <c r="H190" s="128">
        <f t="shared" si="4"/>
        <v>8.1606448621464201E-3</v>
      </c>
      <c r="I190" s="128">
        <f t="shared" si="5"/>
        <v>5.1833740831296E-2</v>
      </c>
    </row>
    <row r="191" spans="1:9" ht="14.25" customHeight="1" x14ac:dyDescent="0.3">
      <c r="A191" s="127">
        <v>44201</v>
      </c>
      <c r="B191" s="64">
        <v>14199.5</v>
      </c>
      <c r="D191" s="127">
        <v>44201</v>
      </c>
      <c r="E191" s="64">
        <v>21.26</v>
      </c>
      <c r="H191" s="128">
        <f t="shared" si="4"/>
        <v>4.7124086351704401E-3</v>
      </c>
      <c r="I191" s="128">
        <f t="shared" si="5"/>
        <v>-1.1622501162250101E-2</v>
      </c>
    </row>
    <row r="192" spans="1:9" ht="14.25" customHeight="1" x14ac:dyDescent="0.3">
      <c r="A192" s="127">
        <v>44202</v>
      </c>
      <c r="B192" s="64">
        <v>14146.25</v>
      </c>
      <c r="D192" s="127">
        <v>44202</v>
      </c>
      <c r="E192" s="64">
        <v>21.66</v>
      </c>
      <c r="H192" s="128">
        <f t="shared" si="4"/>
        <v>-3.7501320469030602E-3</v>
      </c>
      <c r="I192" s="128">
        <f t="shared" si="5"/>
        <v>1.8814675446848499E-2</v>
      </c>
    </row>
    <row r="193" spans="1:9" ht="14.25" customHeight="1" x14ac:dyDescent="0.3">
      <c r="A193" s="127">
        <v>44203</v>
      </c>
      <c r="B193" s="64">
        <v>14137.35</v>
      </c>
      <c r="D193" s="127">
        <v>44203</v>
      </c>
      <c r="E193" s="64">
        <v>22.49</v>
      </c>
      <c r="H193" s="128">
        <f t="shared" si="4"/>
        <v>-6.2914199876289698E-4</v>
      </c>
      <c r="I193" s="128">
        <f t="shared" si="5"/>
        <v>3.83194829178208E-2</v>
      </c>
    </row>
    <row r="194" spans="1:9" ht="14.25" customHeight="1" x14ac:dyDescent="0.3">
      <c r="A194" s="127">
        <v>44204</v>
      </c>
      <c r="B194" s="64">
        <v>14347.25</v>
      </c>
      <c r="D194" s="127">
        <v>44204</v>
      </c>
      <c r="E194" s="64">
        <v>22.06</v>
      </c>
      <c r="H194" s="128">
        <f t="shared" si="4"/>
        <v>1.4847195549378E-2</v>
      </c>
      <c r="I194" s="128">
        <f t="shared" si="5"/>
        <v>-1.9119608714984401E-2</v>
      </c>
    </row>
    <row r="195" spans="1:9" ht="14.25" customHeight="1" x14ac:dyDescent="0.3">
      <c r="A195" s="127">
        <v>44207</v>
      </c>
      <c r="B195" s="64">
        <v>14484.75</v>
      </c>
      <c r="D195" s="127">
        <v>44207</v>
      </c>
      <c r="E195" s="64">
        <v>22.64</v>
      </c>
      <c r="H195" s="128">
        <f t="shared" ref="H195:H258" si="6">(B195-B194)/B194</f>
        <v>9.5837181341371994E-3</v>
      </c>
      <c r="I195" s="128">
        <f t="shared" ref="I195:I258" si="7">(E195-E194)/E194</f>
        <v>2.6291931097008201E-2</v>
      </c>
    </row>
    <row r="196" spans="1:9" ht="14.25" customHeight="1" x14ac:dyDescent="0.3">
      <c r="A196" s="127">
        <v>44208</v>
      </c>
      <c r="B196" s="64">
        <v>14563.45</v>
      </c>
      <c r="D196" s="127">
        <v>44208</v>
      </c>
      <c r="E196" s="64">
        <v>22.4</v>
      </c>
      <c r="H196" s="128">
        <f t="shared" si="6"/>
        <v>5.4333005402233897E-3</v>
      </c>
      <c r="I196" s="128">
        <f t="shared" si="7"/>
        <v>-1.0600706713780999E-2</v>
      </c>
    </row>
    <row r="197" spans="1:9" ht="14.25" customHeight="1" x14ac:dyDescent="0.3">
      <c r="A197" s="127">
        <v>44209</v>
      </c>
      <c r="B197" s="64">
        <v>14564.85</v>
      </c>
      <c r="D197" s="127">
        <v>44209</v>
      </c>
      <c r="E197" s="64">
        <v>22.16</v>
      </c>
      <c r="H197" s="128">
        <f t="shared" si="6"/>
        <v>9.6131067844476095E-5</v>
      </c>
      <c r="I197" s="128">
        <f t="shared" si="7"/>
        <v>-1.07142857142856E-2</v>
      </c>
    </row>
    <row r="198" spans="1:9" ht="14.25" customHeight="1" x14ac:dyDescent="0.3">
      <c r="A198" s="127">
        <v>44210</v>
      </c>
      <c r="B198" s="64">
        <v>14595.6</v>
      </c>
      <c r="D198" s="127">
        <v>44210</v>
      </c>
      <c r="E198" s="64">
        <v>22.05</v>
      </c>
      <c r="H198" s="128">
        <f t="shared" si="6"/>
        <v>2.1112472837001399E-3</v>
      </c>
      <c r="I198" s="128">
        <f t="shared" si="7"/>
        <v>-4.9638989169674798E-3</v>
      </c>
    </row>
    <row r="199" spans="1:9" ht="14.25" customHeight="1" x14ac:dyDescent="0.3">
      <c r="A199" s="127">
        <v>44211</v>
      </c>
      <c r="B199" s="64">
        <v>14433.7</v>
      </c>
      <c r="D199" s="127">
        <v>44211</v>
      </c>
      <c r="E199" s="64">
        <v>21.4</v>
      </c>
      <c r="H199" s="128">
        <f t="shared" si="6"/>
        <v>-1.10923840061388E-2</v>
      </c>
      <c r="I199" s="128">
        <f t="shared" si="7"/>
        <v>-2.9478458049886701E-2</v>
      </c>
    </row>
    <row r="200" spans="1:9" ht="14.25" customHeight="1" x14ac:dyDescent="0.3">
      <c r="A200" s="127">
        <v>44214</v>
      </c>
      <c r="B200" s="64">
        <v>14281.3</v>
      </c>
      <c r="D200" s="127">
        <v>44214</v>
      </c>
      <c r="E200" s="64">
        <v>20.45</v>
      </c>
      <c r="H200" s="128">
        <f t="shared" si="6"/>
        <v>-1.0558623222043E-2</v>
      </c>
      <c r="I200" s="128">
        <f t="shared" si="7"/>
        <v>-4.4392523364486E-2</v>
      </c>
    </row>
    <row r="201" spans="1:9" ht="14.25" customHeight="1" x14ac:dyDescent="0.3">
      <c r="A201" s="127">
        <v>44215</v>
      </c>
      <c r="B201" s="64">
        <v>14521.15</v>
      </c>
      <c r="D201" s="127">
        <v>44215</v>
      </c>
      <c r="E201" s="64">
        <v>21.22</v>
      </c>
      <c r="H201" s="128">
        <f t="shared" si="6"/>
        <v>1.6794689559073799E-2</v>
      </c>
      <c r="I201" s="128">
        <f t="shared" si="7"/>
        <v>3.7652811735941302E-2</v>
      </c>
    </row>
    <row r="202" spans="1:9" ht="14.25" customHeight="1" x14ac:dyDescent="0.3">
      <c r="A202" s="127">
        <v>44216</v>
      </c>
      <c r="B202" s="64">
        <v>14644.7</v>
      </c>
      <c r="D202" s="127">
        <v>44216</v>
      </c>
      <c r="E202" s="64">
        <v>21.31</v>
      </c>
      <c r="H202" s="128">
        <f t="shared" si="6"/>
        <v>8.5082793029478392E-3</v>
      </c>
      <c r="I202" s="128">
        <f t="shared" si="7"/>
        <v>4.2412818096135702E-3</v>
      </c>
    </row>
    <row r="203" spans="1:9" ht="14.25" customHeight="1" x14ac:dyDescent="0.3">
      <c r="A203" s="127">
        <v>44217</v>
      </c>
      <c r="B203" s="64">
        <v>14590.35</v>
      </c>
      <c r="D203" s="127">
        <v>44217</v>
      </c>
      <c r="E203" s="64">
        <v>20.6</v>
      </c>
      <c r="H203" s="128">
        <f t="shared" si="6"/>
        <v>-3.7112402439107902E-3</v>
      </c>
      <c r="I203" s="128">
        <f t="shared" si="7"/>
        <v>-3.3317691224776999E-2</v>
      </c>
    </row>
    <row r="204" spans="1:9" ht="14.25" customHeight="1" x14ac:dyDescent="0.3">
      <c r="A204" s="127">
        <v>44218</v>
      </c>
      <c r="B204" s="64">
        <v>14371.9</v>
      </c>
      <c r="D204" s="127">
        <v>44218</v>
      </c>
      <c r="E204" s="64">
        <v>19.670000000000002</v>
      </c>
      <c r="H204" s="128">
        <f t="shared" si="6"/>
        <v>-1.4972224792414199E-2</v>
      </c>
      <c r="I204" s="128">
        <f t="shared" si="7"/>
        <v>-4.5145631067961101E-2</v>
      </c>
    </row>
    <row r="205" spans="1:9" ht="14.25" customHeight="1" x14ac:dyDescent="0.3">
      <c r="A205" s="127">
        <v>44221</v>
      </c>
      <c r="B205" s="64">
        <v>14238.9</v>
      </c>
      <c r="D205" s="127">
        <v>44221</v>
      </c>
      <c r="E205" s="64">
        <v>19.350000000000001</v>
      </c>
      <c r="H205" s="128">
        <f t="shared" si="6"/>
        <v>-9.2541695948343706E-3</v>
      </c>
      <c r="I205" s="128">
        <f t="shared" si="7"/>
        <v>-1.6268429079817001E-2</v>
      </c>
    </row>
    <row r="206" spans="1:9" ht="14.25" customHeight="1" x14ac:dyDescent="0.3">
      <c r="A206" s="127">
        <v>44223</v>
      </c>
      <c r="B206" s="64">
        <v>13967.5</v>
      </c>
      <c r="D206" s="127">
        <v>44223</v>
      </c>
      <c r="E206" s="64">
        <v>18.77</v>
      </c>
      <c r="H206" s="128">
        <f t="shared" si="6"/>
        <v>-1.9060461131126701E-2</v>
      </c>
      <c r="I206" s="128">
        <f t="shared" si="7"/>
        <v>-2.9974160206718399E-2</v>
      </c>
    </row>
    <row r="207" spans="1:9" ht="14.25" customHeight="1" x14ac:dyDescent="0.3">
      <c r="A207" s="127">
        <v>44224</v>
      </c>
      <c r="B207" s="64">
        <v>13817.55</v>
      </c>
      <c r="D207" s="127">
        <v>44224</v>
      </c>
      <c r="E207" s="64">
        <v>18.78</v>
      </c>
      <c r="H207" s="128">
        <f t="shared" si="6"/>
        <v>-1.0735636298550301E-2</v>
      </c>
      <c r="I207" s="128">
        <f t="shared" si="7"/>
        <v>5.3276505061276304E-4</v>
      </c>
    </row>
    <row r="208" spans="1:9" ht="14.25" customHeight="1" x14ac:dyDescent="0.3">
      <c r="A208" s="127">
        <v>44225</v>
      </c>
      <c r="B208" s="64">
        <v>13634.6</v>
      </c>
      <c r="D208" s="127">
        <v>44225</v>
      </c>
      <c r="E208" s="64">
        <v>18.489999999999998</v>
      </c>
      <c r="H208" s="128">
        <f t="shared" si="6"/>
        <v>-1.3240408031814499E-2</v>
      </c>
      <c r="I208" s="128">
        <f t="shared" si="7"/>
        <v>-1.5441959531416499E-2</v>
      </c>
    </row>
    <row r="209" spans="1:9" ht="14.25" customHeight="1" x14ac:dyDescent="0.3">
      <c r="A209" s="127">
        <v>44228</v>
      </c>
      <c r="B209" s="64">
        <v>14281.2</v>
      </c>
      <c r="D209" s="127">
        <v>44228</v>
      </c>
      <c r="E209" s="64">
        <v>19.13</v>
      </c>
      <c r="H209" s="128">
        <f t="shared" si="6"/>
        <v>4.7423466768368699E-2</v>
      </c>
      <c r="I209" s="128">
        <f t="shared" si="7"/>
        <v>3.4613304488912998E-2</v>
      </c>
    </row>
    <row r="210" spans="1:9" ht="14.25" customHeight="1" x14ac:dyDescent="0.3">
      <c r="A210" s="127">
        <v>44229</v>
      </c>
      <c r="B210" s="64">
        <v>14647.85</v>
      </c>
      <c r="D210" s="127">
        <v>44229</v>
      </c>
      <c r="E210" s="64">
        <v>19.47</v>
      </c>
      <c r="H210" s="128">
        <f t="shared" si="6"/>
        <v>2.5673612861664301E-2</v>
      </c>
      <c r="I210" s="128">
        <f t="shared" si="7"/>
        <v>1.7773131207527399E-2</v>
      </c>
    </row>
    <row r="211" spans="1:9" ht="14.25" customHeight="1" x14ac:dyDescent="0.3">
      <c r="A211" s="127">
        <v>44230</v>
      </c>
      <c r="B211" s="64">
        <v>14789.95</v>
      </c>
      <c r="D211" s="127">
        <v>44230</v>
      </c>
      <c r="E211" s="64">
        <v>19.43</v>
      </c>
      <c r="H211" s="128">
        <f t="shared" si="6"/>
        <v>9.7010824114119407E-3</v>
      </c>
      <c r="I211" s="128">
        <f t="shared" si="7"/>
        <v>-2.0544427324087899E-3</v>
      </c>
    </row>
    <row r="212" spans="1:9" ht="14.25" customHeight="1" x14ac:dyDescent="0.3">
      <c r="A212" s="127">
        <v>44231</v>
      </c>
      <c r="B212" s="64">
        <v>14895.65</v>
      </c>
      <c r="D212" s="127">
        <v>44231</v>
      </c>
      <c r="E212" s="64">
        <v>20.48</v>
      </c>
      <c r="H212" s="128">
        <f t="shared" si="6"/>
        <v>7.1467449180016799E-3</v>
      </c>
      <c r="I212" s="128">
        <f t="shared" si="7"/>
        <v>5.4040144107050998E-2</v>
      </c>
    </row>
    <row r="213" spans="1:9" ht="14.25" customHeight="1" x14ac:dyDescent="0.3">
      <c r="A213" s="127">
        <v>44232</v>
      </c>
      <c r="B213" s="64">
        <v>14924.25</v>
      </c>
      <c r="D213" s="127">
        <v>44232</v>
      </c>
      <c r="E213" s="64">
        <v>20.399999999999999</v>
      </c>
      <c r="H213" s="128">
        <f t="shared" si="6"/>
        <v>1.9200236310601001E-3</v>
      </c>
      <c r="I213" s="128">
        <f t="shared" si="7"/>
        <v>-3.9062500000000902E-3</v>
      </c>
    </row>
    <row r="214" spans="1:9" ht="14.25" customHeight="1" x14ac:dyDescent="0.3">
      <c r="A214" s="127">
        <v>44235</v>
      </c>
      <c r="B214" s="64">
        <v>15115.8</v>
      </c>
      <c r="D214" s="127">
        <v>44235</v>
      </c>
      <c r="E214" s="64">
        <v>20.69</v>
      </c>
      <c r="H214" s="128">
        <f t="shared" si="6"/>
        <v>1.28348158198904E-2</v>
      </c>
      <c r="I214" s="128">
        <f t="shared" si="7"/>
        <v>1.4215686274509899E-2</v>
      </c>
    </row>
    <row r="215" spans="1:9" ht="14.25" customHeight="1" x14ac:dyDescent="0.3">
      <c r="A215" s="127">
        <v>44236</v>
      </c>
      <c r="B215" s="64">
        <v>15109.3</v>
      </c>
      <c r="D215" s="127">
        <v>44236</v>
      </c>
      <c r="E215" s="64">
        <v>20.52</v>
      </c>
      <c r="H215" s="128">
        <f t="shared" si="6"/>
        <v>-4.3001362812421402E-4</v>
      </c>
      <c r="I215" s="128">
        <f t="shared" si="7"/>
        <v>-8.21652972450467E-3</v>
      </c>
    </row>
    <row r="216" spans="1:9" ht="14.25" customHeight="1" x14ac:dyDescent="0.3">
      <c r="A216" s="127">
        <v>44237</v>
      </c>
      <c r="B216" s="64">
        <v>15106.5</v>
      </c>
      <c r="D216" s="127">
        <v>44237</v>
      </c>
      <c r="E216" s="64">
        <v>20.58</v>
      </c>
      <c r="H216" s="128">
        <f t="shared" si="6"/>
        <v>-1.8531632835401199E-4</v>
      </c>
      <c r="I216" s="128">
        <f t="shared" si="7"/>
        <v>2.9239766081870702E-3</v>
      </c>
    </row>
    <row r="217" spans="1:9" ht="14.25" customHeight="1" x14ac:dyDescent="0.3">
      <c r="A217" s="127">
        <v>44238</v>
      </c>
      <c r="B217" s="64">
        <v>15173.3</v>
      </c>
      <c r="D217" s="127">
        <v>44238</v>
      </c>
      <c r="E217" s="64">
        <v>19.93</v>
      </c>
      <c r="H217" s="128">
        <f t="shared" si="6"/>
        <v>4.4219375765398496E-3</v>
      </c>
      <c r="I217" s="128">
        <f t="shared" si="7"/>
        <v>-3.1584062196307001E-2</v>
      </c>
    </row>
    <row r="218" spans="1:9" ht="14.25" customHeight="1" x14ac:dyDescent="0.3">
      <c r="A218" s="127">
        <v>44239</v>
      </c>
      <c r="B218" s="64">
        <v>15163.3</v>
      </c>
      <c r="D218" s="127">
        <v>44239</v>
      </c>
      <c r="E218" s="64">
        <v>19.75</v>
      </c>
      <c r="H218" s="128">
        <f t="shared" si="6"/>
        <v>-6.5905241443851999E-4</v>
      </c>
      <c r="I218" s="128">
        <f t="shared" si="7"/>
        <v>-9.03161063723029E-3</v>
      </c>
    </row>
    <row r="219" spans="1:9" ht="14.25" customHeight="1" x14ac:dyDescent="0.3">
      <c r="A219" s="127">
        <v>44242</v>
      </c>
      <c r="B219" s="64">
        <v>15314.7</v>
      </c>
      <c r="D219" s="127">
        <v>44242</v>
      </c>
      <c r="E219" s="64">
        <v>19.7</v>
      </c>
      <c r="H219" s="128">
        <f t="shared" si="6"/>
        <v>9.9846339517124603E-3</v>
      </c>
      <c r="I219" s="128">
        <f t="shared" si="7"/>
        <v>-2.5316455696202901E-3</v>
      </c>
    </row>
    <row r="220" spans="1:9" ht="14.25" customHeight="1" x14ac:dyDescent="0.3">
      <c r="A220" s="127">
        <v>44243</v>
      </c>
      <c r="B220" s="64">
        <v>15313.45</v>
      </c>
      <c r="D220" s="127">
        <v>44243</v>
      </c>
      <c r="E220" s="64">
        <v>20.3</v>
      </c>
      <c r="H220" s="128">
        <f t="shared" si="6"/>
        <v>-8.1620926299568402E-5</v>
      </c>
      <c r="I220" s="128">
        <f t="shared" si="7"/>
        <v>3.0456852791878201E-2</v>
      </c>
    </row>
    <row r="221" spans="1:9" ht="14.25" customHeight="1" x14ac:dyDescent="0.3">
      <c r="A221" s="127">
        <v>44244</v>
      </c>
      <c r="B221" s="64">
        <v>15208.9</v>
      </c>
      <c r="D221" s="127">
        <v>44244</v>
      </c>
      <c r="E221" s="64">
        <v>20.47</v>
      </c>
      <c r="H221" s="128">
        <f t="shared" si="6"/>
        <v>-6.8273315288195097E-3</v>
      </c>
      <c r="I221" s="128">
        <f t="shared" si="7"/>
        <v>8.3743842364531092E-3</v>
      </c>
    </row>
    <row r="222" spans="1:9" ht="14.25" customHeight="1" x14ac:dyDescent="0.3">
      <c r="A222" s="127">
        <v>44245</v>
      </c>
      <c r="B222" s="64">
        <v>15118.95</v>
      </c>
      <c r="D222" s="127">
        <v>44245</v>
      </c>
      <c r="E222" s="64">
        <v>21.09</v>
      </c>
      <c r="H222" s="128">
        <f t="shared" si="6"/>
        <v>-5.9143001795000901E-3</v>
      </c>
      <c r="I222" s="128">
        <f t="shared" si="7"/>
        <v>3.0288226673180301E-2</v>
      </c>
    </row>
    <row r="223" spans="1:9" ht="14.25" customHeight="1" x14ac:dyDescent="0.3">
      <c r="A223" s="127">
        <v>44246</v>
      </c>
      <c r="B223" s="64">
        <v>14981.75</v>
      </c>
      <c r="D223" s="127">
        <v>44246</v>
      </c>
      <c r="E223" s="64">
        <v>20.73</v>
      </c>
      <c r="H223" s="128">
        <f t="shared" si="6"/>
        <v>-9.0747042618700893E-3</v>
      </c>
      <c r="I223" s="128">
        <f t="shared" si="7"/>
        <v>-1.7069701280227601E-2</v>
      </c>
    </row>
    <row r="224" spans="1:9" ht="14.25" customHeight="1" x14ac:dyDescent="0.3">
      <c r="A224" s="127">
        <v>44249</v>
      </c>
      <c r="B224" s="64">
        <v>14675.7</v>
      </c>
      <c r="D224" s="127">
        <v>44249</v>
      </c>
      <c r="E224" s="64">
        <v>21.09</v>
      </c>
      <c r="H224" s="128">
        <f t="shared" si="6"/>
        <v>-2.0428187628281001E-2</v>
      </c>
      <c r="I224" s="128">
        <f t="shared" si="7"/>
        <v>1.7366136034732201E-2</v>
      </c>
    </row>
    <row r="225" spans="1:9" ht="14.25" customHeight="1" x14ac:dyDescent="0.3">
      <c r="A225" s="127">
        <v>44250</v>
      </c>
      <c r="B225" s="64">
        <v>14707.8</v>
      </c>
      <c r="D225" s="127">
        <v>44250</v>
      </c>
      <c r="E225" s="64">
        <v>21.59</v>
      </c>
      <c r="H225" s="128">
        <f t="shared" si="6"/>
        <v>2.1872891923382601E-3</v>
      </c>
      <c r="I225" s="128">
        <f t="shared" si="7"/>
        <v>2.3707918444760501E-2</v>
      </c>
    </row>
    <row r="226" spans="1:9" ht="14.25" customHeight="1" x14ac:dyDescent="0.3">
      <c r="A226" s="127">
        <v>44251</v>
      </c>
      <c r="B226" s="64">
        <v>14982</v>
      </c>
      <c r="D226" s="127">
        <v>44251</v>
      </c>
      <c r="E226" s="64">
        <v>21.75</v>
      </c>
      <c r="H226" s="128">
        <f t="shared" si="6"/>
        <v>1.86431689307715E-2</v>
      </c>
      <c r="I226" s="128">
        <f t="shared" si="7"/>
        <v>7.4108383510884702E-3</v>
      </c>
    </row>
    <row r="227" spans="1:9" ht="14.25" customHeight="1" x14ac:dyDescent="0.3">
      <c r="A227" s="127">
        <v>44252</v>
      </c>
      <c r="B227" s="64">
        <v>15097.35</v>
      </c>
      <c r="D227" s="127">
        <v>44252</v>
      </c>
      <c r="E227" s="64">
        <v>22.5</v>
      </c>
      <c r="H227" s="128">
        <f t="shared" si="6"/>
        <v>7.6992390869043102E-3</v>
      </c>
      <c r="I227" s="128">
        <f t="shared" si="7"/>
        <v>3.4482758620689703E-2</v>
      </c>
    </row>
    <row r="228" spans="1:9" ht="14.25" customHeight="1" x14ac:dyDescent="0.3">
      <c r="A228" s="127">
        <v>44253</v>
      </c>
      <c r="B228" s="64">
        <v>14529.15</v>
      </c>
      <c r="D228" s="127">
        <v>44253</v>
      </c>
      <c r="E228" s="64">
        <v>22.32</v>
      </c>
      <c r="H228" s="128">
        <f t="shared" si="6"/>
        <v>-3.7635744021301799E-2</v>
      </c>
      <c r="I228" s="128">
        <f t="shared" si="7"/>
        <v>-7.9999999999999898E-3</v>
      </c>
    </row>
    <row r="229" spans="1:9" ht="14.25" customHeight="1" x14ac:dyDescent="0.3">
      <c r="A229" s="127">
        <v>44256</v>
      </c>
      <c r="B229" s="64">
        <v>14761.55</v>
      </c>
      <c r="D229" s="127">
        <v>44256</v>
      </c>
      <c r="E229" s="64">
        <v>23.12</v>
      </c>
      <c r="H229" s="128">
        <f t="shared" si="6"/>
        <v>1.5995429877177898E-2</v>
      </c>
      <c r="I229" s="128">
        <f t="shared" si="7"/>
        <v>3.5842293906810103E-2</v>
      </c>
    </row>
    <row r="230" spans="1:9" ht="14.25" customHeight="1" x14ac:dyDescent="0.3">
      <c r="A230" s="127">
        <v>44257</v>
      </c>
      <c r="B230" s="64">
        <v>14919.1</v>
      </c>
      <c r="D230" s="127">
        <v>44257</v>
      </c>
      <c r="E230" s="64">
        <v>23.52</v>
      </c>
      <c r="H230" s="128">
        <f t="shared" si="6"/>
        <v>1.0672998431736601E-2</v>
      </c>
      <c r="I230" s="128">
        <f t="shared" si="7"/>
        <v>1.73010380622837E-2</v>
      </c>
    </row>
    <row r="231" spans="1:9" ht="14.25" customHeight="1" x14ac:dyDescent="0.3">
      <c r="A231" s="127">
        <v>44258</v>
      </c>
      <c r="B231" s="64">
        <v>15245.6</v>
      </c>
      <c r="D231" s="127">
        <v>44258</v>
      </c>
      <c r="E231" s="64">
        <v>23.99</v>
      </c>
      <c r="H231" s="128">
        <f t="shared" si="6"/>
        <v>2.1884698138627701E-2</v>
      </c>
      <c r="I231" s="128">
        <f t="shared" si="7"/>
        <v>1.9982993197278899E-2</v>
      </c>
    </row>
    <row r="232" spans="1:9" ht="14.25" customHeight="1" x14ac:dyDescent="0.3">
      <c r="A232" s="127">
        <v>44259</v>
      </c>
      <c r="B232" s="64">
        <v>15080.75</v>
      </c>
      <c r="D232" s="127">
        <v>44259</v>
      </c>
      <c r="E232" s="64">
        <v>24.17</v>
      </c>
      <c r="H232" s="128">
        <f t="shared" si="6"/>
        <v>-1.0812955869234401E-2</v>
      </c>
      <c r="I232" s="128">
        <f t="shared" si="7"/>
        <v>7.5031263026262302E-3</v>
      </c>
    </row>
    <row r="233" spans="1:9" ht="14.25" customHeight="1" x14ac:dyDescent="0.3">
      <c r="A233" s="127">
        <v>44260</v>
      </c>
      <c r="B233" s="64">
        <v>14938.1</v>
      </c>
      <c r="D233" s="127">
        <v>44260</v>
      </c>
      <c r="E233" s="64">
        <v>23.36</v>
      </c>
      <c r="H233" s="128">
        <f t="shared" si="6"/>
        <v>-9.4590786267261008E-3</v>
      </c>
      <c r="I233" s="128">
        <f t="shared" si="7"/>
        <v>-3.3512618949110597E-2</v>
      </c>
    </row>
    <row r="234" spans="1:9" ht="14.25" customHeight="1" x14ac:dyDescent="0.3">
      <c r="A234" s="127">
        <v>44263</v>
      </c>
      <c r="B234" s="64">
        <v>14956.2</v>
      </c>
      <c r="D234" s="127">
        <v>44263</v>
      </c>
      <c r="E234" s="64">
        <v>24.3</v>
      </c>
      <c r="H234" s="128">
        <f t="shared" si="6"/>
        <v>1.2116668117096801E-3</v>
      </c>
      <c r="I234" s="128">
        <f t="shared" si="7"/>
        <v>4.0239726027397303E-2</v>
      </c>
    </row>
    <row r="235" spans="1:9" ht="14.25" customHeight="1" x14ac:dyDescent="0.3">
      <c r="A235" s="127">
        <v>44264</v>
      </c>
      <c r="B235" s="64">
        <v>15098.4</v>
      </c>
      <c r="D235" s="127">
        <v>44264</v>
      </c>
      <c r="E235" s="64">
        <v>23.12</v>
      </c>
      <c r="H235" s="128">
        <f t="shared" si="6"/>
        <v>9.5077626669875306E-3</v>
      </c>
      <c r="I235" s="128">
        <f t="shared" si="7"/>
        <v>-4.8559670781893001E-2</v>
      </c>
    </row>
    <row r="236" spans="1:9" ht="14.25" customHeight="1" x14ac:dyDescent="0.3">
      <c r="A236" s="127">
        <v>44265</v>
      </c>
      <c r="B236" s="64">
        <v>15174.8</v>
      </c>
      <c r="D236" s="127">
        <v>44265</v>
      </c>
      <c r="E236" s="64">
        <v>23.3</v>
      </c>
      <c r="H236" s="128">
        <f t="shared" si="6"/>
        <v>5.0601388226566802E-3</v>
      </c>
      <c r="I236" s="128">
        <f t="shared" si="7"/>
        <v>7.78546712802767E-3</v>
      </c>
    </row>
    <row r="237" spans="1:9" ht="14.25" customHeight="1" x14ac:dyDescent="0.3">
      <c r="A237" s="127">
        <v>44267</v>
      </c>
      <c r="B237" s="64">
        <v>15030.95</v>
      </c>
      <c r="D237" s="127">
        <v>44267</v>
      </c>
      <c r="E237" s="64">
        <v>23.57</v>
      </c>
      <c r="H237" s="128">
        <f t="shared" si="6"/>
        <v>-9.4795318554444594E-3</v>
      </c>
      <c r="I237" s="128">
        <f t="shared" si="7"/>
        <v>1.1587982832618001E-2</v>
      </c>
    </row>
    <row r="238" spans="1:9" ht="14.25" customHeight="1" x14ac:dyDescent="0.3">
      <c r="A238" s="127">
        <v>44270</v>
      </c>
      <c r="B238" s="64">
        <v>14929.5</v>
      </c>
      <c r="D238" s="127">
        <v>44270</v>
      </c>
      <c r="E238" s="64">
        <v>23.88</v>
      </c>
      <c r="H238" s="128">
        <f t="shared" si="6"/>
        <v>-6.74940705677291E-3</v>
      </c>
      <c r="I238" s="128">
        <f t="shared" si="7"/>
        <v>1.31523122613491E-2</v>
      </c>
    </row>
    <row r="239" spans="1:9" ht="14.25" customHeight="1" x14ac:dyDescent="0.3">
      <c r="A239" s="127">
        <v>44271</v>
      </c>
      <c r="B239" s="64">
        <v>14910.45</v>
      </c>
      <c r="D239" s="127">
        <v>44271</v>
      </c>
      <c r="E239" s="64">
        <v>23.93</v>
      </c>
      <c r="H239" s="128">
        <f t="shared" si="6"/>
        <v>-1.2759971867778101E-3</v>
      </c>
      <c r="I239" s="128">
        <f t="shared" si="7"/>
        <v>2.0938023450586601E-3</v>
      </c>
    </row>
    <row r="240" spans="1:9" ht="14.25" customHeight="1" x14ac:dyDescent="0.3">
      <c r="A240" s="127">
        <v>44272</v>
      </c>
      <c r="B240" s="64">
        <v>14721.3</v>
      </c>
      <c r="D240" s="127">
        <v>44272</v>
      </c>
      <c r="E240" s="64">
        <v>23.38</v>
      </c>
      <c r="H240" s="128">
        <f t="shared" si="6"/>
        <v>-1.2685733830971E-2</v>
      </c>
      <c r="I240" s="128">
        <f t="shared" si="7"/>
        <v>-2.2983702465524499E-2</v>
      </c>
    </row>
    <row r="241" spans="1:9" ht="14.25" customHeight="1" x14ac:dyDescent="0.3">
      <c r="A241" s="127">
        <v>44273</v>
      </c>
      <c r="B241" s="64">
        <v>14557.85</v>
      </c>
      <c r="D241" s="127">
        <v>44273</v>
      </c>
      <c r="E241" s="64">
        <v>23.24</v>
      </c>
      <c r="H241" s="128">
        <f t="shared" si="6"/>
        <v>-1.11029596570954E-2</v>
      </c>
      <c r="I241" s="128">
        <f t="shared" si="7"/>
        <v>-5.9880239520958304E-3</v>
      </c>
    </row>
    <row r="242" spans="1:9" ht="14.25" customHeight="1" x14ac:dyDescent="0.3">
      <c r="A242" s="127">
        <v>44274</v>
      </c>
      <c r="B242" s="64">
        <v>14744</v>
      </c>
      <c r="D242" s="127">
        <v>44274</v>
      </c>
      <c r="E242" s="64">
        <v>23.44</v>
      </c>
      <c r="H242" s="128">
        <f t="shared" si="6"/>
        <v>1.2786915650319201E-2</v>
      </c>
      <c r="I242" s="128">
        <f t="shared" si="7"/>
        <v>8.6058519793460794E-3</v>
      </c>
    </row>
    <row r="243" spans="1:9" ht="14.25" customHeight="1" x14ac:dyDescent="0.3">
      <c r="A243" s="127">
        <v>44277</v>
      </c>
      <c r="B243" s="64">
        <v>14736.4</v>
      </c>
      <c r="D243" s="127">
        <v>44277</v>
      </c>
      <c r="E243" s="64">
        <v>24.38</v>
      </c>
      <c r="H243" s="128">
        <f t="shared" si="6"/>
        <v>-5.1546391752579804E-4</v>
      </c>
      <c r="I243" s="128">
        <f t="shared" si="7"/>
        <v>4.0102389078498203E-2</v>
      </c>
    </row>
    <row r="244" spans="1:9" ht="14.25" customHeight="1" x14ac:dyDescent="0.3">
      <c r="A244" s="127">
        <v>44278</v>
      </c>
      <c r="B244" s="64">
        <v>14814.75</v>
      </c>
      <c r="D244" s="127">
        <v>44278</v>
      </c>
      <c r="E244" s="64">
        <v>25.09</v>
      </c>
      <c r="H244" s="128">
        <f t="shared" si="6"/>
        <v>5.3167666458565398E-3</v>
      </c>
      <c r="I244" s="128">
        <f t="shared" si="7"/>
        <v>2.9122231337161599E-2</v>
      </c>
    </row>
    <row r="245" spans="1:9" ht="14.25" customHeight="1" x14ac:dyDescent="0.3">
      <c r="A245" s="127">
        <v>44279</v>
      </c>
      <c r="B245" s="64">
        <v>14549.4</v>
      </c>
      <c r="D245" s="127">
        <v>44279</v>
      </c>
      <c r="E245" s="64">
        <v>24.14</v>
      </c>
      <c r="H245" s="128">
        <f t="shared" si="6"/>
        <v>-1.7911203361514701E-2</v>
      </c>
      <c r="I245" s="128">
        <f t="shared" si="7"/>
        <v>-3.7863690713431597E-2</v>
      </c>
    </row>
    <row r="246" spans="1:9" ht="14.25" customHeight="1" x14ac:dyDescent="0.3">
      <c r="A246" s="127">
        <v>44280</v>
      </c>
      <c r="B246" s="64">
        <v>14324.9</v>
      </c>
      <c r="D246" s="127">
        <v>44280</v>
      </c>
      <c r="E246" s="64">
        <v>23.59</v>
      </c>
      <c r="H246" s="128">
        <f t="shared" si="6"/>
        <v>-1.54301895610816E-2</v>
      </c>
      <c r="I246" s="128">
        <f t="shared" si="7"/>
        <v>-2.2783761391880701E-2</v>
      </c>
    </row>
    <row r="247" spans="1:9" ht="14.25" customHeight="1" x14ac:dyDescent="0.3">
      <c r="A247" s="127">
        <v>44281</v>
      </c>
      <c r="B247" s="64">
        <v>14507.3</v>
      </c>
      <c r="D247" s="127">
        <v>44281</v>
      </c>
      <c r="E247" s="64">
        <v>24.1</v>
      </c>
      <c r="H247" s="128">
        <f t="shared" si="6"/>
        <v>1.2733073180266501E-2</v>
      </c>
      <c r="I247" s="128">
        <f t="shared" si="7"/>
        <v>2.1619330224671499E-2</v>
      </c>
    </row>
    <row r="248" spans="1:9" ht="14.25" customHeight="1" x14ac:dyDescent="0.3">
      <c r="A248" s="127">
        <v>44285</v>
      </c>
      <c r="B248" s="64">
        <v>14845.1</v>
      </c>
      <c r="D248" s="127">
        <v>44285</v>
      </c>
      <c r="E248" s="64">
        <v>25.2</v>
      </c>
      <c r="H248" s="128">
        <f t="shared" si="6"/>
        <v>2.3284829017115601E-2</v>
      </c>
      <c r="I248" s="128">
        <f t="shared" si="7"/>
        <v>4.5643153526970903E-2</v>
      </c>
    </row>
    <row r="249" spans="1:9" ht="14.25" customHeight="1" x14ac:dyDescent="0.3">
      <c r="A249" s="127">
        <v>44286</v>
      </c>
      <c r="B249" s="64">
        <v>14690.7</v>
      </c>
      <c r="D249" s="127">
        <v>44286</v>
      </c>
      <c r="E249" s="64">
        <v>25.74</v>
      </c>
      <c r="H249" s="128">
        <f t="shared" si="6"/>
        <v>-1.04007382907491E-2</v>
      </c>
      <c r="I249" s="128">
        <f t="shared" si="7"/>
        <v>2.1428571428571401E-2</v>
      </c>
    </row>
    <row r="250" spans="1:9" ht="14.25" customHeight="1" x14ac:dyDescent="0.3">
      <c r="A250" s="127">
        <v>44287</v>
      </c>
      <c r="B250" s="64">
        <v>14867.35</v>
      </c>
      <c r="D250" s="127">
        <v>44287</v>
      </c>
      <c r="E250" s="64">
        <v>26.33</v>
      </c>
      <c r="H250" s="128">
        <f t="shared" si="6"/>
        <v>1.20246142117121E-2</v>
      </c>
      <c r="I250" s="128">
        <f t="shared" si="7"/>
        <v>2.2921522921522899E-2</v>
      </c>
    </row>
    <row r="251" spans="1:9" ht="14.25" customHeight="1" x14ac:dyDescent="0.3">
      <c r="A251" s="127">
        <v>44291</v>
      </c>
      <c r="B251" s="64">
        <v>14637.8</v>
      </c>
      <c r="D251" s="127">
        <v>44291</v>
      </c>
      <c r="E251" s="64">
        <v>26.8</v>
      </c>
      <c r="H251" s="128">
        <f t="shared" si="6"/>
        <v>-1.54398732793673E-2</v>
      </c>
      <c r="I251" s="128">
        <f t="shared" si="7"/>
        <v>1.7850360805165302E-2</v>
      </c>
    </row>
    <row r="252" spans="1:9" ht="14.25" customHeight="1" x14ac:dyDescent="0.3">
      <c r="A252" s="127">
        <v>44292</v>
      </c>
      <c r="B252" s="64">
        <v>14683.5</v>
      </c>
      <c r="D252" s="127">
        <v>44292</v>
      </c>
      <c r="E252" s="64">
        <v>26.46</v>
      </c>
      <c r="H252" s="128">
        <f t="shared" si="6"/>
        <v>3.1220538605528699E-3</v>
      </c>
      <c r="I252" s="128">
        <f t="shared" si="7"/>
        <v>-1.26865671641791E-2</v>
      </c>
    </row>
    <row r="253" spans="1:9" ht="14.25" customHeight="1" x14ac:dyDescent="0.3">
      <c r="A253" s="127">
        <v>44293</v>
      </c>
      <c r="B253" s="64">
        <v>14819.05</v>
      </c>
      <c r="D253" s="127">
        <v>44293</v>
      </c>
      <c r="E253" s="64">
        <v>26.54</v>
      </c>
      <c r="H253" s="128">
        <f t="shared" si="6"/>
        <v>9.23145026730679E-3</v>
      </c>
      <c r="I253" s="128">
        <f t="shared" si="7"/>
        <v>3.0234315948601E-3</v>
      </c>
    </row>
    <row r="254" spans="1:9" ht="14.25" customHeight="1" x14ac:dyDescent="0.3">
      <c r="A254" s="127">
        <v>44294</v>
      </c>
      <c r="B254" s="64">
        <v>14873.8</v>
      </c>
      <c r="D254" s="127">
        <v>44294</v>
      </c>
      <c r="E254" s="64">
        <v>27.42</v>
      </c>
      <c r="H254" s="128">
        <f t="shared" si="6"/>
        <v>3.6945688151399699E-3</v>
      </c>
      <c r="I254" s="128">
        <f t="shared" si="7"/>
        <v>3.3157498116051301E-2</v>
      </c>
    </row>
    <row r="255" spans="1:9" ht="14.25" customHeight="1" x14ac:dyDescent="0.3">
      <c r="A255" s="127">
        <v>44295</v>
      </c>
      <c r="B255" s="64">
        <v>14834.85</v>
      </c>
      <c r="D255" s="127">
        <v>44295</v>
      </c>
      <c r="E255" s="64">
        <v>27.62</v>
      </c>
      <c r="H255" s="128">
        <f t="shared" si="6"/>
        <v>-2.6186986513197E-3</v>
      </c>
      <c r="I255" s="128">
        <f t="shared" si="7"/>
        <v>7.2939460247993899E-3</v>
      </c>
    </row>
    <row r="256" spans="1:9" ht="14.25" customHeight="1" x14ac:dyDescent="0.3">
      <c r="A256" s="127">
        <v>44298</v>
      </c>
      <c r="B256" s="64">
        <v>14310.8</v>
      </c>
      <c r="D256" s="127">
        <v>44298</v>
      </c>
      <c r="E256" s="64">
        <v>25.53</v>
      </c>
      <c r="H256" s="128">
        <f t="shared" si="6"/>
        <v>-3.5325601539617897E-2</v>
      </c>
      <c r="I256" s="128">
        <f t="shared" si="7"/>
        <v>-7.5669804489500295E-2</v>
      </c>
    </row>
    <row r="257" spans="1:9" ht="14.25" customHeight="1" x14ac:dyDescent="0.3">
      <c r="A257" s="127">
        <v>44299</v>
      </c>
      <c r="B257" s="64">
        <v>14504.8</v>
      </c>
      <c r="D257" s="127">
        <v>44299</v>
      </c>
      <c r="E257" s="64">
        <v>26.32</v>
      </c>
      <c r="H257" s="128">
        <f t="shared" si="6"/>
        <v>1.35561953210163E-2</v>
      </c>
      <c r="I257" s="128">
        <f t="shared" si="7"/>
        <v>3.0943987465726599E-2</v>
      </c>
    </row>
    <row r="258" spans="1:9" ht="14.25" customHeight="1" x14ac:dyDescent="0.3">
      <c r="A258" s="127">
        <v>44301</v>
      </c>
      <c r="B258" s="64">
        <v>14581.45</v>
      </c>
      <c r="D258" s="127">
        <v>44301</v>
      </c>
      <c r="E258" s="64">
        <v>26.87</v>
      </c>
      <c r="H258" s="128">
        <f t="shared" si="6"/>
        <v>5.28445755887716E-3</v>
      </c>
      <c r="I258" s="128">
        <f t="shared" si="7"/>
        <v>2.08966565349544E-2</v>
      </c>
    </row>
    <row r="259" spans="1:9" ht="14.25" customHeight="1" x14ac:dyDescent="0.3">
      <c r="A259" s="127">
        <v>44302</v>
      </c>
      <c r="B259" s="64">
        <v>14617.85</v>
      </c>
      <c r="D259" s="127">
        <v>44302</v>
      </c>
      <c r="E259" s="64">
        <v>27.1</v>
      </c>
      <c r="H259" s="128">
        <f t="shared" ref="H259:H322" si="8">(B259-B258)/B258</f>
        <v>2.4963223822047601E-3</v>
      </c>
      <c r="I259" s="128">
        <f t="shared" ref="I259:I322" si="9">(E259-E258)/E258</f>
        <v>8.5597320431708406E-3</v>
      </c>
    </row>
    <row r="260" spans="1:9" ht="14.25" customHeight="1" x14ac:dyDescent="0.3">
      <c r="A260" s="127">
        <v>44305</v>
      </c>
      <c r="B260" s="64">
        <v>14359.45</v>
      </c>
      <c r="D260" s="127">
        <v>44305</v>
      </c>
      <c r="E260" s="64">
        <v>26.22</v>
      </c>
      <c r="H260" s="128">
        <f t="shared" si="8"/>
        <v>-1.76770181661462E-2</v>
      </c>
      <c r="I260" s="128">
        <f t="shared" si="9"/>
        <v>-3.2472324723247299E-2</v>
      </c>
    </row>
    <row r="261" spans="1:9" ht="14.25" customHeight="1" x14ac:dyDescent="0.3">
      <c r="A261" s="127">
        <v>44306</v>
      </c>
      <c r="B261" s="64">
        <v>14296.4</v>
      </c>
      <c r="D261" s="127">
        <v>44306</v>
      </c>
      <c r="E261" s="64">
        <v>26.16</v>
      </c>
      <c r="H261" s="128">
        <f t="shared" si="8"/>
        <v>-4.3908366963916496E-3</v>
      </c>
      <c r="I261" s="128">
        <f t="shared" si="9"/>
        <v>-2.2883295194507502E-3</v>
      </c>
    </row>
    <row r="262" spans="1:9" ht="14.25" customHeight="1" x14ac:dyDescent="0.3">
      <c r="A262" s="127">
        <v>44308</v>
      </c>
      <c r="B262" s="64">
        <v>14406.15</v>
      </c>
      <c r="D262" s="127">
        <v>44308</v>
      </c>
      <c r="E262" s="64">
        <v>26.82</v>
      </c>
      <c r="H262" s="128">
        <f t="shared" si="8"/>
        <v>7.6767577851766904E-3</v>
      </c>
      <c r="I262" s="128">
        <f t="shared" si="9"/>
        <v>2.5229357798165101E-2</v>
      </c>
    </row>
    <row r="263" spans="1:9" ht="14.25" customHeight="1" x14ac:dyDescent="0.3">
      <c r="A263" s="127">
        <v>44309</v>
      </c>
      <c r="B263" s="64">
        <v>14341.35</v>
      </c>
      <c r="D263" s="127">
        <v>44309</v>
      </c>
      <c r="E263" s="64">
        <v>26.36</v>
      </c>
      <c r="H263" s="128">
        <f t="shared" si="8"/>
        <v>-4.49807894545033E-3</v>
      </c>
      <c r="I263" s="128">
        <f t="shared" si="9"/>
        <v>-1.7151379567487E-2</v>
      </c>
    </row>
    <row r="264" spans="1:9" ht="14.25" customHeight="1" x14ac:dyDescent="0.3">
      <c r="A264" s="127">
        <v>44312</v>
      </c>
      <c r="B264" s="64">
        <v>14485</v>
      </c>
      <c r="D264" s="127">
        <v>44312</v>
      </c>
      <c r="E264" s="64">
        <v>27.12</v>
      </c>
      <c r="H264" s="128">
        <f t="shared" si="8"/>
        <v>1.00164907766702E-2</v>
      </c>
      <c r="I264" s="128">
        <f t="shared" si="9"/>
        <v>2.88315629742034E-2</v>
      </c>
    </row>
    <row r="265" spans="1:9" ht="14.25" customHeight="1" x14ac:dyDescent="0.3">
      <c r="A265" s="127">
        <v>44313</v>
      </c>
      <c r="B265" s="64">
        <v>14653.05</v>
      </c>
      <c r="D265" s="127">
        <v>44313</v>
      </c>
      <c r="E265" s="64">
        <v>27.85</v>
      </c>
      <c r="H265" s="128">
        <f t="shared" si="8"/>
        <v>1.16016568864342E-2</v>
      </c>
      <c r="I265" s="128">
        <f t="shared" si="9"/>
        <v>2.6917404129793501E-2</v>
      </c>
    </row>
    <row r="266" spans="1:9" ht="14.25" customHeight="1" x14ac:dyDescent="0.3">
      <c r="A266" s="127">
        <v>44314</v>
      </c>
      <c r="B266" s="64">
        <v>14864.55</v>
      </c>
      <c r="D266" s="127">
        <v>44314</v>
      </c>
      <c r="E266" s="64">
        <v>28.06</v>
      </c>
      <c r="H266" s="128">
        <f t="shared" si="8"/>
        <v>1.44338550677163E-2</v>
      </c>
      <c r="I266" s="128">
        <f t="shared" si="9"/>
        <v>7.5403949730699204E-3</v>
      </c>
    </row>
    <row r="267" spans="1:9" ht="14.25" customHeight="1" x14ac:dyDescent="0.3">
      <c r="A267" s="127">
        <v>44315</v>
      </c>
      <c r="B267" s="64">
        <v>14894.9</v>
      </c>
      <c r="D267" s="127">
        <v>44315</v>
      </c>
      <c r="E267" s="64">
        <v>29.28</v>
      </c>
      <c r="H267" s="128">
        <f t="shared" si="8"/>
        <v>2.0417705211392499E-3</v>
      </c>
      <c r="I267" s="128">
        <f t="shared" si="9"/>
        <v>4.3478260869565299E-2</v>
      </c>
    </row>
    <row r="268" spans="1:9" ht="14.25" customHeight="1" x14ac:dyDescent="0.3">
      <c r="A268" s="127">
        <v>44316</v>
      </c>
      <c r="B268" s="64">
        <v>14631.1</v>
      </c>
      <c r="D268" s="127">
        <v>44316</v>
      </c>
      <c r="E268" s="64">
        <v>29.61</v>
      </c>
      <c r="H268" s="128">
        <f t="shared" si="8"/>
        <v>-1.7710760058811999E-2</v>
      </c>
      <c r="I268" s="128">
        <f t="shared" si="9"/>
        <v>1.12704918032786E-2</v>
      </c>
    </row>
    <row r="269" spans="1:9" ht="14.25" customHeight="1" x14ac:dyDescent="0.3">
      <c r="A269" s="127">
        <v>44319</v>
      </c>
      <c r="B269" s="64">
        <v>14634.15</v>
      </c>
      <c r="D269" s="127">
        <v>44319</v>
      </c>
      <c r="E269" s="64">
        <v>30.23</v>
      </c>
      <c r="H269" s="128">
        <f t="shared" si="8"/>
        <v>2.0846006110267001E-4</v>
      </c>
      <c r="I269" s="128">
        <f t="shared" si="9"/>
        <v>2.0938872002701801E-2</v>
      </c>
    </row>
    <row r="270" spans="1:9" ht="14.25" customHeight="1" x14ac:dyDescent="0.3">
      <c r="A270" s="127">
        <v>44320</v>
      </c>
      <c r="B270" s="64">
        <v>14496.5</v>
      </c>
      <c r="D270" s="127">
        <v>44320</v>
      </c>
      <c r="E270" s="64">
        <v>29.99</v>
      </c>
      <c r="H270" s="128">
        <f t="shared" si="8"/>
        <v>-9.4060809818130604E-3</v>
      </c>
      <c r="I270" s="128">
        <f t="shared" si="9"/>
        <v>-7.9391333112802508E-3</v>
      </c>
    </row>
    <row r="271" spans="1:9" ht="14.25" customHeight="1" x14ac:dyDescent="0.3">
      <c r="A271" s="127">
        <v>44321</v>
      </c>
      <c r="B271" s="64">
        <v>14617.85</v>
      </c>
      <c r="D271" s="127">
        <v>44321</v>
      </c>
      <c r="E271" s="64">
        <v>31.82</v>
      </c>
      <c r="H271" s="128">
        <f t="shared" si="8"/>
        <v>8.3709861000931494E-3</v>
      </c>
      <c r="I271" s="128">
        <f t="shared" si="9"/>
        <v>6.1020340113371201E-2</v>
      </c>
    </row>
    <row r="272" spans="1:9" ht="14.25" customHeight="1" x14ac:dyDescent="0.3">
      <c r="A272" s="127">
        <v>44322</v>
      </c>
      <c r="B272" s="64">
        <v>14724.8</v>
      </c>
      <c r="D272" s="127">
        <v>44322</v>
      </c>
      <c r="E272" s="64">
        <v>32.4</v>
      </c>
      <c r="H272" s="128">
        <f t="shared" si="8"/>
        <v>7.3163974182248997E-3</v>
      </c>
      <c r="I272" s="128">
        <f t="shared" si="9"/>
        <v>1.8227529855436801E-2</v>
      </c>
    </row>
    <row r="273" spans="1:9" ht="14.25" customHeight="1" x14ac:dyDescent="0.3">
      <c r="A273" s="127">
        <v>44323</v>
      </c>
      <c r="B273" s="64">
        <v>14823.15</v>
      </c>
      <c r="D273" s="127">
        <v>44323</v>
      </c>
      <c r="E273" s="64">
        <v>35.130000000000003</v>
      </c>
      <c r="H273" s="128">
        <f t="shared" si="8"/>
        <v>6.6792078669999201E-3</v>
      </c>
      <c r="I273" s="128">
        <f t="shared" si="9"/>
        <v>8.4259259259259395E-2</v>
      </c>
    </row>
    <row r="274" spans="1:9" ht="14.25" customHeight="1" x14ac:dyDescent="0.3">
      <c r="A274" s="127">
        <v>44326</v>
      </c>
      <c r="B274" s="64">
        <v>14942.35</v>
      </c>
      <c r="D274" s="127">
        <v>44326</v>
      </c>
      <c r="E274" s="64">
        <v>38.03</v>
      </c>
      <c r="H274" s="128">
        <f t="shared" si="8"/>
        <v>8.0414756647541694E-3</v>
      </c>
      <c r="I274" s="128">
        <f t="shared" si="9"/>
        <v>8.2550526615428402E-2</v>
      </c>
    </row>
    <row r="275" spans="1:9" ht="14.25" customHeight="1" x14ac:dyDescent="0.3">
      <c r="A275" s="127">
        <v>44327</v>
      </c>
      <c r="B275" s="64">
        <v>14850.75</v>
      </c>
      <c r="D275" s="127">
        <v>44327</v>
      </c>
      <c r="E275" s="64">
        <v>37.450000000000003</v>
      </c>
      <c r="H275" s="128">
        <f t="shared" si="8"/>
        <v>-6.13022717310198E-3</v>
      </c>
      <c r="I275" s="128">
        <f t="shared" si="9"/>
        <v>-1.52511175387851E-2</v>
      </c>
    </row>
    <row r="276" spans="1:9" ht="14.25" customHeight="1" x14ac:dyDescent="0.3">
      <c r="A276" s="127">
        <v>44328</v>
      </c>
      <c r="B276" s="64">
        <v>14696.5</v>
      </c>
      <c r="D276" s="127">
        <v>44328</v>
      </c>
      <c r="E276" s="64">
        <v>38.590000000000003</v>
      </c>
      <c r="H276" s="128">
        <f t="shared" si="8"/>
        <v>-1.0386680807366599E-2</v>
      </c>
      <c r="I276" s="128">
        <f t="shared" si="9"/>
        <v>3.0440587449933301E-2</v>
      </c>
    </row>
    <row r="277" spans="1:9" ht="14.25" customHeight="1" x14ac:dyDescent="0.3">
      <c r="A277" s="127">
        <v>44330</v>
      </c>
      <c r="B277" s="64">
        <v>14677.8</v>
      </c>
      <c r="D277" s="127">
        <v>44330</v>
      </c>
      <c r="E277" s="64">
        <v>35.32</v>
      </c>
      <c r="H277" s="128">
        <f t="shared" si="8"/>
        <v>-1.27241179872764E-3</v>
      </c>
      <c r="I277" s="128">
        <f t="shared" si="9"/>
        <v>-8.4736978491837298E-2</v>
      </c>
    </row>
    <row r="278" spans="1:9" ht="14.25" customHeight="1" x14ac:dyDescent="0.3">
      <c r="A278" s="127">
        <v>44333</v>
      </c>
      <c r="B278" s="64">
        <v>14923.15</v>
      </c>
      <c r="D278" s="127">
        <v>44333</v>
      </c>
      <c r="E278" s="64">
        <v>35.479999999999997</v>
      </c>
      <c r="H278" s="128">
        <f t="shared" si="8"/>
        <v>1.6715720339560401E-2</v>
      </c>
      <c r="I278" s="128">
        <f t="shared" si="9"/>
        <v>4.5300113250282201E-3</v>
      </c>
    </row>
    <row r="279" spans="1:9" ht="14.25" customHeight="1" x14ac:dyDescent="0.3">
      <c r="A279" s="127">
        <v>44334</v>
      </c>
      <c r="B279" s="64">
        <v>15108.1</v>
      </c>
      <c r="D279" s="127">
        <v>44334</v>
      </c>
      <c r="E279" s="64">
        <v>35.67</v>
      </c>
      <c r="H279" s="128">
        <f t="shared" si="8"/>
        <v>1.23934960112309E-2</v>
      </c>
      <c r="I279" s="128">
        <f t="shared" si="9"/>
        <v>5.3551296505074597E-3</v>
      </c>
    </row>
    <row r="280" spans="1:9" ht="14.25" customHeight="1" x14ac:dyDescent="0.3">
      <c r="A280" s="127">
        <v>44335</v>
      </c>
      <c r="B280" s="64">
        <v>15030.15</v>
      </c>
      <c r="D280" s="127">
        <v>44335</v>
      </c>
      <c r="E280" s="64">
        <v>35.049999999999997</v>
      </c>
      <c r="H280" s="128">
        <f t="shared" si="8"/>
        <v>-5.1594839854118496E-3</v>
      </c>
      <c r="I280" s="128">
        <f t="shared" si="9"/>
        <v>-1.7381553125876199E-2</v>
      </c>
    </row>
    <row r="281" spans="1:9" ht="14.25" customHeight="1" x14ac:dyDescent="0.3">
      <c r="A281" s="127">
        <v>44336</v>
      </c>
      <c r="B281" s="64">
        <v>14906.05</v>
      </c>
      <c r="D281" s="127">
        <v>44336</v>
      </c>
      <c r="E281" s="64">
        <v>33.979999999999997</v>
      </c>
      <c r="H281" s="128">
        <f t="shared" si="8"/>
        <v>-8.2567372913776894E-3</v>
      </c>
      <c r="I281" s="128">
        <f t="shared" si="9"/>
        <v>-3.0527817403708999E-2</v>
      </c>
    </row>
    <row r="282" spans="1:9" ht="14.25" customHeight="1" x14ac:dyDescent="0.3">
      <c r="A282" s="127">
        <v>44337</v>
      </c>
      <c r="B282" s="64">
        <v>15175.3</v>
      </c>
      <c r="D282" s="127">
        <v>44337</v>
      </c>
      <c r="E282" s="64">
        <v>33.5</v>
      </c>
      <c r="H282" s="128">
        <f t="shared" si="8"/>
        <v>1.80631354382952E-2</v>
      </c>
      <c r="I282" s="128">
        <f t="shared" si="9"/>
        <v>-1.4125956444967501E-2</v>
      </c>
    </row>
    <row r="283" spans="1:9" ht="14.25" customHeight="1" x14ac:dyDescent="0.3">
      <c r="A283" s="127">
        <v>44340</v>
      </c>
      <c r="B283" s="64">
        <v>15197.7</v>
      </c>
      <c r="D283" s="127">
        <v>44340</v>
      </c>
      <c r="E283" s="64">
        <v>34.770000000000003</v>
      </c>
      <c r="H283" s="128">
        <f t="shared" si="8"/>
        <v>1.4760828451497799E-3</v>
      </c>
      <c r="I283" s="128">
        <f t="shared" si="9"/>
        <v>3.7910447761194101E-2</v>
      </c>
    </row>
    <row r="284" spans="1:9" ht="14.25" customHeight="1" x14ac:dyDescent="0.3">
      <c r="A284" s="127">
        <v>44341</v>
      </c>
      <c r="B284" s="64">
        <v>15208.45</v>
      </c>
      <c r="D284" s="127">
        <v>44341</v>
      </c>
      <c r="E284" s="64">
        <v>34.54</v>
      </c>
      <c r="H284" s="128">
        <f t="shared" si="8"/>
        <v>7.0734387440204798E-4</v>
      </c>
      <c r="I284" s="128">
        <f t="shared" si="9"/>
        <v>-6.6148979004890399E-3</v>
      </c>
    </row>
    <row r="285" spans="1:9" ht="14.25" customHeight="1" x14ac:dyDescent="0.3">
      <c r="A285" s="127">
        <v>44342</v>
      </c>
      <c r="B285" s="64">
        <v>15301.45</v>
      </c>
      <c r="D285" s="127">
        <v>44342</v>
      </c>
      <c r="E285" s="64">
        <v>33.67</v>
      </c>
      <c r="H285" s="128">
        <f t="shared" si="8"/>
        <v>6.1150215833960702E-3</v>
      </c>
      <c r="I285" s="128">
        <f t="shared" si="9"/>
        <v>-2.5188187608569699E-2</v>
      </c>
    </row>
    <row r="286" spans="1:9" ht="14.25" customHeight="1" x14ac:dyDescent="0.3">
      <c r="A286" s="127">
        <v>44343</v>
      </c>
      <c r="B286" s="64">
        <v>15337.85</v>
      </c>
      <c r="D286" s="127">
        <v>44343</v>
      </c>
      <c r="E286" s="64">
        <v>33.950000000000003</v>
      </c>
      <c r="H286" s="128">
        <f t="shared" si="8"/>
        <v>2.3788595198494002E-3</v>
      </c>
      <c r="I286" s="128">
        <f t="shared" si="9"/>
        <v>8.3160083160083494E-3</v>
      </c>
    </row>
    <row r="287" spans="1:9" ht="14.25" customHeight="1" x14ac:dyDescent="0.3">
      <c r="A287" s="127">
        <v>44344</v>
      </c>
      <c r="B287" s="64">
        <v>15435.65</v>
      </c>
      <c r="D287" s="127">
        <v>44344</v>
      </c>
      <c r="E287" s="64">
        <v>34.08</v>
      </c>
      <c r="H287" s="128">
        <f t="shared" si="8"/>
        <v>6.3763826090357696E-3</v>
      </c>
      <c r="I287" s="128">
        <f t="shared" si="9"/>
        <v>3.82916053019132E-3</v>
      </c>
    </row>
    <row r="288" spans="1:9" ht="14.25" customHeight="1" x14ac:dyDescent="0.3">
      <c r="A288" s="127">
        <v>44347</v>
      </c>
      <c r="B288" s="64">
        <v>15582.8</v>
      </c>
      <c r="D288" s="127">
        <v>44347</v>
      </c>
      <c r="E288" s="64">
        <v>34.630000000000003</v>
      </c>
      <c r="H288" s="128">
        <f t="shared" si="8"/>
        <v>9.5331262369903191E-3</v>
      </c>
      <c r="I288" s="128">
        <f t="shared" si="9"/>
        <v>1.6138497652582299E-2</v>
      </c>
    </row>
    <row r="289" spans="1:9" ht="14.25" customHeight="1" x14ac:dyDescent="0.3">
      <c r="A289" s="127">
        <v>44348</v>
      </c>
      <c r="B289" s="64">
        <v>15574.85</v>
      </c>
      <c r="D289" s="127">
        <v>44348</v>
      </c>
      <c r="E289" s="64">
        <v>34.49</v>
      </c>
      <c r="H289" s="128">
        <f t="shared" si="8"/>
        <v>-5.1017788844103201E-4</v>
      </c>
      <c r="I289" s="128">
        <f t="shared" si="9"/>
        <v>-4.0427375108287797E-3</v>
      </c>
    </row>
    <row r="290" spans="1:9" ht="14.25" customHeight="1" x14ac:dyDescent="0.3">
      <c r="A290" s="127">
        <v>44349</v>
      </c>
      <c r="B290" s="64">
        <v>15576.2</v>
      </c>
      <c r="D290" s="127">
        <v>44349</v>
      </c>
      <c r="E290" s="64">
        <v>34.85</v>
      </c>
      <c r="H290" s="128">
        <f t="shared" si="8"/>
        <v>8.6678202358312506E-5</v>
      </c>
      <c r="I290" s="128">
        <f t="shared" si="9"/>
        <v>1.0437808060307301E-2</v>
      </c>
    </row>
    <row r="291" spans="1:9" ht="14.25" customHeight="1" x14ac:dyDescent="0.3">
      <c r="A291" s="127">
        <v>44350</v>
      </c>
      <c r="B291" s="64">
        <v>15690.35</v>
      </c>
      <c r="D291" s="127">
        <v>44350</v>
      </c>
      <c r="E291" s="64">
        <v>35.29</v>
      </c>
      <c r="H291" s="128">
        <f t="shared" si="8"/>
        <v>7.3284883347671196E-3</v>
      </c>
      <c r="I291" s="128">
        <f t="shared" si="9"/>
        <v>1.2625538020085999E-2</v>
      </c>
    </row>
    <row r="292" spans="1:9" ht="14.25" customHeight="1" x14ac:dyDescent="0.3">
      <c r="A292" s="127">
        <v>44351</v>
      </c>
      <c r="B292" s="64">
        <v>15670.25</v>
      </c>
      <c r="D292" s="127">
        <v>44351</v>
      </c>
      <c r="E292" s="64">
        <v>36.75</v>
      </c>
      <c r="H292" s="128">
        <f t="shared" si="8"/>
        <v>-1.2810421692314299E-3</v>
      </c>
      <c r="I292" s="128">
        <f t="shared" si="9"/>
        <v>4.1371493340889798E-2</v>
      </c>
    </row>
    <row r="293" spans="1:9" ht="14.25" customHeight="1" x14ac:dyDescent="0.3">
      <c r="A293" s="127">
        <v>44354</v>
      </c>
      <c r="B293" s="64">
        <v>15751.65</v>
      </c>
      <c r="D293" s="127">
        <v>44354</v>
      </c>
      <c r="E293" s="64">
        <v>34.659999999999997</v>
      </c>
      <c r="H293" s="128">
        <f t="shared" si="8"/>
        <v>5.1945565641900804E-3</v>
      </c>
      <c r="I293" s="128">
        <f t="shared" si="9"/>
        <v>-5.6870748299319797E-2</v>
      </c>
    </row>
    <row r="294" spans="1:9" ht="14.25" customHeight="1" x14ac:dyDescent="0.3">
      <c r="A294" s="127">
        <v>44355</v>
      </c>
      <c r="B294" s="64">
        <v>15740.1</v>
      </c>
      <c r="D294" s="127">
        <v>44355</v>
      </c>
      <c r="E294" s="64">
        <v>33.880000000000003</v>
      </c>
      <c r="H294" s="128">
        <f t="shared" si="8"/>
        <v>-7.3325651598399398E-4</v>
      </c>
      <c r="I294" s="128">
        <f t="shared" si="9"/>
        <v>-2.2504327755337401E-2</v>
      </c>
    </row>
    <row r="295" spans="1:9" ht="14.25" customHeight="1" x14ac:dyDescent="0.3">
      <c r="A295" s="127">
        <v>44356</v>
      </c>
      <c r="B295" s="64">
        <v>15635.35</v>
      </c>
      <c r="D295" s="127">
        <v>44356</v>
      </c>
      <c r="E295" s="64">
        <v>34.11</v>
      </c>
      <c r="H295" s="128">
        <f t="shared" si="8"/>
        <v>-6.6549767790547703E-3</v>
      </c>
      <c r="I295" s="128">
        <f t="shared" si="9"/>
        <v>6.7886658795748801E-3</v>
      </c>
    </row>
    <row r="296" spans="1:9" ht="14.25" customHeight="1" x14ac:dyDescent="0.3">
      <c r="A296" s="127">
        <v>44357</v>
      </c>
      <c r="B296" s="64">
        <v>15737.75</v>
      </c>
      <c r="D296" s="127">
        <v>44357</v>
      </c>
      <c r="E296" s="64">
        <v>34.119999999999997</v>
      </c>
      <c r="H296" s="128">
        <f t="shared" si="8"/>
        <v>6.54926176900419E-3</v>
      </c>
      <c r="I296" s="128">
        <f t="shared" si="9"/>
        <v>2.9316915860445598E-4</v>
      </c>
    </row>
    <row r="297" spans="1:9" ht="14.25" customHeight="1" x14ac:dyDescent="0.3">
      <c r="A297" s="127">
        <v>44358</v>
      </c>
      <c r="B297" s="64">
        <v>15799.35</v>
      </c>
      <c r="D297" s="127">
        <v>44358</v>
      </c>
      <c r="E297" s="64">
        <v>34.97</v>
      </c>
      <c r="H297" s="128">
        <f t="shared" si="8"/>
        <v>3.9141554542422097E-3</v>
      </c>
      <c r="I297" s="128">
        <f t="shared" si="9"/>
        <v>2.4912075029308402E-2</v>
      </c>
    </row>
    <row r="298" spans="1:9" ht="14.25" customHeight="1" x14ac:dyDescent="0.3">
      <c r="A298" s="127">
        <v>44361</v>
      </c>
      <c r="B298" s="64">
        <v>15811.85</v>
      </c>
      <c r="D298" s="127">
        <v>44361</v>
      </c>
      <c r="E298" s="64">
        <v>35.33</v>
      </c>
      <c r="H298" s="128">
        <f t="shared" si="8"/>
        <v>7.9117178871282695E-4</v>
      </c>
      <c r="I298" s="128">
        <f t="shared" si="9"/>
        <v>1.0294538175579101E-2</v>
      </c>
    </row>
    <row r="299" spans="1:9" ht="14.25" customHeight="1" x14ac:dyDescent="0.3">
      <c r="A299" s="127">
        <v>44362</v>
      </c>
      <c r="B299" s="64">
        <v>15869.25</v>
      </c>
      <c r="D299" s="127">
        <v>44362</v>
      </c>
      <c r="E299" s="64">
        <v>34.4</v>
      </c>
      <c r="H299" s="128">
        <f t="shared" si="8"/>
        <v>3.6301887508419098E-3</v>
      </c>
      <c r="I299" s="128">
        <f t="shared" si="9"/>
        <v>-2.6323238041324599E-2</v>
      </c>
    </row>
    <row r="300" spans="1:9" ht="14.25" customHeight="1" x14ac:dyDescent="0.3">
      <c r="A300" s="127">
        <v>44363</v>
      </c>
      <c r="B300" s="64">
        <v>15767.55</v>
      </c>
      <c r="D300" s="127">
        <v>44363</v>
      </c>
      <c r="E300" s="64">
        <v>34</v>
      </c>
      <c r="H300" s="128">
        <f t="shared" si="8"/>
        <v>-6.40862044520067E-3</v>
      </c>
      <c r="I300" s="128">
        <f t="shared" si="9"/>
        <v>-1.1627906976744099E-2</v>
      </c>
    </row>
    <row r="301" spans="1:9" ht="14.25" customHeight="1" x14ac:dyDescent="0.3">
      <c r="A301" s="127">
        <v>44364</v>
      </c>
      <c r="B301" s="64">
        <v>15691.4</v>
      </c>
      <c r="D301" s="127">
        <v>44364</v>
      </c>
      <c r="E301" s="64">
        <v>34.19</v>
      </c>
      <c r="H301" s="128">
        <f t="shared" si="8"/>
        <v>-4.82953914844092E-3</v>
      </c>
      <c r="I301" s="128">
        <f t="shared" si="9"/>
        <v>5.5882352941175797E-3</v>
      </c>
    </row>
    <row r="302" spans="1:9" ht="14.25" customHeight="1" x14ac:dyDescent="0.3">
      <c r="A302" s="127">
        <v>44365</v>
      </c>
      <c r="B302" s="64">
        <v>15683.35</v>
      </c>
      <c r="D302" s="127">
        <v>44365</v>
      </c>
      <c r="E302" s="64">
        <v>33.880000000000003</v>
      </c>
      <c r="H302" s="128">
        <f t="shared" si="8"/>
        <v>-5.13019870757184E-4</v>
      </c>
      <c r="I302" s="128">
        <f t="shared" si="9"/>
        <v>-9.0669786487275594E-3</v>
      </c>
    </row>
    <row r="303" spans="1:9" ht="14.25" customHeight="1" x14ac:dyDescent="0.3">
      <c r="A303" s="127">
        <v>44368</v>
      </c>
      <c r="B303" s="64">
        <v>15746.5</v>
      </c>
      <c r="D303" s="127">
        <v>44368</v>
      </c>
      <c r="E303" s="64">
        <v>35.15</v>
      </c>
      <c r="H303" s="128">
        <f t="shared" si="8"/>
        <v>4.02656320237702E-3</v>
      </c>
      <c r="I303" s="128">
        <f t="shared" si="9"/>
        <v>3.7485242030696503E-2</v>
      </c>
    </row>
    <row r="304" spans="1:9" ht="14.25" customHeight="1" x14ac:dyDescent="0.3">
      <c r="A304" s="127">
        <v>44369</v>
      </c>
      <c r="B304" s="64">
        <v>15772.75</v>
      </c>
      <c r="D304" s="127">
        <v>44369</v>
      </c>
      <c r="E304" s="64">
        <v>35.25</v>
      </c>
      <c r="H304" s="128">
        <f t="shared" si="8"/>
        <v>1.66703711935986E-3</v>
      </c>
      <c r="I304" s="128">
        <f t="shared" si="9"/>
        <v>2.8449502133713099E-3</v>
      </c>
    </row>
    <row r="305" spans="1:9" ht="14.25" customHeight="1" x14ac:dyDescent="0.3">
      <c r="A305" s="127">
        <v>44370</v>
      </c>
      <c r="B305" s="64">
        <v>15686.95</v>
      </c>
      <c r="D305" s="127">
        <v>44370</v>
      </c>
      <c r="E305" s="64">
        <v>34</v>
      </c>
      <c r="H305" s="128">
        <f t="shared" si="8"/>
        <v>-5.4397616141762997E-3</v>
      </c>
      <c r="I305" s="128">
        <f t="shared" si="9"/>
        <v>-3.54609929078014E-2</v>
      </c>
    </row>
    <row r="306" spans="1:9" ht="14.25" customHeight="1" x14ac:dyDescent="0.3">
      <c r="A306" s="127">
        <v>44371</v>
      </c>
      <c r="B306" s="64">
        <v>15790.45</v>
      </c>
      <c r="D306" s="127">
        <v>44371</v>
      </c>
      <c r="E306" s="64">
        <v>33.39</v>
      </c>
      <c r="H306" s="128">
        <f t="shared" si="8"/>
        <v>6.5978408804770799E-3</v>
      </c>
      <c r="I306" s="128">
        <f t="shared" si="9"/>
        <v>-1.79411764705882E-2</v>
      </c>
    </row>
    <row r="307" spans="1:9" ht="14.25" customHeight="1" x14ac:dyDescent="0.3">
      <c r="A307" s="127">
        <v>44372</v>
      </c>
      <c r="B307" s="64">
        <v>15860.35</v>
      </c>
      <c r="D307" s="127">
        <v>44372</v>
      </c>
      <c r="E307" s="64">
        <v>33.799999999999997</v>
      </c>
      <c r="H307" s="128">
        <f t="shared" si="8"/>
        <v>4.4267262807582801E-3</v>
      </c>
      <c r="I307" s="128">
        <f t="shared" si="9"/>
        <v>1.22791254866726E-2</v>
      </c>
    </row>
    <row r="308" spans="1:9" ht="14.25" customHeight="1" x14ac:dyDescent="0.3">
      <c r="A308" s="127">
        <v>44375</v>
      </c>
      <c r="B308" s="64">
        <v>15814.7</v>
      </c>
      <c r="D308" s="127">
        <v>44375</v>
      </c>
      <c r="E308" s="64">
        <v>34.630000000000003</v>
      </c>
      <c r="H308" s="128">
        <f t="shared" si="8"/>
        <v>-2.8782466969518102E-3</v>
      </c>
      <c r="I308" s="128">
        <f t="shared" si="9"/>
        <v>2.4556213017751599E-2</v>
      </c>
    </row>
    <row r="309" spans="1:9" ht="14.25" customHeight="1" x14ac:dyDescent="0.3">
      <c r="A309" s="127">
        <v>44376</v>
      </c>
      <c r="B309" s="64">
        <v>15748.45</v>
      </c>
      <c r="D309" s="127">
        <v>44376</v>
      </c>
      <c r="E309" s="64">
        <v>34.520000000000003</v>
      </c>
      <c r="H309" s="128">
        <f t="shared" si="8"/>
        <v>-4.1891404832213102E-3</v>
      </c>
      <c r="I309" s="128">
        <f t="shared" si="9"/>
        <v>-3.1764366156511502E-3</v>
      </c>
    </row>
    <row r="310" spans="1:9" ht="14.25" customHeight="1" x14ac:dyDescent="0.3">
      <c r="A310" s="127">
        <v>44377</v>
      </c>
      <c r="B310" s="64">
        <v>15721.5</v>
      </c>
      <c r="D310" s="127">
        <v>44377</v>
      </c>
      <c r="E310" s="64">
        <v>35.01</v>
      </c>
      <c r="H310" s="128">
        <f t="shared" si="8"/>
        <v>-1.71127952274673E-3</v>
      </c>
      <c r="I310" s="128">
        <f t="shared" si="9"/>
        <v>1.41946697566627E-2</v>
      </c>
    </row>
    <row r="311" spans="1:9" ht="14.25" customHeight="1" x14ac:dyDescent="0.3">
      <c r="A311" s="127">
        <v>44378</v>
      </c>
      <c r="B311" s="64">
        <v>15680</v>
      </c>
      <c r="D311" s="127">
        <v>44378</v>
      </c>
      <c r="E311" s="64">
        <v>35.07</v>
      </c>
      <c r="H311" s="128">
        <f t="shared" si="8"/>
        <v>-2.6396972299080898E-3</v>
      </c>
      <c r="I311" s="128">
        <f t="shared" si="9"/>
        <v>1.71379605826913E-3</v>
      </c>
    </row>
    <row r="312" spans="1:9" ht="14.25" customHeight="1" x14ac:dyDescent="0.3">
      <c r="A312" s="127">
        <v>44379</v>
      </c>
      <c r="B312" s="64">
        <v>15722.2</v>
      </c>
      <c r="D312" s="127">
        <v>44379</v>
      </c>
      <c r="E312" s="64">
        <v>34.79</v>
      </c>
      <c r="H312" s="128">
        <f t="shared" si="8"/>
        <v>2.6913265306122902E-3</v>
      </c>
      <c r="I312" s="128">
        <f t="shared" si="9"/>
        <v>-7.9840319361277803E-3</v>
      </c>
    </row>
    <row r="313" spans="1:9" ht="14.25" customHeight="1" x14ac:dyDescent="0.3">
      <c r="A313" s="127">
        <v>44382</v>
      </c>
      <c r="B313" s="64">
        <v>15834.35</v>
      </c>
      <c r="D313" s="127">
        <v>44382</v>
      </c>
      <c r="E313" s="64">
        <v>33.32</v>
      </c>
      <c r="H313" s="128">
        <f t="shared" si="8"/>
        <v>7.13322563000087E-3</v>
      </c>
      <c r="I313" s="128">
        <f t="shared" si="9"/>
        <v>-4.22535211267605E-2</v>
      </c>
    </row>
    <row r="314" spans="1:9" ht="14.25" customHeight="1" x14ac:dyDescent="0.3">
      <c r="A314" s="127">
        <v>44383</v>
      </c>
      <c r="B314" s="64">
        <v>15818.25</v>
      </c>
      <c r="D314" s="127">
        <v>44383</v>
      </c>
      <c r="E314" s="64">
        <v>32.22</v>
      </c>
      <c r="H314" s="128">
        <f t="shared" si="8"/>
        <v>-1.0167768174885799E-3</v>
      </c>
      <c r="I314" s="128">
        <f t="shared" si="9"/>
        <v>-3.3013205282112899E-2</v>
      </c>
    </row>
    <row r="315" spans="1:9" ht="14.25" customHeight="1" x14ac:dyDescent="0.3">
      <c r="A315" s="127">
        <v>44384</v>
      </c>
      <c r="B315" s="64">
        <v>15879.65</v>
      </c>
      <c r="D315" s="127">
        <v>44384</v>
      </c>
      <c r="E315" s="64">
        <v>31.99</v>
      </c>
      <c r="H315" s="128">
        <f t="shared" si="8"/>
        <v>3.8815924644002701E-3</v>
      </c>
      <c r="I315" s="128">
        <f t="shared" si="9"/>
        <v>-7.1384233395406704E-3</v>
      </c>
    </row>
    <row r="316" spans="1:9" ht="14.25" customHeight="1" x14ac:dyDescent="0.3">
      <c r="A316" s="127">
        <v>44385</v>
      </c>
      <c r="B316" s="64">
        <v>15727.9</v>
      </c>
      <c r="D316" s="127">
        <v>44385</v>
      </c>
      <c r="E316" s="64">
        <v>31.77</v>
      </c>
      <c r="H316" s="128">
        <f t="shared" si="8"/>
        <v>-9.5562559628203404E-3</v>
      </c>
      <c r="I316" s="128">
        <f t="shared" si="9"/>
        <v>-6.8771491090965598E-3</v>
      </c>
    </row>
    <row r="317" spans="1:9" ht="14.25" customHeight="1" x14ac:dyDescent="0.3">
      <c r="A317" s="127">
        <v>44386</v>
      </c>
      <c r="B317" s="64">
        <v>15689.8</v>
      </c>
      <c r="D317" s="127">
        <v>44386</v>
      </c>
      <c r="E317" s="64">
        <v>31.86</v>
      </c>
      <c r="H317" s="128">
        <f t="shared" si="8"/>
        <v>-2.4224467347834298E-3</v>
      </c>
      <c r="I317" s="128">
        <f t="shared" si="9"/>
        <v>2.8328611898016999E-3</v>
      </c>
    </row>
    <row r="318" spans="1:9" ht="14.25" customHeight="1" x14ac:dyDescent="0.3">
      <c r="A318" s="127">
        <v>44389</v>
      </c>
      <c r="B318" s="64">
        <v>15692.6</v>
      </c>
      <c r="D318" s="127">
        <v>44389</v>
      </c>
      <c r="E318" s="64">
        <v>31.5</v>
      </c>
      <c r="H318" s="128">
        <f t="shared" si="8"/>
        <v>1.78459891139536E-4</v>
      </c>
      <c r="I318" s="128">
        <f t="shared" si="9"/>
        <v>-1.12994350282486E-2</v>
      </c>
    </row>
    <row r="319" spans="1:9" ht="14.25" customHeight="1" x14ac:dyDescent="0.3">
      <c r="A319" s="127">
        <v>44390</v>
      </c>
      <c r="B319" s="64">
        <v>15812.35</v>
      </c>
      <c r="D319" s="127">
        <v>44390</v>
      </c>
      <c r="E319" s="64">
        <v>32.67</v>
      </c>
      <c r="H319" s="128">
        <f t="shared" si="8"/>
        <v>7.6309853051756901E-3</v>
      </c>
      <c r="I319" s="128">
        <f t="shared" si="9"/>
        <v>3.71428571428572E-2</v>
      </c>
    </row>
    <row r="320" spans="1:9" ht="14.25" customHeight="1" x14ac:dyDescent="0.3">
      <c r="A320" s="127">
        <v>44391</v>
      </c>
      <c r="B320" s="64">
        <v>15853.95</v>
      </c>
      <c r="D320" s="127">
        <v>44391</v>
      </c>
      <c r="E320" s="64">
        <v>32.71</v>
      </c>
      <c r="H320" s="128">
        <f t="shared" si="8"/>
        <v>2.6308549962529501E-3</v>
      </c>
      <c r="I320" s="128">
        <f t="shared" si="9"/>
        <v>1.22436486072847E-3</v>
      </c>
    </row>
    <row r="321" spans="1:9" ht="14.25" customHeight="1" x14ac:dyDescent="0.3">
      <c r="A321" s="127">
        <v>44392</v>
      </c>
      <c r="B321" s="64">
        <v>15924.2</v>
      </c>
      <c r="D321" s="127">
        <v>44392</v>
      </c>
      <c r="E321" s="64">
        <v>32.83</v>
      </c>
      <c r="H321" s="128">
        <f t="shared" si="8"/>
        <v>4.4310723825923496E-3</v>
      </c>
      <c r="I321" s="128">
        <f t="shared" si="9"/>
        <v>3.6686028737388399E-3</v>
      </c>
    </row>
    <row r="322" spans="1:9" ht="14.25" customHeight="1" x14ac:dyDescent="0.3">
      <c r="A322" s="127">
        <v>44393</v>
      </c>
      <c r="B322" s="64">
        <v>15923.4</v>
      </c>
      <c r="D322" s="127">
        <v>44393</v>
      </c>
      <c r="E322" s="64">
        <v>33.979999999999997</v>
      </c>
      <c r="H322" s="128">
        <f t="shared" si="8"/>
        <v>-5.0238002537087703E-5</v>
      </c>
      <c r="I322" s="128">
        <f t="shared" si="9"/>
        <v>3.5028936947913501E-2</v>
      </c>
    </row>
    <row r="323" spans="1:9" ht="14.25" customHeight="1" x14ac:dyDescent="0.3">
      <c r="A323" s="127">
        <v>44396</v>
      </c>
      <c r="B323" s="64">
        <v>15752.4</v>
      </c>
      <c r="D323" s="127">
        <v>44396</v>
      </c>
      <c r="E323" s="64">
        <v>33.25</v>
      </c>
      <c r="H323" s="128">
        <f t="shared" ref="H323:H386" si="10">(B323-B322)/B322</f>
        <v>-1.07389125438035E-2</v>
      </c>
      <c r="I323" s="128">
        <f t="shared" ref="I323:I386" si="11">(E323-E322)/E322</f>
        <v>-2.14832254267215E-2</v>
      </c>
    </row>
    <row r="324" spans="1:9" ht="14.25" customHeight="1" x14ac:dyDescent="0.3">
      <c r="A324" s="127">
        <v>44397</v>
      </c>
      <c r="B324" s="64">
        <v>15632.1</v>
      </c>
      <c r="D324" s="127">
        <v>44397</v>
      </c>
      <c r="E324" s="64">
        <v>32.619999999999997</v>
      </c>
      <c r="H324" s="128">
        <f t="shared" si="10"/>
        <v>-7.6369315151976402E-3</v>
      </c>
      <c r="I324" s="128">
        <f t="shared" si="11"/>
        <v>-1.8947368421052699E-2</v>
      </c>
    </row>
    <row r="325" spans="1:9" ht="14.25" customHeight="1" x14ac:dyDescent="0.3">
      <c r="A325" s="127">
        <v>44399</v>
      </c>
      <c r="B325" s="64">
        <v>15824.05</v>
      </c>
      <c r="D325" s="127">
        <v>44399</v>
      </c>
      <c r="E325" s="64">
        <v>33.39</v>
      </c>
      <c r="H325" s="128">
        <f t="shared" si="10"/>
        <v>1.2279220322285501E-2</v>
      </c>
      <c r="I325" s="128">
        <f t="shared" si="11"/>
        <v>2.3605150214592401E-2</v>
      </c>
    </row>
    <row r="326" spans="1:9" ht="14.25" customHeight="1" x14ac:dyDescent="0.3">
      <c r="A326" s="127">
        <v>44400</v>
      </c>
      <c r="B326" s="64">
        <v>15856.05</v>
      </c>
      <c r="D326" s="127">
        <v>44400</v>
      </c>
      <c r="E326" s="64">
        <v>32.99</v>
      </c>
      <c r="H326" s="128">
        <f t="shared" si="10"/>
        <v>2.0222383018253902E-3</v>
      </c>
      <c r="I326" s="128">
        <f t="shared" si="11"/>
        <v>-1.1979634621144E-2</v>
      </c>
    </row>
    <row r="327" spans="1:9" ht="14.25" customHeight="1" x14ac:dyDescent="0.3">
      <c r="A327" s="127">
        <v>44403</v>
      </c>
      <c r="B327" s="64">
        <v>15824.45</v>
      </c>
      <c r="D327" s="127">
        <v>44403</v>
      </c>
      <c r="E327" s="64">
        <v>33.24</v>
      </c>
      <c r="H327" s="128">
        <f t="shared" si="10"/>
        <v>-1.9929301433836599E-3</v>
      </c>
      <c r="I327" s="128">
        <f t="shared" si="11"/>
        <v>7.5780539557441604E-3</v>
      </c>
    </row>
    <row r="328" spans="1:9" ht="14.25" customHeight="1" x14ac:dyDescent="0.3">
      <c r="A328" s="127">
        <v>44404</v>
      </c>
      <c r="B328" s="64">
        <v>15746.45</v>
      </c>
      <c r="D328" s="127">
        <v>44404</v>
      </c>
      <c r="E328" s="64">
        <v>33.19</v>
      </c>
      <c r="H328" s="128">
        <f t="shared" si="10"/>
        <v>-4.9290812634878297E-3</v>
      </c>
      <c r="I328" s="128">
        <f t="shared" si="11"/>
        <v>-1.50421179302059E-3</v>
      </c>
    </row>
    <row r="329" spans="1:9" ht="14.25" customHeight="1" x14ac:dyDescent="0.3">
      <c r="A329" s="127">
        <v>44405</v>
      </c>
      <c r="B329" s="64">
        <v>15709.4</v>
      </c>
      <c r="D329" s="127">
        <v>44405</v>
      </c>
      <c r="E329" s="64">
        <v>33.119999999999997</v>
      </c>
      <c r="H329" s="128">
        <f t="shared" si="10"/>
        <v>-2.3529112911164799E-3</v>
      </c>
      <c r="I329" s="128">
        <f t="shared" si="11"/>
        <v>-2.1090689966857599E-3</v>
      </c>
    </row>
    <row r="330" spans="1:9" ht="14.25" customHeight="1" x14ac:dyDescent="0.3">
      <c r="A330" s="127">
        <v>44406</v>
      </c>
      <c r="B330" s="64">
        <v>15778.45</v>
      </c>
      <c r="D330" s="127">
        <v>44406</v>
      </c>
      <c r="E330" s="64">
        <v>34.75</v>
      </c>
      <c r="H330" s="128">
        <f t="shared" si="10"/>
        <v>4.3954574967854298E-3</v>
      </c>
      <c r="I330" s="128">
        <f t="shared" si="11"/>
        <v>4.9214975845410701E-2</v>
      </c>
    </row>
    <row r="331" spans="1:9" ht="14.25" customHeight="1" x14ac:dyDescent="0.3">
      <c r="A331" s="127">
        <v>44407</v>
      </c>
      <c r="B331" s="64">
        <v>15763.05</v>
      </c>
      <c r="D331" s="127">
        <v>44407</v>
      </c>
      <c r="E331" s="64">
        <v>34.450000000000003</v>
      </c>
      <c r="H331" s="128">
        <f t="shared" si="10"/>
        <v>-9.7601475430105303E-4</v>
      </c>
      <c r="I331" s="128">
        <f t="shared" si="11"/>
        <v>-8.6330935251797691E-3</v>
      </c>
    </row>
    <row r="332" spans="1:9" ht="14.25" customHeight="1" x14ac:dyDescent="0.3">
      <c r="A332" s="127">
        <v>44410</v>
      </c>
      <c r="B332" s="64">
        <v>15885.15</v>
      </c>
      <c r="D332" s="127">
        <v>44410</v>
      </c>
      <c r="E332" s="64">
        <v>34.25</v>
      </c>
      <c r="H332" s="128">
        <f t="shared" si="10"/>
        <v>7.7459628688610598E-3</v>
      </c>
      <c r="I332" s="128">
        <f t="shared" si="11"/>
        <v>-5.8055152394775903E-3</v>
      </c>
    </row>
    <row r="333" spans="1:9" ht="14.25" customHeight="1" x14ac:dyDescent="0.3">
      <c r="A333" s="127">
        <v>44411</v>
      </c>
      <c r="B333" s="64">
        <v>16130.75</v>
      </c>
      <c r="D333" s="127">
        <v>44411</v>
      </c>
      <c r="E333" s="64">
        <v>34.44</v>
      </c>
      <c r="H333" s="128">
        <f t="shared" si="10"/>
        <v>1.54609808531868E-2</v>
      </c>
      <c r="I333" s="128">
        <f t="shared" si="11"/>
        <v>5.5474452554743897E-3</v>
      </c>
    </row>
    <row r="334" spans="1:9" ht="14.25" customHeight="1" x14ac:dyDescent="0.3">
      <c r="A334" s="127">
        <v>44412</v>
      </c>
      <c r="B334" s="64">
        <v>16258.8</v>
      </c>
      <c r="D334" s="127">
        <v>44412</v>
      </c>
      <c r="E334" s="64">
        <v>34.07</v>
      </c>
      <c r="H334" s="128">
        <f t="shared" si="10"/>
        <v>7.9382545758876193E-3</v>
      </c>
      <c r="I334" s="128">
        <f t="shared" si="11"/>
        <v>-1.0743321718931401E-2</v>
      </c>
    </row>
    <row r="335" spans="1:9" ht="14.25" customHeight="1" x14ac:dyDescent="0.3">
      <c r="A335" s="127">
        <v>44413</v>
      </c>
      <c r="B335" s="64">
        <v>16294.6</v>
      </c>
      <c r="D335" s="127">
        <v>44413</v>
      </c>
      <c r="E335" s="64">
        <v>34.24</v>
      </c>
      <c r="H335" s="128">
        <f t="shared" si="10"/>
        <v>2.2018845179226699E-3</v>
      </c>
      <c r="I335" s="128">
        <f t="shared" si="11"/>
        <v>4.98972703258003E-3</v>
      </c>
    </row>
    <row r="336" spans="1:9" ht="14.25" customHeight="1" x14ac:dyDescent="0.3">
      <c r="A336" s="127">
        <v>44414</v>
      </c>
      <c r="B336" s="64">
        <v>16238.2</v>
      </c>
      <c r="D336" s="127">
        <v>44414</v>
      </c>
      <c r="E336" s="64">
        <v>33.909999999999997</v>
      </c>
      <c r="H336" s="128">
        <f t="shared" si="10"/>
        <v>-3.46126937758519E-3</v>
      </c>
      <c r="I336" s="128">
        <f t="shared" si="11"/>
        <v>-9.6378504672898803E-3</v>
      </c>
    </row>
    <row r="337" spans="1:9" ht="14.25" customHeight="1" x14ac:dyDescent="0.3">
      <c r="A337" s="127">
        <v>44417</v>
      </c>
      <c r="B337" s="64">
        <v>16258.25</v>
      </c>
      <c r="D337" s="127">
        <v>44417</v>
      </c>
      <c r="E337" s="64">
        <v>33.17</v>
      </c>
      <c r="H337" s="128">
        <f t="shared" si="10"/>
        <v>1.2347427670554201E-3</v>
      </c>
      <c r="I337" s="128">
        <f t="shared" si="11"/>
        <v>-2.1822471247419501E-2</v>
      </c>
    </row>
    <row r="338" spans="1:9" ht="14.25" customHeight="1" x14ac:dyDescent="0.3">
      <c r="A338" s="127">
        <v>44418</v>
      </c>
      <c r="B338" s="64">
        <v>16280.1</v>
      </c>
      <c r="D338" s="127">
        <v>44418</v>
      </c>
      <c r="E338" s="64">
        <v>32.020000000000003</v>
      </c>
      <c r="H338" s="128">
        <f t="shared" si="10"/>
        <v>1.3439330801285701E-3</v>
      </c>
      <c r="I338" s="128">
        <f t="shared" si="11"/>
        <v>-3.4669882423877002E-2</v>
      </c>
    </row>
    <row r="339" spans="1:9" ht="14.25" customHeight="1" x14ac:dyDescent="0.3">
      <c r="A339" s="127">
        <v>44419</v>
      </c>
      <c r="B339" s="64">
        <v>16282.25</v>
      </c>
      <c r="D339" s="127">
        <v>44419</v>
      </c>
      <c r="E339" s="64">
        <v>32.67</v>
      </c>
      <c r="H339" s="128">
        <f t="shared" si="10"/>
        <v>1.32063070865636E-4</v>
      </c>
      <c r="I339" s="128">
        <f t="shared" si="11"/>
        <v>2.0299812617114301E-2</v>
      </c>
    </row>
    <row r="340" spans="1:9" ht="14.25" customHeight="1" x14ac:dyDescent="0.3">
      <c r="A340" s="127">
        <v>44420</v>
      </c>
      <c r="B340" s="64">
        <v>16364.4</v>
      </c>
      <c r="D340" s="127">
        <v>44420</v>
      </c>
      <c r="E340" s="64">
        <v>32.979999999999997</v>
      </c>
      <c r="H340" s="128">
        <f t="shared" si="10"/>
        <v>5.0453714934974997E-3</v>
      </c>
      <c r="I340" s="128">
        <f t="shared" si="11"/>
        <v>9.4888276706457005E-3</v>
      </c>
    </row>
    <row r="341" spans="1:9" ht="14.25" customHeight="1" x14ac:dyDescent="0.3">
      <c r="A341" s="127">
        <v>44421</v>
      </c>
      <c r="B341" s="64">
        <v>16529.099999999999</v>
      </c>
      <c r="D341" s="127">
        <v>44421</v>
      </c>
      <c r="E341" s="64">
        <v>32.659999999999997</v>
      </c>
      <c r="H341" s="128">
        <f t="shared" si="10"/>
        <v>1.0064530321918201E-2</v>
      </c>
      <c r="I341" s="128">
        <f t="shared" si="11"/>
        <v>-9.7028502122498608E-3</v>
      </c>
    </row>
    <row r="342" spans="1:9" ht="14.25" customHeight="1" x14ac:dyDescent="0.3">
      <c r="A342" s="127">
        <v>44424</v>
      </c>
      <c r="B342" s="64">
        <v>16563.05</v>
      </c>
      <c r="D342" s="127">
        <v>44424</v>
      </c>
      <c r="E342" s="64">
        <v>32.78</v>
      </c>
      <c r="H342" s="128">
        <f t="shared" si="10"/>
        <v>2.0539533307923998E-3</v>
      </c>
      <c r="I342" s="128">
        <f t="shared" si="11"/>
        <v>3.6742192284141E-3</v>
      </c>
    </row>
    <row r="343" spans="1:9" ht="14.25" customHeight="1" x14ac:dyDescent="0.3">
      <c r="A343" s="127">
        <v>44425</v>
      </c>
      <c r="B343" s="64">
        <v>16614.599999999999</v>
      </c>
      <c r="D343" s="127">
        <v>44425</v>
      </c>
      <c r="E343" s="64">
        <v>31.85</v>
      </c>
      <c r="H343" s="128">
        <f t="shared" si="10"/>
        <v>3.1123494766965801E-3</v>
      </c>
      <c r="I343" s="128">
        <f t="shared" si="11"/>
        <v>-2.8370957901159202E-2</v>
      </c>
    </row>
    <row r="344" spans="1:9" ht="14.25" customHeight="1" x14ac:dyDescent="0.3">
      <c r="A344" s="127">
        <v>44426</v>
      </c>
      <c r="B344" s="64">
        <v>16568.849999999999</v>
      </c>
      <c r="D344" s="127">
        <v>44426</v>
      </c>
      <c r="E344" s="64">
        <v>31.74</v>
      </c>
      <c r="H344" s="128">
        <f t="shared" si="10"/>
        <v>-2.75360225343975E-3</v>
      </c>
      <c r="I344" s="128">
        <f t="shared" si="11"/>
        <v>-3.4536891679749801E-3</v>
      </c>
    </row>
    <row r="345" spans="1:9" ht="14.25" customHeight="1" x14ac:dyDescent="0.3">
      <c r="A345" s="127">
        <v>44428</v>
      </c>
      <c r="B345" s="64">
        <v>16450.5</v>
      </c>
      <c r="D345" s="127">
        <v>44428</v>
      </c>
      <c r="E345" s="64">
        <v>28.71</v>
      </c>
      <c r="H345" s="128">
        <f t="shared" si="10"/>
        <v>-7.1429218080915997E-3</v>
      </c>
      <c r="I345" s="128">
        <f t="shared" si="11"/>
        <v>-9.5463137996219194E-2</v>
      </c>
    </row>
    <row r="346" spans="1:9" ht="14.25" customHeight="1" x14ac:dyDescent="0.3">
      <c r="A346" s="127">
        <v>44431</v>
      </c>
      <c r="B346" s="64">
        <v>16496.45</v>
      </c>
      <c r="D346" s="127">
        <v>44431</v>
      </c>
      <c r="E346" s="64">
        <v>27.91</v>
      </c>
      <c r="H346" s="128">
        <f t="shared" si="10"/>
        <v>2.7932281693566E-3</v>
      </c>
      <c r="I346" s="128">
        <f t="shared" si="11"/>
        <v>-2.78648554510624E-2</v>
      </c>
    </row>
    <row r="347" spans="1:9" ht="14.25" customHeight="1" x14ac:dyDescent="0.3">
      <c r="A347" s="127">
        <v>44432</v>
      </c>
      <c r="B347" s="64">
        <v>16624.599999999999</v>
      </c>
      <c r="D347" s="127">
        <v>44432</v>
      </c>
      <c r="E347" s="64">
        <v>29.42</v>
      </c>
      <c r="H347" s="128">
        <f t="shared" si="10"/>
        <v>7.7683380363652698E-3</v>
      </c>
      <c r="I347" s="128">
        <f t="shared" si="11"/>
        <v>5.4102472232174903E-2</v>
      </c>
    </row>
    <row r="348" spans="1:9" ht="14.25" customHeight="1" x14ac:dyDescent="0.3">
      <c r="A348" s="127">
        <v>44433</v>
      </c>
      <c r="B348" s="64">
        <v>16634.650000000001</v>
      </c>
      <c r="D348" s="127">
        <v>44433</v>
      </c>
      <c r="E348" s="64">
        <v>29.71</v>
      </c>
      <c r="H348" s="128">
        <f t="shared" si="10"/>
        <v>6.0452582317787598E-4</v>
      </c>
      <c r="I348" s="128">
        <f t="shared" si="11"/>
        <v>9.8572399728075796E-3</v>
      </c>
    </row>
    <row r="349" spans="1:9" ht="14.25" customHeight="1" x14ac:dyDescent="0.3">
      <c r="A349" s="127">
        <v>44434</v>
      </c>
      <c r="B349" s="64">
        <v>16636.900000000001</v>
      </c>
      <c r="D349" s="127">
        <v>44434</v>
      </c>
      <c r="E349" s="64">
        <v>28.25</v>
      </c>
      <c r="H349" s="128">
        <f t="shared" si="10"/>
        <v>1.35259834141386E-4</v>
      </c>
      <c r="I349" s="128">
        <f t="shared" si="11"/>
        <v>-4.9141703130259201E-2</v>
      </c>
    </row>
    <row r="350" spans="1:9" ht="14.25" customHeight="1" x14ac:dyDescent="0.3">
      <c r="A350" s="127">
        <v>44435</v>
      </c>
      <c r="B350" s="64">
        <v>16705.2</v>
      </c>
      <c r="D350" s="127">
        <v>44435</v>
      </c>
      <c r="E350" s="64">
        <v>28.94</v>
      </c>
      <c r="H350" s="128">
        <f t="shared" si="10"/>
        <v>4.1053321231719403E-3</v>
      </c>
      <c r="I350" s="128">
        <f t="shared" si="11"/>
        <v>2.4424778761061999E-2</v>
      </c>
    </row>
    <row r="351" spans="1:9" ht="14.25" customHeight="1" x14ac:dyDescent="0.3">
      <c r="A351" s="127">
        <v>44438</v>
      </c>
      <c r="B351" s="64">
        <v>16931.05</v>
      </c>
      <c r="D351" s="127">
        <v>44438</v>
      </c>
      <c r="E351" s="64">
        <v>29.58</v>
      </c>
      <c r="H351" s="128">
        <f t="shared" si="10"/>
        <v>1.3519742355673599E-2</v>
      </c>
      <c r="I351" s="128">
        <f t="shared" si="11"/>
        <v>2.2114720110573499E-2</v>
      </c>
    </row>
    <row r="352" spans="1:9" ht="14.25" customHeight="1" x14ac:dyDescent="0.3">
      <c r="A352" s="127">
        <v>44439</v>
      </c>
      <c r="B352" s="64">
        <v>17132.2</v>
      </c>
      <c r="D352" s="127">
        <v>44439</v>
      </c>
      <c r="E352" s="64">
        <v>29.29</v>
      </c>
      <c r="H352" s="128">
        <f t="shared" si="10"/>
        <v>1.1880539009689399E-2</v>
      </c>
      <c r="I352" s="128">
        <f t="shared" si="11"/>
        <v>-9.8039215686274196E-3</v>
      </c>
    </row>
    <row r="353" spans="1:9" ht="14.25" customHeight="1" x14ac:dyDescent="0.3">
      <c r="A353" s="127">
        <v>44440</v>
      </c>
      <c r="B353" s="64">
        <v>17076.25</v>
      </c>
      <c r="D353" s="127">
        <v>44440</v>
      </c>
      <c r="E353" s="64">
        <v>28.94</v>
      </c>
      <c r="H353" s="128">
        <f t="shared" si="10"/>
        <v>-3.2657802267076499E-3</v>
      </c>
      <c r="I353" s="128">
        <f t="shared" si="11"/>
        <v>-1.1949470809149799E-2</v>
      </c>
    </row>
    <row r="354" spans="1:9" ht="14.25" customHeight="1" x14ac:dyDescent="0.3">
      <c r="A354" s="127">
        <v>44441</v>
      </c>
      <c r="B354" s="64">
        <v>17234.150000000001</v>
      </c>
      <c r="D354" s="127">
        <v>44441</v>
      </c>
      <c r="E354" s="64">
        <v>29.15</v>
      </c>
      <c r="H354" s="128">
        <f t="shared" si="10"/>
        <v>9.2467608520606995E-3</v>
      </c>
      <c r="I354" s="128">
        <f t="shared" si="11"/>
        <v>7.25639253628187E-3</v>
      </c>
    </row>
    <row r="355" spans="1:9" ht="14.25" customHeight="1" x14ac:dyDescent="0.3">
      <c r="A355" s="127">
        <v>44442</v>
      </c>
      <c r="B355" s="64">
        <v>17323.599999999999</v>
      </c>
      <c r="D355" s="127">
        <v>44442</v>
      </c>
      <c r="E355" s="64">
        <v>29.4</v>
      </c>
      <c r="H355" s="128">
        <f t="shared" si="10"/>
        <v>5.1902762828452296E-3</v>
      </c>
      <c r="I355" s="128">
        <f t="shared" si="11"/>
        <v>8.5763293310463107E-3</v>
      </c>
    </row>
    <row r="356" spans="1:9" ht="14.25" customHeight="1" x14ac:dyDescent="0.3">
      <c r="A356" s="127">
        <v>44445</v>
      </c>
      <c r="B356" s="64">
        <v>17377.8</v>
      </c>
      <c r="D356" s="127">
        <v>44445</v>
      </c>
      <c r="E356" s="64">
        <v>29.22</v>
      </c>
      <c r="H356" s="128">
        <f t="shared" si="10"/>
        <v>3.1286799510494801E-3</v>
      </c>
      <c r="I356" s="128">
        <f t="shared" si="11"/>
        <v>-6.1224489795918303E-3</v>
      </c>
    </row>
    <row r="357" spans="1:9" ht="14.25" customHeight="1" x14ac:dyDescent="0.3">
      <c r="A357" s="127">
        <v>44446</v>
      </c>
      <c r="B357" s="64">
        <v>17362.099999999999</v>
      </c>
      <c r="D357" s="127">
        <v>44446</v>
      </c>
      <c r="E357" s="64">
        <v>28.78</v>
      </c>
      <c r="H357" s="128">
        <f t="shared" si="10"/>
        <v>-9.0345153011317503E-4</v>
      </c>
      <c r="I357" s="128">
        <f t="shared" si="11"/>
        <v>-1.50581793292265E-2</v>
      </c>
    </row>
    <row r="358" spans="1:9" ht="14.25" customHeight="1" x14ac:dyDescent="0.3">
      <c r="A358" s="127">
        <v>44447</v>
      </c>
      <c r="B358" s="64">
        <v>17353.5</v>
      </c>
      <c r="D358" s="127">
        <v>44447</v>
      </c>
      <c r="E358" s="64">
        <v>28.95</v>
      </c>
      <c r="H358" s="128">
        <f t="shared" si="10"/>
        <v>-4.9533178590139095E-4</v>
      </c>
      <c r="I358" s="128">
        <f t="shared" si="11"/>
        <v>5.9068797776232898E-3</v>
      </c>
    </row>
    <row r="359" spans="1:9" ht="14.25" customHeight="1" x14ac:dyDescent="0.3">
      <c r="A359" s="127">
        <v>44448</v>
      </c>
      <c r="B359" s="64">
        <v>17369.25</v>
      </c>
      <c r="D359" s="127">
        <v>44448</v>
      </c>
      <c r="E359" s="64">
        <v>28.9</v>
      </c>
      <c r="H359" s="128">
        <f t="shared" si="10"/>
        <v>9.0759789091537696E-4</v>
      </c>
      <c r="I359" s="128">
        <f t="shared" si="11"/>
        <v>-1.7271157167530499E-3</v>
      </c>
    </row>
    <row r="360" spans="1:9" ht="14.25" customHeight="1" x14ac:dyDescent="0.3">
      <c r="A360" s="127">
        <v>44452</v>
      </c>
      <c r="B360" s="64">
        <v>17355.3</v>
      </c>
      <c r="D360" s="127">
        <v>44452</v>
      </c>
      <c r="E360" s="64">
        <v>28.82</v>
      </c>
      <c r="H360" s="128">
        <f t="shared" si="10"/>
        <v>-8.03143486333649E-4</v>
      </c>
      <c r="I360" s="128">
        <f t="shared" si="11"/>
        <v>-2.7681660899653402E-3</v>
      </c>
    </row>
    <row r="361" spans="1:9" ht="14.25" customHeight="1" x14ac:dyDescent="0.3">
      <c r="A361" s="127">
        <v>44453</v>
      </c>
      <c r="B361" s="64">
        <v>17380</v>
      </c>
      <c r="D361" s="127">
        <v>44453</v>
      </c>
      <c r="E361" s="64">
        <v>28.88</v>
      </c>
      <c r="H361" s="128">
        <f t="shared" si="10"/>
        <v>1.42319637228977E-3</v>
      </c>
      <c r="I361" s="128">
        <f t="shared" si="11"/>
        <v>2.0818875780707399E-3</v>
      </c>
    </row>
    <row r="362" spans="1:9" ht="14.25" customHeight="1" x14ac:dyDescent="0.3">
      <c r="A362" s="127">
        <v>44454</v>
      </c>
      <c r="B362" s="64">
        <v>17519.45</v>
      </c>
      <c r="D362" s="127">
        <v>44454</v>
      </c>
      <c r="E362" s="64">
        <v>29.33</v>
      </c>
      <c r="H362" s="128">
        <f t="shared" si="10"/>
        <v>8.0235903337169592E-3</v>
      </c>
      <c r="I362" s="128">
        <f t="shared" si="11"/>
        <v>1.5581717451523499E-2</v>
      </c>
    </row>
    <row r="363" spans="1:9" ht="14.25" customHeight="1" x14ac:dyDescent="0.3">
      <c r="A363" s="127">
        <v>44455</v>
      </c>
      <c r="B363" s="64">
        <v>17629.5</v>
      </c>
      <c r="D363" s="127">
        <v>44455</v>
      </c>
      <c r="E363" s="64">
        <v>28.92</v>
      </c>
      <c r="H363" s="128">
        <f t="shared" si="10"/>
        <v>6.2815898900935403E-3</v>
      </c>
      <c r="I363" s="128">
        <f t="shared" si="11"/>
        <v>-1.3978861234231E-2</v>
      </c>
    </row>
    <row r="364" spans="1:9" ht="14.25" customHeight="1" x14ac:dyDescent="0.3">
      <c r="A364" s="127">
        <v>44456</v>
      </c>
      <c r="B364" s="64">
        <v>17585.150000000001</v>
      </c>
      <c r="D364" s="127">
        <v>44456</v>
      </c>
      <c r="E364" s="64">
        <v>28.03</v>
      </c>
      <c r="H364" s="128">
        <f t="shared" si="10"/>
        <v>-2.5156697580758702E-3</v>
      </c>
      <c r="I364" s="128">
        <f t="shared" si="11"/>
        <v>-3.0774550484094099E-2</v>
      </c>
    </row>
    <row r="365" spans="1:9" ht="14.25" customHeight="1" x14ac:dyDescent="0.3">
      <c r="A365" s="127">
        <v>44459</v>
      </c>
      <c r="B365" s="64">
        <v>17396.900000000001</v>
      </c>
      <c r="D365" s="127">
        <v>44459</v>
      </c>
      <c r="E365" s="64">
        <v>25.86</v>
      </c>
      <c r="H365" s="128">
        <f t="shared" si="10"/>
        <v>-1.07050551175281E-2</v>
      </c>
      <c r="I365" s="128">
        <f t="shared" si="11"/>
        <v>-7.7417053157331495E-2</v>
      </c>
    </row>
    <row r="366" spans="1:9" ht="14.25" customHeight="1" x14ac:dyDescent="0.3">
      <c r="A366" s="127">
        <v>44460</v>
      </c>
      <c r="B366" s="64">
        <v>17562</v>
      </c>
      <c r="D366" s="127">
        <v>44460</v>
      </c>
      <c r="E366" s="64">
        <v>26.26</v>
      </c>
      <c r="H366" s="128">
        <f t="shared" si="10"/>
        <v>9.4901965292666195E-3</v>
      </c>
      <c r="I366" s="128">
        <f t="shared" si="11"/>
        <v>1.5467904098994701E-2</v>
      </c>
    </row>
    <row r="367" spans="1:9" ht="14.25" customHeight="1" x14ac:dyDescent="0.3">
      <c r="A367" s="127">
        <v>44461</v>
      </c>
      <c r="B367" s="64">
        <v>17546.650000000001</v>
      </c>
      <c r="D367" s="127">
        <v>44461</v>
      </c>
      <c r="E367" s="64">
        <v>27.49</v>
      </c>
      <c r="H367" s="128">
        <f t="shared" si="10"/>
        <v>-8.7404623619169496E-4</v>
      </c>
      <c r="I367" s="128">
        <f t="shared" si="11"/>
        <v>4.6839299314546702E-2</v>
      </c>
    </row>
    <row r="368" spans="1:9" ht="14.25" customHeight="1" x14ac:dyDescent="0.3">
      <c r="A368" s="127">
        <v>44462</v>
      </c>
      <c r="B368" s="64">
        <v>17822.95</v>
      </c>
      <c r="D368" s="127">
        <v>44462</v>
      </c>
      <c r="E368" s="64">
        <v>27.17</v>
      </c>
      <c r="H368" s="128">
        <f t="shared" si="10"/>
        <v>1.5746595503985002E-2</v>
      </c>
      <c r="I368" s="128">
        <f t="shared" si="11"/>
        <v>-1.16405965805746E-2</v>
      </c>
    </row>
    <row r="369" spans="1:9" ht="14.25" customHeight="1" x14ac:dyDescent="0.3">
      <c r="A369" s="127">
        <v>44463</v>
      </c>
      <c r="B369" s="64">
        <v>17853.2</v>
      </c>
      <c r="D369" s="127">
        <v>44463</v>
      </c>
      <c r="E369" s="64">
        <v>26.62</v>
      </c>
      <c r="H369" s="128">
        <f t="shared" si="10"/>
        <v>1.6972498940972199E-3</v>
      </c>
      <c r="I369" s="128">
        <f t="shared" si="11"/>
        <v>-2.0242914979757099E-2</v>
      </c>
    </row>
    <row r="370" spans="1:9" ht="14.25" customHeight="1" x14ac:dyDescent="0.3">
      <c r="A370" s="127">
        <v>44466</v>
      </c>
      <c r="B370" s="64">
        <v>17855.099999999999</v>
      </c>
      <c r="D370" s="127">
        <v>44466</v>
      </c>
      <c r="E370" s="64">
        <v>26.59</v>
      </c>
      <c r="H370" s="128">
        <f t="shared" si="10"/>
        <v>1.06423498308304E-4</v>
      </c>
      <c r="I370" s="128">
        <f t="shared" si="11"/>
        <v>-1.12697220135241E-3</v>
      </c>
    </row>
    <row r="371" spans="1:9" ht="14.25" customHeight="1" x14ac:dyDescent="0.3">
      <c r="A371" s="127">
        <v>44467</v>
      </c>
      <c r="B371" s="64">
        <v>17748.599999999999</v>
      </c>
      <c r="D371" s="127">
        <v>44467</v>
      </c>
      <c r="E371" s="64">
        <v>26.72</v>
      </c>
      <c r="H371" s="128">
        <f t="shared" si="10"/>
        <v>-5.9646823596619502E-3</v>
      </c>
      <c r="I371" s="128">
        <f t="shared" si="11"/>
        <v>4.8890560361037599E-3</v>
      </c>
    </row>
    <row r="372" spans="1:9" ht="14.25" customHeight="1" x14ac:dyDescent="0.3">
      <c r="A372" s="127">
        <v>44468</v>
      </c>
      <c r="B372" s="64">
        <v>17711.3</v>
      </c>
      <c r="D372" s="127">
        <v>44468</v>
      </c>
      <c r="E372" s="64">
        <v>27.17</v>
      </c>
      <c r="H372" s="128">
        <f t="shared" si="10"/>
        <v>-2.10157420866994E-3</v>
      </c>
      <c r="I372" s="128">
        <f t="shared" si="11"/>
        <v>1.6841317365269601E-2</v>
      </c>
    </row>
    <row r="373" spans="1:9" ht="14.25" customHeight="1" x14ac:dyDescent="0.3">
      <c r="A373" s="127">
        <v>44469</v>
      </c>
      <c r="B373" s="64">
        <v>17618.150000000001</v>
      </c>
      <c r="D373" s="127">
        <v>44469</v>
      </c>
      <c r="E373" s="64">
        <v>27.19</v>
      </c>
      <c r="H373" s="128">
        <f t="shared" si="10"/>
        <v>-5.2593541976025402E-3</v>
      </c>
      <c r="I373" s="128">
        <f t="shared" si="11"/>
        <v>7.3610599926387805E-4</v>
      </c>
    </row>
    <row r="374" spans="1:9" ht="14.25" customHeight="1" x14ac:dyDescent="0.3">
      <c r="A374" s="127">
        <v>44470</v>
      </c>
      <c r="B374" s="64">
        <v>17532.05</v>
      </c>
      <c r="D374" s="127">
        <v>44470</v>
      </c>
      <c r="E374" s="64">
        <v>27.31</v>
      </c>
      <c r="H374" s="128">
        <f t="shared" si="10"/>
        <v>-4.8870057298866301E-3</v>
      </c>
      <c r="I374" s="128">
        <f t="shared" si="11"/>
        <v>4.41338727473326E-3</v>
      </c>
    </row>
    <row r="375" spans="1:9" ht="14.25" customHeight="1" x14ac:dyDescent="0.3">
      <c r="A375" s="127">
        <v>44473</v>
      </c>
      <c r="B375" s="64">
        <v>17691.25</v>
      </c>
      <c r="D375" s="127">
        <v>44473</v>
      </c>
      <c r="E375" s="64">
        <v>28.22</v>
      </c>
      <c r="H375" s="128">
        <f t="shared" si="10"/>
        <v>9.0805125470210697E-3</v>
      </c>
      <c r="I375" s="128">
        <f t="shared" si="11"/>
        <v>3.3321127792017603E-2</v>
      </c>
    </row>
    <row r="376" spans="1:9" ht="14.25" customHeight="1" x14ac:dyDescent="0.3">
      <c r="A376" s="127">
        <v>44474</v>
      </c>
      <c r="B376" s="64">
        <v>17822.3</v>
      </c>
      <c r="D376" s="127">
        <v>44474</v>
      </c>
      <c r="E376" s="64">
        <v>27.88</v>
      </c>
      <c r="H376" s="128">
        <f t="shared" si="10"/>
        <v>7.4076167596975502E-3</v>
      </c>
      <c r="I376" s="128">
        <f t="shared" si="11"/>
        <v>-1.20481927710843E-2</v>
      </c>
    </row>
    <row r="377" spans="1:9" ht="14.25" customHeight="1" x14ac:dyDescent="0.3">
      <c r="A377" s="127">
        <v>44475</v>
      </c>
      <c r="B377" s="64">
        <v>17646</v>
      </c>
      <c r="D377" s="127">
        <v>44475</v>
      </c>
      <c r="E377" s="64">
        <v>27.26</v>
      </c>
      <c r="H377" s="128">
        <f t="shared" si="10"/>
        <v>-9.8921014683850707E-3</v>
      </c>
      <c r="I377" s="128">
        <f t="shared" si="11"/>
        <v>-2.2238163558106101E-2</v>
      </c>
    </row>
    <row r="378" spans="1:9" ht="14.25" customHeight="1" x14ac:dyDescent="0.3">
      <c r="A378" s="127">
        <v>44476</v>
      </c>
      <c r="B378" s="64">
        <v>17790.349999999999</v>
      </c>
      <c r="D378" s="127">
        <v>44476</v>
      </c>
      <c r="E378" s="64">
        <v>27.45</v>
      </c>
      <c r="H378" s="128">
        <f t="shared" si="10"/>
        <v>8.1803241527824196E-3</v>
      </c>
      <c r="I378" s="128">
        <f t="shared" si="11"/>
        <v>6.9699192956712303E-3</v>
      </c>
    </row>
    <row r="379" spans="1:9" ht="14.25" customHeight="1" x14ac:dyDescent="0.3">
      <c r="A379" s="127">
        <v>44477</v>
      </c>
      <c r="B379" s="64">
        <v>17895.2</v>
      </c>
      <c r="D379" s="127">
        <v>44477</v>
      </c>
      <c r="E379" s="64">
        <v>27.68</v>
      </c>
      <c r="H379" s="128">
        <f t="shared" si="10"/>
        <v>5.8936445882178902E-3</v>
      </c>
      <c r="I379" s="128">
        <f t="shared" si="11"/>
        <v>8.3788706739526594E-3</v>
      </c>
    </row>
    <row r="380" spans="1:9" ht="14.25" customHeight="1" x14ac:dyDescent="0.3">
      <c r="A380" s="127">
        <v>44480</v>
      </c>
      <c r="B380" s="64">
        <v>17945.95</v>
      </c>
      <c r="D380" s="127">
        <v>44480</v>
      </c>
      <c r="E380" s="64">
        <v>29.1</v>
      </c>
      <c r="H380" s="128">
        <f t="shared" si="10"/>
        <v>2.8359560105503199E-3</v>
      </c>
      <c r="I380" s="128">
        <f t="shared" si="11"/>
        <v>5.1300578034682097E-2</v>
      </c>
    </row>
    <row r="381" spans="1:9" ht="14.25" customHeight="1" x14ac:dyDescent="0.3">
      <c r="A381" s="127">
        <v>44481</v>
      </c>
      <c r="B381" s="64">
        <v>17991.95</v>
      </c>
      <c r="D381" s="127">
        <v>44481</v>
      </c>
      <c r="E381" s="64">
        <v>28.83</v>
      </c>
      <c r="H381" s="128">
        <f t="shared" si="10"/>
        <v>2.5632524330002002E-3</v>
      </c>
      <c r="I381" s="128">
        <f t="shared" si="11"/>
        <v>-9.2783505154640303E-3</v>
      </c>
    </row>
    <row r="382" spans="1:9" ht="14.25" customHeight="1" x14ac:dyDescent="0.3">
      <c r="A382" s="127">
        <v>44482</v>
      </c>
      <c r="B382" s="64">
        <v>18161.75</v>
      </c>
      <c r="D382" s="127">
        <v>44482</v>
      </c>
      <c r="E382" s="64">
        <v>28.83</v>
      </c>
      <c r="H382" s="128">
        <f t="shared" si="10"/>
        <v>9.4375540172132108E-3</v>
      </c>
      <c r="I382" s="128">
        <f t="shared" si="11"/>
        <v>0</v>
      </c>
    </row>
    <row r="383" spans="1:9" ht="14.25" customHeight="1" x14ac:dyDescent="0.3">
      <c r="A383" s="127">
        <v>44483</v>
      </c>
      <c r="B383" s="64">
        <v>18338.55</v>
      </c>
      <c r="D383" s="127">
        <v>44483</v>
      </c>
      <c r="E383" s="64">
        <v>29.2</v>
      </c>
      <c r="H383" s="128">
        <f t="shared" si="10"/>
        <v>9.7347447244896194E-3</v>
      </c>
      <c r="I383" s="128">
        <f t="shared" si="11"/>
        <v>1.28338536246965E-2</v>
      </c>
    </row>
    <row r="384" spans="1:9" ht="14.25" customHeight="1" x14ac:dyDescent="0.3">
      <c r="A384" s="127">
        <v>44487</v>
      </c>
      <c r="B384" s="64">
        <v>18477.05</v>
      </c>
      <c r="D384" s="127">
        <v>44487</v>
      </c>
      <c r="E384" s="64">
        <v>29.96</v>
      </c>
      <c r="H384" s="128">
        <f t="shared" si="10"/>
        <v>7.5523964544634099E-3</v>
      </c>
      <c r="I384" s="128">
        <f t="shared" si="11"/>
        <v>2.6027397260274001E-2</v>
      </c>
    </row>
    <row r="385" spans="1:9" ht="14.25" customHeight="1" x14ac:dyDescent="0.3">
      <c r="A385" s="127">
        <v>44488</v>
      </c>
      <c r="B385" s="64">
        <v>18418.75</v>
      </c>
      <c r="D385" s="127">
        <v>44488</v>
      </c>
      <c r="E385" s="64">
        <v>28.97</v>
      </c>
      <c r="H385" s="128">
        <f t="shared" si="10"/>
        <v>-3.1552655862272E-3</v>
      </c>
      <c r="I385" s="128">
        <f t="shared" si="11"/>
        <v>-3.3044058744993401E-2</v>
      </c>
    </row>
    <row r="386" spans="1:9" ht="14.25" customHeight="1" x14ac:dyDescent="0.3">
      <c r="A386" s="127">
        <v>44489</v>
      </c>
      <c r="B386" s="64">
        <v>18266.599999999999</v>
      </c>
      <c r="D386" s="127">
        <v>44489</v>
      </c>
      <c r="E386" s="64">
        <v>28.36</v>
      </c>
      <c r="H386" s="128">
        <f t="shared" si="10"/>
        <v>-8.26060400407202E-3</v>
      </c>
      <c r="I386" s="128">
        <f t="shared" si="11"/>
        <v>-2.1056265101829501E-2</v>
      </c>
    </row>
    <row r="387" spans="1:9" ht="14.25" customHeight="1" x14ac:dyDescent="0.3">
      <c r="A387" s="127">
        <v>44490</v>
      </c>
      <c r="B387" s="64">
        <v>18178.099999999999</v>
      </c>
      <c r="D387" s="127">
        <v>44490</v>
      </c>
      <c r="E387" s="64">
        <v>27.75</v>
      </c>
      <c r="H387" s="128">
        <f t="shared" ref="H387:H450" si="12">(B387-B386)/B386</f>
        <v>-4.8449081930955996E-3</v>
      </c>
      <c r="I387" s="128">
        <f t="shared" ref="I387:I450" si="13">(E387-E386)/E386</f>
        <v>-2.1509167842031E-2</v>
      </c>
    </row>
    <row r="388" spans="1:9" ht="14.25" customHeight="1" x14ac:dyDescent="0.3">
      <c r="A388" s="127">
        <v>44491</v>
      </c>
      <c r="B388" s="64">
        <v>18114.900000000001</v>
      </c>
      <c r="D388" s="127">
        <v>44491</v>
      </c>
      <c r="E388" s="64">
        <v>27.1</v>
      </c>
      <c r="H388" s="128">
        <f t="shared" si="12"/>
        <v>-3.4767109873967599E-3</v>
      </c>
      <c r="I388" s="128">
        <f t="shared" si="13"/>
        <v>-2.3423423423423399E-2</v>
      </c>
    </row>
    <row r="389" spans="1:9" ht="14.25" customHeight="1" x14ac:dyDescent="0.3">
      <c r="A389" s="127">
        <v>44494</v>
      </c>
      <c r="B389" s="64">
        <v>18125.400000000001</v>
      </c>
      <c r="D389" s="127">
        <v>44494</v>
      </c>
      <c r="E389" s="64">
        <v>26.72</v>
      </c>
      <c r="H389" s="128">
        <f t="shared" si="12"/>
        <v>5.7963334050974602E-4</v>
      </c>
      <c r="I389" s="128">
        <f t="shared" si="13"/>
        <v>-1.40221402214023E-2</v>
      </c>
    </row>
    <row r="390" spans="1:9" ht="14.25" customHeight="1" x14ac:dyDescent="0.3">
      <c r="A390" s="127">
        <v>44495</v>
      </c>
      <c r="B390" s="64">
        <v>18268.400000000001</v>
      </c>
      <c r="D390" s="127">
        <v>44495</v>
      </c>
      <c r="E390" s="64">
        <v>27.11</v>
      </c>
      <c r="H390" s="128">
        <f t="shared" si="12"/>
        <v>7.8894810597283406E-3</v>
      </c>
      <c r="I390" s="128">
        <f t="shared" si="13"/>
        <v>1.4595808383233599E-2</v>
      </c>
    </row>
    <row r="391" spans="1:9" ht="14.25" customHeight="1" x14ac:dyDescent="0.3">
      <c r="A391" s="127">
        <v>44496</v>
      </c>
      <c r="B391" s="64">
        <v>18210.95</v>
      </c>
      <c r="D391" s="127">
        <v>44496</v>
      </c>
      <c r="E391" s="64">
        <v>26.68</v>
      </c>
      <c r="H391" s="128">
        <f t="shared" si="12"/>
        <v>-3.1447745834337301E-3</v>
      </c>
      <c r="I391" s="128">
        <f t="shared" si="13"/>
        <v>-1.58613057912209E-2</v>
      </c>
    </row>
    <row r="392" spans="1:9" ht="14.25" customHeight="1" x14ac:dyDescent="0.3">
      <c r="A392" s="127">
        <v>44497</v>
      </c>
      <c r="B392" s="64">
        <v>17857.25</v>
      </c>
      <c r="D392" s="127">
        <v>44497</v>
      </c>
      <c r="E392" s="64">
        <v>25.58</v>
      </c>
      <c r="H392" s="128">
        <f t="shared" si="12"/>
        <v>-1.94223804908586E-2</v>
      </c>
      <c r="I392" s="128">
        <f t="shared" si="13"/>
        <v>-4.1229385307346399E-2</v>
      </c>
    </row>
    <row r="393" spans="1:9" ht="14.25" customHeight="1" x14ac:dyDescent="0.3">
      <c r="A393" s="127">
        <v>44498</v>
      </c>
      <c r="B393" s="64">
        <v>17671.650000000001</v>
      </c>
      <c r="D393" s="127">
        <v>44498</v>
      </c>
      <c r="E393" s="64">
        <v>27.22</v>
      </c>
      <c r="H393" s="128">
        <f t="shared" si="12"/>
        <v>-1.0393537638774099E-2</v>
      </c>
      <c r="I393" s="128">
        <f t="shared" si="13"/>
        <v>6.4112587959343298E-2</v>
      </c>
    </row>
    <row r="394" spans="1:9" ht="14.25" customHeight="1" x14ac:dyDescent="0.3">
      <c r="A394" s="127">
        <v>44501</v>
      </c>
      <c r="B394" s="64">
        <v>17929.650000000001</v>
      </c>
      <c r="D394" s="127">
        <v>44501</v>
      </c>
      <c r="E394" s="64">
        <v>27.69</v>
      </c>
      <c r="H394" s="128">
        <f t="shared" si="12"/>
        <v>1.45996553802277E-2</v>
      </c>
      <c r="I394" s="128">
        <f t="shared" si="13"/>
        <v>1.7266715650257301E-2</v>
      </c>
    </row>
    <row r="395" spans="1:9" ht="14.25" customHeight="1" x14ac:dyDescent="0.3">
      <c r="A395" s="127">
        <v>44502</v>
      </c>
      <c r="B395" s="64">
        <v>17888.95</v>
      </c>
      <c r="D395" s="127">
        <v>44502</v>
      </c>
      <c r="E395" s="64">
        <v>26.97</v>
      </c>
      <c r="H395" s="128">
        <f t="shared" si="12"/>
        <v>-2.26998296118445E-3</v>
      </c>
      <c r="I395" s="128">
        <f t="shared" si="13"/>
        <v>-2.6002166847237398E-2</v>
      </c>
    </row>
    <row r="396" spans="1:9" ht="14.25" customHeight="1" x14ac:dyDescent="0.3">
      <c r="A396" s="127">
        <v>44503</v>
      </c>
      <c r="B396" s="64">
        <v>17829.2</v>
      </c>
      <c r="D396" s="127">
        <v>44503</v>
      </c>
      <c r="E396" s="64">
        <v>26.98</v>
      </c>
      <c r="H396" s="128">
        <f t="shared" si="12"/>
        <v>-3.3400507016901498E-3</v>
      </c>
      <c r="I396" s="128">
        <f t="shared" si="13"/>
        <v>3.7078235076016202E-4</v>
      </c>
    </row>
    <row r="397" spans="1:9" ht="14.25" customHeight="1" x14ac:dyDescent="0.3">
      <c r="A397" s="127">
        <v>44504</v>
      </c>
      <c r="B397" s="64">
        <v>17916.8</v>
      </c>
      <c r="D397" s="127">
        <v>44504</v>
      </c>
      <c r="E397" s="64">
        <v>27.07</v>
      </c>
      <c r="H397" s="128">
        <f t="shared" si="12"/>
        <v>4.9132883135529701E-3</v>
      </c>
      <c r="I397" s="128">
        <f t="shared" si="13"/>
        <v>3.33580429948109E-3</v>
      </c>
    </row>
    <row r="398" spans="1:9" ht="14.25" customHeight="1" x14ac:dyDescent="0.3">
      <c r="A398" s="127">
        <v>44508</v>
      </c>
      <c r="B398" s="64">
        <v>18068.55</v>
      </c>
      <c r="D398" s="127">
        <v>44508</v>
      </c>
      <c r="E398" s="64">
        <v>27.62</v>
      </c>
      <c r="H398" s="128">
        <f t="shared" si="12"/>
        <v>8.4697044115020492E-3</v>
      </c>
      <c r="I398" s="128">
        <f t="shared" si="13"/>
        <v>2.0317694865164399E-2</v>
      </c>
    </row>
    <row r="399" spans="1:9" ht="14.25" customHeight="1" x14ac:dyDescent="0.3">
      <c r="A399" s="127">
        <v>44509</v>
      </c>
      <c r="B399" s="64">
        <v>18044.25</v>
      </c>
      <c r="D399" s="127">
        <v>44509</v>
      </c>
      <c r="E399" s="64">
        <v>28.1</v>
      </c>
      <c r="H399" s="128">
        <f t="shared" si="12"/>
        <v>-1.3448782553109799E-3</v>
      </c>
      <c r="I399" s="128">
        <f t="shared" si="13"/>
        <v>1.7378711078928299E-2</v>
      </c>
    </row>
    <row r="400" spans="1:9" ht="14.25" customHeight="1" x14ac:dyDescent="0.3">
      <c r="A400" s="127">
        <v>44510</v>
      </c>
      <c r="B400" s="64">
        <v>18017.2</v>
      </c>
      <c r="D400" s="127">
        <v>44510</v>
      </c>
      <c r="E400" s="64">
        <v>27.43</v>
      </c>
      <c r="H400" s="128">
        <f t="shared" si="12"/>
        <v>-1.4990925086938601E-3</v>
      </c>
      <c r="I400" s="128">
        <f t="shared" si="13"/>
        <v>-2.3843416370106799E-2</v>
      </c>
    </row>
    <row r="401" spans="1:9" ht="14.25" customHeight="1" x14ac:dyDescent="0.3">
      <c r="A401" s="127">
        <v>44511</v>
      </c>
      <c r="B401" s="64">
        <v>17873.599999999999</v>
      </c>
      <c r="D401" s="127">
        <v>44511</v>
      </c>
      <c r="E401" s="64">
        <v>27.5</v>
      </c>
      <c r="H401" s="128">
        <f t="shared" si="12"/>
        <v>-7.9701618453478992E-3</v>
      </c>
      <c r="I401" s="128">
        <f t="shared" si="13"/>
        <v>2.55195041924901E-3</v>
      </c>
    </row>
    <row r="402" spans="1:9" ht="14.25" customHeight="1" x14ac:dyDescent="0.3">
      <c r="A402" s="127">
        <v>44512</v>
      </c>
      <c r="B402" s="64">
        <v>18102.75</v>
      </c>
      <c r="D402" s="127">
        <v>44512</v>
      </c>
      <c r="E402" s="64">
        <v>27.2</v>
      </c>
      <c r="H402" s="128">
        <f t="shared" si="12"/>
        <v>1.28205845492795E-2</v>
      </c>
      <c r="I402" s="128">
        <f t="shared" si="13"/>
        <v>-1.09090909090909E-2</v>
      </c>
    </row>
    <row r="403" spans="1:9" ht="14.25" customHeight="1" x14ac:dyDescent="0.3">
      <c r="A403" s="127">
        <v>44515</v>
      </c>
      <c r="B403" s="64">
        <v>18109.45</v>
      </c>
      <c r="D403" s="127">
        <v>44515</v>
      </c>
      <c r="E403" s="64">
        <v>26.66</v>
      </c>
      <c r="H403" s="128">
        <f t="shared" si="12"/>
        <v>3.70109513747951E-4</v>
      </c>
      <c r="I403" s="128">
        <f t="shared" si="13"/>
        <v>-1.9852941176470601E-2</v>
      </c>
    </row>
    <row r="404" spans="1:9" ht="14.25" customHeight="1" x14ac:dyDescent="0.3">
      <c r="A404" s="127">
        <v>44516</v>
      </c>
      <c r="B404" s="64">
        <v>17999.2</v>
      </c>
      <c r="D404" s="127">
        <v>44516</v>
      </c>
      <c r="E404" s="64">
        <v>26.52</v>
      </c>
      <c r="H404" s="128">
        <f t="shared" si="12"/>
        <v>-6.0879816891181099E-3</v>
      </c>
      <c r="I404" s="128">
        <f t="shared" si="13"/>
        <v>-5.2513128282070699E-3</v>
      </c>
    </row>
    <row r="405" spans="1:9" ht="14.25" customHeight="1" x14ac:dyDescent="0.3">
      <c r="A405" s="127">
        <v>44517</v>
      </c>
      <c r="B405" s="64">
        <v>17898.650000000001</v>
      </c>
      <c r="D405" s="127">
        <v>44517</v>
      </c>
      <c r="E405" s="64">
        <v>26.28</v>
      </c>
      <c r="H405" s="128">
        <f t="shared" si="12"/>
        <v>-5.5863593937507897E-3</v>
      </c>
      <c r="I405" s="128">
        <f t="shared" si="13"/>
        <v>-9.0497737556560504E-3</v>
      </c>
    </row>
    <row r="406" spans="1:9" ht="14.25" customHeight="1" x14ac:dyDescent="0.3">
      <c r="A406" s="127">
        <v>44518</v>
      </c>
      <c r="B406" s="64">
        <v>17764.8</v>
      </c>
      <c r="D406" s="127">
        <v>44518</v>
      </c>
      <c r="E406" s="64">
        <v>25.82</v>
      </c>
      <c r="H406" s="128">
        <f t="shared" si="12"/>
        <v>-7.4782176309387697E-3</v>
      </c>
      <c r="I406" s="128">
        <f t="shared" si="13"/>
        <v>-1.7503805175038099E-2</v>
      </c>
    </row>
    <row r="407" spans="1:9" ht="14.25" customHeight="1" x14ac:dyDescent="0.3">
      <c r="A407" s="127">
        <v>44522</v>
      </c>
      <c r="B407" s="64">
        <v>17416.55</v>
      </c>
      <c r="D407" s="127">
        <v>44522</v>
      </c>
      <c r="E407" s="64">
        <v>25.78</v>
      </c>
      <c r="H407" s="128">
        <f t="shared" si="12"/>
        <v>-1.96033729622625E-2</v>
      </c>
      <c r="I407" s="128">
        <f t="shared" si="13"/>
        <v>-1.54918667699454E-3</v>
      </c>
    </row>
    <row r="408" spans="1:9" ht="14.25" customHeight="1" x14ac:dyDescent="0.3">
      <c r="A408" s="127">
        <v>44523</v>
      </c>
      <c r="B408" s="64">
        <v>17503.349999999999</v>
      </c>
      <c r="D408" s="127">
        <v>44523</v>
      </c>
      <c r="E408" s="64">
        <v>27.05</v>
      </c>
      <c r="H408" s="128">
        <f t="shared" si="12"/>
        <v>4.9837654414909499E-3</v>
      </c>
      <c r="I408" s="128">
        <f t="shared" si="13"/>
        <v>4.9262994569433699E-2</v>
      </c>
    </row>
    <row r="409" spans="1:9" ht="14.25" customHeight="1" x14ac:dyDescent="0.3">
      <c r="A409" s="127">
        <v>44524</v>
      </c>
      <c r="B409" s="64">
        <v>17415.05</v>
      </c>
      <c r="D409" s="127">
        <v>44524</v>
      </c>
      <c r="E409" s="64">
        <v>27.19</v>
      </c>
      <c r="H409" s="128">
        <f t="shared" si="12"/>
        <v>-5.0447485767009899E-3</v>
      </c>
      <c r="I409" s="128">
        <f t="shared" si="13"/>
        <v>5.1756007393715603E-3</v>
      </c>
    </row>
    <row r="410" spans="1:9" ht="14.25" customHeight="1" x14ac:dyDescent="0.3">
      <c r="A410" s="127">
        <v>44525</v>
      </c>
      <c r="B410" s="64">
        <v>17536.25</v>
      </c>
      <c r="D410" s="127">
        <v>44525</v>
      </c>
      <c r="E410" s="64">
        <v>27.19</v>
      </c>
      <c r="H410" s="128">
        <f t="shared" si="12"/>
        <v>6.9594976758608597E-3</v>
      </c>
      <c r="I410" s="128">
        <f t="shared" si="13"/>
        <v>0</v>
      </c>
    </row>
    <row r="411" spans="1:9" ht="14.25" customHeight="1" x14ac:dyDescent="0.3">
      <c r="A411" s="127">
        <v>44526</v>
      </c>
      <c r="B411" s="64">
        <v>17026.45</v>
      </c>
      <c r="D411" s="127">
        <v>44526</v>
      </c>
      <c r="E411" s="64">
        <v>25.84</v>
      </c>
      <c r="H411" s="128">
        <f t="shared" si="12"/>
        <v>-2.9071209637180101E-2</v>
      </c>
      <c r="I411" s="128">
        <f t="shared" si="13"/>
        <v>-4.9650606840750303E-2</v>
      </c>
    </row>
    <row r="412" spans="1:9" ht="14.25" customHeight="1" x14ac:dyDescent="0.3">
      <c r="A412" s="127">
        <v>44529</v>
      </c>
      <c r="B412" s="64">
        <v>17053.95</v>
      </c>
      <c r="D412" s="127">
        <v>44529</v>
      </c>
      <c r="E412" s="64">
        <v>25.66</v>
      </c>
      <c r="H412" s="128">
        <f t="shared" si="12"/>
        <v>1.6151341001794299E-3</v>
      </c>
      <c r="I412" s="128">
        <f t="shared" si="13"/>
        <v>-6.9659442724458098E-3</v>
      </c>
    </row>
    <row r="413" spans="1:9" ht="14.25" customHeight="1" x14ac:dyDescent="0.3">
      <c r="A413" s="127">
        <v>44530</v>
      </c>
      <c r="B413" s="64">
        <v>16983.2</v>
      </c>
      <c r="D413" s="127">
        <v>44530</v>
      </c>
      <c r="E413" s="64">
        <v>25.26</v>
      </c>
      <c r="H413" s="128">
        <f t="shared" si="12"/>
        <v>-4.1485990049226103E-3</v>
      </c>
      <c r="I413" s="128">
        <f t="shared" si="13"/>
        <v>-1.55884645362431E-2</v>
      </c>
    </row>
    <row r="414" spans="1:9" ht="14.25" customHeight="1" x14ac:dyDescent="0.3">
      <c r="A414" s="127">
        <v>44531</v>
      </c>
      <c r="B414" s="64">
        <v>17166.900000000001</v>
      </c>
      <c r="D414" s="127">
        <v>44531</v>
      </c>
      <c r="E414" s="64">
        <v>26.16</v>
      </c>
      <c r="H414" s="128">
        <f t="shared" si="12"/>
        <v>1.0816571670827699E-2</v>
      </c>
      <c r="I414" s="128">
        <f t="shared" si="13"/>
        <v>3.5629453681710201E-2</v>
      </c>
    </row>
    <row r="415" spans="1:9" ht="14.25" customHeight="1" x14ac:dyDescent="0.3">
      <c r="A415" s="127">
        <v>44532</v>
      </c>
      <c r="B415" s="64">
        <v>17401.650000000001</v>
      </c>
      <c r="D415" s="127">
        <v>44532</v>
      </c>
      <c r="E415" s="64">
        <v>26.92</v>
      </c>
      <c r="H415" s="128">
        <f t="shared" si="12"/>
        <v>1.36745714135924E-2</v>
      </c>
      <c r="I415" s="128">
        <f t="shared" si="13"/>
        <v>2.9051987767584199E-2</v>
      </c>
    </row>
    <row r="416" spans="1:9" ht="14.25" customHeight="1" x14ac:dyDescent="0.3">
      <c r="A416" s="127">
        <v>44533</v>
      </c>
      <c r="B416" s="64">
        <v>17196.7</v>
      </c>
      <c r="D416" s="127">
        <v>44533</v>
      </c>
      <c r="E416" s="64">
        <v>27.75</v>
      </c>
      <c r="H416" s="128">
        <f t="shared" si="12"/>
        <v>-1.1777618789022899E-2</v>
      </c>
      <c r="I416" s="128">
        <f t="shared" si="13"/>
        <v>3.0832095096582399E-2</v>
      </c>
    </row>
    <row r="417" spans="1:9" ht="14.25" customHeight="1" x14ac:dyDescent="0.3">
      <c r="A417" s="127">
        <v>44536</v>
      </c>
      <c r="B417" s="64">
        <v>16912.25</v>
      </c>
      <c r="D417" s="127">
        <v>44536</v>
      </c>
      <c r="E417" s="64">
        <v>27.18</v>
      </c>
      <c r="H417" s="128">
        <f t="shared" si="12"/>
        <v>-1.6540964254769901E-2</v>
      </c>
      <c r="I417" s="128">
        <f t="shared" si="13"/>
        <v>-2.0540540540540501E-2</v>
      </c>
    </row>
    <row r="418" spans="1:9" ht="14.25" customHeight="1" x14ac:dyDescent="0.3">
      <c r="A418" s="127">
        <v>44537</v>
      </c>
      <c r="B418" s="64">
        <v>17176.7</v>
      </c>
      <c r="D418" s="127">
        <v>44537</v>
      </c>
      <c r="E418" s="64">
        <v>27.63</v>
      </c>
      <c r="H418" s="128">
        <f t="shared" si="12"/>
        <v>1.5636594775975999E-2</v>
      </c>
      <c r="I418" s="128">
        <f t="shared" si="13"/>
        <v>1.6556291390728499E-2</v>
      </c>
    </row>
    <row r="419" spans="1:9" ht="14.25" customHeight="1" x14ac:dyDescent="0.3">
      <c r="A419" s="127">
        <v>44538</v>
      </c>
      <c r="B419" s="64">
        <v>17469.75</v>
      </c>
      <c r="D419" s="127">
        <v>44538</v>
      </c>
      <c r="E419" s="64">
        <v>27.94</v>
      </c>
      <c r="H419" s="128">
        <f t="shared" si="12"/>
        <v>1.7060902268771001E-2</v>
      </c>
      <c r="I419" s="128">
        <f t="shared" si="13"/>
        <v>1.12196887441188E-2</v>
      </c>
    </row>
    <row r="420" spans="1:9" ht="14.25" customHeight="1" x14ac:dyDescent="0.3">
      <c r="A420" s="127">
        <v>44539</v>
      </c>
      <c r="B420" s="64">
        <v>17516.849999999999</v>
      </c>
      <c r="D420" s="127">
        <v>44539</v>
      </c>
      <c r="E420" s="64">
        <v>27.96</v>
      </c>
      <c r="H420" s="128">
        <f t="shared" si="12"/>
        <v>2.6960889537628501E-3</v>
      </c>
      <c r="I420" s="128">
        <f t="shared" si="13"/>
        <v>7.1581961345739298E-4</v>
      </c>
    </row>
    <row r="421" spans="1:9" ht="14.25" customHeight="1" x14ac:dyDescent="0.3">
      <c r="A421" s="127">
        <v>44540</v>
      </c>
      <c r="B421" s="64">
        <v>17511.3</v>
      </c>
      <c r="D421" s="127">
        <v>44540</v>
      </c>
      <c r="E421" s="64">
        <v>28.12</v>
      </c>
      <c r="H421" s="128">
        <f t="shared" si="12"/>
        <v>-3.1683778761588298E-4</v>
      </c>
      <c r="I421" s="128">
        <f t="shared" si="13"/>
        <v>5.72246065808298E-3</v>
      </c>
    </row>
    <row r="422" spans="1:9" ht="14.25" customHeight="1" x14ac:dyDescent="0.3">
      <c r="A422" s="127">
        <v>44543</v>
      </c>
      <c r="B422" s="64">
        <v>17368.25</v>
      </c>
      <c r="D422" s="127">
        <v>44543</v>
      </c>
      <c r="E422" s="64">
        <v>28.05</v>
      </c>
      <c r="H422" s="128">
        <f t="shared" si="12"/>
        <v>-8.16901086726852E-3</v>
      </c>
      <c r="I422" s="128">
        <f t="shared" si="13"/>
        <v>-2.4893314366998699E-3</v>
      </c>
    </row>
    <row r="423" spans="1:9" ht="14.25" customHeight="1" x14ac:dyDescent="0.3">
      <c r="A423" s="127">
        <v>44544</v>
      </c>
      <c r="B423" s="64">
        <v>17324.900000000001</v>
      </c>
      <c r="D423" s="127">
        <v>44544</v>
      </c>
      <c r="E423" s="64">
        <v>28.64</v>
      </c>
      <c r="H423" s="128">
        <f t="shared" si="12"/>
        <v>-2.4959336720739599E-3</v>
      </c>
      <c r="I423" s="128">
        <f t="shared" si="13"/>
        <v>2.1033868092691602E-2</v>
      </c>
    </row>
    <row r="424" spans="1:9" ht="14.25" customHeight="1" x14ac:dyDescent="0.3">
      <c r="A424" s="127">
        <v>44545</v>
      </c>
      <c r="B424" s="64">
        <v>17221.400000000001</v>
      </c>
      <c r="D424" s="127">
        <v>44545</v>
      </c>
      <c r="E424" s="64">
        <v>28.47</v>
      </c>
      <c r="H424" s="128">
        <f t="shared" si="12"/>
        <v>-5.9740604563374104E-3</v>
      </c>
      <c r="I424" s="128">
        <f t="shared" si="13"/>
        <v>-5.9357541899441903E-3</v>
      </c>
    </row>
    <row r="425" spans="1:9" ht="14.25" customHeight="1" x14ac:dyDescent="0.3">
      <c r="A425" s="127">
        <v>44546</v>
      </c>
      <c r="B425" s="64">
        <v>17248.400000000001</v>
      </c>
      <c r="D425" s="127">
        <v>44546</v>
      </c>
      <c r="E425" s="64">
        <v>28.19</v>
      </c>
      <c r="H425" s="128">
        <f t="shared" si="12"/>
        <v>1.56781678609172E-3</v>
      </c>
      <c r="I425" s="128">
        <f t="shared" si="13"/>
        <v>-9.8349139445029002E-3</v>
      </c>
    </row>
    <row r="426" spans="1:9" ht="14.25" customHeight="1" x14ac:dyDescent="0.3">
      <c r="A426" s="127">
        <v>44547</v>
      </c>
      <c r="B426" s="64">
        <v>16985.2</v>
      </c>
      <c r="D426" s="127">
        <v>44547</v>
      </c>
      <c r="E426" s="64">
        <v>27.88</v>
      </c>
      <c r="H426" s="128">
        <f t="shared" si="12"/>
        <v>-1.5259386377867E-2</v>
      </c>
      <c r="I426" s="128">
        <f t="shared" si="13"/>
        <v>-1.0996807378503099E-2</v>
      </c>
    </row>
    <row r="427" spans="1:9" ht="14.25" customHeight="1" x14ac:dyDescent="0.3">
      <c r="A427" s="127">
        <v>44550</v>
      </c>
      <c r="B427" s="64">
        <v>16614.2</v>
      </c>
      <c r="D427" s="127">
        <v>44550</v>
      </c>
      <c r="E427" s="64">
        <v>26.96</v>
      </c>
      <c r="H427" s="128">
        <f t="shared" si="12"/>
        <v>-2.1842545274709701E-2</v>
      </c>
      <c r="I427" s="128">
        <f t="shared" si="13"/>
        <v>-3.2998565279770402E-2</v>
      </c>
    </row>
    <row r="428" spans="1:9" ht="14.25" customHeight="1" x14ac:dyDescent="0.3">
      <c r="A428" s="127">
        <v>44551</v>
      </c>
      <c r="B428" s="64">
        <v>16770.849999999999</v>
      </c>
      <c r="D428" s="127">
        <v>44551</v>
      </c>
      <c r="E428" s="64">
        <v>27.53</v>
      </c>
      <c r="H428" s="128">
        <f t="shared" si="12"/>
        <v>9.4286814893282701E-3</v>
      </c>
      <c r="I428" s="128">
        <f t="shared" si="13"/>
        <v>2.1142433234421401E-2</v>
      </c>
    </row>
    <row r="429" spans="1:9" ht="14.25" customHeight="1" x14ac:dyDescent="0.3">
      <c r="A429" s="127">
        <v>44552</v>
      </c>
      <c r="B429" s="64">
        <v>16955.45</v>
      </c>
      <c r="D429" s="127">
        <v>44552</v>
      </c>
      <c r="E429" s="64">
        <v>27.67</v>
      </c>
      <c r="H429" s="128">
        <f t="shared" si="12"/>
        <v>1.1007194030117899E-2</v>
      </c>
      <c r="I429" s="128">
        <f t="shared" si="13"/>
        <v>5.0853614239012197E-3</v>
      </c>
    </row>
    <row r="430" spans="1:9" ht="14.25" customHeight="1" x14ac:dyDescent="0.3">
      <c r="A430" s="127">
        <v>44553</v>
      </c>
      <c r="B430" s="64">
        <v>17072.599999999999</v>
      </c>
      <c r="D430" s="127">
        <v>44553</v>
      </c>
      <c r="E430" s="64">
        <v>27.88</v>
      </c>
      <c r="H430" s="128">
        <f t="shared" si="12"/>
        <v>6.9092828559547403E-3</v>
      </c>
      <c r="I430" s="128">
        <f t="shared" si="13"/>
        <v>7.5894470545716398E-3</v>
      </c>
    </row>
    <row r="431" spans="1:9" ht="14.25" customHeight="1" x14ac:dyDescent="0.3">
      <c r="A431" s="127">
        <v>44554</v>
      </c>
      <c r="B431" s="64">
        <v>17003.75</v>
      </c>
      <c r="D431" s="127">
        <v>44554</v>
      </c>
      <c r="E431" s="64">
        <v>27.39</v>
      </c>
      <c r="H431" s="128">
        <f t="shared" si="12"/>
        <v>-4.0327776671390701E-3</v>
      </c>
      <c r="I431" s="128">
        <f t="shared" si="13"/>
        <v>-1.75753228120516E-2</v>
      </c>
    </row>
    <row r="432" spans="1:9" ht="14.25" customHeight="1" x14ac:dyDescent="0.3">
      <c r="A432" s="127">
        <v>44557</v>
      </c>
      <c r="B432" s="64">
        <v>17086.25</v>
      </c>
      <c r="D432" s="127">
        <v>44557</v>
      </c>
      <c r="E432" s="64">
        <v>27.37</v>
      </c>
      <c r="H432" s="128">
        <f t="shared" si="12"/>
        <v>4.8518709108284902E-3</v>
      </c>
      <c r="I432" s="128">
        <f t="shared" si="13"/>
        <v>-7.3019350127782304E-4</v>
      </c>
    </row>
    <row r="433" spans="1:9" ht="14.25" customHeight="1" x14ac:dyDescent="0.3">
      <c r="A433" s="127">
        <v>44558</v>
      </c>
      <c r="B433" s="64">
        <v>17233.25</v>
      </c>
      <c r="D433" s="127">
        <v>44558</v>
      </c>
      <c r="E433" s="64">
        <v>27.41</v>
      </c>
      <c r="H433" s="128">
        <f t="shared" si="12"/>
        <v>8.6034091740434596E-3</v>
      </c>
      <c r="I433" s="128">
        <f t="shared" si="13"/>
        <v>1.4614541468761101E-3</v>
      </c>
    </row>
    <row r="434" spans="1:9" ht="14.25" customHeight="1" x14ac:dyDescent="0.3">
      <c r="A434" s="127">
        <v>44559</v>
      </c>
      <c r="B434" s="64">
        <v>17213.599999999999</v>
      </c>
      <c r="D434" s="127">
        <v>44559</v>
      </c>
      <c r="E434" s="64">
        <v>27.14</v>
      </c>
      <c r="H434" s="128">
        <f t="shared" si="12"/>
        <v>-1.1402376220388799E-3</v>
      </c>
      <c r="I434" s="128">
        <f t="shared" si="13"/>
        <v>-9.8504195549069494E-3</v>
      </c>
    </row>
    <row r="435" spans="1:9" ht="14.25" customHeight="1" x14ac:dyDescent="0.3">
      <c r="A435" s="127">
        <v>44560</v>
      </c>
      <c r="B435" s="64">
        <v>17203.95</v>
      </c>
      <c r="D435" s="127">
        <v>44560</v>
      </c>
      <c r="E435" s="64">
        <v>27.14</v>
      </c>
      <c r="H435" s="128">
        <f t="shared" si="12"/>
        <v>-5.6060324394652001E-4</v>
      </c>
      <c r="I435" s="128">
        <f t="shared" si="13"/>
        <v>0</v>
      </c>
    </row>
    <row r="436" spans="1:9" ht="14.25" customHeight="1" x14ac:dyDescent="0.3">
      <c r="A436" s="127">
        <v>44561</v>
      </c>
      <c r="B436" s="64">
        <v>17354.05</v>
      </c>
      <c r="D436" s="127">
        <v>44561</v>
      </c>
      <c r="E436" s="64">
        <v>27.53</v>
      </c>
      <c r="H436" s="128">
        <f t="shared" si="12"/>
        <v>8.7247405392365408E-3</v>
      </c>
      <c r="I436" s="128">
        <f t="shared" si="13"/>
        <v>1.4369933677229199E-2</v>
      </c>
    </row>
    <row r="437" spans="1:9" ht="14.25" customHeight="1" x14ac:dyDescent="0.3">
      <c r="A437" s="127">
        <v>44564</v>
      </c>
      <c r="B437" s="64">
        <v>17625.7</v>
      </c>
      <c r="D437" s="127">
        <v>44564</v>
      </c>
      <c r="E437" s="64">
        <v>27.95</v>
      </c>
      <c r="H437" s="128">
        <f t="shared" si="12"/>
        <v>1.5653406553513501E-2</v>
      </c>
      <c r="I437" s="128">
        <f t="shared" si="13"/>
        <v>1.52560842717035E-2</v>
      </c>
    </row>
    <row r="438" spans="1:9" ht="14.25" customHeight="1" x14ac:dyDescent="0.3">
      <c r="A438" s="127">
        <v>44565</v>
      </c>
      <c r="B438" s="64">
        <v>17805.25</v>
      </c>
      <c r="D438" s="127">
        <v>44565</v>
      </c>
      <c r="E438" s="64">
        <v>28.05</v>
      </c>
      <c r="H438" s="128">
        <f t="shared" si="12"/>
        <v>1.01868294592555E-2</v>
      </c>
      <c r="I438" s="128">
        <f t="shared" si="13"/>
        <v>3.5778175313059498E-3</v>
      </c>
    </row>
    <row r="439" spans="1:9" ht="14.25" customHeight="1" x14ac:dyDescent="0.3">
      <c r="A439" s="127">
        <v>44566</v>
      </c>
      <c r="B439" s="64">
        <v>17925.25</v>
      </c>
      <c r="D439" s="127">
        <v>44566</v>
      </c>
      <c r="E439" s="64">
        <v>28.63</v>
      </c>
      <c r="H439" s="128">
        <f t="shared" si="12"/>
        <v>6.7395852346920204E-3</v>
      </c>
      <c r="I439" s="128">
        <f t="shared" si="13"/>
        <v>2.0677361853832399E-2</v>
      </c>
    </row>
    <row r="440" spans="1:9" ht="14.25" customHeight="1" x14ac:dyDescent="0.3">
      <c r="A440" s="127">
        <v>44567</v>
      </c>
      <c r="B440" s="64">
        <v>17745.900000000001</v>
      </c>
      <c r="D440" s="127">
        <v>44567</v>
      </c>
      <c r="E440" s="64">
        <v>28.64</v>
      </c>
      <c r="H440" s="128">
        <f t="shared" si="12"/>
        <v>-1.0005439254682599E-2</v>
      </c>
      <c r="I440" s="128">
        <f t="shared" si="13"/>
        <v>3.4928396786593002E-4</v>
      </c>
    </row>
    <row r="441" spans="1:9" ht="14.25" customHeight="1" x14ac:dyDescent="0.3">
      <c r="A441" s="127">
        <v>44568</v>
      </c>
      <c r="B441" s="64">
        <v>17812.7</v>
      </c>
      <c r="D441" s="127">
        <v>44568</v>
      </c>
      <c r="E441" s="64">
        <v>28.64</v>
      </c>
      <c r="H441" s="128">
        <f t="shared" si="12"/>
        <v>3.76424977036945E-3</v>
      </c>
      <c r="I441" s="128">
        <f t="shared" si="13"/>
        <v>0</v>
      </c>
    </row>
    <row r="442" spans="1:9" ht="14.25" customHeight="1" x14ac:dyDescent="0.3">
      <c r="A442" s="127">
        <v>44571</v>
      </c>
      <c r="B442" s="64">
        <v>18003.3</v>
      </c>
      <c r="D442" s="127">
        <v>44571</v>
      </c>
      <c r="E442" s="64">
        <v>28.91</v>
      </c>
      <c r="H442" s="128">
        <f t="shared" si="12"/>
        <v>1.07002307342513E-2</v>
      </c>
      <c r="I442" s="128">
        <f t="shared" si="13"/>
        <v>9.4273743016759608E-3</v>
      </c>
    </row>
    <row r="443" spans="1:9" ht="14.25" customHeight="1" x14ac:dyDescent="0.3">
      <c r="A443" s="127">
        <v>44572</v>
      </c>
      <c r="B443" s="64">
        <v>18055.75</v>
      </c>
      <c r="D443" s="127">
        <v>44572</v>
      </c>
      <c r="E443" s="64">
        <v>28.19</v>
      </c>
      <c r="H443" s="128">
        <f t="shared" si="12"/>
        <v>2.9133547738470602E-3</v>
      </c>
      <c r="I443" s="128">
        <f t="shared" si="13"/>
        <v>-2.4904877205119299E-2</v>
      </c>
    </row>
    <row r="444" spans="1:9" ht="14.25" customHeight="1" x14ac:dyDescent="0.3">
      <c r="A444" s="127">
        <v>44573</v>
      </c>
      <c r="B444" s="64">
        <v>18212.349999999999</v>
      </c>
      <c r="D444" s="127">
        <v>44573</v>
      </c>
      <c r="E444" s="64">
        <v>29.19</v>
      </c>
      <c r="H444" s="128">
        <f t="shared" si="12"/>
        <v>8.6731373662128994E-3</v>
      </c>
      <c r="I444" s="128">
        <f t="shared" si="13"/>
        <v>3.5473572188719403E-2</v>
      </c>
    </row>
    <row r="445" spans="1:9" ht="14.25" customHeight="1" x14ac:dyDescent="0.3">
      <c r="A445" s="127">
        <v>44574</v>
      </c>
      <c r="B445" s="64">
        <v>18257.8</v>
      </c>
      <c r="D445" s="127">
        <v>44574</v>
      </c>
      <c r="E445" s="64">
        <v>30.17</v>
      </c>
      <c r="H445" s="128">
        <f t="shared" si="12"/>
        <v>2.49555933199179E-3</v>
      </c>
      <c r="I445" s="128">
        <f t="shared" si="13"/>
        <v>3.35731414868106E-2</v>
      </c>
    </row>
    <row r="446" spans="1:9" ht="14.25" customHeight="1" x14ac:dyDescent="0.3">
      <c r="A446" s="127">
        <v>44575</v>
      </c>
      <c r="B446" s="64">
        <v>18255.75</v>
      </c>
      <c r="D446" s="127">
        <v>44575</v>
      </c>
      <c r="E446" s="64">
        <v>30.15</v>
      </c>
      <c r="H446" s="128">
        <f t="shared" si="12"/>
        <v>-1.12280778626082E-4</v>
      </c>
      <c r="I446" s="128">
        <f t="shared" si="13"/>
        <v>-6.6291017567130005E-4</v>
      </c>
    </row>
    <row r="447" spans="1:9" ht="14.25" customHeight="1" x14ac:dyDescent="0.3">
      <c r="A447" s="127">
        <v>44578</v>
      </c>
      <c r="B447" s="64">
        <v>18308.099999999999</v>
      </c>
      <c r="D447" s="127">
        <v>44578</v>
      </c>
      <c r="E447" s="64">
        <v>29.91</v>
      </c>
      <c r="H447" s="128">
        <f t="shared" si="12"/>
        <v>2.8675896635305901E-3</v>
      </c>
      <c r="I447" s="128">
        <f t="shared" si="13"/>
        <v>-7.9601990049750701E-3</v>
      </c>
    </row>
    <row r="448" spans="1:9" ht="14.25" customHeight="1" x14ac:dyDescent="0.3">
      <c r="A448" s="127">
        <v>44579</v>
      </c>
      <c r="B448" s="64">
        <v>18113.05</v>
      </c>
      <c r="D448" s="127">
        <v>44579</v>
      </c>
      <c r="E448" s="64">
        <v>28.93</v>
      </c>
      <c r="H448" s="128">
        <f t="shared" si="12"/>
        <v>-1.06537543491678E-2</v>
      </c>
      <c r="I448" s="128">
        <f t="shared" si="13"/>
        <v>-3.2764961551320602E-2</v>
      </c>
    </row>
    <row r="449" spans="1:9" ht="14.25" customHeight="1" x14ac:dyDescent="0.3">
      <c r="A449" s="127">
        <v>44580</v>
      </c>
      <c r="B449" s="64">
        <v>17938.400000000001</v>
      </c>
      <c r="D449" s="127">
        <v>44580</v>
      </c>
      <c r="E449" s="64">
        <v>29.25</v>
      </c>
      <c r="H449" s="128">
        <f t="shared" si="12"/>
        <v>-9.6422192838863593E-3</v>
      </c>
      <c r="I449" s="128">
        <f t="shared" si="13"/>
        <v>1.1061182163843801E-2</v>
      </c>
    </row>
    <row r="450" spans="1:9" ht="14.25" customHeight="1" x14ac:dyDescent="0.3">
      <c r="A450" s="127">
        <v>44581</v>
      </c>
      <c r="B450" s="64">
        <v>17757</v>
      </c>
      <c r="D450" s="127">
        <v>44581</v>
      </c>
      <c r="E450" s="64">
        <v>29.59</v>
      </c>
      <c r="H450" s="128">
        <f t="shared" si="12"/>
        <v>-1.0112384605093099E-2</v>
      </c>
      <c r="I450" s="128">
        <f t="shared" si="13"/>
        <v>1.16239316239316E-2</v>
      </c>
    </row>
    <row r="451" spans="1:9" ht="14.25" customHeight="1" x14ac:dyDescent="0.3">
      <c r="A451" s="127">
        <v>44582</v>
      </c>
      <c r="B451" s="64">
        <v>17617.150000000001</v>
      </c>
      <c r="D451" s="127">
        <v>44582</v>
      </c>
      <c r="E451" s="64">
        <v>28.87</v>
      </c>
      <c r="H451" s="128">
        <f t="shared" ref="H451:H514" si="14">(B451-B450)/B450</f>
        <v>-7.8757673030353404E-3</v>
      </c>
      <c r="I451" s="128">
        <f t="shared" ref="I451:I514" si="15">(E451-E450)/E450</f>
        <v>-2.4332544778641399E-2</v>
      </c>
    </row>
    <row r="452" spans="1:9" ht="14.25" customHeight="1" x14ac:dyDescent="0.3">
      <c r="A452" s="127">
        <v>44585</v>
      </c>
      <c r="B452" s="64">
        <v>17149.099999999999</v>
      </c>
      <c r="D452" s="127">
        <v>44585</v>
      </c>
      <c r="E452" s="64">
        <v>27.67</v>
      </c>
      <c r="H452" s="128">
        <f t="shared" si="14"/>
        <v>-2.6567861430481302E-2</v>
      </c>
      <c r="I452" s="128">
        <f t="shared" si="15"/>
        <v>-4.1565639071700702E-2</v>
      </c>
    </row>
    <row r="453" spans="1:9" ht="14.25" customHeight="1" x14ac:dyDescent="0.3">
      <c r="A453" s="127">
        <v>44586</v>
      </c>
      <c r="B453" s="64">
        <v>17277.95</v>
      </c>
      <c r="D453" s="127">
        <v>44586</v>
      </c>
      <c r="E453" s="64">
        <v>28.02</v>
      </c>
      <c r="H453" s="128">
        <f t="shared" si="14"/>
        <v>7.5135138287141696E-3</v>
      </c>
      <c r="I453" s="128">
        <f t="shared" si="15"/>
        <v>1.2649078424286199E-2</v>
      </c>
    </row>
    <row r="454" spans="1:9" ht="14.25" customHeight="1" x14ac:dyDescent="0.3">
      <c r="A454" s="127">
        <v>44588</v>
      </c>
      <c r="B454" s="64">
        <v>17110.150000000001</v>
      </c>
      <c r="D454" s="127">
        <v>44588</v>
      </c>
      <c r="E454" s="64">
        <v>27.72</v>
      </c>
      <c r="H454" s="128">
        <f t="shared" si="14"/>
        <v>-9.7118003003828206E-3</v>
      </c>
      <c r="I454" s="128">
        <f t="shared" si="15"/>
        <v>-1.07066381156317E-2</v>
      </c>
    </row>
    <row r="455" spans="1:9" ht="14.25" customHeight="1" x14ac:dyDescent="0.3">
      <c r="A455" s="127">
        <v>44589</v>
      </c>
      <c r="B455" s="64">
        <v>17101.95</v>
      </c>
      <c r="D455" s="127">
        <v>44589</v>
      </c>
      <c r="E455" s="64">
        <v>28.53</v>
      </c>
      <c r="H455" s="128">
        <f t="shared" si="14"/>
        <v>-4.79247698003859E-4</v>
      </c>
      <c r="I455" s="128">
        <f t="shared" si="15"/>
        <v>2.92207792207793E-2</v>
      </c>
    </row>
    <row r="456" spans="1:9" ht="14.25" customHeight="1" x14ac:dyDescent="0.3">
      <c r="A456" s="127">
        <v>44592</v>
      </c>
      <c r="B456" s="64">
        <v>17339.849999999999</v>
      </c>
      <c r="D456" s="127">
        <v>44592</v>
      </c>
      <c r="E456" s="64">
        <v>28.7</v>
      </c>
      <c r="H456" s="128">
        <f t="shared" si="14"/>
        <v>1.3910694394498701E-2</v>
      </c>
      <c r="I456" s="128">
        <f t="shared" si="15"/>
        <v>5.9586400280405901E-3</v>
      </c>
    </row>
    <row r="457" spans="1:9" ht="14.25" customHeight="1" x14ac:dyDescent="0.3">
      <c r="A457" s="127">
        <v>44593</v>
      </c>
      <c r="B457" s="64">
        <v>17576.849999999999</v>
      </c>
      <c r="D457" s="127">
        <v>44593</v>
      </c>
      <c r="E457" s="64">
        <v>30.05</v>
      </c>
      <c r="H457" s="128">
        <f t="shared" si="14"/>
        <v>1.3667938303964599E-2</v>
      </c>
      <c r="I457" s="128">
        <f t="shared" si="15"/>
        <v>4.7038327526132503E-2</v>
      </c>
    </row>
    <row r="458" spans="1:9" ht="14.25" customHeight="1" x14ac:dyDescent="0.3">
      <c r="A458" s="127">
        <v>44594</v>
      </c>
      <c r="B458" s="64">
        <v>17780</v>
      </c>
      <c r="D458" s="127">
        <v>44594</v>
      </c>
      <c r="E458" s="64">
        <v>31.09</v>
      </c>
      <c r="H458" s="128">
        <f t="shared" si="14"/>
        <v>1.1557816104705999E-2</v>
      </c>
      <c r="I458" s="128">
        <f t="shared" si="15"/>
        <v>3.4608985024958398E-2</v>
      </c>
    </row>
    <row r="459" spans="1:9" ht="14.25" customHeight="1" x14ac:dyDescent="0.3">
      <c r="A459" s="127">
        <v>44595</v>
      </c>
      <c r="B459" s="64">
        <v>17560.2</v>
      </c>
      <c r="D459" s="127">
        <v>44595</v>
      </c>
      <c r="E459" s="64">
        <v>31.8</v>
      </c>
      <c r="H459" s="128">
        <f t="shared" si="14"/>
        <v>-1.23622047244094E-2</v>
      </c>
      <c r="I459" s="128">
        <f t="shared" si="15"/>
        <v>2.2836925056288201E-2</v>
      </c>
    </row>
    <row r="460" spans="1:9" ht="14.25" customHeight="1" x14ac:dyDescent="0.3">
      <c r="A460" s="127">
        <v>44596</v>
      </c>
      <c r="B460" s="64">
        <v>17516.3</v>
      </c>
      <c r="D460" s="127">
        <v>44596</v>
      </c>
      <c r="E460" s="64">
        <v>31.69</v>
      </c>
      <c r="H460" s="128">
        <f t="shared" si="14"/>
        <v>-2.4999715265202802E-3</v>
      </c>
      <c r="I460" s="128">
        <f t="shared" si="15"/>
        <v>-3.45911949685533E-3</v>
      </c>
    </row>
    <row r="461" spans="1:9" ht="14.25" customHeight="1" x14ac:dyDescent="0.3">
      <c r="A461" s="127">
        <v>44599</v>
      </c>
      <c r="B461" s="64">
        <v>17213.599999999999</v>
      </c>
      <c r="D461" s="127">
        <v>44599</v>
      </c>
      <c r="E461" s="64">
        <v>31.8</v>
      </c>
      <c r="H461" s="128">
        <f t="shared" si="14"/>
        <v>-1.72810467964125E-2</v>
      </c>
      <c r="I461" s="128">
        <f t="shared" si="15"/>
        <v>3.47112653834015E-3</v>
      </c>
    </row>
    <row r="462" spans="1:9" ht="14.25" customHeight="1" x14ac:dyDescent="0.3">
      <c r="A462" s="127">
        <v>44600</v>
      </c>
      <c r="B462" s="64">
        <v>17266.75</v>
      </c>
      <c r="D462" s="127">
        <v>44600</v>
      </c>
      <c r="E462" s="64">
        <v>31.69</v>
      </c>
      <c r="H462" s="128">
        <f t="shared" si="14"/>
        <v>3.0876748617373198E-3</v>
      </c>
      <c r="I462" s="128">
        <f t="shared" si="15"/>
        <v>-3.45911949685533E-3</v>
      </c>
    </row>
    <row r="463" spans="1:9" ht="14.25" customHeight="1" x14ac:dyDescent="0.3">
      <c r="A463" s="127">
        <v>44601</v>
      </c>
      <c r="B463" s="64">
        <v>17463.8</v>
      </c>
      <c r="D463" s="127">
        <v>44601</v>
      </c>
      <c r="E463" s="64">
        <v>32.159999999999997</v>
      </c>
      <c r="H463" s="128">
        <f t="shared" si="14"/>
        <v>1.1412107084425201E-2</v>
      </c>
      <c r="I463" s="128">
        <f t="shared" si="15"/>
        <v>1.4831177027453299E-2</v>
      </c>
    </row>
    <row r="464" spans="1:9" ht="14.25" customHeight="1" x14ac:dyDescent="0.3">
      <c r="A464" s="127">
        <v>44602</v>
      </c>
      <c r="B464" s="64">
        <v>17605.849999999999</v>
      </c>
      <c r="D464" s="127">
        <v>44602</v>
      </c>
      <c r="E464" s="64">
        <v>32.9</v>
      </c>
      <c r="H464" s="128">
        <f t="shared" si="14"/>
        <v>8.1339685520905695E-3</v>
      </c>
      <c r="I464" s="128">
        <f t="shared" si="15"/>
        <v>2.3009950248756302E-2</v>
      </c>
    </row>
    <row r="465" spans="1:9" ht="14.25" customHeight="1" x14ac:dyDescent="0.3">
      <c r="A465" s="127">
        <v>44603</v>
      </c>
      <c r="B465" s="64">
        <v>17374.75</v>
      </c>
      <c r="D465" s="127">
        <v>44603</v>
      </c>
      <c r="E465" s="64">
        <v>32.67</v>
      </c>
      <c r="H465" s="128">
        <f t="shared" si="14"/>
        <v>-1.3126318808804899E-2</v>
      </c>
      <c r="I465" s="128">
        <f t="shared" si="15"/>
        <v>-6.9908814589664699E-3</v>
      </c>
    </row>
    <row r="466" spans="1:9" ht="14.25" customHeight="1" x14ac:dyDescent="0.3">
      <c r="A466" s="127">
        <v>44606</v>
      </c>
      <c r="B466" s="64">
        <v>16842.8</v>
      </c>
      <c r="D466" s="127">
        <v>44606</v>
      </c>
      <c r="E466" s="64">
        <v>31.55</v>
      </c>
      <c r="H466" s="128">
        <f t="shared" si="14"/>
        <v>-3.06162678599693E-2</v>
      </c>
      <c r="I466" s="128">
        <f t="shared" si="15"/>
        <v>-3.4282216100397903E-2</v>
      </c>
    </row>
    <row r="467" spans="1:9" ht="14.25" customHeight="1" x14ac:dyDescent="0.3">
      <c r="A467" s="127">
        <v>44607</v>
      </c>
      <c r="B467" s="64">
        <v>17352.45</v>
      </c>
      <c r="D467" s="127">
        <v>44607</v>
      </c>
      <c r="E467" s="64">
        <v>30.84</v>
      </c>
      <c r="H467" s="128">
        <f t="shared" si="14"/>
        <v>3.0259220557152099E-2</v>
      </c>
      <c r="I467" s="128">
        <f t="shared" si="15"/>
        <v>-2.2503961965134701E-2</v>
      </c>
    </row>
    <row r="468" spans="1:9" ht="14.25" customHeight="1" x14ac:dyDescent="0.3">
      <c r="A468" s="127">
        <v>44608</v>
      </c>
      <c r="B468" s="64">
        <v>17322.2</v>
      </c>
      <c r="D468" s="127">
        <v>44608</v>
      </c>
      <c r="E468" s="64">
        <v>31.54</v>
      </c>
      <c r="H468" s="128">
        <f t="shared" si="14"/>
        <v>-1.7432696823791499E-3</v>
      </c>
      <c r="I468" s="128">
        <f t="shared" si="15"/>
        <v>2.2697795071335899E-2</v>
      </c>
    </row>
    <row r="469" spans="1:9" ht="14.25" customHeight="1" x14ac:dyDescent="0.3">
      <c r="A469" s="127">
        <v>44609</v>
      </c>
      <c r="B469" s="64">
        <v>17304.599999999999</v>
      </c>
      <c r="D469" s="127">
        <v>44609</v>
      </c>
      <c r="E469" s="64">
        <v>31.41</v>
      </c>
      <c r="H469" s="128">
        <f t="shared" si="14"/>
        <v>-1.0160372239093299E-3</v>
      </c>
      <c r="I469" s="128">
        <f t="shared" si="15"/>
        <v>-4.1217501585288198E-3</v>
      </c>
    </row>
    <row r="470" spans="1:9" ht="14.25" customHeight="1" x14ac:dyDescent="0.3">
      <c r="A470" s="127">
        <v>44610</v>
      </c>
      <c r="B470" s="64">
        <v>17276.3</v>
      </c>
      <c r="D470" s="127">
        <v>44610</v>
      </c>
      <c r="E470" s="64">
        <v>30.87</v>
      </c>
      <c r="H470" s="128">
        <f t="shared" si="14"/>
        <v>-1.6354033031679E-3</v>
      </c>
      <c r="I470" s="128">
        <f t="shared" si="15"/>
        <v>-1.7191977077363901E-2</v>
      </c>
    </row>
    <row r="471" spans="1:9" ht="14.25" customHeight="1" x14ac:dyDescent="0.3">
      <c r="A471" s="127">
        <v>44613</v>
      </c>
      <c r="B471" s="64">
        <v>17206.650000000001</v>
      </c>
      <c r="D471" s="127">
        <v>44613</v>
      </c>
      <c r="E471" s="64">
        <v>30.41</v>
      </c>
      <c r="H471" s="128">
        <f t="shared" si="14"/>
        <v>-4.0315345299628902E-3</v>
      </c>
      <c r="I471" s="128">
        <f t="shared" si="15"/>
        <v>-1.4901198574668E-2</v>
      </c>
    </row>
    <row r="472" spans="1:9" ht="14.25" customHeight="1" x14ac:dyDescent="0.3">
      <c r="A472" s="127">
        <v>44614</v>
      </c>
      <c r="B472" s="64">
        <v>17092.2</v>
      </c>
      <c r="D472" s="127">
        <v>44614</v>
      </c>
      <c r="E472" s="64">
        <v>30.41</v>
      </c>
      <c r="H472" s="128">
        <f t="shared" si="14"/>
        <v>-6.6514981126483503E-3</v>
      </c>
      <c r="I472" s="128">
        <f t="shared" si="15"/>
        <v>0</v>
      </c>
    </row>
    <row r="473" spans="1:9" ht="14.25" customHeight="1" x14ac:dyDescent="0.3">
      <c r="A473" s="127">
        <v>44615</v>
      </c>
      <c r="B473" s="64">
        <v>17063.25</v>
      </c>
      <c r="D473" s="127">
        <v>44615</v>
      </c>
      <c r="E473" s="64">
        <v>31</v>
      </c>
      <c r="H473" s="128">
        <f t="shared" si="14"/>
        <v>-1.69375504616145E-3</v>
      </c>
      <c r="I473" s="128">
        <f t="shared" si="15"/>
        <v>1.9401512660309098E-2</v>
      </c>
    </row>
    <row r="474" spans="1:9" ht="14.25" customHeight="1" x14ac:dyDescent="0.3">
      <c r="A474" s="127">
        <v>44616</v>
      </c>
      <c r="B474" s="64">
        <v>16247.95</v>
      </c>
      <c r="D474" s="127">
        <v>44616</v>
      </c>
      <c r="E474" s="64">
        <v>29.2</v>
      </c>
      <c r="H474" s="128">
        <f t="shared" si="14"/>
        <v>-4.7781049917219702E-2</v>
      </c>
      <c r="I474" s="128">
        <f t="shared" si="15"/>
        <v>-5.8064516129032302E-2</v>
      </c>
    </row>
    <row r="475" spans="1:9" ht="14.25" customHeight="1" x14ac:dyDescent="0.3">
      <c r="A475" s="127">
        <v>44617</v>
      </c>
      <c r="B475" s="64">
        <v>16658.400000000001</v>
      </c>
      <c r="D475" s="127">
        <v>44617</v>
      </c>
      <c r="E475" s="64">
        <v>30.62</v>
      </c>
      <c r="H475" s="128">
        <f t="shared" si="14"/>
        <v>2.5261648392566501E-2</v>
      </c>
      <c r="I475" s="128">
        <f t="shared" si="15"/>
        <v>4.8630136986301399E-2</v>
      </c>
    </row>
    <row r="476" spans="1:9" ht="14.25" customHeight="1" x14ac:dyDescent="0.3">
      <c r="A476" s="127">
        <v>44620</v>
      </c>
      <c r="B476" s="64">
        <v>16793.900000000001</v>
      </c>
      <c r="D476" s="127">
        <v>44620</v>
      </c>
      <c r="E476" s="64">
        <v>31.09</v>
      </c>
      <c r="H476" s="128">
        <f t="shared" si="14"/>
        <v>8.13403448110263E-3</v>
      </c>
      <c r="I476" s="128">
        <f t="shared" si="15"/>
        <v>1.5349444807315401E-2</v>
      </c>
    </row>
    <row r="477" spans="1:9" ht="14.25" customHeight="1" x14ac:dyDescent="0.3">
      <c r="A477" s="127">
        <v>44622</v>
      </c>
      <c r="B477" s="64">
        <v>16605.95</v>
      </c>
      <c r="D477" s="127">
        <v>44622</v>
      </c>
      <c r="E477" s="64">
        <v>32.81</v>
      </c>
      <c r="H477" s="128">
        <f t="shared" si="14"/>
        <v>-1.1191563603451299E-2</v>
      </c>
      <c r="I477" s="128">
        <f t="shared" si="15"/>
        <v>5.5323255065937701E-2</v>
      </c>
    </row>
    <row r="478" spans="1:9" ht="14.25" customHeight="1" x14ac:dyDescent="0.3">
      <c r="A478" s="127">
        <v>44623</v>
      </c>
      <c r="B478" s="64">
        <v>16498.05</v>
      </c>
      <c r="D478" s="127">
        <v>44623</v>
      </c>
      <c r="E478" s="64">
        <v>33.14</v>
      </c>
      <c r="H478" s="128">
        <f t="shared" si="14"/>
        <v>-6.4976710155095901E-3</v>
      </c>
      <c r="I478" s="128">
        <f t="shared" si="15"/>
        <v>1.0057909174032299E-2</v>
      </c>
    </row>
    <row r="479" spans="1:9" ht="14.25" customHeight="1" x14ac:dyDescent="0.3">
      <c r="A479" s="127">
        <v>44624</v>
      </c>
      <c r="B479" s="64">
        <v>16245.35</v>
      </c>
      <c r="D479" s="127">
        <v>44624</v>
      </c>
      <c r="E479" s="64">
        <v>32.159999999999997</v>
      </c>
      <c r="H479" s="128">
        <f t="shared" si="14"/>
        <v>-1.53169617015344E-2</v>
      </c>
      <c r="I479" s="128">
        <f t="shared" si="15"/>
        <v>-2.9571514785757501E-2</v>
      </c>
    </row>
    <row r="480" spans="1:9" ht="14.25" customHeight="1" x14ac:dyDescent="0.3">
      <c r="A480" s="127">
        <v>44627</v>
      </c>
      <c r="B480" s="64">
        <v>15863.15</v>
      </c>
      <c r="D480" s="127">
        <v>44627</v>
      </c>
      <c r="E480" s="64">
        <v>33.24</v>
      </c>
      <c r="H480" s="128">
        <f t="shared" si="14"/>
        <v>-2.3526732264925101E-2</v>
      </c>
      <c r="I480" s="128">
        <f t="shared" si="15"/>
        <v>3.3582089552239E-2</v>
      </c>
    </row>
    <row r="481" spans="1:9" ht="14.25" customHeight="1" x14ac:dyDescent="0.3">
      <c r="A481" s="127">
        <v>44628</v>
      </c>
      <c r="B481" s="64">
        <v>16013.45</v>
      </c>
      <c r="D481" s="127">
        <v>44628</v>
      </c>
      <c r="E481" s="64">
        <v>33.28</v>
      </c>
      <c r="H481" s="128">
        <f t="shared" si="14"/>
        <v>9.4747890551372897E-3</v>
      </c>
      <c r="I481" s="128">
        <f t="shared" si="15"/>
        <v>1.2033694344163401E-3</v>
      </c>
    </row>
    <row r="482" spans="1:9" ht="14.25" customHeight="1" x14ac:dyDescent="0.3">
      <c r="A482" s="127">
        <v>44629</v>
      </c>
      <c r="B482" s="64">
        <v>16345.35</v>
      </c>
      <c r="D482" s="127">
        <v>44629</v>
      </c>
      <c r="E482" s="64">
        <v>33.18</v>
      </c>
      <c r="H482" s="128">
        <f t="shared" si="14"/>
        <v>2.0726326931423199E-2</v>
      </c>
      <c r="I482" s="128">
        <f t="shared" si="15"/>
        <v>-3.0048076923077302E-3</v>
      </c>
    </row>
    <row r="483" spans="1:9" ht="14.25" customHeight="1" x14ac:dyDescent="0.3">
      <c r="A483" s="127">
        <v>44630</v>
      </c>
      <c r="B483" s="64">
        <v>16594.900000000001</v>
      </c>
      <c r="D483" s="127">
        <v>44630</v>
      </c>
      <c r="E483" s="64">
        <v>33.28</v>
      </c>
      <c r="H483" s="128">
        <f t="shared" si="14"/>
        <v>1.5267339029142899E-2</v>
      </c>
      <c r="I483" s="128">
        <f t="shared" si="15"/>
        <v>3.0138637733574899E-3</v>
      </c>
    </row>
    <row r="484" spans="1:9" ht="14.25" customHeight="1" x14ac:dyDescent="0.3">
      <c r="A484" s="127">
        <v>44631</v>
      </c>
      <c r="B484" s="64">
        <v>16630.45</v>
      </c>
      <c r="D484" s="127">
        <v>44631</v>
      </c>
      <c r="E484" s="64">
        <v>34.159999999999997</v>
      </c>
      <c r="H484" s="128">
        <f t="shared" si="14"/>
        <v>2.14222441834535E-3</v>
      </c>
      <c r="I484" s="128">
        <f t="shared" si="15"/>
        <v>2.6442307692307598E-2</v>
      </c>
    </row>
    <row r="485" spans="1:9" ht="14.25" customHeight="1" x14ac:dyDescent="0.3">
      <c r="A485" s="127">
        <v>44634</v>
      </c>
      <c r="B485" s="64">
        <v>16871.3</v>
      </c>
      <c r="D485" s="127">
        <v>44634</v>
      </c>
      <c r="E485" s="64">
        <v>33.93</v>
      </c>
      <c r="H485" s="128">
        <f t="shared" si="14"/>
        <v>1.4482470408196901E-2</v>
      </c>
      <c r="I485" s="128">
        <f t="shared" si="15"/>
        <v>-6.7330210772832801E-3</v>
      </c>
    </row>
    <row r="486" spans="1:9" ht="14.25" customHeight="1" x14ac:dyDescent="0.3">
      <c r="A486" s="127">
        <v>44635</v>
      </c>
      <c r="B486" s="64">
        <v>16663</v>
      </c>
      <c r="D486" s="127">
        <v>44635</v>
      </c>
      <c r="E486" s="64">
        <v>32.04</v>
      </c>
      <c r="H486" s="128">
        <f t="shared" si="14"/>
        <v>-1.23464107685833E-2</v>
      </c>
      <c r="I486" s="128">
        <f t="shared" si="15"/>
        <v>-5.5702917771883298E-2</v>
      </c>
    </row>
    <row r="487" spans="1:9" ht="14.25" customHeight="1" x14ac:dyDescent="0.3">
      <c r="A487" s="127">
        <v>44636</v>
      </c>
      <c r="B487" s="64">
        <v>16975.349999999999</v>
      </c>
      <c r="D487" s="127">
        <v>44636</v>
      </c>
      <c r="E487" s="64">
        <v>32.69</v>
      </c>
      <c r="H487" s="128">
        <f t="shared" si="14"/>
        <v>1.87451239272639E-2</v>
      </c>
      <c r="I487" s="128">
        <f t="shared" si="15"/>
        <v>2.0287141073657901E-2</v>
      </c>
    </row>
    <row r="488" spans="1:9" ht="14.25" customHeight="1" x14ac:dyDescent="0.3">
      <c r="A488" s="127">
        <v>44637</v>
      </c>
      <c r="B488" s="64">
        <v>17287.05</v>
      </c>
      <c r="D488" s="127">
        <v>44637</v>
      </c>
      <c r="E488" s="64">
        <v>32.86</v>
      </c>
      <c r="H488" s="128">
        <f t="shared" si="14"/>
        <v>1.8361918900052201E-2</v>
      </c>
      <c r="I488" s="128">
        <f t="shared" si="15"/>
        <v>5.2003670847354496E-3</v>
      </c>
    </row>
    <row r="489" spans="1:9" ht="14.25" customHeight="1" x14ac:dyDescent="0.3">
      <c r="A489" s="127">
        <v>44641</v>
      </c>
      <c r="B489" s="64">
        <v>17117.599999999999</v>
      </c>
      <c r="D489" s="127">
        <v>44641</v>
      </c>
      <c r="E489" s="64">
        <v>32.909999999999997</v>
      </c>
      <c r="H489" s="128">
        <f t="shared" si="14"/>
        <v>-9.8021351242693708E-3</v>
      </c>
      <c r="I489" s="128">
        <f t="shared" si="15"/>
        <v>1.5216068167984501E-3</v>
      </c>
    </row>
    <row r="490" spans="1:9" ht="14.25" customHeight="1" x14ac:dyDescent="0.3">
      <c r="A490" s="127">
        <v>44642</v>
      </c>
      <c r="B490" s="64">
        <v>17315.5</v>
      </c>
      <c r="D490" s="127">
        <v>44642</v>
      </c>
      <c r="E490" s="64">
        <v>32.93</v>
      </c>
      <c r="H490" s="128">
        <f t="shared" si="14"/>
        <v>1.1561200168248E-2</v>
      </c>
      <c r="I490" s="128">
        <f t="shared" si="15"/>
        <v>6.0771801883935405E-4</v>
      </c>
    </row>
    <row r="491" spans="1:9" ht="14.25" customHeight="1" x14ac:dyDescent="0.3">
      <c r="A491" s="127">
        <v>44643</v>
      </c>
      <c r="B491" s="64">
        <v>17245.650000000001</v>
      </c>
      <c r="D491" s="127">
        <v>44643</v>
      </c>
      <c r="E491" s="64">
        <v>32.81</v>
      </c>
      <c r="H491" s="128">
        <f t="shared" si="14"/>
        <v>-4.0339580144955998E-3</v>
      </c>
      <c r="I491" s="128">
        <f t="shared" si="15"/>
        <v>-3.6440935317339001E-3</v>
      </c>
    </row>
    <row r="492" spans="1:9" ht="14.25" customHeight="1" x14ac:dyDescent="0.3">
      <c r="A492" s="127">
        <v>44644</v>
      </c>
      <c r="B492" s="64">
        <v>17222.75</v>
      </c>
      <c r="D492" s="127">
        <v>44644</v>
      </c>
      <c r="E492" s="64">
        <v>34.119999999999997</v>
      </c>
      <c r="H492" s="128">
        <f t="shared" si="14"/>
        <v>-1.3278710863319999E-3</v>
      </c>
      <c r="I492" s="128">
        <f t="shared" si="15"/>
        <v>3.99268515696432E-2</v>
      </c>
    </row>
    <row r="493" spans="1:9" ht="14.25" customHeight="1" x14ac:dyDescent="0.3">
      <c r="A493" s="127">
        <v>44645</v>
      </c>
      <c r="B493" s="64">
        <v>17153</v>
      </c>
      <c r="D493" s="127">
        <v>44645</v>
      </c>
      <c r="E493" s="64">
        <v>34.130000000000003</v>
      </c>
      <c r="H493" s="128">
        <f t="shared" si="14"/>
        <v>-4.0498758909001198E-3</v>
      </c>
      <c r="I493" s="128">
        <f t="shared" si="15"/>
        <v>2.93083235639071E-4</v>
      </c>
    </row>
    <row r="494" spans="1:9" ht="14.25" customHeight="1" x14ac:dyDescent="0.3">
      <c r="A494" s="127">
        <v>44648</v>
      </c>
      <c r="B494" s="64">
        <v>17222</v>
      </c>
      <c r="D494" s="127">
        <v>44648</v>
      </c>
      <c r="E494" s="64">
        <v>35.049999999999997</v>
      </c>
      <c r="H494" s="128">
        <f t="shared" si="14"/>
        <v>4.0226199498629997E-3</v>
      </c>
      <c r="I494" s="128">
        <f t="shared" si="15"/>
        <v>2.6955757398183299E-2</v>
      </c>
    </row>
    <row r="495" spans="1:9" ht="14.25" customHeight="1" x14ac:dyDescent="0.3">
      <c r="A495" s="127">
        <v>44649</v>
      </c>
      <c r="B495" s="64">
        <v>17325.3</v>
      </c>
      <c r="D495" s="127">
        <v>44649</v>
      </c>
      <c r="E495" s="64">
        <v>34.51</v>
      </c>
      <c r="H495" s="128">
        <f t="shared" si="14"/>
        <v>5.9981419115084896E-3</v>
      </c>
      <c r="I495" s="128">
        <f t="shared" si="15"/>
        <v>-1.54065620542083E-2</v>
      </c>
    </row>
    <row r="496" spans="1:9" ht="14.25" customHeight="1" x14ac:dyDescent="0.3">
      <c r="A496" s="127">
        <v>44650</v>
      </c>
      <c r="B496" s="64">
        <v>17498.25</v>
      </c>
      <c r="D496" s="127">
        <v>44650</v>
      </c>
      <c r="E496" s="64">
        <v>34.57</v>
      </c>
      <c r="H496" s="128">
        <f t="shared" si="14"/>
        <v>9.9825111253485192E-3</v>
      </c>
      <c r="I496" s="128">
        <f t="shared" si="15"/>
        <v>1.73862648507686E-3</v>
      </c>
    </row>
    <row r="497" spans="1:9" ht="14.25" customHeight="1" x14ac:dyDescent="0.3">
      <c r="A497" s="127">
        <v>44651</v>
      </c>
      <c r="B497" s="64">
        <v>17464.75</v>
      </c>
      <c r="D497" s="127">
        <v>44651</v>
      </c>
      <c r="E497" s="64">
        <v>35.299999999999997</v>
      </c>
      <c r="H497" s="128">
        <f t="shared" si="14"/>
        <v>-1.9144771620019101E-3</v>
      </c>
      <c r="I497" s="128">
        <f t="shared" si="15"/>
        <v>2.11165750650852E-2</v>
      </c>
    </row>
    <row r="498" spans="1:9" ht="14.25" customHeight="1" x14ac:dyDescent="0.3">
      <c r="A498" s="127">
        <v>44652</v>
      </c>
      <c r="B498" s="64">
        <v>17670.45</v>
      </c>
      <c r="D498" s="127">
        <v>44652</v>
      </c>
      <c r="E498" s="64">
        <v>36.17</v>
      </c>
      <c r="H498" s="128">
        <f t="shared" si="14"/>
        <v>1.1778009991554501E-2</v>
      </c>
      <c r="I498" s="128">
        <f t="shared" si="15"/>
        <v>2.4645892351274901E-2</v>
      </c>
    </row>
    <row r="499" spans="1:9" ht="14.25" customHeight="1" x14ac:dyDescent="0.3">
      <c r="A499" s="127">
        <v>44655</v>
      </c>
      <c r="B499" s="64">
        <v>18053.400000000001</v>
      </c>
      <c r="D499" s="127">
        <v>44655</v>
      </c>
      <c r="E499" s="64">
        <v>36.97</v>
      </c>
      <c r="H499" s="128">
        <f t="shared" si="14"/>
        <v>2.1671774063478901E-2</v>
      </c>
      <c r="I499" s="128">
        <f t="shared" si="15"/>
        <v>2.2117777163395001E-2</v>
      </c>
    </row>
    <row r="500" spans="1:9" ht="14.25" customHeight="1" x14ac:dyDescent="0.3">
      <c r="A500" s="127">
        <v>44656</v>
      </c>
      <c r="B500" s="64">
        <v>17957.400000000001</v>
      </c>
      <c r="D500" s="127">
        <v>44656</v>
      </c>
      <c r="E500" s="64">
        <v>36.61</v>
      </c>
      <c r="H500" s="128">
        <f t="shared" si="14"/>
        <v>-5.3175579115291296E-3</v>
      </c>
      <c r="I500" s="128">
        <f t="shared" si="15"/>
        <v>-9.73762510143358E-3</v>
      </c>
    </row>
    <row r="501" spans="1:9" ht="14.25" customHeight="1" x14ac:dyDescent="0.3">
      <c r="A501" s="127">
        <v>44657</v>
      </c>
      <c r="B501" s="64">
        <v>17807.650000000001</v>
      </c>
      <c r="D501" s="127">
        <v>44657</v>
      </c>
      <c r="E501" s="64">
        <v>37.380000000000003</v>
      </c>
      <c r="H501" s="128">
        <f t="shared" si="14"/>
        <v>-8.3391805049728793E-3</v>
      </c>
      <c r="I501" s="128">
        <f t="shared" si="15"/>
        <v>2.10325047801148E-2</v>
      </c>
    </row>
    <row r="502" spans="1:9" ht="14.25" customHeight="1" x14ac:dyDescent="0.3">
      <c r="A502" s="127">
        <v>44658</v>
      </c>
      <c r="B502" s="64">
        <v>17639.55</v>
      </c>
      <c r="D502" s="127">
        <v>44658</v>
      </c>
      <c r="E502" s="64">
        <v>37.049999999999997</v>
      </c>
      <c r="H502" s="128">
        <f t="shared" si="14"/>
        <v>-9.4397632478177701E-3</v>
      </c>
      <c r="I502" s="128">
        <f t="shared" si="15"/>
        <v>-8.8282504012842499E-3</v>
      </c>
    </row>
    <row r="503" spans="1:9" ht="14.25" customHeight="1" x14ac:dyDescent="0.3">
      <c r="A503" s="127">
        <v>44659</v>
      </c>
      <c r="B503" s="64">
        <v>17784.349999999999</v>
      </c>
      <c r="D503" s="127">
        <v>44659</v>
      </c>
      <c r="E503" s="64">
        <v>37.880000000000003</v>
      </c>
      <c r="H503" s="128">
        <f t="shared" si="14"/>
        <v>8.2088261888766598E-3</v>
      </c>
      <c r="I503" s="128">
        <f t="shared" si="15"/>
        <v>2.24021592442647E-2</v>
      </c>
    </row>
    <row r="504" spans="1:9" ht="14.25" customHeight="1" x14ac:dyDescent="0.3">
      <c r="A504" s="127">
        <v>44662</v>
      </c>
      <c r="B504" s="64">
        <v>17674.95</v>
      </c>
      <c r="D504" s="127">
        <v>44662</v>
      </c>
      <c r="E504" s="64">
        <v>37.76</v>
      </c>
      <c r="H504" s="128">
        <f t="shared" si="14"/>
        <v>-6.1514758762618704E-3</v>
      </c>
      <c r="I504" s="128">
        <f t="shared" si="15"/>
        <v>-3.1678986272440498E-3</v>
      </c>
    </row>
    <row r="505" spans="1:9" ht="14.25" customHeight="1" x14ac:dyDescent="0.3">
      <c r="A505" s="127">
        <v>44663</v>
      </c>
      <c r="B505" s="64">
        <v>17530.3</v>
      </c>
      <c r="D505" s="127">
        <v>44663</v>
      </c>
      <c r="E505" s="64">
        <v>36.840000000000003</v>
      </c>
      <c r="H505" s="128">
        <f t="shared" si="14"/>
        <v>-8.1838986814673602E-3</v>
      </c>
      <c r="I505" s="128">
        <f t="shared" si="15"/>
        <v>-2.43644067796609E-2</v>
      </c>
    </row>
    <row r="506" spans="1:9" ht="14.25" customHeight="1" x14ac:dyDescent="0.3">
      <c r="A506" s="127">
        <v>44664</v>
      </c>
      <c r="B506" s="64">
        <v>17475.650000000001</v>
      </c>
      <c r="D506" s="127">
        <v>44664</v>
      </c>
      <c r="E506" s="64">
        <v>36.4</v>
      </c>
      <c r="H506" s="128">
        <f t="shared" si="14"/>
        <v>-3.1174594844354002E-3</v>
      </c>
      <c r="I506" s="128">
        <f t="shared" si="15"/>
        <v>-1.1943539630836201E-2</v>
      </c>
    </row>
    <row r="507" spans="1:9" ht="14.25" customHeight="1" x14ac:dyDescent="0.3">
      <c r="A507" s="127">
        <v>44669</v>
      </c>
      <c r="B507" s="64">
        <v>17173.650000000001</v>
      </c>
      <c r="D507" s="127">
        <v>44669</v>
      </c>
      <c r="E507" s="64">
        <v>36.54</v>
      </c>
      <c r="H507" s="128">
        <f t="shared" si="14"/>
        <v>-1.7281188396425898E-2</v>
      </c>
      <c r="I507" s="128">
        <f t="shared" si="15"/>
        <v>3.8461538461538598E-3</v>
      </c>
    </row>
    <row r="508" spans="1:9" ht="14.25" customHeight="1" x14ac:dyDescent="0.3">
      <c r="A508" s="127">
        <v>44670</v>
      </c>
      <c r="B508" s="64">
        <v>16958.650000000001</v>
      </c>
      <c r="D508" s="127">
        <v>44670</v>
      </c>
      <c r="E508" s="64">
        <v>36.74</v>
      </c>
      <c r="H508" s="128">
        <f t="shared" si="14"/>
        <v>-1.25191790912241E-2</v>
      </c>
      <c r="I508" s="128">
        <f t="shared" si="15"/>
        <v>5.4734537493158998E-3</v>
      </c>
    </row>
    <row r="509" spans="1:9" ht="14.25" customHeight="1" x14ac:dyDescent="0.3">
      <c r="A509" s="127">
        <v>44671</v>
      </c>
      <c r="B509" s="64">
        <v>17136.55</v>
      </c>
      <c r="D509" s="127">
        <v>44671</v>
      </c>
      <c r="E509" s="64">
        <v>36.92</v>
      </c>
      <c r="H509" s="128">
        <f t="shared" si="14"/>
        <v>1.0490221804211899E-2</v>
      </c>
      <c r="I509" s="128">
        <f t="shared" si="15"/>
        <v>4.8992923244420197E-3</v>
      </c>
    </row>
    <row r="510" spans="1:9" ht="14.25" customHeight="1" x14ac:dyDescent="0.3">
      <c r="A510" s="127">
        <v>44672</v>
      </c>
      <c r="B510" s="64">
        <v>17392.599999999999</v>
      </c>
      <c r="D510" s="127">
        <v>44672</v>
      </c>
      <c r="E510" s="64">
        <v>36.909999999999997</v>
      </c>
      <c r="H510" s="128">
        <f t="shared" si="14"/>
        <v>1.49417473178673E-2</v>
      </c>
      <c r="I510" s="128">
        <f t="shared" si="15"/>
        <v>-2.7085590465886E-4</v>
      </c>
    </row>
    <row r="511" spans="1:9" ht="14.25" customHeight="1" x14ac:dyDescent="0.3">
      <c r="A511" s="127">
        <v>44673</v>
      </c>
      <c r="B511" s="64">
        <v>17171.95</v>
      </c>
      <c r="D511" s="127">
        <v>44673</v>
      </c>
      <c r="E511" s="64">
        <v>36.24</v>
      </c>
      <c r="H511" s="128">
        <f t="shared" si="14"/>
        <v>-1.26864298609752E-2</v>
      </c>
      <c r="I511" s="128">
        <f t="shared" si="15"/>
        <v>-1.8152262259550099E-2</v>
      </c>
    </row>
    <row r="512" spans="1:9" ht="14.25" customHeight="1" x14ac:dyDescent="0.3">
      <c r="A512" s="127">
        <v>44676</v>
      </c>
      <c r="B512" s="64">
        <v>16953.95</v>
      </c>
      <c r="D512" s="127">
        <v>44676</v>
      </c>
      <c r="E512" s="64">
        <v>34.51</v>
      </c>
      <c r="H512" s="128">
        <f t="shared" si="14"/>
        <v>-1.2695121986728401E-2</v>
      </c>
      <c r="I512" s="128">
        <f t="shared" si="15"/>
        <v>-4.7737306843267199E-2</v>
      </c>
    </row>
    <row r="513" spans="1:9" ht="14.25" customHeight="1" x14ac:dyDescent="0.3">
      <c r="A513" s="127">
        <v>44677</v>
      </c>
      <c r="B513" s="64">
        <v>17200.8</v>
      </c>
      <c r="D513" s="127">
        <v>44677</v>
      </c>
      <c r="E513" s="64">
        <v>34.85</v>
      </c>
      <c r="H513" s="128">
        <f t="shared" si="14"/>
        <v>1.45600287838526E-2</v>
      </c>
      <c r="I513" s="128">
        <f t="shared" si="15"/>
        <v>9.8522167487685702E-3</v>
      </c>
    </row>
    <row r="514" spans="1:9" ht="14.25" customHeight="1" x14ac:dyDescent="0.3">
      <c r="A514" s="127">
        <v>44678</v>
      </c>
      <c r="B514" s="64">
        <v>17038.400000000001</v>
      </c>
      <c r="D514" s="127">
        <v>44678</v>
      </c>
      <c r="E514" s="64">
        <v>34.76</v>
      </c>
      <c r="H514" s="128">
        <f t="shared" si="14"/>
        <v>-9.4414213292403695E-3</v>
      </c>
      <c r="I514" s="128">
        <f t="shared" si="15"/>
        <v>-2.5824964131995198E-3</v>
      </c>
    </row>
    <row r="515" spans="1:9" ht="14.25" customHeight="1" x14ac:dyDescent="0.3">
      <c r="A515" s="127">
        <v>44679</v>
      </c>
      <c r="B515" s="64">
        <v>17245.05</v>
      </c>
      <c r="D515" s="127">
        <v>44679</v>
      </c>
      <c r="E515" s="64">
        <v>35.340000000000003</v>
      </c>
      <c r="H515" s="128">
        <f t="shared" ref="H515:H578" si="16">(B515-B514)/B514</f>
        <v>1.21284862428396E-2</v>
      </c>
      <c r="I515" s="128">
        <f t="shared" ref="I515:I578" si="17">(E515-E514)/E514</f>
        <v>1.6685845799770001E-2</v>
      </c>
    </row>
    <row r="516" spans="1:9" ht="14.25" customHeight="1" x14ac:dyDescent="0.3">
      <c r="A516" s="127">
        <v>44680</v>
      </c>
      <c r="B516" s="64">
        <v>17102.55</v>
      </c>
      <c r="D516" s="127">
        <v>44680</v>
      </c>
      <c r="E516" s="64">
        <v>34.89</v>
      </c>
      <c r="H516" s="128">
        <f t="shared" si="16"/>
        <v>-8.2632407560430405E-3</v>
      </c>
      <c r="I516" s="128">
        <f t="shared" si="17"/>
        <v>-1.27334465195247E-2</v>
      </c>
    </row>
    <row r="517" spans="1:9" ht="14.25" customHeight="1" x14ac:dyDescent="0.3">
      <c r="A517" s="127">
        <v>44683</v>
      </c>
      <c r="B517" s="64">
        <v>17069.099999999999</v>
      </c>
      <c r="D517" s="127">
        <v>44683</v>
      </c>
      <c r="E517" s="64">
        <v>34.82</v>
      </c>
      <c r="H517" s="128">
        <f t="shared" si="16"/>
        <v>-1.9558486892306002E-3</v>
      </c>
      <c r="I517" s="128">
        <f t="shared" si="17"/>
        <v>-2.0063055316709702E-3</v>
      </c>
    </row>
    <row r="518" spans="1:9" ht="14.25" customHeight="1" x14ac:dyDescent="0.3">
      <c r="A518" s="127">
        <v>44685</v>
      </c>
      <c r="B518" s="64">
        <v>16677.599999999999</v>
      </c>
      <c r="D518" s="127">
        <v>44685</v>
      </c>
      <c r="E518" s="64">
        <v>34.020000000000003</v>
      </c>
      <c r="H518" s="128">
        <f t="shared" si="16"/>
        <v>-2.2936182927043601E-2</v>
      </c>
      <c r="I518" s="128">
        <f t="shared" si="17"/>
        <v>-2.29753015508328E-2</v>
      </c>
    </row>
    <row r="519" spans="1:9" ht="14.25" customHeight="1" x14ac:dyDescent="0.3">
      <c r="A519" s="127">
        <v>44686</v>
      </c>
      <c r="B519" s="64">
        <v>16682.650000000001</v>
      </c>
      <c r="D519" s="127">
        <v>44686</v>
      </c>
      <c r="E519" s="64">
        <v>34.090000000000003</v>
      </c>
      <c r="H519" s="128">
        <f t="shared" si="16"/>
        <v>3.0280136230650202E-4</v>
      </c>
      <c r="I519" s="128">
        <f t="shared" si="17"/>
        <v>2.05761316872429E-3</v>
      </c>
    </row>
    <row r="520" spans="1:9" ht="14.25" customHeight="1" x14ac:dyDescent="0.3">
      <c r="A520" s="127">
        <v>44687</v>
      </c>
      <c r="B520" s="64">
        <v>16411.25</v>
      </c>
      <c r="D520" s="127">
        <v>44687</v>
      </c>
      <c r="E520" s="64">
        <v>33.11</v>
      </c>
      <c r="H520" s="128">
        <f t="shared" si="16"/>
        <v>-1.62683986057372E-2</v>
      </c>
      <c r="I520" s="128">
        <f t="shared" si="17"/>
        <v>-2.8747433264887198E-2</v>
      </c>
    </row>
    <row r="521" spans="1:9" ht="14.25" customHeight="1" x14ac:dyDescent="0.3">
      <c r="A521" s="127">
        <v>44690</v>
      </c>
      <c r="B521" s="64">
        <v>16301.85</v>
      </c>
      <c r="D521" s="127">
        <v>44690</v>
      </c>
      <c r="E521" s="64">
        <v>32.18</v>
      </c>
      <c r="H521" s="128">
        <f t="shared" si="16"/>
        <v>-6.6661588849112399E-3</v>
      </c>
      <c r="I521" s="128">
        <f t="shared" si="17"/>
        <v>-2.8088190878888499E-2</v>
      </c>
    </row>
    <row r="522" spans="1:9" ht="14.25" customHeight="1" x14ac:dyDescent="0.3">
      <c r="A522" s="127">
        <v>44691</v>
      </c>
      <c r="B522" s="64">
        <v>16240.05</v>
      </c>
      <c r="D522" s="127">
        <v>44691</v>
      </c>
      <c r="E522" s="64">
        <v>30.59</v>
      </c>
      <c r="H522" s="128">
        <f t="shared" si="16"/>
        <v>-3.7909807782552998E-3</v>
      </c>
      <c r="I522" s="128">
        <f t="shared" si="17"/>
        <v>-4.94095711622125E-2</v>
      </c>
    </row>
    <row r="523" spans="1:9" ht="14.25" customHeight="1" x14ac:dyDescent="0.3">
      <c r="A523" s="127">
        <v>44692</v>
      </c>
      <c r="B523" s="64">
        <v>16167.1</v>
      </c>
      <c r="D523" s="127">
        <v>44692</v>
      </c>
      <c r="E523" s="64">
        <v>30.99</v>
      </c>
      <c r="H523" s="128">
        <f t="shared" si="16"/>
        <v>-4.4919812439000398E-3</v>
      </c>
      <c r="I523" s="128">
        <f t="shared" si="17"/>
        <v>1.3076168682576E-2</v>
      </c>
    </row>
    <row r="524" spans="1:9" ht="14.25" customHeight="1" x14ac:dyDescent="0.3">
      <c r="A524" s="127">
        <v>44693</v>
      </c>
      <c r="B524" s="64">
        <v>15808</v>
      </c>
      <c r="D524" s="127">
        <v>44693</v>
      </c>
      <c r="E524" s="64">
        <v>29.88</v>
      </c>
      <c r="H524" s="128">
        <f t="shared" si="16"/>
        <v>-2.2211775766835098E-2</v>
      </c>
      <c r="I524" s="128">
        <f t="shared" si="17"/>
        <v>-3.5818005808325198E-2</v>
      </c>
    </row>
    <row r="525" spans="1:9" ht="14.25" customHeight="1" x14ac:dyDescent="0.3">
      <c r="A525" s="127">
        <v>44694</v>
      </c>
      <c r="B525" s="64">
        <v>15782.15</v>
      </c>
      <c r="D525" s="127">
        <v>44694</v>
      </c>
      <c r="E525" s="64">
        <v>29.56</v>
      </c>
      <c r="H525" s="128">
        <f t="shared" si="16"/>
        <v>-1.6352479757085301E-3</v>
      </c>
      <c r="I525" s="128">
        <f t="shared" si="17"/>
        <v>-1.0709504685408299E-2</v>
      </c>
    </row>
    <row r="526" spans="1:9" ht="14.25" customHeight="1" x14ac:dyDescent="0.3">
      <c r="A526" s="127">
        <v>44697</v>
      </c>
      <c r="B526" s="64">
        <v>15842.3</v>
      </c>
      <c r="D526" s="127">
        <v>44697</v>
      </c>
      <c r="E526" s="64">
        <v>29.94</v>
      </c>
      <c r="H526" s="128">
        <f t="shared" si="16"/>
        <v>3.81126779304465E-3</v>
      </c>
      <c r="I526" s="128">
        <f t="shared" si="17"/>
        <v>1.28552097428959E-2</v>
      </c>
    </row>
    <row r="527" spans="1:9" ht="14.25" customHeight="1" x14ac:dyDescent="0.3">
      <c r="A527" s="127">
        <v>44698</v>
      </c>
      <c r="B527" s="64">
        <v>16259.3</v>
      </c>
      <c r="D527" s="127">
        <v>44698</v>
      </c>
      <c r="E527" s="64">
        <v>31.23</v>
      </c>
      <c r="H527" s="128">
        <f t="shared" si="16"/>
        <v>2.63219355775361E-2</v>
      </c>
      <c r="I527" s="128">
        <f t="shared" si="17"/>
        <v>4.3086172344689297E-2</v>
      </c>
    </row>
    <row r="528" spans="1:9" ht="14.25" customHeight="1" x14ac:dyDescent="0.3">
      <c r="A528" s="127">
        <v>44699</v>
      </c>
      <c r="B528" s="64">
        <v>16240.3</v>
      </c>
      <c r="D528" s="127">
        <v>44699</v>
      </c>
      <c r="E528" s="64">
        <v>30.96</v>
      </c>
      <c r="H528" s="128">
        <f t="shared" si="16"/>
        <v>-1.1685619922136899E-3</v>
      </c>
      <c r="I528" s="128">
        <f t="shared" si="17"/>
        <v>-8.6455331412103598E-3</v>
      </c>
    </row>
    <row r="529" spans="1:9" ht="14.25" customHeight="1" x14ac:dyDescent="0.3">
      <c r="A529" s="127">
        <v>44700</v>
      </c>
      <c r="B529" s="64">
        <v>15809.4</v>
      </c>
      <c r="D529" s="127">
        <v>44700</v>
      </c>
      <c r="E529" s="64">
        <v>30.42</v>
      </c>
      <c r="H529" s="128">
        <f t="shared" si="16"/>
        <v>-2.65327610943147E-2</v>
      </c>
      <c r="I529" s="128">
        <f t="shared" si="17"/>
        <v>-1.74418604651163E-2</v>
      </c>
    </row>
    <row r="530" spans="1:9" ht="14.25" customHeight="1" x14ac:dyDescent="0.3">
      <c r="A530" s="127">
        <v>44701</v>
      </c>
      <c r="B530" s="64">
        <v>16266.15</v>
      </c>
      <c r="D530" s="127">
        <v>44701</v>
      </c>
      <c r="E530" s="64">
        <v>31.8</v>
      </c>
      <c r="H530" s="128">
        <f t="shared" si="16"/>
        <v>2.88910395081407E-2</v>
      </c>
      <c r="I530" s="128">
        <f t="shared" si="17"/>
        <v>4.5364891518737599E-2</v>
      </c>
    </row>
    <row r="531" spans="1:9" ht="14.25" customHeight="1" x14ac:dyDescent="0.3">
      <c r="A531" s="127">
        <v>44704</v>
      </c>
      <c r="B531" s="64">
        <v>16214.7</v>
      </c>
      <c r="D531" s="127">
        <v>44704</v>
      </c>
      <c r="E531" s="64">
        <v>27.83</v>
      </c>
      <c r="H531" s="128">
        <f t="shared" si="16"/>
        <v>-3.1630103005320198E-3</v>
      </c>
      <c r="I531" s="128">
        <f t="shared" si="17"/>
        <v>-0.124842767295598</v>
      </c>
    </row>
    <row r="532" spans="1:9" ht="14.25" customHeight="1" x14ac:dyDescent="0.3">
      <c r="A532" s="127">
        <v>44705</v>
      </c>
      <c r="B532" s="64">
        <v>16125.15</v>
      </c>
      <c r="D532" s="127">
        <v>44705</v>
      </c>
      <c r="E532" s="64">
        <v>27.45</v>
      </c>
      <c r="H532" s="128">
        <f t="shared" si="16"/>
        <v>-5.52276637865647E-3</v>
      </c>
      <c r="I532" s="128">
        <f t="shared" si="17"/>
        <v>-1.3654329859863401E-2</v>
      </c>
    </row>
    <row r="533" spans="1:9" ht="14.25" customHeight="1" x14ac:dyDescent="0.3">
      <c r="A533" s="127">
        <v>44706</v>
      </c>
      <c r="B533" s="64">
        <v>16025.8</v>
      </c>
      <c r="D533" s="127">
        <v>44706</v>
      </c>
      <c r="E533" s="64">
        <v>26.29</v>
      </c>
      <c r="H533" s="128">
        <f t="shared" si="16"/>
        <v>-6.1611829967473403E-3</v>
      </c>
      <c r="I533" s="128">
        <f t="shared" si="17"/>
        <v>-4.22586520947177E-2</v>
      </c>
    </row>
    <row r="534" spans="1:9" ht="14.25" customHeight="1" x14ac:dyDescent="0.3">
      <c r="A534" s="127">
        <v>44707</v>
      </c>
      <c r="B534" s="64">
        <v>16170.15</v>
      </c>
      <c r="D534" s="127">
        <v>44707</v>
      </c>
      <c r="E534" s="64">
        <v>27.34</v>
      </c>
      <c r="H534" s="128">
        <f t="shared" si="16"/>
        <v>9.0073506470815991E-3</v>
      </c>
      <c r="I534" s="128">
        <f t="shared" si="17"/>
        <v>3.9939140357550397E-2</v>
      </c>
    </row>
    <row r="535" spans="1:9" ht="14.25" customHeight="1" x14ac:dyDescent="0.3">
      <c r="A535" s="127">
        <v>44708</v>
      </c>
      <c r="B535" s="64">
        <v>16352.45</v>
      </c>
      <c r="D535" s="127">
        <v>44708</v>
      </c>
      <c r="E535" s="64">
        <v>27.13</v>
      </c>
      <c r="H535" s="128">
        <f t="shared" si="16"/>
        <v>1.1273859549849601E-2</v>
      </c>
      <c r="I535" s="128">
        <f t="shared" si="17"/>
        <v>-7.68105340160939E-3</v>
      </c>
    </row>
    <row r="536" spans="1:9" ht="14.25" customHeight="1" x14ac:dyDescent="0.3">
      <c r="A536" s="127">
        <v>44711</v>
      </c>
      <c r="B536" s="64">
        <v>16661.400000000001</v>
      </c>
      <c r="D536" s="127">
        <v>44711</v>
      </c>
      <c r="E536" s="64">
        <v>26.91</v>
      </c>
      <c r="H536" s="128">
        <f t="shared" si="16"/>
        <v>1.8893193374693099E-2</v>
      </c>
      <c r="I536" s="128">
        <f t="shared" si="17"/>
        <v>-8.1091043125690702E-3</v>
      </c>
    </row>
    <row r="537" spans="1:9" ht="14.25" customHeight="1" x14ac:dyDescent="0.3">
      <c r="A537" s="127">
        <v>44712</v>
      </c>
      <c r="B537" s="64">
        <v>16584.55</v>
      </c>
      <c r="D537" s="127">
        <v>44712</v>
      </c>
      <c r="E537" s="64">
        <v>27.38</v>
      </c>
      <c r="H537" s="128">
        <f t="shared" si="16"/>
        <v>-4.61245753658169E-3</v>
      </c>
      <c r="I537" s="128">
        <f t="shared" si="17"/>
        <v>1.7465626161278301E-2</v>
      </c>
    </row>
    <row r="538" spans="1:9" ht="14.25" customHeight="1" x14ac:dyDescent="0.3">
      <c r="A538" s="127">
        <v>44713</v>
      </c>
      <c r="B538" s="64">
        <v>16522.75</v>
      </c>
      <c r="D538" s="127">
        <v>44713</v>
      </c>
      <c r="E538" s="64">
        <v>27.46</v>
      </c>
      <c r="H538" s="128">
        <f t="shared" si="16"/>
        <v>-3.7263597746094602E-3</v>
      </c>
      <c r="I538" s="128">
        <f t="shared" si="17"/>
        <v>2.92184075967867E-3</v>
      </c>
    </row>
    <row r="539" spans="1:9" ht="14.25" customHeight="1" x14ac:dyDescent="0.3">
      <c r="A539" s="127">
        <v>44714</v>
      </c>
      <c r="B539" s="64">
        <v>16628</v>
      </c>
      <c r="D539" s="127">
        <v>44714</v>
      </c>
      <c r="E539" s="64">
        <v>27.75</v>
      </c>
      <c r="H539" s="128">
        <f t="shared" si="16"/>
        <v>6.3700049931155502E-3</v>
      </c>
      <c r="I539" s="128">
        <f t="shared" si="17"/>
        <v>1.05608157319737E-2</v>
      </c>
    </row>
    <row r="540" spans="1:9" ht="14.25" customHeight="1" x14ac:dyDescent="0.3">
      <c r="A540" s="127">
        <v>44715</v>
      </c>
      <c r="B540" s="64">
        <v>16584.3</v>
      </c>
      <c r="D540" s="127">
        <v>44715</v>
      </c>
      <c r="E540" s="64">
        <v>27.55</v>
      </c>
      <c r="H540" s="128">
        <f t="shared" si="16"/>
        <v>-2.6280971854703299E-3</v>
      </c>
      <c r="I540" s="128">
        <f t="shared" si="17"/>
        <v>-7.2072072072071804E-3</v>
      </c>
    </row>
    <row r="541" spans="1:9" ht="14.25" customHeight="1" x14ac:dyDescent="0.3">
      <c r="A541" s="127">
        <v>44718</v>
      </c>
      <c r="B541" s="64">
        <v>16569.55</v>
      </c>
      <c r="D541" s="127">
        <v>44718</v>
      </c>
      <c r="E541" s="64">
        <v>27.06</v>
      </c>
      <c r="H541" s="128">
        <f t="shared" si="16"/>
        <v>-8.8939539202739901E-4</v>
      </c>
      <c r="I541" s="128">
        <f t="shared" si="17"/>
        <v>-1.7785843920145299E-2</v>
      </c>
    </row>
    <row r="542" spans="1:9" ht="14.25" customHeight="1" x14ac:dyDescent="0.3">
      <c r="A542" s="127">
        <v>44719</v>
      </c>
      <c r="B542" s="64">
        <v>16416.349999999999</v>
      </c>
      <c r="D542" s="127">
        <v>44719</v>
      </c>
      <c r="E542" s="64">
        <v>26.65</v>
      </c>
      <c r="H542" s="128">
        <f t="shared" si="16"/>
        <v>-9.2458757178077097E-3</v>
      </c>
      <c r="I542" s="128">
        <f t="shared" si="17"/>
        <v>-1.5151515151515201E-2</v>
      </c>
    </row>
    <row r="543" spans="1:9" ht="14.25" customHeight="1" x14ac:dyDescent="0.3">
      <c r="A543" s="127">
        <v>44720</v>
      </c>
      <c r="B543" s="64">
        <v>16356.25</v>
      </c>
      <c r="D543" s="127">
        <v>44720</v>
      </c>
      <c r="E543" s="64">
        <v>26.85</v>
      </c>
      <c r="H543" s="128">
        <f t="shared" si="16"/>
        <v>-3.6609843235553899E-3</v>
      </c>
      <c r="I543" s="128">
        <f t="shared" si="17"/>
        <v>7.50469043151981E-3</v>
      </c>
    </row>
    <row r="544" spans="1:9" ht="14.25" customHeight="1" x14ac:dyDescent="0.3">
      <c r="A544" s="127">
        <v>44721</v>
      </c>
      <c r="B544" s="64">
        <v>16478.099999999999</v>
      </c>
      <c r="D544" s="127">
        <v>44721</v>
      </c>
      <c r="E544" s="64">
        <v>26.49</v>
      </c>
      <c r="H544" s="128">
        <f t="shared" si="16"/>
        <v>7.44975162399685E-3</v>
      </c>
      <c r="I544" s="128">
        <f t="shared" si="17"/>
        <v>-1.34078212290504E-2</v>
      </c>
    </row>
    <row r="545" spans="1:9" ht="14.25" customHeight="1" x14ac:dyDescent="0.3">
      <c r="A545" s="127">
        <v>44722</v>
      </c>
      <c r="B545" s="64">
        <v>16201.8</v>
      </c>
      <c r="D545" s="127">
        <v>44722</v>
      </c>
      <c r="E545" s="64">
        <v>25.95</v>
      </c>
      <c r="H545" s="128">
        <f t="shared" si="16"/>
        <v>-1.6767709869463101E-2</v>
      </c>
      <c r="I545" s="128">
        <f t="shared" si="17"/>
        <v>-2.03850509626274E-2</v>
      </c>
    </row>
    <row r="546" spans="1:9" ht="14.25" customHeight="1" x14ac:dyDescent="0.3">
      <c r="A546" s="127">
        <v>44725</v>
      </c>
      <c r="B546" s="64">
        <v>15774.4</v>
      </c>
      <c r="D546" s="127">
        <v>44725</v>
      </c>
      <c r="E546" s="64">
        <v>24.76</v>
      </c>
      <c r="H546" s="128">
        <f t="shared" si="16"/>
        <v>-2.6379784962164698E-2</v>
      </c>
      <c r="I546" s="128">
        <f t="shared" si="17"/>
        <v>-4.5857418111753298E-2</v>
      </c>
    </row>
    <row r="547" spans="1:9" ht="14.25" customHeight="1" x14ac:dyDescent="0.3">
      <c r="A547" s="127">
        <v>44726</v>
      </c>
      <c r="B547" s="64">
        <v>15732.1</v>
      </c>
      <c r="D547" s="127">
        <v>44726</v>
      </c>
      <c r="E547" s="64">
        <v>24.7</v>
      </c>
      <c r="H547" s="128">
        <f t="shared" si="16"/>
        <v>-2.6815599959427502E-3</v>
      </c>
      <c r="I547" s="128">
        <f t="shared" si="17"/>
        <v>-2.4232633279483999E-3</v>
      </c>
    </row>
    <row r="548" spans="1:9" ht="14.25" customHeight="1" x14ac:dyDescent="0.3">
      <c r="A548" s="127">
        <v>44727</v>
      </c>
      <c r="B548" s="64">
        <v>15692.15</v>
      </c>
      <c r="D548" s="127">
        <v>44727</v>
      </c>
      <c r="E548" s="64">
        <v>24.77</v>
      </c>
      <c r="H548" s="128">
        <f t="shared" si="16"/>
        <v>-2.5393939779178101E-3</v>
      </c>
      <c r="I548" s="128">
        <f t="shared" si="17"/>
        <v>2.8340080971659999E-3</v>
      </c>
    </row>
    <row r="549" spans="1:9" ht="14.25" customHeight="1" x14ac:dyDescent="0.3">
      <c r="A549" s="127">
        <v>44728</v>
      </c>
      <c r="B549" s="64">
        <v>15360.6</v>
      </c>
      <c r="D549" s="127">
        <v>44728</v>
      </c>
      <c r="E549" s="64">
        <v>23.45</v>
      </c>
      <c r="H549" s="128">
        <f t="shared" si="16"/>
        <v>-2.11283985942015E-2</v>
      </c>
      <c r="I549" s="128">
        <f t="shared" si="17"/>
        <v>-5.3290270488494197E-2</v>
      </c>
    </row>
    <row r="550" spans="1:9" ht="14.25" customHeight="1" x14ac:dyDescent="0.3">
      <c r="A550" s="127">
        <v>44729</v>
      </c>
      <c r="B550" s="64">
        <v>15293.5</v>
      </c>
      <c r="D550" s="127">
        <v>44729</v>
      </c>
      <c r="E550" s="64">
        <v>23.58</v>
      </c>
      <c r="H550" s="128">
        <f t="shared" si="16"/>
        <v>-4.3683189458745301E-3</v>
      </c>
      <c r="I550" s="128">
        <f t="shared" si="17"/>
        <v>5.5437100213219202E-3</v>
      </c>
    </row>
    <row r="551" spans="1:9" ht="14.25" customHeight="1" x14ac:dyDescent="0.3">
      <c r="A551" s="127">
        <v>44732</v>
      </c>
      <c r="B551" s="64">
        <v>15350.15</v>
      </c>
      <c r="D551" s="127">
        <v>44732</v>
      </c>
      <c r="E551" s="64">
        <v>22.72</v>
      </c>
      <c r="H551" s="128">
        <f t="shared" si="16"/>
        <v>3.7041880537482998E-3</v>
      </c>
      <c r="I551" s="128">
        <f t="shared" si="17"/>
        <v>-3.64715860899067E-2</v>
      </c>
    </row>
    <row r="552" spans="1:9" ht="14.25" customHeight="1" x14ac:dyDescent="0.3">
      <c r="A552" s="127">
        <v>44733</v>
      </c>
      <c r="B552" s="64">
        <v>15638.8</v>
      </c>
      <c r="D552" s="127">
        <v>44733</v>
      </c>
      <c r="E552" s="64">
        <v>23.57</v>
      </c>
      <c r="H552" s="128">
        <f t="shared" si="16"/>
        <v>1.88043765044641E-2</v>
      </c>
      <c r="I552" s="128">
        <f t="shared" si="17"/>
        <v>3.7411971830985997E-2</v>
      </c>
    </row>
    <row r="553" spans="1:9" ht="14.25" customHeight="1" x14ac:dyDescent="0.3">
      <c r="A553" s="127">
        <v>44734</v>
      </c>
      <c r="B553" s="64">
        <v>15413.3</v>
      </c>
      <c r="D553" s="127">
        <v>44734</v>
      </c>
      <c r="E553" s="64">
        <v>22.34</v>
      </c>
      <c r="H553" s="128">
        <f t="shared" si="16"/>
        <v>-1.44192649052357E-2</v>
      </c>
      <c r="I553" s="128">
        <f t="shared" si="17"/>
        <v>-5.2184980907933803E-2</v>
      </c>
    </row>
    <row r="554" spans="1:9" ht="14.25" customHeight="1" x14ac:dyDescent="0.3">
      <c r="A554" s="127">
        <v>44735</v>
      </c>
      <c r="B554" s="64">
        <v>15556.65</v>
      </c>
      <c r="D554" s="127">
        <v>44735</v>
      </c>
      <c r="E554" s="64">
        <v>22.8</v>
      </c>
      <c r="H554" s="128">
        <f t="shared" si="16"/>
        <v>9.3004093866985195E-3</v>
      </c>
      <c r="I554" s="128">
        <f t="shared" si="17"/>
        <v>2.05908683974933E-2</v>
      </c>
    </row>
    <row r="555" spans="1:9" ht="14.25" customHeight="1" x14ac:dyDescent="0.3">
      <c r="A555" s="127">
        <v>44736</v>
      </c>
      <c r="B555" s="64">
        <v>15699.25</v>
      </c>
      <c r="D555" s="127">
        <v>44736</v>
      </c>
      <c r="E555" s="64">
        <v>23.36</v>
      </c>
      <c r="H555" s="128">
        <f t="shared" si="16"/>
        <v>9.1664979285386201E-3</v>
      </c>
      <c r="I555" s="128">
        <f t="shared" si="17"/>
        <v>2.4561403508771899E-2</v>
      </c>
    </row>
    <row r="556" spans="1:9" ht="14.25" customHeight="1" x14ac:dyDescent="0.3">
      <c r="A556" s="127">
        <v>44739</v>
      </c>
      <c r="B556" s="64">
        <v>15832.05</v>
      </c>
      <c r="D556" s="127">
        <v>44739</v>
      </c>
      <c r="E556" s="64">
        <v>24.16</v>
      </c>
      <c r="H556" s="128">
        <f t="shared" si="16"/>
        <v>8.4590028186059402E-3</v>
      </c>
      <c r="I556" s="128">
        <f t="shared" si="17"/>
        <v>3.42465753424658E-2</v>
      </c>
    </row>
    <row r="557" spans="1:9" ht="14.25" customHeight="1" x14ac:dyDescent="0.3">
      <c r="A557" s="127">
        <v>44740</v>
      </c>
      <c r="B557" s="64">
        <v>15850.2</v>
      </c>
      <c r="D557" s="127">
        <v>44740</v>
      </c>
      <c r="E557" s="64">
        <v>24.16</v>
      </c>
      <c r="H557" s="128">
        <f t="shared" si="16"/>
        <v>1.1464087089165E-3</v>
      </c>
      <c r="I557" s="128">
        <f t="shared" si="17"/>
        <v>0</v>
      </c>
    </row>
    <row r="558" spans="1:9" ht="14.25" customHeight="1" x14ac:dyDescent="0.3">
      <c r="A558" s="127">
        <v>44741</v>
      </c>
      <c r="B558" s="64">
        <v>15799.1</v>
      </c>
      <c r="D558" s="127">
        <v>44741</v>
      </c>
      <c r="E558" s="64">
        <v>23.78</v>
      </c>
      <c r="H558" s="128">
        <f t="shared" si="16"/>
        <v>-3.2239340828507101E-3</v>
      </c>
      <c r="I558" s="128">
        <f t="shared" si="17"/>
        <v>-1.5728476821192001E-2</v>
      </c>
    </row>
    <row r="559" spans="1:9" ht="14.25" customHeight="1" x14ac:dyDescent="0.3">
      <c r="A559" s="127">
        <v>44742</v>
      </c>
      <c r="B559" s="64">
        <v>15780.25</v>
      </c>
      <c r="D559" s="127">
        <v>44742</v>
      </c>
      <c r="E559" s="64">
        <v>23.5</v>
      </c>
      <c r="H559" s="128">
        <f t="shared" si="16"/>
        <v>-1.1931059364141199E-3</v>
      </c>
      <c r="I559" s="128">
        <f t="shared" si="17"/>
        <v>-1.1774600504625801E-2</v>
      </c>
    </row>
    <row r="560" spans="1:9" ht="14.25" customHeight="1" x14ac:dyDescent="0.3">
      <c r="A560" s="127">
        <v>44743</v>
      </c>
      <c r="B560" s="64">
        <v>15752.05</v>
      </c>
      <c r="D560" s="127">
        <v>44743</v>
      </c>
      <c r="E560" s="64">
        <v>23.81</v>
      </c>
      <c r="H560" s="128">
        <f t="shared" si="16"/>
        <v>-1.7870439314967E-3</v>
      </c>
      <c r="I560" s="128">
        <f t="shared" si="17"/>
        <v>1.31914893617021E-2</v>
      </c>
    </row>
    <row r="561" spans="1:9" ht="14.25" customHeight="1" x14ac:dyDescent="0.3">
      <c r="A561" s="127">
        <v>44746</v>
      </c>
      <c r="B561" s="64">
        <v>15835.35</v>
      </c>
      <c r="D561" s="127">
        <v>44746</v>
      </c>
      <c r="E561" s="64">
        <v>23.61</v>
      </c>
      <c r="H561" s="128">
        <f t="shared" si="16"/>
        <v>5.2882005834161997E-3</v>
      </c>
      <c r="I561" s="128">
        <f t="shared" si="17"/>
        <v>-8.3998320033599003E-3</v>
      </c>
    </row>
    <row r="562" spans="1:9" ht="14.25" customHeight="1" x14ac:dyDescent="0.3">
      <c r="A562" s="127">
        <v>44747</v>
      </c>
      <c r="B562" s="64">
        <v>15810.85</v>
      </c>
      <c r="D562" s="127">
        <v>44747</v>
      </c>
      <c r="E562" s="64">
        <v>23.58</v>
      </c>
      <c r="H562" s="128">
        <f t="shared" si="16"/>
        <v>-1.5471713602793701E-3</v>
      </c>
      <c r="I562" s="128">
        <f t="shared" si="17"/>
        <v>-1.2706480304956001E-3</v>
      </c>
    </row>
    <row r="563" spans="1:9" ht="14.25" customHeight="1" x14ac:dyDescent="0.3">
      <c r="A563" s="127">
        <v>44748</v>
      </c>
      <c r="B563" s="64">
        <v>15989.8</v>
      </c>
      <c r="D563" s="127">
        <v>44748</v>
      </c>
      <c r="E563" s="64">
        <v>23.07</v>
      </c>
      <c r="H563" s="128">
        <f t="shared" si="16"/>
        <v>1.1318177074603799E-2</v>
      </c>
      <c r="I563" s="128">
        <f t="shared" si="17"/>
        <v>-2.1628498727735299E-2</v>
      </c>
    </row>
    <row r="564" spans="1:9" ht="14.25" customHeight="1" x14ac:dyDescent="0.3">
      <c r="A564" s="127">
        <v>44749</v>
      </c>
      <c r="B564" s="64">
        <v>16132.9</v>
      </c>
      <c r="D564" s="127">
        <v>44749</v>
      </c>
      <c r="E564" s="64">
        <v>23.82</v>
      </c>
      <c r="H564" s="128">
        <f t="shared" si="16"/>
        <v>8.9494552777395799E-3</v>
      </c>
      <c r="I564" s="128">
        <f t="shared" si="17"/>
        <v>3.2509752925877801E-2</v>
      </c>
    </row>
    <row r="565" spans="1:9" ht="14.25" customHeight="1" x14ac:dyDescent="0.3">
      <c r="A565" s="127">
        <v>44750</v>
      </c>
      <c r="B565" s="64">
        <v>16220.6</v>
      </c>
      <c r="D565" s="127">
        <v>44750</v>
      </c>
      <c r="E565" s="64">
        <v>23.66</v>
      </c>
      <c r="H565" s="128">
        <f t="shared" si="16"/>
        <v>5.4360964240775496E-3</v>
      </c>
      <c r="I565" s="128">
        <f t="shared" si="17"/>
        <v>-6.7170445004198203E-3</v>
      </c>
    </row>
    <row r="566" spans="1:9" ht="14.25" customHeight="1" x14ac:dyDescent="0.3">
      <c r="A566" s="127">
        <v>44753</v>
      </c>
      <c r="B566" s="64">
        <v>16216</v>
      </c>
      <c r="D566" s="127">
        <v>44753</v>
      </c>
      <c r="E566" s="64">
        <v>23.67</v>
      </c>
      <c r="H566" s="128">
        <f t="shared" si="16"/>
        <v>-2.83590002835922E-4</v>
      </c>
      <c r="I566" s="128">
        <f t="shared" si="17"/>
        <v>4.2265426880818102E-4</v>
      </c>
    </row>
    <row r="567" spans="1:9" ht="14.25" customHeight="1" x14ac:dyDescent="0.3">
      <c r="A567" s="127">
        <v>44754</v>
      </c>
      <c r="B567" s="64">
        <v>16058.3</v>
      </c>
      <c r="D567" s="127">
        <v>44754</v>
      </c>
      <c r="E567" s="64">
        <v>22.41</v>
      </c>
      <c r="H567" s="128">
        <f t="shared" si="16"/>
        <v>-9.7249629995066998E-3</v>
      </c>
      <c r="I567" s="128">
        <f t="shared" si="17"/>
        <v>-5.32319391634982E-2</v>
      </c>
    </row>
    <row r="568" spans="1:9" ht="14.25" customHeight="1" x14ac:dyDescent="0.3">
      <c r="A568" s="127">
        <v>44755</v>
      </c>
      <c r="B568" s="64">
        <v>15966.65</v>
      </c>
      <c r="D568" s="127">
        <v>44755</v>
      </c>
      <c r="E568" s="64">
        <v>22.92</v>
      </c>
      <c r="H568" s="128">
        <f t="shared" si="16"/>
        <v>-5.7073289202468304E-3</v>
      </c>
      <c r="I568" s="128">
        <f t="shared" si="17"/>
        <v>2.2757697456492702E-2</v>
      </c>
    </row>
    <row r="569" spans="1:9" ht="14.25" customHeight="1" x14ac:dyDescent="0.3">
      <c r="A569" s="127">
        <v>44756</v>
      </c>
      <c r="B569" s="64">
        <v>15938.65</v>
      </c>
      <c r="D569" s="127">
        <v>44756</v>
      </c>
      <c r="E569" s="64">
        <v>22.07</v>
      </c>
      <c r="H569" s="128">
        <f t="shared" si="16"/>
        <v>-1.75365527521427E-3</v>
      </c>
      <c r="I569" s="128">
        <f t="shared" si="17"/>
        <v>-3.7085514834206003E-2</v>
      </c>
    </row>
    <row r="570" spans="1:9" ht="14.25" customHeight="1" x14ac:dyDescent="0.3">
      <c r="A570" s="127">
        <v>44757</v>
      </c>
      <c r="B570" s="64">
        <v>16049.2</v>
      </c>
      <c r="D570" s="127">
        <v>44757</v>
      </c>
      <c r="E570" s="64">
        <v>21.69</v>
      </c>
      <c r="H570" s="128">
        <f t="shared" si="16"/>
        <v>6.9359701103920996E-3</v>
      </c>
      <c r="I570" s="128">
        <f t="shared" si="17"/>
        <v>-1.7217942908926101E-2</v>
      </c>
    </row>
    <row r="571" spans="1:9" ht="14.25" customHeight="1" x14ac:dyDescent="0.3">
      <c r="A571" s="127">
        <v>44760</v>
      </c>
      <c r="B571" s="64">
        <v>16278.5</v>
      </c>
      <c r="D571" s="127">
        <v>44760</v>
      </c>
      <c r="E571" s="64">
        <v>22.43</v>
      </c>
      <c r="H571" s="128">
        <f t="shared" si="16"/>
        <v>1.4287316501757101E-2</v>
      </c>
      <c r="I571" s="128">
        <f t="shared" si="17"/>
        <v>3.4117104656523699E-2</v>
      </c>
    </row>
    <row r="572" spans="1:9" ht="14.25" customHeight="1" x14ac:dyDescent="0.3">
      <c r="A572" s="127">
        <v>44761</v>
      </c>
      <c r="B572" s="64">
        <v>16340.55</v>
      </c>
      <c r="D572" s="127">
        <v>44761</v>
      </c>
      <c r="E572" s="64">
        <v>22.55</v>
      </c>
      <c r="H572" s="128">
        <f t="shared" si="16"/>
        <v>3.8117762693122398E-3</v>
      </c>
      <c r="I572" s="128">
        <f t="shared" si="17"/>
        <v>5.34997770842626E-3</v>
      </c>
    </row>
    <row r="573" spans="1:9" ht="14.25" customHeight="1" x14ac:dyDescent="0.3">
      <c r="A573" s="127">
        <v>44762</v>
      </c>
      <c r="B573" s="64">
        <v>16520.849999999999</v>
      </c>
      <c r="D573" s="127">
        <v>44762</v>
      </c>
      <c r="E573" s="64">
        <v>22.57</v>
      </c>
      <c r="H573" s="128">
        <f t="shared" si="16"/>
        <v>1.1033900327712299E-2</v>
      </c>
      <c r="I573" s="128">
        <f t="shared" si="17"/>
        <v>8.8691796008867304E-4</v>
      </c>
    </row>
    <row r="574" spans="1:9" ht="14.25" customHeight="1" x14ac:dyDescent="0.3">
      <c r="A574" s="127">
        <v>44763</v>
      </c>
      <c r="B574" s="64">
        <v>16605.25</v>
      </c>
      <c r="D574" s="127">
        <v>44763</v>
      </c>
      <c r="E574" s="64">
        <v>22.67</v>
      </c>
      <c r="H574" s="128">
        <f t="shared" si="16"/>
        <v>5.1086959811390701E-3</v>
      </c>
      <c r="I574" s="128">
        <f t="shared" si="17"/>
        <v>4.4306601683651503E-3</v>
      </c>
    </row>
    <row r="575" spans="1:9" ht="14.25" customHeight="1" x14ac:dyDescent="0.3">
      <c r="A575" s="127">
        <v>44764</v>
      </c>
      <c r="B575" s="64">
        <v>16719.45</v>
      </c>
      <c r="D575" s="127">
        <v>44764</v>
      </c>
      <c r="E575" s="64">
        <v>22.6</v>
      </c>
      <c r="H575" s="128">
        <f t="shared" si="16"/>
        <v>6.8773430089881698E-3</v>
      </c>
      <c r="I575" s="128">
        <f t="shared" si="17"/>
        <v>-3.0877812086457998E-3</v>
      </c>
    </row>
    <row r="576" spans="1:9" ht="14.25" customHeight="1" x14ac:dyDescent="0.3">
      <c r="A576" s="127">
        <v>44767</v>
      </c>
      <c r="B576" s="64">
        <v>16631</v>
      </c>
      <c r="D576" s="127">
        <v>44767</v>
      </c>
      <c r="E576" s="64">
        <v>22.94</v>
      </c>
      <c r="H576" s="128">
        <f t="shared" si="16"/>
        <v>-5.2902457915781197E-3</v>
      </c>
      <c r="I576" s="128">
        <f t="shared" si="17"/>
        <v>1.50442477876106E-2</v>
      </c>
    </row>
    <row r="577" spans="1:9" ht="14.25" customHeight="1" x14ac:dyDescent="0.3">
      <c r="A577" s="127">
        <v>44768</v>
      </c>
      <c r="B577" s="64">
        <v>16483.849999999999</v>
      </c>
      <c r="D577" s="127">
        <v>44768</v>
      </c>
      <c r="E577" s="64">
        <v>22.62</v>
      </c>
      <c r="H577" s="128">
        <f t="shared" si="16"/>
        <v>-8.8479345800012901E-3</v>
      </c>
      <c r="I577" s="128">
        <f t="shared" si="17"/>
        <v>-1.3949433304272001E-2</v>
      </c>
    </row>
    <row r="578" spans="1:9" ht="14.25" customHeight="1" x14ac:dyDescent="0.3">
      <c r="A578" s="127">
        <v>44769</v>
      </c>
      <c r="B578" s="64">
        <v>16641.8</v>
      </c>
      <c r="D578" s="127">
        <v>44769</v>
      </c>
      <c r="E578" s="64">
        <v>22.69</v>
      </c>
      <c r="H578" s="128">
        <f t="shared" si="16"/>
        <v>9.58210612205284E-3</v>
      </c>
      <c r="I578" s="128">
        <f t="shared" si="17"/>
        <v>3.0946065428824202E-3</v>
      </c>
    </row>
    <row r="579" spans="1:9" ht="14.25" customHeight="1" x14ac:dyDescent="0.3">
      <c r="A579" s="127">
        <v>44770</v>
      </c>
      <c r="B579" s="64">
        <v>16929.599999999999</v>
      </c>
      <c r="D579" s="127">
        <v>44770</v>
      </c>
      <c r="E579" s="64">
        <v>22.93</v>
      </c>
      <c r="H579" s="128">
        <f t="shared" ref="H579:H642" si="18">(B579-B578)/B578</f>
        <v>1.7293802353110801E-2</v>
      </c>
      <c r="I579" s="128">
        <f t="shared" ref="I579:I642" si="19">(E579-E578)/E578</f>
        <v>1.0577346848832001E-2</v>
      </c>
    </row>
    <row r="580" spans="1:9" ht="14.25" customHeight="1" x14ac:dyDescent="0.3">
      <c r="A580" s="127">
        <v>44771</v>
      </c>
      <c r="B580" s="64">
        <v>17158.25</v>
      </c>
      <c r="D580" s="127">
        <v>44771</v>
      </c>
      <c r="E580" s="64">
        <v>23.41</v>
      </c>
      <c r="H580" s="128">
        <f t="shared" si="18"/>
        <v>1.35059304413572E-2</v>
      </c>
      <c r="I580" s="128">
        <f t="shared" si="19"/>
        <v>2.0933275185346701E-2</v>
      </c>
    </row>
    <row r="581" spans="1:9" ht="14.25" customHeight="1" x14ac:dyDescent="0.3">
      <c r="A581" s="127">
        <v>44774</v>
      </c>
      <c r="B581" s="64">
        <v>17340.05</v>
      </c>
      <c r="D581" s="127">
        <v>44774</v>
      </c>
      <c r="E581" s="64">
        <v>23.39</v>
      </c>
      <c r="H581" s="128">
        <f t="shared" si="18"/>
        <v>1.0595486136406601E-2</v>
      </c>
      <c r="I581" s="128">
        <f t="shared" si="19"/>
        <v>-8.5433575395128499E-4</v>
      </c>
    </row>
    <row r="582" spans="1:9" ht="14.25" customHeight="1" x14ac:dyDescent="0.3">
      <c r="A582" s="127">
        <v>44775</v>
      </c>
      <c r="B582" s="64">
        <v>17345.45</v>
      </c>
      <c r="D582" s="127">
        <v>44775</v>
      </c>
      <c r="E582" s="64">
        <v>23.33</v>
      </c>
      <c r="H582" s="128">
        <f t="shared" si="18"/>
        <v>3.1141778714602602E-4</v>
      </c>
      <c r="I582" s="128">
        <f t="shared" si="19"/>
        <v>-2.5651988029073199E-3</v>
      </c>
    </row>
    <row r="583" spans="1:9" ht="14.25" customHeight="1" x14ac:dyDescent="0.3">
      <c r="A583" s="127">
        <v>44776</v>
      </c>
      <c r="B583" s="64">
        <v>17388.150000000001</v>
      </c>
      <c r="D583" s="127">
        <v>44776</v>
      </c>
      <c r="E583" s="64">
        <v>23.02</v>
      </c>
      <c r="H583" s="128">
        <f t="shared" si="18"/>
        <v>2.4617406870390099E-3</v>
      </c>
      <c r="I583" s="128">
        <f t="shared" si="19"/>
        <v>-1.32876125160737E-2</v>
      </c>
    </row>
    <row r="584" spans="1:9" ht="14.25" customHeight="1" x14ac:dyDescent="0.3">
      <c r="A584" s="127">
        <v>44777</v>
      </c>
      <c r="B584" s="64">
        <v>17382</v>
      </c>
      <c r="D584" s="127">
        <v>44777</v>
      </c>
      <c r="E584" s="64">
        <v>23.32</v>
      </c>
      <c r="H584" s="128">
        <f t="shared" si="18"/>
        <v>-3.5368915036973199E-4</v>
      </c>
      <c r="I584" s="128">
        <f t="shared" si="19"/>
        <v>1.30321459600348E-2</v>
      </c>
    </row>
    <row r="585" spans="1:9" ht="14.25" customHeight="1" x14ac:dyDescent="0.3">
      <c r="A585" s="127">
        <v>44778</v>
      </c>
      <c r="B585" s="64">
        <v>17397.5</v>
      </c>
      <c r="D585" s="127">
        <v>44778</v>
      </c>
      <c r="E585" s="64">
        <v>24.08</v>
      </c>
      <c r="H585" s="128">
        <f t="shared" si="18"/>
        <v>8.9172707398458195E-4</v>
      </c>
      <c r="I585" s="128">
        <f t="shared" si="19"/>
        <v>3.2590051457975902E-2</v>
      </c>
    </row>
    <row r="586" spans="1:9" ht="14.25" customHeight="1" x14ac:dyDescent="0.3">
      <c r="A586" s="127">
        <v>44781</v>
      </c>
      <c r="B586" s="64">
        <v>17525.099999999999</v>
      </c>
      <c r="D586" s="127">
        <v>44781</v>
      </c>
      <c r="E586" s="64">
        <v>24.56</v>
      </c>
      <c r="H586" s="128">
        <f t="shared" si="18"/>
        <v>7.3343871245867796E-3</v>
      </c>
      <c r="I586" s="128">
        <f t="shared" si="19"/>
        <v>1.9933554817275798E-2</v>
      </c>
    </row>
    <row r="587" spans="1:9" ht="14.25" customHeight="1" x14ac:dyDescent="0.3">
      <c r="A587" s="127">
        <v>44783</v>
      </c>
      <c r="B587" s="64">
        <v>17534.75</v>
      </c>
      <c r="D587" s="127">
        <v>44783</v>
      </c>
      <c r="E587" s="64">
        <v>25.19</v>
      </c>
      <c r="H587" s="128">
        <f t="shared" si="18"/>
        <v>5.5063879806685598E-4</v>
      </c>
      <c r="I587" s="128">
        <f t="shared" si="19"/>
        <v>2.5651465798045701E-2</v>
      </c>
    </row>
    <row r="588" spans="1:9" ht="14.25" customHeight="1" x14ac:dyDescent="0.3">
      <c r="A588" s="127">
        <v>44784</v>
      </c>
      <c r="B588" s="64">
        <v>17659</v>
      </c>
      <c r="D588" s="127">
        <v>44784</v>
      </c>
      <c r="E588" s="64">
        <v>25.15</v>
      </c>
      <c r="H588" s="128">
        <f t="shared" si="18"/>
        <v>7.0859293688247602E-3</v>
      </c>
      <c r="I588" s="128">
        <f t="shared" si="19"/>
        <v>-1.58793171893619E-3</v>
      </c>
    </row>
    <row r="589" spans="1:9" ht="14.25" customHeight="1" x14ac:dyDescent="0.3">
      <c r="A589" s="127">
        <v>44785</v>
      </c>
      <c r="B589" s="64">
        <v>17698.150000000001</v>
      </c>
      <c r="D589" s="127">
        <v>44785</v>
      </c>
      <c r="E589" s="64">
        <v>25.39</v>
      </c>
      <c r="H589" s="128">
        <f t="shared" si="18"/>
        <v>2.21699983011504E-3</v>
      </c>
      <c r="I589" s="128">
        <f t="shared" si="19"/>
        <v>9.5427435387674692E-3</v>
      </c>
    </row>
    <row r="590" spans="1:9" ht="14.25" customHeight="1" x14ac:dyDescent="0.3">
      <c r="A590" s="127">
        <v>44789</v>
      </c>
      <c r="B590" s="64">
        <v>17825.25</v>
      </c>
      <c r="D590" s="127">
        <v>44789</v>
      </c>
      <c r="E590" s="64">
        <v>25.4</v>
      </c>
      <c r="H590" s="128">
        <f t="shared" si="18"/>
        <v>7.1815415735542202E-3</v>
      </c>
      <c r="I590" s="128">
        <f t="shared" si="19"/>
        <v>3.93855848759276E-4</v>
      </c>
    </row>
    <row r="591" spans="1:9" ht="14.25" customHeight="1" x14ac:dyDescent="0.3">
      <c r="A591" s="127">
        <v>44790</v>
      </c>
      <c r="B591" s="64">
        <v>17944.25</v>
      </c>
      <c r="D591" s="127">
        <v>44790</v>
      </c>
      <c r="E591" s="64">
        <v>25.2</v>
      </c>
      <c r="H591" s="128">
        <f t="shared" si="18"/>
        <v>6.6759231988331204E-3</v>
      </c>
      <c r="I591" s="128">
        <f t="shared" si="19"/>
        <v>-7.8740157480314699E-3</v>
      </c>
    </row>
    <row r="592" spans="1:9" ht="14.25" customHeight="1" x14ac:dyDescent="0.3">
      <c r="A592" s="127">
        <v>44791</v>
      </c>
      <c r="B592" s="64">
        <v>17956.5</v>
      </c>
      <c r="D592" s="127">
        <v>44791</v>
      </c>
      <c r="E592" s="64">
        <v>25.39</v>
      </c>
      <c r="H592" s="128">
        <f t="shared" si="18"/>
        <v>6.8266993605193898E-4</v>
      </c>
      <c r="I592" s="128">
        <f t="shared" si="19"/>
        <v>7.5396825396825901E-3</v>
      </c>
    </row>
    <row r="593" spans="1:9" ht="14.25" customHeight="1" x14ac:dyDescent="0.3">
      <c r="A593" s="127">
        <v>44792</v>
      </c>
      <c r="B593" s="64">
        <v>17758.45</v>
      </c>
      <c r="D593" s="127">
        <v>44792</v>
      </c>
      <c r="E593" s="64">
        <v>25.19</v>
      </c>
      <c r="H593" s="128">
        <f t="shared" si="18"/>
        <v>-1.1029432239022001E-2</v>
      </c>
      <c r="I593" s="128">
        <f t="shared" si="19"/>
        <v>-7.8771169751870491E-3</v>
      </c>
    </row>
    <row r="594" spans="1:9" ht="14.25" customHeight="1" x14ac:dyDescent="0.3">
      <c r="A594" s="127">
        <v>44795</v>
      </c>
      <c r="B594" s="64">
        <v>17490.7</v>
      </c>
      <c r="D594" s="127">
        <v>44795</v>
      </c>
      <c r="E594" s="64">
        <v>24.47</v>
      </c>
      <c r="H594" s="128">
        <f t="shared" si="18"/>
        <v>-1.50773293840397E-2</v>
      </c>
      <c r="I594" s="128">
        <f t="shared" si="19"/>
        <v>-2.85827709408496E-2</v>
      </c>
    </row>
    <row r="595" spans="1:9" ht="14.25" customHeight="1" x14ac:dyDescent="0.3">
      <c r="A595" s="127">
        <v>44796</v>
      </c>
      <c r="B595" s="64">
        <v>17577.5</v>
      </c>
      <c r="D595" s="127">
        <v>44796</v>
      </c>
      <c r="E595" s="64">
        <v>25.89</v>
      </c>
      <c r="H595" s="128">
        <f t="shared" si="18"/>
        <v>4.96263728724404E-3</v>
      </c>
      <c r="I595" s="128">
        <f t="shared" si="19"/>
        <v>5.8030241111565302E-2</v>
      </c>
    </row>
    <row r="596" spans="1:9" ht="14.25" customHeight="1" x14ac:dyDescent="0.3">
      <c r="A596" s="127">
        <v>44797</v>
      </c>
      <c r="B596" s="64">
        <v>17604.95</v>
      </c>
      <c r="D596" s="127">
        <v>44797</v>
      </c>
      <c r="E596" s="64">
        <v>26.2</v>
      </c>
      <c r="H596" s="128">
        <f t="shared" si="18"/>
        <v>1.56165552552984E-3</v>
      </c>
      <c r="I596" s="128">
        <f t="shared" si="19"/>
        <v>1.1973735032831201E-2</v>
      </c>
    </row>
    <row r="597" spans="1:9" ht="14.25" customHeight="1" x14ac:dyDescent="0.3">
      <c r="A597" s="127">
        <v>44798</v>
      </c>
      <c r="B597" s="64">
        <v>17522.45</v>
      </c>
      <c r="D597" s="127">
        <v>44798</v>
      </c>
      <c r="E597" s="64">
        <v>26.5</v>
      </c>
      <c r="H597" s="128">
        <f t="shared" si="18"/>
        <v>-4.6861820113093203E-3</v>
      </c>
      <c r="I597" s="128">
        <f t="shared" si="19"/>
        <v>1.1450381679389301E-2</v>
      </c>
    </row>
    <row r="598" spans="1:9" ht="14.25" customHeight="1" x14ac:dyDescent="0.3">
      <c r="A598" s="127">
        <v>44799</v>
      </c>
      <c r="B598" s="64">
        <v>17558.900000000001</v>
      </c>
      <c r="D598" s="127">
        <v>44799</v>
      </c>
      <c r="E598" s="64">
        <v>26.7</v>
      </c>
      <c r="H598" s="128">
        <f t="shared" si="18"/>
        <v>2.0801885581069302E-3</v>
      </c>
      <c r="I598" s="128">
        <f t="shared" si="19"/>
        <v>7.5471698113207296E-3</v>
      </c>
    </row>
    <row r="599" spans="1:9" ht="14.25" customHeight="1" x14ac:dyDescent="0.3">
      <c r="A599" s="127">
        <v>44802</v>
      </c>
      <c r="B599" s="64">
        <v>17312.900000000001</v>
      </c>
      <c r="D599" s="127">
        <v>44802</v>
      </c>
      <c r="E599" s="64">
        <v>26.9</v>
      </c>
      <c r="H599" s="128">
        <f t="shared" si="18"/>
        <v>-1.40099892362278E-2</v>
      </c>
      <c r="I599" s="128">
        <f t="shared" si="19"/>
        <v>7.4906367041198199E-3</v>
      </c>
    </row>
    <row r="600" spans="1:9" ht="14.25" customHeight="1" x14ac:dyDescent="0.3">
      <c r="A600" s="127">
        <v>44803</v>
      </c>
      <c r="B600" s="64">
        <v>17759.3</v>
      </c>
      <c r="D600" s="127">
        <v>44803</v>
      </c>
      <c r="E600" s="64">
        <v>26.55</v>
      </c>
      <c r="H600" s="128">
        <f t="shared" si="18"/>
        <v>2.5784241808131401E-2</v>
      </c>
      <c r="I600" s="128">
        <f t="shared" si="19"/>
        <v>-1.30111524163568E-2</v>
      </c>
    </row>
    <row r="601" spans="1:9" ht="14.25" customHeight="1" x14ac:dyDescent="0.3">
      <c r="A601" s="127">
        <v>44805</v>
      </c>
      <c r="B601" s="64">
        <v>17542.8</v>
      </c>
      <c r="D601" s="127">
        <v>44805</v>
      </c>
      <c r="E601" s="64">
        <v>26.53</v>
      </c>
      <c r="H601" s="128">
        <f t="shared" si="18"/>
        <v>-1.2190795808393299E-2</v>
      </c>
      <c r="I601" s="128">
        <f t="shared" si="19"/>
        <v>-7.5329566854989E-4</v>
      </c>
    </row>
    <row r="602" spans="1:9" ht="14.25" customHeight="1" x14ac:dyDescent="0.3">
      <c r="A602" s="127">
        <v>44806</v>
      </c>
      <c r="B602" s="64">
        <v>17539.45</v>
      </c>
      <c r="D602" s="127">
        <v>44806</v>
      </c>
      <c r="E602" s="64">
        <v>26.49</v>
      </c>
      <c r="H602" s="128">
        <f t="shared" si="18"/>
        <v>-1.90961534076575E-4</v>
      </c>
      <c r="I602" s="128">
        <f t="shared" si="19"/>
        <v>-1.50772710139475E-3</v>
      </c>
    </row>
    <row r="603" spans="1:9" ht="14.25" customHeight="1" x14ac:dyDescent="0.3">
      <c r="A603" s="127">
        <v>44809</v>
      </c>
      <c r="B603" s="64">
        <v>17665.8</v>
      </c>
      <c r="D603" s="127">
        <v>44809</v>
      </c>
      <c r="E603" s="64">
        <v>26.6</v>
      </c>
      <c r="H603" s="128">
        <f t="shared" si="18"/>
        <v>7.2037606652431297E-3</v>
      </c>
      <c r="I603" s="128">
        <f t="shared" si="19"/>
        <v>4.1525103812760696E-3</v>
      </c>
    </row>
    <row r="604" spans="1:9" ht="14.25" customHeight="1" x14ac:dyDescent="0.3">
      <c r="A604" s="127">
        <v>44810</v>
      </c>
      <c r="B604" s="64">
        <v>17655.599999999999</v>
      </c>
      <c r="D604" s="127">
        <v>44810</v>
      </c>
      <c r="E604" s="64">
        <v>26.49</v>
      </c>
      <c r="H604" s="128">
        <f t="shared" si="18"/>
        <v>-5.7738681520229601E-4</v>
      </c>
      <c r="I604" s="128">
        <f t="shared" si="19"/>
        <v>-4.1353383458647697E-3</v>
      </c>
    </row>
    <row r="605" spans="1:9" ht="14.25" customHeight="1" x14ac:dyDescent="0.3">
      <c r="A605" s="127">
        <v>44811</v>
      </c>
      <c r="B605" s="64">
        <v>17624.400000000001</v>
      </c>
      <c r="D605" s="127">
        <v>44811</v>
      </c>
      <c r="E605" s="64">
        <v>26.91</v>
      </c>
      <c r="H605" s="128">
        <f t="shared" si="18"/>
        <v>-1.76714470196408E-3</v>
      </c>
      <c r="I605" s="128">
        <f t="shared" si="19"/>
        <v>1.58550396375992E-2</v>
      </c>
    </row>
    <row r="606" spans="1:9" ht="14.25" customHeight="1" x14ac:dyDescent="0.3">
      <c r="A606" s="127">
        <v>44812</v>
      </c>
      <c r="B606" s="64">
        <v>17798.75</v>
      </c>
      <c r="D606" s="127">
        <v>44812</v>
      </c>
      <c r="E606" s="64">
        <v>26.57</v>
      </c>
      <c r="H606" s="128">
        <f t="shared" si="18"/>
        <v>9.8925353487210096E-3</v>
      </c>
      <c r="I606" s="128">
        <f t="shared" si="19"/>
        <v>-1.26347082868822E-2</v>
      </c>
    </row>
    <row r="607" spans="1:9" ht="14.25" customHeight="1" x14ac:dyDescent="0.3">
      <c r="A607" s="127">
        <v>44813</v>
      </c>
      <c r="B607" s="64">
        <v>17833.349999999999</v>
      </c>
      <c r="D607" s="127">
        <v>44813</v>
      </c>
      <c r="E607" s="64">
        <v>26.92</v>
      </c>
      <c r="H607" s="128">
        <f t="shared" si="18"/>
        <v>1.94395673853493E-3</v>
      </c>
      <c r="I607" s="128">
        <f t="shared" si="19"/>
        <v>1.31727512231841E-2</v>
      </c>
    </row>
    <row r="608" spans="1:9" ht="14.25" customHeight="1" x14ac:dyDescent="0.3">
      <c r="A608" s="127">
        <v>44816</v>
      </c>
      <c r="B608" s="64">
        <v>17936.349999999999</v>
      </c>
      <c r="D608" s="127">
        <v>44816</v>
      </c>
      <c r="E608" s="64">
        <v>27.47</v>
      </c>
      <c r="H608" s="128">
        <f t="shared" si="18"/>
        <v>5.7756955367331397E-3</v>
      </c>
      <c r="I608" s="128">
        <f t="shared" si="19"/>
        <v>2.0430906389301499E-2</v>
      </c>
    </row>
    <row r="609" spans="1:9" ht="14.25" customHeight="1" x14ac:dyDescent="0.3">
      <c r="A609" s="127">
        <v>44817</v>
      </c>
      <c r="B609" s="64">
        <v>18070.05</v>
      </c>
      <c r="D609" s="127">
        <v>44817</v>
      </c>
      <c r="E609" s="64">
        <v>27.25</v>
      </c>
      <c r="H609" s="128">
        <f t="shared" si="18"/>
        <v>7.4541364324403102E-3</v>
      </c>
      <c r="I609" s="128">
        <f t="shared" si="19"/>
        <v>-8.00873680378591E-3</v>
      </c>
    </row>
    <row r="610" spans="1:9" ht="14.25" customHeight="1" x14ac:dyDescent="0.3">
      <c r="A610" s="127">
        <v>44818</v>
      </c>
      <c r="B610" s="64">
        <v>18003.75</v>
      </c>
      <c r="D610" s="127">
        <v>44818</v>
      </c>
      <c r="E610" s="64">
        <v>27.6</v>
      </c>
      <c r="H610" s="128">
        <f t="shared" si="18"/>
        <v>-3.6690545958643901E-3</v>
      </c>
      <c r="I610" s="128">
        <f t="shared" si="19"/>
        <v>1.2844036697247801E-2</v>
      </c>
    </row>
    <row r="611" spans="1:9" ht="14.25" customHeight="1" x14ac:dyDescent="0.3">
      <c r="A611" s="127">
        <v>44819</v>
      </c>
      <c r="B611" s="64">
        <v>17877.400000000001</v>
      </c>
      <c r="D611" s="127">
        <v>44819</v>
      </c>
      <c r="E611" s="64">
        <v>27.29</v>
      </c>
      <c r="H611" s="128">
        <f t="shared" si="18"/>
        <v>-7.0179823647850302E-3</v>
      </c>
      <c r="I611" s="128">
        <f t="shared" si="19"/>
        <v>-1.1231884057971099E-2</v>
      </c>
    </row>
    <row r="612" spans="1:9" ht="14.25" customHeight="1" x14ac:dyDescent="0.3">
      <c r="A612" s="127">
        <v>44820</v>
      </c>
      <c r="B612" s="64">
        <v>17530.849999999999</v>
      </c>
      <c r="D612" s="127">
        <v>44820</v>
      </c>
      <c r="E612" s="64">
        <v>27.18</v>
      </c>
      <c r="H612" s="128">
        <f t="shared" si="18"/>
        <v>-1.9384809871681698E-2</v>
      </c>
      <c r="I612" s="128">
        <f t="shared" si="19"/>
        <v>-4.0307805056797198E-3</v>
      </c>
    </row>
    <row r="613" spans="1:9" ht="14.25" customHeight="1" x14ac:dyDescent="0.3">
      <c r="A613" s="127">
        <v>44823</v>
      </c>
      <c r="B613" s="64">
        <v>17622.25</v>
      </c>
      <c r="D613" s="127">
        <v>44823</v>
      </c>
      <c r="E613" s="64">
        <v>27.38</v>
      </c>
      <c r="H613" s="128">
        <f t="shared" si="18"/>
        <v>5.2136661941663701E-3</v>
      </c>
      <c r="I613" s="128">
        <f t="shared" si="19"/>
        <v>7.3583517292126303E-3</v>
      </c>
    </row>
    <row r="614" spans="1:9" ht="14.25" customHeight="1" x14ac:dyDescent="0.3">
      <c r="A614" s="127">
        <v>44824</v>
      </c>
      <c r="B614" s="64">
        <v>17816.25</v>
      </c>
      <c r="D614" s="127">
        <v>44824</v>
      </c>
      <c r="E614" s="64">
        <v>27.64</v>
      </c>
      <c r="H614" s="128">
        <f t="shared" si="18"/>
        <v>1.10088098852303E-2</v>
      </c>
      <c r="I614" s="128">
        <f t="shared" si="19"/>
        <v>9.4959824689554995E-3</v>
      </c>
    </row>
    <row r="615" spans="1:9" ht="14.25" customHeight="1" x14ac:dyDescent="0.3">
      <c r="A615" s="127">
        <v>44825</v>
      </c>
      <c r="B615" s="64">
        <v>17718.349999999999</v>
      </c>
      <c r="D615" s="127">
        <v>44825</v>
      </c>
      <c r="E615" s="64">
        <v>27.96</v>
      </c>
      <c r="H615" s="128">
        <f t="shared" si="18"/>
        <v>-5.4949835122431196E-3</v>
      </c>
      <c r="I615" s="128">
        <f t="shared" si="19"/>
        <v>1.1577424023154899E-2</v>
      </c>
    </row>
    <row r="616" spans="1:9" ht="14.25" customHeight="1" x14ac:dyDescent="0.3">
      <c r="A616" s="127">
        <v>44826</v>
      </c>
      <c r="B616" s="64">
        <v>17629.8</v>
      </c>
      <c r="D616" s="127">
        <v>44826</v>
      </c>
      <c r="E616" s="64">
        <v>28.52</v>
      </c>
      <c r="H616" s="128">
        <f t="shared" si="18"/>
        <v>-4.9976436857833402E-3</v>
      </c>
      <c r="I616" s="128">
        <f t="shared" si="19"/>
        <v>2.0028612303290401E-2</v>
      </c>
    </row>
    <row r="617" spans="1:9" ht="14.25" customHeight="1" x14ac:dyDescent="0.3">
      <c r="A617" s="127">
        <v>44827</v>
      </c>
      <c r="B617" s="64">
        <v>17327.349999999999</v>
      </c>
      <c r="D617" s="127">
        <v>44827</v>
      </c>
      <c r="E617" s="64">
        <v>27.77</v>
      </c>
      <c r="H617" s="128">
        <f t="shared" si="18"/>
        <v>-1.7155611521401298E-2</v>
      </c>
      <c r="I617" s="128">
        <f t="shared" si="19"/>
        <v>-2.62973352033661E-2</v>
      </c>
    </row>
    <row r="618" spans="1:9" ht="14.25" customHeight="1" x14ac:dyDescent="0.3">
      <c r="A618" s="127">
        <v>44830</v>
      </c>
      <c r="B618" s="64">
        <v>17016.3</v>
      </c>
      <c r="D618" s="127">
        <v>44830</v>
      </c>
      <c r="E618" s="64">
        <v>26.66</v>
      </c>
      <c r="H618" s="128">
        <f t="shared" si="18"/>
        <v>-1.7951388989083699E-2</v>
      </c>
      <c r="I618" s="128">
        <f t="shared" si="19"/>
        <v>-3.99711919337414E-2</v>
      </c>
    </row>
    <row r="619" spans="1:9" ht="14.25" customHeight="1" x14ac:dyDescent="0.3">
      <c r="A619" s="127">
        <v>44831</v>
      </c>
      <c r="B619" s="64">
        <v>17007.400000000001</v>
      </c>
      <c r="D619" s="127">
        <v>44831</v>
      </c>
      <c r="E619" s="64">
        <v>26.98</v>
      </c>
      <c r="H619" s="128">
        <f t="shared" si="18"/>
        <v>-5.2302792028806604E-4</v>
      </c>
      <c r="I619" s="128">
        <f t="shared" si="19"/>
        <v>1.2003000750187599E-2</v>
      </c>
    </row>
    <row r="620" spans="1:9" ht="14.25" customHeight="1" x14ac:dyDescent="0.3">
      <c r="A620" s="127">
        <v>44832</v>
      </c>
      <c r="B620" s="64">
        <v>16858.599999999999</v>
      </c>
      <c r="D620" s="127">
        <v>44832</v>
      </c>
      <c r="E620" s="64">
        <v>26.54</v>
      </c>
      <c r="H620" s="128">
        <f t="shared" si="18"/>
        <v>-8.7491327304586794E-3</v>
      </c>
      <c r="I620" s="128">
        <f t="shared" si="19"/>
        <v>-1.6308376575241E-2</v>
      </c>
    </row>
    <row r="621" spans="1:9" ht="14.25" customHeight="1" x14ac:dyDescent="0.3">
      <c r="A621" s="127">
        <v>44833</v>
      </c>
      <c r="B621" s="64">
        <v>16818.099999999999</v>
      </c>
      <c r="D621" s="127">
        <v>44833</v>
      </c>
      <c r="E621" s="64">
        <v>27.18</v>
      </c>
      <c r="H621" s="128">
        <f t="shared" si="18"/>
        <v>-2.4023347134400201E-3</v>
      </c>
      <c r="I621" s="128">
        <f t="shared" si="19"/>
        <v>2.4114544084400901E-2</v>
      </c>
    </row>
    <row r="622" spans="1:9" ht="14.25" customHeight="1" x14ac:dyDescent="0.3">
      <c r="A622" s="127">
        <v>44834</v>
      </c>
      <c r="B622" s="64">
        <v>17094.349999999999</v>
      </c>
      <c r="D622" s="127">
        <v>44834</v>
      </c>
      <c r="E622" s="64">
        <v>27.74</v>
      </c>
      <c r="H622" s="128">
        <f t="shared" si="18"/>
        <v>1.6425755584756899E-2</v>
      </c>
      <c r="I622" s="128">
        <f t="shared" si="19"/>
        <v>2.06033848417954E-2</v>
      </c>
    </row>
    <row r="623" spans="1:9" ht="14.25" customHeight="1" x14ac:dyDescent="0.3">
      <c r="A623" s="127">
        <v>44837</v>
      </c>
      <c r="B623" s="64">
        <v>16887.349999999999</v>
      </c>
      <c r="D623" s="127">
        <v>44837</v>
      </c>
      <c r="E623" s="64">
        <v>27.31</v>
      </c>
      <c r="H623" s="128">
        <f t="shared" si="18"/>
        <v>-1.2109264172080201E-2</v>
      </c>
      <c r="I623" s="128">
        <f t="shared" si="19"/>
        <v>-1.55010814708003E-2</v>
      </c>
    </row>
    <row r="624" spans="1:9" ht="14.25" customHeight="1" x14ac:dyDescent="0.3">
      <c r="A624" s="127">
        <v>44838</v>
      </c>
      <c r="B624" s="64">
        <v>17274.3</v>
      </c>
      <c r="D624" s="127">
        <v>44838</v>
      </c>
      <c r="E624" s="64">
        <v>28.17</v>
      </c>
      <c r="H624" s="128">
        <f t="shared" si="18"/>
        <v>2.29136010090394E-2</v>
      </c>
      <c r="I624" s="128">
        <f t="shared" si="19"/>
        <v>3.1490296594654098E-2</v>
      </c>
    </row>
    <row r="625" spans="1:9" ht="14.25" customHeight="1" x14ac:dyDescent="0.3">
      <c r="A625" s="127">
        <v>44840</v>
      </c>
      <c r="B625" s="64">
        <v>17331.8</v>
      </c>
      <c r="D625" s="127">
        <v>44840</v>
      </c>
      <c r="E625" s="64">
        <v>28.86</v>
      </c>
      <c r="H625" s="128">
        <f t="shared" si="18"/>
        <v>3.3286442865991701E-3</v>
      </c>
      <c r="I625" s="128">
        <f t="shared" si="19"/>
        <v>2.44941427050052E-2</v>
      </c>
    </row>
    <row r="626" spans="1:9" ht="14.25" customHeight="1" x14ac:dyDescent="0.3">
      <c r="A626" s="127">
        <v>44841</v>
      </c>
      <c r="B626" s="64">
        <v>17314.650000000001</v>
      </c>
      <c r="D626" s="127">
        <v>44841</v>
      </c>
      <c r="E626" s="64">
        <v>29.28</v>
      </c>
      <c r="H626" s="128">
        <f t="shared" si="18"/>
        <v>-9.895106105538851E-4</v>
      </c>
      <c r="I626" s="128">
        <f t="shared" si="19"/>
        <v>1.4553014553014601E-2</v>
      </c>
    </row>
    <row r="627" spans="1:9" ht="14.25" customHeight="1" x14ac:dyDescent="0.3">
      <c r="A627" s="127">
        <v>44844</v>
      </c>
      <c r="B627" s="64">
        <v>17241</v>
      </c>
      <c r="D627" s="127">
        <v>44844</v>
      </c>
      <c r="E627" s="64">
        <v>29.59</v>
      </c>
      <c r="H627" s="128">
        <f t="shared" si="18"/>
        <v>-4.2536233767359703E-3</v>
      </c>
      <c r="I627" s="128">
        <f t="shared" si="19"/>
        <v>1.0587431693989E-2</v>
      </c>
    </row>
    <row r="628" spans="1:9" ht="14.25" customHeight="1" x14ac:dyDescent="0.3">
      <c r="A628" s="127">
        <v>44845</v>
      </c>
      <c r="B628" s="64">
        <v>16983.55</v>
      </c>
      <c r="D628" s="127">
        <v>44845</v>
      </c>
      <c r="E628" s="64">
        <v>28.42</v>
      </c>
      <c r="H628" s="128">
        <f t="shared" si="18"/>
        <v>-1.49324285134273E-2</v>
      </c>
      <c r="I628" s="128">
        <f t="shared" si="19"/>
        <v>-3.9540385265292299E-2</v>
      </c>
    </row>
    <row r="629" spans="1:9" ht="14.25" customHeight="1" x14ac:dyDescent="0.3">
      <c r="A629" s="127">
        <v>44846</v>
      </c>
      <c r="B629" s="64">
        <v>17123.599999999999</v>
      </c>
      <c r="D629" s="127">
        <v>44846</v>
      </c>
      <c r="E629" s="64">
        <v>28.36</v>
      </c>
      <c r="H629" s="128">
        <f t="shared" si="18"/>
        <v>8.2462147195373897E-3</v>
      </c>
      <c r="I629" s="128">
        <f t="shared" si="19"/>
        <v>-2.1111893033076098E-3</v>
      </c>
    </row>
    <row r="630" spans="1:9" ht="14.25" customHeight="1" x14ac:dyDescent="0.3">
      <c r="A630" s="127">
        <v>44847</v>
      </c>
      <c r="B630" s="64">
        <v>17014.349999999999</v>
      </c>
      <c r="D630" s="127">
        <v>44847</v>
      </c>
      <c r="E630" s="64">
        <v>28.01</v>
      </c>
      <c r="H630" s="128">
        <f t="shared" si="18"/>
        <v>-6.3800836272746402E-3</v>
      </c>
      <c r="I630" s="128">
        <f t="shared" si="19"/>
        <v>-1.2341325811001299E-2</v>
      </c>
    </row>
    <row r="631" spans="1:9" ht="14.25" customHeight="1" x14ac:dyDescent="0.3">
      <c r="A631" s="127">
        <v>44848</v>
      </c>
      <c r="B631" s="64">
        <v>17185.7</v>
      </c>
      <c r="D631" s="127">
        <v>44848</v>
      </c>
      <c r="E631" s="64">
        <v>28.74</v>
      </c>
      <c r="H631" s="128">
        <f t="shared" si="18"/>
        <v>1.00709107312358E-2</v>
      </c>
      <c r="I631" s="128">
        <f t="shared" si="19"/>
        <v>2.6062120671188699E-2</v>
      </c>
    </row>
    <row r="632" spans="1:9" ht="14.25" customHeight="1" x14ac:dyDescent="0.3">
      <c r="A632" s="127">
        <v>44851</v>
      </c>
      <c r="B632" s="64">
        <v>17311.8</v>
      </c>
      <c r="D632" s="127">
        <v>44851</v>
      </c>
      <c r="E632" s="64">
        <v>28.97</v>
      </c>
      <c r="H632" s="128">
        <f t="shared" si="18"/>
        <v>7.3374957086414002E-3</v>
      </c>
      <c r="I632" s="128">
        <f t="shared" si="19"/>
        <v>8.0027835768963305E-3</v>
      </c>
    </row>
    <row r="633" spans="1:9" ht="14.25" customHeight="1" x14ac:dyDescent="0.3">
      <c r="A633" s="127">
        <v>44852</v>
      </c>
      <c r="B633" s="64">
        <v>17486.95</v>
      </c>
      <c r="D633" s="127">
        <v>44852</v>
      </c>
      <c r="E633" s="64">
        <v>28.62</v>
      </c>
      <c r="H633" s="128">
        <f t="shared" si="18"/>
        <v>1.01173765870679E-2</v>
      </c>
      <c r="I633" s="128">
        <f t="shared" si="19"/>
        <v>-1.20814635830168E-2</v>
      </c>
    </row>
    <row r="634" spans="1:9" ht="14.25" customHeight="1" x14ac:dyDescent="0.3">
      <c r="A634" s="127">
        <v>44853</v>
      </c>
      <c r="B634" s="64">
        <v>17512.25</v>
      </c>
      <c r="D634" s="127">
        <v>44853</v>
      </c>
      <c r="E634" s="64">
        <v>28.51</v>
      </c>
      <c r="H634" s="128">
        <f t="shared" si="18"/>
        <v>1.4467931800570899E-3</v>
      </c>
      <c r="I634" s="128">
        <f t="shared" si="19"/>
        <v>-3.8434661076170301E-3</v>
      </c>
    </row>
    <row r="635" spans="1:9" ht="14.25" customHeight="1" x14ac:dyDescent="0.3">
      <c r="A635" s="127">
        <v>44854</v>
      </c>
      <c r="B635" s="64">
        <v>17563.95</v>
      </c>
      <c r="D635" s="127">
        <v>44854</v>
      </c>
      <c r="E635" s="64">
        <v>28.8</v>
      </c>
      <c r="H635" s="128">
        <f t="shared" si="18"/>
        <v>2.9522191608731402E-3</v>
      </c>
      <c r="I635" s="128">
        <f t="shared" si="19"/>
        <v>1.0171869519466799E-2</v>
      </c>
    </row>
    <row r="636" spans="1:9" ht="14.25" customHeight="1" x14ac:dyDescent="0.3">
      <c r="A636" s="127">
        <v>44855</v>
      </c>
      <c r="B636" s="64">
        <v>17576.3</v>
      </c>
      <c r="D636" s="127">
        <v>44855</v>
      </c>
      <c r="E636" s="64">
        <v>28.31</v>
      </c>
      <c r="H636" s="128">
        <f t="shared" si="18"/>
        <v>7.0314479373936596E-4</v>
      </c>
      <c r="I636" s="128">
        <f t="shared" si="19"/>
        <v>-1.7013888888888998E-2</v>
      </c>
    </row>
    <row r="637" spans="1:9" ht="14.25" customHeight="1" x14ac:dyDescent="0.3">
      <c r="A637" s="127">
        <v>44858</v>
      </c>
      <c r="B637" s="64">
        <v>17730.75</v>
      </c>
      <c r="D637" s="127">
        <v>44858</v>
      </c>
      <c r="E637" s="64">
        <v>28.44</v>
      </c>
      <c r="H637" s="128">
        <f t="shared" si="18"/>
        <v>8.7874012164107802E-3</v>
      </c>
      <c r="I637" s="128">
        <f t="shared" si="19"/>
        <v>4.5920169551396202E-3</v>
      </c>
    </row>
    <row r="638" spans="1:9" ht="14.25" customHeight="1" x14ac:dyDescent="0.3">
      <c r="A638" s="127">
        <v>44859</v>
      </c>
      <c r="B638" s="64">
        <v>17656.349999999999</v>
      </c>
      <c r="D638" s="127">
        <v>44859</v>
      </c>
      <c r="E638" s="64">
        <v>28.39</v>
      </c>
      <c r="H638" s="128">
        <f t="shared" si="18"/>
        <v>-4.19609999577014E-3</v>
      </c>
      <c r="I638" s="128">
        <f t="shared" si="19"/>
        <v>-1.7580872011252E-3</v>
      </c>
    </row>
    <row r="639" spans="1:9" ht="14.25" customHeight="1" x14ac:dyDescent="0.3">
      <c r="A639" s="127">
        <v>44861</v>
      </c>
      <c r="B639" s="64">
        <v>17736.95</v>
      </c>
      <c r="D639" s="127">
        <v>44861</v>
      </c>
      <c r="E639" s="64">
        <v>29.47</v>
      </c>
      <c r="H639" s="128">
        <f t="shared" si="18"/>
        <v>4.5649298977423003E-3</v>
      </c>
      <c r="I639" s="128">
        <f t="shared" si="19"/>
        <v>3.8041563930961503E-2</v>
      </c>
    </row>
    <row r="640" spans="1:9" ht="14.25" customHeight="1" x14ac:dyDescent="0.3">
      <c r="A640" s="127">
        <v>44862</v>
      </c>
      <c r="B640" s="64">
        <v>17786.8</v>
      </c>
      <c r="D640" s="127">
        <v>44862</v>
      </c>
      <c r="E640" s="64">
        <v>28.52</v>
      </c>
      <c r="H640" s="128">
        <f t="shared" si="18"/>
        <v>2.8105170280120599E-3</v>
      </c>
      <c r="I640" s="128">
        <f t="shared" si="19"/>
        <v>-3.2236172378690198E-2</v>
      </c>
    </row>
    <row r="641" spans="1:9" ht="14.25" customHeight="1" x14ac:dyDescent="0.3">
      <c r="A641" s="127">
        <v>44865</v>
      </c>
      <c r="B641" s="64">
        <v>18012.2</v>
      </c>
      <c r="D641" s="127">
        <v>44865</v>
      </c>
      <c r="E641" s="64">
        <v>28.18</v>
      </c>
      <c r="H641" s="128">
        <f t="shared" si="18"/>
        <v>1.267231879821E-2</v>
      </c>
      <c r="I641" s="128">
        <f t="shared" si="19"/>
        <v>-1.19214586255259E-2</v>
      </c>
    </row>
    <row r="642" spans="1:9" ht="14.25" customHeight="1" x14ac:dyDescent="0.3">
      <c r="A642" s="127">
        <v>44866</v>
      </c>
      <c r="B642" s="64">
        <v>18145.400000000001</v>
      </c>
      <c r="D642" s="127">
        <v>44866</v>
      </c>
      <c r="E642" s="64">
        <v>29.55</v>
      </c>
      <c r="H642" s="128">
        <f t="shared" si="18"/>
        <v>7.39498784157408E-3</v>
      </c>
      <c r="I642" s="128">
        <f t="shared" si="19"/>
        <v>4.8616039744499698E-2</v>
      </c>
    </row>
    <row r="643" spans="1:9" ht="14.25" customHeight="1" x14ac:dyDescent="0.3">
      <c r="A643" s="127">
        <v>44867</v>
      </c>
      <c r="B643" s="64">
        <v>18082.849999999999</v>
      </c>
      <c r="D643" s="127">
        <v>44867</v>
      </c>
      <c r="E643" s="64">
        <v>30.87</v>
      </c>
      <c r="H643" s="128">
        <f t="shared" ref="H643:H706" si="20">(B643-B642)/B642</f>
        <v>-3.4471546507656402E-3</v>
      </c>
      <c r="I643" s="128">
        <f t="shared" ref="I643:I706" si="21">(E643-E642)/E642</f>
        <v>4.4670050761421297E-2</v>
      </c>
    </row>
    <row r="644" spans="1:9" ht="14.25" customHeight="1" x14ac:dyDescent="0.3">
      <c r="A644" s="127">
        <v>44868</v>
      </c>
      <c r="B644" s="64">
        <v>18052.7</v>
      </c>
      <c r="D644" s="127">
        <v>44868</v>
      </c>
      <c r="E644" s="64">
        <v>31.25</v>
      </c>
      <c r="H644" s="128">
        <f t="shared" si="20"/>
        <v>-1.66732567045559E-3</v>
      </c>
      <c r="I644" s="128">
        <f t="shared" si="21"/>
        <v>1.2309685779073499E-2</v>
      </c>
    </row>
    <row r="645" spans="1:9" ht="14.25" customHeight="1" x14ac:dyDescent="0.3">
      <c r="A645" s="127">
        <v>44869</v>
      </c>
      <c r="B645" s="64">
        <v>18117.150000000001</v>
      </c>
      <c r="D645" s="127">
        <v>44869</v>
      </c>
      <c r="E645" s="64">
        <v>31.56</v>
      </c>
      <c r="H645" s="128">
        <f t="shared" si="20"/>
        <v>3.5701030870728899E-3</v>
      </c>
      <c r="I645" s="128">
        <f t="shared" si="21"/>
        <v>9.9199999999999601E-3</v>
      </c>
    </row>
    <row r="646" spans="1:9" ht="14.25" customHeight="1" x14ac:dyDescent="0.3">
      <c r="A646" s="127">
        <v>44872</v>
      </c>
      <c r="B646" s="64">
        <v>18202.8</v>
      </c>
      <c r="D646" s="127">
        <v>44872</v>
      </c>
      <c r="E646" s="64">
        <v>32.31</v>
      </c>
      <c r="H646" s="128">
        <f t="shared" si="20"/>
        <v>4.7275647659812802E-3</v>
      </c>
      <c r="I646" s="128">
        <f t="shared" si="21"/>
        <v>2.37642585551332E-2</v>
      </c>
    </row>
    <row r="647" spans="1:9" ht="14.25" customHeight="1" x14ac:dyDescent="0.3">
      <c r="A647" s="127">
        <v>44874</v>
      </c>
      <c r="B647" s="64">
        <v>18157</v>
      </c>
      <c r="D647" s="127">
        <v>44874</v>
      </c>
      <c r="E647" s="64">
        <v>32.14</v>
      </c>
      <c r="H647" s="128">
        <f t="shared" si="20"/>
        <v>-2.5160964247258298E-3</v>
      </c>
      <c r="I647" s="128">
        <f t="shared" si="21"/>
        <v>-5.2615289384092103E-3</v>
      </c>
    </row>
    <row r="648" spans="1:9" ht="14.25" customHeight="1" x14ac:dyDescent="0.3">
      <c r="A648" s="127">
        <v>44875</v>
      </c>
      <c r="B648" s="64">
        <v>18028.2</v>
      </c>
      <c r="D648" s="127">
        <v>44875</v>
      </c>
      <c r="E648" s="64">
        <v>31.84</v>
      </c>
      <c r="H648" s="128">
        <f t="shared" si="20"/>
        <v>-7.0936828771272402E-3</v>
      </c>
      <c r="I648" s="128">
        <f t="shared" si="21"/>
        <v>-9.3341630367144001E-3</v>
      </c>
    </row>
    <row r="649" spans="1:9" ht="14.25" customHeight="1" x14ac:dyDescent="0.3">
      <c r="A649" s="127">
        <v>44876</v>
      </c>
      <c r="B649" s="64">
        <v>18349.7</v>
      </c>
      <c r="D649" s="127">
        <v>44876</v>
      </c>
      <c r="E649" s="64">
        <v>32.119999999999997</v>
      </c>
      <c r="H649" s="128">
        <f t="shared" si="20"/>
        <v>1.7833172474234799E-2</v>
      </c>
      <c r="I649" s="128">
        <f t="shared" si="21"/>
        <v>8.7939698492461495E-3</v>
      </c>
    </row>
    <row r="650" spans="1:9" ht="14.25" customHeight="1" x14ac:dyDescent="0.3">
      <c r="A650" s="127">
        <v>44879</v>
      </c>
      <c r="B650" s="64">
        <v>18329.150000000001</v>
      </c>
      <c r="D650" s="127">
        <v>44879</v>
      </c>
      <c r="E650" s="64">
        <v>32.08</v>
      </c>
      <c r="H650" s="128">
        <f t="shared" si="20"/>
        <v>-1.1199093173184999E-3</v>
      </c>
      <c r="I650" s="128">
        <f t="shared" si="21"/>
        <v>-1.24533001245327E-3</v>
      </c>
    </row>
    <row r="651" spans="1:9" ht="14.25" customHeight="1" x14ac:dyDescent="0.3">
      <c r="A651" s="127">
        <v>44880</v>
      </c>
      <c r="B651" s="64">
        <v>18403.400000000001</v>
      </c>
      <c r="D651" s="127">
        <v>44880</v>
      </c>
      <c r="E651" s="64">
        <v>30.8</v>
      </c>
      <c r="H651" s="128">
        <f t="shared" si="20"/>
        <v>4.0509243472828804E-3</v>
      </c>
      <c r="I651" s="128">
        <f t="shared" si="21"/>
        <v>-3.9900249376558498E-2</v>
      </c>
    </row>
    <row r="652" spans="1:9" ht="14.25" customHeight="1" x14ac:dyDescent="0.3">
      <c r="A652" s="127">
        <v>44881</v>
      </c>
      <c r="B652" s="64">
        <v>18409.650000000001</v>
      </c>
      <c r="D652" s="127">
        <v>44881</v>
      </c>
      <c r="E652" s="64">
        <v>30.36</v>
      </c>
      <c r="H652" s="128">
        <f t="shared" si="20"/>
        <v>3.39611158807612E-4</v>
      </c>
      <c r="I652" s="128">
        <f t="shared" si="21"/>
        <v>-1.4285714285714299E-2</v>
      </c>
    </row>
    <row r="653" spans="1:9" ht="14.25" customHeight="1" x14ac:dyDescent="0.3">
      <c r="A653" s="127">
        <v>44882</v>
      </c>
      <c r="B653" s="64">
        <v>18343.900000000001</v>
      </c>
      <c r="D653" s="127">
        <v>44882</v>
      </c>
      <c r="E653" s="64">
        <v>29.85</v>
      </c>
      <c r="H653" s="128">
        <f t="shared" si="20"/>
        <v>-3.5714964706010199E-3</v>
      </c>
      <c r="I653" s="128">
        <f t="shared" si="21"/>
        <v>-1.6798418972331999E-2</v>
      </c>
    </row>
    <row r="654" spans="1:9" ht="14.25" customHeight="1" x14ac:dyDescent="0.3">
      <c r="A654" s="127">
        <v>44883</v>
      </c>
      <c r="B654" s="64">
        <v>18307.650000000001</v>
      </c>
      <c r="D654" s="127">
        <v>44883</v>
      </c>
      <c r="E654" s="64">
        <v>31.39</v>
      </c>
      <c r="H654" s="128">
        <f t="shared" si="20"/>
        <v>-1.9761337556353899E-3</v>
      </c>
      <c r="I654" s="128">
        <f t="shared" si="21"/>
        <v>5.1591289782244497E-2</v>
      </c>
    </row>
    <row r="655" spans="1:9" ht="14.25" customHeight="1" x14ac:dyDescent="0.3">
      <c r="A655" s="127">
        <v>44886</v>
      </c>
      <c r="B655" s="64">
        <v>18159.95</v>
      </c>
      <c r="D655" s="127">
        <v>44886</v>
      </c>
      <c r="E655" s="64">
        <v>32.56</v>
      </c>
      <c r="H655" s="128">
        <f t="shared" si="20"/>
        <v>-8.0676657025888499E-3</v>
      </c>
      <c r="I655" s="128">
        <f t="shared" si="21"/>
        <v>3.72730168843581E-2</v>
      </c>
    </row>
    <row r="656" spans="1:9" ht="14.25" customHeight="1" x14ac:dyDescent="0.3">
      <c r="A656" s="127">
        <v>44887</v>
      </c>
      <c r="B656" s="64">
        <v>18244.2</v>
      </c>
      <c r="D656" s="127">
        <v>44887</v>
      </c>
      <c r="E656" s="64">
        <v>33.03</v>
      </c>
      <c r="H656" s="128">
        <f t="shared" si="20"/>
        <v>4.6393299541023E-3</v>
      </c>
      <c r="I656" s="128">
        <f t="shared" si="21"/>
        <v>1.44348894348894E-2</v>
      </c>
    </row>
    <row r="657" spans="1:9" ht="14.25" customHeight="1" x14ac:dyDescent="0.3">
      <c r="A657" s="127">
        <v>44888</v>
      </c>
      <c r="B657" s="64">
        <v>18267.25</v>
      </c>
      <c r="D657" s="127">
        <v>44888</v>
      </c>
      <c r="E657" s="64">
        <v>33.44</v>
      </c>
      <c r="H657" s="128">
        <f t="shared" si="20"/>
        <v>1.2634152223720001E-3</v>
      </c>
      <c r="I657" s="128">
        <f t="shared" si="21"/>
        <v>1.2412957917044999E-2</v>
      </c>
    </row>
    <row r="658" spans="1:9" ht="14.25" customHeight="1" x14ac:dyDescent="0.3">
      <c r="A658" s="127">
        <v>44889</v>
      </c>
      <c r="B658" s="64">
        <v>18484.099999999999</v>
      </c>
      <c r="D658" s="127">
        <v>44889</v>
      </c>
      <c r="E658" s="64">
        <v>33.07</v>
      </c>
      <c r="H658" s="128">
        <f t="shared" si="20"/>
        <v>1.18709712737275E-2</v>
      </c>
      <c r="I658" s="128">
        <f t="shared" si="21"/>
        <v>-1.10645933014353E-2</v>
      </c>
    </row>
    <row r="659" spans="1:9" ht="14.25" customHeight="1" x14ac:dyDescent="0.3">
      <c r="A659" s="127">
        <v>44890</v>
      </c>
      <c r="B659" s="64">
        <v>18512.75</v>
      </c>
      <c r="D659" s="127">
        <v>44890</v>
      </c>
      <c r="E659" s="64">
        <v>33.42</v>
      </c>
      <c r="H659" s="128">
        <f t="shared" si="20"/>
        <v>1.54998079430437E-3</v>
      </c>
      <c r="I659" s="128">
        <f t="shared" si="21"/>
        <v>1.0583610523132799E-2</v>
      </c>
    </row>
    <row r="660" spans="1:9" ht="14.25" customHeight="1" x14ac:dyDescent="0.3">
      <c r="A660" s="127">
        <v>44893</v>
      </c>
      <c r="B660" s="64">
        <v>18562.75</v>
      </c>
      <c r="D660" s="127">
        <v>44893</v>
      </c>
      <c r="E660" s="64">
        <v>33.07</v>
      </c>
      <c r="H660" s="128">
        <f t="shared" si="20"/>
        <v>2.7008413120687101E-3</v>
      </c>
      <c r="I660" s="128">
        <f t="shared" si="21"/>
        <v>-1.04727707959306E-2</v>
      </c>
    </row>
    <row r="661" spans="1:9" ht="14.25" customHeight="1" x14ac:dyDescent="0.3">
      <c r="A661" s="127">
        <v>44894</v>
      </c>
      <c r="B661" s="64">
        <v>18618.05</v>
      </c>
      <c r="D661" s="127">
        <v>44894</v>
      </c>
      <c r="E661" s="64">
        <v>33.1</v>
      </c>
      <c r="H661" s="128">
        <f t="shared" si="20"/>
        <v>2.9790844567749498E-3</v>
      </c>
      <c r="I661" s="128">
        <f t="shared" si="21"/>
        <v>9.0716661626855598E-4</v>
      </c>
    </row>
    <row r="662" spans="1:9" ht="14.25" customHeight="1" x14ac:dyDescent="0.3">
      <c r="A662" s="127">
        <v>44895</v>
      </c>
      <c r="B662" s="64">
        <v>18758.349999999999</v>
      </c>
      <c r="D662" s="127">
        <v>44895</v>
      </c>
      <c r="E662" s="64">
        <v>33.25</v>
      </c>
      <c r="H662" s="128">
        <f t="shared" si="20"/>
        <v>7.5356978845797099E-3</v>
      </c>
      <c r="I662" s="128">
        <f t="shared" si="21"/>
        <v>4.53172205438062E-3</v>
      </c>
    </row>
    <row r="663" spans="1:9" ht="14.25" customHeight="1" x14ac:dyDescent="0.3">
      <c r="A663" s="127">
        <v>44896</v>
      </c>
      <c r="B663" s="64">
        <v>18812.5</v>
      </c>
      <c r="D663" s="127">
        <v>44896</v>
      </c>
      <c r="E663" s="64">
        <v>33.869999999999997</v>
      </c>
      <c r="H663" s="128">
        <f t="shared" si="20"/>
        <v>2.8867144498317498E-3</v>
      </c>
      <c r="I663" s="128">
        <f t="shared" si="21"/>
        <v>1.86466165413533E-2</v>
      </c>
    </row>
    <row r="664" spans="1:9" ht="14.25" customHeight="1" x14ac:dyDescent="0.3">
      <c r="A664" s="127">
        <v>44897</v>
      </c>
      <c r="B664" s="64">
        <v>18696.099999999999</v>
      </c>
      <c r="D664" s="127">
        <v>44897</v>
      </c>
      <c r="E664" s="64">
        <v>33.869999999999997</v>
      </c>
      <c r="H664" s="128">
        <f t="shared" si="20"/>
        <v>-6.18737541528247E-3</v>
      </c>
      <c r="I664" s="128">
        <f t="shared" si="21"/>
        <v>0</v>
      </c>
    </row>
    <row r="665" spans="1:9" ht="14.25" customHeight="1" x14ac:dyDescent="0.3">
      <c r="A665" s="127">
        <v>44900</v>
      </c>
      <c r="B665" s="64">
        <v>18701.05</v>
      </c>
      <c r="D665" s="127">
        <v>44900</v>
      </c>
      <c r="E665" s="64">
        <v>34.68</v>
      </c>
      <c r="H665" s="128">
        <f t="shared" si="20"/>
        <v>2.6476109990857601E-4</v>
      </c>
      <c r="I665" s="128">
        <f t="shared" si="21"/>
        <v>2.39149689991143E-2</v>
      </c>
    </row>
    <row r="666" spans="1:9" ht="14.25" customHeight="1" x14ac:dyDescent="0.3">
      <c r="A666" s="127">
        <v>44901</v>
      </c>
      <c r="B666" s="64">
        <v>18642.75</v>
      </c>
      <c r="D666" s="127">
        <v>44901</v>
      </c>
      <c r="E666" s="64">
        <v>34.159999999999997</v>
      </c>
      <c r="H666" s="128">
        <f t="shared" si="20"/>
        <v>-3.1174720136034799E-3</v>
      </c>
      <c r="I666" s="128">
        <f t="shared" si="21"/>
        <v>-1.49942329873127E-2</v>
      </c>
    </row>
    <row r="667" spans="1:9" ht="14.25" customHeight="1" x14ac:dyDescent="0.3">
      <c r="A667" s="127">
        <v>44902</v>
      </c>
      <c r="B667" s="64">
        <v>18560.5</v>
      </c>
      <c r="D667" s="127">
        <v>44902</v>
      </c>
      <c r="E667" s="64">
        <v>33.89</v>
      </c>
      <c r="H667" s="128">
        <f t="shared" si="20"/>
        <v>-4.4119027503989501E-3</v>
      </c>
      <c r="I667" s="128">
        <f t="shared" si="21"/>
        <v>-7.9039812646368897E-3</v>
      </c>
    </row>
    <row r="668" spans="1:9" ht="14.25" customHeight="1" x14ac:dyDescent="0.3">
      <c r="A668" s="127">
        <v>44903</v>
      </c>
      <c r="B668" s="64">
        <v>18609.349999999999</v>
      </c>
      <c r="D668" s="127">
        <v>44903</v>
      </c>
      <c r="E668" s="64">
        <v>35.130000000000003</v>
      </c>
      <c r="H668" s="128">
        <f t="shared" si="20"/>
        <v>2.6319334069663299E-3</v>
      </c>
      <c r="I668" s="128">
        <f t="shared" si="21"/>
        <v>3.65889642962526E-2</v>
      </c>
    </row>
    <row r="669" spans="1:9" ht="14.25" customHeight="1" x14ac:dyDescent="0.3">
      <c r="A669" s="127">
        <v>44904</v>
      </c>
      <c r="B669" s="64">
        <v>18496.599999999999</v>
      </c>
      <c r="D669" s="127">
        <v>44904</v>
      </c>
      <c r="E669" s="64">
        <v>34.51</v>
      </c>
      <c r="H669" s="128">
        <f t="shared" si="20"/>
        <v>-6.0587822788007104E-3</v>
      </c>
      <c r="I669" s="128">
        <f t="shared" si="21"/>
        <v>-1.7648733276402099E-2</v>
      </c>
    </row>
    <row r="670" spans="1:9" ht="14.25" customHeight="1" x14ac:dyDescent="0.3">
      <c r="A670" s="127">
        <v>44907</v>
      </c>
      <c r="B670" s="64">
        <v>18497.150000000001</v>
      </c>
      <c r="D670" s="127">
        <v>44907</v>
      </c>
      <c r="E670" s="64">
        <v>35.119999999999997</v>
      </c>
      <c r="H670" s="128">
        <f t="shared" si="20"/>
        <v>2.9735194576457901E-5</v>
      </c>
      <c r="I670" s="128">
        <f t="shared" si="21"/>
        <v>1.7676035931614001E-2</v>
      </c>
    </row>
    <row r="671" spans="1:9" ht="14.25" customHeight="1" x14ac:dyDescent="0.3">
      <c r="A671" s="127">
        <v>44908</v>
      </c>
      <c r="B671" s="64">
        <v>18608</v>
      </c>
      <c r="D671" s="127">
        <v>44908</v>
      </c>
      <c r="E671" s="64">
        <v>34.979999999999997</v>
      </c>
      <c r="H671" s="128">
        <f t="shared" si="20"/>
        <v>5.9928151093546099E-3</v>
      </c>
      <c r="I671" s="128">
        <f t="shared" si="21"/>
        <v>-3.9863325740319101E-3</v>
      </c>
    </row>
    <row r="672" spans="1:9" ht="14.25" customHeight="1" x14ac:dyDescent="0.3">
      <c r="A672" s="127">
        <v>44909</v>
      </c>
      <c r="B672" s="64">
        <v>18660.3</v>
      </c>
      <c r="D672" s="127">
        <v>44909</v>
      </c>
      <c r="E672" s="64">
        <v>35.39</v>
      </c>
      <c r="H672" s="128">
        <f t="shared" si="20"/>
        <v>2.8106190885640201E-3</v>
      </c>
      <c r="I672" s="128">
        <f t="shared" si="21"/>
        <v>1.1720983419096701E-2</v>
      </c>
    </row>
    <row r="673" spans="1:9" ht="14.25" customHeight="1" x14ac:dyDescent="0.3">
      <c r="A673" s="127">
        <v>44910</v>
      </c>
      <c r="B673" s="64">
        <v>18414.900000000001</v>
      </c>
      <c r="D673" s="127">
        <v>44910</v>
      </c>
      <c r="E673" s="64">
        <v>35.270000000000003</v>
      </c>
      <c r="H673" s="128">
        <f t="shared" si="20"/>
        <v>-1.3150913972444099E-2</v>
      </c>
      <c r="I673" s="128">
        <f t="shared" si="21"/>
        <v>-3.3907883582932302E-3</v>
      </c>
    </row>
    <row r="674" spans="1:9" ht="14.25" customHeight="1" x14ac:dyDescent="0.3">
      <c r="A674" s="127">
        <v>44911</v>
      </c>
      <c r="B674" s="64">
        <v>18269</v>
      </c>
      <c r="D674" s="127">
        <v>44911</v>
      </c>
      <c r="E674" s="64">
        <v>34.909999999999997</v>
      </c>
      <c r="H674" s="128">
        <f t="shared" si="20"/>
        <v>-7.9229319735649607E-3</v>
      </c>
      <c r="I674" s="128">
        <f t="shared" si="21"/>
        <v>-1.0206974766090299E-2</v>
      </c>
    </row>
    <row r="675" spans="1:9" ht="14.25" customHeight="1" x14ac:dyDescent="0.3">
      <c r="A675" s="127">
        <v>44914</v>
      </c>
      <c r="B675" s="64">
        <v>18420.45</v>
      </c>
      <c r="D675" s="127">
        <v>44914</v>
      </c>
      <c r="E675" s="64">
        <v>35.020000000000003</v>
      </c>
      <c r="H675" s="128">
        <f t="shared" si="20"/>
        <v>8.2899994526246992E-3</v>
      </c>
      <c r="I675" s="128">
        <f t="shared" si="21"/>
        <v>3.1509596104269998E-3</v>
      </c>
    </row>
    <row r="676" spans="1:9" ht="14.25" customHeight="1" x14ac:dyDescent="0.3">
      <c r="A676" s="127">
        <v>44915</v>
      </c>
      <c r="B676" s="64">
        <v>18385.3</v>
      </c>
      <c r="D676" s="127">
        <v>44915</v>
      </c>
      <c r="E676" s="64">
        <v>34.31</v>
      </c>
      <c r="H676" s="128">
        <f t="shared" si="20"/>
        <v>-1.9082052827157599E-3</v>
      </c>
      <c r="I676" s="128">
        <f t="shared" si="21"/>
        <v>-2.0274129069103398E-2</v>
      </c>
    </row>
    <row r="677" spans="1:9" ht="14.25" customHeight="1" x14ac:dyDescent="0.3">
      <c r="A677" s="127">
        <v>44916</v>
      </c>
      <c r="B677" s="64">
        <v>18199.099999999999</v>
      </c>
      <c r="D677" s="127">
        <v>44916</v>
      </c>
      <c r="E677" s="64">
        <v>33.619999999999997</v>
      </c>
      <c r="H677" s="128">
        <f t="shared" si="20"/>
        <v>-1.0127656334136601E-2</v>
      </c>
      <c r="I677" s="128">
        <f t="shared" si="21"/>
        <v>-2.0110754881958799E-2</v>
      </c>
    </row>
    <row r="678" spans="1:9" ht="14.25" customHeight="1" x14ac:dyDescent="0.3">
      <c r="A678" s="127">
        <v>44917</v>
      </c>
      <c r="B678" s="64">
        <v>18127.349999999999</v>
      </c>
      <c r="D678" s="127">
        <v>44917</v>
      </c>
      <c r="E678" s="64">
        <v>33.03</v>
      </c>
      <c r="H678" s="128">
        <f t="shared" si="20"/>
        <v>-3.9425026512300097E-3</v>
      </c>
      <c r="I678" s="128">
        <f t="shared" si="21"/>
        <v>-1.7549077929803598E-2</v>
      </c>
    </row>
    <row r="679" spans="1:9" ht="14.25" customHeight="1" x14ac:dyDescent="0.3">
      <c r="A679" s="127">
        <v>44918</v>
      </c>
      <c r="B679" s="64">
        <v>17806.8</v>
      </c>
      <c r="D679" s="127">
        <v>44918</v>
      </c>
      <c r="E679" s="64">
        <v>31.52</v>
      </c>
      <c r="H679" s="128">
        <f t="shared" si="20"/>
        <v>-1.7683224519855299E-2</v>
      </c>
      <c r="I679" s="128">
        <f t="shared" si="21"/>
        <v>-4.5716015743263699E-2</v>
      </c>
    </row>
    <row r="680" spans="1:9" ht="14.25" customHeight="1" x14ac:dyDescent="0.3">
      <c r="A680" s="127">
        <v>44921</v>
      </c>
      <c r="B680" s="64">
        <v>18014.599999999999</v>
      </c>
      <c r="D680" s="127">
        <v>44921</v>
      </c>
      <c r="E680" s="64">
        <v>32.729999999999997</v>
      </c>
      <c r="H680" s="128">
        <f t="shared" si="20"/>
        <v>1.16696992160298E-2</v>
      </c>
      <c r="I680" s="128">
        <f t="shared" si="21"/>
        <v>3.8388324873096402E-2</v>
      </c>
    </row>
    <row r="681" spans="1:9" ht="14.25" customHeight="1" x14ac:dyDescent="0.3">
      <c r="A681" s="127">
        <v>44922</v>
      </c>
      <c r="B681" s="64">
        <v>18132.3</v>
      </c>
      <c r="D681" s="127">
        <v>44922</v>
      </c>
      <c r="E681" s="64">
        <v>33.76</v>
      </c>
      <c r="H681" s="128">
        <f t="shared" si="20"/>
        <v>6.5335894219133803E-3</v>
      </c>
      <c r="I681" s="128">
        <f t="shared" si="21"/>
        <v>3.1469599755575998E-2</v>
      </c>
    </row>
    <row r="682" spans="1:9" ht="14.25" customHeight="1" x14ac:dyDescent="0.3">
      <c r="A682" s="127">
        <v>44923</v>
      </c>
      <c r="B682" s="64">
        <v>18122.5</v>
      </c>
      <c r="D682" s="127">
        <v>44923</v>
      </c>
      <c r="E682" s="64">
        <v>33.79</v>
      </c>
      <c r="H682" s="128">
        <f t="shared" si="20"/>
        <v>-5.4047197542502997E-4</v>
      </c>
      <c r="I682" s="128">
        <f t="shared" si="21"/>
        <v>8.8862559241709496E-4</v>
      </c>
    </row>
    <row r="683" spans="1:9" ht="14.25" customHeight="1" x14ac:dyDescent="0.3">
      <c r="A683" s="127">
        <v>44924</v>
      </c>
      <c r="B683" s="64">
        <v>18191</v>
      </c>
      <c r="D683" s="127">
        <v>44924</v>
      </c>
      <c r="E683" s="64">
        <v>33.83</v>
      </c>
      <c r="H683" s="128">
        <f t="shared" si="20"/>
        <v>3.77983170092427E-3</v>
      </c>
      <c r="I683" s="128">
        <f t="shared" si="21"/>
        <v>1.1837821840781E-3</v>
      </c>
    </row>
    <row r="684" spans="1:9" ht="14.25" customHeight="1" x14ac:dyDescent="0.3">
      <c r="A684" s="127">
        <v>44925</v>
      </c>
      <c r="B684" s="64">
        <v>18105.3</v>
      </c>
      <c r="D684" s="127">
        <v>44925</v>
      </c>
      <c r="E684" s="64">
        <v>34.76</v>
      </c>
      <c r="H684" s="128">
        <f t="shared" si="20"/>
        <v>-4.7111208839536404E-3</v>
      </c>
      <c r="I684" s="128">
        <f t="shared" si="21"/>
        <v>2.7490393142181501E-2</v>
      </c>
    </row>
    <row r="685" spans="1:9" ht="14.25" customHeight="1" x14ac:dyDescent="0.3">
      <c r="A685" s="127">
        <v>44928</v>
      </c>
      <c r="B685" s="64">
        <v>18197.45</v>
      </c>
      <c r="D685" s="127">
        <v>44928</v>
      </c>
      <c r="E685" s="64">
        <v>35.61</v>
      </c>
      <c r="H685" s="128">
        <f t="shared" si="20"/>
        <v>5.0896698756718499E-3</v>
      </c>
      <c r="I685" s="128">
        <f t="shared" si="21"/>
        <v>2.44533947065593E-2</v>
      </c>
    </row>
    <row r="686" spans="1:9" ht="14.25" customHeight="1" x14ac:dyDescent="0.3">
      <c r="A686" s="127">
        <v>44929</v>
      </c>
      <c r="B686" s="64">
        <v>18232.55</v>
      </c>
      <c r="D686" s="127">
        <v>44929</v>
      </c>
      <c r="E686" s="64">
        <v>35.49</v>
      </c>
      <c r="H686" s="128">
        <f t="shared" si="20"/>
        <v>1.92884167836694E-3</v>
      </c>
      <c r="I686" s="128">
        <f t="shared" si="21"/>
        <v>-3.36983993260313E-3</v>
      </c>
    </row>
    <row r="687" spans="1:9" ht="14.25" customHeight="1" x14ac:dyDescent="0.3">
      <c r="A687" s="127">
        <v>44930</v>
      </c>
      <c r="B687" s="64">
        <v>18042.95</v>
      </c>
      <c r="D687" s="127">
        <v>44930</v>
      </c>
      <c r="E687" s="64">
        <v>34.36</v>
      </c>
      <c r="H687" s="128">
        <f t="shared" si="20"/>
        <v>-1.0398984234240301E-2</v>
      </c>
      <c r="I687" s="128">
        <f t="shared" si="21"/>
        <v>-3.1839954916878098E-2</v>
      </c>
    </row>
    <row r="688" spans="1:9" ht="14.25" customHeight="1" x14ac:dyDescent="0.3">
      <c r="A688" s="127">
        <v>44931</v>
      </c>
      <c r="B688" s="64">
        <v>17992.150000000001</v>
      </c>
      <c r="D688" s="127">
        <v>44931</v>
      </c>
      <c r="E688" s="64">
        <v>34.43</v>
      </c>
      <c r="H688" s="128">
        <f t="shared" si="20"/>
        <v>-2.81550411656626E-3</v>
      </c>
      <c r="I688" s="128">
        <f t="shared" si="21"/>
        <v>2.0372526193248E-3</v>
      </c>
    </row>
    <row r="689" spans="1:9" ht="14.25" customHeight="1" x14ac:dyDescent="0.3">
      <c r="A689" s="127">
        <v>44932</v>
      </c>
      <c r="B689" s="64">
        <v>17859.45</v>
      </c>
      <c r="D689" s="127">
        <v>44932</v>
      </c>
      <c r="E689" s="64">
        <v>34.409999999999997</v>
      </c>
      <c r="H689" s="128">
        <f t="shared" si="20"/>
        <v>-7.37543873300304E-3</v>
      </c>
      <c r="I689" s="128">
        <f t="shared" si="21"/>
        <v>-5.8088875980258901E-4</v>
      </c>
    </row>
    <row r="690" spans="1:9" ht="14.25" customHeight="1" x14ac:dyDescent="0.3">
      <c r="A690" s="127">
        <v>44935</v>
      </c>
      <c r="B690" s="64">
        <v>18101.2</v>
      </c>
      <c r="D690" s="127">
        <v>44935</v>
      </c>
      <c r="E690" s="64">
        <v>34.950000000000003</v>
      </c>
      <c r="H690" s="128">
        <f t="shared" si="20"/>
        <v>1.3536251116355799E-2</v>
      </c>
      <c r="I690" s="128">
        <f t="shared" si="21"/>
        <v>1.5693112467306199E-2</v>
      </c>
    </row>
    <row r="691" spans="1:9" ht="14.25" customHeight="1" x14ac:dyDescent="0.3">
      <c r="A691" s="127">
        <v>44936</v>
      </c>
      <c r="B691" s="64">
        <v>17914.150000000001</v>
      </c>
      <c r="D691" s="127">
        <v>44936</v>
      </c>
      <c r="E691" s="64">
        <v>34.76</v>
      </c>
      <c r="H691" s="128">
        <f t="shared" si="20"/>
        <v>-1.0333569045146099E-2</v>
      </c>
      <c r="I691" s="128">
        <f t="shared" si="21"/>
        <v>-5.4363376251789601E-3</v>
      </c>
    </row>
    <row r="692" spans="1:9" ht="14.25" customHeight="1" x14ac:dyDescent="0.3">
      <c r="A692" s="127">
        <v>44937</v>
      </c>
      <c r="B692" s="64">
        <v>17895.7</v>
      </c>
      <c r="D692" s="127">
        <v>44937</v>
      </c>
      <c r="E692" s="64">
        <v>36.28</v>
      </c>
      <c r="H692" s="128">
        <f t="shared" si="20"/>
        <v>-1.0299121085846001E-3</v>
      </c>
      <c r="I692" s="128">
        <f t="shared" si="21"/>
        <v>4.3728423475259001E-2</v>
      </c>
    </row>
    <row r="693" spans="1:9" ht="14.25" customHeight="1" x14ac:dyDescent="0.3">
      <c r="A693" s="127">
        <v>44938</v>
      </c>
      <c r="B693" s="64">
        <v>17858.2</v>
      </c>
      <c r="D693" s="127">
        <v>44938</v>
      </c>
      <c r="E693" s="64">
        <v>36.299999999999997</v>
      </c>
      <c r="H693" s="128">
        <f t="shared" si="20"/>
        <v>-2.09547544940963E-3</v>
      </c>
      <c r="I693" s="128">
        <f t="shared" si="21"/>
        <v>5.5126791620716703E-4</v>
      </c>
    </row>
    <row r="694" spans="1:9" ht="14.25" customHeight="1" x14ac:dyDescent="0.3">
      <c r="A694" s="127">
        <v>44939</v>
      </c>
      <c r="B694" s="64">
        <v>17956.599999999999</v>
      </c>
      <c r="D694" s="127">
        <v>44939</v>
      </c>
      <c r="E694" s="64">
        <v>37.04</v>
      </c>
      <c r="H694" s="128">
        <f t="shared" si="20"/>
        <v>5.5100738036307001E-3</v>
      </c>
      <c r="I694" s="128">
        <f t="shared" si="21"/>
        <v>2.0385674931129499E-2</v>
      </c>
    </row>
    <row r="695" spans="1:9" ht="14.25" customHeight="1" x14ac:dyDescent="0.3">
      <c r="A695" s="127">
        <v>44942</v>
      </c>
      <c r="B695" s="64">
        <v>17894.849999999999</v>
      </c>
      <c r="D695" s="127">
        <v>44942</v>
      </c>
      <c r="E695" s="64">
        <v>36.04</v>
      </c>
      <c r="H695" s="128">
        <f t="shared" si="20"/>
        <v>-3.43884699776127E-3</v>
      </c>
      <c r="I695" s="128">
        <f t="shared" si="21"/>
        <v>-2.6997840172786201E-2</v>
      </c>
    </row>
    <row r="696" spans="1:9" ht="14.25" customHeight="1" x14ac:dyDescent="0.3">
      <c r="A696" s="127">
        <v>44943</v>
      </c>
      <c r="B696" s="64">
        <v>18053.3</v>
      </c>
      <c r="D696" s="127">
        <v>44943</v>
      </c>
      <c r="E696" s="64">
        <v>35.57</v>
      </c>
      <c r="H696" s="128">
        <f t="shared" si="20"/>
        <v>8.8545028318203697E-3</v>
      </c>
      <c r="I696" s="128">
        <f t="shared" si="21"/>
        <v>-1.3041065482796901E-2</v>
      </c>
    </row>
    <row r="697" spans="1:9" ht="14.25" customHeight="1" x14ac:dyDescent="0.3">
      <c r="A697" s="127">
        <v>44944</v>
      </c>
      <c r="B697" s="64">
        <v>18165.349999999999</v>
      </c>
      <c r="D697" s="127">
        <v>44944</v>
      </c>
      <c r="E697" s="64">
        <v>36.28</v>
      </c>
      <c r="H697" s="128">
        <f t="shared" si="20"/>
        <v>6.2066215041017003E-3</v>
      </c>
      <c r="I697" s="128">
        <f t="shared" si="21"/>
        <v>1.9960640989597999E-2</v>
      </c>
    </row>
    <row r="698" spans="1:9" ht="14.25" customHeight="1" x14ac:dyDescent="0.3">
      <c r="A698" s="127">
        <v>44945</v>
      </c>
      <c r="B698" s="64">
        <v>18107.849999999999</v>
      </c>
      <c r="D698" s="127">
        <v>44945</v>
      </c>
      <c r="E698" s="64">
        <v>36.49</v>
      </c>
      <c r="H698" s="128">
        <f t="shared" si="20"/>
        <v>-3.1653670311884998E-3</v>
      </c>
      <c r="I698" s="128">
        <f t="shared" si="21"/>
        <v>5.7883131201764302E-3</v>
      </c>
    </row>
    <row r="699" spans="1:9" ht="14.25" customHeight="1" x14ac:dyDescent="0.3">
      <c r="A699" s="127">
        <v>44946</v>
      </c>
      <c r="B699" s="64">
        <v>18027.650000000001</v>
      </c>
      <c r="D699" s="127">
        <v>44946</v>
      </c>
      <c r="E699" s="64">
        <v>36.01</v>
      </c>
      <c r="H699" s="128">
        <f t="shared" si="20"/>
        <v>-4.4290183539181698E-3</v>
      </c>
      <c r="I699" s="128">
        <f t="shared" si="21"/>
        <v>-1.3154288846259399E-2</v>
      </c>
    </row>
    <row r="700" spans="1:9" ht="14.25" customHeight="1" x14ac:dyDescent="0.3">
      <c r="A700" s="127">
        <v>44949</v>
      </c>
      <c r="B700" s="64">
        <v>18118.55</v>
      </c>
      <c r="D700" s="127">
        <v>44949</v>
      </c>
      <c r="E700" s="64">
        <v>35.43</v>
      </c>
      <c r="H700" s="128">
        <f t="shared" si="20"/>
        <v>5.0422545367808796E-3</v>
      </c>
      <c r="I700" s="128">
        <f t="shared" si="21"/>
        <v>-1.6106637045265201E-2</v>
      </c>
    </row>
    <row r="701" spans="1:9" ht="14.25" customHeight="1" x14ac:dyDescent="0.3">
      <c r="A701" s="127">
        <v>44950</v>
      </c>
      <c r="B701" s="64">
        <v>18118.3</v>
      </c>
      <c r="D701" s="127">
        <v>44950</v>
      </c>
      <c r="E701" s="64">
        <v>35.159999999999997</v>
      </c>
      <c r="H701" s="128">
        <f t="shared" si="20"/>
        <v>-1.3798013637956699E-5</v>
      </c>
      <c r="I701" s="128">
        <f t="shared" si="21"/>
        <v>-7.6206604572397196E-3</v>
      </c>
    </row>
    <row r="702" spans="1:9" ht="14.25" customHeight="1" x14ac:dyDescent="0.3">
      <c r="A702" s="127">
        <v>44951</v>
      </c>
      <c r="B702" s="64">
        <v>17891.95</v>
      </c>
      <c r="D702" s="127">
        <v>44951</v>
      </c>
      <c r="E702" s="64">
        <v>34.99</v>
      </c>
      <c r="H702" s="128">
        <f t="shared" si="20"/>
        <v>-1.2492893924926699E-2</v>
      </c>
      <c r="I702" s="128">
        <f t="shared" si="21"/>
        <v>-4.83503981797482E-3</v>
      </c>
    </row>
    <row r="703" spans="1:9" ht="14.25" customHeight="1" x14ac:dyDescent="0.3">
      <c r="A703" s="127">
        <v>44953</v>
      </c>
      <c r="B703" s="64">
        <v>17604.349999999999</v>
      </c>
      <c r="D703" s="127">
        <v>44953</v>
      </c>
      <c r="E703" s="64">
        <v>34.74</v>
      </c>
      <c r="H703" s="128">
        <f t="shared" si="20"/>
        <v>-1.60742680367429E-2</v>
      </c>
      <c r="I703" s="128">
        <f t="shared" si="21"/>
        <v>-7.1448985424407002E-3</v>
      </c>
    </row>
    <row r="704" spans="1:9" ht="14.25" customHeight="1" x14ac:dyDescent="0.3">
      <c r="A704" s="127">
        <v>44956</v>
      </c>
      <c r="B704" s="64">
        <v>17648.95</v>
      </c>
      <c r="D704" s="127">
        <v>44956</v>
      </c>
      <c r="E704" s="64">
        <v>34.58</v>
      </c>
      <c r="H704" s="128">
        <f t="shared" si="20"/>
        <v>2.5334647402489802E-3</v>
      </c>
      <c r="I704" s="128">
        <f t="shared" si="21"/>
        <v>-4.6056419113415003E-3</v>
      </c>
    </row>
    <row r="705" spans="1:9" ht="14.25" customHeight="1" x14ac:dyDescent="0.3">
      <c r="A705" s="127">
        <v>44957</v>
      </c>
      <c r="B705" s="64">
        <v>17662.150000000001</v>
      </c>
      <c r="D705" s="127">
        <v>44957</v>
      </c>
      <c r="E705" s="64">
        <v>34.79</v>
      </c>
      <c r="H705" s="128">
        <f t="shared" si="20"/>
        <v>7.4791984792300502E-4</v>
      </c>
      <c r="I705" s="128">
        <f t="shared" si="21"/>
        <v>6.0728744939271499E-3</v>
      </c>
    </row>
    <row r="706" spans="1:9" ht="14.25" customHeight="1" x14ac:dyDescent="0.3">
      <c r="A706" s="127">
        <v>44958</v>
      </c>
      <c r="B706" s="64">
        <v>17616.3</v>
      </c>
      <c r="D706" s="127">
        <v>44958</v>
      </c>
      <c r="E706" s="64">
        <v>34.17</v>
      </c>
      <c r="H706" s="128">
        <f t="shared" si="20"/>
        <v>-2.5959466995808698E-3</v>
      </c>
      <c r="I706" s="128">
        <f t="shared" si="21"/>
        <v>-1.7821212992239099E-2</v>
      </c>
    </row>
    <row r="707" spans="1:9" ht="14.25" customHeight="1" x14ac:dyDescent="0.3">
      <c r="A707" s="127">
        <v>44959</v>
      </c>
      <c r="B707" s="64">
        <v>17610.400000000001</v>
      </c>
      <c r="D707" s="127">
        <v>44959</v>
      </c>
      <c r="E707" s="64">
        <v>33.79</v>
      </c>
      <c r="H707" s="128">
        <f t="shared" ref="H707:H770" si="22">(B707-B706)/B706</f>
        <v>-3.3491709382775102E-4</v>
      </c>
      <c r="I707" s="128">
        <f t="shared" ref="I707:I770" si="23">(E707-E706)/E706</f>
        <v>-1.11208662569506E-2</v>
      </c>
    </row>
    <row r="708" spans="1:9" ht="14.25" customHeight="1" x14ac:dyDescent="0.3">
      <c r="A708" s="127">
        <v>44960</v>
      </c>
      <c r="B708" s="64">
        <v>17854.05</v>
      </c>
      <c r="D708" s="127">
        <v>44960</v>
      </c>
      <c r="E708" s="64">
        <v>33.520000000000003</v>
      </c>
      <c r="H708" s="128">
        <f t="shared" si="22"/>
        <v>1.38355744332893E-2</v>
      </c>
      <c r="I708" s="128">
        <f t="shared" si="23"/>
        <v>-7.9905297425272599E-3</v>
      </c>
    </row>
    <row r="709" spans="1:9" ht="14.25" customHeight="1" x14ac:dyDescent="0.3">
      <c r="A709" s="127">
        <v>44963</v>
      </c>
      <c r="B709" s="64">
        <v>17764.599999999999</v>
      </c>
      <c r="D709" s="127">
        <v>44963</v>
      </c>
      <c r="E709" s="64">
        <v>33.630000000000003</v>
      </c>
      <c r="H709" s="128">
        <f t="shared" si="22"/>
        <v>-5.0100677437332599E-3</v>
      </c>
      <c r="I709" s="128">
        <f t="shared" si="23"/>
        <v>3.28162291169449E-3</v>
      </c>
    </row>
    <row r="710" spans="1:9" ht="14.25" customHeight="1" x14ac:dyDescent="0.3">
      <c r="A710" s="127">
        <v>44964</v>
      </c>
      <c r="B710" s="64">
        <v>17721.5</v>
      </c>
      <c r="D710" s="127">
        <v>44964</v>
      </c>
      <c r="E710" s="64">
        <v>33.25</v>
      </c>
      <c r="H710" s="128">
        <f t="shared" si="22"/>
        <v>-2.4261734010334302E-3</v>
      </c>
      <c r="I710" s="128">
        <f t="shared" si="23"/>
        <v>-1.12994350282487E-2</v>
      </c>
    </row>
    <row r="711" spans="1:9" ht="14.25" customHeight="1" x14ac:dyDescent="0.3">
      <c r="A711" s="127">
        <v>44965</v>
      </c>
      <c r="B711" s="64">
        <v>17871.7</v>
      </c>
      <c r="D711" s="127">
        <v>44965</v>
      </c>
      <c r="E711" s="64">
        <v>34.03</v>
      </c>
      <c r="H711" s="128">
        <f t="shared" si="22"/>
        <v>8.4755805095505891E-3</v>
      </c>
      <c r="I711" s="128">
        <f t="shared" si="23"/>
        <v>2.3458646616541401E-2</v>
      </c>
    </row>
    <row r="712" spans="1:9" ht="14.25" customHeight="1" x14ac:dyDescent="0.3">
      <c r="A712" s="127">
        <v>44966</v>
      </c>
      <c r="B712" s="64">
        <v>17893.45</v>
      </c>
      <c r="D712" s="127">
        <v>44966</v>
      </c>
      <c r="E712" s="64">
        <v>33.869999999999997</v>
      </c>
      <c r="H712" s="128">
        <f t="shared" si="22"/>
        <v>1.2170078951638599E-3</v>
      </c>
      <c r="I712" s="128">
        <f t="shared" si="23"/>
        <v>-4.7017337643257004E-3</v>
      </c>
    </row>
    <row r="713" spans="1:9" ht="14.25" customHeight="1" x14ac:dyDescent="0.3">
      <c r="A713" s="127">
        <v>44967</v>
      </c>
      <c r="B713" s="64">
        <v>17856.5</v>
      </c>
      <c r="D713" s="127">
        <v>44967</v>
      </c>
      <c r="E713" s="64">
        <v>33.56</v>
      </c>
      <c r="H713" s="128">
        <f t="shared" si="22"/>
        <v>-2.0650014390741198E-3</v>
      </c>
      <c r="I713" s="128">
        <f t="shared" si="23"/>
        <v>-9.1526424564509906E-3</v>
      </c>
    </row>
    <row r="714" spans="1:9" ht="14.25" customHeight="1" x14ac:dyDescent="0.3">
      <c r="A714" s="127">
        <v>44970</v>
      </c>
      <c r="B714" s="64">
        <v>17770.900000000001</v>
      </c>
      <c r="D714" s="127">
        <v>44970</v>
      </c>
      <c r="E714" s="64">
        <v>33.42</v>
      </c>
      <c r="H714" s="128">
        <f t="shared" si="22"/>
        <v>-4.7937725758126501E-3</v>
      </c>
      <c r="I714" s="128">
        <f t="shared" si="23"/>
        <v>-4.1716328963051401E-3</v>
      </c>
    </row>
    <row r="715" spans="1:9" ht="14.25" customHeight="1" x14ac:dyDescent="0.3">
      <c r="A715" s="127">
        <v>44971</v>
      </c>
      <c r="B715" s="64">
        <v>17929.849999999999</v>
      </c>
      <c r="D715" s="127">
        <v>44971</v>
      </c>
      <c r="E715" s="64">
        <v>32.76</v>
      </c>
      <c r="H715" s="128">
        <f t="shared" si="22"/>
        <v>8.9443978639234395E-3</v>
      </c>
      <c r="I715" s="128">
        <f t="shared" si="23"/>
        <v>-1.97486535008978E-2</v>
      </c>
    </row>
    <row r="716" spans="1:9" ht="14.25" customHeight="1" x14ac:dyDescent="0.3">
      <c r="A716" s="127">
        <v>44972</v>
      </c>
      <c r="B716" s="64">
        <v>18015.849999999999</v>
      </c>
      <c r="D716" s="127">
        <v>44972</v>
      </c>
      <c r="E716" s="64">
        <v>33.409999999999997</v>
      </c>
      <c r="H716" s="128">
        <f t="shared" si="22"/>
        <v>4.7964706899388497E-3</v>
      </c>
      <c r="I716" s="128">
        <f t="shared" si="23"/>
        <v>1.9841269841269799E-2</v>
      </c>
    </row>
    <row r="717" spans="1:9" ht="14.25" customHeight="1" x14ac:dyDescent="0.3">
      <c r="A717" s="127">
        <v>44973</v>
      </c>
      <c r="B717" s="64">
        <v>18035.849999999999</v>
      </c>
      <c r="D717" s="127">
        <v>44973</v>
      </c>
      <c r="E717" s="64">
        <v>34.340000000000003</v>
      </c>
      <c r="H717" s="128">
        <f t="shared" si="22"/>
        <v>1.1101335768226299E-3</v>
      </c>
      <c r="I717" s="128">
        <f t="shared" si="23"/>
        <v>2.7835977252319899E-2</v>
      </c>
    </row>
    <row r="718" spans="1:9" ht="14.25" customHeight="1" x14ac:dyDescent="0.3">
      <c r="A718" s="127">
        <v>44974</v>
      </c>
      <c r="B718" s="64">
        <v>17944.2</v>
      </c>
      <c r="D718" s="127">
        <v>44974</v>
      </c>
      <c r="E718" s="64">
        <v>34.24</v>
      </c>
      <c r="H718" s="128">
        <f t="shared" si="22"/>
        <v>-5.0815459210404703E-3</v>
      </c>
      <c r="I718" s="128">
        <f t="shared" si="23"/>
        <v>-2.9120559114735401E-3</v>
      </c>
    </row>
    <row r="719" spans="1:9" ht="14.25" customHeight="1" x14ac:dyDescent="0.3">
      <c r="A719" s="127">
        <v>44977</v>
      </c>
      <c r="B719" s="64">
        <v>17844.599999999999</v>
      </c>
      <c r="D719" s="127">
        <v>44977</v>
      </c>
      <c r="E719" s="64">
        <v>33.54</v>
      </c>
      <c r="H719" s="128">
        <f t="shared" si="22"/>
        <v>-5.5505400073562602E-3</v>
      </c>
      <c r="I719" s="128">
        <f t="shared" si="23"/>
        <v>-2.04439252336449E-2</v>
      </c>
    </row>
    <row r="720" spans="1:9" ht="14.25" customHeight="1" x14ac:dyDescent="0.3">
      <c r="A720" s="127">
        <v>44978</v>
      </c>
      <c r="B720" s="64">
        <v>17826.7</v>
      </c>
      <c r="D720" s="127">
        <v>44978</v>
      </c>
      <c r="E720" s="64">
        <v>33.71</v>
      </c>
      <c r="H720" s="128">
        <f t="shared" si="22"/>
        <v>-1.00310458065733E-3</v>
      </c>
      <c r="I720" s="128">
        <f t="shared" si="23"/>
        <v>5.0685748360167499E-3</v>
      </c>
    </row>
    <row r="721" spans="1:9" ht="14.25" customHeight="1" x14ac:dyDescent="0.3">
      <c r="A721" s="127">
        <v>44979</v>
      </c>
      <c r="B721" s="64">
        <v>17554.3</v>
      </c>
      <c r="D721" s="127">
        <v>44979</v>
      </c>
      <c r="E721" s="64">
        <v>32.67</v>
      </c>
      <c r="H721" s="128">
        <f t="shared" si="22"/>
        <v>-1.5280450111349901E-2</v>
      </c>
      <c r="I721" s="128">
        <f t="shared" si="23"/>
        <v>-3.08513794126372E-2</v>
      </c>
    </row>
    <row r="722" spans="1:9" ht="14.25" customHeight="1" x14ac:dyDescent="0.3">
      <c r="A722" s="127">
        <v>44980</v>
      </c>
      <c r="B722" s="64">
        <v>17511.25</v>
      </c>
      <c r="D722" s="127">
        <v>44980</v>
      </c>
      <c r="E722" s="64">
        <v>33.07</v>
      </c>
      <c r="H722" s="128">
        <f t="shared" si="22"/>
        <v>-2.4523905823643898E-3</v>
      </c>
      <c r="I722" s="128">
        <f t="shared" si="23"/>
        <v>1.2243648607284901E-2</v>
      </c>
    </row>
    <row r="723" spans="1:9" ht="14.25" customHeight="1" x14ac:dyDescent="0.3">
      <c r="A723" s="127">
        <v>44981</v>
      </c>
      <c r="B723" s="64">
        <v>17465.8</v>
      </c>
      <c r="D723" s="127">
        <v>44981</v>
      </c>
      <c r="E723" s="64">
        <v>32.69</v>
      </c>
      <c r="H723" s="128">
        <f t="shared" si="22"/>
        <v>-2.5954743379256601E-3</v>
      </c>
      <c r="I723" s="128">
        <f t="shared" si="23"/>
        <v>-1.14907771394013E-2</v>
      </c>
    </row>
    <row r="724" spans="1:9" ht="14.25" customHeight="1" x14ac:dyDescent="0.3">
      <c r="A724" s="127">
        <v>44984</v>
      </c>
      <c r="B724" s="64">
        <v>17392.7</v>
      </c>
      <c r="D724" s="127">
        <v>44984</v>
      </c>
      <c r="E724" s="64">
        <v>32.72</v>
      </c>
      <c r="H724" s="128">
        <f t="shared" si="22"/>
        <v>-4.1853221724741201E-3</v>
      </c>
      <c r="I724" s="128">
        <f t="shared" si="23"/>
        <v>9.1771183848275099E-4</v>
      </c>
    </row>
    <row r="725" spans="1:9" ht="14.25" customHeight="1" x14ac:dyDescent="0.3">
      <c r="A725" s="127">
        <v>44985</v>
      </c>
      <c r="B725" s="64">
        <v>17303.95</v>
      </c>
      <c r="D725" s="127">
        <v>44985</v>
      </c>
      <c r="E725" s="64">
        <v>32.43</v>
      </c>
      <c r="H725" s="128">
        <f t="shared" si="22"/>
        <v>-5.1027155070805597E-3</v>
      </c>
      <c r="I725" s="128">
        <f t="shared" si="23"/>
        <v>-8.8630806845965502E-3</v>
      </c>
    </row>
    <row r="726" spans="1:9" ht="14.25" customHeight="1" x14ac:dyDescent="0.3">
      <c r="A726" s="127">
        <v>44986</v>
      </c>
      <c r="B726" s="64">
        <v>17450.900000000001</v>
      </c>
      <c r="D726" s="127">
        <v>44986</v>
      </c>
      <c r="E726" s="64">
        <v>33.450000000000003</v>
      </c>
      <c r="H726" s="128">
        <f t="shared" si="22"/>
        <v>8.4922806642414393E-3</v>
      </c>
      <c r="I726" s="128">
        <f t="shared" si="23"/>
        <v>3.1452358926919603E-2</v>
      </c>
    </row>
    <row r="727" spans="1:9" ht="14.25" customHeight="1" x14ac:dyDescent="0.3">
      <c r="A727" s="127">
        <v>44987</v>
      </c>
      <c r="B727" s="64">
        <v>17321.900000000001</v>
      </c>
      <c r="D727" s="127">
        <v>44987</v>
      </c>
      <c r="E727" s="64">
        <v>33.24</v>
      </c>
      <c r="H727" s="128">
        <f t="shared" si="22"/>
        <v>-7.3921688852723903E-3</v>
      </c>
      <c r="I727" s="128">
        <f t="shared" si="23"/>
        <v>-6.2780269058296204E-3</v>
      </c>
    </row>
    <row r="728" spans="1:9" ht="14.25" customHeight="1" x14ac:dyDescent="0.3">
      <c r="A728" s="127">
        <v>44988</v>
      </c>
      <c r="B728" s="64">
        <v>17594.349999999999</v>
      </c>
      <c r="D728" s="127">
        <v>44988</v>
      </c>
      <c r="E728" s="64">
        <v>33.11</v>
      </c>
      <c r="H728" s="128">
        <f t="shared" si="22"/>
        <v>1.5728644086387598E-2</v>
      </c>
      <c r="I728" s="128">
        <f t="shared" si="23"/>
        <v>-3.9109506618532699E-3</v>
      </c>
    </row>
    <row r="729" spans="1:9" ht="14.25" customHeight="1" x14ac:dyDescent="0.3">
      <c r="A729" s="127">
        <v>44991</v>
      </c>
      <c r="B729" s="64">
        <v>17711.45</v>
      </c>
      <c r="D729" s="127">
        <v>44991</v>
      </c>
      <c r="E729" s="64">
        <v>33.299999999999997</v>
      </c>
      <c r="H729" s="128">
        <f t="shared" si="22"/>
        <v>6.6555456723324403E-3</v>
      </c>
      <c r="I729" s="128">
        <f t="shared" si="23"/>
        <v>5.7384475989126502E-3</v>
      </c>
    </row>
    <row r="730" spans="1:9" ht="14.25" customHeight="1" x14ac:dyDescent="0.3">
      <c r="A730" s="127">
        <v>44993</v>
      </c>
      <c r="B730" s="64">
        <v>17754.400000000001</v>
      </c>
      <c r="D730" s="127">
        <v>44993</v>
      </c>
      <c r="E730" s="64">
        <v>33.409999999999997</v>
      </c>
      <c r="H730" s="128">
        <f t="shared" si="22"/>
        <v>2.4249849673516699E-3</v>
      </c>
      <c r="I730" s="128">
        <f t="shared" si="23"/>
        <v>3.3033033033032901E-3</v>
      </c>
    </row>
    <row r="731" spans="1:9" ht="14.25" customHeight="1" x14ac:dyDescent="0.3">
      <c r="A731" s="127">
        <v>44994</v>
      </c>
      <c r="B731" s="64">
        <v>17589.599999999999</v>
      </c>
      <c r="D731" s="127">
        <v>44994</v>
      </c>
      <c r="E731" s="64">
        <v>33.32</v>
      </c>
      <c r="H731" s="128">
        <f t="shared" si="22"/>
        <v>-9.2822061010230106E-3</v>
      </c>
      <c r="I731" s="128">
        <f t="shared" si="23"/>
        <v>-2.69380425022437E-3</v>
      </c>
    </row>
    <row r="732" spans="1:9" ht="14.25" customHeight="1" x14ac:dyDescent="0.3">
      <c r="A732" s="127">
        <v>44995</v>
      </c>
      <c r="B732" s="64">
        <v>17412.900000000001</v>
      </c>
      <c r="D732" s="127">
        <v>44995</v>
      </c>
      <c r="E732" s="64">
        <v>33.42</v>
      </c>
      <c r="H732" s="128">
        <f t="shared" si="22"/>
        <v>-1.00457088279436E-2</v>
      </c>
      <c r="I732" s="128">
        <f t="shared" si="23"/>
        <v>3.0012004801921199E-3</v>
      </c>
    </row>
    <row r="733" spans="1:9" ht="14.25" customHeight="1" x14ac:dyDescent="0.3">
      <c r="A733" s="127">
        <v>44998</v>
      </c>
      <c r="B733" s="64">
        <v>17154.3</v>
      </c>
      <c r="D733" s="127">
        <v>44998</v>
      </c>
      <c r="E733" s="64">
        <v>33.409999999999997</v>
      </c>
      <c r="H733" s="128">
        <f t="shared" si="22"/>
        <v>-1.48510586978621E-2</v>
      </c>
      <c r="I733" s="128">
        <f t="shared" si="23"/>
        <v>-2.9922202274102697E-4</v>
      </c>
    </row>
    <row r="734" spans="1:9" ht="14.25" customHeight="1" x14ac:dyDescent="0.3">
      <c r="A734" s="127">
        <v>44999</v>
      </c>
      <c r="B734" s="64">
        <v>17043.3</v>
      </c>
      <c r="D734" s="127">
        <v>44999</v>
      </c>
      <c r="E734" s="64">
        <v>33.97</v>
      </c>
      <c r="H734" s="128">
        <f t="shared" si="22"/>
        <v>-6.4706808205522801E-3</v>
      </c>
      <c r="I734" s="128">
        <f t="shared" si="23"/>
        <v>1.6761448668063499E-2</v>
      </c>
    </row>
    <row r="735" spans="1:9" ht="14.25" customHeight="1" x14ac:dyDescent="0.3">
      <c r="A735" s="127">
        <v>45000</v>
      </c>
      <c r="B735" s="64">
        <v>16972.150000000001</v>
      </c>
      <c r="D735" s="127">
        <v>45000</v>
      </c>
      <c r="E735" s="64">
        <v>34.15</v>
      </c>
      <c r="H735" s="128">
        <f t="shared" si="22"/>
        <v>-4.1746610104849303E-3</v>
      </c>
      <c r="I735" s="128">
        <f t="shared" si="23"/>
        <v>5.2987930526935496E-3</v>
      </c>
    </row>
    <row r="736" spans="1:9" ht="14.25" customHeight="1" x14ac:dyDescent="0.3">
      <c r="A736" s="127">
        <v>45001</v>
      </c>
      <c r="B736" s="64">
        <v>16985.599999999999</v>
      </c>
      <c r="D736" s="127">
        <v>45001</v>
      </c>
      <c r="E736" s="64">
        <v>33.03</v>
      </c>
      <c r="H736" s="128">
        <f t="shared" si="22"/>
        <v>7.9247473066153002E-4</v>
      </c>
      <c r="I736" s="128">
        <f t="shared" si="23"/>
        <v>-3.27964860907759E-2</v>
      </c>
    </row>
    <row r="737" spans="1:9" ht="14.25" customHeight="1" x14ac:dyDescent="0.3">
      <c r="A737" s="127">
        <v>45002</v>
      </c>
      <c r="B737" s="64">
        <v>17100.05</v>
      </c>
      <c r="D737" s="127">
        <v>45002</v>
      </c>
      <c r="E737" s="64">
        <v>33.58</v>
      </c>
      <c r="H737" s="128">
        <f t="shared" si="22"/>
        <v>6.7380604747551299E-3</v>
      </c>
      <c r="I737" s="128">
        <f t="shared" si="23"/>
        <v>1.6651528913109202E-2</v>
      </c>
    </row>
    <row r="738" spans="1:9" ht="14.25" customHeight="1" x14ac:dyDescent="0.3">
      <c r="A738" s="127">
        <v>45005</v>
      </c>
      <c r="B738" s="64">
        <v>16988.400000000001</v>
      </c>
      <c r="D738" s="127">
        <v>45005</v>
      </c>
      <c r="E738" s="64">
        <v>32.89</v>
      </c>
      <c r="H738" s="128">
        <f t="shared" si="22"/>
        <v>-6.5292206747932201E-3</v>
      </c>
      <c r="I738" s="128">
        <f t="shared" si="23"/>
        <v>-2.0547945205479399E-2</v>
      </c>
    </row>
    <row r="739" spans="1:9" ht="14.25" customHeight="1" x14ac:dyDescent="0.3">
      <c r="A739" s="127">
        <v>45006</v>
      </c>
      <c r="B739" s="64">
        <v>17107.5</v>
      </c>
      <c r="D739" s="127">
        <v>45006</v>
      </c>
      <c r="E739" s="64">
        <v>32.5</v>
      </c>
      <c r="H739" s="128">
        <f t="shared" si="22"/>
        <v>7.0106661015751099E-3</v>
      </c>
      <c r="I739" s="128">
        <f t="shared" si="23"/>
        <v>-1.18577075098814E-2</v>
      </c>
    </row>
    <row r="740" spans="1:9" ht="14.25" customHeight="1" x14ac:dyDescent="0.3">
      <c r="A740" s="127">
        <v>45007</v>
      </c>
      <c r="B740" s="64">
        <v>17151.900000000001</v>
      </c>
      <c r="D740" s="127">
        <v>45007</v>
      </c>
      <c r="E740" s="64">
        <v>32.65</v>
      </c>
      <c r="H740" s="128">
        <f t="shared" si="22"/>
        <v>2.59535291538807E-3</v>
      </c>
      <c r="I740" s="128">
        <f t="shared" si="23"/>
        <v>4.6153846153845698E-3</v>
      </c>
    </row>
    <row r="741" spans="1:9" ht="14.25" customHeight="1" x14ac:dyDescent="0.3">
      <c r="A741" s="127">
        <v>45008</v>
      </c>
      <c r="B741" s="64">
        <v>17076.900000000001</v>
      </c>
      <c r="D741" s="127">
        <v>45008</v>
      </c>
      <c r="E741" s="64">
        <v>32.380000000000003</v>
      </c>
      <c r="H741" s="128">
        <f t="shared" si="22"/>
        <v>-4.3726934042292703E-3</v>
      </c>
      <c r="I741" s="128">
        <f t="shared" si="23"/>
        <v>-8.2695252679937502E-3</v>
      </c>
    </row>
    <row r="742" spans="1:9" ht="14.25" customHeight="1" x14ac:dyDescent="0.3">
      <c r="A742" s="127">
        <v>45009</v>
      </c>
      <c r="B742" s="64">
        <v>16945.05</v>
      </c>
      <c r="D742" s="127">
        <v>45009</v>
      </c>
      <c r="E742" s="64">
        <v>31.62</v>
      </c>
      <c r="H742" s="128">
        <f t="shared" si="22"/>
        <v>-7.7209563796709103E-3</v>
      </c>
      <c r="I742" s="128">
        <f t="shared" si="23"/>
        <v>-2.3471278567016699E-2</v>
      </c>
    </row>
    <row r="743" spans="1:9" ht="14.25" customHeight="1" x14ac:dyDescent="0.3">
      <c r="A743" s="127">
        <v>45012</v>
      </c>
      <c r="B743" s="64">
        <v>16985.7</v>
      </c>
      <c r="D743" s="127">
        <v>45012</v>
      </c>
      <c r="E743" s="64">
        <v>31.35</v>
      </c>
      <c r="H743" s="128">
        <f t="shared" si="22"/>
        <v>2.3989306611666198E-3</v>
      </c>
      <c r="I743" s="128">
        <f t="shared" si="23"/>
        <v>-8.5388994307400191E-3</v>
      </c>
    </row>
    <row r="744" spans="1:9" ht="14.25" customHeight="1" x14ac:dyDescent="0.3">
      <c r="A744" s="127">
        <v>45013</v>
      </c>
      <c r="B744" s="64">
        <v>16951.7</v>
      </c>
      <c r="D744" s="127">
        <v>45013</v>
      </c>
      <c r="E744" s="64">
        <v>31.17</v>
      </c>
      <c r="H744" s="128">
        <f t="shared" si="22"/>
        <v>-2.00168376928828E-3</v>
      </c>
      <c r="I744" s="128">
        <f t="shared" si="23"/>
        <v>-5.7416267942583601E-3</v>
      </c>
    </row>
    <row r="745" spans="1:9" ht="14.25" customHeight="1" x14ac:dyDescent="0.3">
      <c r="A745" s="127">
        <v>45014</v>
      </c>
      <c r="B745" s="64">
        <v>17080.7</v>
      </c>
      <c r="D745" s="127">
        <v>45014</v>
      </c>
      <c r="E745" s="64">
        <v>32.159999999999997</v>
      </c>
      <c r="H745" s="128">
        <f t="shared" si="22"/>
        <v>7.6098562386073404E-3</v>
      </c>
      <c r="I745" s="128">
        <f t="shared" si="23"/>
        <v>3.1761308950914197E-2</v>
      </c>
    </row>
    <row r="746" spans="1:9" ht="14.25" customHeight="1" x14ac:dyDescent="0.3">
      <c r="A746" s="127">
        <v>45016</v>
      </c>
      <c r="B746" s="64">
        <v>17359.75</v>
      </c>
      <c r="D746" s="127">
        <v>45016</v>
      </c>
      <c r="E746" s="64">
        <v>32.56</v>
      </c>
      <c r="H746" s="128">
        <f t="shared" si="22"/>
        <v>1.63371524586228E-2</v>
      </c>
      <c r="I746" s="128">
        <f t="shared" si="23"/>
        <v>1.2437810945273801E-2</v>
      </c>
    </row>
    <row r="747" spans="1:9" ht="14.25" customHeight="1" x14ac:dyDescent="0.3">
      <c r="A747" s="127">
        <v>45019</v>
      </c>
      <c r="B747" s="64">
        <v>17398.05</v>
      </c>
      <c r="D747" s="127">
        <v>45019</v>
      </c>
      <c r="E747" s="64">
        <v>32.520000000000003</v>
      </c>
      <c r="H747" s="128">
        <f t="shared" si="22"/>
        <v>2.20625297023282E-3</v>
      </c>
      <c r="I747" s="128">
        <f t="shared" si="23"/>
        <v>-1.2285012285012001E-3</v>
      </c>
    </row>
    <row r="748" spans="1:9" ht="14.25" customHeight="1" x14ac:dyDescent="0.3">
      <c r="A748" s="127">
        <v>45021</v>
      </c>
      <c r="B748" s="64">
        <v>17557.05</v>
      </c>
      <c r="D748" s="127">
        <v>45021</v>
      </c>
      <c r="E748" s="64">
        <v>32.57</v>
      </c>
      <c r="H748" s="128">
        <f t="shared" si="22"/>
        <v>9.1389552277410403E-3</v>
      </c>
      <c r="I748" s="128">
        <f t="shared" si="23"/>
        <v>1.53751537515366E-3</v>
      </c>
    </row>
    <row r="749" spans="1:9" ht="14.25" customHeight="1" x14ac:dyDescent="0.3">
      <c r="A749" s="127">
        <v>45022</v>
      </c>
      <c r="B749" s="64">
        <v>17599.150000000001</v>
      </c>
      <c r="D749" s="127">
        <v>45022</v>
      </c>
      <c r="E749" s="64">
        <v>32.4</v>
      </c>
      <c r="H749" s="128">
        <f t="shared" si="22"/>
        <v>2.3978971410346401E-3</v>
      </c>
      <c r="I749" s="128">
        <f t="shared" si="23"/>
        <v>-5.2195271722444503E-3</v>
      </c>
    </row>
    <row r="750" spans="1:9" ht="14.25" customHeight="1" x14ac:dyDescent="0.3">
      <c r="A750" s="127">
        <v>45026</v>
      </c>
      <c r="B750" s="64">
        <v>17624.05</v>
      </c>
      <c r="D750" s="127">
        <v>45026</v>
      </c>
      <c r="E750" s="64">
        <v>32.35</v>
      </c>
      <c r="H750" s="128">
        <f t="shared" si="22"/>
        <v>1.4148410576645899E-3</v>
      </c>
      <c r="I750" s="128">
        <f t="shared" si="23"/>
        <v>-1.54320987654312E-3</v>
      </c>
    </row>
    <row r="751" spans="1:9" ht="14.25" customHeight="1" x14ac:dyDescent="0.3">
      <c r="A751" s="127">
        <v>45027</v>
      </c>
      <c r="B751" s="64">
        <v>17722.3</v>
      </c>
      <c r="D751" s="127">
        <v>45027</v>
      </c>
      <c r="E751" s="64">
        <v>33.08</v>
      </c>
      <c r="H751" s="128">
        <f t="shared" si="22"/>
        <v>5.57476856908599E-3</v>
      </c>
      <c r="I751" s="128">
        <f t="shared" si="23"/>
        <v>2.2565687789799001E-2</v>
      </c>
    </row>
    <row r="752" spans="1:9" ht="14.25" customHeight="1" x14ac:dyDescent="0.3">
      <c r="A752" s="127">
        <v>45028</v>
      </c>
      <c r="B752" s="64">
        <v>17812.400000000001</v>
      </c>
      <c r="D752" s="127">
        <v>45028</v>
      </c>
      <c r="E752" s="64">
        <v>33.06</v>
      </c>
      <c r="H752" s="128">
        <f t="shared" si="22"/>
        <v>5.0839902270022599E-3</v>
      </c>
      <c r="I752" s="128">
        <f t="shared" si="23"/>
        <v>-6.0459492140253995E-4</v>
      </c>
    </row>
    <row r="753" spans="1:9" ht="14.25" customHeight="1" x14ac:dyDescent="0.3">
      <c r="A753" s="127">
        <v>45029</v>
      </c>
      <c r="B753" s="64">
        <v>17828</v>
      </c>
      <c r="D753" s="127">
        <v>45029</v>
      </c>
      <c r="E753" s="64">
        <v>32.49</v>
      </c>
      <c r="H753" s="128">
        <f t="shared" si="22"/>
        <v>8.7579439042456599E-4</v>
      </c>
      <c r="I753" s="128">
        <f t="shared" si="23"/>
        <v>-1.72413793103448E-2</v>
      </c>
    </row>
    <row r="754" spans="1:9" ht="14.25" customHeight="1" x14ac:dyDescent="0.3">
      <c r="A754" s="127">
        <v>45033</v>
      </c>
      <c r="B754" s="64">
        <v>17706.849999999999</v>
      </c>
      <c r="D754" s="127">
        <v>45033</v>
      </c>
      <c r="E754" s="64">
        <v>32.53</v>
      </c>
      <c r="H754" s="128">
        <f t="shared" si="22"/>
        <v>-6.7954902400718803E-3</v>
      </c>
      <c r="I754" s="128">
        <f t="shared" si="23"/>
        <v>1.2311480455524501E-3</v>
      </c>
    </row>
    <row r="755" spans="1:9" ht="14.25" customHeight="1" x14ac:dyDescent="0.3">
      <c r="A755" s="127">
        <v>45034</v>
      </c>
      <c r="B755" s="64">
        <v>17660.150000000001</v>
      </c>
      <c r="D755" s="127">
        <v>45034</v>
      </c>
      <c r="E755" s="64">
        <v>32.78</v>
      </c>
      <c r="H755" s="128">
        <f t="shared" si="22"/>
        <v>-2.63739739140486E-3</v>
      </c>
      <c r="I755" s="128">
        <f t="shared" si="23"/>
        <v>7.6852136489394401E-3</v>
      </c>
    </row>
    <row r="756" spans="1:9" ht="14.25" customHeight="1" x14ac:dyDescent="0.3">
      <c r="A756" s="127">
        <v>45035</v>
      </c>
      <c r="B756" s="64">
        <v>17618.75</v>
      </c>
      <c r="D756" s="127">
        <v>45035</v>
      </c>
      <c r="E756" s="64">
        <v>33.07</v>
      </c>
      <c r="H756" s="128">
        <f t="shared" si="22"/>
        <v>-2.3442609490860202E-3</v>
      </c>
      <c r="I756" s="128">
        <f t="shared" si="23"/>
        <v>8.8468578401464104E-3</v>
      </c>
    </row>
    <row r="757" spans="1:9" ht="14.25" customHeight="1" x14ac:dyDescent="0.3">
      <c r="A757" s="127">
        <v>45036</v>
      </c>
      <c r="B757" s="64">
        <v>17624.45</v>
      </c>
      <c r="D757" s="127">
        <v>45036</v>
      </c>
      <c r="E757" s="64">
        <v>32.75</v>
      </c>
      <c r="H757" s="128">
        <f t="shared" si="22"/>
        <v>3.2351897836116201E-4</v>
      </c>
      <c r="I757" s="128">
        <f t="shared" si="23"/>
        <v>-9.6764439068642398E-3</v>
      </c>
    </row>
    <row r="758" spans="1:9" ht="14.25" customHeight="1" x14ac:dyDescent="0.3">
      <c r="A758" s="127">
        <v>45037</v>
      </c>
      <c r="B758" s="64">
        <v>17624.05</v>
      </c>
      <c r="D758" s="127">
        <v>45037</v>
      </c>
      <c r="E758" s="64">
        <v>32.06</v>
      </c>
      <c r="H758" s="128">
        <f t="shared" si="22"/>
        <v>-2.2695743697049001E-5</v>
      </c>
      <c r="I758" s="128">
        <f t="shared" si="23"/>
        <v>-2.1068702290076301E-2</v>
      </c>
    </row>
    <row r="759" spans="1:9" ht="14.25" customHeight="1" x14ac:dyDescent="0.3">
      <c r="A759" s="127">
        <v>45040</v>
      </c>
      <c r="B759" s="64">
        <v>17743.400000000001</v>
      </c>
      <c r="D759" s="127">
        <v>45040</v>
      </c>
      <c r="E759" s="64">
        <v>32.06</v>
      </c>
      <c r="H759" s="128">
        <f t="shared" si="22"/>
        <v>6.7719962210730303E-3</v>
      </c>
      <c r="I759" s="128">
        <f t="shared" si="23"/>
        <v>0</v>
      </c>
    </row>
    <row r="760" spans="1:9" ht="14.25" customHeight="1" x14ac:dyDescent="0.3">
      <c r="A760" s="127">
        <v>45041</v>
      </c>
      <c r="B760" s="64">
        <v>17769.25</v>
      </c>
      <c r="D760" s="127">
        <v>45041</v>
      </c>
      <c r="E760" s="64">
        <v>31.76</v>
      </c>
      <c r="H760" s="128">
        <f t="shared" si="22"/>
        <v>1.45687974119946E-3</v>
      </c>
      <c r="I760" s="128">
        <f t="shared" si="23"/>
        <v>-9.3574547723019597E-3</v>
      </c>
    </row>
    <row r="761" spans="1:9" ht="14.25" customHeight="1" x14ac:dyDescent="0.3">
      <c r="A761" s="127">
        <v>45042</v>
      </c>
      <c r="B761" s="64">
        <v>17813.599999999999</v>
      </c>
      <c r="D761" s="127">
        <v>45042</v>
      </c>
      <c r="E761" s="64">
        <v>31.65</v>
      </c>
      <c r="H761" s="128">
        <f t="shared" si="22"/>
        <v>2.4958847447134002E-3</v>
      </c>
      <c r="I761" s="128">
        <f t="shared" si="23"/>
        <v>-3.4634760705290601E-3</v>
      </c>
    </row>
    <row r="762" spans="1:9" ht="14.25" customHeight="1" x14ac:dyDescent="0.3">
      <c r="A762" s="127">
        <v>45043</v>
      </c>
      <c r="B762" s="64">
        <v>17915.05</v>
      </c>
      <c r="D762" s="127">
        <v>45043</v>
      </c>
      <c r="E762" s="64">
        <v>31.7</v>
      </c>
      <c r="H762" s="128">
        <f t="shared" si="22"/>
        <v>5.6950868998967502E-3</v>
      </c>
      <c r="I762" s="128">
        <f t="shared" si="23"/>
        <v>1.57977883096369E-3</v>
      </c>
    </row>
    <row r="763" spans="1:9" ht="14.25" customHeight="1" x14ac:dyDescent="0.3">
      <c r="A763" s="127">
        <v>45044</v>
      </c>
      <c r="B763" s="64">
        <v>18065</v>
      </c>
      <c r="D763" s="127">
        <v>45044</v>
      </c>
      <c r="E763" s="64">
        <v>31.67</v>
      </c>
      <c r="H763" s="128">
        <f t="shared" si="22"/>
        <v>8.37005757728841E-3</v>
      </c>
      <c r="I763" s="128">
        <f t="shared" si="23"/>
        <v>-9.4637223974755797E-4</v>
      </c>
    </row>
    <row r="764" spans="1:9" ht="14.25" customHeight="1" x14ac:dyDescent="0.3">
      <c r="A764" s="127">
        <v>45048</v>
      </c>
      <c r="B764" s="64">
        <v>18147.650000000001</v>
      </c>
      <c r="D764" s="127">
        <v>45048</v>
      </c>
      <c r="E764" s="64">
        <v>32.06</v>
      </c>
      <c r="H764" s="128">
        <f t="shared" si="22"/>
        <v>4.5751453086078902E-3</v>
      </c>
      <c r="I764" s="128">
        <f t="shared" si="23"/>
        <v>1.2314493211240901E-2</v>
      </c>
    </row>
    <row r="765" spans="1:9" ht="14.25" customHeight="1" x14ac:dyDescent="0.3">
      <c r="A765" s="127">
        <v>45049</v>
      </c>
      <c r="B765" s="64">
        <v>18089.849999999999</v>
      </c>
      <c r="D765" s="127">
        <v>45049</v>
      </c>
      <c r="E765" s="64">
        <v>32.15</v>
      </c>
      <c r="H765" s="128">
        <f t="shared" si="22"/>
        <v>-3.1849853837826298E-3</v>
      </c>
      <c r="I765" s="128">
        <f t="shared" si="23"/>
        <v>2.8072364316904601E-3</v>
      </c>
    </row>
    <row r="766" spans="1:9" ht="14.25" customHeight="1" x14ac:dyDescent="0.3">
      <c r="A766" s="127">
        <v>45050</v>
      </c>
      <c r="B766" s="64">
        <v>18255.8</v>
      </c>
      <c r="D766" s="127">
        <v>45050</v>
      </c>
      <c r="E766" s="64">
        <v>32.47</v>
      </c>
      <c r="H766" s="128">
        <f t="shared" si="22"/>
        <v>9.1736526284076792E-3</v>
      </c>
      <c r="I766" s="128">
        <f t="shared" si="23"/>
        <v>9.9533437013997004E-3</v>
      </c>
    </row>
    <row r="767" spans="1:9" ht="14.25" customHeight="1" x14ac:dyDescent="0.3">
      <c r="A767" s="127">
        <v>45051</v>
      </c>
      <c r="B767" s="64">
        <v>18069</v>
      </c>
      <c r="D767" s="127">
        <v>45051</v>
      </c>
      <c r="E767" s="64">
        <v>31.6</v>
      </c>
      <c r="H767" s="128">
        <f t="shared" si="22"/>
        <v>-1.02323645088136E-2</v>
      </c>
      <c r="I767" s="128">
        <f t="shared" si="23"/>
        <v>-2.67939636587619E-2</v>
      </c>
    </row>
    <row r="768" spans="1:9" ht="14.25" customHeight="1" x14ac:dyDescent="0.3">
      <c r="A768" s="127">
        <v>45054</v>
      </c>
      <c r="B768" s="64">
        <v>18264.400000000001</v>
      </c>
      <c r="D768" s="127">
        <v>45054</v>
      </c>
      <c r="E768" s="64">
        <v>31.65</v>
      </c>
      <c r="H768" s="128">
        <f t="shared" si="22"/>
        <v>1.0814101499806401E-2</v>
      </c>
      <c r="I768" s="128">
        <f t="shared" si="23"/>
        <v>1.5822784810125699E-3</v>
      </c>
    </row>
    <row r="769" spans="1:9" ht="14.25" customHeight="1" x14ac:dyDescent="0.3">
      <c r="A769" s="127">
        <v>45055</v>
      </c>
      <c r="B769" s="64">
        <v>18265.95</v>
      </c>
      <c r="D769" s="127">
        <v>45055</v>
      </c>
      <c r="E769" s="64">
        <v>31.96</v>
      </c>
      <c r="H769" s="128">
        <f t="shared" si="22"/>
        <v>8.4864545235500296E-5</v>
      </c>
      <c r="I769" s="128">
        <f t="shared" si="23"/>
        <v>9.7946287519747998E-3</v>
      </c>
    </row>
    <row r="770" spans="1:9" ht="14.25" customHeight="1" x14ac:dyDescent="0.3">
      <c r="A770" s="127">
        <v>45056</v>
      </c>
      <c r="B770" s="64">
        <v>18315.099999999999</v>
      </c>
      <c r="D770" s="127">
        <v>45056</v>
      </c>
      <c r="E770" s="64">
        <v>31.7</v>
      </c>
      <c r="H770" s="128">
        <f t="shared" si="22"/>
        <v>2.69079900032562E-3</v>
      </c>
      <c r="I770" s="128">
        <f t="shared" si="23"/>
        <v>-8.1351689612015506E-3</v>
      </c>
    </row>
    <row r="771" spans="1:9" ht="14.25" customHeight="1" x14ac:dyDescent="0.3">
      <c r="A771" s="127">
        <v>45057</v>
      </c>
      <c r="B771" s="64">
        <v>18297</v>
      </c>
      <c r="D771" s="127">
        <v>45057</v>
      </c>
      <c r="E771" s="64">
        <v>31.52</v>
      </c>
      <c r="H771" s="128">
        <f t="shared" ref="H771:H834" si="24">(B771-B770)/B770</f>
        <v>-9.88255592379979E-4</v>
      </c>
      <c r="I771" s="128">
        <f t="shared" ref="I771:I834" si="25">(E771-E770)/E770</f>
        <v>-5.6782334384858002E-3</v>
      </c>
    </row>
    <row r="772" spans="1:9" ht="14.25" customHeight="1" x14ac:dyDescent="0.3">
      <c r="A772" s="127">
        <v>45058</v>
      </c>
      <c r="B772" s="64">
        <v>18314.8</v>
      </c>
      <c r="D772" s="127">
        <v>45058</v>
      </c>
      <c r="E772" s="64">
        <v>31.14</v>
      </c>
      <c r="H772" s="128">
        <f t="shared" si="24"/>
        <v>9.7283707711642701E-4</v>
      </c>
      <c r="I772" s="128">
        <f t="shared" si="25"/>
        <v>-1.20558375634517E-2</v>
      </c>
    </row>
    <row r="773" spans="1:9" ht="14.25" customHeight="1" x14ac:dyDescent="0.3">
      <c r="A773" s="127">
        <v>45061</v>
      </c>
      <c r="B773" s="64">
        <v>18398.849999999999</v>
      </c>
      <c r="D773" s="127">
        <v>45061</v>
      </c>
      <c r="E773" s="64">
        <v>31.16</v>
      </c>
      <c r="H773" s="128">
        <f t="shared" si="24"/>
        <v>4.5891847030816203E-3</v>
      </c>
      <c r="I773" s="128">
        <f t="shared" si="25"/>
        <v>6.4226075786768101E-4</v>
      </c>
    </row>
    <row r="774" spans="1:9" ht="14.25" customHeight="1" x14ac:dyDescent="0.3">
      <c r="A774" s="127">
        <v>45062</v>
      </c>
      <c r="B774" s="64">
        <v>18286.5</v>
      </c>
      <c r="D774" s="127">
        <v>45062</v>
      </c>
      <c r="E774" s="64">
        <v>31.23</v>
      </c>
      <c r="H774" s="128">
        <f t="shared" si="24"/>
        <v>-6.1063599083637597E-3</v>
      </c>
      <c r="I774" s="128">
        <f t="shared" si="25"/>
        <v>2.24646983311939E-3</v>
      </c>
    </row>
    <row r="775" spans="1:9" ht="14.25" customHeight="1" x14ac:dyDescent="0.3">
      <c r="A775" s="127">
        <v>45063</v>
      </c>
      <c r="B775" s="64">
        <v>18181.75</v>
      </c>
      <c r="D775" s="127">
        <v>45063</v>
      </c>
      <c r="E775" s="64">
        <v>30.97</v>
      </c>
      <c r="H775" s="128">
        <f t="shared" si="24"/>
        <v>-5.7282694884204198E-3</v>
      </c>
      <c r="I775" s="128">
        <f t="shared" si="25"/>
        <v>-8.3253282100544806E-3</v>
      </c>
    </row>
    <row r="776" spans="1:9" ht="14.25" customHeight="1" x14ac:dyDescent="0.3">
      <c r="A776" s="127">
        <v>45064</v>
      </c>
      <c r="B776" s="64">
        <v>18129.95</v>
      </c>
      <c r="D776" s="127">
        <v>45064</v>
      </c>
      <c r="E776" s="64">
        <v>30.59</v>
      </c>
      <c r="H776" s="128">
        <f t="shared" si="24"/>
        <v>-2.8490106837900202E-3</v>
      </c>
      <c r="I776" s="128">
        <f t="shared" si="25"/>
        <v>-1.22699386503067E-2</v>
      </c>
    </row>
    <row r="777" spans="1:9" ht="14.25" customHeight="1" x14ac:dyDescent="0.3">
      <c r="A777" s="127">
        <v>45065</v>
      </c>
      <c r="B777" s="64">
        <v>18203.400000000001</v>
      </c>
      <c r="D777" s="127">
        <v>45065</v>
      </c>
      <c r="E777" s="64">
        <v>30.84</v>
      </c>
      <c r="H777" s="128">
        <f t="shared" si="24"/>
        <v>4.0513073670915096E-3</v>
      </c>
      <c r="I777" s="128">
        <f t="shared" si="25"/>
        <v>8.1726054266100003E-3</v>
      </c>
    </row>
    <row r="778" spans="1:9" ht="14.25" customHeight="1" x14ac:dyDescent="0.3">
      <c r="A778" s="127">
        <v>45068</v>
      </c>
      <c r="B778" s="64">
        <v>18314.400000000001</v>
      </c>
      <c r="D778" s="127">
        <v>45068</v>
      </c>
      <c r="E778" s="64">
        <v>30.69</v>
      </c>
      <c r="H778" s="128">
        <f t="shared" si="24"/>
        <v>6.0977619565575703E-3</v>
      </c>
      <c r="I778" s="128">
        <f t="shared" si="25"/>
        <v>-4.8638132295719403E-3</v>
      </c>
    </row>
    <row r="779" spans="1:9" ht="14.25" customHeight="1" x14ac:dyDescent="0.3">
      <c r="A779" s="127">
        <v>45069</v>
      </c>
      <c r="B779" s="64">
        <v>18348</v>
      </c>
      <c r="D779" s="127">
        <v>45069</v>
      </c>
      <c r="E779" s="64">
        <v>30.87</v>
      </c>
      <c r="H779" s="128">
        <f t="shared" si="24"/>
        <v>1.8346219368365101E-3</v>
      </c>
      <c r="I779" s="128">
        <f t="shared" si="25"/>
        <v>5.8651026392961799E-3</v>
      </c>
    </row>
    <row r="780" spans="1:9" ht="14.25" customHeight="1" x14ac:dyDescent="0.3">
      <c r="A780" s="127">
        <v>45070</v>
      </c>
      <c r="B780" s="64">
        <v>18285.400000000001</v>
      </c>
      <c r="D780" s="127">
        <v>45070</v>
      </c>
      <c r="E780" s="64">
        <v>30.68</v>
      </c>
      <c r="H780" s="128">
        <f t="shared" si="24"/>
        <v>-3.4118160017439802E-3</v>
      </c>
      <c r="I780" s="128">
        <f t="shared" si="25"/>
        <v>-6.1548428895368103E-3</v>
      </c>
    </row>
    <row r="781" spans="1:9" ht="14.25" customHeight="1" x14ac:dyDescent="0.3">
      <c r="A781" s="127">
        <v>45071</v>
      </c>
      <c r="B781" s="64">
        <v>18321.150000000001</v>
      </c>
      <c r="D781" s="127">
        <v>45071</v>
      </c>
      <c r="E781" s="64">
        <v>30.44</v>
      </c>
      <c r="H781" s="128">
        <f t="shared" si="24"/>
        <v>1.9551117284828299E-3</v>
      </c>
      <c r="I781" s="128">
        <f t="shared" si="25"/>
        <v>-7.8226857887874306E-3</v>
      </c>
    </row>
    <row r="782" spans="1:9" ht="14.25" customHeight="1" x14ac:dyDescent="0.3">
      <c r="A782" s="127">
        <v>45072</v>
      </c>
      <c r="B782" s="64">
        <v>18499.349999999999</v>
      </c>
      <c r="D782" s="127">
        <v>45072</v>
      </c>
      <c r="E782" s="64">
        <v>31.08</v>
      </c>
      <c r="H782" s="128">
        <f t="shared" si="24"/>
        <v>9.7264636772253395E-3</v>
      </c>
      <c r="I782" s="128">
        <f t="shared" si="25"/>
        <v>2.1024967148488699E-2</v>
      </c>
    </row>
    <row r="783" spans="1:9" ht="14.25" customHeight="1" x14ac:dyDescent="0.3">
      <c r="A783" s="127">
        <v>45075</v>
      </c>
      <c r="B783" s="64">
        <v>18598.650000000001</v>
      </c>
      <c r="D783" s="127">
        <v>45075</v>
      </c>
      <c r="E783" s="64">
        <v>31.2</v>
      </c>
      <c r="H783" s="128">
        <f t="shared" si="24"/>
        <v>5.3677561644059303E-3</v>
      </c>
      <c r="I783" s="128">
        <f t="shared" si="25"/>
        <v>3.8610038610038902E-3</v>
      </c>
    </row>
    <row r="784" spans="1:9" ht="14.25" customHeight="1" x14ac:dyDescent="0.3">
      <c r="A784" s="127">
        <v>45076</v>
      </c>
      <c r="B784" s="64">
        <v>18633.849999999999</v>
      </c>
      <c r="D784" s="127">
        <v>45076</v>
      </c>
      <c r="E784" s="64">
        <v>31.29</v>
      </c>
      <c r="H784" s="128">
        <f t="shared" si="24"/>
        <v>1.89261048516947E-3</v>
      </c>
      <c r="I784" s="128">
        <f t="shared" si="25"/>
        <v>2.88461538461538E-3</v>
      </c>
    </row>
    <row r="785" spans="1:9" ht="14.25" customHeight="1" x14ac:dyDescent="0.3">
      <c r="A785" s="127">
        <v>45077</v>
      </c>
      <c r="B785" s="64">
        <v>18534.400000000001</v>
      </c>
      <c r="D785" s="127">
        <v>45077</v>
      </c>
      <c r="E785" s="64">
        <v>31.17</v>
      </c>
      <c r="H785" s="128">
        <f t="shared" si="24"/>
        <v>-5.33706131583098E-3</v>
      </c>
      <c r="I785" s="128">
        <f t="shared" si="25"/>
        <v>-3.8350910834131502E-3</v>
      </c>
    </row>
    <row r="786" spans="1:9" ht="14.25" customHeight="1" x14ac:dyDescent="0.3">
      <c r="A786" s="127">
        <v>45078</v>
      </c>
      <c r="B786" s="64">
        <v>18487.75</v>
      </c>
      <c r="D786" s="127">
        <v>45078</v>
      </c>
      <c r="E786" s="64">
        <v>31.2</v>
      </c>
      <c r="H786" s="128">
        <f t="shared" si="24"/>
        <v>-2.5169414709945502E-3</v>
      </c>
      <c r="I786" s="128">
        <f t="shared" si="25"/>
        <v>9.6246390760338697E-4</v>
      </c>
    </row>
    <row r="787" spans="1:9" ht="14.25" customHeight="1" x14ac:dyDescent="0.3">
      <c r="A787" s="127">
        <v>45079</v>
      </c>
      <c r="B787" s="64">
        <v>18534.099999999999</v>
      </c>
      <c r="D787" s="127">
        <v>45079</v>
      </c>
      <c r="E787" s="64">
        <v>31.79</v>
      </c>
      <c r="H787" s="128">
        <f t="shared" si="24"/>
        <v>2.5070654893104101E-3</v>
      </c>
      <c r="I787" s="128">
        <f t="shared" si="25"/>
        <v>1.8910256410256399E-2</v>
      </c>
    </row>
    <row r="788" spans="1:9" ht="14.25" customHeight="1" x14ac:dyDescent="0.3">
      <c r="A788" s="127">
        <v>45082</v>
      </c>
      <c r="B788" s="64">
        <v>18593.849999999999</v>
      </c>
      <c r="D788" s="127">
        <v>45082</v>
      </c>
      <c r="E788" s="64">
        <v>31.81</v>
      </c>
      <c r="H788" s="128">
        <f t="shared" si="24"/>
        <v>3.22378750519313E-3</v>
      </c>
      <c r="I788" s="128">
        <f t="shared" si="25"/>
        <v>6.2912865681030402E-4</v>
      </c>
    </row>
    <row r="789" spans="1:9" ht="14.25" customHeight="1" x14ac:dyDescent="0.3">
      <c r="A789" s="127">
        <v>45083</v>
      </c>
      <c r="B789" s="64">
        <v>18599</v>
      </c>
      <c r="D789" s="127">
        <v>45083</v>
      </c>
      <c r="E789" s="64">
        <v>31.87</v>
      </c>
      <c r="H789" s="128">
        <f t="shared" si="24"/>
        <v>2.7697330031174001E-4</v>
      </c>
      <c r="I789" s="128">
        <f t="shared" si="25"/>
        <v>1.8861993083936601E-3</v>
      </c>
    </row>
    <row r="790" spans="1:9" ht="14.25" customHeight="1" x14ac:dyDescent="0.3">
      <c r="A790" s="127">
        <v>45084</v>
      </c>
      <c r="B790" s="64">
        <v>18726.400000000001</v>
      </c>
      <c r="D790" s="127">
        <v>45084</v>
      </c>
      <c r="E790" s="64">
        <v>31.96</v>
      </c>
      <c r="H790" s="128">
        <f t="shared" si="24"/>
        <v>6.8498306360557804E-3</v>
      </c>
      <c r="I790" s="128">
        <f t="shared" si="25"/>
        <v>2.82397238782554E-3</v>
      </c>
    </row>
    <row r="791" spans="1:9" ht="14.25" customHeight="1" x14ac:dyDescent="0.3">
      <c r="A791" s="127">
        <v>45085</v>
      </c>
      <c r="B791" s="64">
        <v>18634.55</v>
      </c>
      <c r="D791" s="127">
        <v>45085</v>
      </c>
      <c r="E791" s="64">
        <v>31.7</v>
      </c>
      <c r="H791" s="128">
        <f t="shared" si="24"/>
        <v>-4.9048402255640298E-3</v>
      </c>
      <c r="I791" s="128">
        <f t="shared" si="25"/>
        <v>-8.1351689612015506E-3</v>
      </c>
    </row>
    <row r="792" spans="1:9" ht="14.25" customHeight="1" x14ac:dyDescent="0.3">
      <c r="A792" s="127">
        <v>45086</v>
      </c>
      <c r="B792" s="64">
        <v>18563.400000000001</v>
      </c>
      <c r="D792" s="127">
        <v>45086</v>
      </c>
      <c r="E792" s="64">
        <v>31.39</v>
      </c>
      <c r="H792" s="128">
        <f t="shared" si="24"/>
        <v>-3.8181764518058002E-3</v>
      </c>
      <c r="I792" s="128">
        <f t="shared" si="25"/>
        <v>-9.77917981072551E-3</v>
      </c>
    </row>
    <row r="793" spans="1:9" ht="14.25" customHeight="1" x14ac:dyDescent="0.3">
      <c r="A793" s="127">
        <v>45089</v>
      </c>
      <c r="B793" s="64">
        <v>18601.5</v>
      </c>
      <c r="D793" s="127">
        <v>45089</v>
      </c>
      <c r="E793" s="64">
        <v>31.52</v>
      </c>
      <c r="H793" s="128">
        <f t="shared" si="24"/>
        <v>2.0524257409740999E-3</v>
      </c>
      <c r="I793" s="128">
        <f t="shared" si="25"/>
        <v>4.1414463204842E-3</v>
      </c>
    </row>
    <row r="794" spans="1:9" ht="14.25" customHeight="1" x14ac:dyDescent="0.3">
      <c r="A794" s="127">
        <v>45090</v>
      </c>
      <c r="B794" s="64">
        <v>18716.150000000001</v>
      </c>
      <c r="D794" s="127">
        <v>45090</v>
      </c>
      <c r="E794" s="64">
        <v>31.74</v>
      </c>
      <c r="H794" s="128">
        <f t="shared" si="24"/>
        <v>6.1634814396689204E-3</v>
      </c>
      <c r="I794" s="128">
        <f t="shared" si="25"/>
        <v>6.9796954314720397E-3</v>
      </c>
    </row>
    <row r="795" spans="1:9" ht="14.25" customHeight="1" x14ac:dyDescent="0.3">
      <c r="A795" s="127">
        <v>45091</v>
      </c>
      <c r="B795" s="64">
        <v>18755.900000000001</v>
      </c>
      <c r="D795" s="127">
        <v>45091</v>
      </c>
      <c r="E795" s="64">
        <v>31.8</v>
      </c>
      <c r="H795" s="128">
        <f t="shared" si="24"/>
        <v>2.1238342287276E-3</v>
      </c>
      <c r="I795" s="128">
        <f t="shared" si="25"/>
        <v>1.89035916824204E-3</v>
      </c>
    </row>
    <row r="796" spans="1:9" ht="14.25" customHeight="1" x14ac:dyDescent="0.3">
      <c r="A796" s="127">
        <v>45092</v>
      </c>
      <c r="B796" s="64">
        <v>18688.099999999999</v>
      </c>
      <c r="D796" s="127">
        <v>45092</v>
      </c>
      <c r="E796" s="64">
        <v>31.45</v>
      </c>
      <c r="H796" s="128">
        <f t="shared" si="24"/>
        <v>-3.6148625232594999E-3</v>
      </c>
      <c r="I796" s="128">
        <f t="shared" si="25"/>
        <v>-1.10062893081761E-2</v>
      </c>
    </row>
    <row r="797" spans="1:9" ht="14.25" customHeight="1" x14ac:dyDescent="0.3">
      <c r="A797" s="127">
        <v>45093</v>
      </c>
      <c r="B797" s="64">
        <v>18826</v>
      </c>
      <c r="D797" s="127">
        <v>45093</v>
      </c>
      <c r="E797" s="64">
        <v>31.23</v>
      </c>
      <c r="H797" s="128">
        <f t="shared" si="24"/>
        <v>7.37902729544477E-3</v>
      </c>
      <c r="I797" s="128">
        <f t="shared" si="25"/>
        <v>-6.9952305246422496E-3</v>
      </c>
    </row>
    <row r="798" spans="1:9" ht="14.25" customHeight="1" x14ac:dyDescent="0.3">
      <c r="A798" s="127">
        <v>45096</v>
      </c>
      <c r="B798" s="64">
        <v>18755.45</v>
      </c>
      <c r="D798" s="127">
        <v>45096</v>
      </c>
      <c r="E798" s="64">
        <v>30.98</v>
      </c>
      <c r="H798" s="128">
        <f t="shared" si="24"/>
        <v>-3.74747689365767E-3</v>
      </c>
      <c r="I798" s="128">
        <f t="shared" si="25"/>
        <v>-8.0051232788984992E-3</v>
      </c>
    </row>
    <row r="799" spans="1:9" ht="14.25" customHeight="1" x14ac:dyDescent="0.3">
      <c r="A799" s="127">
        <v>45097</v>
      </c>
      <c r="B799" s="64">
        <v>18816.7</v>
      </c>
      <c r="D799" s="127">
        <v>45097</v>
      </c>
      <c r="E799" s="64">
        <v>31.29</v>
      </c>
      <c r="H799" s="128">
        <f t="shared" si="24"/>
        <v>3.2657174314665899E-3</v>
      </c>
      <c r="I799" s="128">
        <f t="shared" si="25"/>
        <v>1.0006455777921201E-2</v>
      </c>
    </row>
    <row r="800" spans="1:9" ht="14.25" customHeight="1" x14ac:dyDescent="0.3">
      <c r="A800" s="127">
        <v>45098</v>
      </c>
      <c r="B800" s="64">
        <v>18856.849999999999</v>
      </c>
      <c r="D800" s="127">
        <v>45098</v>
      </c>
      <c r="E800" s="64">
        <v>31.16</v>
      </c>
      <c r="H800" s="128">
        <f t="shared" si="24"/>
        <v>2.1337428985952799E-3</v>
      </c>
      <c r="I800" s="128">
        <f t="shared" si="25"/>
        <v>-4.1546820070309702E-3</v>
      </c>
    </row>
    <row r="801" spans="1:9" ht="14.25" customHeight="1" x14ac:dyDescent="0.3">
      <c r="A801" s="127">
        <v>45099</v>
      </c>
      <c r="B801" s="64">
        <v>18771.25</v>
      </c>
      <c r="D801" s="127">
        <v>45099</v>
      </c>
      <c r="E801" s="64">
        <v>30.87</v>
      </c>
      <c r="H801" s="128">
        <f t="shared" si="24"/>
        <v>-4.5394644386521901E-3</v>
      </c>
      <c r="I801" s="128">
        <f t="shared" si="25"/>
        <v>-9.3068035943517109E-3</v>
      </c>
    </row>
    <row r="802" spans="1:9" ht="14.25" customHeight="1" x14ac:dyDescent="0.3">
      <c r="A802" s="127">
        <v>45100</v>
      </c>
      <c r="B802" s="64">
        <v>18665.5</v>
      </c>
      <c r="D802" s="127">
        <v>45100</v>
      </c>
      <c r="E802" s="64">
        <v>30.56</v>
      </c>
      <c r="H802" s="128">
        <f t="shared" si="24"/>
        <v>-5.63361523606579E-3</v>
      </c>
      <c r="I802" s="128">
        <f t="shared" si="25"/>
        <v>-1.00421120829285E-2</v>
      </c>
    </row>
    <row r="803" spans="1:9" ht="14.25" customHeight="1" x14ac:dyDescent="0.3">
      <c r="A803" s="127">
        <v>45103</v>
      </c>
      <c r="B803" s="64">
        <v>18691.2</v>
      </c>
      <c r="D803" s="127">
        <v>45103</v>
      </c>
      <c r="E803" s="64">
        <v>30.59</v>
      </c>
      <c r="H803" s="128">
        <f t="shared" si="24"/>
        <v>1.3768717687713001E-3</v>
      </c>
      <c r="I803" s="128">
        <f t="shared" si="25"/>
        <v>9.816753926701941E-4</v>
      </c>
    </row>
    <row r="804" spans="1:9" ht="14.25" customHeight="1" x14ac:dyDescent="0.3">
      <c r="A804" s="127">
        <v>45104</v>
      </c>
      <c r="B804" s="64">
        <v>18817.400000000001</v>
      </c>
      <c r="D804" s="127">
        <v>45104</v>
      </c>
      <c r="E804" s="64">
        <v>30.5</v>
      </c>
      <c r="H804" s="128">
        <f t="shared" si="24"/>
        <v>6.7518404382811504E-3</v>
      </c>
      <c r="I804" s="128">
        <f t="shared" si="25"/>
        <v>-2.9421379535795999E-3</v>
      </c>
    </row>
    <row r="805" spans="1:9" ht="14.25" customHeight="1" x14ac:dyDescent="0.3">
      <c r="A805" s="127">
        <v>45105</v>
      </c>
      <c r="B805" s="64">
        <v>18972.099999999999</v>
      </c>
      <c r="D805" s="127">
        <v>45105</v>
      </c>
      <c r="E805" s="64">
        <v>30.5</v>
      </c>
      <c r="H805" s="128">
        <f t="shared" si="24"/>
        <v>8.2211145004090404E-3</v>
      </c>
      <c r="I805" s="128">
        <f t="shared" si="25"/>
        <v>0</v>
      </c>
    </row>
    <row r="806" spans="1:9" ht="14.25" customHeight="1" x14ac:dyDescent="0.3">
      <c r="A806" s="127">
        <v>45107</v>
      </c>
      <c r="B806" s="64">
        <v>19189.05</v>
      </c>
      <c r="D806" s="127">
        <v>45107</v>
      </c>
      <c r="E806" s="64">
        <v>30.54</v>
      </c>
      <c r="H806" s="128">
        <f t="shared" si="24"/>
        <v>1.14352127597894E-2</v>
      </c>
      <c r="I806" s="128">
        <f t="shared" si="25"/>
        <v>1.31147540983604E-3</v>
      </c>
    </row>
    <row r="807" spans="1:9" ht="14.25" customHeight="1" x14ac:dyDescent="0.3">
      <c r="A807" s="127">
        <v>45110</v>
      </c>
      <c r="B807" s="64">
        <v>19322.55</v>
      </c>
      <c r="D807" s="127">
        <v>45110</v>
      </c>
      <c r="E807" s="64">
        <v>31.38</v>
      </c>
      <c r="H807" s="128">
        <f t="shared" si="24"/>
        <v>6.9570927169401303E-3</v>
      </c>
      <c r="I807" s="128">
        <f t="shared" si="25"/>
        <v>2.75049115913556E-2</v>
      </c>
    </row>
    <row r="808" spans="1:9" ht="14.25" customHeight="1" x14ac:dyDescent="0.3">
      <c r="A808" s="127">
        <v>45111</v>
      </c>
      <c r="B808" s="64">
        <v>19389</v>
      </c>
      <c r="D808" s="127">
        <v>45111</v>
      </c>
      <c r="E808" s="64">
        <v>31.26</v>
      </c>
      <c r="H808" s="128">
        <f t="shared" si="24"/>
        <v>3.4389870902132901E-3</v>
      </c>
      <c r="I808" s="128">
        <f t="shared" si="25"/>
        <v>-3.8240917782026E-3</v>
      </c>
    </row>
    <row r="809" spans="1:9" ht="14.25" customHeight="1" x14ac:dyDescent="0.3">
      <c r="A809" s="127">
        <v>45112</v>
      </c>
      <c r="B809" s="64">
        <v>19398.5</v>
      </c>
      <c r="D809" s="127">
        <v>45112</v>
      </c>
      <c r="E809" s="64">
        <v>31.38</v>
      </c>
      <c r="H809" s="128">
        <f t="shared" si="24"/>
        <v>4.8996853886224196E-4</v>
      </c>
      <c r="I809" s="128">
        <f t="shared" si="25"/>
        <v>3.8387715930901299E-3</v>
      </c>
    </row>
    <row r="810" spans="1:9" ht="14.25" customHeight="1" x14ac:dyDescent="0.3">
      <c r="A810" s="127">
        <v>45113</v>
      </c>
      <c r="B810" s="64">
        <v>19497.3</v>
      </c>
      <c r="D810" s="127">
        <v>45113</v>
      </c>
      <c r="E810" s="64">
        <v>31.25</v>
      </c>
      <c r="H810" s="128">
        <f t="shared" si="24"/>
        <v>5.0931773075237399E-3</v>
      </c>
      <c r="I810" s="128">
        <f t="shared" si="25"/>
        <v>-4.1427660930528701E-3</v>
      </c>
    </row>
    <row r="811" spans="1:9" ht="14.25" customHeight="1" x14ac:dyDescent="0.3">
      <c r="A811" s="127">
        <v>45114</v>
      </c>
      <c r="B811" s="64">
        <v>19331.8</v>
      </c>
      <c r="D811" s="127">
        <v>45114</v>
      </c>
      <c r="E811" s="64">
        <v>31.2</v>
      </c>
      <c r="H811" s="128">
        <f t="shared" si="24"/>
        <v>-8.4883547978437997E-3</v>
      </c>
      <c r="I811" s="128">
        <f t="shared" si="25"/>
        <v>-1.60000000000002E-3</v>
      </c>
    </row>
    <row r="812" spans="1:9" ht="14.25" customHeight="1" x14ac:dyDescent="0.3">
      <c r="A812" s="127">
        <v>45117</v>
      </c>
      <c r="B812" s="64">
        <v>19355.900000000001</v>
      </c>
      <c r="D812" s="127">
        <v>45117</v>
      </c>
      <c r="E812" s="64">
        <v>31.46</v>
      </c>
      <c r="H812" s="128">
        <f t="shared" si="24"/>
        <v>1.24665059642673E-3</v>
      </c>
      <c r="I812" s="128">
        <f t="shared" si="25"/>
        <v>8.3333333333333801E-3</v>
      </c>
    </row>
    <row r="813" spans="1:9" ht="14.25" customHeight="1" x14ac:dyDescent="0.3">
      <c r="A813" s="127">
        <v>45118</v>
      </c>
      <c r="B813" s="64">
        <v>19439.400000000001</v>
      </c>
      <c r="D813" s="127">
        <v>45118</v>
      </c>
      <c r="E813" s="64">
        <v>31.52</v>
      </c>
      <c r="H813" s="128">
        <f t="shared" si="24"/>
        <v>4.3139301194984499E-3</v>
      </c>
      <c r="I813" s="128">
        <f t="shared" si="25"/>
        <v>1.9071837253655001E-3</v>
      </c>
    </row>
    <row r="814" spans="1:9" ht="14.25" customHeight="1" x14ac:dyDescent="0.3">
      <c r="A814" s="127">
        <v>45119</v>
      </c>
      <c r="B814" s="64">
        <v>19384.3</v>
      </c>
      <c r="D814" s="127">
        <v>45119</v>
      </c>
      <c r="E814" s="64">
        <v>32.57</v>
      </c>
      <c r="H814" s="128">
        <f t="shared" si="24"/>
        <v>-2.8344496229308598E-3</v>
      </c>
      <c r="I814" s="128">
        <f t="shared" si="25"/>
        <v>3.3312182741116803E-2</v>
      </c>
    </row>
    <row r="815" spans="1:9" ht="14.25" customHeight="1" x14ac:dyDescent="0.3">
      <c r="A815" s="127">
        <v>45120</v>
      </c>
      <c r="B815" s="64">
        <v>19413.75</v>
      </c>
      <c r="D815" s="127">
        <v>45120</v>
      </c>
      <c r="E815" s="64">
        <v>32.53</v>
      </c>
      <c r="H815" s="128">
        <f t="shared" si="24"/>
        <v>1.51927075004002E-3</v>
      </c>
      <c r="I815" s="128">
        <f t="shared" si="25"/>
        <v>-1.22812404052807E-3</v>
      </c>
    </row>
    <row r="816" spans="1:9" ht="14.25" customHeight="1" x14ac:dyDescent="0.3">
      <c r="A816" s="127">
        <v>45121</v>
      </c>
      <c r="B816" s="64">
        <v>19564.5</v>
      </c>
      <c r="D816" s="127">
        <v>45121</v>
      </c>
      <c r="E816" s="64">
        <v>32.979999999999997</v>
      </c>
      <c r="H816" s="128">
        <f t="shared" si="24"/>
        <v>7.7651149314274699E-3</v>
      </c>
      <c r="I816" s="128">
        <f t="shared" si="25"/>
        <v>1.38333845680909E-2</v>
      </c>
    </row>
    <row r="817" spans="1:9" ht="14.25" customHeight="1" x14ac:dyDescent="0.3">
      <c r="A817" s="127">
        <v>45124</v>
      </c>
      <c r="B817" s="64">
        <v>19711.45</v>
      </c>
      <c r="D817" s="127">
        <v>45124</v>
      </c>
      <c r="E817" s="64">
        <v>33.130000000000003</v>
      </c>
      <c r="H817" s="128">
        <f t="shared" si="24"/>
        <v>7.5110531830611896E-3</v>
      </c>
      <c r="I817" s="128">
        <f t="shared" si="25"/>
        <v>4.5482110369922902E-3</v>
      </c>
    </row>
    <row r="818" spans="1:9" ht="14.25" customHeight="1" x14ac:dyDescent="0.3">
      <c r="A818" s="127">
        <v>45125</v>
      </c>
      <c r="B818" s="64">
        <v>19749.25</v>
      </c>
      <c r="D818" s="127">
        <v>45125</v>
      </c>
      <c r="E818" s="64">
        <v>32.520000000000003</v>
      </c>
      <c r="H818" s="128">
        <f t="shared" si="24"/>
        <v>1.9176671427012901E-3</v>
      </c>
      <c r="I818" s="128">
        <f t="shared" si="25"/>
        <v>-1.8412315122245702E-2</v>
      </c>
    </row>
    <row r="819" spans="1:9" ht="14.25" customHeight="1" x14ac:dyDescent="0.3">
      <c r="A819" s="127">
        <v>45126</v>
      </c>
      <c r="B819" s="64">
        <v>19833.150000000001</v>
      </c>
      <c r="D819" s="127">
        <v>45126</v>
      </c>
      <c r="E819" s="64">
        <v>32.619999999999997</v>
      </c>
      <c r="H819" s="128">
        <f t="shared" si="24"/>
        <v>4.2482625922504102E-3</v>
      </c>
      <c r="I819" s="128">
        <f t="shared" si="25"/>
        <v>3.07503075030733E-3</v>
      </c>
    </row>
    <row r="820" spans="1:9" ht="14.25" customHeight="1" x14ac:dyDescent="0.3">
      <c r="A820" s="127">
        <v>45127</v>
      </c>
      <c r="B820" s="64">
        <v>19979.150000000001</v>
      </c>
      <c r="D820" s="127">
        <v>45127</v>
      </c>
      <c r="E820" s="64">
        <v>32.4</v>
      </c>
      <c r="H820" s="128">
        <f t="shared" si="24"/>
        <v>7.3614125844860701E-3</v>
      </c>
      <c r="I820" s="128">
        <f t="shared" si="25"/>
        <v>-6.7443286327406203E-3</v>
      </c>
    </row>
    <row r="821" spans="1:9" ht="14.25" customHeight="1" x14ac:dyDescent="0.3">
      <c r="A821" s="127">
        <v>45128</v>
      </c>
      <c r="B821" s="64">
        <v>19745</v>
      </c>
      <c r="D821" s="127">
        <v>45128</v>
      </c>
      <c r="E821" s="64">
        <v>32.4</v>
      </c>
      <c r="H821" s="128">
        <f t="shared" si="24"/>
        <v>-1.17197178058126E-2</v>
      </c>
      <c r="I821" s="128">
        <f t="shared" si="25"/>
        <v>0</v>
      </c>
    </row>
    <row r="822" spans="1:9" ht="14.25" customHeight="1" x14ac:dyDescent="0.3">
      <c r="A822" s="127">
        <v>45131</v>
      </c>
      <c r="B822" s="64">
        <v>19672.349999999999</v>
      </c>
      <c r="D822" s="127">
        <v>45131</v>
      </c>
      <c r="E822" s="64">
        <v>32.4</v>
      </c>
      <c r="H822" s="128">
        <f t="shared" si="24"/>
        <v>-3.6794125094961501E-3</v>
      </c>
      <c r="I822" s="128">
        <f t="shared" si="25"/>
        <v>0</v>
      </c>
    </row>
    <row r="823" spans="1:9" ht="14.25" customHeight="1" x14ac:dyDescent="0.3">
      <c r="A823" s="127">
        <v>45132</v>
      </c>
      <c r="B823" s="64">
        <v>19680.599999999999</v>
      </c>
      <c r="D823" s="127">
        <v>45132</v>
      </c>
      <c r="E823" s="64">
        <v>32.75</v>
      </c>
      <c r="H823" s="128">
        <f t="shared" si="24"/>
        <v>4.19370334505029E-4</v>
      </c>
      <c r="I823" s="128">
        <f t="shared" si="25"/>
        <v>1.08024691358025E-2</v>
      </c>
    </row>
    <row r="824" spans="1:9" ht="14.25" customHeight="1" x14ac:dyDescent="0.3">
      <c r="A824" s="127">
        <v>45133</v>
      </c>
      <c r="B824" s="64">
        <v>19778.3</v>
      </c>
      <c r="D824" s="127">
        <v>45133</v>
      </c>
      <c r="E824" s="64">
        <v>32.81</v>
      </c>
      <c r="H824" s="128">
        <f t="shared" si="24"/>
        <v>4.96427954432287E-3</v>
      </c>
      <c r="I824" s="128">
        <f t="shared" si="25"/>
        <v>1.8320610687023601E-3</v>
      </c>
    </row>
    <row r="825" spans="1:9" ht="14.25" customHeight="1" x14ac:dyDescent="0.3">
      <c r="A825" s="127">
        <v>45134</v>
      </c>
      <c r="B825" s="64">
        <v>19659.900000000001</v>
      </c>
      <c r="D825" s="127">
        <v>45134</v>
      </c>
      <c r="E825" s="64">
        <v>32.75</v>
      </c>
      <c r="H825" s="128">
        <f t="shared" si="24"/>
        <v>-5.9863587871555098E-3</v>
      </c>
      <c r="I825" s="128">
        <f t="shared" si="25"/>
        <v>-1.8287107589150301E-3</v>
      </c>
    </row>
    <row r="826" spans="1:9" ht="14.25" customHeight="1" x14ac:dyDescent="0.3">
      <c r="A826" s="127">
        <v>45135</v>
      </c>
      <c r="B826" s="64">
        <v>19646.05</v>
      </c>
      <c r="D826" s="127">
        <v>45135</v>
      </c>
      <c r="E826" s="64">
        <v>32.85</v>
      </c>
      <c r="H826" s="128">
        <f t="shared" si="24"/>
        <v>-7.0447967690589401E-4</v>
      </c>
      <c r="I826" s="128">
        <f t="shared" si="25"/>
        <v>3.0534351145038601E-3</v>
      </c>
    </row>
    <row r="827" spans="1:9" ht="14.25" customHeight="1" x14ac:dyDescent="0.3">
      <c r="A827" s="127">
        <v>45138</v>
      </c>
      <c r="B827" s="64">
        <v>19753.8</v>
      </c>
      <c r="D827" s="127">
        <v>45138</v>
      </c>
      <c r="E827" s="64">
        <v>34.22</v>
      </c>
      <c r="H827" s="128">
        <f t="shared" si="24"/>
        <v>5.4845630546598396E-3</v>
      </c>
      <c r="I827" s="128">
        <f t="shared" si="25"/>
        <v>4.17047184170471E-2</v>
      </c>
    </row>
    <row r="828" spans="1:9" ht="14.25" customHeight="1" x14ac:dyDescent="0.3">
      <c r="A828" s="127">
        <v>45139</v>
      </c>
      <c r="B828" s="64">
        <v>19733.55</v>
      </c>
      <c r="D828" s="127">
        <v>45139</v>
      </c>
      <c r="E828" s="64">
        <v>34.11</v>
      </c>
      <c r="H828" s="128">
        <f t="shared" si="24"/>
        <v>-1.0251192175682699E-3</v>
      </c>
      <c r="I828" s="128">
        <f t="shared" si="25"/>
        <v>-3.2144944476913901E-3</v>
      </c>
    </row>
    <row r="829" spans="1:9" ht="14.25" customHeight="1" x14ac:dyDescent="0.3">
      <c r="A829" s="127">
        <v>45140</v>
      </c>
      <c r="B829" s="64">
        <v>19526.55</v>
      </c>
      <c r="D829" s="127">
        <v>45140</v>
      </c>
      <c r="E829" s="64">
        <v>33.200000000000003</v>
      </c>
      <c r="H829" s="128">
        <f t="shared" si="24"/>
        <v>-1.0489749690248301E-2</v>
      </c>
      <c r="I829" s="128">
        <f t="shared" si="25"/>
        <v>-2.6678393433010698E-2</v>
      </c>
    </row>
    <row r="830" spans="1:9" ht="14.25" customHeight="1" x14ac:dyDescent="0.3">
      <c r="A830" s="127">
        <v>45141</v>
      </c>
      <c r="B830" s="64">
        <v>19381.650000000001</v>
      </c>
      <c r="D830" s="127">
        <v>45141</v>
      </c>
      <c r="E830" s="64">
        <v>33.03</v>
      </c>
      <c r="H830" s="128">
        <f t="shared" si="24"/>
        <v>-7.4206657089960996E-3</v>
      </c>
      <c r="I830" s="128">
        <f t="shared" si="25"/>
        <v>-5.1204819277108904E-3</v>
      </c>
    </row>
    <row r="831" spans="1:9" ht="14.25" customHeight="1" x14ac:dyDescent="0.3">
      <c r="A831" s="127">
        <v>45142</v>
      </c>
      <c r="B831" s="64">
        <v>19517</v>
      </c>
      <c r="D831" s="127">
        <v>45142</v>
      </c>
      <c r="E831" s="64">
        <v>33.06</v>
      </c>
      <c r="H831" s="128">
        <f t="shared" si="24"/>
        <v>6.9834095652330204E-3</v>
      </c>
      <c r="I831" s="128">
        <f t="shared" si="25"/>
        <v>9.0826521344235895E-4</v>
      </c>
    </row>
    <row r="832" spans="1:9" ht="14.25" customHeight="1" x14ac:dyDescent="0.3">
      <c r="A832" s="127">
        <v>45145</v>
      </c>
      <c r="B832" s="64">
        <v>19597.3</v>
      </c>
      <c r="D832" s="127">
        <v>45145</v>
      </c>
      <c r="E832" s="64">
        <v>32.869999999999997</v>
      </c>
      <c r="H832" s="128">
        <f t="shared" si="24"/>
        <v>4.11436183839726E-3</v>
      </c>
      <c r="I832" s="128">
        <f t="shared" si="25"/>
        <v>-5.7471264367817496E-3</v>
      </c>
    </row>
    <row r="833" spans="1:9" ht="14.25" customHeight="1" x14ac:dyDescent="0.3">
      <c r="A833" s="127">
        <v>45146</v>
      </c>
      <c r="B833" s="64">
        <v>19570.849999999999</v>
      </c>
      <c r="D833" s="127">
        <v>45146</v>
      </c>
      <c r="E833" s="64">
        <v>32.49</v>
      </c>
      <c r="H833" s="128">
        <f t="shared" si="24"/>
        <v>-1.34967572063502E-3</v>
      </c>
      <c r="I833" s="128">
        <f t="shared" si="25"/>
        <v>-1.1560693641618399E-2</v>
      </c>
    </row>
    <row r="834" spans="1:9" ht="14.25" customHeight="1" x14ac:dyDescent="0.3">
      <c r="A834" s="127">
        <v>45147</v>
      </c>
      <c r="B834" s="64">
        <v>19632.55</v>
      </c>
      <c r="D834" s="127">
        <v>45147</v>
      </c>
      <c r="E834" s="64">
        <v>32.880000000000003</v>
      </c>
      <c r="H834" s="128">
        <f t="shared" si="24"/>
        <v>3.1526479432421599E-3</v>
      </c>
      <c r="I834" s="128">
        <f t="shared" si="25"/>
        <v>1.2003693444136701E-2</v>
      </c>
    </row>
    <row r="835" spans="1:9" ht="14.25" customHeight="1" x14ac:dyDescent="0.3">
      <c r="A835" s="127">
        <v>45148</v>
      </c>
      <c r="B835" s="64">
        <v>19543.099999999999</v>
      </c>
      <c r="D835" s="127">
        <v>45148</v>
      </c>
      <c r="E835" s="64">
        <v>33.19</v>
      </c>
      <c r="H835" s="128">
        <f t="shared" ref="H835:H898" si="26">(B835-B834)/B834</f>
        <v>-4.5562089489139604E-3</v>
      </c>
      <c r="I835" s="128">
        <f t="shared" ref="I835:I898" si="27">(E835-E834)/E834</f>
        <v>9.4282238442820899E-3</v>
      </c>
    </row>
    <row r="836" spans="1:9" ht="14.25" customHeight="1" x14ac:dyDescent="0.3">
      <c r="A836" s="127">
        <v>45149</v>
      </c>
      <c r="B836" s="64">
        <v>19428.3</v>
      </c>
      <c r="D836" s="127">
        <v>45149</v>
      </c>
      <c r="E836" s="64">
        <v>33.200000000000003</v>
      </c>
      <c r="H836" s="128">
        <f t="shared" si="26"/>
        <v>-5.8741960077981102E-3</v>
      </c>
      <c r="I836" s="128">
        <f t="shared" si="27"/>
        <v>3.0129557095526102E-4</v>
      </c>
    </row>
    <row r="837" spans="1:9" ht="14.25" customHeight="1" x14ac:dyDescent="0.3">
      <c r="A837" s="127">
        <v>45152</v>
      </c>
      <c r="B837" s="64">
        <v>19434.55</v>
      </c>
      <c r="D837" s="127">
        <v>45152</v>
      </c>
      <c r="E837" s="64">
        <v>34.65</v>
      </c>
      <c r="H837" s="128">
        <f t="shared" si="26"/>
        <v>3.2169567074834097E-4</v>
      </c>
      <c r="I837" s="128">
        <f t="shared" si="27"/>
        <v>4.36746987951806E-2</v>
      </c>
    </row>
    <row r="838" spans="1:9" ht="14.25" customHeight="1" x14ac:dyDescent="0.3">
      <c r="A838" s="127">
        <v>45154</v>
      </c>
      <c r="B838" s="64">
        <v>19465</v>
      </c>
      <c r="D838" s="127">
        <v>45154</v>
      </c>
      <c r="E838" s="64">
        <v>34.22</v>
      </c>
      <c r="H838" s="128">
        <f t="shared" si="26"/>
        <v>1.5667972759853301E-3</v>
      </c>
      <c r="I838" s="128">
        <f t="shared" si="27"/>
        <v>-1.24098124098124E-2</v>
      </c>
    </row>
    <row r="839" spans="1:9" ht="14.25" customHeight="1" x14ac:dyDescent="0.3">
      <c r="A839" s="127">
        <v>45155</v>
      </c>
      <c r="B839" s="64">
        <v>19365.25</v>
      </c>
      <c r="D839" s="127">
        <v>45155</v>
      </c>
      <c r="E839" s="64">
        <v>34.06</v>
      </c>
      <c r="H839" s="128">
        <f t="shared" si="26"/>
        <v>-5.1245825841253496E-3</v>
      </c>
      <c r="I839" s="128">
        <f t="shared" si="27"/>
        <v>-4.6756282875510397E-3</v>
      </c>
    </row>
    <row r="840" spans="1:9" ht="14.25" customHeight="1" x14ac:dyDescent="0.3">
      <c r="A840" s="127">
        <v>45156</v>
      </c>
      <c r="B840" s="64">
        <v>19310.150000000001</v>
      </c>
      <c r="D840" s="127">
        <v>45156</v>
      </c>
      <c r="E840" s="64">
        <v>33.64</v>
      </c>
      <c r="H840" s="128">
        <f t="shared" si="26"/>
        <v>-2.8453027975367498E-3</v>
      </c>
      <c r="I840" s="128">
        <f t="shared" si="27"/>
        <v>-1.23311802701116E-2</v>
      </c>
    </row>
    <row r="841" spans="1:9" ht="14.25" customHeight="1" x14ac:dyDescent="0.3">
      <c r="A841" s="127">
        <v>45159</v>
      </c>
      <c r="B841" s="64">
        <v>19393.599999999999</v>
      </c>
      <c r="D841" s="127">
        <v>45159</v>
      </c>
      <c r="E841" s="64">
        <v>34.590000000000003</v>
      </c>
      <c r="H841" s="128">
        <f t="shared" si="26"/>
        <v>4.3215614586109901E-3</v>
      </c>
      <c r="I841" s="128">
        <f t="shared" si="27"/>
        <v>2.8240190249702798E-2</v>
      </c>
    </row>
    <row r="842" spans="1:9" ht="14.25" customHeight="1" x14ac:dyDescent="0.3">
      <c r="A842" s="127">
        <v>45160</v>
      </c>
      <c r="B842" s="64">
        <v>19396.45</v>
      </c>
      <c r="D842" s="127">
        <v>45160</v>
      </c>
      <c r="E842" s="64">
        <v>35.29</v>
      </c>
      <c r="H842" s="128">
        <f t="shared" si="26"/>
        <v>1.4695569672480501E-4</v>
      </c>
      <c r="I842" s="128">
        <f t="shared" si="27"/>
        <v>2.0237062734894399E-2</v>
      </c>
    </row>
    <row r="843" spans="1:9" ht="14.25" customHeight="1" x14ac:dyDescent="0.3">
      <c r="A843" s="127">
        <v>45161</v>
      </c>
      <c r="B843" s="64">
        <v>19444</v>
      </c>
      <c r="D843" s="127">
        <v>45161</v>
      </c>
      <c r="E843" s="64">
        <v>35.71</v>
      </c>
      <c r="H843" s="128">
        <f t="shared" si="26"/>
        <v>2.4514795233147998E-3</v>
      </c>
      <c r="I843" s="128">
        <f t="shared" si="27"/>
        <v>1.1901388495324501E-2</v>
      </c>
    </row>
    <row r="844" spans="1:9" ht="14.25" customHeight="1" x14ac:dyDescent="0.3">
      <c r="A844" s="127">
        <v>45162</v>
      </c>
      <c r="B844" s="64">
        <v>19386.7</v>
      </c>
      <c r="D844" s="127">
        <v>45162</v>
      </c>
      <c r="E844" s="64">
        <v>35.33</v>
      </c>
      <c r="H844" s="128">
        <f t="shared" si="26"/>
        <v>-2.9469245011314199E-3</v>
      </c>
      <c r="I844" s="128">
        <f t="shared" si="27"/>
        <v>-1.06412769532345E-2</v>
      </c>
    </row>
    <row r="845" spans="1:9" ht="14.25" customHeight="1" x14ac:dyDescent="0.3">
      <c r="A845" s="127">
        <v>45163</v>
      </c>
      <c r="B845" s="64">
        <v>19265.8</v>
      </c>
      <c r="D845" s="127">
        <v>45163</v>
      </c>
      <c r="E845" s="64">
        <v>34.85</v>
      </c>
      <c r="H845" s="128">
        <f t="shared" si="26"/>
        <v>-6.2362341192674104E-3</v>
      </c>
      <c r="I845" s="128">
        <f t="shared" si="27"/>
        <v>-1.3586187376167499E-2</v>
      </c>
    </row>
    <row r="846" spans="1:9" ht="14.25" customHeight="1" x14ac:dyDescent="0.3">
      <c r="A846" s="127">
        <v>45166</v>
      </c>
      <c r="B846" s="64">
        <v>19306.05</v>
      </c>
      <c r="D846" s="127">
        <v>45166</v>
      </c>
      <c r="E846" s="64">
        <v>35.71</v>
      </c>
      <c r="H846" s="128">
        <f t="shared" si="26"/>
        <v>2.0891943236200899E-3</v>
      </c>
      <c r="I846" s="128">
        <f t="shared" si="27"/>
        <v>2.46771879483501E-2</v>
      </c>
    </row>
    <row r="847" spans="1:9" ht="14.25" customHeight="1" x14ac:dyDescent="0.3">
      <c r="A847" s="127">
        <v>45167</v>
      </c>
      <c r="B847" s="64">
        <v>19342.650000000001</v>
      </c>
      <c r="D847" s="127">
        <v>45167</v>
      </c>
      <c r="E847" s="64">
        <v>35.840000000000003</v>
      </c>
      <c r="H847" s="128">
        <f t="shared" si="26"/>
        <v>1.8957787843708199E-3</v>
      </c>
      <c r="I847" s="128">
        <f t="shared" si="27"/>
        <v>3.6404368524223601E-3</v>
      </c>
    </row>
    <row r="848" spans="1:9" ht="14.25" customHeight="1" x14ac:dyDescent="0.3">
      <c r="A848" s="127">
        <v>45168</v>
      </c>
      <c r="B848" s="64">
        <v>19347.45</v>
      </c>
      <c r="D848" s="127">
        <v>45168</v>
      </c>
      <c r="E848" s="64">
        <v>36.06</v>
      </c>
      <c r="H848" s="128">
        <f t="shared" si="26"/>
        <v>2.4815627641503499E-4</v>
      </c>
      <c r="I848" s="128">
        <f t="shared" si="27"/>
        <v>6.1383928571428197E-3</v>
      </c>
    </row>
    <row r="849" spans="1:9" ht="14.25" customHeight="1" x14ac:dyDescent="0.3">
      <c r="A849" s="127">
        <v>45169</v>
      </c>
      <c r="B849" s="64">
        <v>19253.8</v>
      </c>
      <c r="D849" s="127">
        <v>45169</v>
      </c>
      <c r="E849" s="64">
        <v>36.76</v>
      </c>
      <c r="H849" s="128">
        <f t="shared" si="26"/>
        <v>-4.8404311679317701E-3</v>
      </c>
      <c r="I849" s="128">
        <f t="shared" si="27"/>
        <v>1.94120909595118E-2</v>
      </c>
    </row>
    <row r="850" spans="1:9" ht="14.25" customHeight="1" x14ac:dyDescent="0.3">
      <c r="A850" s="127">
        <v>45170</v>
      </c>
      <c r="B850" s="64">
        <v>19435.3</v>
      </c>
      <c r="D850" s="127">
        <v>45170</v>
      </c>
      <c r="E850" s="64">
        <v>38.99</v>
      </c>
      <c r="H850" s="128">
        <f t="shared" si="26"/>
        <v>9.4267105714196699E-3</v>
      </c>
      <c r="I850" s="128">
        <f t="shared" si="27"/>
        <v>6.0663764961915202E-2</v>
      </c>
    </row>
    <row r="851" spans="1:9" ht="14.25" customHeight="1" x14ac:dyDescent="0.3">
      <c r="A851" s="127">
        <v>45173</v>
      </c>
      <c r="B851" s="64">
        <v>19528.8</v>
      </c>
      <c r="D851" s="127">
        <v>45173</v>
      </c>
      <c r="E851" s="64">
        <v>41.23</v>
      </c>
      <c r="H851" s="128">
        <f t="shared" si="26"/>
        <v>4.8108338950260598E-3</v>
      </c>
      <c r="I851" s="128">
        <f t="shared" si="27"/>
        <v>5.7450628366247598E-2</v>
      </c>
    </row>
    <row r="852" spans="1:9" ht="14.25" customHeight="1" x14ac:dyDescent="0.3">
      <c r="A852" s="127">
        <v>45174</v>
      </c>
      <c r="B852" s="64">
        <v>19574.900000000001</v>
      </c>
      <c r="D852" s="127">
        <v>45174</v>
      </c>
      <c r="E852" s="64">
        <v>42.81</v>
      </c>
      <c r="H852" s="128">
        <f t="shared" si="26"/>
        <v>2.3606161156856601E-3</v>
      </c>
      <c r="I852" s="128">
        <f t="shared" si="27"/>
        <v>3.8321610477807598E-2</v>
      </c>
    </row>
    <row r="853" spans="1:9" ht="14.25" customHeight="1" x14ac:dyDescent="0.3">
      <c r="A853" s="127">
        <v>45175</v>
      </c>
      <c r="B853" s="64">
        <v>19611.05</v>
      </c>
      <c r="D853" s="127">
        <v>45175</v>
      </c>
      <c r="E853" s="64">
        <v>42.46</v>
      </c>
      <c r="H853" s="128">
        <f t="shared" si="26"/>
        <v>1.84675272926032E-3</v>
      </c>
      <c r="I853" s="128">
        <f t="shared" si="27"/>
        <v>-8.1756598925485004E-3</v>
      </c>
    </row>
    <row r="854" spans="1:9" ht="14.25" customHeight="1" x14ac:dyDescent="0.3">
      <c r="A854" s="127">
        <v>45176</v>
      </c>
      <c r="B854" s="64">
        <v>19727.05</v>
      </c>
      <c r="D854" s="127">
        <v>45176</v>
      </c>
      <c r="E854" s="64">
        <v>42.69</v>
      </c>
      <c r="H854" s="128">
        <f t="shared" si="26"/>
        <v>5.9150325964188602E-3</v>
      </c>
      <c r="I854" s="128">
        <f t="shared" si="27"/>
        <v>5.4168629298162203E-3</v>
      </c>
    </row>
    <row r="855" spans="1:9" ht="14.25" customHeight="1" x14ac:dyDescent="0.3">
      <c r="A855" s="127">
        <v>45177</v>
      </c>
      <c r="B855" s="64">
        <v>19819.95</v>
      </c>
      <c r="D855" s="127">
        <v>45177</v>
      </c>
      <c r="E855" s="64">
        <v>42.54</v>
      </c>
      <c r="H855" s="128">
        <f t="shared" si="26"/>
        <v>4.7092697590365197E-3</v>
      </c>
      <c r="I855" s="128">
        <f t="shared" si="27"/>
        <v>-3.5137034434293401E-3</v>
      </c>
    </row>
    <row r="856" spans="1:9" ht="14.25" customHeight="1" x14ac:dyDescent="0.3">
      <c r="A856" s="127">
        <v>45180</v>
      </c>
      <c r="B856" s="64">
        <v>19996.349999999999</v>
      </c>
      <c r="D856" s="127">
        <v>45180</v>
      </c>
      <c r="E856" s="64">
        <v>43.17</v>
      </c>
      <c r="H856" s="128">
        <f t="shared" si="26"/>
        <v>8.9001233605532706E-3</v>
      </c>
      <c r="I856" s="128">
        <f t="shared" si="27"/>
        <v>1.48095909732018E-2</v>
      </c>
    </row>
    <row r="857" spans="1:9" ht="14.25" customHeight="1" x14ac:dyDescent="0.3">
      <c r="A857" s="127">
        <v>45181</v>
      </c>
      <c r="B857" s="64">
        <v>19993.2</v>
      </c>
      <c r="D857" s="127">
        <v>45181</v>
      </c>
      <c r="E857" s="64">
        <v>40.78</v>
      </c>
      <c r="H857" s="128">
        <f t="shared" si="26"/>
        <v>-1.57528748996583E-4</v>
      </c>
      <c r="I857" s="128">
        <f t="shared" si="27"/>
        <v>-5.5362520268705098E-2</v>
      </c>
    </row>
    <row r="858" spans="1:9" ht="14.25" customHeight="1" x14ac:dyDescent="0.3">
      <c r="A858" s="127">
        <v>45182</v>
      </c>
      <c r="B858" s="64">
        <v>20070</v>
      </c>
      <c r="D858" s="127">
        <v>45182</v>
      </c>
      <c r="E858" s="64">
        <v>42.48</v>
      </c>
      <c r="H858" s="128">
        <f t="shared" si="26"/>
        <v>3.8413060440549399E-3</v>
      </c>
      <c r="I858" s="128">
        <f t="shared" si="27"/>
        <v>4.1687101520353001E-2</v>
      </c>
    </row>
    <row r="859" spans="1:9" ht="14.25" customHeight="1" x14ac:dyDescent="0.3">
      <c r="A859" s="127">
        <v>45183</v>
      </c>
      <c r="B859" s="64">
        <v>20103.099999999999</v>
      </c>
      <c r="D859" s="127">
        <v>45183</v>
      </c>
      <c r="E859" s="64">
        <v>44.88</v>
      </c>
      <c r="H859" s="128">
        <f t="shared" si="26"/>
        <v>1.6492277030392901E-3</v>
      </c>
      <c r="I859" s="128">
        <f t="shared" si="27"/>
        <v>5.6497175141243097E-2</v>
      </c>
    </row>
    <row r="860" spans="1:9" ht="14.25" customHeight="1" x14ac:dyDescent="0.3">
      <c r="A860" s="127">
        <v>45184</v>
      </c>
      <c r="B860" s="64">
        <v>20192.349999999999</v>
      </c>
      <c r="D860" s="127">
        <v>45184</v>
      </c>
      <c r="E860" s="64">
        <v>44.79</v>
      </c>
      <c r="H860" s="128">
        <f t="shared" si="26"/>
        <v>4.4396137909078698E-3</v>
      </c>
      <c r="I860" s="128">
        <f t="shared" si="27"/>
        <v>-2.0053475935829599E-3</v>
      </c>
    </row>
    <row r="861" spans="1:9" ht="14.25" customHeight="1" x14ac:dyDescent="0.3">
      <c r="A861" s="127">
        <v>45187</v>
      </c>
      <c r="B861" s="64">
        <v>20133.3</v>
      </c>
      <c r="D861" s="127">
        <v>45187</v>
      </c>
      <c r="E861" s="64">
        <v>44.47</v>
      </c>
      <c r="H861" s="128">
        <f t="shared" si="26"/>
        <v>-2.9243748251193799E-3</v>
      </c>
      <c r="I861" s="128">
        <f t="shared" si="27"/>
        <v>-7.1444518865818301E-3</v>
      </c>
    </row>
    <row r="862" spans="1:9" ht="14.25" customHeight="1" x14ac:dyDescent="0.3">
      <c r="A862" s="127">
        <v>45189</v>
      </c>
      <c r="B862" s="64">
        <v>19901.400000000001</v>
      </c>
      <c r="D862" s="127">
        <v>45189</v>
      </c>
      <c r="E862" s="64">
        <v>44.23</v>
      </c>
      <c r="H862" s="128">
        <f t="shared" si="26"/>
        <v>-1.1518230990448601E-2</v>
      </c>
      <c r="I862" s="128">
        <f t="shared" si="27"/>
        <v>-5.3968967843490397E-3</v>
      </c>
    </row>
    <row r="863" spans="1:9" ht="14.25" customHeight="1" x14ac:dyDescent="0.3">
      <c r="A863" s="127">
        <v>45190</v>
      </c>
      <c r="B863" s="64">
        <v>19742.349999999999</v>
      </c>
      <c r="D863" s="127">
        <v>45190</v>
      </c>
      <c r="E863" s="64">
        <v>43.01</v>
      </c>
      <c r="H863" s="128">
        <f t="shared" si="26"/>
        <v>-7.9919000673320893E-3</v>
      </c>
      <c r="I863" s="128">
        <f t="shared" si="27"/>
        <v>-2.7583088401537399E-2</v>
      </c>
    </row>
    <row r="864" spans="1:9" ht="14.25" customHeight="1" x14ac:dyDescent="0.3">
      <c r="A864" s="127">
        <v>45191</v>
      </c>
      <c r="B864" s="64">
        <v>19674.25</v>
      </c>
      <c r="D864" s="127">
        <v>45191</v>
      </c>
      <c r="E864" s="64">
        <v>42.78</v>
      </c>
      <c r="H864" s="128">
        <f t="shared" si="26"/>
        <v>-3.4494373770092498E-3</v>
      </c>
      <c r="I864" s="128">
        <f t="shared" si="27"/>
        <v>-5.34759358288763E-3</v>
      </c>
    </row>
    <row r="865" spans="1:9" ht="14.25" customHeight="1" x14ac:dyDescent="0.3">
      <c r="A865" s="127">
        <v>45194</v>
      </c>
      <c r="B865" s="64">
        <v>19674.55</v>
      </c>
      <c r="D865" s="127">
        <v>45194</v>
      </c>
      <c r="E865" s="64">
        <v>42.75</v>
      </c>
      <c r="H865" s="128">
        <f t="shared" si="26"/>
        <v>1.5248357624777199E-5</v>
      </c>
      <c r="I865" s="128">
        <f t="shared" si="27"/>
        <v>-7.0126227208978801E-4</v>
      </c>
    </row>
    <row r="866" spans="1:9" ht="14.25" customHeight="1" x14ac:dyDescent="0.3">
      <c r="A866" s="127">
        <v>45195</v>
      </c>
      <c r="B866" s="64">
        <v>19664.7</v>
      </c>
      <c r="D866" s="127">
        <v>45195</v>
      </c>
      <c r="E866" s="64">
        <v>42.74</v>
      </c>
      <c r="H866" s="128">
        <f t="shared" si="26"/>
        <v>-5.00646774640261E-4</v>
      </c>
      <c r="I866" s="128">
        <f t="shared" si="27"/>
        <v>-2.3391812865492399E-4</v>
      </c>
    </row>
    <row r="867" spans="1:9" ht="14.25" customHeight="1" x14ac:dyDescent="0.3">
      <c r="A867" s="127">
        <v>45196</v>
      </c>
      <c r="B867" s="64">
        <v>19716.45</v>
      </c>
      <c r="D867" s="127">
        <v>45196</v>
      </c>
      <c r="E867" s="64">
        <v>42.56</v>
      </c>
      <c r="H867" s="128">
        <f t="shared" si="26"/>
        <v>2.6316190941128E-3</v>
      </c>
      <c r="I867" s="128">
        <f t="shared" si="27"/>
        <v>-4.21151146467009E-3</v>
      </c>
    </row>
    <row r="868" spans="1:9" ht="14.25" customHeight="1" x14ac:dyDescent="0.3">
      <c r="A868" s="127">
        <v>45197</v>
      </c>
      <c r="B868" s="64">
        <v>19523.55</v>
      </c>
      <c r="D868" s="127">
        <v>45197</v>
      </c>
      <c r="E868" s="64">
        <v>42.4</v>
      </c>
      <c r="H868" s="128">
        <f t="shared" si="26"/>
        <v>-9.78370852765084E-3</v>
      </c>
      <c r="I868" s="128">
        <f t="shared" si="27"/>
        <v>-3.7593984962406902E-3</v>
      </c>
    </row>
    <row r="869" spans="1:9" ht="14.25" customHeight="1" x14ac:dyDescent="0.3">
      <c r="A869" s="127">
        <v>45198</v>
      </c>
      <c r="B869" s="64">
        <v>19638.3</v>
      </c>
      <c r="D869" s="127">
        <v>45198</v>
      </c>
      <c r="E869" s="64">
        <v>44.2</v>
      </c>
      <c r="H869" s="128">
        <f t="shared" si="26"/>
        <v>5.8775171523621503E-3</v>
      </c>
      <c r="I869" s="128">
        <f t="shared" si="27"/>
        <v>4.2452830188679298E-2</v>
      </c>
    </row>
    <row r="870" spans="1:9" ht="14.25" customHeight="1" x14ac:dyDescent="0.3">
      <c r="A870" s="127">
        <v>45202</v>
      </c>
      <c r="B870" s="64">
        <v>19528.75</v>
      </c>
      <c r="D870" s="127">
        <v>45202</v>
      </c>
      <c r="E870" s="64">
        <v>44.23</v>
      </c>
      <c r="H870" s="128">
        <f t="shared" si="26"/>
        <v>-5.5783850944327801E-3</v>
      </c>
      <c r="I870" s="128">
        <f t="shared" si="27"/>
        <v>6.7873303167407303E-4</v>
      </c>
    </row>
    <row r="871" spans="1:9" ht="14.25" customHeight="1" x14ac:dyDescent="0.3">
      <c r="A871" s="127">
        <v>45203</v>
      </c>
      <c r="B871" s="64">
        <v>19436.099999999999</v>
      </c>
      <c r="D871" s="127">
        <v>45203</v>
      </c>
      <c r="E871" s="64">
        <v>43.56</v>
      </c>
      <c r="H871" s="128">
        <f t="shared" si="26"/>
        <v>-4.7442872687704796E-3</v>
      </c>
      <c r="I871" s="128">
        <f t="shared" si="27"/>
        <v>-1.5148089531991701E-2</v>
      </c>
    </row>
    <row r="872" spans="1:9" ht="14.25" customHeight="1" x14ac:dyDescent="0.3">
      <c r="A872" s="127">
        <v>45204</v>
      </c>
      <c r="B872" s="64">
        <v>19545.75</v>
      </c>
      <c r="D872" s="127">
        <v>45204</v>
      </c>
      <c r="E872" s="64">
        <v>43.68</v>
      </c>
      <c r="H872" s="128">
        <f t="shared" si="26"/>
        <v>5.6415638939911498E-3</v>
      </c>
      <c r="I872" s="128">
        <f t="shared" si="27"/>
        <v>2.75482093663906E-3</v>
      </c>
    </row>
    <row r="873" spans="1:9" ht="14.25" customHeight="1" x14ac:dyDescent="0.3">
      <c r="A873" s="127">
        <v>45205</v>
      </c>
      <c r="B873" s="64">
        <v>19653.5</v>
      </c>
      <c r="D873" s="127">
        <v>45205</v>
      </c>
      <c r="E873" s="64">
        <v>43.56</v>
      </c>
      <c r="H873" s="128">
        <f t="shared" si="26"/>
        <v>5.5127073660514404E-3</v>
      </c>
      <c r="I873" s="128">
        <f t="shared" si="27"/>
        <v>-2.7472527472526898E-3</v>
      </c>
    </row>
    <row r="874" spans="1:9" ht="14.25" customHeight="1" x14ac:dyDescent="0.3">
      <c r="A874" s="127">
        <v>45208</v>
      </c>
      <c r="B874" s="64">
        <v>19512.349999999999</v>
      </c>
      <c r="D874" s="127">
        <v>45208</v>
      </c>
      <c r="E874" s="64">
        <v>42.77</v>
      </c>
      <c r="H874" s="128">
        <f t="shared" si="26"/>
        <v>-7.1819268832524199E-3</v>
      </c>
      <c r="I874" s="128">
        <f t="shared" si="27"/>
        <v>-1.8135904499540799E-2</v>
      </c>
    </row>
    <row r="875" spans="1:9" ht="14.25" customHeight="1" x14ac:dyDescent="0.3">
      <c r="A875" s="127">
        <v>45209</v>
      </c>
      <c r="B875" s="64">
        <v>19689.849999999999</v>
      </c>
      <c r="D875" s="127">
        <v>45209</v>
      </c>
      <c r="E875" s="64">
        <v>44.89</v>
      </c>
      <c r="H875" s="128">
        <f t="shared" si="26"/>
        <v>9.0968027941278201E-3</v>
      </c>
      <c r="I875" s="128">
        <f t="shared" si="27"/>
        <v>4.9567453822772903E-2</v>
      </c>
    </row>
    <row r="876" spans="1:9" ht="14.25" customHeight="1" x14ac:dyDescent="0.3">
      <c r="A876" s="127">
        <v>45210</v>
      </c>
      <c r="B876" s="64">
        <v>19811.349999999999</v>
      </c>
      <c r="D876" s="127">
        <v>45210</v>
      </c>
      <c r="E876" s="64">
        <v>44.9</v>
      </c>
      <c r="H876" s="128">
        <f t="shared" si="26"/>
        <v>6.1706920062875002E-3</v>
      </c>
      <c r="I876" s="128">
        <f t="shared" si="27"/>
        <v>2.2276676319888601E-4</v>
      </c>
    </row>
    <row r="877" spans="1:9" ht="14.25" customHeight="1" x14ac:dyDescent="0.3">
      <c r="A877" s="127">
        <v>45211</v>
      </c>
      <c r="B877" s="64">
        <v>19794</v>
      </c>
      <c r="D877" s="127">
        <v>45211</v>
      </c>
      <c r="E877" s="64">
        <v>47.5</v>
      </c>
      <c r="H877" s="128">
        <f t="shared" si="26"/>
        <v>-8.7576061197235696E-4</v>
      </c>
      <c r="I877" s="128">
        <f t="shared" si="27"/>
        <v>5.7906458797327399E-2</v>
      </c>
    </row>
    <row r="878" spans="1:9" ht="14.25" customHeight="1" x14ac:dyDescent="0.3">
      <c r="A878" s="127">
        <v>45212</v>
      </c>
      <c r="B878" s="64">
        <v>19751.05</v>
      </c>
      <c r="D878" s="127">
        <v>45212</v>
      </c>
      <c r="E878" s="64">
        <v>47.77</v>
      </c>
      <c r="H878" s="128">
        <f t="shared" si="26"/>
        <v>-2.16984944932812E-3</v>
      </c>
      <c r="I878" s="128">
        <f t="shared" si="27"/>
        <v>5.6842105263158497E-3</v>
      </c>
    </row>
    <row r="879" spans="1:9" ht="14.25" customHeight="1" x14ac:dyDescent="0.3">
      <c r="A879" s="127">
        <v>45215</v>
      </c>
      <c r="B879" s="64">
        <v>19731.75</v>
      </c>
      <c r="D879" s="127">
        <v>45215</v>
      </c>
      <c r="E879" s="64">
        <v>49.37</v>
      </c>
      <c r="H879" s="128">
        <f t="shared" si="26"/>
        <v>-9.7716323942267794E-4</v>
      </c>
      <c r="I879" s="128">
        <f t="shared" si="27"/>
        <v>3.3493824576093699E-2</v>
      </c>
    </row>
    <row r="880" spans="1:9" ht="14.25" customHeight="1" x14ac:dyDescent="0.3">
      <c r="A880" s="127">
        <v>45216</v>
      </c>
      <c r="B880" s="64">
        <v>19811.5</v>
      </c>
      <c r="D880" s="127">
        <v>45216</v>
      </c>
      <c r="E880" s="64">
        <v>49.36</v>
      </c>
      <c r="H880" s="128">
        <f t="shared" si="26"/>
        <v>4.04170942769901E-3</v>
      </c>
      <c r="I880" s="128">
        <f t="shared" si="27"/>
        <v>-2.02552157180434E-4</v>
      </c>
    </row>
    <row r="881" spans="1:9" ht="14.25" customHeight="1" x14ac:dyDescent="0.3">
      <c r="A881" s="127">
        <v>45217</v>
      </c>
      <c r="B881" s="64">
        <v>19671.099999999999</v>
      </c>
      <c r="D881" s="127">
        <v>45217</v>
      </c>
      <c r="E881" s="64">
        <v>48.3</v>
      </c>
      <c r="H881" s="128">
        <f t="shared" si="26"/>
        <v>-7.0867930242536599E-3</v>
      </c>
      <c r="I881" s="128">
        <f t="shared" si="27"/>
        <v>-2.14748784440843E-2</v>
      </c>
    </row>
    <row r="882" spans="1:9" ht="14.25" customHeight="1" x14ac:dyDescent="0.3">
      <c r="A882" s="127">
        <v>45218</v>
      </c>
      <c r="B882" s="64">
        <v>19624.7</v>
      </c>
      <c r="D882" s="127">
        <v>45218</v>
      </c>
      <c r="E882" s="64">
        <v>48.82</v>
      </c>
      <c r="H882" s="128">
        <f t="shared" si="26"/>
        <v>-2.3587903065917901E-3</v>
      </c>
      <c r="I882" s="128">
        <f t="shared" si="27"/>
        <v>1.0766045548654299E-2</v>
      </c>
    </row>
    <row r="883" spans="1:9" ht="14.25" customHeight="1" x14ac:dyDescent="0.3">
      <c r="A883" s="127">
        <v>45219</v>
      </c>
      <c r="B883" s="64">
        <v>19542.650000000001</v>
      </c>
      <c r="D883" s="127">
        <v>45219</v>
      </c>
      <c r="E883" s="64">
        <v>47.22</v>
      </c>
      <c r="H883" s="128">
        <f t="shared" si="26"/>
        <v>-4.1809556324427502E-3</v>
      </c>
      <c r="I883" s="128">
        <f t="shared" si="27"/>
        <v>-3.2773453502662898E-2</v>
      </c>
    </row>
    <row r="884" spans="1:9" ht="14.25" customHeight="1" x14ac:dyDescent="0.3">
      <c r="A884" s="127">
        <v>45222</v>
      </c>
      <c r="B884" s="64">
        <v>19281.75</v>
      </c>
      <c r="D884" s="127">
        <v>45222</v>
      </c>
      <c r="E884" s="64">
        <v>45.16</v>
      </c>
      <c r="H884" s="128">
        <f t="shared" si="26"/>
        <v>-1.3350287704073E-2</v>
      </c>
      <c r="I884" s="128">
        <f t="shared" si="27"/>
        <v>-4.3625582380347402E-2</v>
      </c>
    </row>
    <row r="885" spans="1:9" ht="14.25" customHeight="1" x14ac:dyDescent="0.3">
      <c r="A885" s="127">
        <v>45224</v>
      </c>
      <c r="B885" s="64">
        <v>19122.150000000001</v>
      </c>
      <c r="D885" s="127">
        <v>45224</v>
      </c>
      <c r="E885" s="64">
        <v>45.7</v>
      </c>
      <c r="H885" s="128">
        <f t="shared" si="26"/>
        <v>-8.2772569917148892E-3</v>
      </c>
      <c r="I885" s="128">
        <f t="shared" si="27"/>
        <v>1.1957484499557299E-2</v>
      </c>
    </row>
    <row r="886" spans="1:9" ht="14.25" customHeight="1" x14ac:dyDescent="0.3">
      <c r="A886" s="127">
        <v>45225</v>
      </c>
      <c r="B886" s="64">
        <v>18857.25</v>
      </c>
      <c r="D886" s="127">
        <v>45225</v>
      </c>
      <c r="E886" s="64">
        <v>45.43</v>
      </c>
      <c r="H886" s="128">
        <f t="shared" si="26"/>
        <v>-1.3853044767455599E-2</v>
      </c>
      <c r="I886" s="128">
        <f t="shared" si="27"/>
        <v>-5.9080962800875996E-3</v>
      </c>
    </row>
    <row r="887" spans="1:9" ht="14.25" customHeight="1" x14ac:dyDescent="0.3">
      <c r="A887" s="127">
        <v>45226</v>
      </c>
      <c r="B887" s="64">
        <v>19047.25</v>
      </c>
      <c r="D887" s="127">
        <v>45226</v>
      </c>
      <c r="E887" s="64">
        <v>46.13</v>
      </c>
      <c r="H887" s="128">
        <f t="shared" si="26"/>
        <v>1.00757003274603E-2</v>
      </c>
      <c r="I887" s="128">
        <f t="shared" si="27"/>
        <v>1.5408320493066299E-2</v>
      </c>
    </row>
    <row r="888" spans="1:9" ht="14.25" customHeight="1" x14ac:dyDescent="0.3">
      <c r="A888" s="127">
        <v>45229</v>
      </c>
      <c r="B888" s="64">
        <v>19140.900000000001</v>
      </c>
      <c r="D888" s="127">
        <v>45229</v>
      </c>
      <c r="E888" s="64">
        <v>46.58</v>
      </c>
      <c r="H888" s="128">
        <f t="shared" si="26"/>
        <v>4.9167202614551399E-3</v>
      </c>
      <c r="I888" s="128">
        <f t="shared" si="27"/>
        <v>9.7550401040536697E-3</v>
      </c>
    </row>
    <row r="889" spans="1:9" ht="14.25" customHeight="1" x14ac:dyDescent="0.3">
      <c r="A889" s="127">
        <v>45230</v>
      </c>
      <c r="B889" s="64">
        <v>19079.599999999999</v>
      </c>
      <c r="D889" s="127">
        <v>45230</v>
      </c>
      <c r="E889" s="64">
        <v>46.07</v>
      </c>
      <c r="H889" s="128">
        <f t="shared" si="26"/>
        <v>-3.2025662325179502E-3</v>
      </c>
      <c r="I889" s="128">
        <f t="shared" si="27"/>
        <v>-1.0948905109489E-2</v>
      </c>
    </row>
    <row r="890" spans="1:9" ht="14.25" customHeight="1" x14ac:dyDescent="0.3">
      <c r="A890" s="127">
        <v>45231</v>
      </c>
      <c r="B890" s="64">
        <v>18989.150000000001</v>
      </c>
      <c r="D890" s="127">
        <v>45231</v>
      </c>
      <c r="E890" s="64">
        <v>45.91</v>
      </c>
      <c r="H890" s="128">
        <f t="shared" si="26"/>
        <v>-4.74066542275504E-3</v>
      </c>
      <c r="I890" s="128">
        <f t="shared" si="27"/>
        <v>-3.4729759062297298E-3</v>
      </c>
    </row>
    <row r="891" spans="1:9" ht="14.25" customHeight="1" x14ac:dyDescent="0.3">
      <c r="A891" s="127">
        <v>45232</v>
      </c>
      <c r="B891" s="64">
        <v>19133.25</v>
      </c>
      <c r="D891" s="127">
        <v>45232</v>
      </c>
      <c r="E891" s="64">
        <v>47.77</v>
      </c>
      <c r="H891" s="128">
        <f t="shared" si="26"/>
        <v>7.5885439843278203E-3</v>
      </c>
      <c r="I891" s="128">
        <f t="shared" si="27"/>
        <v>4.0514049226748103E-2</v>
      </c>
    </row>
    <row r="892" spans="1:9" ht="14.25" customHeight="1" x14ac:dyDescent="0.3">
      <c r="A892" s="127">
        <v>45233</v>
      </c>
      <c r="B892" s="64">
        <v>19230.599999999999</v>
      </c>
      <c r="D892" s="127">
        <v>45233</v>
      </c>
      <c r="E892" s="64">
        <v>47.64</v>
      </c>
      <c r="H892" s="128">
        <f t="shared" si="26"/>
        <v>5.0880012543607902E-3</v>
      </c>
      <c r="I892" s="128">
        <f t="shared" si="27"/>
        <v>-2.7213732468076698E-3</v>
      </c>
    </row>
    <row r="893" spans="1:9" ht="14.25" customHeight="1" x14ac:dyDescent="0.3">
      <c r="A893" s="127">
        <v>45236</v>
      </c>
      <c r="B893" s="64">
        <v>19411.75</v>
      </c>
      <c r="D893" s="127">
        <v>45236</v>
      </c>
      <c r="E893" s="64">
        <v>47.91</v>
      </c>
      <c r="H893" s="128">
        <f t="shared" si="26"/>
        <v>9.4198828949695508E-3</v>
      </c>
      <c r="I893" s="128">
        <f t="shared" si="27"/>
        <v>5.6675062972291398E-3</v>
      </c>
    </row>
    <row r="894" spans="1:9" ht="14.25" customHeight="1" x14ac:dyDescent="0.3">
      <c r="A894" s="127">
        <v>45237</v>
      </c>
      <c r="B894" s="64">
        <v>19406.7</v>
      </c>
      <c r="D894" s="127">
        <v>45237</v>
      </c>
      <c r="E894" s="64">
        <v>48.71</v>
      </c>
      <c r="H894" s="128">
        <f t="shared" si="26"/>
        <v>-2.6015171223610801E-4</v>
      </c>
      <c r="I894" s="128">
        <f t="shared" si="27"/>
        <v>1.6697975370486399E-2</v>
      </c>
    </row>
    <row r="895" spans="1:9" ht="14.25" customHeight="1" x14ac:dyDescent="0.3">
      <c r="A895" s="127">
        <v>45238</v>
      </c>
      <c r="B895" s="64">
        <v>19443.5</v>
      </c>
      <c r="D895" s="127">
        <v>45238</v>
      </c>
      <c r="E895" s="64">
        <v>48.52</v>
      </c>
      <c r="H895" s="128">
        <f t="shared" si="26"/>
        <v>1.89625232522785E-3</v>
      </c>
      <c r="I895" s="128">
        <f t="shared" si="27"/>
        <v>-3.9006364196263101E-3</v>
      </c>
    </row>
    <row r="896" spans="1:9" ht="14.25" customHeight="1" x14ac:dyDescent="0.3">
      <c r="A896" s="127">
        <v>45239</v>
      </c>
      <c r="B896" s="64">
        <v>19395.3</v>
      </c>
      <c r="D896" s="127">
        <v>45239</v>
      </c>
      <c r="E896" s="64">
        <v>48.71</v>
      </c>
      <c r="H896" s="128">
        <f t="shared" si="26"/>
        <v>-2.4789775503382002E-3</v>
      </c>
      <c r="I896" s="128">
        <f t="shared" si="27"/>
        <v>3.9159109645506502E-3</v>
      </c>
    </row>
    <row r="897" spans="1:9" ht="14.25" customHeight="1" x14ac:dyDescent="0.3">
      <c r="A897" s="127">
        <v>45240</v>
      </c>
      <c r="B897" s="64">
        <v>19425.349999999999</v>
      </c>
      <c r="D897" s="127">
        <v>45240</v>
      </c>
      <c r="E897" s="64">
        <v>50.4</v>
      </c>
      <c r="H897" s="128">
        <f t="shared" si="26"/>
        <v>1.5493444288048801E-3</v>
      </c>
      <c r="I897" s="128">
        <f t="shared" si="27"/>
        <v>3.4695134469308102E-2</v>
      </c>
    </row>
    <row r="898" spans="1:9" ht="14.25" customHeight="1" x14ac:dyDescent="0.3">
      <c r="A898" s="127">
        <v>45243</v>
      </c>
      <c r="B898" s="64">
        <v>19443.55</v>
      </c>
      <c r="D898" s="127">
        <v>45243</v>
      </c>
      <c r="E898" s="64">
        <v>52.36</v>
      </c>
      <c r="H898" s="128">
        <f t="shared" si="26"/>
        <v>9.3692005549453295E-4</v>
      </c>
      <c r="I898" s="128">
        <f t="shared" si="27"/>
        <v>3.8888888888888903E-2</v>
      </c>
    </row>
    <row r="899" spans="1:9" ht="14.25" customHeight="1" x14ac:dyDescent="0.3">
      <c r="A899" s="127">
        <v>45245</v>
      </c>
      <c r="B899" s="64">
        <v>19675.45</v>
      </c>
      <c r="D899" s="127">
        <v>45245</v>
      </c>
      <c r="E899" s="64">
        <v>50.73</v>
      </c>
      <c r="H899" s="128">
        <f t="shared" ref="H899:H962" si="28">(B899-B898)/B898</f>
        <v>1.19268343486658E-2</v>
      </c>
      <c r="I899" s="128">
        <f t="shared" ref="I899:I962" si="29">(E899-E898)/E898</f>
        <v>-3.11306340718106E-2</v>
      </c>
    </row>
    <row r="900" spans="1:9" ht="14.25" customHeight="1" x14ac:dyDescent="0.3">
      <c r="A900" s="127">
        <v>45246</v>
      </c>
      <c r="B900" s="64">
        <v>19765.2</v>
      </c>
      <c r="D900" s="127">
        <v>45246</v>
      </c>
      <c r="E900" s="64">
        <v>50.46</v>
      </c>
      <c r="H900" s="128">
        <f t="shared" si="28"/>
        <v>4.5615220998757302E-3</v>
      </c>
      <c r="I900" s="128">
        <f t="shared" si="29"/>
        <v>-5.3222945002956096E-3</v>
      </c>
    </row>
    <row r="901" spans="1:9" ht="14.25" customHeight="1" x14ac:dyDescent="0.3">
      <c r="A901" s="127">
        <v>45247</v>
      </c>
      <c r="B901" s="64">
        <v>19731.8</v>
      </c>
      <c r="D901" s="127">
        <v>45247</v>
      </c>
      <c r="E901" s="64">
        <v>50.46</v>
      </c>
      <c r="H901" s="128">
        <f t="shared" si="28"/>
        <v>-1.68983870641337E-3</v>
      </c>
      <c r="I901" s="128">
        <f t="shared" si="29"/>
        <v>0</v>
      </c>
    </row>
    <row r="902" spans="1:9" ht="14.25" customHeight="1" x14ac:dyDescent="0.3">
      <c r="A902" s="127">
        <v>45250</v>
      </c>
      <c r="B902" s="64">
        <v>19694</v>
      </c>
      <c r="D902" s="127">
        <v>45250</v>
      </c>
      <c r="E902" s="64">
        <v>51</v>
      </c>
      <c r="H902" s="128">
        <f t="shared" si="28"/>
        <v>-1.9156893947840201E-3</v>
      </c>
      <c r="I902" s="128">
        <f t="shared" si="29"/>
        <v>1.07015457788347E-2</v>
      </c>
    </row>
    <row r="903" spans="1:9" ht="14.25" customHeight="1" x14ac:dyDescent="0.3">
      <c r="A903" s="127">
        <v>45251</v>
      </c>
      <c r="B903" s="64">
        <v>19783.400000000001</v>
      </c>
      <c r="D903" s="127">
        <v>45251</v>
      </c>
      <c r="E903" s="64">
        <v>50.7</v>
      </c>
      <c r="H903" s="128">
        <f t="shared" si="28"/>
        <v>4.5394536407028299E-3</v>
      </c>
      <c r="I903" s="128">
        <f t="shared" si="29"/>
        <v>-5.8823529411764098E-3</v>
      </c>
    </row>
    <row r="904" spans="1:9" ht="14.25" customHeight="1" x14ac:dyDescent="0.3">
      <c r="A904" s="127">
        <v>45252</v>
      </c>
      <c r="B904" s="64">
        <v>19811.849999999999</v>
      </c>
      <c r="D904" s="127">
        <v>45252</v>
      </c>
      <c r="E904" s="64">
        <v>51.24</v>
      </c>
      <c r="H904" s="128">
        <f t="shared" si="28"/>
        <v>1.43807434515791E-3</v>
      </c>
      <c r="I904" s="128">
        <f t="shared" si="29"/>
        <v>1.06508875739645E-2</v>
      </c>
    </row>
    <row r="905" spans="1:9" ht="14.25" customHeight="1" x14ac:dyDescent="0.3">
      <c r="A905" s="127">
        <v>45253</v>
      </c>
      <c r="B905" s="64">
        <v>19802</v>
      </c>
      <c r="D905" s="127">
        <v>45253</v>
      </c>
      <c r="E905" s="64">
        <v>51.51</v>
      </c>
      <c r="H905" s="128">
        <f t="shared" si="28"/>
        <v>-4.9717719445677903E-4</v>
      </c>
      <c r="I905" s="128">
        <f t="shared" si="29"/>
        <v>5.2693208430912601E-3</v>
      </c>
    </row>
    <row r="906" spans="1:9" ht="14.25" customHeight="1" x14ac:dyDescent="0.3">
      <c r="A906" s="127">
        <v>45254</v>
      </c>
      <c r="B906" s="64">
        <v>19794.7</v>
      </c>
      <c r="D906" s="127">
        <v>45254</v>
      </c>
      <c r="E906" s="64">
        <v>51.75</v>
      </c>
      <c r="H906" s="128">
        <f t="shared" si="28"/>
        <v>-3.6864963135033201E-4</v>
      </c>
      <c r="I906" s="128">
        <f t="shared" si="29"/>
        <v>4.6592894583576397E-3</v>
      </c>
    </row>
    <row r="907" spans="1:9" ht="14.25" customHeight="1" x14ac:dyDescent="0.3">
      <c r="A907" s="127">
        <v>45258</v>
      </c>
      <c r="B907" s="64">
        <v>19889.7</v>
      </c>
      <c r="D907" s="127">
        <v>45258</v>
      </c>
      <c r="E907" s="64">
        <v>54.27</v>
      </c>
      <c r="H907" s="128">
        <f t="shared" si="28"/>
        <v>4.7992644495748896E-3</v>
      </c>
      <c r="I907" s="128">
        <f t="shared" si="29"/>
        <v>4.8695652173913098E-2</v>
      </c>
    </row>
    <row r="908" spans="1:9" ht="14.25" customHeight="1" x14ac:dyDescent="0.3">
      <c r="A908" s="127">
        <v>45259</v>
      </c>
      <c r="B908" s="64">
        <v>20096.599999999999</v>
      </c>
      <c r="D908" s="127">
        <v>45259</v>
      </c>
      <c r="E908" s="64">
        <v>53.93</v>
      </c>
      <c r="H908" s="128">
        <f t="shared" si="28"/>
        <v>1.04023690653955E-2</v>
      </c>
      <c r="I908" s="128">
        <f t="shared" si="29"/>
        <v>-6.2649714391008497E-3</v>
      </c>
    </row>
    <row r="909" spans="1:9" ht="14.25" customHeight="1" x14ac:dyDescent="0.3">
      <c r="A909" s="127">
        <v>45260</v>
      </c>
      <c r="B909" s="64">
        <v>20133.150000000001</v>
      </c>
      <c r="D909" s="127">
        <v>45260</v>
      </c>
      <c r="E909" s="64">
        <v>54.23</v>
      </c>
      <c r="H909" s="128">
        <f t="shared" si="28"/>
        <v>1.8187156036345901E-3</v>
      </c>
      <c r="I909" s="128">
        <f t="shared" si="29"/>
        <v>5.5627665492304296E-3</v>
      </c>
    </row>
    <row r="910" spans="1:9" ht="14.25" customHeight="1" x14ac:dyDescent="0.3">
      <c r="A910" s="127">
        <v>45261</v>
      </c>
      <c r="B910" s="64">
        <v>20267.900000000001</v>
      </c>
      <c r="D910" s="127">
        <v>45261</v>
      </c>
      <c r="E910" s="64">
        <v>54.39</v>
      </c>
      <c r="H910" s="128">
        <f t="shared" si="28"/>
        <v>6.69294174036353E-3</v>
      </c>
      <c r="I910" s="128">
        <f t="shared" si="29"/>
        <v>2.9503964595243202E-3</v>
      </c>
    </row>
    <row r="911" spans="1:9" ht="14.25" customHeight="1" x14ac:dyDescent="0.3">
      <c r="A911" s="127">
        <v>45264</v>
      </c>
      <c r="B911" s="64">
        <v>20686.8</v>
      </c>
      <c r="D911" s="127">
        <v>45264</v>
      </c>
      <c r="E911" s="64">
        <v>54.99</v>
      </c>
      <c r="H911" s="128">
        <f t="shared" si="28"/>
        <v>2.0668150129021599E-2</v>
      </c>
      <c r="I911" s="128">
        <f t="shared" si="29"/>
        <v>1.10314396028682E-2</v>
      </c>
    </row>
    <row r="912" spans="1:9" ht="14.25" customHeight="1" x14ac:dyDescent="0.3">
      <c r="A912" s="127">
        <v>45265</v>
      </c>
      <c r="B912" s="64">
        <v>20855.099999999999</v>
      </c>
      <c r="D912" s="127">
        <v>45265</v>
      </c>
      <c r="E912" s="64">
        <v>54.67</v>
      </c>
      <c r="H912" s="128">
        <f t="shared" si="28"/>
        <v>8.1356227159347597E-3</v>
      </c>
      <c r="I912" s="128">
        <f t="shared" si="29"/>
        <v>-5.81923986179306E-3</v>
      </c>
    </row>
    <row r="913" spans="1:9" ht="14.25" customHeight="1" x14ac:dyDescent="0.3">
      <c r="A913" s="127">
        <v>45266</v>
      </c>
      <c r="B913" s="64">
        <v>20937.7</v>
      </c>
      <c r="D913" s="127">
        <v>45266</v>
      </c>
      <c r="E913" s="64">
        <v>55.06</v>
      </c>
      <c r="H913" s="128">
        <f t="shared" si="28"/>
        <v>3.9606619004465202E-3</v>
      </c>
      <c r="I913" s="128">
        <f t="shared" si="29"/>
        <v>7.1337113590634804E-3</v>
      </c>
    </row>
    <row r="914" spans="1:9" ht="14.25" customHeight="1" x14ac:dyDescent="0.3">
      <c r="A914" s="127">
        <v>45267</v>
      </c>
      <c r="B914" s="64">
        <v>20901.150000000001</v>
      </c>
      <c r="D914" s="127">
        <v>45267</v>
      </c>
      <c r="E914" s="64">
        <v>55</v>
      </c>
      <c r="H914" s="128">
        <f t="shared" si="28"/>
        <v>-1.7456549668778899E-3</v>
      </c>
      <c r="I914" s="128">
        <f t="shared" si="29"/>
        <v>-1.0897203051217299E-3</v>
      </c>
    </row>
    <row r="915" spans="1:9" ht="14.25" customHeight="1" x14ac:dyDescent="0.3">
      <c r="A915" s="127">
        <v>45268</v>
      </c>
      <c r="B915" s="64">
        <v>20969.400000000001</v>
      </c>
      <c r="D915" s="127">
        <v>45268</v>
      </c>
      <c r="E915" s="64">
        <v>54.85</v>
      </c>
      <c r="H915" s="128">
        <f t="shared" si="28"/>
        <v>3.2653705657344199E-3</v>
      </c>
      <c r="I915" s="128">
        <f t="shared" si="29"/>
        <v>-2.7272727272727002E-3</v>
      </c>
    </row>
    <row r="916" spans="1:9" ht="14.25" customHeight="1" x14ac:dyDescent="0.3">
      <c r="A916" s="127">
        <v>45271</v>
      </c>
      <c r="B916" s="64">
        <v>20997.1</v>
      </c>
      <c r="D916" s="127">
        <v>45271</v>
      </c>
      <c r="E916" s="64">
        <v>55.21</v>
      </c>
      <c r="H916" s="128">
        <f t="shared" si="28"/>
        <v>1.32097246463881E-3</v>
      </c>
      <c r="I916" s="128">
        <f t="shared" si="29"/>
        <v>6.5633546034639797E-3</v>
      </c>
    </row>
    <row r="917" spans="1:9" ht="14.25" customHeight="1" x14ac:dyDescent="0.3">
      <c r="A917" s="127">
        <v>45272</v>
      </c>
      <c r="B917" s="64">
        <v>20906.400000000001</v>
      </c>
      <c r="D917" s="127">
        <v>45272</v>
      </c>
      <c r="E917" s="64">
        <v>54.69</v>
      </c>
      <c r="H917" s="128">
        <f t="shared" si="28"/>
        <v>-4.3196441413336697E-3</v>
      </c>
      <c r="I917" s="128">
        <f t="shared" si="29"/>
        <v>-9.4185835899294208E-3</v>
      </c>
    </row>
    <row r="918" spans="1:9" ht="14.25" customHeight="1" x14ac:dyDescent="0.3">
      <c r="A918" s="127">
        <v>45273</v>
      </c>
      <c r="B918" s="64">
        <v>20926.349999999999</v>
      </c>
      <c r="D918" s="127">
        <v>45273</v>
      </c>
      <c r="E918" s="64">
        <v>57.26</v>
      </c>
      <c r="H918" s="128">
        <f t="shared" si="28"/>
        <v>9.5425324302591999E-4</v>
      </c>
      <c r="I918" s="128">
        <f t="shared" si="29"/>
        <v>4.6992137502285598E-2</v>
      </c>
    </row>
    <row r="919" spans="1:9" ht="14.25" customHeight="1" x14ac:dyDescent="0.3">
      <c r="A919" s="127">
        <v>45274</v>
      </c>
      <c r="B919" s="64">
        <v>21182.7</v>
      </c>
      <c r="D919" s="127">
        <v>45274</v>
      </c>
      <c r="E919" s="64">
        <v>57.32</v>
      </c>
      <c r="H919" s="128">
        <f t="shared" si="28"/>
        <v>1.2250105727945999E-2</v>
      </c>
      <c r="I919" s="128">
        <f t="shared" si="29"/>
        <v>1.0478519035976601E-3</v>
      </c>
    </row>
    <row r="920" spans="1:9" ht="14.25" customHeight="1" x14ac:dyDescent="0.3">
      <c r="A920" s="127">
        <v>45275</v>
      </c>
      <c r="B920" s="64">
        <v>21456.65</v>
      </c>
      <c r="D920" s="127">
        <v>45275</v>
      </c>
      <c r="E920" s="64">
        <v>58.24</v>
      </c>
      <c r="H920" s="128">
        <f t="shared" si="28"/>
        <v>1.29327234016438E-2</v>
      </c>
      <c r="I920" s="128">
        <f t="shared" si="29"/>
        <v>1.6050244242847199E-2</v>
      </c>
    </row>
    <row r="921" spans="1:9" ht="14.25" customHeight="1" x14ac:dyDescent="0.3">
      <c r="A921" s="127">
        <v>45278</v>
      </c>
      <c r="B921" s="64">
        <v>21418.65</v>
      </c>
      <c r="D921" s="127">
        <v>45278</v>
      </c>
      <c r="E921" s="64">
        <v>58.42</v>
      </c>
      <c r="H921" s="128">
        <f t="shared" si="28"/>
        <v>-1.7710127163373601E-3</v>
      </c>
      <c r="I921" s="128">
        <f t="shared" si="29"/>
        <v>3.0906593406593401E-3</v>
      </c>
    </row>
    <row r="922" spans="1:9" ht="14.25" customHeight="1" x14ac:dyDescent="0.3">
      <c r="A922" s="127">
        <v>45279</v>
      </c>
      <c r="B922" s="64">
        <v>21453.1</v>
      </c>
      <c r="D922" s="127">
        <v>45279</v>
      </c>
      <c r="E922" s="64">
        <v>57.84</v>
      </c>
      <c r="H922" s="128">
        <f t="shared" si="28"/>
        <v>1.60841136112673E-3</v>
      </c>
      <c r="I922" s="128">
        <f t="shared" si="29"/>
        <v>-9.9281068127353295E-3</v>
      </c>
    </row>
    <row r="923" spans="1:9" ht="14.25" customHeight="1" x14ac:dyDescent="0.3">
      <c r="A923" s="127">
        <v>45280</v>
      </c>
      <c r="B923" s="64">
        <v>21150.15</v>
      </c>
      <c r="D923" s="127">
        <v>45280</v>
      </c>
      <c r="E923" s="64">
        <v>54.79</v>
      </c>
      <c r="H923" s="128">
        <f t="shared" si="28"/>
        <v>-1.41215022537534E-2</v>
      </c>
      <c r="I923" s="128">
        <f t="shared" si="29"/>
        <v>-5.27316735822961E-2</v>
      </c>
    </row>
    <row r="924" spans="1:9" ht="14.25" customHeight="1" x14ac:dyDescent="0.3">
      <c r="A924" s="127">
        <v>45281</v>
      </c>
      <c r="B924" s="64">
        <v>21255.05</v>
      </c>
      <c r="D924" s="127">
        <v>45281</v>
      </c>
      <c r="E924" s="64">
        <v>57.86</v>
      </c>
      <c r="H924" s="128">
        <f t="shared" si="28"/>
        <v>4.9597756989902099E-3</v>
      </c>
      <c r="I924" s="128">
        <f t="shared" si="29"/>
        <v>5.6032122650118601E-2</v>
      </c>
    </row>
    <row r="925" spans="1:9" ht="14.25" customHeight="1" x14ac:dyDescent="0.3">
      <c r="A925" s="127">
        <v>45282</v>
      </c>
      <c r="B925" s="64">
        <v>21349.4</v>
      </c>
      <c r="D925" s="127">
        <v>45282</v>
      </c>
      <c r="E925" s="64">
        <v>58.38</v>
      </c>
      <c r="H925" s="128">
        <f t="shared" si="28"/>
        <v>4.4389450977533398E-3</v>
      </c>
      <c r="I925" s="128">
        <f t="shared" si="29"/>
        <v>8.9872105081231102E-3</v>
      </c>
    </row>
    <row r="926" spans="1:9" ht="14.25" customHeight="1" x14ac:dyDescent="0.3">
      <c r="A926" s="127">
        <v>45286</v>
      </c>
      <c r="B926" s="64">
        <v>21441.35</v>
      </c>
      <c r="D926" s="127">
        <v>45286</v>
      </c>
      <c r="E926" s="64">
        <v>60.31</v>
      </c>
      <c r="H926" s="128">
        <f t="shared" si="28"/>
        <v>4.30691260644314E-3</v>
      </c>
      <c r="I926" s="128">
        <f t="shared" si="29"/>
        <v>3.3059266872216497E-2</v>
      </c>
    </row>
    <row r="927" spans="1:9" ht="14.25" customHeight="1" x14ac:dyDescent="0.3">
      <c r="A927" s="127">
        <v>45287</v>
      </c>
      <c r="B927" s="64">
        <v>21654.75</v>
      </c>
      <c r="D927" s="127">
        <v>45287</v>
      </c>
      <c r="E927" s="64">
        <v>60.19</v>
      </c>
      <c r="H927" s="128">
        <f t="shared" si="28"/>
        <v>9.9527315211029796E-3</v>
      </c>
      <c r="I927" s="128">
        <f t="shared" si="29"/>
        <v>-1.9897197811309E-3</v>
      </c>
    </row>
    <row r="928" spans="1:9" ht="14.25" customHeight="1" x14ac:dyDescent="0.3">
      <c r="A928" s="127">
        <v>45288</v>
      </c>
      <c r="B928" s="64">
        <v>21778.7</v>
      </c>
      <c r="D928" s="127">
        <v>45288</v>
      </c>
      <c r="E928" s="64">
        <v>61.89</v>
      </c>
      <c r="H928" s="128">
        <f t="shared" si="28"/>
        <v>5.7239173853312003E-3</v>
      </c>
      <c r="I928" s="128">
        <f t="shared" si="29"/>
        <v>2.8243894334607101E-2</v>
      </c>
    </row>
    <row r="929" spans="1:9" ht="14.25" customHeight="1" x14ac:dyDescent="0.3">
      <c r="A929" s="127">
        <v>45289</v>
      </c>
      <c r="B929" s="64">
        <v>21731.4</v>
      </c>
      <c r="D929" s="127">
        <v>45289</v>
      </c>
      <c r="E929" s="64">
        <v>62.64</v>
      </c>
      <c r="H929" s="128">
        <f t="shared" si="28"/>
        <v>-2.1718468044465101E-3</v>
      </c>
      <c r="I929" s="128">
        <f t="shared" si="29"/>
        <v>1.2118274357731501E-2</v>
      </c>
    </row>
    <row r="930" spans="1:9" ht="14.25" customHeight="1" x14ac:dyDescent="0.3">
      <c r="A930" s="127">
        <v>45292</v>
      </c>
      <c r="B930" s="64">
        <v>21741.9</v>
      </c>
      <c r="D930" s="127">
        <v>45292</v>
      </c>
      <c r="E930" s="64">
        <v>63.17</v>
      </c>
      <c r="H930" s="128">
        <f t="shared" si="28"/>
        <v>4.8317181589773301E-4</v>
      </c>
      <c r="I930" s="128">
        <f t="shared" si="29"/>
        <v>8.4610472541507206E-3</v>
      </c>
    </row>
    <row r="931" spans="1:9" ht="14.25" customHeight="1" x14ac:dyDescent="0.3">
      <c r="A931" s="127">
        <v>45293</v>
      </c>
      <c r="B931" s="64">
        <v>21665.8</v>
      </c>
      <c r="D931" s="127">
        <v>45293</v>
      </c>
      <c r="E931" s="64">
        <v>65.06</v>
      </c>
      <c r="H931" s="128">
        <f t="shared" si="28"/>
        <v>-3.50015408037026E-3</v>
      </c>
      <c r="I931" s="128">
        <f t="shared" si="29"/>
        <v>2.9919265474117499E-2</v>
      </c>
    </row>
    <row r="932" spans="1:9" ht="14.25" customHeight="1" x14ac:dyDescent="0.3">
      <c r="A932" s="127">
        <v>45294</v>
      </c>
      <c r="B932" s="64">
        <v>21517.35</v>
      </c>
      <c r="D932" s="127">
        <v>45294</v>
      </c>
      <c r="E932" s="64">
        <v>64.95</v>
      </c>
      <c r="H932" s="128">
        <f t="shared" si="28"/>
        <v>-6.8518125340398597E-3</v>
      </c>
      <c r="I932" s="128">
        <f t="shared" si="29"/>
        <v>-1.69074700276667E-3</v>
      </c>
    </row>
    <row r="933" spans="1:9" ht="14.25" customHeight="1" x14ac:dyDescent="0.3">
      <c r="A933" s="127">
        <v>45295</v>
      </c>
      <c r="B933" s="64">
        <v>21658.6</v>
      </c>
      <c r="D933" s="127">
        <v>45295</v>
      </c>
      <c r="E933" s="64">
        <v>66.790000000000006</v>
      </c>
      <c r="H933" s="128">
        <f t="shared" si="28"/>
        <v>6.5644700671783499E-3</v>
      </c>
      <c r="I933" s="128">
        <f t="shared" si="29"/>
        <v>2.83294842186298E-2</v>
      </c>
    </row>
    <row r="934" spans="1:9" ht="14.25" customHeight="1" x14ac:dyDescent="0.3">
      <c r="A934" s="127">
        <v>45296</v>
      </c>
      <c r="B934" s="64">
        <v>21710.799999999999</v>
      </c>
      <c r="D934" s="127">
        <v>45296</v>
      </c>
      <c r="E934" s="64">
        <v>66.540000000000006</v>
      </c>
      <c r="H934" s="128">
        <f t="shared" si="28"/>
        <v>2.4101280784538598E-3</v>
      </c>
      <c r="I934" s="128">
        <f t="shared" si="29"/>
        <v>-3.7430753106752501E-3</v>
      </c>
    </row>
    <row r="935" spans="1:9" ht="14.25" customHeight="1" x14ac:dyDescent="0.3">
      <c r="A935" s="127">
        <v>45299</v>
      </c>
      <c r="B935" s="64">
        <v>21513</v>
      </c>
      <c r="D935" s="127">
        <v>45299</v>
      </c>
      <c r="E935" s="64">
        <v>64.290000000000006</v>
      </c>
      <c r="H935" s="128">
        <f t="shared" si="28"/>
        <v>-9.1106730290914806E-3</v>
      </c>
      <c r="I935" s="128">
        <f t="shared" si="29"/>
        <v>-3.3814247069431903E-2</v>
      </c>
    </row>
    <row r="936" spans="1:9" ht="14.25" customHeight="1" x14ac:dyDescent="0.3">
      <c r="A936" s="127">
        <v>45300</v>
      </c>
      <c r="B936" s="64">
        <v>21544.85</v>
      </c>
      <c r="D936" s="127">
        <v>45300</v>
      </c>
      <c r="E936" s="64">
        <v>64.98</v>
      </c>
      <c r="H936" s="128">
        <f t="shared" si="28"/>
        <v>1.4805001626922601E-3</v>
      </c>
      <c r="I936" s="128">
        <f t="shared" si="29"/>
        <v>1.07326178254783E-2</v>
      </c>
    </row>
    <row r="937" spans="1:9" ht="14.25" customHeight="1" x14ac:dyDescent="0.3">
      <c r="A937" s="127">
        <v>45301</v>
      </c>
      <c r="B937" s="64">
        <v>21618.7</v>
      </c>
      <c r="D937" s="127">
        <v>45301</v>
      </c>
      <c r="E937" s="64">
        <v>63</v>
      </c>
      <c r="H937" s="128">
        <f t="shared" si="28"/>
        <v>3.4277333098166E-3</v>
      </c>
      <c r="I937" s="128">
        <f t="shared" si="29"/>
        <v>-3.04709141274239E-2</v>
      </c>
    </row>
    <row r="938" spans="1:9" ht="14.25" customHeight="1" x14ac:dyDescent="0.3">
      <c r="A938" s="127">
        <v>45302</v>
      </c>
      <c r="B938" s="64">
        <v>21647.200000000001</v>
      </c>
      <c r="D938" s="127">
        <v>45302</v>
      </c>
      <c r="E938" s="64">
        <v>62.62</v>
      </c>
      <c r="H938" s="128">
        <f t="shared" si="28"/>
        <v>1.3183031357112099E-3</v>
      </c>
      <c r="I938" s="128">
        <f t="shared" si="29"/>
        <v>-6.0317460317460703E-3</v>
      </c>
    </row>
    <row r="939" spans="1:9" ht="14.25" customHeight="1" x14ac:dyDescent="0.3">
      <c r="A939" s="127">
        <v>45303</v>
      </c>
      <c r="B939" s="64">
        <v>21894.55</v>
      </c>
      <c r="D939" s="127">
        <v>45303</v>
      </c>
      <c r="E939" s="64">
        <v>63.14</v>
      </c>
      <c r="H939" s="128">
        <f t="shared" si="28"/>
        <v>1.1426420045086601E-2</v>
      </c>
      <c r="I939" s="128">
        <f t="shared" si="29"/>
        <v>8.3040562120728703E-3</v>
      </c>
    </row>
    <row r="940" spans="1:9" ht="14.25" customHeight="1" x14ac:dyDescent="0.3">
      <c r="A940" s="127">
        <v>45306</v>
      </c>
      <c r="B940" s="64">
        <v>22097.45</v>
      </c>
      <c r="D940" s="127">
        <v>45306</v>
      </c>
      <c r="E940" s="64">
        <v>62.56</v>
      </c>
      <c r="H940" s="128">
        <f t="shared" si="28"/>
        <v>9.2671463903118093E-3</v>
      </c>
      <c r="I940" s="128">
        <f t="shared" si="29"/>
        <v>-9.1859360152042793E-3</v>
      </c>
    </row>
    <row r="941" spans="1:9" ht="14.25" customHeight="1" x14ac:dyDescent="0.3">
      <c r="A941" s="127">
        <v>45307</v>
      </c>
      <c r="B941" s="64">
        <v>22032.3</v>
      </c>
      <c r="D941" s="127">
        <v>45307</v>
      </c>
      <c r="E941" s="64">
        <v>63.56</v>
      </c>
      <c r="H941" s="128">
        <f t="shared" si="28"/>
        <v>-2.9483039898269502E-3</v>
      </c>
      <c r="I941" s="128">
        <f t="shared" si="29"/>
        <v>1.5984654731457801E-2</v>
      </c>
    </row>
    <row r="942" spans="1:9" ht="14.25" customHeight="1" x14ac:dyDescent="0.3">
      <c r="A942" s="127">
        <v>45308</v>
      </c>
      <c r="B942" s="64">
        <v>21571.95</v>
      </c>
      <c r="D942" s="127">
        <v>45308</v>
      </c>
      <c r="E942" s="64">
        <v>61.67</v>
      </c>
      <c r="H942" s="128">
        <f t="shared" si="28"/>
        <v>-2.0894323334377199E-2</v>
      </c>
      <c r="I942" s="128">
        <f t="shared" si="29"/>
        <v>-2.97356828193833E-2</v>
      </c>
    </row>
    <row r="943" spans="1:9" ht="14.25" customHeight="1" x14ac:dyDescent="0.3">
      <c r="A943" s="127">
        <v>45309</v>
      </c>
      <c r="B943" s="64">
        <v>21462.25</v>
      </c>
      <c r="D943" s="127">
        <v>45309</v>
      </c>
      <c r="E943" s="64">
        <v>60.83</v>
      </c>
      <c r="H943" s="128">
        <f t="shared" si="28"/>
        <v>-5.0853075405793502E-3</v>
      </c>
      <c r="I943" s="128">
        <f t="shared" si="29"/>
        <v>-1.3620885357548299E-2</v>
      </c>
    </row>
    <row r="944" spans="1:9" ht="14.25" customHeight="1" x14ac:dyDescent="0.3">
      <c r="A944" s="127">
        <v>45310</v>
      </c>
      <c r="B944" s="64">
        <v>21622.400000000001</v>
      </c>
      <c r="D944" s="127">
        <v>45310</v>
      </c>
      <c r="E944" s="64">
        <v>63</v>
      </c>
      <c r="H944" s="128">
        <f t="shared" si="28"/>
        <v>7.4619389858938999E-3</v>
      </c>
      <c r="I944" s="128">
        <f t="shared" si="29"/>
        <v>3.5673187571921797E-2</v>
      </c>
    </row>
    <row r="945" spans="1:9" ht="14.25" customHeight="1" x14ac:dyDescent="0.3">
      <c r="A945" s="127">
        <v>45314</v>
      </c>
      <c r="B945" s="64">
        <v>21238.799999999999</v>
      </c>
      <c r="D945" s="127">
        <v>45314</v>
      </c>
      <c r="E945" s="64">
        <v>60.49</v>
      </c>
      <c r="H945" s="128">
        <f t="shared" si="28"/>
        <v>-1.7740861328992299E-2</v>
      </c>
      <c r="I945" s="128">
        <f t="shared" si="29"/>
        <v>-3.9841269841269802E-2</v>
      </c>
    </row>
    <row r="946" spans="1:9" ht="14.25" customHeight="1" x14ac:dyDescent="0.3">
      <c r="A946" s="127">
        <v>45315</v>
      </c>
      <c r="B946" s="64">
        <v>21453.95</v>
      </c>
      <c r="D946" s="127">
        <v>45315</v>
      </c>
      <c r="E946" s="64">
        <v>63.28</v>
      </c>
      <c r="H946" s="128">
        <f t="shared" si="28"/>
        <v>1.0130045011959301E-2</v>
      </c>
      <c r="I946" s="128">
        <f t="shared" si="29"/>
        <v>4.6123326169614801E-2</v>
      </c>
    </row>
    <row r="947" spans="1:9" ht="14.25" customHeight="1" x14ac:dyDescent="0.3">
      <c r="A947" s="127">
        <v>45316</v>
      </c>
      <c r="B947" s="64">
        <v>21352.6</v>
      </c>
      <c r="D947" s="127">
        <v>45316</v>
      </c>
      <c r="E947" s="64">
        <v>64.88</v>
      </c>
      <c r="H947" s="128">
        <f t="shared" si="28"/>
        <v>-4.7240717909756598E-3</v>
      </c>
      <c r="I947" s="128">
        <f t="shared" si="29"/>
        <v>2.5284450063210999E-2</v>
      </c>
    </row>
    <row r="948" spans="1:9" ht="14.25" customHeight="1" x14ac:dyDescent="0.3">
      <c r="A948" s="127">
        <v>45320</v>
      </c>
      <c r="B948" s="64">
        <v>21737.599999999999</v>
      </c>
      <c r="D948" s="127">
        <v>45320</v>
      </c>
      <c r="E948" s="64">
        <v>66.010000000000005</v>
      </c>
      <c r="H948" s="128">
        <f t="shared" si="28"/>
        <v>1.8030591122392602E-2</v>
      </c>
      <c r="I948" s="128">
        <f t="shared" si="29"/>
        <v>1.74167694204687E-2</v>
      </c>
    </row>
    <row r="949" spans="1:9" ht="14.25" customHeight="1" x14ac:dyDescent="0.3">
      <c r="A949" s="127">
        <v>45321</v>
      </c>
      <c r="B949" s="64">
        <v>21522.1</v>
      </c>
      <c r="D949" s="127">
        <v>45321</v>
      </c>
      <c r="E949" s="64">
        <v>65.64</v>
      </c>
      <c r="H949" s="128">
        <f t="shared" si="28"/>
        <v>-9.9136979243338707E-3</v>
      </c>
      <c r="I949" s="128">
        <f t="shared" si="29"/>
        <v>-5.60521133161649E-3</v>
      </c>
    </row>
    <row r="950" spans="1:9" ht="14.25" customHeight="1" x14ac:dyDescent="0.3">
      <c r="A950" s="127">
        <v>45322</v>
      </c>
      <c r="B950" s="64">
        <v>21725.7</v>
      </c>
      <c r="D950" s="127">
        <v>45322</v>
      </c>
      <c r="E950" s="64">
        <v>65.680000000000007</v>
      </c>
      <c r="H950" s="128">
        <f t="shared" si="28"/>
        <v>9.4600433972522307E-3</v>
      </c>
      <c r="I950" s="128">
        <f t="shared" si="29"/>
        <v>6.0938452163324596E-4</v>
      </c>
    </row>
    <row r="951" spans="1:9" ht="14.25" customHeight="1" x14ac:dyDescent="0.3">
      <c r="A951" s="127">
        <v>45323</v>
      </c>
      <c r="B951" s="64">
        <v>21697.45</v>
      </c>
      <c r="D951" s="127">
        <v>45323</v>
      </c>
      <c r="E951" s="64">
        <v>67.34</v>
      </c>
      <c r="H951" s="128">
        <f t="shared" si="28"/>
        <v>-1.3003033273956701E-3</v>
      </c>
      <c r="I951" s="128">
        <f t="shared" si="29"/>
        <v>2.5274056029232599E-2</v>
      </c>
    </row>
    <row r="952" spans="1:9" ht="14.25" customHeight="1" x14ac:dyDescent="0.3">
      <c r="A952" s="127">
        <v>45324</v>
      </c>
      <c r="B952" s="64">
        <v>21853.8</v>
      </c>
      <c r="D952" s="127">
        <v>45324</v>
      </c>
      <c r="E952" s="64">
        <v>70.37</v>
      </c>
      <c r="H952" s="128">
        <f t="shared" si="28"/>
        <v>7.2059159025599099E-3</v>
      </c>
      <c r="I952" s="128">
        <f t="shared" si="29"/>
        <v>4.4995544995544999E-2</v>
      </c>
    </row>
    <row r="953" spans="1:9" ht="14.25" customHeight="1" x14ac:dyDescent="0.3">
      <c r="A953" s="127">
        <v>45327</v>
      </c>
      <c r="B953" s="64">
        <v>21771.7</v>
      </c>
      <c r="D953" s="127">
        <v>45327</v>
      </c>
      <c r="E953" s="64">
        <v>72.14</v>
      </c>
      <c r="H953" s="128">
        <f t="shared" si="28"/>
        <v>-3.7567837172481902E-3</v>
      </c>
      <c r="I953" s="128">
        <f t="shared" si="29"/>
        <v>2.51527639619155E-2</v>
      </c>
    </row>
    <row r="954" spans="1:9" ht="14.25" customHeight="1" x14ac:dyDescent="0.3">
      <c r="A954" s="127">
        <v>45328</v>
      </c>
      <c r="B954" s="64">
        <v>21929.4</v>
      </c>
      <c r="D954" s="127">
        <v>45328</v>
      </c>
      <c r="E954" s="64">
        <v>72.77</v>
      </c>
      <c r="H954" s="128">
        <f t="shared" si="28"/>
        <v>7.2433480160024599E-3</v>
      </c>
      <c r="I954" s="128">
        <f t="shared" si="29"/>
        <v>8.7330191294704099E-3</v>
      </c>
    </row>
    <row r="955" spans="1:9" ht="14.25" customHeight="1" x14ac:dyDescent="0.3">
      <c r="A955" s="127">
        <v>45329</v>
      </c>
      <c r="B955" s="64">
        <v>21930.5</v>
      </c>
      <c r="D955" s="127">
        <v>45329</v>
      </c>
      <c r="E955" s="64">
        <v>72.739999999999995</v>
      </c>
      <c r="H955" s="128">
        <f t="shared" si="28"/>
        <v>5.0160971116334402E-5</v>
      </c>
      <c r="I955" s="128">
        <f t="shared" si="29"/>
        <v>-4.1225779854337099E-4</v>
      </c>
    </row>
    <row r="956" spans="1:9" ht="14.25" customHeight="1" x14ac:dyDescent="0.3">
      <c r="A956" s="127">
        <v>45330</v>
      </c>
      <c r="B956" s="64">
        <v>21717.95</v>
      </c>
      <c r="D956" s="127">
        <v>45330</v>
      </c>
      <c r="E956" s="64">
        <v>73.02</v>
      </c>
      <c r="H956" s="128">
        <f t="shared" si="28"/>
        <v>-9.6919814869701696E-3</v>
      </c>
      <c r="I956" s="128">
        <f t="shared" si="29"/>
        <v>3.8493263678856401E-3</v>
      </c>
    </row>
    <row r="957" spans="1:9" ht="14.25" customHeight="1" x14ac:dyDescent="0.3">
      <c r="A957" s="127">
        <v>45331</v>
      </c>
      <c r="B957" s="64">
        <v>21782.5</v>
      </c>
      <c r="D957" s="127">
        <v>45331</v>
      </c>
      <c r="E957" s="64">
        <v>72.150000000000006</v>
      </c>
      <c r="H957" s="128">
        <f t="shared" si="28"/>
        <v>2.9721958103780199E-3</v>
      </c>
      <c r="I957" s="128">
        <f t="shared" si="29"/>
        <v>-1.1914543960558599E-2</v>
      </c>
    </row>
    <row r="958" spans="1:9" ht="14.25" customHeight="1" x14ac:dyDescent="0.3">
      <c r="A958" s="127">
        <v>45334</v>
      </c>
      <c r="B958" s="64">
        <v>21616.05</v>
      </c>
      <c r="D958" s="127">
        <v>45334</v>
      </c>
      <c r="E958" s="64">
        <v>68.73</v>
      </c>
      <c r="H958" s="128">
        <f t="shared" si="28"/>
        <v>-7.6414552966831504E-3</v>
      </c>
      <c r="I958" s="128">
        <f t="shared" si="29"/>
        <v>-4.7401247401247397E-2</v>
      </c>
    </row>
    <row r="959" spans="1:9" ht="14.25" customHeight="1" x14ac:dyDescent="0.3">
      <c r="A959" s="127">
        <v>45335</v>
      </c>
      <c r="B959" s="64">
        <v>21743.25</v>
      </c>
      <c r="D959" s="127">
        <v>45335</v>
      </c>
      <c r="E959" s="64">
        <v>67.760000000000005</v>
      </c>
      <c r="H959" s="128">
        <f t="shared" si="28"/>
        <v>5.8845163663111804E-3</v>
      </c>
      <c r="I959" s="128">
        <f t="shared" si="29"/>
        <v>-1.41131965662738E-2</v>
      </c>
    </row>
    <row r="960" spans="1:9" ht="14.25" customHeight="1" x14ac:dyDescent="0.3">
      <c r="A960" s="127">
        <v>45336</v>
      </c>
      <c r="B960" s="64">
        <v>21840.05</v>
      </c>
      <c r="D960" s="127">
        <v>45336</v>
      </c>
      <c r="E960" s="64">
        <v>70.37</v>
      </c>
      <c r="H960" s="128">
        <f t="shared" si="28"/>
        <v>4.4519563542708297E-3</v>
      </c>
      <c r="I960" s="128">
        <f t="shared" si="29"/>
        <v>3.8518299881936197E-2</v>
      </c>
    </row>
    <row r="961" spans="1:9" ht="14.25" customHeight="1" x14ac:dyDescent="0.3">
      <c r="A961" s="127">
        <v>45337</v>
      </c>
      <c r="B961" s="64">
        <v>21910.75</v>
      </c>
      <c r="D961" s="127">
        <v>45337</v>
      </c>
      <c r="E961" s="64">
        <v>73.78</v>
      </c>
      <c r="H961" s="128">
        <f t="shared" si="28"/>
        <v>3.2371720760712899E-3</v>
      </c>
      <c r="I961" s="128">
        <f t="shared" si="29"/>
        <v>4.8458149779735601E-2</v>
      </c>
    </row>
    <row r="962" spans="1:9" ht="14.25" customHeight="1" x14ac:dyDescent="0.3">
      <c r="A962" s="127">
        <v>45338</v>
      </c>
      <c r="B962" s="64">
        <v>22040.7</v>
      </c>
      <c r="D962" s="127">
        <v>45338</v>
      </c>
      <c r="E962" s="64">
        <v>73</v>
      </c>
      <c r="H962" s="128">
        <f t="shared" si="28"/>
        <v>5.9308786782743999E-3</v>
      </c>
      <c r="I962" s="128">
        <f t="shared" si="29"/>
        <v>-1.0571970723773401E-2</v>
      </c>
    </row>
    <row r="963" spans="1:9" ht="14.25" customHeight="1" x14ac:dyDescent="0.3">
      <c r="A963" s="127">
        <v>45341</v>
      </c>
      <c r="B963" s="64">
        <v>22122.25</v>
      </c>
      <c r="D963" s="127">
        <v>45341</v>
      </c>
      <c r="E963" s="64">
        <v>73.59</v>
      </c>
      <c r="H963" s="128">
        <f t="shared" ref="H963:H1026" si="30">(B963-B962)/B962</f>
        <v>3.6999732313401702E-3</v>
      </c>
      <c r="I963" s="128">
        <f t="shared" ref="I963:I1026" si="31">(E963-E962)/E962</f>
        <v>8.0821917808219703E-3</v>
      </c>
    </row>
    <row r="964" spans="1:9" ht="14.25" customHeight="1" x14ac:dyDescent="0.3">
      <c r="A964" s="127">
        <v>45342</v>
      </c>
      <c r="B964" s="64">
        <v>22196.95</v>
      </c>
      <c r="D964" s="127">
        <v>45342</v>
      </c>
      <c r="E964" s="64">
        <v>71.989999999999995</v>
      </c>
      <c r="H964" s="128">
        <f t="shared" si="30"/>
        <v>3.3766908881330202E-3</v>
      </c>
      <c r="I964" s="128">
        <f t="shared" si="31"/>
        <v>-2.17420845223537E-2</v>
      </c>
    </row>
    <row r="965" spans="1:9" ht="14.25" customHeight="1" x14ac:dyDescent="0.3">
      <c r="A965" s="127">
        <v>45343</v>
      </c>
      <c r="B965" s="64">
        <v>22055.05</v>
      </c>
      <c r="D965" s="127">
        <v>45343</v>
      </c>
      <c r="E965" s="64">
        <v>69.489999999999995</v>
      </c>
      <c r="H965" s="128">
        <f t="shared" si="30"/>
        <v>-6.3927701778848604E-3</v>
      </c>
      <c r="I965" s="128">
        <f t="shared" si="31"/>
        <v>-3.4727045422975403E-2</v>
      </c>
    </row>
    <row r="966" spans="1:9" ht="14.25" customHeight="1" x14ac:dyDescent="0.3">
      <c r="A966" s="127">
        <v>45344</v>
      </c>
      <c r="B966" s="64">
        <v>22217.45</v>
      </c>
      <c r="D966" s="127">
        <v>45344</v>
      </c>
      <c r="E966" s="64">
        <v>71.41</v>
      </c>
      <c r="H966" s="128">
        <f t="shared" si="30"/>
        <v>7.3633929644231801E-3</v>
      </c>
      <c r="I966" s="128">
        <f t="shared" si="31"/>
        <v>2.7629874802129799E-2</v>
      </c>
    </row>
    <row r="967" spans="1:9" ht="14.25" customHeight="1" x14ac:dyDescent="0.3">
      <c r="A967" s="127">
        <v>45345</v>
      </c>
      <c r="B967" s="64">
        <v>22212.7</v>
      </c>
      <c r="D967" s="127">
        <v>45345</v>
      </c>
      <c r="E967" s="64">
        <v>71.2</v>
      </c>
      <c r="H967" s="128">
        <f t="shared" si="30"/>
        <v>-2.1379591267224599E-4</v>
      </c>
      <c r="I967" s="128">
        <f t="shared" si="31"/>
        <v>-2.9407645987956001E-3</v>
      </c>
    </row>
    <row r="968" spans="1:9" ht="14.25" customHeight="1" x14ac:dyDescent="0.3">
      <c r="A968" s="127">
        <v>45348</v>
      </c>
      <c r="B968" s="64">
        <v>22122.05</v>
      </c>
      <c r="D968" s="127">
        <v>45348</v>
      </c>
      <c r="E968" s="64">
        <v>70.2</v>
      </c>
      <c r="H968" s="128">
        <f t="shared" si="30"/>
        <v>-4.08099870794642E-3</v>
      </c>
      <c r="I968" s="128">
        <f t="shared" si="31"/>
        <v>-1.40449438202247E-2</v>
      </c>
    </row>
    <row r="969" spans="1:9" ht="14.25" customHeight="1" x14ac:dyDescent="0.3">
      <c r="A969" s="127">
        <v>45349</v>
      </c>
      <c r="B969" s="64">
        <v>22198.35</v>
      </c>
      <c r="D969" s="127">
        <v>45349</v>
      </c>
      <c r="E969" s="64">
        <v>68.92</v>
      </c>
      <c r="H969" s="128">
        <f t="shared" si="30"/>
        <v>3.4490474436139201E-3</v>
      </c>
      <c r="I969" s="128">
        <f t="shared" si="31"/>
        <v>-1.8233618233618201E-2</v>
      </c>
    </row>
    <row r="970" spans="1:9" ht="14.25" customHeight="1" x14ac:dyDescent="0.3">
      <c r="A970" s="127">
        <v>45350</v>
      </c>
      <c r="B970" s="64">
        <v>21951.15</v>
      </c>
      <c r="D970" s="127">
        <v>45350</v>
      </c>
      <c r="E970" s="64">
        <v>68.31</v>
      </c>
      <c r="H970" s="128">
        <f t="shared" si="30"/>
        <v>-1.11359628080464E-2</v>
      </c>
      <c r="I970" s="128">
        <f t="shared" si="31"/>
        <v>-8.8508415554265692E-3</v>
      </c>
    </row>
    <row r="971" spans="1:9" ht="14.25" customHeight="1" x14ac:dyDescent="0.3">
      <c r="A971" s="127">
        <v>45351</v>
      </c>
      <c r="B971" s="64">
        <v>21982.799999999999</v>
      </c>
      <c r="D971" s="127">
        <v>45351</v>
      </c>
      <c r="E971" s="64">
        <v>69.180000000000007</v>
      </c>
      <c r="H971" s="128">
        <f t="shared" si="30"/>
        <v>1.44183789915325E-3</v>
      </c>
      <c r="I971" s="128">
        <f t="shared" si="31"/>
        <v>1.27360562143171E-2</v>
      </c>
    </row>
    <row r="972" spans="1:9" ht="14.25" customHeight="1" x14ac:dyDescent="0.3">
      <c r="A972" s="127">
        <v>45352</v>
      </c>
      <c r="B972" s="64">
        <v>22338.75</v>
      </c>
      <c r="D972" s="127">
        <v>45352</v>
      </c>
      <c r="E972" s="64">
        <v>70.760000000000005</v>
      </c>
      <c r="H972" s="128">
        <f t="shared" si="30"/>
        <v>1.6192204814673299E-2</v>
      </c>
      <c r="I972" s="128">
        <f t="shared" si="31"/>
        <v>2.2838970800809499E-2</v>
      </c>
    </row>
    <row r="973" spans="1:9" ht="14.25" customHeight="1" x14ac:dyDescent="0.3">
      <c r="A973" s="127">
        <v>45355</v>
      </c>
      <c r="B973" s="64">
        <v>22405.599999999999</v>
      </c>
      <c r="D973" s="127">
        <v>45355</v>
      </c>
      <c r="E973" s="64">
        <v>73.52</v>
      </c>
      <c r="H973" s="128">
        <f t="shared" si="30"/>
        <v>2.9925577751664101E-3</v>
      </c>
      <c r="I973" s="128">
        <f t="shared" si="31"/>
        <v>3.9005087620124203E-2</v>
      </c>
    </row>
    <row r="974" spans="1:9" ht="14.25" customHeight="1" x14ac:dyDescent="0.3">
      <c r="A974" s="127">
        <v>45356</v>
      </c>
      <c r="B974" s="64">
        <v>22356.3</v>
      </c>
      <c r="D974" s="127">
        <v>45356</v>
      </c>
      <c r="E974" s="64">
        <v>74.31</v>
      </c>
      <c r="H974" s="128">
        <f t="shared" si="30"/>
        <v>-2.20034277144996E-3</v>
      </c>
      <c r="I974" s="128">
        <f t="shared" si="31"/>
        <v>1.07453754080523E-2</v>
      </c>
    </row>
    <row r="975" spans="1:9" ht="14.25" customHeight="1" x14ac:dyDescent="0.3">
      <c r="A975" s="127">
        <v>45357</v>
      </c>
      <c r="B975" s="64">
        <v>22474.05</v>
      </c>
      <c r="D975" s="127">
        <v>45357</v>
      </c>
      <c r="E975" s="64">
        <v>73.790000000000006</v>
      </c>
      <c r="H975" s="128">
        <f t="shared" si="30"/>
        <v>5.26697172609063E-3</v>
      </c>
      <c r="I975" s="128">
        <f t="shared" si="31"/>
        <v>-6.9977122863678597E-3</v>
      </c>
    </row>
    <row r="976" spans="1:9" ht="14.25" customHeight="1" x14ac:dyDescent="0.3">
      <c r="A976" s="127">
        <v>45358</v>
      </c>
      <c r="B976" s="64">
        <v>22493.55</v>
      </c>
      <c r="D976" s="127">
        <v>45358</v>
      </c>
      <c r="E976" s="64">
        <v>73.14</v>
      </c>
      <c r="H976" s="128">
        <f t="shared" si="30"/>
        <v>8.6766737637408503E-4</v>
      </c>
      <c r="I976" s="128">
        <f t="shared" si="31"/>
        <v>-8.8087816777341899E-3</v>
      </c>
    </row>
    <row r="977" spans="1:9" ht="14.25" customHeight="1" x14ac:dyDescent="0.3">
      <c r="A977" s="127">
        <v>45362</v>
      </c>
      <c r="B977" s="64">
        <v>22332.65</v>
      </c>
      <c r="D977" s="127">
        <v>45362</v>
      </c>
      <c r="E977" s="64">
        <v>70.09</v>
      </c>
      <c r="H977" s="128">
        <f t="shared" si="30"/>
        <v>-7.1531616841271298E-3</v>
      </c>
      <c r="I977" s="128">
        <f t="shared" si="31"/>
        <v>-4.1700847689362802E-2</v>
      </c>
    </row>
    <row r="978" spans="1:9" ht="14.25" customHeight="1" x14ac:dyDescent="0.3">
      <c r="A978" s="127">
        <v>45363</v>
      </c>
      <c r="B978" s="64">
        <v>22335.7</v>
      </c>
      <c r="D978" s="127">
        <v>45363</v>
      </c>
      <c r="E978" s="64">
        <v>68.45</v>
      </c>
      <c r="H978" s="128">
        <f t="shared" si="30"/>
        <v>1.3657134285448801E-4</v>
      </c>
      <c r="I978" s="128">
        <f t="shared" si="31"/>
        <v>-2.3398487658724501E-2</v>
      </c>
    </row>
    <row r="979" spans="1:9" ht="14.25" customHeight="1" x14ac:dyDescent="0.3">
      <c r="A979" s="127">
        <v>45364</v>
      </c>
      <c r="B979" s="64">
        <v>21997.7</v>
      </c>
      <c r="D979" s="127">
        <v>45364</v>
      </c>
      <c r="E979" s="64">
        <v>62.92</v>
      </c>
      <c r="H979" s="128">
        <f t="shared" si="30"/>
        <v>-1.51327247411095E-2</v>
      </c>
      <c r="I979" s="128">
        <f t="shared" si="31"/>
        <v>-8.07888970051132E-2</v>
      </c>
    </row>
    <row r="980" spans="1:9" ht="14.25" customHeight="1" x14ac:dyDescent="0.3">
      <c r="A980" s="127">
        <v>45365</v>
      </c>
      <c r="B980" s="64">
        <v>22146.65</v>
      </c>
      <c r="D980" s="127">
        <v>45365</v>
      </c>
      <c r="E980" s="64">
        <v>61.85</v>
      </c>
      <c r="H980" s="128">
        <f t="shared" si="30"/>
        <v>6.7711624397096401E-3</v>
      </c>
      <c r="I980" s="128">
        <f t="shared" si="31"/>
        <v>-1.7005721551176099E-2</v>
      </c>
    </row>
    <row r="981" spans="1:9" ht="14.25" customHeight="1" x14ac:dyDescent="0.3">
      <c r="A981" s="127">
        <v>45366</v>
      </c>
      <c r="B981" s="64">
        <v>22023.35</v>
      </c>
      <c r="D981" s="127">
        <v>45366</v>
      </c>
      <c r="E981" s="64">
        <v>60.75</v>
      </c>
      <c r="H981" s="128">
        <f t="shared" si="30"/>
        <v>-5.5674334493028502E-3</v>
      </c>
      <c r="I981" s="128">
        <f t="shared" si="31"/>
        <v>-1.77849636216653E-2</v>
      </c>
    </row>
    <row r="982" spans="1:9" ht="14.25" customHeight="1" x14ac:dyDescent="0.3">
      <c r="A982" s="127">
        <v>45369</v>
      </c>
      <c r="B982" s="64">
        <v>22055.7</v>
      </c>
      <c r="D982" s="127">
        <v>45369</v>
      </c>
      <c r="E982" s="64">
        <v>62.08</v>
      </c>
      <c r="H982" s="128">
        <f t="shared" si="30"/>
        <v>1.46889551317135E-3</v>
      </c>
      <c r="I982" s="128">
        <f t="shared" si="31"/>
        <v>2.1893004115226301E-2</v>
      </c>
    </row>
    <row r="983" spans="1:9" ht="14.25" customHeight="1" x14ac:dyDescent="0.3">
      <c r="A983" s="127">
        <v>45370</v>
      </c>
      <c r="B983" s="64">
        <v>21817.45</v>
      </c>
      <c r="D983" s="127">
        <v>45370</v>
      </c>
      <c r="E983" s="64">
        <v>61.34</v>
      </c>
      <c r="H983" s="128">
        <f t="shared" si="30"/>
        <v>-1.08021962576568E-2</v>
      </c>
      <c r="I983" s="128">
        <f t="shared" si="31"/>
        <v>-1.19201030927834E-2</v>
      </c>
    </row>
    <row r="984" spans="1:9" ht="14.25" customHeight="1" x14ac:dyDescent="0.3">
      <c r="A984" s="127">
        <v>45371</v>
      </c>
      <c r="B984" s="64">
        <v>21839.1</v>
      </c>
      <c r="D984" s="127">
        <v>45371</v>
      </c>
      <c r="E984" s="64">
        <v>63.03</v>
      </c>
      <c r="H984" s="128">
        <f t="shared" si="30"/>
        <v>9.9232495089929501E-4</v>
      </c>
      <c r="I984" s="128">
        <f t="shared" si="31"/>
        <v>2.75513531137919E-2</v>
      </c>
    </row>
    <row r="985" spans="1:9" ht="14.25" customHeight="1" x14ac:dyDescent="0.3">
      <c r="A985" s="127">
        <v>45372</v>
      </c>
      <c r="B985" s="64">
        <v>22011.95</v>
      </c>
      <c r="D985" s="127">
        <v>45372</v>
      </c>
      <c r="E985" s="64">
        <v>63.64</v>
      </c>
      <c r="H985" s="128">
        <f t="shared" si="30"/>
        <v>7.9147034447391192E-3</v>
      </c>
      <c r="I985" s="128">
        <f t="shared" si="31"/>
        <v>9.6779311438997193E-3</v>
      </c>
    </row>
    <row r="986" spans="1:9" ht="14.25" customHeight="1" x14ac:dyDescent="0.3">
      <c r="A986" s="127">
        <v>45373</v>
      </c>
      <c r="B986" s="64">
        <v>22096.75</v>
      </c>
      <c r="D986" s="127">
        <v>45373</v>
      </c>
      <c r="E986" s="64">
        <v>62.39</v>
      </c>
      <c r="H986" s="128">
        <f t="shared" si="30"/>
        <v>3.85245287218985E-3</v>
      </c>
      <c r="I986" s="128">
        <f t="shared" si="31"/>
        <v>-1.9641734758013799E-2</v>
      </c>
    </row>
    <row r="987" spans="1:9" ht="14.25" customHeight="1" x14ac:dyDescent="0.3">
      <c r="A987" s="127">
        <v>45377</v>
      </c>
      <c r="B987" s="64">
        <v>22004.7</v>
      </c>
      <c r="D987" s="127">
        <v>45377</v>
      </c>
      <c r="E987" s="64">
        <v>62.31</v>
      </c>
      <c r="H987" s="128">
        <f t="shared" si="30"/>
        <v>-4.1657709844207498E-3</v>
      </c>
      <c r="I987" s="128">
        <f t="shared" si="31"/>
        <v>-1.28225677191855E-3</v>
      </c>
    </row>
    <row r="988" spans="1:9" ht="14.25" customHeight="1" x14ac:dyDescent="0.3">
      <c r="A988" s="127">
        <v>45378</v>
      </c>
      <c r="B988" s="64">
        <v>22123.65</v>
      </c>
      <c r="D988" s="127">
        <v>45378</v>
      </c>
      <c r="E988" s="64">
        <v>60.95</v>
      </c>
      <c r="H988" s="128">
        <f t="shared" si="30"/>
        <v>5.4056633355601602E-3</v>
      </c>
      <c r="I988" s="128">
        <f t="shared" si="31"/>
        <v>-2.1826352110415701E-2</v>
      </c>
    </row>
    <row r="989" spans="1:9" ht="14.25" customHeight="1" x14ac:dyDescent="0.3">
      <c r="A989" s="127">
        <v>45379</v>
      </c>
      <c r="B989" s="64">
        <v>22326.9</v>
      </c>
      <c r="D989" s="127">
        <v>45379</v>
      </c>
      <c r="E989" s="64">
        <v>61.79</v>
      </c>
      <c r="H989" s="128">
        <f t="shared" si="30"/>
        <v>9.1870012407536707E-3</v>
      </c>
      <c r="I989" s="128">
        <f t="shared" si="31"/>
        <v>1.37817883511074E-2</v>
      </c>
    </row>
    <row r="990" spans="1:9" ht="14.25" customHeight="1" x14ac:dyDescent="0.3">
      <c r="A990" s="127">
        <v>45383</v>
      </c>
      <c r="B990" s="64">
        <v>22462</v>
      </c>
      <c r="D990" s="127">
        <v>45383</v>
      </c>
      <c r="E990" s="64">
        <v>65.11</v>
      </c>
      <c r="H990" s="128">
        <f t="shared" si="30"/>
        <v>6.0509967796692999E-3</v>
      </c>
      <c r="I990" s="128">
        <f t="shared" si="31"/>
        <v>5.3730377083670497E-2</v>
      </c>
    </row>
    <row r="991" spans="1:9" ht="14.25" customHeight="1" x14ac:dyDescent="0.3">
      <c r="A991" s="127">
        <v>45384</v>
      </c>
      <c r="B991" s="64">
        <v>22453.3</v>
      </c>
      <c r="D991" s="127">
        <v>45384</v>
      </c>
      <c r="E991" s="64">
        <v>66.06</v>
      </c>
      <c r="H991" s="128">
        <f t="shared" si="30"/>
        <v>-3.8732080847657098E-4</v>
      </c>
      <c r="I991" s="128">
        <f t="shared" si="31"/>
        <v>1.4590692673936499E-2</v>
      </c>
    </row>
    <row r="992" spans="1:9" ht="14.25" customHeight="1" x14ac:dyDescent="0.3">
      <c r="A992" s="127">
        <v>45385</v>
      </c>
      <c r="B992" s="64">
        <v>22434.65</v>
      </c>
      <c r="D992" s="127">
        <v>45385</v>
      </c>
      <c r="E992" s="64">
        <v>66.67</v>
      </c>
      <c r="H992" s="128">
        <f t="shared" si="30"/>
        <v>-8.3061287204989095E-4</v>
      </c>
      <c r="I992" s="128">
        <f t="shared" si="31"/>
        <v>9.2340296699969602E-3</v>
      </c>
    </row>
    <row r="993" spans="1:9" ht="14.25" customHeight="1" x14ac:dyDescent="0.3">
      <c r="A993" s="127">
        <v>45386</v>
      </c>
      <c r="B993" s="64">
        <v>22514.65</v>
      </c>
      <c r="D993" s="127">
        <v>45386</v>
      </c>
      <c r="E993" s="64">
        <v>66.400000000000006</v>
      </c>
      <c r="H993" s="128">
        <f t="shared" si="30"/>
        <v>3.5659125504520898E-3</v>
      </c>
      <c r="I993" s="128">
        <f t="shared" si="31"/>
        <v>-4.0497975101244296E-3</v>
      </c>
    </row>
    <row r="994" spans="1:9" ht="14.25" customHeight="1" x14ac:dyDescent="0.3">
      <c r="A994" s="127">
        <v>45387</v>
      </c>
      <c r="B994" s="64">
        <v>22513.7</v>
      </c>
      <c r="D994" s="127">
        <v>45387</v>
      </c>
      <c r="E994" s="64">
        <v>66.73</v>
      </c>
      <c r="H994" s="128">
        <f t="shared" si="30"/>
        <v>-4.2194748752511303E-5</v>
      </c>
      <c r="I994" s="128">
        <f t="shared" si="31"/>
        <v>4.9698795180722604E-3</v>
      </c>
    </row>
    <row r="995" spans="1:9" ht="14.25" customHeight="1" x14ac:dyDescent="0.3">
      <c r="A995" s="127">
        <v>45390</v>
      </c>
      <c r="B995" s="64">
        <v>22666.3</v>
      </c>
      <c r="D995" s="127">
        <v>45390</v>
      </c>
      <c r="E995" s="64">
        <v>68.63</v>
      </c>
      <c r="H995" s="128">
        <f t="shared" si="30"/>
        <v>6.7780951154185502E-3</v>
      </c>
      <c r="I995" s="128">
        <f t="shared" si="31"/>
        <v>2.84729506968379E-2</v>
      </c>
    </row>
    <row r="996" spans="1:9" ht="14.25" customHeight="1" x14ac:dyDescent="0.3">
      <c r="A996" s="127">
        <v>45391</v>
      </c>
      <c r="B996" s="64">
        <v>22642.75</v>
      </c>
      <c r="D996" s="127">
        <v>45391</v>
      </c>
      <c r="E996" s="64">
        <v>69.83</v>
      </c>
      <c r="H996" s="128">
        <f t="shared" si="30"/>
        <v>-1.03898739538431E-3</v>
      </c>
      <c r="I996" s="128">
        <f t="shared" si="31"/>
        <v>1.7485064840448799E-2</v>
      </c>
    </row>
    <row r="997" spans="1:9" ht="14.25" customHeight="1" x14ac:dyDescent="0.3">
      <c r="A997" s="127">
        <v>45392</v>
      </c>
      <c r="B997" s="64">
        <v>22753.8</v>
      </c>
      <c r="D997" s="127">
        <v>45392</v>
      </c>
      <c r="E997" s="64">
        <v>73.84</v>
      </c>
      <c r="H997" s="128">
        <f t="shared" si="30"/>
        <v>4.9044396109129496E-3</v>
      </c>
      <c r="I997" s="128">
        <f t="shared" si="31"/>
        <v>5.7425175426034702E-2</v>
      </c>
    </row>
    <row r="998" spans="1:9" ht="14.25" customHeight="1" x14ac:dyDescent="0.3">
      <c r="A998" s="127">
        <v>45394</v>
      </c>
      <c r="B998" s="64">
        <v>22519.4</v>
      </c>
      <c r="D998" s="127">
        <v>45394</v>
      </c>
      <c r="E998" s="64">
        <v>73.17</v>
      </c>
      <c r="H998" s="128">
        <f t="shared" si="30"/>
        <v>-1.0301576000492099E-2</v>
      </c>
      <c r="I998" s="128">
        <f t="shared" si="31"/>
        <v>-9.0736728060672005E-3</v>
      </c>
    </row>
    <row r="999" spans="1:9" ht="14.25" customHeight="1" x14ac:dyDescent="0.3">
      <c r="A999" s="127">
        <v>45397</v>
      </c>
      <c r="B999" s="64">
        <v>22272.5</v>
      </c>
      <c r="D999" s="127">
        <v>45397</v>
      </c>
      <c r="E999" s="64">
        <v>73.78</v>
      </c>
      <c r="H999" s="128">
        <f t="shared" si="30"/>
        <v>-1.09638800323277E-2</v>
      </c>
      <c r="I999" s="128">
        <f t="shared" si="31"/>
        <v>8.3367500341669995E-3</v>
      </c>
    </row>
    <row r="1000" spans="1:9" ht="14.25" customHeight="1" x14ac:dyDescent="0.3">
      <c r="A1000" s="127">
        <v>45398</v>
      </c>
      <c r="B1000" s="64">
        <v>22147.9</v>
      </c>
      <c r="D1000" s="127">
        <v>45398</v>
      </c>
      <c r="E1000" s="64">
        <v>73.64</v>
      </c>
      <c r="H1000" s="128">
        <f t="shared" si="30"/>
        <v>-5.5943427994162498E-3</v>
      </c>
      <c r="I1000" s="128">
        <f t="shared" si="31"/>
        <v>-1.89753320683113E-3</v>
      </c>
    </row>
    <row r="1001" spans="1:9" ht="14.25" customHeight="1" x14ac:dyDescent="0.3">
      <c r="A1001" s="127">
        <v>45400</v>
      </c>
      <c r="B1001" s="64">
        <v>21995.85</v>
      </c>
      <c r="D1001" s="127">
        <v>45400</v>
      </c>
      <c r="E1001" s="64">
        <v>72.03</v>
      </c>
      <c r="H1001" s="128">
        <f t="shared" si="30"/>
        <v>-6.8652106971768398E-3</v>
      </c>
      <c r="I1001" s="128">
        <f t="shared" si="31"/>
        <v>-2.1863117870722398E-2</v>
      </c>
    </row>
    <row r="1002" spans="1:9" ht="14.25" customHeight="1" x14ac:dyDescent="0.3">
      <c r="A1002" s="127">
        <v>45401</v>
      </c>
      <c r="B1002" s="64">
        <v>22147</v>
      </c>
      <c r="D1002" s="127">
        <v>45401</v>
      </c>
      <c r="E1002" s="64">
        <v>72.17</v>
      </c>
      <c r="H1002" s="128">
        <f t="shared" si="30"/>
        <v>6.8717508075387601E-3</v>
      </c>
      <c r="I1002" s="128">
        <f t="shared" si="31"/>
        <v>1.94363459669583E-3</v>
      </c>
    </row>
    <row r="1003" spans="1:9" ht="14.25" customHeight="1" x14ac:dyDescent="0.3">
      <c r="A1003" s="127">
        <v>45404</v>
      </c>
      <c r="B1003" s="64">
        <v>22336.400000000001</v>
      </c>
      <c r="D1003" s="127">
        <v>45404</v>
      </c>
      <c r="E1003" s="64">
        <v>72.83</v>
      </c>
      <c r="H1003" s="128">
        <f t="shared" si="30"/>
        <v>8.5519483451483892E-3</v>
      </c>
      <c r="I1003" s="128">
        <f t="shared" si="31"/>
        <v>9.1450741305251007E-3</v>
      </c>
    </row>
    <row r="1004" spans="1:9" ht="14.25" customHeight="1" x14ac:dyDescent="0.3">
      <c r="A1004" s="127">
        <v>45405</v>
      </c>
      <c r="B1004" s="64">
        <v>22368</v>
      </c>
      <c r="D1004" s="127">
        <v>45405</v>
      </c>
      <c r="E1004" s="64">
        <v>71.86</v>
      </c>
      <c r="H1004" s="128">
        <f t="shared" si="30"/>
        <v>1.4147311115487999E-3</v>
      </c>
      <c r="I1004" s="128">
        <f t="shared" si="31"/>
        <v>-1.3318687354112299E-2</v>
      </c>
    </row>
    <row r="1005" spans="1:9" ht="14.25" customHeight="1" x14ac:dyDescent="0.3">
      <c r="A1005" s="127">
        <v>45406</v>
      </c>
      <c r="B1005" s="64">
        <v>22402.400000000001</v>
      </c>
      <c r="D1005" s="127">
        <v>45406</v>
      </c>
      <c r="E1005" s="64">
        <v>75.98</v>
      </c>
      <c r="H1005" s="128">
        <f t="shared" si="30"/>
        <v>1.5379113018598599E-3</v>
      </c>
      <c r="I1005" s="128">
        <f t="shared" si="31"/>
        <v>5.7333704425271401E-2</v>
      </c>
    </row>
    <row r="1006" spans="1:9" ht="14.25" customHeight="1" x14ac:dyDescent="0.3">
      <c r="A1006" s="127">
        <v>45407</v>
      </c>
      <c r="B1006" s="64">
        <v>22570.35</v>
      </c>
      <c r="D1006" s="127">
        <v>45407</v>
      </c>
      <c r="E1006" s="64">
        <v>77.260000000000005</v>
      </c>
      <c r="H1006" s="128">
        <f t="shared" si="30"/>
        <v>7.4969646109344099E-3</v>
      </c>
      <c r="I1006" s="128">
        <f t="shared" si="31"/>
        <v>1.6846538562779699E-2</v>
      </c>
    </row>
    <row r="1007" spans="1:9" ht="14.25" customHeight="1" x14ac:dyDescent="0.3">
      <c r="A1007" s="127">
        <v>45408</v>
      </c>
      <c r="B1007" s="64">
        <v>22419.95</v>
      </c>
      <c r="D1007" s="127">
        <v>45408</v>
      </c>
      <c r="E1007" s="64">
        <v>79</v>
      </c>
      <c r="H1007" s="128">
        <f t="shared" si="30"/>
        <v>-6.6636095585579204E-3</v>
      </c>
      <c r="I1007" s="128">
        <f t="shared" si="31"/>
        <v>2.2521356458710801E-2</v>
      </c>
    </row>
    <row r="1008" spans="1:9" ht="14.25" customHeight="1" x14ac:dyDescent="0.3">
      <c r="A1008" s="127">
        <v>45411</v>
      </c>
      <c r="B1008" s="64">
        <v>22643.4</v>
      </c>
      <c r="D1008" s="127">
        <v>45411</v>
      </c>
      <c r="E1008" s="64">
        <v>78.069999999999993</v>
      </c>
      <c r="H1008" s="128">
        <f t="shared" si="30"/>
        <v>9.9665699522077794E-3</v>
      </c>
      <c r="I1008" s="128">
        <f t="shared" si="31"/>
        <v>-1.17721518987343E-2</v>
      </c>
    </row>
    <row r="1009" spans="1:9" ht="14.25" customHeight="1" x14ac:dyDescent="0.3">
      <c r="A1009" s="127">
        <v>45412</v>
      </c>
      <c r="B1009" s="64">
        <v>22604.85</v>
      </c>
      <c r="D1009" s="127">
        <v>45412</v>
      </c>
      <c r="E1009" s="64">
        <v>77.91</v>
      </c>
      <c r="H1009" s="128">
        <f t="shared" si="30"/>
        <v>-1.7024828426827599E-3</v>
      </c>
      <c r="I1009" s="128">
        <f t="shared" si="31"/>
        <v>-2.0494428077366001E-3</v>
      </c>
    </row>
    <row r="1010" spans="1:9" ht="14.25" customHeight="1" x14ac:dyDescent="0.3">
      <c r="A1010" s="127">
        <v>45414</v>
      </c>
      <c r="B1010" s="64">
        <v>22648.2</v>
      </c>
      <c r="D1010" s="127">
        <v>45414</v>
      </c>
      <c r="E1010" s="64">
        <v>79.17</v>
      </c>
      <c r="H1010" s="128">
        <f t="shared" si="30"/>
        <v>1.9177300446586499E-3</v>
      </c>
      <c r="I1010" s="128">
        <f t="shared" si="31"/>
        <v>1.61725067385445E-2</v>
      </c>
    </row>
    <row r="1011" spans="1:9" ht="14.25" customHeight="1" x14ac:dyDescent="0.3">
      <c r="A1011" s="127">
        <v>45415</v>
      </c>
      <c r="B1011" s="64">
        <v>22475.85</v>
      </c>
      <c r="D1011" s="127">
        <v>45415</v>
      </c>
      <c r="E1011" s="64">
        <v>82.37</v>
      </c>
      <c r="H1011" s="128">
        <f t="shared" si="30"/>
        <v>-7.6098762815589001E-3</v>
      </c>
      <c r="I1011" s="128">
        <f t="shared" si="31"/>
        <v>4.0419350764178401E-2</v>
      </c>
    </row>
    <row r="1012" spans="1:9" ht="14.25" customHeight="1" x14ac:dyDescent="0.3">
      <c r="A1012" s="127">
        <v>45418</v>
      </c>
      <c r="B1012" s="64">
        <v>22442.7</v>
      </c>
      <c r="D1012" s="127">
        <v>45418</v>
      </c>
      <c r="E1012" s="64">
        <v>82.51</v>
      </c>
      <c r="H1012" s="128">
        <f t="shared" si="30"/>
        <v>-1.47491641028027E-3</v>
      </c>
      <c r="I1012" s="128">
        <f t="shared" si="31"/>
        <v>1.69964793007163E-3</v>
      </c>
    </row>
    <row r="1013" spans="1:9" ht="14.25" customHeight="1" x14ac:dyDescent="0.3">
      <c r="A1013" s="127">
        <v>45419</v>
      </c>
      <c r="B1013" s="64">
        <v>22302.5</v>
      </c>
      <c r="D1013" s="127">
        <v>45419</v>
      </c>
      <c r="E1013" s="64">
        <v>79.87</v>
      </c>
      <c r="H1013" s="128">
        <f t="shared" si="30"/>
        <v>-6.2470201891929502E-3</v>
      </c>
      <c r="I1013" s="128">
        <f t="shared" si="31"/>
        <v>-3.1996121682220303E-2</v>
      </c>
    </row>
    <row r="1014" spans="1:9" ht="14.25" customHeight="1" x14ac:dyDescent="0.3">
      <c r="A1014" s="127">
        <v>45420</v>
      </c>
      <c r="B1014" s="64">
        <v>22302.5</v>
      </c>
      <c r="D1014" s="127">
        <v>45420</v>
      </c>
      <c r="E1014" s="64">
        <v>81.709999999999994</v>
      </c>
      <c r="H1014" s="128">
        <f t="shared" si="30"/>
        <v>0</v>
      </c>
      <c r="I1014" s="128">
        <f t="shared" si="31"/>
        <v>2.3037435833228901E-2</v>
      </c>
    </row>
    <row r="1015" spans="1:9" ht="14.25" customHeight="1" x14ac:dyDescent="0.3">
      <c r="A1015" s="127">
        <v>45421</v>
      </c>
      <c r="B1015" s="64">
        <v>21957.5</v>
      </c>
      <c r="D1015" s="127">
        <v>45421</v>
      </c>
      <c r="E1015" s="64">
        <v>77.48</v>
      </c>
      <c r="H1015" s="128">
        <f t="shared" si="30"/>
        <v>-1.5469117811904499E-2</v>
      </c>
      <c r="I1015" s="128">
        <f t="shared" si="31"/>
        <v>-5.1768449394198897E-2</v>
      </c>
    </row>
    <row r="1016" spans="1:9" ht="14.25" customHeight="1" x14ac:dyDescent="0.3">
      <c r="A1016" s="127">
        <v>45422</v>
      </c>
      <c r="B1016" s="64">
        <v>22055.200000000001</v>
      </c>
      <c r="D1016" s="127">
        <v>45422</v>
      </c>
      <c r="E1016" s="64">
        <v>78.22</v>
      </c>
      <c r="H1016" s="128">
        <f t="shared" si="30"/>
        <v>4.4495047250370399E-3</v>
      </c>
      <c r="I1016" s="128">
        <f t="shared" si="31"/>
        <v>9.5508518327309597E-3</v>
      </c>
    </row>
    <row r="1017" spans="1:9" ht="14.25" customHeight="1" x14ac:dyDescent="0.3">
      <c r="A1017" s="127">
        <v>45425</v>
      </c>
      <c r="B1017" s="64">
        <v>22104.05</v>
      </c>
      <c r="D1017" s="127">
        <v>45425</v>
      </c>
      <c r="E1017" s="64">
        <v>78.33</v>
      </c>
      <c r="H1017" s="128">
        <f t="shared" si="30"/>
        <v>2.2148971671079199E-3</v>
      </c>
      <c r="I1017" s="128">
        <f t="shared" si="31"/>
        <v>1.4062899514190701E-3</v>
      </c>
    </row>
    <row r="1018" spans="1:9" ht="14.25" customHeight="1" x14ac:dyDescent="0.3">
      <c r="A1018" s="127">
        <v>45426</v>
      </c>
      <c r="B1018" s="64">
        <v>22217.85</v>
      </c>
      <c r="D1018" s="127">
        <v>45426</v>
      </c>
      <c r="E1018" s="64">
        <v>81.180000000000007</v>
      </c>
      <c r="H1018" s="128">
        <f t="shared" si="30"/>
        <v>5.1483777859713201E-3</v>
      </c>
      <c r="I1018" s="128">
        <f t="shared" si="31"/>
        <v>3.6384527001149101E-2</v>
      </c>
    </row>
    <row r="1019" spans="1:9" ht="14.25" customHeight="1" x14ac:dyDescent="0.3">
      <c r="A1019" s="127">
        <v>45427</v>
      </c>
      <c r="B1019" s="64">
        <v>22200.55</v>
      </c>
      <c r="D1019" s="127">
        <v>45427</v>
      </c>
      <c r="E1019" s="64">
        <v>81.86</v>
      </c>
      <c r="H1019" s="128">
        <f t="shared" si="30"/>
        <v>-7.7865320001707097E-4</v>
      </c>
      <c r="I1019" s="128">
        <f t="shared" si="31"/>
        <v>8.3764474008375493E-3</v>
      </c>
    </row>
    <row r="1020" spans="1:9" ht="14.25" customHeight="1" x14ac:dyDescent="0.3">
      <c r="A1020" s="127">
        <v>45428</v>
      </c>
      <c r="B1020" s="64">
        <v>22403.85</v>
      </c>
      <c r="D1020" s="127">
        <v>45428</v>
      </c>
      <c r="E1020" s="64">
        <v>81.16</v>
      </c>
      <c r="H1020" s="128">
        <f t="shared" si="30"/>
        <v>9.1574307843724292E-3</v>
      </c>
      <c r="I1020" s="128">
        <f t="shared" si="31"/>
        <v>-8.5511849499145202E-3</v>
      </c>
    </row>
    <row r="1021" spans="1:9" ht="14.25" customHeight="1" x14ac:dyDescent="0.3">
      <c r="A1021" s="127">
        <v>45429</v>
      </c>
      <c r="B1021" s="64">
        <v>22466.1</v>
      </c>
      <c r="D1021" s="127">
        <v>45429</v>
      </c>
      <c r="E1021" s="64">
        <v>84.73</v>
      </c>
      <c r="H1021" s="128">
        <f t="shared" si="30"/>
        <v>2.7785402955295599E-3</v>
      </c>
      <c r="I1021" s="128">
        <f t="shared" si="31"/>
        <v>4.3987185805815801E-2</v>
      </c>
    </row>
    <row r="1022" spans="1:9" ht="14.25" customHeight="1" x14ac:dyDescent="0.3">
      <c r="A1022" s="127">
        <v>45433</v>
      </c>
      <c r="B1022" s="64">
        <v>22529.05</v>
      </c>
      <c r="D1022" s="127">
        <v>45433</v>
      </c>
      <c r="E1022" s="64">
        <v>86.43</v>
      </c>
      <c r="H1022" s="128">
        <f t="shared" si="30"/>
        <v>2.8019994569596302E-3</v>
      </c>
      <c r="I1022" s="128">
        <f t="shared" si="31"/>
        <v>2.0063731854124901E-2</v>
      </c>
    </row>
    <row r="1023" spans="1:9" ht="14.25" customHeight="1" x14ac:dyDescent="0.3">
      <c r="A1023" s="127">
        <v>45434</v>
      </c>
      <c r="B1023" s="64">
        <v>22597.8</v>
      </c>
      <c r="D1023" s="127">
        <v>45434</v>
      </c>
      <c r="E1023" s="64">
        <v>83.67</v>
      </c>
      <c r="H1023" s="128">
        <f t="shared" si="30"/>
        <v>3.05161558077238E-3</v>
      </c>
      <c r="I1023" s="128">
        <f t="shared" si="31"/>
        <v>-3.1933356473446799E-2</v>
      </c>
    </row>
    <row r="1024" spans="1:9" ht="14.25" customHeight="1" x14ac:dyDescent="0.3">
      <c r="A1024" s="127">
        <v>45435</v>
      </c>
      <c r="B1024" s="64">
        <v>22967.65</v>
      </c>
      <c r="D1024" s="127">
        <v>45435</v>
      </c>
      <c r="E1024" s="64">
        <v>81.48</v>
      </c>
      <c r="H1024" s="128">
        <f t="shared" si="30"/>
        <v>1.6366637460283801E-2</v>
      </c>
      <c r="I1024" s="128">
        <f t="shared" si="31"/>
        <v>-2.61742560057368E-2</v>
      </c>
    </row>
    <row r="1025" spans="1:9" ht="14.25" customHeight="1" x14ac:dyDescent="0.3">
      <c r="A1025" s="127">
        <v>45436</v>
      </c>
      <c r="B1025" s="64">
        <v>22957.1</v>
      </c>
      <c r="D1025" s="127">
        <v>45436</v>
      </c>
      <c r="E1025" s="64">
        <v>82.05</v>
      </c>
      <c r="H1025" s="128">
        <f t="shared" si="30"/>
        <v>-4.5934172629776698E-4</v>
      </c>
      <c r="I1025" s="128">
        <f t="shared" si="31"/>
        <v>6.9955817378496996E-3</v>
      </c>
    </row>
    <row r="1026" spans="1:9" ht="14.25" customHeight="1" x14ac:dyDescent="0.3">
      <c r="A1026" s="127">
        <v>45439</v>
      </c>
      <c r="B1026" s="64">
        <v>22932.45</v>
      </c>
      <c r="D1026" s="127">
        <v>45439</v>
      </c>
      <c r="E1026" s="64">
        <v>80.42</v>
      </c>
      <c r="H1026" s="128">
        <f t="shared" si="30"/>
        <v>-1.0737418924863301E-3</v>
      </c>
      <c r="I1026" s="128">
        <f t="shared" si="31"/>
        <v>-1.98659354052407E-2</v>
      </c>
    </row>
    <row r="1027" spans="1:9" ht="14.25" customHeight="1" x14ac:dyDescent="0.3">
      <c r="A1027" s="127">
        <v>45440</v>
      </c>
      <c r="B1027" s="64">
        <v>22888.15</v>
      </c>
      <c r="D1027" s="127">
        <v>45440</v>
      </c>
      <c r="E1027" s="64">
        <v>79.28</v>
      </c>
      <c r="H1027" s="128">
        <f t="shared" ref="H1027:H1090" si="32">(B1027-B1026)/B1026</f>
        <v>-1.93176045298253E-3</v>
      </c>
      <c r="I1027" s="128">
        <f t="shared" ref="I1027:I1090" si="33">(E1027-E1026)/E1026</f>
        <v>-1.41755782143745E-2</v>
      </c>
    </row>
    <row r="1028" spans="1:9" ht="14.25" customHeight="1" x14ac:dyDescent="0.3">
      <c r="A1028" s="127">
        <v>45441</v>
      </c>
      <c r="B1028" s="64">
        <v>22704.7</v>
      </c>
      <c r="D1028" s="127">
        <v>45441</v>
      </c>
      <c r="E1028" s="64">
        <v>79.06</v>
      </c>
      <c r="H1028" s="128">
        <f t="shared" si="32"/>
        <v>-8.0150645639774608E-3</v>
      </c>
      <c r="I1028" s="128">
        <f t="shared" si="33"/>
        <v>-2.7749747729565902E-3</v>
      </c>
    </row>
    <row r="1029" spans="1:9" ht="14.25" customHeight="1" x14ac:dyDescent="0.3">
      <c r="A1029" s="127">
        <v>45442</v>
      </c>
      <c r="B1029" s="64">
        <v>22488.65</v>
      </c>
      <c r="D1029" s="127">
        <v>45442</v>
      </c>
      <c r="E1029" s="64">
        <v>76.400000000000006</v>
      </c>
      <c r="H1029" s="128">
        <f t="shared" si="32"/>
        <v>-9.5156509445180597E-3</v>
      </c>
      <c r="I1029" s="128">
        <f t="shared" si="33"/>
        <v>-3.3645332658740201E-2</v>
      </c>
    </row>
    <row r="1030" spans="1:9" ht="14.25" customHeight="1" x14ac:dyDescent="0.3">
      <c r="A1030" s="127">
        <v>45443</v>
      </c>
      <c r="B1030" s="64">
        <v>22530.7</v>
      </c>
      <c r="D1030" s="127">
        <v>45443</v>
      </c>
      <c r="E1030" s="64">
        <v>79.67</v>
      </c>
      <c r="H1030" s="128">
        <f t="shared" si="32"/>
        <v>1.8698321153114701E-3</v>
      </c>
      <c r="I1030" s="128">
        <f t="shared" si="33"/>
        <v>4.2801047120418802E-2</v>
      </c>
    </row>
    <row r="1031" spans="1:9" ht="14.25" customHeight="1" x14ac:dyDescent="0.3">
      <c r="A1031" s="127">
        <v>45446</v>
      </c>
      <c r="B1031" s="64">
        <v>23263.9</v>
      </c>
      <c r="D1031" s="127">
        <v>45446</v>
      </c>
      <c r="E1031" s="64">
        <v>82.05</v>
      </c>
      <c r="H1031" s="128">
        <f t="shared" si="32"/>
        <v>3.2542264554585601E-2</v>
      </c>
      <c r="I1031" s="128">
        <f t="shared" si="33"/>
        <v>2.98732270616292E-2</v>
      </c>
    </row>
    <row r="1032" spans="1:9" ht="14.25" customHeight="1" x14ac:dyDescent="0.3">
      <c r="A1032" s="127">
        <v>45447</v>
      </c>
      <c r="B1032" s="64">
        <v>21884.5</v>
      </c>
      <c r="D1032" s="127">
        <v>45447</v>
      </c>
      <c r="E1032" s="64">
        <v>72.680000000000007</v>
      </c>
      <c r="H1032" s="128">
        <f t="shared" si="32"/>
        <v>-5.9293583620974998E-2</v>
      </c>
      <c r="I1032" s="128">
        <f t="shared" si="33"/>
        <v>-0.114198659354052</v>
      </c>
    </row>
    <row r="1033" spans="1:9" ht="14.25" customHeight="1" x14ac:dyDescent="0.3">
      <c r="A1033" s="127">
        <v>45448</v>
      </c>
      <c r="B1033" s="64">
        <v>22620.35</v>
      </c>
      <c r="D1033" s="127">
        <v>45448</v>
      </c>
      <c r="E1033" s="64">
        <v>74.97</v>
      </c>
      <c r="H1033" s="128">
        <f t="shared" si="32"/>
        <v>3.3624254609426703E-2</v>
      </c>
      <c r="I1033" s="128">
        <f t="shared" si="33"/>
        <v>3.1507980187121497E-2</v>
      </c>
    </row>
    <row r="1034" spans="1:9" ht="14.25" customHeight="1" x14ac:dyDescent="0.3">
      <c r="A1034" s="127">
        <v>45449</v>
      </c>
      <c r="B1034" s="64">
        <v>22821.4</v>
      </c>
      <c r="D1034" s="127">
        <v>45449</v>
      </c>
      <c r="E1034" s="64">
        <v>77.239999999999995</v>
      </c>
      <c r="H1034" s="128">
        <f t="shared" si="32"/>
        <v>8.8880145532674298E-3</v>
      </c>
      <c r="I1034" s="128">
        <f t="shared" si="33"/>
        <v>3.0278778177937799E-2</v>
      </c>
    </row>
    <row r="1035" spans="1:9" ht="14.25" customHeight="1" x14ac:dyDescent="0.3">
      <c r="A1035" s="127">
        <v>45450</v>
      </c>
      <c r="B1035" s="64">
        <v>23290.15</v>
      </c>
      <c r="D1035" s="127">
        <v>45450</v>
      </c>
      <c r="E1035" s="64">
        <v>79.17</v>
      </c>
      <c r="H1035" s="128">
        <f t="shared" si="32"/>
        <v>2.0539931818380999E-2</v>
      </c>
      <c r="I1035" s="128">
        <f t="shared" si="33"/>
        <v>2.4987053340238301E-2</v>
      </c>
    </row>
    <row r="1036" spans="1:9" ht="14.25" customHeight="1" x14ac:dyDescent="0.3">
      <c r="A1036" s="127">
        <v>45453</v>
      </c>
      <c r="B1036" s="64">
        <v>23259.200000000001</v>
      </c>
      <c r="D1036" s="127">
        <v>45453</v>
      </c>
      <c r="E1036" s="64">
        <v>78.010000000000005</v>
      </c>
      <c r="H1036" s="128">
        <f t="shared" si="32"/>
        <v>-1.32888796336652E-3</v>
      </c>
      <c r="I1036" s="128">
        <f t="shared" si="33"/>
        <v>-1.46520146520146E-2</v>
      </c>
    </row>
    <row r="1037" spans="1:9" ht="14.25" customHeight="1" x14ac:dyDescent="0.3">
      <c r="A1037" s="127">
        <v>45454</v>
      </c>
      <c r="B1037" s="64">
        <v>23264.85</v>
      </c>
      <c r="D1037" s="127">
        <v>45454</v>
      </c>
      <c r="E1037" s="64">
        <v>78.17</v>
      </c>
      <c r="H1037" s="128">
        <f t="shared" si="32"/>
        <v>2.4291463162954099E-4</v>
      </c>
      <c r="I1037" s="128">
        <f t="shared" si="33"/>
        <v>2.0510191001153299E-3</v>
      </c>
    </row>
    <row r="1038" spans="1:9" ht="14.25" customHeight="1" x14ac:dyDescent="0.3">
      <c r="A1038" s="127">
        <v>45455</v>
      </c>
      <c r="B1038" s="64">
        <v>23322.95</v>
      </c>
      <c r="D1038" s="127">
        <v>45455</v>
      </c>
      <c r="E1038" s="64">
        <v>80.58</v>
      </c>
      <c r="H1038" s="128">
        <f t="shared" si="32"/>
        <v>2.4973296625597102E-3</v>
      </c>
      <c r="I1038" s="128">
        <f t="shared" si="33"/>
        <v>3.0830241780734301E-2</v>
      </c>
    </row>
    <row r="1039" spans="1:9" ht="14.25" customHeight="1" x14ac:dyDescent="0.3">
      <c r="A1039" s="127">
        <v>45456</v>
      </c>
      <c r="B1039" s="64">
        <v>23398.9</v>
      </c>
      <c r="D1039" s="127">
        <v>45456</v>
      </c>
      <c r="E1039" s="64">
        <v>81.27</v>
      </c>
      <c r="H1039" s="128">
        <f t="shared" si="32"/>
        <v>3.25644911985837E-3</v>
      </c>
      <c r="I1039" s="128">
        <f t="shared" si="33"/>
        <v>8.5629188384214201E-3</v>
      </c>
    </row>
    <row r="1040" spans="1:9" ht="14.25" customHeight="1" x14ac:dyDescent="0.3">
      <c r="A1040" s="127">
        <v>45457</v>
      </c>
      <c r="B1040" s="64">
        <v>23465.599999999999</v>
      </c>
      <c r="D1040" s="127">
        <v>45457</v>
      </c>
      <c r="E1040" s="64">
        <v>81.89</v>
      </c>
      <c r="H1040" s="128">
        <f t="shared" si="32"/>
        <v>2.8505613511744998E-3</v>
      </c>
      <c r="I1040" s="128">
        <f t="shared" si="33"/>
        <v>7.62889134982164E-3</v>
      </c>
    </row>
    <row r="1041" spans="1:9" ht="14.25" customHeight="1" x14ac:dyDescent="0.3">
      <c r="A1041" s="127">
        <v>45461</v>
      </c>
      <c r="B1041" s="64">
        <v>23557.9</v>
      </c>
      <c r="D1041" s="127">
        <v>45461</v>
      </c>
      <c r="E1041" s="64">
        <v>81.45</v>
      </c>
      <c r="H1041" s="128">
        <f t="shared" si="32"/>
        <v>3.9334174280650398E-3</v>
      </c>
      <c r="I1041" s="128">
        <f t="shared" si="33"/>
        <v>-5.3730614238612501E-3</v>
      </c>
    </row>
    <row r="1042" spans="1:9" ht="14.25" customHeight="1" x14ac:dyDescent="0.3">
      <c r="A1042" s="127">
        <v>45462</v>
      </c>
      <c r="B1042" s="64">
        <v>23516</v>
      </c>
      <c r="D1042" s="127">
        <v>45462</v>
      </c>
      <c r="E1042" s="64">
        <v>80.27</v>
      </c>
      <c r="H1042" s="128">
        <f t="shared" si="32"/>
        <v>-1.77859656420994E-3</v>
      </c>
      <c r="I1042" s="128">
        <f t="shared" si="33"/>
        <v>-1.44874155923881E-2</v>
      </c>
    </row>
    <row r="1043" spans="1:9" ht="14.25" customHeight="1" x14ac:dyDescent="0.3">
      <c r="A1043" s="127">
        <v>45463</v>
      </c>
      <c r="B1043" s="64">
        <v>23567</v>
      </c>
      <c r="D1043" s="127">
        <v>45463</v>
      </c>
      <c r="E1043" s="64">
        <v>83.69</v>
      </c>
      <c r="H1043" s="128">
        <f t="shared" si="32"/>
        <v>2.16873617962238E-3</v>
      </c>
      <c r="I1043" s="128">
        <f t="shared" si="33"/>
        <v>4.2606204061293201E-2</v>
      </c>
    </row>
    <row r="1044" spans="1:9" ht="14.25" customHeight="1" x14ac:dyDescent="0.3">
      <c r="A1044" s="127">
        <v>45464</v>
      </c>
      <c r="B1044" s="64">
        <v>23501.1</v>
      </c>
      <c r="D1044" s="127">
        <v>45464</v>
      </c>
      <c r="E1044" s="64">
        <v>82.6</v>
      </c>
      <c r="H1044" s="128">
        <f t="shared" si="32"/>
        <v>-2.7962829380066001E-3</v>
      </c>
      <c r="I1044" s="128">
        <f t="shared" si="33"/>
        <v>-1.30242561835345E-2</v>
      </c>
    </row>
    <row r="1045" spans="1:9" ht="14.25" customHeight="1" x14ac:dyDescent="0.3">
      <c r="A1045" s="127">
        <v>45467</v>
      </c>
      <c r="B1045" s="64">
        <v>23537.85</v>
      </c>
      <c r="D1045" s="127">
        <v>45467</v>
      </c>
      <c r="E1045" s="64">
        <v>80.849999999999994</v>
      </c>
      <c r="H1045" s="128">
        <f t="shared" si="32"/>
        <v>1.5637565901170599E-3</v>
      </c>
      <c r="I1045" s="128">
        <f t="shared" si="33"/>
        <v>-2.1186440677966101E-2</v>
      </c>
    </row>
    <row r="1046" spans="1:9" ht="14.25" customHeight="1" x14ac:dyDescent="0.3">
      <c r="A1046" s="127">
        <v>45468</v>
      </c>
      <c r="B1046" s="64">
        <v>23721.3</v>
      </c>
      <c r="D1046" s="127">
        <v>45468</v>
      </c>
      <c r="E1046" s="64">
        <v>79.03</v>
      </c>
      <c r="H1046" s="128">
        <f t="shared" si="32"/>
        <v>7.7938299377386102E-3</v>
      </c>
      <c r="I1046" s="128">
        <f t="shared" si="33"/>
        <v>-2.2510822510822402E-2</v>
      </c>
    </row>
    <row r="1047" spans="1:9" ht="14.25" customHeight="1" x14ac:dyDescent="0.3">
      <c r="A1047" s="127">
        <v>45469</v>
      </c>
      <c r="B1047" s="64">
        <v>23868.799999999999</v>
      </c>
      <c r="D1047" s="127">
        <v>45469</v>
      </c>
      <c r="E1047" s="64">
        <v>76.34</v>
      </c>
      <c r="H1047" s="128">
        <f t="shared" si="32"/>
        <v>6.21804032662628E-3</v>
      </c>
      <c r="I1047" s="128">
        <f t="shared" si="33"/>
        <v>-3.4037707199797498E-2</v>
      </c>
    </row>
    <row r="1048" spans="1:9" ht="14.25" customHeight="1" x14ac:dyDescent="0.3">
      <c r="A1048" s="127">
        <v>45470</v>
      </c>
      <c r="B1048" s="64">
        <v>24044.5</v>
      </c>
      <c r="D1048" s="127">
        <v>45470</v>
      </c>
      <c r="E1048" s="64">
        <v>75.19</v>
      </c>
      <c r="H1048" s="128">
        <f t="shared" si="32"/>
        <v>7.3610738704920501E-3</v>
      </c>
      <c r="I1048" s="128">
        <f t="shared" si="33"/>
        <v>-1.50641865339272E-2</v>
      </c>
    </row>
    <row r="1049" spans="1:9" ht="14.25" customHeight="1" x14ac:dyDescent="0.3">
      <c r="A1049" s="127">
        <v>45471</v>
      </c>
      <c r="B1049" s="64">
        <v>24010.6</v>
      </c>
      <c r="D1049" s="127">
        <v>45471</v>
      </c>
      <c r="E1049" s="64">
        <v>75.36</v>
      </c>
      <c r="H1049" s="128">
        <f t="shared" si="32"/>
        <v>-1.40988583667789E-3</v>
      </c>
      <c r="I1049" s="128">
        <f t="shared" si="33"/>
        <v>2.2609389546482499E-3</v>
      </c>
    </row>
    <row r="1050" spans="1:9" ht="14.25" customHeight="1" x14ac:dyDescent="0.3">
      <c r="A1050" s="127">
        <v>45474</v>
      </c>
      <c r="B1050" s="64">
        <v>24141.95</v>
      </c>
      <c r="D1050" s="127">
        <v>45474</v>
      </c>
      <c r="E1050" s="64">
        <v>77.06</v>
      </c>
      <c r="H1050" s="128">
        <f t="shared" si="32"/>
        <v>5.4705005289331504E-3</v>
      </c>
      <c r="I1050" s="128">
        <f t="shared" si="33"/>
        <v>2.2558386411889599E-2</v>
      </c>
    </row>
    <row r="1051" spans="1:9" ht="14.25" customHeight="1" x14ac:dyDescent="0.3">
      <c r="A1051" s="127">
        <v>45475</v>
      </c>
      <c r="B1051" s="64">
        <v>24123.85</v>
      </c>
      <c r="D1051" s="127">
        <v>45475</v>
      </c>
      <c r="E1051" s="64">
        <v>74.84</v>
      </c>
      <c r="H1051" s="128">
        <f t="shared" si="32"/>
        <v>-7.4973231242721401E-4</v>
      </c>
      <c r="I1051" s="128">
        <f t="shared" si="33"/>
        <v>-2.8808720477549898E-2</v>
      </c>
    </row>
    <row r="1052" spans="1:9" ht="14.25" customHeight="1" x14ac:dyDescent="0.3">
      <c r="A1052" s="127">
        <v>45476</v>
      </c>
      <c r="B1052" s="64">
        <v>24286.5</v>
      </c>
      <c r="D1052" s="127">
        <v>45476</v>
      </c>
      <c r="E1052" s="64">
        <v>76.94</v>
      </c>
      <c r="H1052" s="128">
        <f t="shared" si="32"/>
        <v>6.7422903060664601E-3</v>
      </c>
      <c r="I1052" s="128">
        <f t="shared" si="33"/>
        <v>2.8059861036878599E-2</v>
      </c>
    </row>
    <row r="1053" spans="1:9" ht="14.25" customHeight="1" x14ac:dyDescent="0.3">
      <c r="A1053" s="127">
        <v>45477</v>
      </c>
      <c r="B1053" s="64">
        <v>24302.15</v>
      </c>
      <c r="D1053" s="127">
        <v>45477</v>
      </c>
      <c r="E1053" s="64">
        <v>77.06</v>
      </c>
      <c r="H1053" s="128">
        <f t="shared" si="32"/>
        <v>6.4439091676451695E-4</v>
      </c>
      <c r="I1053" s="128">
        <f t="shared" si="33"/>
        <v>1.5596568754874501E-3</v>
      </c>
    </row>
    <row r="1054" spans="1:9" ht="14.25" customHeight="1" x14ac:dyDescent="0.3">
      <c r="A1054" s="127">
        <v>45478</v>
      </c>
      <c r="B1054" s="64">
        <v>24323.85</v>
      </c>
      <c r="D1054" s="127">
        <v>45478</v>
      </c>
      <c r="E1054" s="64">
        <v>77.260000000000005</v>
      </c>
      <c r="H1054" s="128">
        <f t="shared" si="32"/>
        <v>8.9292511156408298E-4</v>
      </c>
      <c r="I1054" s="128">
        <f t="shared" si="33"/>
        <v>2.5953802232027401E-3</v>
      </c>
    </row>
    <row r="1055" spans="1:9" ht="14.25" customHeight="1" x14ac:dyDescent="0.3">
      <c r="A1055" s="127">
        <v>45481</v>
      </c>
      <c r="B1055" s="64">
        <v>24320.55</v>
      </c>
      <c r="D1055" s="127">
        <v>45481</v>
      </c>
      <c r="E1055" s="64">
        <v>76.61</v>
      </c>
      <c r="H1055" s="128">
        <f t="shared" si="32"/>
        <v>-1.3566931221822501E-4</v>
      </c>
      <c r="I1055" s="128">
        <f t="shared" si="33"/>
        <v>-8.4131504012426306E-3</v>
      </c>
    </row>
    <row r="1056" spans="1:9" ht="14.25" customHeight="1" x14ac:dyDescent="0.3">
      <c r="A1056" s="127">
        <v>45482</v>
      </c>
      <c r="B1056" s="64">
        <v>24433.200000000001</v>
      </c>
      <c r="D1056" s="127">
        <v>45482</v>
      </c>
      <c r="E1056" s="64">
        <v>76.97</v>
      </c>
      <c r="H1056" s="128">
        <f t="shared" si="32"/>
        <v>4.6318853808816601E-3</v>
      </c>
      <c r="I1056" s="128">
        <f t="shared" si="33"/>
        <v>4.6991254405429998E-3</v>
      </c>
    </row>
    <row r="1057" spans="1:9" ht="14.25" customHeight="1" x14ac:dyDescent="0.3">
      <c r="A1057" s="127">
        <v>45483</v>
      </c>
      <c r="B1057" s="64">
        <v>24324.45</v>
      </c>
      <c r="D1057" s="127">
        <v>45483</v>
      </c>
      <c r="E1057" s="64">
        <v>75.010000000000005</v>
      </c>
      <c r="H1057" s="128">
        <f t="shared" si="32"/>
        <v>-4.4509110554491402E-3</v>
      </c>
      <c r="I1057" s="128">
        <f t="shared" si="33"/>
        <v>-2.5464466675328E-2</v>
      </c>
    </row>
    <row r="1058" spans="1:9" ht="14.25" customHeight="1" x14ac:dyDescent="0.3">
      <c r="A1058" s="127">
        <v>45484</v>
      </c>
      <c r="B1058" s="64">
        <v>24315.95</v>
      </c>
      <c r="D1058" s="127">
        <v>45484</v>
      </c>
      <c r="E1058" s="64">
        <v>75.400000000000006</v>
      </c>
      <c r="H1058" s="128">
        <f t="shared" si="32"/>
        <v>-3.4944263899081002E-4</v>
      </c>
      <c r="I1058" s="128">
        <f t="shared" si="33"/>
        <v>5.1993067590987898E-3</v>
      </c>
    </row>
    <row r="1059" spans="1:9" ht="14.25" customHeight="1" x14ac:dyDescent="0.3">
      <c r="A1059" s="127">
        <v>45485</v>
      </c>
      <c r="B1059" s="64">
        <v>24502.15</v>
      </c>
      <c r="D1059" s="127">
        <v>45485</v>
      </c>
      <c r="E1059" s="64">
        <v>75.42</v>
      </c>
      <c r="H1059" s="128">
        <f t="shared" si="32"/>
        <v>7.6575252046496498E-3</v>
      </c>
      <c r="I1059" s="128">
        <f t="shared" si="33"/>
        <v>2.6525198938986798E-4</v>
      </c>
    </row>
    <row r="1060" spans="1:9" ht="14.25" customHeight="1" x14ac:dyDescent="0.3">
      <c r="A1060" s="127">
        <v>45488</v>
      </c>
      <c r="B1060" s="64">
        <v>24586.7</v>
      </c>
      <c r="D1060" s="127">
        <v>45488</v>
      </c>
      <c r="E1060" s="64">
        <v>75.680000000000007</v>
      </c>
      <c r="H1060" s="128">
        <f t="shared" si="32"/>
        <v>3.4507175900890001E-3</v>
      </c>
      <c r="I1060" s="128">
        <f t="shared" si="33"/>
        <v>3.4473614425882398E-3</v>
      </c>
    </row>
    <row r="1061" spans="1:9" ht="14.25" customHeight="1" x14ac:dyDescent="0.3">
      <c r="A1061" s="127">
        <v>45489</v>
      </c>
      <c r="B1061" s="64">
        <v>24613</v>
      </c>
      <c r="D1061" s="127">
        <v>45489</v>
      </c>
      <c r="E1061" s="64">
        <v>75.56</v>
      </c>
      <c r="H1061" s="128">
        <f t="shared" si="32"/>
        <v>1.06968401615505E-3</v>
      </c>
      <c r="I1061" s="128">
        <f t="shared" si="33"/>
        <v>-1.5856236786469899E-3</v>
      </c>
    </row>
    <row r="1062" spans="1:9" ht="14.25" customHeight="1" x14ac:dyDescent="0.3">
      <c r="A1062" s="127">
        <v>45491</v>
      </c>
      <c r="B1062" s="64">
        <v>24800.85</v>
      </c>
      <c r="D1062" s="127">
        <v>45491</v>
      </c>
      <c r="E1062" s="64">
        <v>74.09</v>
      </c>
      <c r="H1062" s="128">
        <f t="shared" si="32"/>
        <v>7.63214561410631E-3</v>
      </c>
      <c r="I1062" s="128">
        <f t="shared" si="33"/>
        <v>-1.9454737956590799E-2</v>
      </c>
    </row>
    <row r="1063" spans="1:9" ht="14.25" customHeight="1" x14ac:dyDescent="0.3">
      <c r="A1063" s="127">
        <v>45492</v>
      </c>
      <c r="B1063" s="64">
        <v>24530.9</v>
      </c>
      <c r="D1063" s="127">
        <v>45492</v>
      </c>
      <c r="E1063" s="64">
        <v>70.06</v>
      </c>
      <c r="H1063" s="128">
        <f t="shared" si="32"/>
        <v>-1.08847075805868E-2</v>
      </c>
      <c r="I1063" s="128">
        <f t="shared" si="33"/>
        <v>-5.4393305439330603E-2</v>
      </c>
    </row>
    <row r="1064" spans="1:9" ht="14.25" customHeight="1" x14ac:dyDescent="0.3">
      <c r="A1064" s="127">
        <v>45495</v>
      </c>
      <c r="B1064" s="64">
        <v>24509.25</v>
      </c>
      <c r="D1064" s="127">
        <v>45495</v>
      </c>
      <c r="E1064" s="64">
        <v>71.63</v>
      </c>
      <c r="H1064" s="128">
        <f t="shared" si="32"/>
        <v>-8.8256036264472404E-4</v>
      </c>
      <c r="I1064" s="128">
        <f t="shared" si="33"/>
        <v>2.2409363402797498E-2</v>
      </c>
    </row>
    <row r="1065" spans="1:9" ht="14.25" customHeight="1" x14ac:dyDescent="0.3">
      <c r="A1065" s="127">
        <v>45496</v>
      </c>
      <c r="B1065" s="64">
        <v>24479.05</v>
      </c>
      <c r="D1065" s="127">
        <v>45496</v>
      </c>
      <c r="E1065" s="64">
        <v>71.87</v>
      </c>
      <c r="H1065" s="128">
        <f t="shared" si="32"/>
        <v>-1.23218784744538E-3</v>
      </c>
      <c r="I1065" s="128">
        <f t="shared" si="33"/>
        <v>3.35055144492544E-3</v>
      </c>
    </row>
    <row r="1066" spans="1:9" ht="14.25" customHeight="1" x14ac:dyDescent="0.3">
      <c r="A1066" s="127">
        <v>45497</v>
      </c>
      <c r="B1066" s="64">
        <v>24413.5</v>
      </c>
      <c r="D1066" s="127">
        <v>45497</v>
      </c>
      <c r="E1066" s="64">
        <v>71.28</v>
      </c>
      <c r="H1066" s="128">
        <f t="shared" si="32"/>
        <v>-2.67779999632336E-3</v>
      </c>
      <c r="I1066" s="128">
        <f t="shared" si="33"/>
        <v>-8.2092667315987692E-3</v>
      </c>
    </row>
    <row r="1067" spans="1:9" ht="14.25" customHeight="1" x14ac:dyDescent="0.3">
      <c r="A1067" s="127">
        <v>45498</v>
      </c>
      <c r="B1067" s="64">
        <v>24406.1</v>
      </c>
      <c r="D1067" s="127">
        <v>45498</v>
      </c>
      <c r="E1067" s="64">
        <v>70.400000000000006</v>
      </c>
      <c r="H1067" s="128">
        <f t="shared" si="32"/>
        <v>-3.0311098367712401E-4</v>
      </c>
      <c r="I1067" s="128">
        <f t="shared" si="33"/>
        <v>-1.23456790123456E-2</v>
      </c>
    </row>
    <row r="1068" spans="1:9" ht="14.25" customHeight="1" x14ac:dyDescent="0.3">
      <c r="A1068" s="127">
        <v>45499</v>
      </c>
      <c r="B1068" s="64">
        <v>24834.85</v>
      </c>
      <c r="D1068" s="127">
        <v>45499</v>
      </c>
      <c r="E1068" s="64">
        <v>73.06</v>
      </c>
      <c r="H1068" s="128">
        <f t="shared" si="32"/>
        <v>1.7567329479105599E-2</v>
      </c>
      <c r="I1068" s="128">
        <f t="shared" si="33"/>
        <v>3.7784090909090899E-2</v>
      </c>
    </row>
    <row r="1069" spans="1:9" ht="14.25" customHeight="1" x14ac:dyDescent="0.3">
      <c r="A1069" s="127">
        <v>45502</v>
      </c>
      <c r="B1069" s="64">
        <v>24836.1</v>
      </c>
      <c r="D1069" s="127">
        <v>45502</v>
      </c>
      <c r="E1069" s="64">
        <v>74.790000000000006</v>
      </c>
      <c r="H1069" s="128">
        <f t="shared" si="32"/>
        <v>5.0332496471692003E-5</v>
      </c>
      <c r="I1069" s="128">
        <f t="shared" si="33"/>
        <v>2.3679167807281701E-2</v>
      </c>
    </row>
    <row r="1070" spans="1:9" ht="14.25" customHeight="1" x14ac:dyDescent="0.3">
      <c r="A1070" s="127">
        <v>45503</v>
      </c>
      <c r="B1070" s="64">
        <v>24857.3</v>
      </c>
      <c r="D1070" s="127">
        <v>45503</v>
      </c>
      <c r="E1070" s="64">
        <v>74.430000000000007</v>
      </c>
      <c r="H1070" s="128">
        <f t="shared" si="32"/>
        <v>8.5359617653338197E-4</v>
      </c>
      <c r="I1070" s="128">
        <f t="shared" si="33"/>
        <v>-4.81347773766546E-3</v>
      </c>
    </row>
    <row r="1071" spans="1:9" ht="14.25" customHeight="1" x14ac:dyDescent="0.3">
      <c r="A1071" s="127">
        <v>45504</v>
      </c>
      <c r="B1071" s="64">
        <v>24951.15</v>
      </c>
      <c r="D1071" s="127">
        <v>45504</v>
      </c>
      <c r="E1071" s="64">
        <v>74</v>
      </c>
      <c r="H1071" s="128">
        <f t="shared" si="32"/>
        <v>3.77555084421889E-3</v>
      </c>
      <c r="I1071" s="128">
        <f t="shared" si="33"/>
        <v>-5.7772403600699603E-3</v>
      </c>
    </row>
    <row r="1072" spans="1:9" ht="14.25" customHeight="1" x14ac:dyDescent="0.3">
      <c r="A1072" s="127">
        <v>45505</v>
      </c>
      <c r="B1072" s="64">
        <v>25010.9</v>
      </c>
      <c r="D1072" s="127">
        <v>45505</v>
      </c>
      <c r="E1072" s="64">
        <v>74.34</v>
      </c>
      <c r="H1072" s="128">
        <f t="shared" si="32"/>
        <v>2.3946792031629802E-3</v>
      </c>
      <c r="I1072" s="128">
        <f t="shared" si="33"/>
        <v>4.5945945945946396E-3</v>
      </c>
    </row>
    <row r="1073" spans="1:9" ht="14.25" customHeight="1" x14ac:dyDescent="0.3">
      <c r="A1073" s="127">
        <v>45506</v>
      </c>
      <c r="B1073" s="64">
        <v>24717.7</v>
      </c>
      <c r="D1073" s="127">
        <v>45506</v>
      </c>
      <c r="E1073" s="64">
        <v>72.25</v>
      </c>
      <c r="H1073" s="128">
        <f t="shared" si="32"/>
        <v>-1.17228888204743E-2</v>
      </c>
      <c r="I1073" s="128">
        <f t="shared" si="33"/>
        <v>-2.81140704869519E-2</v>
      </c>
    </row>
    <row r="1074" spans="1:9" ht="14.25" customHeight="1" x14ac:dyDescent="0.3">
      <c r="A1074" s="127">
        <v>45509</v>
      </c>
      <c r="B1074" s="64">
        <v>24055.599999999999</v>
      </c>
      <c r="D1074" s="127">
        <v>45509</v>
      </c>
      <c r="E1074" s="64">
        <v>68.69</v>
      </c>
      <c r="H1074" s="128">
        <f t="shared" si="32"/>
        <v>-2.6786472851438502E-2</v>
      </c>
      <c r="I1074" s="128">
        <f t="shared" si="33"/>
        <v>-4.9273356401384097E-2</v>
      </c>
    </row>
    <row r="1075" spans="1:9" ht="14.25" customHeight="1" x14ac:dyDescent="0.3">
      <c r="A1075" s="127">
        <v>45510</v>
      </c>
      <c r="B1075" s="64">
        <v>23992.55</v>
      </c>
      <c r="D1075" s="127">
        <v>45510</v>
      </c>
      <c r="E1075" s="64">
        <v>68.22</v>
      </c>
      <c r="H1075" s="128">
        <f t="shared" si="32"/>
        <v>-2.6210113237665799E-3</v>
      </c>
      <c r="I1075" s="128">
        <f t="shared" si="33"/>
        <v>-6.8423351288396999E-3</v>
      </c>
    </row>
    <row r="1076" spans="1:9" ht="14.25" customHeight="1" x14ac:dyDescent="0.3">
      <c r="A1076" s="127">
        <v>45511</v>
      </c>
      <c r="B1076" s="64">
        <v>24297.5</v>
      </c>
      <c r="D1076" s="127">
        <v>45511</v>
      </c>
      <c r="E1076" s="64">
        <v>70</v>
      </c>
      <c r="H1076" s="128">
        <f t="shared" si="32"/>
        <v>1.27101954565063E-2</v>
      </c>
      <c r="I1076" s="128">
        <f t="shared" si="33"/>
        <v>2.6092055115801802E-2</v>
      </c>
    </row>
    <row r="1077" spans="1:9" ht="14.25" customHeight="1" x14ac:dyDescent="0.3">
      <c r="A1077" s="127">
        <v>45512</v>
      </c>
      <c r="B1077" s="64">
        <v>24117</v>
      </c>
      <c r="D1077" s="127">
        <v>45512</v>
      </c>
      <c r="E1077" s="64">
        <v>68.14</v>
      </c>
      <c r="H1077" s="128">
        <f t="shared" si="32"/>
        <v>-7.4287478135610704E-3</v>
      </c>
      <c r="I1077" s="128">
        <f t="shared" si="33"/>
        <v>-2.65714285714286E-2</v>
      </c>
    </row>
    <row r="1078" spans="1:9" ht="14.25" customHeight="1" x14ac:dyDescent="0.3">
      <c r="A1078" s="127">
        <v>45513</v>
      </c>
      <c r="B1078" s="64">
        <v>24367.5</v>
      </c>
      <c r="D1078" s="127">
        <v>45513</v>
      </c>
      <c r="E1078" s="64">
        <v>67.849999999999994</v>
      </c>
      <c r="H1078" s="128">
        <f t="shared" si="32"/>
        <v>1.03868640378156E-2</v>
      </c>
      <c r="I1078" s="128">
        <f t="shared" si="33"/>
        <v>-4.2559436454359598E-3</v>
      </c>
    </row>
    <row r="1079" spans="1:9" ht="14.25" customHeight="1" x14ac:dyDescent="0.3">
      <c r="A1079" s="127">
        <v>45516</v>
      </c>
      <c r="B1079" s="64">
        <v>24347</v>
      </c>
      <c r="D1079" s="127">
        <v>45516</v>
      </c>
      <c r="E1079" s="64">
        <v>70.33</v>
      </c>
      <c r="H1079" s="128">
        <f t="shared" si="32"/>
        <v>-8.41284497794193E-4</v>
      </c>
      <c r="I1079" s="128">
        <f t="shared" si="33"/>
        <v>3.6551215917465102E-2</v>
      </c>
    </row>
    <row r="1080" spans="1:9" ht="14.25" customHeight="1" x14ac:dyDescent="0.3">
      <c r="A1080" s="127">
        <v>45517</v>
      </c>
      <c r="B1080" s="64">
        <v>24139</v>
      </c>
      <c r="D1080" s="127">
        <v>45517</v>
      </c>
      <c r="E1080" s="64">
        <v>68.739999999999995</v>
      </c>
      <c r="H1080" s="128">
        <f t="shared" si="32"/>
        <v>-8.5431469996303504E-3</v>
      </c>
      <c r="I1080" s="128">
        <f t="shared" si="33"/>
        <v>-2.2607706526375702E-2</v>
      </c>
    </row>
    <row r="1081" spans="1:9" ht="14.25" customHeight="1" x14ac:dyDescent="0.3">
      <c r="A1081" s="127">
        <v>45518</v>
      </c>
      <c r="B1081" s="64">
        <v>24143.75</v>
      </c>
      <c r="D1081" s="127">
        <v>45518</v>
      </c>
      <c r="E1081" s="64">
        <v>64.599999999999994</v>
      </c>
      <c r="H1081" s="128">
        <f t="shared" si="32"/>
        <v>1.9677699987572E-4</v>
      </c>
      <c r="I1081" s="128">
        <f t="shared" si="33"/>
        <v>-6.0226942100669201E-2</v>
      </c>
    </row>
    <row r="1082" spans="1:9" ht="14.25" customHeight="1" x14ac:dyDescent="0.3">
      <c r="A1082" s="127">
        <v>45520</v>
      </c>
      <c r="B1082" s="64">
        <v>24541.15</v>
      </c>
      <c r="D1082" s="127">
        <v>45520</v>
      </c>
      <c r="E1082" s="64">
        <v>66.599999999999994</v>
      </c>
      <c r="H1082" s="128">
        <f t="shared" si="32"/>
        <v>1.6459746311157201E-2</v>
      </c>
      <c r="I1082" s="128">
        <f t="shared" si="33"/>
        <v>3.09597523219814E-2</v>
      </c>
    </row>
    <row r="1083" spans="1:9" ht="14.25" customHeight="1" x14ac:dyDescent="0.3">
      <c r="A1083" s="127">
        <v>45523</v>
      </c>
      <c r="B1083" s="64">
        <v>24572.65</v>
      </c>
      <c r="D1083" s="127">
        <v>45523</v>
      </c>
      <c r="E1083" s="64">
        <v>67.34</v>
      </c>
      <c r="H1083" s="128">
        <f t="shared" si="32"/>
        <v>1.2835584314508501E-3</v>
      </c>
      <c r="I1083" s="128">
        <f t="shared" si="33"/>
        <v>1.11111111111112E-2</v>
      </c>
    </row>
    <row r="1084" spans="1:9" ht="14.25" customHeight="1" x14ac:dyDescent="0.3">
      <c r="A1084" s="127">
        <v>45524</v>
      </c>
      <c r="B1084" s="64">
        <v>24698.85</v>
      </c>
      <c r="D1084" s="127">
        <v>45524</v>
      </c>
      <c r="E1084" s="64">
        <v>68.78</v>
      </c>
      <c r="H1084" s="128">
        <f t="shared" si="32"/>
        <v>5.1357912150295998E-3</v>
      </c>
      <c r="I1084" s="128">
        <f t="shared" si="33"/>
        <v>2.13840213840213E-2</v>
      </c>
    </row>
    <row r="1085" spans="1:9" ht="14.25" customHeight="1" x14ac:dyDescent="0.3">
      <c r="A1085" s="127">
        <v>45525</v>
      </c>
      <c r="B1085" s="64">
        <v>24770.2</v>
      </c>
      <c r="D1085" s="127">
        <v>45525</v>
      </c>
      <c r="E1085" s="64">
        <v>68.2</v>
      </c>
      <c r="H1085" s="128">
        <f t="shared" si="32"/>
        <v>2.8887984663254402E-3</v>
      </c>
      <c r="I1085" s="128">
        <f t="shared" si="33"/>
        <v>-8.4326839197440898E-3</v>
      </c>
    </row>
    <row r="1086" spans="1:9" ht="14.25" customHeight="1" x14ac:dyDescent="0.3">
      <c r="A1086" s="127">
        <v>45526</v>
      </c>
      <c r="B1086" s="64">
        <v>24811.5</v>
      </c>
      <c r="D1086" s="127">
        <v>45526</v>
      </c>
      <c r="E1086" s="64">
        <v>69.319999999999993</v>
      </c>
      <c r="H1086" s="128">
        <f t="shared" si="32"/>
        <v>1.6673260611541E-3</v>
      </c>
      <c r="I1086" s="128">
        <f t="shared" si="33"/>
        <v>1.6422287390029201E-2</v>
      </c>
    </row>
    <row r="1087" spans="1:9" ht="14.25" customHeight="1" x14ac:dyDescent="0.3">
      <c r="A1087" s="127">
        <v>45527</v>
      </c>
      <c r="B1087" s="64">
        <v>24823.15</v>
      </c>
      <c r="D1087" s="127">
        <v>45527</v>
      </c>
      <c r="E1087" s="64">
        <v>67.92</v>
      </c>
      <c r="H1087" s="128">
        <f t="shared" si="32"/>
        <v>4.6954033411931799E-4</v>
      </c>
      <c r="I1087" s="128">
        <f t="shared" si="33"/>
        <v>-2.0196191575302801E-2</v>
      </c>
    </row>
    <row r="1088" spans="1:9" ht="14.25" customHeight="1" x14ac:dyDescent="0.3">
      <c r="A1088" s="127">
        <v>45530</v>
      </c>
      <c r="B1088" s="64">
        <v>25010.6</v>
      </c>
      <c r="D1088" s="127">
        <v>45530</v>
      </c>
      <c r="E1088" s="64">
        <v>70.2</v>
      </c>
      <c r="H1088" s="128">
        <f t="shared" si="32"/>
        <v>7.5514187361393299E-3</v>
      </c>
      <c r="I1088" s="128">
        <f t="shared" si="33"/>
        <v>3.3568904593639599E-2</v>
      </c>
    </row>
    <row r="1089" spans="1:9" ht="14.25" customHeight="1" x14ac:dyDescent="0.3">
      <c r="A1089" s="127">
        <v>45531</v>
      </c>
      <c r="B1089" s="64">
        <v>25017.75</v>
      </c>
      <c r="D1089" s="127">
        <v>45531</v>
      </c>
      <c r="E1089" s="64">
        <v>70.33</v>
      </c>
      <c r="H1089" s="128">
        <f t="shared" si="32"/>
        <v>2.85878787394203E-4</v>
      </c>
      <c r="I1089" s="128">
        <f t="shared" si="33"/>
        <v>1.8518518518517899E-3</v>
      </c>
    </row>
    <row r="1090" spans="1:9" ht="14.25" customHeight="1" x14ac:dyDescent="0.3">
      <c r="A1090" s="127">
        <v>45532</v>
      </c>
      <c r="B1090" s="64">
        <v>25052.35</v>
      </c>
      <c r="D1090" s="127">
        <v>45532</v>
      </c>
      <c r="E1090" s="64">
        <v>69.290000000000006</v>
      </c>
      <c r="H1090" s="128">
        <f t="shared" si="32"/>
        <v>1.38301805717934E-3</v>
      </c>
      <c r="I1090" s="128">
        <f t="shared" si="33"/>
        <v>-1.47874306839186E-2</v>
      </c>
    </row>
    <row r="1091" spans="1:9" ht="14.25" customHeight="1" x14ac:dyDescent="0.3">
      <c r="A1091" s="127">
        <v>45533</v>
      </c>
      <c r="B1091" s="64">
        <v>25151.95</v>
      </c>
      <c r="D1091" s="127">
        <v>45533</v>
      </c>
      <c r="E1091" s="64">
        <v>68.58</v>
      </c>
      <c r="H1091" s="128">
        <f t="shared" ref="H1091:H1154" si="34">(B1091-B1090)/B1090</f>
        <v>3.97567493668267E-3</v>
      </c>
      <c r="I1091" s="128">
        <f t="shared" ref="I1091:I1154" si="35">(E1091-E1090)/E1090</f>
        <v>-1.02467888584212E-2</v>
      </c>
    </row>
    <row r="1092" spans="1:9" ht="14.25" customHeight="1" x14ac:dyDescent="0.3">
      <c r="A1092" s="127">
        <v>45534</v>
      </c>
      <c r="B1092" s="64">
        <v>25235.9</v>
      </c>
      <c r="D1092" s="127">
        <v>45534</v>
      </c>
      <c r="E1092" s="64">
        <v>68.19</v>
      </c>
      <c r="H1092" s="128">
        <f t="shared" si="34"/>
        <v>3.3377133780880101E-3</v>
      </c>
      <c r="I1092" s="128">
        <f t="shared" si="35"/>
        <v>-5.6867891513560902E-3</v>
      </c>
    </row>
    <row r="1093" spans="1:9" ht="14.25" customHeight="1" x14ac:dyDescent="0.3">
      <c r="A1093" s="127">
        <v>45537</v>
      </c>
      <c r="B1093" s="64">
        <v>25278.7</v>
      </c>
      <c r="D1093" s="127">
        <v>45537</v>
      </c>
      <c r="E1093" s="64">
        <v>66.28</v>
      </c>
      <c r="H1093" s="128">
        <f t="shared" si="34"/>
        <v>1.69599657630595E-3</v>
      </c>
      <c r="I1093" s="128">
        <f t="shared" si="35"/>
        <v>-2.80099721366769E-2</v>
      </c>
    </row>
    <row r="1094" spans="1:9" ht="14.25" customHeight="1" x14ac:dyDescent="0.3">
      <c r="A1094" s="127">
        <v>45538</v>
      </c>
      <c r="B1094" s="64">
        <v>25279.85</v>
      </c>
      <c r="D1094" s="127">
        <v>45538</v>
      </c>
      <c r="E1094" s="64">
        <v>65.84</v>
      </c>
      <c r="H1094" s="128">
        <f t="shared" si="34"/>
        <v>4.54928457554311E-5</v>
      </c>
      <c r="I1094" s="128">
        <f t="shared" si="35"/>
        <v>-6.6385033192516299E-3</v>
      </c>
    </row>
    <row r="1095" spans="1:9" ht="14.25" customHeight="1" x14ac:dyDescent="0.3">
      <c r="A1095" s="127">
        <v>45539</v>
      </c>
      <c r="B1095" s="64">
        <v>25198.7</v>
      </c>
      <c r="D1095" s="127">
        <v>45539</v>
      </c>
      <c r="E1095" s="64">
        <v>64.650000000000006</v>
      </c>
      <c r="H1095" s="128">
        <f t="shared" si="34"/>
        <v>-3.21006651542623E-3</v>
      </c>
      <c r="I1095" s="128">
        <f t="shared" si="35"/>
        <v>-1.8074119076549201E-2</v>
      </c>
    </row>
    <row r="1096" spans="1:9" ht="14.25" customHeight="1" x14ac:dyDescent="0.3">
      <c r="A1096" s="127">
        <v>45540</v>
      </c>
      <c r="B1096" s="64">
        <v>25145.1</v>
      </c>
      <c r="D1096" s="127">
        <v>45540</v>
      </c>
      <c r="E1096" s="64">
        <v>65.14</v>
      </c>
      <c r="H1096" s="128">
        <f t="shared" si="34"/>
        <v>-2.1270938580165702E-3</v>
      </c>
      <c r="I1096" s="128">
        <f t="shared" si="35"/>
        <v>7.5792730085072696E-3</v>
      </c>
    </row>
    <row r="1097" spans="1:9" ht="14.25" customHeight="1" x14ac:dyDescent="0.3">
      <c r="A1097" s="127">
        <v>45541</v>
      </c>
      <c r="B1097" s="64">
        <v>24852.15</v>
      </c>
      <c r="D1097" s="127">
        <v>45541</v>
      </c>
      <c r="E1097" s="64">
        <v>64.62</v>
      </c>
      <c r="H1097" s="128">
        <f t="shared" si="34"/>
        <v>-1.16503811875871E-2</v>
      </c>
      <c r="I1097" s="128">
        <f t="shared" si="35"/>
        <v>-7.9828062634325504E-3</v>
      </c>
    </row>
    <row r="1098" spans="1:9" ht="14.25" customHeight="1" x14ac:dyDescent="0.3">
      <c r="A1098" s="127">
        <v>45544</v>
      </c>
      <c r="B1098" s="64">
        <v>24936.400000000001</v>
      </c>
      <c r="D1098" s="127">
        <v>45544</v>
      </c>
      <c r="E1098" s="64">
        <v>63.6</v>
      </c>
      <c r="H1098" s="128">
        <f t="shared" si="34"/>
        <v>3.3900487482974302E-3</v>
      </c>
      <c r="I1098" s="128">
        <f t="shared" si="35"/>
        <v>-1.57845868152275E-2</v>
      </c>
    </row>
    <row r="1099" spans="1:9" ht="14.25" customHeight="1" x14ac:dyDescent="0.3">
      <c r="A1099" s="127">
        <v>45545</v>
      </c>
      <c r="B1099" s="64">
        <v>25041.1</v>
      </c>
      <c r="D1099" s="127">
        <v>45545</v>
      </c>
      <c r="E1099" s="64">
        <v>64.599999999999994</v>
      </c>
      <c r="H1099" s="128">
        <f t="shared" si="34"/>
        <v>4.19868144559748E-3</v>
      </c>
      <c r="I1099" s="128">
        <f t="shared" si="35"/>
        <v>1.5723270440251499E-2</v>
      </c>
    </row>
    <row r="1100" spans="1:9" ht="14.25" customHeight="1" x14ac:dyDescent="0.3">
      <c r="A1100" s="127">
        <v>45546</v>
      </c>
      <c r="B1100" s="64">
        <v>24918.45</v>
      </c>
      <c r="D1100" s="127">
        <v>45546</v>
      </c>
      <c r="E1100" s="64">
        <v>63.33</v>
      </c>
      <c r="H1100" s="128">
        <f t="shared" si="34"/>
        <v>-4.8979477738596896E-3</v>
      </c>
      <c r="I1100" s="128">
        <f t="shared" si="35"/>
        <v>-1.96594427244581E-2</v>
      </c>
    </row>
    <row r="1101" spans="1:9" ht="14.25" customHeight="1" x14ac:dyDescent="0.3">
      <c r="A1101" s="127">
        <v>45547</v>
      </c>
      <c r="B1101" s="64">
        <v>25388.9</v>
      </c>
      <c r="D1101" s="127">
        <v>45547</v>
      </c>
      <c r="E1101" s="64">
        <v>65.989999999999995</v>
      </c>
      <c r="H1101" s="128">
        <f t="shared" si="34"/>
        <v>1.8879585206945101E-2</v>
      </c>
      <c r="I1101" s="128">
        <f t="shared" si="35"/>
        <v>4.2002210642665301E-2</v>
      </c>
    </row>
    <row r="1102" spans="1:9" ht="14.25" customHeight="1" x14ac:dyDescent="0.3">
      <c r="A1102" s="127">
        <v>45548</v>
      </c>
      <c r="B1102" s="64">
        <v>25356.5</v>
      </c>
      <c r="D1102" s="127">
        <v>45548</v>
      </c>
      <c r="E1102" s="64">
        <v>67.59</v>
      </c>
      <c r="H1102" s="128">
        <f t="shared" si="34"/>
        <v>-1.2761482380095801E-3</v>
      </c>
      <c r="I1102" s="128">
        <f t="shared" si="35"/>
        <v>2.4246097893620401E-2</v>
      </c>
    </row>
    <row r="1103" spans="1:9" ht="14.25" customHeight="1" x14ac:dyDescent="0.3">
      <c r="A1103" s="127">
        <v>45551</v>
      </c>
      <c r="B1103" s="64">
        <v>25383.75</v>
      </c>
      <c r="D1103" s="127">
        <v>45551</v>
      </c>
      <c r="E1103" s="64">
        <v>67.099999999999994</v>
      </c>
      <c r="H1103" s="128">
        <f t="shared" si="34"/>
        <v>1.0746751326089999E-3</v>
      </c>
      <c r="I1103" s="128">
        <f t="shared" si="35"/>
        <v>-7.2495931350792901E-3</v>
      </c>
    </row>
    <row r="1104" spans="1:9" ht="14.25" customHeight="1" x14ac:dyDescent="0.3">
      <c r="A1104" s="127">
        <v>45552</v>
      </c>
      <c r="B1104" s="64">
        <v>25418.55</v>
      </c>
      <c r="D1104" s="127">
        <v>45552</v>
      </c>
      <c r="E1104" s="64">
        <v>66.2</v>
      </c>
      <c r="H1104" s="128">
        <f t="shared" si="34"/>
        <v>1.37095582803956E-3</v>
      </c>
      <c r="I1104" s="128">
        <f t="shared" si="35"/>
        <v>-1.3412816691505101E-2</v>
      </c>
    </row>
    <row r="1105" spans="1:9" ht="14.25" customHeight="1" x14ac:dyDescent="0.3">
      <c r="A1105" s="127">
        <v>45553</v>
      </c>
      <c r="B1105" s="64">
        <v>25377.55</v>
      </c>
      <c r="D1105" s="127">
        <v>45553</v>
      </c>
      <c r="E1105" s="64">
        <v>65.41</v>
      </c>
      <c r="H1105" s="128">
        <f t="shared" si="34"/>
        <v>-1.6129952337957899E-3</v>
      </c>
      <c r="I1105" s="128">
        <f t="shared" si="35"/>
        <v>-1.19335347432025E-2</v>
      </c>
    </row>
    <row r="1106" spans="1:9" ht="14.25" customHeight="1" x14ac:dyDescent="0.3">
      <c r="A1106" s="127">
        <v>45554</v>
      </c>
      <c r="B1106" s="64">
        <v>25415.8</v>
      </c>
      <c r="D1106" s="127">
        <v>45554</v>
      </c>
      <c r="E1106" s="64">
        <v>65.489999999999995</v>
      </c>
      <c r="H1106" s="128">
        <f t="shared" si="34"/>
        <v>1.50723769631032E-3</v>
      </c>
      <c r="I1106" s="128">
        <f t="shared" si="35"/>
        <v>1.2230545788105499E-3</v>
      </c>
    </row>
    <row r="1107" spans="1:9" ht="14.25" customHeight="1" x14ac:dyDescent="0.3">
      <c r="A1107" s="127">
        <v>45555</v>
      </c>
      <c r="B1107" s="64">
        <v>25790.95</v>
      </c>
      <c r="D1107" s="127">
        <v>45555</v>
      </c>
      <c r="E1107" s="64">
        <v>65.540000000000006</v>
      </c>
      <c r="H1107" s="128">
        <f t="shared" si="34"/>
        <v>1.4760503308965301E-2</v>
      </c>
      <c r="I1107" s="128">
        <f t="shared" si="35"/>
        <v>7.6347533974669996E-4</v>
      </c>
    </row>
    <row r="1108" spans="1:9" ht="14.25" customHeight="1" x14ac:dyDescent="0.3">
      <c r="A1108" s="127">
        <v>45558</v>
      </c>
      <c r="B1108" s="64">
        <v>25939.05</v>
      </c>
      <c r="D1108" s="127">
        <v>45558</v>
      </c>
      <c r="E1108" s="64">
        <v>66.42</v>
      </c>
      <c r="H1108" s="128">
        <f t="shared" si="34"/>
        <v>5.7423243424533999E-3</v>
      </c>
      <c r="I1108" s="128">
        <f t="shared" si="35"/>
        <v>1.34269148611534E-2</v>
      </c>
    </row>
    <row r="1109" spans="1:9" ht="14.25" customHeight="1" x14ac:dyDescent="0.3">
      <c r="A1109" s="127">
        <v>45559</v>
      </c>
      <c r="B1109" s="64">
        <v>25940.400000000001</v>
      </c>
      <c r="D1109" s="127">
        <v>45559</v>
      </c>
      <c r="E1109" s="64">
        <v>69.05</v>
      </c>
      <c r="H1109" s="128">
        <f t="shared" si="34"/>
        <v>5.2045082607195797E-5</v>
      </c>
      <c r="I1109" s="128">
        <f t="shared" si="35"/>
        <v>3.95965070761818E-2</v>
      </c>
    </row>
    <row r="1110" spans="1:9" ht="14.25" customHeight="1" x14ac:dyDescent="0.3">
      <c r="A1110" s="127">
        <v>45560</v>
      </c>
      <c r="B1110" s="64">
        <v>26004.15</v>
      </c>
      <c r="D1110" s="127">
        <v>45560</v>
      </c>
      <c r="E1110" s="64">
        <v>69.63</v>
      </c>
      <c r="H1110" s="128">
        <f t="shared" si="34"/>
        <v>2.4575565527131401E-3</v>
      </c>
      <c r="I1110" s="128">
        <f t="shared" si="35"/>
        <v>8.3997103548153294E-3</v>
      </c>
    </row>
    <row r="1111" spans="1:9" ht="14.25" customHeight="1" x14ac:dyDescent="0.3">
      <c r="A1111" s="127">
        <v>45561</v>
      </c>
      <c r="B1111" s="64">
        <v>26216.05</v>
      </c>
      <c r="D1111" s="127">
        <v>45561</v>
      </c>
      <c r="E1111" s="64">
        <v>72.25</v>
      </c>
      <c r="H1111" s="128">
        <f t="shared" si="34"/>
        <v>8.1486993422202909E-3</v>
      </c>
      <c r="I1111" s="128">
        <f t="shared" si="35"/>
        <v>3.7627459428407402E-2</v>
      </c>
    </row>
    <row r="1112" spans="1:9" ht="14.25" customHeight="1" x14ac:dyDescent="0.3">
      <c r="A1112" s="127">
        <v>45562</v>
      </c>
      <c r="B1112" s="64">
        <v>26178.95</v>
      </c>
      <c r="D1112" s="127">
        <v>45562</v>
      </c>
      <c r="E1112" s="64">
        <v>72.52</v>
      </c>
      <c r="H1112" s="128">
        <f t="shared" si="34"/>
        <v>-1.4151636116042901E-3</v>
      </c>
      <c r="I1112" s="128">
        <f t="shared" si="35"/>
        <v>3.7370242214532301E-3</v>
      </c>
    </row>
    <row r="1113" spans="1:9" ht="14.25" customHeight="1" x14ac:dyDescent="0.3">
      <c r="A1113" s="127">
        <v>45565</v>
      </c>
      <c r="B1113" s="64">
        <v>25810.85</v>
      </c>
      <c r="D1113" s="127">
        <v>45565</v>
      </c>
      <c r="E1113" s="64">
        <v>75.52</v>
      </c>
      <c r="H1113" s="128">
        <f t="shared" si="34"/>
        <v>-1.4060915353748E-2</v>
      </c>
      <c r="I1113" s="128">
        <f t="shared" si="35"/>
        <v>4.1367898510755702E-2</v>
      </c>
    </row>
    <row r="1114" spans="1:9" ht="14.25" customHeight="1" x14ac:dyDescent="0.3">
      <c r="A1114" s="127">
        <v>45566</v>
      </c>
      <c r="B1114" s="64">
        <v>25796.9</v>
      </c>
      <c r="D1114" s="127">
        <v>45566</v>
      </c>
      <c r="E1114" s="64">
        <v>75.41</v>
      </c>
      <c r="H1114" s="128">
        <f t="shared" si="34"/>
        <v>-5.4047038357888603E-4</v>
      </c>
      <c r="I1114" s="128">
        <f t="shared" si="35"/>
        <v>-1.45656779661016E-3</v>
      </c>
    </row>
    <row r="1115" spans="1:9" ht="14.25" customHeight="1" x14ac:dyDescent="0.3">
      <c r="A1115" s="127">
        <v>45568</v>
      </c>
      <c r="B1115" s="64">
        <v>25250.1</v>
      </c>
      <c r="D1115" s="127">
        <v>45568</v>
      </c>
      <c r="E1115" s="64">
        <v>73.819999999999993</v>
      </c>
      <c r="H1115" s="128">
        <f t="shared" si="34"/>
        <v>-2.1196345297303298E-2</v>
      </c>
      <c r="I1115" s="128">
        <f t="shared" si="35"/>
        <v>-2.1084736772311399E-2</v>
      </c>
    </row>
    <row r="1116" spans="1:9" ht="14.25" customHeight="1" x14ac:dyDescent="0.3">
      <c r="A1116" s="127">
        <v>45569</v>
      </c>
      <c r="B1116" s="64">
        <v>25014.6</v>
      </c>
      <c r="D1116" s="127">
        <v>45569</v>
      </c>
      <c r="E1116" s="64">
        <v>72.95</v>
      </c>
      <c r="H1116" s="128">
        <f t="shared" si="34"/>
        <v>-9.3266957358584708E-3</v>
      </c>
      <c r="I1116" s="128">
        <f t="shared" si="35"/>
        <v>-1.17854240043347E-2</v>
      </c>
    </row>
    <row r="1117" spans="1:9" ht="14.25" customHeight="1" x14ac:dyDescent="0.3">
      <c r="A1117" s="127">
        <v>45572</v>
      </c>
      <c r="B1117" s="64">
        <v>24795.75</v>
      </c>
      <c r="D1117" s="127">
        <v>45572</v>
      </c>
      <c r="E1117" s="64">
        <v>70.540000000000006</v>
      </c>
      <c r="H1117" s="128">
        <f t="shared" si="34"/>
        <v>-8.7488906478615895E-3</v>
      </c>
      <c r="I1117" s="128">
        <f t="shared" si="35"/>
        <v>-3.3036326250856701E-2</v>
      </c>
    </row>
    <row r="1118" spans="1:9" ht="14.25" customHeight="1" x14ac:dyDescent="0.3">
      <c r="A1118" s="127">
        <v>45573</v>
      </c>
      <c r="B1118" s="64">
        <v>25013.15</v>
      </c>
      <c r="D1118" s="127">
        <v>45573</v>
      </c>
      <c r="E1118" s="64">
        <v>67.53</v>
      </c>
      <c r="H1118" s="128">
        <f t="shared" si="34"/>
        <v>8.7676315497616092E-3</v>
      </c>
      <c r="I1118" s="128">
        <f t="shared" si="35"/>
        <v>-4.2670825063793702E-2</v>
      </c>
    </row>
    <row r="1119" spans="1:9" ht="14.25" customHeight="1" x14ac:dyDescent="0.3">
      <c r="A1119" s="127">
        <v>45574</v>
      </c>
      <c r="B1119" s="64">
        <v>24981.95</v>
      </c>
      <c r="D1119" s="127">
        <v>45574</v>
      </c>
      <c r="E1119" s="64">
        <v>69.13</v>
      </c>
      <c r="H1119" s="128">
        <f t="shared" si="34"/>
        <v>-1.24734389711015E-3</v>
      </c>
      <c r="I1119" s="128">
        <f t="shared" si="35"/>
        <v>2.36931734044128E-2</v>
      </c>
    </row>
    <row r="1120" spans="1:9" ht="14.25" customHeight="1" x14ac:dyDescent="0.3">
      <c r="A1120" s="127">
        <v>45575</v>
      </c>
      <c r="B1120" s="64">
        <v>24998.45</v>
      </c>
      <c r="D1120" s="127">
        <v>45575</v>
      </c>
      <c r="E1120" s="64">
        <v>69.8</v>
      </c>
      <c r="H1120" s="128">
        <f t="shared" si="34"/>
        <v>6.6047686429602202E-4</v>
      </c>
      <c r="I1120" s="128">
        <f t="shared" si="35"/>
        <v>9.6918848546217497E-3</v>
      </c>
    </row>
    <row r="1121" spans="1:9" ht="14.25" customHeight="1" x14ac:dyDescent="0.3">
      <c r="A1121" s="127">
        <v>45576</v>
      </c>
      <c r="B1121" s="64">
        <v>24964.25</v>
      </c>
      <c r="D1121" s="127">
        <v>45576</v>
      </c>
      <c r="E1121" s="64">
        <v>72.06</v>
      </c>
      <c r="H1121" s="128">
        <f t="shared" si="34"/>
        <v>-1.36808482125895E-3</v>
      </c>
      <c r="I1121" s="128">
        <f t="shared" si="35"/>
        <v>3.2378223495702102E-2</v>
      </c>
    </row>
    <row r="1122" spans="1:9" ht="14.25" customHeight="1" x14ac:dyDescent="0.3">
      <c r="A1122" s="127">
        <v>45579</v>
      </c>
      <c r="B1122" s="64">
        <v>25127.95</v>
      </c>
      <c r="D1122" s="127">
        <v>45579</v>
      </c>
      <c r="E1122" s="64">
        <v>73.099999999999994</v>
      </c>
      <c r="H1122" s="128">
        <f t="shared" si="34"/>
        <v>6.55737704918036E-3</v>
      </c>
      <c r="I1122" s="128">
        <f t="shared" si="35"/>
        <v>1.44324174299194E-2</v>
      </c>
    </row>
    <row r="1123" spans="1:9" ht="14.25" customHeight="1" x14ac:dyDescent="0.3">
      <c r="A1123" s="127">
        <v>45580</v>
      </c>
      <c r="B1123" s="64">
        <v>25057.35</v>
      </c>
      <c r="D1123" s="127">
        <v>45580</v>
      </c>
      <c r="E1123" s="64">
        <v>71.569999999999993</v>
      </c>
      <c r="H1123" s="128">
        <f t="shared" si="34"/>
        <v>-2.80962036298234E-3</v>
      </c>
      <c r="I1123" s="128">
        <f t="shared" si="35"/>
        <v>-2.0930232558139601E-2</v>
      </c>
    </row>
    <row r="1124" spans="1:9" ht="14.25" customHeight="1" x14ac:dyDescent="0.3">
      <c r="A1124" s="127">
        <v>45581</v>
      </c>
      <c r="B1124" s="64">
        <v>24971.3</v>
      </c>
      <c r="D1124" s="127">
        <v>45581</v>
      </c>
      <c r="E1124" s="64">
        <v>71.36</v>
      </c>
      <c r="H1124" s="128">
        <f t="shared" si="34"/>
        <v>-3.4341221238478599E-3</v>
      </c>
      <c r="I1124" s="128">
        <f t="shared" si="35"/>
        <v>-2.9341903031995802E-3</v>
      </c>
    </row>
    <row r="1125" spans="1:9" ht="14.25" customHeight="1" x14ac:dyDescent="0.3">
      <c r="A1125" s="127">
        <v>45582</v>
      </c>
      <c r="B1125" s="64">
        <v>24749.85</v>
      </c>
      <c r="D1125" s="127">
        <v>45582</v>
      </c>
      <c r="E1125" s="64">
        <v>69.08</v>
      </c>
      <c r="H1125" s="128">
        <f t="shared" si="34"/>
        <v>-8.8681806714108104E-3</v>
      </c>
      <c r="I1125" s="128">
        <f t="shared" si="35"/>
        <v>-3.1950672645739898E-2</v>
      </c>
    </row>
    <row r="1126" spans="1:9" ht="14.25" customHeight="1" x14ac:dyDescent="0.3">
      <c r="A1126" s="127">
        <v>45583</v>
      </c>
      <c r="B1126" s="64">
        <v>24854.05</v>
      </c>
      <c r="D1126" s="127">
        <v>45583</v>
      </c>
      <c r="E1126" s="64">
        <v>71.37</v>
      </c>
      <c r="H1126" s="128">
        <f t="shared" si="34"/>
        <v>4.2101265260193798E-3</v>
      </c>
      <c r="I1126" s="128">
        <f t="shared" si="35"/>
        <v>3.3149971048060299E-2</v>
      </c>
    </row>
    <row r="1127" spans="1:9" ht="14.25" customHeight="1" x14ac:dyDescent="0.3">
      <c r="A1127" s="127">
        <v>45586</v>
      </c>
      <c r="B1127" s="64">
        <v>24781.1</v>
      </c>
      <c r="D1127" s="127">
        <v>45586</v>
      </c>
      <c r="E1127" s="64">
        <v>69.569999999999993</v>
      </c>
      <c r="H1127" s="128">
        <f t="shared" si="34"/>
        <v>-2.93513531999818E-3</v>
      </c>
      <c r="I1127" s="128">
        <f t="shared" si="35"/>
        <v>-2.5220680958386001E-2</v>
      </c>
    </row>
    <row r="1128" spans="1:9" ht="14.25" customHeight="1" x14ac:dyDescent="0.3">
      <c r="A1128" s="127">
        <v>45587</v>
      </c>
      <c r="B1128" s="64">
        <v>24472.1</v>
      </c>
      <c r="D1128" s="127">
        <v>45587</v>
      </c>
      <c r="E1128" s="64">
        <v>66.430000000000007</v>
      </c>
      <c r="H1128" s="128">
        <f t="shared" si="34"/>
        <v>-1.24691801413174E-2</v>
      </c>
      <c r="I1128" s="128">
        <f t="shared" si="35"/>
        <v>-4.5134397010205399E-2</v>
      </c>
    </row>
    <row r="1129" spans="1:9" ht="14.25" customHeight="1" x14ac:dyDescent="0.3">
      <c r="A1129" s="127">
        <v>45588</v>
      </c>
      <c r="B1129" s="64">
        <v>24435.5</v>
      </c>
      <c r="D1129" s="127">
        <v>45588</v>
      </c>
      <c r="E1129" s="64">
        <v>67.31</v>
      </c>
      <c r="H1129" s="128">
        <f t="shared" si="34"/>
        <v>-1.4955806816741701E-3</v>
      </c>
      <c r="I1129" s="128">
        <f t="shared" si="35"/>
        <v>1.3247026945656999E-2</v>
      </c>
    </row>
    <row r="1130" spans="1:9" ht="14.25" customHeight="1" x14ac:dyDescent="0.3">
      <c r="A1130" s="127">
        <v>45589</v>
      </c>
      <c r="B1130" s="64">
        <v>24399.4</v>
      </c>
      <c r="D1130" s="127">
        <v>45589</v>
      </c>
      <c r="E1130" s="64">
        <v>66.56</v>
      </c>
      <c r="H1130" s="128">
        <f t="shared" si="34"/>
        <v>-1.4773587608192401E-3</v>
      </c>
      <c r="I1130" s="128">
        <f t="shared" si="35"/>
        <v>-1.1142475115138901E-2</v>
      </c>
    </row>
    <row r="1131" spans="1:9" ht="14.25" customHeight="1" x14ac:dyDescent="0.3">
      <c r="A1131" s="127">
        <v>45590</v>
      </c>
      <c r="B1131" s="64">
        <v>24180.799999999999</v>
      </c>
      <c r="D1131" s="127">
        <v>45590</v>
      </c>
      <c r="E1131" s="64">
        <v>67.17</v>
      </c>
      <c r="H1131" s="128">
        <f t="shared" si="34"/>
        <v>-8.9592367025419506E-3</v>
      </c>
      <c r="I1131" s="128">
        <f t="shared" si="35"/>
        <v>9.1646634615384498E-3</v>
      </c>
    </row>
    <row r="1132" spans="1:9" ht="14.25" customHeight="1" x14ac:dyDescent="0.3">
      <c r="A1132" s="127">
        <v>45593</v>
      </c>
      <c r="B1132" s="64">
        <v>24339.15</v>
      </c>
      <c r="D1132" s="127">
        <v>45593</v>
      </c>
      <c r="E1132" s="64">
        <v>70.3</v>
      </c>
      <c r="H1132" s="128">
        <f t="shared" si="34"/>
        <v>6.5485840005294399E-3</v>
      </c>
      <c r="I1132" s="128">
        <f t="shared" si="35"/>
        <v>4.6598183712966999E-2</v>
      </c>
    </row>
    <row r="1133" spans="1:9" ht="14.25" customHeight="1" x14ac:dyDescent="0.3">
      <c r="A1133" s="127">
        <v>45594</v>
      </c>
      <c r="B1133" s="64">
        <v>24466.85</v>
      </c>
      <c r="D1133" s="127">
        <v>45594</v>
      </c>
      <c r="E1133" s="64">
        <v>69.739999999999995</v>
      </c>
      <c r="H1133" s="128">
        <f t="shared" si="34"/>
        <v>5.2466910307055496E-3</v>
      </c>
      <c r="I1133" s="128">
        <f t="shared" si="35"/>
        <v>-7.9658605974395804E-3</v>
      </c>
    </row>
    <row r="1134" spans="1:9" ht="14.25" customHeight="1" x14ac:dyDescent="0.3">
      <c r="A1134" s="127">
        <v>45595</v>
      </c>
      <c r="B1134" s="64">
        <v>24340.85</v>
      </c>
      <c r="D1134" s="127">
        <v>45595</v>
      </c>
      <c r="E1134" s="64">
        <v>69.16</v>
      </c>
      <c r="H1134" s="128">
        <f t="shared" si="34"/>
        <v>-5.1498251716097501E-3</v>
      </c>
      <c r="I1134" s="128">
        <f t="shared" si="35"/>
        <v>-8.3166045311155509E-3</v>
      </c>
    </row>
    <row r="1135" spans="1:9" ht="14.25" customHeight="1" x14ac:dyDescent="0.3">
      <c r="A1135" s="127">
        <v>45596</v>
      </c>
      <c r="B1135" s="64">
        <v>24205.35</v>
      </c>
      <c r="D1135" s="127">
        <v>45596</v>
      </c>
      <c r="E1135" s="64">
        <v>68.42</v>
      </c>
      <c r="H1135" s="128">
        <f t="shared" si="34"/>
        <v>-5.5667735514577403E-3</v>
      </c>
      <c r="I1135" s="128">
        <f t="shared" si="35"/>
        <v>-1.06998264893001E-2</v>
      </c>
    </row>
    <row r="1136" spans="1:9" ht="14.25" customHeight="1" x14ac:dyDescent="0.3">
      <c r="A1136" s="127">
        <v>45597</v>
      </c>
      <c r="B1136" s="64">
        <v>24304.35</v>
      </c>
      <c r="D1136" s="127">
        <v>45597</v>
      </c>
      <c r="E1136" s="64">
        <v>68.72</v>
      </c>
      <c r="H1136" s="128">
        <f t="shared" si="34"/>
        <v>4.0900048956119201E-3</v>
      </c>
      <c r="I1136" s="128">
        <f t="shared" si="35"/>
        <v>4.3846828412744399E-3</v>
      </c>
    </row>
    <row r="1137" spans="1:9" ht="14.25" customHeight="1" x14ac:dyDescent="0.3">
      <c r="A1137" s="127">
        <v>45600</v>
      </c>
      <c r="B1137" s="64">
        <v>23995.35</v>
      </c>
      <c r="D1137" s="127">
        <v>45600</v>
      </c>
      <c r="E1137" s="64">
        <v>69.849999999999994</v>
      </c>
      <c r="H1137" s="128">
        <f t="shared" si="34"/>
        <v>-1.2713773460306501E-2</v>
      </c>
      <c r="I1137" s="128">
        <f t="shared" si="35"/>
        <v>1.6443538998835799E-2</v>
      </c>
    </row>
    <row r="1138" spans="1:9" ht="14.25" customHeight="1" x14ac:dyDescent="0.3">
      <c r="A1138" s="127">
        <v>45601</v>
      </c>
      <c r="B1138" s="64">
        <v>24213.3</v>
      </c>
      <c r="D1138" s="127">
        <v>45601</v>
      </c>
      <c r="E1138" s="64">
        <v>72.38</v>
      </c>
      <c r="H1138" s="128">
        <f t="shared" si="34"/>
        <v>9.0830098331552006E-3</v>
      </c>
      <c r="I1138" s="128">
        <f t="shared" si="35"/>
        <v>3.6220472440944902E-2</v>
      </c>
    </row>
    <row r="1139" spans="1:9" ht="14.25" customHeight="1" x14ac:dyDescent="0.3">
      <c r="A1139" s="127">
        <v>45602</v>
      </c>
      <c r="B1139" s="64">
        <v>24484.05</v>
      </c>
      <c r="D1139" s="127">
        <v>45602</v>
      </c>
      <c r="E1139" s="64">
        <v>74.34</v>
      </c>
      <c r="H1139" s="128">
        <f t="shared" si="34"/>
        <v>1.1181871120417301E-2</v>
      </c>
      <c r="I1139" s="128">
        <f t="shared" si="35"/>
        <v>2.7079303675048499E-2</v>
      </c>
    </row>
    <row r="1140" spans="1:9" ht="14.25" customHeight="1" x14ac:dyDescent="0.3">
      <c r="A1140" s="127">
        <v>45603</v>
      </c>
      <c r="B1140" s="64">
        <v>24199.35</v>
      </c>
      <c r="D1140" s="127">
        <v>45603</v>
      </c>
      <c r="E1140" s="64">
        <v>73.67</v>
      </c>
      <c r="H1140" s="128">
        <f t="shared" si="34"/>
        <v>-1.16279782143886E-2</v>
      </c>
      <c r="I1140" s="128">
        <f t="shared" si="35"/>
        <v>-9.0126446058649695E-3</v>
      </c>
    </row>
    <row r="1141" spans="1:9" ht="14.25" customHeight="1" x14ac:dyDescent="0.3">
      <c r="A1141" s="127">
        <v>45604</v>
      </c>
      <c r="B1141" s="64">
        <v>24148.2</v>
      </c>
      <c r="D1141" s="127">
        <v>45604</v>
      </c>
      <c r="E1141" s="64">
        <v>72.77</v>
      </c>
      <c r="H1141" s="128">
        <f t="shared" si="34"/>
        <v>-2.1136931363858E-3</v>
      </c>
      <c r="I1141" s="128">
        <f t="shared" si="35"/>
        <v>-1.2216641780915E-2</v>
      </c>
    </row>
    <row r="1142" spans="1:9" ht="14.25" customHeight="1" x14ac:dyDescent="0.3">
      <c r="A1142" s="127">
        <v>45607</v>
      </c>
      <c r="B1142" s="64">
        <v>24141.3</v>
      </c>
      <c r="D1142" s="127">
        <v>45607</v>
      </c>
      <c r="E1142" s="64">
        <v>71.83</v>
      </c>
      <c r="H1142" s="128">
        <f t="shared" si="34"/>
        <v>-2.8573558277641601E-4</v>
      </c>
      <c r="I1142" s="128">
        <f t="shared" si="35"/>
        <v>-1.29174110210251E-2</v>
      </c>
    </row>
    <row r="1143" spans="1:9" ht="14.25" customHeight="1" x14ac:dyDescent="0.3">
      <c r="A1143" s="127">
        <v>45608</v>
      </c>
      <c r="B1143" s="64">
        <v>23883.45</v>
      </c>
      <c r="D1143" s="127">
        <v>45608</v>
      </c>
      <c r="E1143" s="64">
        <v>69.31</v>
      </c>
      <c r="H1143" s="128">
        <f t="shared" si="34"/>
        <v>-1.06808663990754E-2</v>
      </c>
      <c r="I1143" s="128">
        <f t="shared" si="35"/>
        <v>-3.5082834470276998E-2</v>
      </c>
    </row>
    <row r="1144" spans="1:9" ht="14.25" customHeight="1" x14ac:dyDescent="0.3">
      <c r="A1144" s="127">
        <v>45609</v>
      </c>
      <c r="B1144" s="64">
        <v>23559.05</v>
      </c>
      <c r="D1144" s="127">
        <v>45609</v>
      </c>
      <c r="E1144" s="64">
        <v>68.83</v>
      </c>
      <c r="H1144" s="128">
        <f t="shared" si="34"/>
        <v>-1.3582627300494801E-2</v>
      </c>
      <c r="I1144" s="128">
        <f t="shared" si="35"/>
        <v>-6.9254075890925401E-3</v>
      </c>
    </row>
    <row r="1145" spans="1:9" ht="14.25" customHeight="1" x14ac:dyDescent="0.3">
      <c r="A1145" s="127">
        <v>45610</v>
      </c>
      <c r="B1145" s="64">
        <v>23532.7</v>
      </c>
      <c r="D1145" s="127">
        <v>45610</v>
      </c>
      <c r="E1145" s="64">
        <v>67.47</v>
      </c>
      <c r="H1145" s="128">
        <f t="shared" si="34"/>
        <v>-1.1184661520731299E-3</v>
      </c>
      <c r="I1145" s="128">
        <f t="shared" si="35"/>
        <v>-1.9758826093273299E-2</v>
      </c>
    </row>
    <row r="1146" spans="1:9" ht="14.25" customHeight="1" x14ac:dyDescent="0.3">
      <c r="A1146" s="127">
        <v>45614</v>
      </c>
      <c r="B1146" s="64">
        <v>23453.8</v>
      </c>
      <c r="D1146" s="127">
        <v>45614</v>
      </c>
      <c r="E1146" s="64">
        <v>68.680000000000007</v>
      </c>
      <c r="H1146" s="128">
        <f t="shared" si="34"/>
        <v>-3.3527814487925899E-3</v>
      </c>
      <c r="I1146" s="128">
        <f t="shared" si="35"/>
        <v>1.7933896546613402E-2</v>
      </c>
    </row>
    <row r="1147" spans="1:9" ht="14.25" customHeight="1" x14ac:dyDescent="0.3">
      <c r="A1147" s="127">
        <v>45615</v>
      </c>
      <c r="B1147" s="64">
        <v>23518.5</v>
      </c>
      <c r="D1147" s="127">
        <v>45615</v>
      </c>
      <c r="E1147" s="64">
        <v>68.22</v>
      </c>
      <c r="H1147" s="128">
        <f t="shared" si="34"/>
        <v>2.75861480868775E-3</v>
      </c>
      <c r="I1147" s="128">
        <f t="shared" si="35"/>
        <v>-6.6977285963891698E-3</v>
      </c>
    </row>
    <row r="1148" spans="1:9" ht="14.25" customHeight="1" x14ac:dyDescent="0.3">
      <c r="A1148" s="127">
        <v>45617</v>
      </c>
      <c r="B1148" s="64">
        <v>23349.9</v>
      </c>
      <c r="D1148" s="127">
        <v>45617</v>
      </c>
      <c r="E1148" s="64">
        <v>67.11</v>
      </c>
      <c r="H1148" s="128">
        <f t="shared" si="34"/>
        <v>-7.1688245423814703E-3</v>
      </c>
      <c r="I1148" s="128">
        <f t="shared" si="35"/>
        <v>-1.62708883025506E-2</v>
      </c>
    </row>
    <row r="1149" spans="1:9" ht="14.25" customHeight="1" x14ac:dyDescent="0.3">
      <c r="A1149" s="127">
        <v>45618</v>
      </c>
      <c r="B1149" s="64">
        <v>23907.25</v>
      </c>
      <c r="D1149" s="127">
        <v>45618</v>
      </c>
      <c r="E1149" s="64">
        <v>68.08</v>
      </c>
      <c r="H1149" s="128">
        <f t="shared" si="34"/>
        <v>2.3869481239748299E-2</v>
      </c>
      <c r="I1149" s="128">
        <f t="shared" si="35"/>
        <v>1.44538816867829E-2</v>
      </c>
    </row>
    <row r="1150" spans="1:9" ht="14.25" customHeight="1" x14ac:dyDescent="0.3">
      <c r="A1150" s="127">
        <v>45621</v>
      </c>
      <c r="B1150" s="64">
        <v>24221.9</v>
      </c>
      <c r="D1150" s="127">
        <v>45621</v>
      </c>
      <c r="E1150" s="64">
        <v>69.94</v>
      </c>
      <c r="H1150" s="128">
        <f t="shared" si="34"/>
        <v>1.31612795281767E-2</v>
      </c>
      <c r="I1150" s="128">
        <f t="shared" si="35"/>
        <v>2.7320799059929499E-2</v>
      </c>
    </row>
    <row r="1151" spans="1:9" ht="14.25" customHeight="1" x14ac:dyDescent="0.3">
      <c r="A1151" s="127">
        <v>45622</v>
      </c>
      <c r="B1151" s="64">
        <v>24194.5</v>
      </c>
      <c r="D1151" s="127">
        <v>45622</v>
      </c>
      <c r="E1151" s="64">
        <v>69.91</v>
      </c>
      <c r="H1151" s="128">
        <f t="shared" si="34"/>
        <v>-1.1312077087264601E-3</v>
      </c>
      <c r="I1151" s="128">
        <f t="shared" si="35"/>
        <v>-4.2893909064914399E-4</v>
      </c>
    </row>
    <row r="1152" spans="1:9" ht="14.25" customHeight="1" x14ac:dyDescent="0.3">
      <c r="A1152" s="127">
        <v>45623</v>
      </c>
      <c r="B1152" s="64">
        <v>24274.9</v>
      </c>
      <c r="D1152" s="127">
        <v>45623</v>
      </c>
      <c r="E1152" s="64">
        <v>70.22</v>
      </c>
      <c r="H1152" s="128">
        <f t="shared" si="34"/>
        <v>3.3230692926078799E-3</v>
      </c>
      <c r="I1152" s="128">
        <f t="shared" si="35"/>
        <v>4.43427263624664E-3</v>
      </c>
    </row>
    <row r="1153" spans="1:9" ht="14.25" customHeight="1" x14ac:dyDescent="0.3">
      <c r="A1153" s="127">
        <v>45624</v>
      </c>
      <c r="B1153" s="64">
        <v>23914.15</v>
      </c>
      <c r="D1153" s="127">
        <v>45624</v>
      </c>
      <c r="E1153" s="64">
        <v>70.23</v>
      </c>
      <c r="H1153" s="128">
        <f t="shared" si="34"/>
        <v>-1.48610292936325E-2</v>
      </c>
      <c r="I1153" s="128">
        <f t="shared" si="35"/>
        <v>1.4240956992317199E-4</v>
      </c>
    </row>
    <row r="1154" spans="1:9" ht="14.25" customHeight="1" x14ac:dyDescent="0.3">
      <c r="A1154" s="127">
        <v>45625</v>
      </c>
      <c r="B1154" s="64">
        <v>24131.1</v>
      </c>
      <c r="D1154" s="127">
        <v>45625</v>
      </c>
      <c r="E1154" s="64">
        <v>70.95</v>
      </c>
      <c r="H1154" s="128">
        <f t="shared" si="34"/>
        <v>9.0720347576642695E-3</v>
      </c>
      <c r="I1154" s="128">
        <f t="shared" si="35"/>
        <v>1.02520290474156E-2</v>
      </c>
    </row>
    <row r="1155" spans="1:9" ht="14.25" customHeight="1" x14ac:dyDescent="0.3">
      <c r="A1155" s="127">
        <v>45628</v>
      </c>
      <c r="B1155" s="64">
        <v>24276.05</v>
      </c>
      <c r="D1155" s="127">
        <v>45628</v>
      </c>
      <c r="E1155" s="64">
        <v>71.47</v>
      </c>
      <c r="H1155" s="128">
        <f t="shared" ref="H1155:H1218" si="36">(B1155-B1154)/B1154</f>
        <v>6.0067713448620497E-3</v>
      </c>
      <c r="I1155" s="128">
        <f t="shared" ref="I1155:I1218" si="37">(E1155-E1154)/E1154</f>
        <v>7.3291050035235502E-3</v>
      </c>
    </row>
    <row r="1156" spans="1:9" ht="14.25" customHeight="1" x14ac:dyDescent="0.3">
      <c r="A1156" s="127">
        <v>45629</v>
      </c>
      <c r="B1156" s="64">
        <v>24457.15</v>
      </c>
      <c r="D1156" s="127">
        <v>45629</v>
      </c>
      <c r="E1156" s="64">
        <v>72.680000000000007</v>
      </c>
      <c r="H1156" s="128">
        <f t="shared" si="36"/>
        <v>7.4600274756396598E-3</v>
      </c>
      <c r="I1156" s="128">
        <f t="shared" si="37"/>
        <v>1.6930180495312801E-2</v>
      </c>
    </row>
    <row r="1157" spans="1:9" ht="14.25" customHeight="1" x14ac:dyDescent="0.3">
      <c r="A1157" s="127">
        <v>45630</v>
      </c>
      <c r="B1157" s="64">
        <v>24467.45</v>
      </c>
      <c r="D1157" s="127">
        <v>45630</v>
      </c>
      <c r="E1157" s="64">
        <v>72.180000000000007</v>
      </c>
      <c r="H1157" s="128">
        <f t="shared" si="36"/>
        <v>4.2114473681517602E-4</v>
      </c>
      <c r="I1157" s="128">
        <f t="shared" si="37"/>
        <v>-6.8794716565767702E-3</v>
      </c>
    </row>
    <row r="1158" spans="1:9" ht="14.25" customHeight="1" x14ac:dyDescent="0.3">
      <c r="A1158" s="127">
        <v>45631</v>
      </c>
      <c r="B1158" s="64">
        <v>24708.400000000001</v>
      </c>
      <c r="D1158" s="127">
        <v>45631</v>
      </c>
      <c r="E1158" s="64">
        <v>72.52</v>
      </c>
      <c r="H1158" s="128">
        <f t="shared" si="36"/>
        <v>9.8477773531774095E-3</v>
      </c>
      <c r="I1158" s="128">
        <f t="shared" si="37"/>
        <v>4.7104461069546804E-3</v>
      </c>
    </row>
    <row r="1159" spans="1:9" ht="14.25" customHeight="1" x14ac:dyDescent="0.3">
      <c r="A1159" s="127">
        <v>45632</v>
      </c>
      <c r="B1159" s="64">
        <v>24677.8</v>
      </c>
      <c r="D1159" s="127">
        <v>45632</v>
      </c>
      <c r="E1159" s="64">
        <v>73.599999999999994</v>
      </c>
      <c r="H1159" s="128">
        <f t="shared" si="36"/>
        <v>-1.23844522510572E-3</v>
      </c>
      <c r="I1159" s="128">
        <f t="shared" si="37"/>
        <v>1.4892443463872E-2</v>
      </c>
    </row>
    <row r="1160" spans="1:9" ht="14.25" customHeight="1" x14ac:dyDescent="0.3">
      <c r="A1160" s="127">
        <v>45635</v>
      </c>
      <c r="B1160" s="64">
        <v>24619</v>
      </c>
      <c r="D1160" s="127">
        <v>45635</v>
      </c>
      <c r="E1160" s="64">
        <v>74.48</v>
      </c>
      <c r="H1160" s="128">
        <f t="shared" si="36"/>
        <v>-2.3827083451522899E-3</v>
      </c>
      <c r="I1160" s="128">
        <f t="shared" si="37"/>
        <v>1.19565217391306E-2</v>
      </c>
    </row>
    <row r="1161" spans="1:9" ht="14.25" customHeight="1" x14ac:dyDescent="0.3">
      <c r="A1161" s="127">
        <v>45636</v>
      </c>
      <c r="B1161" s="64">
        <v>24610.05</v>
      </c>
      <c r="D1161" s="127">
        <v>45636</v>
      </c>
      <c r="E1161" s="64">
        <v>75.23</v>
      </c>
      <c r="H1161" s="128">
        <f t="shared" si="36"/>
        <v>-3.6354035501038701E-4</v>
      </c>
      <c r="I1161" s="128">
        <f t="shared" si="37"/>
        <v>1.00698174006445E-2</v>
      </c>
    </row>
    <row r="1162" spans="1:9" ht="14.25" customHeight="1" x14ac:dyDescent="0.3">
      <c r="A1162" s="127">
        <v>45637</v>
      </c>
      <c r="B1162" s="64">
        <v>24641.8</v>
      </c>
      <c r="D1162" s="127">
        <v>45637</v>
      </c>
      <c r="E1162" s="64">
        <v>74.36</v>
      </c>
      <c r="H1162" s="128">
        <f t="shared" si="36"/>
        <v>1.29012334391844E-3</v>
      </c>
      <c r="I1162" s="128">
        <f t="shared" si="37"/>
        <v>-1.15645354246977E-2</v>
      </c>
    </row>
    <row r="1163" spans="1:9" ht="14.25" customHeight="1" x14ac:dyDescent="0.3">
      <c r="A1163" s="127">
        <v>45638</v>
      </c>
      <c r="B1163" s="64">
        <v>24548.7</v>
      </c>
      <c r="D1163" s="127">
        <v>45638</v>
      </c>
      <c r="E1163" s="64">
        <v>74.25</v>
      </c>
      <c r="H1163" s="128">
        <f t="shared" si="36"/>
        <v>-3.77813309092674E-3</v>
      </c>
      <c r="I1163" s="128">
        <f t="shared" si="37"/>
        <v>-1.47928994082839E-3</v>
      </c>
    </row>
    <row r="1164" spans="1:9" ht="14.25" customHeight="1" x14ac:dyDescent="0.3">
      <c r="A1164" s="127">
        <v>45639</v>
      </c>
      <c r="B1164" s="64">
        <v>24768.3</v>
      </c>
      <c r="D1164" s="127">
        <v>45639</v>
      </c>
      <c r="E1164" s="64">
        <v>72.08</v>
      </c>
      <c r="H1164" s="128">
        <f t="shared" si="36"/>
        <v>8.9454838749098101E-3</v>
      </c>
      <c r="I1164" s="128">
        <f t="shared" si="37"/>
        <v>-2.92255892255892E-2</v>
      </c>
    </row>
    <row r="1165" spans="1:9" ht="14.25" customHeight="1" x14ac:dyDescent="0.3">
      <c r="A1165" s="127">
        <v>45642</v>
      </c>
      <c r="B1165" s="64">
        <v>24668.25</v>
      </c>
      <c r="D1165" s="127">
        <v>45642</v>
      </c>
      <c r="E1165" s="64">
        <v>71.739999999999995</v>
      </c>
      <c r="H1165" s="128">
        <f t="shared" si="36"/>
        <v>-4.0394375068131096E-3</v>
      </c>
      <c r="I1165" s="128">
        <f t="shared" si="37"/>
        <v>-4.7169811320755201E-3</v>
      </c>
    </row>
    <row r="1166" spans="1:9" ht="14.25" customHeight="1" x14ac:dyDescent="0.3">
      <c r="A1166" s="127">
        <v>45643</v>
      </c>
      <c r="B1166" s="64">
        <v>24336</v>
      </c>
      <c r="D1166" s="127">
        <v>45643</v>
      </c>
      <c r="E1166" s="64">
        <v>70.16</v>
      </c>
      <c r="H1166" s="128">
        <f t="shared" si="36"/>
        <v>-1.3468730047733401E-2</v>
      </c>
      <c r="I1166" s="128">
        <f t="shared" si="37"/>
        <v>-2.2023975466964E-2</v>
      </c>
    </row>
    <row r="1167" spans="1:9" ht="14.25" customHeight="1" x14ac:dyDescent="0.3">
      <c r="A1167" s="127">
        <v>45644</v>
      </c>
      <c r="B1167" s="64">
        <v>24198.85</v>
      </c>
      <c r="D1167" s="127">
        <v>45644</v>
      </c>
      <c r="E1167" s="64">
        <v>65.88</v>
      </c>
      <c r="H1167" s="128">
        <f t="shared" si="36"/>
        <v>-5.6356837606838196E-3</v>
      </c>
      <c r="I1167" s="128">
        <f t="shared" si="37"/>
        <v>-6.1003420752565603E-2</v>
      </c>
    </row>
    <row r="1168" spans="1:9" ht="14.25" customHeight="1" x14ac:dyDescent="0.3">
      <c r="A1168" s="127">
        <v>45645</v>
      </c>
      <c r="B1168" s="64">
        <v>23951.7</v>
      </c>
      <c r="D1168" s="127">
        <v>45645</v>
      </c>
      <c r="E1168" s="64">
        <v>66.03</v>
      </c>
      <c r="H1168" s="128">
        <f t="shared" si="36"/>
        <v>-1.02132952598986E-2</v>
      </c>
      <c r="I1168" s="128">
        <f t="shared" si="37"/>
        <v>2.2768670309654799E-3</v>
      </c>
    </row>
    <row r="1169" spans="1:9" ht="14.25" customHeight="1" x14ac:dyDescent="0.3">
      <c r="A1169" s="127">
        <v>45646</v>
      </c>
      <c r="B1169" s="64">
        <v>23587.5</v>
      </c>
      <c r="D1169" s="127">
        <v>45646</v>
      </c>
      <c r="E1169" s="64">
        <v>65.73</v>
      </c>
      <c r="H1169" s="128">
        <f t="shared" si="36"/>
        <v>-1.52056012725611E-2</v>
      </c>
      <c r="I1169" s="128">
        <f t="shared" si="37"/>
        <v>-4.5433893684688302E-3</v>
      </c>
    </row>
    <row r="1170" spans="1:9" ht="14.25" customHeight="1" x14ac:dyDescent="0.3">
      <c r="A1170" s="127">
        <v>45649</v>
      </c>
      <c r="B1170" s="64">
        <v>23753.45</v>
      </c>
      <c r="D1170" s="127">
        <v>45649</v>
      </c>
      <c r="E1170" s="64">
        <v>66.010000000000005</v>
      </c>
      <c r="H1170" s="128">
        <f t="shared" si="36"/>
        <v>7.0355060943296504E-3</v>
      </c>
      <c r="I1170" s="128">
        <f t="shared" si="37"/>
        <v>4.2598509052183299E-3</v>
      </c>
    </row>
    <row r="1171" spans="1:9" ht="14.25" customHeight="1" x14ac:dyDescent="0.3">
      <c r="A1171" s="127">
        <v>45650</v>
      </c>
      <c r="B1171" s="64">
        <v>23727.65</v>
      </c>
      <c r="D1171" s="127">
        <v>45650</v>
      </c>
      <c r="E1171" s="64">
        <v>65.510000000000005</v>
      </c>
      <c r="H1171" s="128">
        <f t="shared" si="36"/>
        <v>-1.08615801073104E-3</v>
      </c>
      <c r="I1171" s="128">
        <f t="shared" si="37"/>
        <v>-7.5746099075897598E-3</v>
      </c>
    </row>
    <row r="1172" spans="1:9" ht="14.25" customHeight="1" x14ac:dyDescent="0.3">
      <c r="A1172" s="127">
        <v>45652</v>
      </c>
      <c r="B1172" s="64">
        <v>23750.2</v>
      </c>
      <c r="D1172" s="127">
        <v>45652</v>
      </c>
      <c r="E1172" s="64">
        <v>66.13</v>
      </c>
      <c r="H1172" s="128">
        <f t="shared" si="36"/>
        <v>9.5036803054660999E-4</v>
      </c>
      <c r="I1172" s="128">
        <f t="shared" si="37"/>
        <v>9.46420393832988E-3</v>
      </c>
    </row>
    <row r="1173" spans="1:9" ht="14.25" customHeight="1" x14ac:dyDescent="0.3">
      <c r="A1173" s="127">
        <v>45653</v>
      </c>
      <c r="B1173" s="64">
        <v>23813.4</v>
      </c>
      <c r="D1173" s="127">
        <v>45653</v>
      </c>
      <c r="E1173" s="64">
        <v>64.13</v>
      </c>
      <c r="H1173" s="128">
        <f t="shared" si="36"/>
        <v>2.6610302229034201E-3</v>
      </c>
      <c r="I1173" s="128">
        <f t="shared" si="37"/>
        <v>-3.0243459851807E-2</v>
      </c>
    </row>
    <row r="1174" spans="1:9" ht="14.25" customHeight="1" x14ac:dyDescent="0.3">
      <c r="A1174" s="127">
        <v>45656</v>
      </c>
      <c r="B1174" s="64">
        <v>23644.9</v>
      </c>
      <c r="D1174" s="127">
        <v>45656</v>
      </c>
      <c r="E1174" s="64">
        <v>61.87</v>
      </c>
      <c r="H1174" s="128">
        <f t="shared" si="36"/>
        <v>-7.0758480519371404E-3</v>
      </c>
      <c r="I1174" s="128">
        <f t="shared" si="37"/>
        <v>-3.5240916887572103E-2</v>
      </c>
    </row>
    <row r="1175" spans="1:9" ht="14.25" customHeight="1" x14ac:dyDescent="0.3">
      <c r="A1175" s="127">
        <v>45657</v>
      </c>
      <c r="B1175" s="64">
        <v>23644.799999999999</v>
      </c>
      <c r="D1175" s="127">
        <v>45657</v>
      </c>
      <c r="E1175" s="64">
        <v>60.98</v>
      </c>
      <c r="H1175" s="128">
        <f t="shared" si="36"/>
        <v>-4.2292418239105603E-6</v>
      </c>
      <c r="I1175" s="128">
        <f t="shared" si="37"/>
        <v>-1.4385000808146101E-2</v>
      </c>
    </row>
    <row r="1176" spans="1:9" ht="14.25" customHeight="1" x14ac:dyDescent="0.3">
      <c r="A1176" s="127">
        <v>45658</v>
      </c>
      <c r="B1176" s="64">
        <v>23742.9</v>
      </c>
      <c r="D1176" s="127">
        <v>45658</v>
      </c>
      <c r="E1176" s="64">
        <v>61.04</v>
      </c>
      <c r="H1176" s="128">
        <f t="shared" si="36"/>
        <v>4.1489037758831596E-3</v>
      </c>
      <c r="I1176" s="128">
        <f t="shared" si="37"/>
        <v>9.8392915710072601E-4</v>
      </c>
    </row>
    <row r="1177" spans="1:9" ht="14.25" customHeight="1" x14ac:dyDescent="0.3">
      <c r="A1177" s="127">
        <v>45659</v>
      </c>
      <c r="B1177" s="64">
        <v>24188.65</v>
      </c>
      <c r="D1177" s="127">
        <v>45659</v>
      </c>
      <c r="E1177" s="64">
        <v>62.62</v>
      </c>
      <c r="H1177" s="128">
        <f t="shared" si="36"/>
        <v>1.8774033500541201E-2</v>
      </c>
      <c r="I1177" s="128">
        <f t="shared" si="37"/>
        <v>2.58846657929226E-2</v>
      </c>
    </row>
    <row r="1178" spans="1:9" ht="14.25" customHeight="1" x14ac:dyDescent="0.3">
      <c r="A1178" s="127">
        <v>45660</v>
      </c>
      <c r="B1178" s="64">
        <v>24004.75</v>
      </c>
      <c r="D1178" s="127">
        <v>45660</v>
      </c>
      <c r="E1178" s="64">
        <v>62.59</v>
      </c>
      <c r="H1178" s="128">
        <f t="shared" si="36"/>
        <v>-7.6027393012839299E-3</v>
      </c>
      <c r="I1178" s="128">
        <f t="shared" si="37"/>
        <v>-4.7908016608102898E-4</v>
      </c>
    </row>
    <row r="1179" spans="1:9" ht="14.25" customHeight="1" x14ac:dyDescent="0.3">
      <c r="A1179" s="127">
        <v>45663</v>
      </c>
      <c r="B1179" s="64">
        <v>23616.05</v>
      </c>
      <c r="D1179" s="127">
        <v>45663</v>
      </c>
      <c r="E1179" s="64">
        <v>60.04</v>
      </c>
      <c r="H1179" s="128">
        <f t="shared" si="36"/>
        <v>-1.61926285422677E-2</v>
      </c>
      <c r="I1179" s="128">
        <f t="shared" si="37"/>
        <v>-4.0741332481227098E-2</v>
      </c>
    </row>
    <row r="1180" spans="1:9" ht="14.25" customHeight="1" x14ac:dyDescent="0.3">
      <c r="A1180" s="127">
        <v>45664</v>
      </c>
      <c r="B1180" s="64">
        <v>23707.9</v>
      </c>
      <c r="D1180" s="127">
        <v>45664</v>
      </c>
      <c r="E1180" s="64">
        <v>61.03</v>
      </c>
      <c r="H1180" s="128">
        <f t="shared" si="36"/>
        <v>3.8893040961550402E-3</v>
      </c>
      <c r="I1180" s="128">
        <f t="shared" si="37"/>
        <v>1.64890073284477E-2</v>
      </c>
    </row>
    <row r="1181" spans="1:9" ht="14.25" customHeight="1" x14ac:dyDescent="0.3">
      <c r="A1181" s="127">
        <v>45665</v>
      </c>
      <c r="B1181" s="64">
        <v>23688.95</v>
      </c>
      <c r="D1181" s="127">
        <v>45665</v>
      </c>
      <c r="E1181" s="64">
        <v>61.06</v>
      </c>
      <c r="H1181" s="128">
        <f t="shared" si="36"/>
        <v>-7.9931162186447195E-4</v>
      </c>
      <c r="I1181" s="128">
        <f t="shared" si="37"/>
        <v>4.9156152711782905E-4</v>
      </c>
    </row>
    <row r="1182" spans="1:9" ht="14.25" customHeight="1" x14ac:dyDescent="0.3">
      <c r="A1182" s="127">
        <v>45666</v>
      </c>
      <c r="B1182" s="64">
        <v>23526.5</v>
      </c>
      <c r="D1182" s="127">
        <v>45666</v>
      </c>
      <c r="E1182" s="64">
        <v>59.92</v>
      </c>
      <c r="H1182" s="128">
        <f t="shared" si="36"/>
        <v>-6.8576277124989E-3</v>
      </c>
      <c r="I1182" s="128">
        <f t="shared" si="37"/>
        <v>-1.8670160497871E-2</v>
      </c>
    </row>
    <row r="1183" spans="1:9" ht="14.25" customHeight="1" x14ac:dyDescent="0.3">
      <c r="A1183" s="127">
        <v>45667</v>
      </c>
      <c r="B1183" s="64">
        <v>23431.5</v>
      </c>
      <c r="D1183" s="127">
        <v>45667</v>
      </c>
      <c r="E1183" s="64">
        <v>58.32</v>
      </c>
      <c r="H1183" s="128">
        <f t="shared" si="36"/>
        <v>-4.0379997024631801E-3</v>
      </c>
      <c r="I1183" s="128">
        <f t="shared" si="37"/>
        <v>-2.67022696929239E-2</v>
      </c>
    </row>
    <row r="1184" spans="1:9" ht="14.25" customHeight="1" x14ac:dyDescent="0.3">
      <c r="A1184" s="127">
        <v>45670</v>
      </c>
      <c r="B1184" s="64">
        <v>23085.95</v>
      </c>
      <c r="D1184" s="127">
        <v>45670</v>
      </c>
      <c r="E1184" s="64">
        <v>55.51</v>
      </c>
      <c r="H1184" s="128">
        <f t="shared" si="36"/>
        <v>-1.4747241960608601E-2</v>
      </c>
      <c r="I1184" s="128">
        <f t="shared" si="37"/>
        <v>-4.8182441700960303E-2</v>
      </c>
    </row>
    <row r="1185" spans="1:9" ht="14.25" customHeight="1" x14ac:dyDescent="0.3">
      <c r="A1185" s="127">
        <v>45671</v>
      </c>
      <c r="B1185" s="64">
        <v>23176.05</v>
      </c>
      <c r="D1185" s="127">
        <v>45671</v>
      </c>
      <c r="E1185" s="64">
        <v>58.62</v>
      </c>
      <c r="H1185" s="128">
        <f t="shared" si="36"/>
        <v>3.9028066854514798E-3</v>
      </c>
      <c r="I1185" s="128">
        <f t="shared" si="37"/>
        <v>5.6025941271842898E-2</v>
      </c>
    </row>
    <row r="1186" spans="1:9" ht="14.25" customHeight="1" x14ac:dyDescent="0.3">
      <c r="A1186" s="127">
        <v>45672</v>
      </c>
      <c r="B1186" s="64">
        <v>23213.200000000001</v>
      </c>
      <c r="D1186" s="127">
        <v>45672</v>
      </c>
      <c r="E1186" s="64">
        <v>58.48</v>
      </c>
      <c r="H1186" s="128">
        <f t="shared" si="36"/>
        <v>1.60294787075457E-3</v>
      </c>
      <c r="I1186" s="128">
        <f t="shared" si="37"/>
        <v>-2.3882633913340301E-3</v>
      </c>
    </row>
    <row r="1187" spans="1:9" ht="14.25" customHeight="1" x14ac:dyDescent="0.3">
      <c r="A1187" s="127">
        <v>45673</v>
      </c>
      <c r="B1187" s="64">
        <v>23311.8</v>
      </c>
      <c r="D1187" s="127">
        <v>45673</v>
      </c>
      <c r="E1187" s="64">
        <v>60.76</v>
      </c>
      <c r="H1187" s="128">
        <f t="shared" si="36"/>
        <v>4.2475832715867896E-3</v>
      </c>
      <c r="I1187" s="128">
        <f t="shared" si="37"/>
        <v>3.8987688098495198E-2</v>
      </c>
    </row>
    <row r="1188" spans="1:9" ht="14.25" customHeight="1" x14ac:dyDescent="0.3">
      <c r="A1188" s="127">
        <v>45674</v>
      </c>
      <c r="B1188" s="64">
        <v>23203.200000000001</v>
      </c>
      <c r="D1188" s="127">
        <v>45674</v>
      </c>
      <c r="E1188" s="64">
        <v>61.64</v>
      </c>
      <c r="H1188" s="128">
        <f t="shared" si="36"/>
        <v>-4.6585849226571299E-3</v>
      </c>
      <c r="I1188" s="128">
        <f t="shared" si="37"/>
        <v>1.44832126398947E-2</v>
      </c>
    </row>
    <row r="1189" spans="1:9" ht="14.25" customHeight="1" x14ac:dyDescent="0.3">
      <c r="A1189" s="127">
        <v>45677</v>
      </c>
      <c r="B1189" s="64">
        <v>23344.75</v>
      </c>
      <c r="D1189" s="127">
        <v>45677</v>
      </c>
      <c r="E1189" s="64">
        <v>62.09</v>
      </c>
      <c r="H1189" s="128">
        <f t="shared" si="36"/>
        <v>6.1004516618397104E-3</v>
      </c>
      <c r="I1189" s="128">
        <f t="shared" si="37"/>
        <v>7.3004542504867403E-3</v>
      </c>
    </row>
    <row r="1190" spans="1:9" ht="14.25" customHeight="1" x14ac:dyDescent="0.3">
      <c r="A1190" s="127">
        <v>45678</v>
      </c>
      <c r="B1190" s="64">
        <v>23024.65</v>
      </c>
      <c r="D1190" s="127">
        <v>45678</v>
      </c>
      <c r="E1190" s="64">
        <v>61.34</v>
      </c>
      <c r="H1190" s="128">
        <f t="shared" si="36"/>
        <v>-1.37118624101778E-2</v>
      </c>
      <c r="I1190" s="128">
        <f t="shared" si="37"/>
        <v>-1.20792398131744E-2</v>
      </c>
    </row>
    <row r="1191" spans="1:9" ht="14.25" customHeight="1" x14ac:dyDescent="0.3">
      <c r="A1191" s="127">
        <v>45679</v>
      </c>
      <c r="B1191" s="64">
        <v>23155.35</v>
      </c>
      <c r="D1191" s="127">
        <v>45679</v>
      </c>
      <c r="E1191" s="64">
        <v>60.77</v>
      </c>
      <c r="H1191" s="128">
        <f t="shared" si="36"/>
        <v>5.6765249417470897E-3</v>
      </c>
      <c r="I1191" s="128">
        <f t="shared" si="37"/>
        <v>-9.2924682099771796E-3</v>
      </c>
    </row>
    <row r="1192" spans="1:9" ht="14.25" customHeight="1" x14ac:dyDescent="0.3">
      <c r="A1192" s="127">
        <v>45680</v>
      </c>
      <c r="B1192" s="64">
        <v>23205.35</v>
      </c>
      <c r="D1192" s="127">
        <v>45680</v>
      </c>
      <c r="E1192" s="64">
        <v>62.99</v>
      </c>
      <c r="H1192" s="128">
        <f t="shared" si="36"/>
        <v>2.15932818981359E-3</v>
      </c>
      <c r="I1192" s="128">
        <f t="shared" si="37"/>
        <v>3.6531183149580398E-2</v>
      </c>
    </row>
    <row r="1193" spans="1:9" ht="14.25" customHeight="1" x14ac:dyDescent="0.3">
      <c r="A1193" s="127">
        <v>45681</v>
      </c>
      <c r="B1193" s="64">
        <v>23092.2</v>
      </c>
      <c r="D1193" s="127">
        <v>45681</v>
      </c>
      <c r="E1193" s="64">
        <v>61.77</v>
      </c>
      <c r="H1193" s="128">
        <f t="shared" si="36"/>
        <v>-4.8760307429104796E-3</v>
      </c>
      <c r="I1193" s="128">
        <f t="shared" si="37"/>
        <v>-1.93681536751865E-2</v>
      </c>
    </row>
    <row r="1194" spans="1:9" ht="14.25" customHeight="1" x14ac:dyDescent="0.3">
      <c r="A1194" s="127">
        <v>45684</v>
      </c>
      <c r="B1194" s="64">
        <v>22829.15</v>
      </c>
      <c r="D1194" s="127">
        <v>45684</v>
      </c>
      <c r="E1194" s="64">
        <v>59.61</v>
      </c>
      <c r="H1194" s="128">
        <f t="shared" si="36"/>
        <v>-1.13912922978321E-2</v>
      </c>
      <c r="I1194" s="128">
        <f t="shared" si="37"/>
        <v>-3.4968431277319099E-2</v>
      </c>
    </row>
    <row r="1195" spans="1:9" ht="14.25" customHeight="1" x14ac:dyDescent="0.3">
      <c r="A1195" s="127">
        <v>45685</v>
      </c>
      <c r="B1195" s="64">
        <v>22957.25</v>
      </c>
      <c r="D1195" s="127">
        <v>45685</v>
      </c>
      <c r="E1195" s="64">
        <v>59.11</v>
      </c>
      <c r="H1195" s="128">
        <f t="shared" si="36"/>
        <v>5.6112470240897499E-3</v>
      </c>
      <c r="I1195" s="128">
        <f t="shared" si="37"/>
        <v>-8.3878543868478404E-3</v>
      </c>
    </row>
    <row r="1196" spans="1:9" ht="14.25" customHeight="1" x14ac:dyDescent="0.3">
      <c r="A1196" s="127">
        <v>45686</v>
      </c>
      <c r="B1196" s="64">
        <v>23163.1</v>
      </c>
      <c r="D1196" s="127">
        <v>45686</v>
      </c>
      <c r="E1196" s="64">
        <v>60.84</v>
      </c>
      <c r="H1196" s="128">
        <f t="shared" si="36"/>
        <v>8.9666663036730692E-3</v>
      </c>
      <c r="I1196" s="128">
        <f t="shared" si="37"/>
        <v>2.9267467433598399E-2</v>
      </c>
    </row>
    <row r="1197" spans="1:9" ht="14.25" customHeight="1" x14ac:dyDescent="0.3">
      <c r="A1197" s="127">
        <v>45687</v>
      </c>
      <c r="B1197" s="64">
        <v>23249.5</v>
      </c>
      <c r="D1197" s="127">
        <v>45687</v>
      </c>
      <c r="E1197" s="64">
        <v>60.17</v>
      </c>
      <c r="H1197" s="128">
        <f t="shared" si="36"/>
        <v>3.7300706727511198E-3</v>
      </c>
      <c r="I1197" s="128">
        <f t="shared" si="37"/>
        <v>-1.1012491781722601E-2</v>
      </c>
    </row>
    <row r="1198" spans="1:9" ht="14.25" customHeight="1" x14ac:dyDescent="0.3">
      <c r="A1198" s="127">
        <v>45688</v>
      </c>
      <c r="B1198" s="64">
        <v>23508.400000000001</v>
      </c>
      <c r="D1198" s="127">
        <v>45688</v>
      </c>
      <c r="E1198" s="64">
        <v>61.15</v>
      </c>
      <c r="H1198" s="128">
        <f t="shared" si="36"/>
        <v>1.11357233488893E-2</v>
      </c>
      <c r="I1198" s="128">
        <f t="shared" si="37"/>
        <v>1.6287186305467799E-2</v>
      </c>
    </row>
    <row r="1199" spans="1:9" ht="14.25" customHeight="1" x14ac:dyDescent="0.3">
      <c r="A1199" s="127">
        <v>45691</v>
      </c>
      <c r="B1199" s="64">
        <v>23361.05</v>
      </c>
      <c r="D1199" s="127">
        <v>45691</v>
      </c>
      <c r="E1199" s="64">
        <v>57.63</v>
      </c>
      <c r="H1199" s="128">
        <f t="shared" si="36"/>
        <v>-6.2679722992633304E-3</v>
      </c>
      <c r="I1199" s="128">
        <f t="shared" si="37"/>
        <v>-5.7563368765331101E-2</v>
      </c>
    </row>
    <row r="1200" spans="1:9" ht="14.25" customHeight="1" x14ac:dyDescent="0.3">
      <c r="A1200" s="127">
        <v>45692</v>
      </c>
      <c r="B1200" s="64">
        <v>23739.25</v>
      </c>
      <c r="D1200" s="127">
        <v>45692</v>
      </c>
      <c r="E1200" s="64">
        <v>59.2</v>
      </c>
      <c r="H1200" s="128">
        <f t="shared" si="36"/>
        <v>1.6189340804458701E-2</v>
      </c>
      <c r="I1200" s="128">
        <f t="shared" si="37"/>
        <v>2.7242755509283401E-2</v>
      </c>
    </row>
    <row r="1201" spans="1:9" ht="14.25" customHeight="1" x14ac:dyDescent="0.3">
      <c r="A1201" s="127">
        <v>45693</v>
      </c>
      <c r="B1201" s="64">
        <v>23696.3</v>
      </c>
      <c r="D1201" s="127">
        <v>45693</v>
      </c>
      <c r="E1201" s="64">
        <v>60.26</v>
      </c>
      <c r="H1201" s="128">
        <f t="shared" si="36"/>
        <v>-1.8092399717767301E-3</v>
      </c>
      <c r="I1201" s="128">
        <f t="shared" si="37"/>
        <v>1.7905405405405299E-2</v>
      </c>
    </row>
    <row r="1202" spans="1:9" ht="14.25" customHeight="1" x14ac:dyDescent="0.3">
      <c r="A1202" s="127">
        <v>45694</v>
      </c>
      <c r="B1202" s="64">
        <v>23603.35</v>
      </c>
      <c r="D1202" s="127">
        <v>45694</v>
      </c>
      <c r="E1202" s="64">
        <v>60.25</v>
      </c>
      <c r="H1202" s="128">
        <f t="shared" si="36"/>
        <v>-3.9225533100104501E-3</v>
      </c>
      <c r="I1202" s="128">
        <f t="shared" si="37"/>
        <v>-1.6594756057082701E-4</v>
      </c>
    </row>
    <row r="1203" spans="1:9" ht="14.25" customHeight="1" x14ac:dyDescent="0.3">
      <c r="A1203" s="127">
        <v>45695</v>
      </c>
      <c r="B1203" s="64">
        <v>23559.95</v>
      </c>
      <c r="D1203" s="127">
        <v>45695</v>
      </c>
      <c r="E1203" s="64">
        <v>61.67</v>
      </c>
      <c r="H1203" s="128">
        <f t="shared" si="36"/>
        <v>-1.8387220458112E-3</v>
      </c>
      <c r="I1203" s="128">
        <f t="shared" si="37"/>
        <v>2.3568464730290499E-2</v>
      </c>
    </row>
    <row r="1204" spans="1:9" ht="14.25" customHeight="1" x14ac:dyDescent="0.3">
      <c r="A1204" s="127">
        <v>45698</v>
      </c>
      <c r="B1204" s="64">
        <v>23381.599999999999</v>
      </c>
      <c r="D1204" s="127">
        <v>45698</v>
      </c>
      <c r="E1204" s="64">
        <v>59.32</v>
      </c>
      <c r="H1204" s="128">
        <f t="shared" si="36"/>
        <v>-7.5700500213286602E-3</v>
      </c>
      <c r="I1204" s="128">
        <f t="shared" si="37"/>
        <v>-3.8106048321712403E-2</v>
      </c>
    </row>
    <row r="1205" spans="1:9" ht="14.25" customHeight="1" x14ac:dyDescent="0.3">
      <c r="A1205" s="127">
        <v>45699</v>
      </c>
      <c r="B1205" s="64">
        <v>23071.8</v>
      </c>
      <c r="D1205" s="127">
        <v>45699</v>
      </c>
      <c r="E1205" s="64">
        <v>56.9</v>
      </c>
      <c r="H1205" s="128">
        <f t="shared" si="36"/>
        <v>-1.32497348342286E-2</v>
      </c>
      <c r="I1205" s="128">
        <f t="shared" si="37"/>
        <v>-4.0795684423465997E-2</v>
      </c>
    </row>
    <row r="1206" spans="1:9" ht="14.25" customHeight="1" x14ac:dyDescent="0.3">
      <c r="A1206" s="127">
        <v>45700</v>
      </c>
      <c r="B1206" s="64">
        <v>23045.25</v>
      </c>
      <c r="D1206" s="127">
        <v>45700</v>
      </c>
      <c r="E1206" s="64">
        <v>58.2</v>
      </c>
      <c r="H1206" s="128">
        <f t="shared" si="36"/>
        <v>-1.1507554677138E-3</v>
      </c>
      <c r="I1206" s="128">
        <f t="shared" si="37"/>
        <v>2.2847100175746999E-2</v>
      </c>
    </row>
    <row r="1207" spans="1:9" ht="14.25" customHeight="1" x14ac:dyDescent="0.3">
      <c r="A1207" s="127">
        <v>45701</v>
      </c>
      <c r="B1207" s="64">
        <v>23031.4</v>
      </c>
      <c r="D1207" s="127">
        <v>45701</v>
      </c>
      <c r="E1207" s="64">
        <v>58.45</v>
      </c>
      <c r="H1207" s="128">
        <f t="shared" si="36"/>
        <v>-6.0099152753815004E-4</v>
      </c>
      <c r="I1207" s="128">
        <f t="shared" si="37"/>
        <v>4.2955326460481103E-3</v>
      </c>
    </row>
    <row r="1208" spans="1:9" ht="14.25" customHeight="1" x14ac:dyDescent="0.3">
      <c r="A1208" s="127">
        <v>45702</v>
      </c>
      <c r="B1208" s="64">
        <v>22929.25</v>
      </c>
      <c r="D1208" s="127">
        <v>45702</v>
      </c>
      <c r="E1208" s="64">
        <v>57.29</v>
      </c>
      <c r="H1208" s="128">
        <f t="shared" si="36"/>
        <v>-4.4352492683901699E-3</v>
      </c>
      <c r="I1208" s="128">
        <f t="shared" si="37"/>
        <v>-1.98460222412319E-2</v>
      </c>
    </row>
    <row r="1209" spans="1:9" ht="14.25" customHeight="1" x14ac:dyDescent="0.3">
      <c r="A1209" s="127">
        <v>45705</v>
      </c>
      <c r="B1209" s="64">
        <v>22959.5</v>
      </c>
      <c r="D1209" s="127">
        <v>45705</v>
      </c>
      <c r="E1209" s="64">
        <v>57.88</v>
      </c>
      <c r="H1209" s="128">
        <f t="shared" si="36"/>
        <v>1.31927559776268E-3</v>
      </c>
      <c r="I1209" s="128">
        <f t="shared" si="37"/>
        <v>1.0298481410368401E-2</v>
      </c>
    </row>
    <row r="1210" spans="1:9" ht="14.25" customHeight="1" x14ac:dyDescent="0.3">
      <c r="A1210" s="127">
        <v>45706</v>
      </c>
      <c r="B1210" s="64">
        <v>22945.3</v>
      </c>
      <c r="D1210" s="127">
        <v>45706</v>
      </c>
      <c r="E1210" s="64">
        <v>58.35</v>
      </c>
      <c r="H1210" s="128">
        <f t="shared" si="36"/>
        <v>-6.1848036760385602E-4</v>
      </c>
      <c r="I1210" s="128">
        <f t="shared" si="37"/>
        <v>8.12024879060122E-3</v>
      </c>
    </row>
    <row r="1211" spans="1:9" ht="14.25" customHeight="1" x14ac:dyDescent="0.3">
      <c r="A1211" s="127">
        <v>45707</v>
      </c>
      <c r="B1211" s="64">
        <v>22932.9</v>
      </c>
      <c r="D1211" s="127">
        <v>45707</v>
      </c>
      <c r="E1211" s="64">
        <v>60.09</v>
      </c>
      <c r="H1211" s="128">
        <f t="shared" si="36"/>
        <v>-5.4041568425768299E-4</v>
      </c>
      <c r="I1211" s="128">
        <f t="shared" si="37"/>
        <v>2.9820051413881801E-2</v>
      </c>
    </row>
    <row r="1212" spans="1:9" ht="14.25" customHeight="1" x14ac:dyDescent="0.3">
      <c r="A1212" s="127">
        <v>45708</v>
      </c>
      <c r="B1212" s="64">
        <v>22913.15</v>
      </c>
      <c r="D1212" s="127">
        <v>45708</v>
      </c>
      <c r="E1212" s="64">
        <v>62.09</v>
      </c>
      <c r="H1212" s="128">
        <f t="shared" si="36"/>
        <v>-8.6120813329321601E-4</v>
      </c>
      <c r="I1212" s="128">
        <f t="shared" si="37"/>
        <v>3.3283408221001801E-2</v>
      </c>
    </row>
    <row r="1213" spans="1:9" ht="14.25" customHeight="1" x14ac:dyDescent="0.3">
      <c r="A1213" s="127">
        <v>45709</v>
      </c>
      <c r="B1213" s="64">
        <v>22795.9</v>
      </c>
      <c r="D1213" s="127">
        <v>45709</v>
      </c>
      <c r="E1213" s="64">
        <v>62.66</v>
      </c>
      <c r="H1213" s="128">
        <f t="shared" si="36"/>
        <v>-5.1171488861199797E-3</v>
      </c>
      <c r="I1213" s="128">
        <f t="shared" si="37"/>
        <v>9.18022225801245E-3</v>
      </c>
    </row>
    <row r="1214" spans="1:9" ht="14.25" customHeight="1" x14ac:dyDescent="0.3">
      <c r="A1214" s="127">
        <v>45712</v>
      </c>
      <c r="B1214" s="64">
        <v>22553.35</v>
      </c>
      <c r="D1214" s="127">
        <v>45712</v>
      </c>
      <c r="E1214" s="64">
        <v>61.11</v>
      </c>
      <c r="H1214" s="128">
        <f t="shared" si="36"/>
        <v>-1.06400712408812E-2</v>
      </c>
      <c r="I1214" s="128">
        <f t="shared" si="37"/>
        <v>-2.4736674114267401E-2</v>
      </c>
    </row>
    <row r="1215" spans="1:9" ht="14.25" customHeight="1" x14ac:dyDescent="0.3">
      <c r="A1215" s="127">
        <v>45713</v>
      </c>
      <c r="B1215" s="64">
        <v>22547.55</v>
      </c>
      <c r="D1215" s="127">
        <v>45713</v>
      </c>
      <c r="E1215" s="64">
        <v>59.96</v>
      </c>
      <c r="H1215" s="128">
        <f t="shared" si="36"/>
        <v>-2.5716800386635602E-4</v>
      </c>
      <c r="I1215" s="128">
        <f t="shared" si="37"/>
        <v>-1.8818523973163099E-2</v>
      </c>
    </row>
    <row r="1216" spans="1:9" ht="14.25" customHeight="1" x14ac:dyDescent="0.3">
      <c r="A1216" s="127">
        <v>45715</v>
      </c>
      <c r="B1216" s="64">
        <v>22545.05</v>
      </c>
      <c r="D1216" s="127">
        <v>45715</v>
      </c>
      <c r="E1216" s="64">
        <v>60.31</v>
      </c>
      <c r="H1216" s="128">
        <f t="shared" si="36"/>
        <v>-1.10876791491759E-4</v>
      </c>
      <c r="I1216" s="128">
        <f t="shared" si="37"/>
        <v>5.8372248165443896E-3</v>
      </c>
    </row>
    <row r="1217" spans="1:9" ht="14.25" customHeight="1" x14ac:dyDescent="0.3">
      <c r="A1217" s="127">
        <v>45716</v>
      </c>
      <c r="B1217" s="64">
        <v>22124.7</v>
      </c>
      <c r="D1217" s="127">
        <v>45716</v>
      </c>
      <c r="E1217" s="64">
        <v>57.8</v>
      </c>
      <c r="H1217" s="128">
        <f t="shared" si="36"/>
        <v>-1.86448910071168E-2</v>
      </c>
      <c r="I1217" s="128">
        <f t="shared" si="37"/>
        <v>-4.1618305421986503E-2</v>
      </c>
    </row>
    <row r="1218" spans="1:9" ht="14.25" customHeight="1" x14ac:dyDescent="0.3">
      <c r="A1218" s="127">
        <v>45719</v>
      </c>
      <c r="B1218" s="64">
        <v>22119.3</v>
      </c>
      <c r="D1218" s="127">
        <v>45719</v>
      </c>
      <c r="E1218" s="64">
        <v>58.34</v>
      </c>
      <c r="H1218" s="128">
        <f t="shared" si="36"/>
        <v>-2.4407110604896101E-4</v>
      </c>
      <c r="I1218" s="128">
        <f t="shared" si="37"/>
        <v>9.3425605536333299E-3</v>
      </c>
    </row>
    <row r="1219" spans="1:9" ht="14.25" customHeight="1" x14ac:dyDescent="0.3">
      <c r="A1219" s="127">
        <v>45720</v>
      </c>
      <c r="B1219" s="64">
        <v>22082.65</v>
      </c>
      <c r="D1219" s="127">
        <v>45720</v>
      </c>
      <c r="E1219" s="64">
        <v>57.61</v>
      </c>
      <c r="H1219" s="128">
        <f t="shared" ref="H1219:H1282" si="38">(B1219-B1218)/B1218</f>
        <v>-1.6569240437083401E-3</v>
      </c>
      <c r="I1219" s="128">
        <f t="shared" ref="I1219:I1282" si="39">(E1219-E1218)/E1218</f>
        <v>-1.2512855673637399E-2</v>
      </c>
    </row>
    <row r="1220" spans="1:9" ht="14.25" customHeight="1" x14ac:dyDescent="0.3">
      <c r="A1220" s="127">
        <v>45721</v>
      </c>
      <c r="B1220" s="64">
        <v>22337.3</v>
      </c>
      <c r="D1220" s="127">
        <v>45721</v>
      </c>
      <c r="E1220" s="64">
        <v>60.54</v>
      </c>
      <c r="H1220" s="128">
        <f t="shared" si="38"/>
        <v>1.1531677583985499E-2</v>
      </c>
      <c r="I1220" s="128">
        <f t="shared" si="39"/>
        <v>5.0859225828849199E-2</v>
      </c>
    </row>
    <row r="1221" spans="1:9" ht="14.25" customHeight="1" x14ac:dyDescent="0.3">
      <c r="A1221" s="127">
        <v>45722</v>
      </c>
      <c r="B1221" s="64">
        <v>22544.7</v>
      </c>
      <c r="D1221" s="127">
        <v>45722</v>
      </c>
      <c r="E1221" s="64">
        <v>61.89</v>
      </c>
      <c r="H1221" s="128">
        <f t="shared" si="38"/>
        <v>9.2849180518684692E-3</v>
      </c>
      <c r="I1221" s="128">
        <f t="shared" si="39"/>
        <v>2.22993062438058E-2</v>
      </c>
    </row>
    <row r="1222" spans="1:9" ht="14.25" customHeight="1" x14ac:dyDescent="0.3">
      <c r="A1222" s="127">
        <v>45723</v>
      </c>
      <c r="B1222" s="64">
        <v>22552.5</v>
      </c>
      <c r="D1222" s="127">
        <v>45723</v>
      </c>
      <c r="E1222" s="64">
        <v>62.1</v>
      </c>
      <c r="H1222" s="128">
        <f t="shared" si="38"/>
        <v>3.4597932108208502E-4</v>
      </c>
      <c r="I1222" s="128">
        <f t="shared" si="39"/>
        <v>3.39311682016482E-3</v>
      </c>
    </row>
    <row r="1223" spans="1:9" ht="14.25" customHeight="1" x14ac:dyDescent="0.3">
      <c r="A1223" s="127">
        <v>45726</v>
      </c>
      <c r="B1223" s="64">
        <v>22460.3</v>
      </c>
      <c r="D1223" s="127">
        <v>45726</v>
      </c>
      <c r="E1223" s="64">
        <v>60.99</v>
      </c>
      <c r="H1223" s="128">
        <f t="shared" si="38"/>
        <v>-4.08823855448401E-3</v>
      </c>
      <c r="I1223" s="128">
        <f t="shared" si="39"/>
        <v>-1.7874396135265699E-2</v>
      </c>
    </row>
    <row r="1224" spans="1:9" ht="14.25" customHeight="1" x14ac:dyDescent="0.3">
      <c r="A1224" s="127">
        <v>45727</v>
      </c>
      <c r="B1224" s="64">
        <v>22497.9</v>
      </c>
      <c r="D1224" s="127">
        <v>45727</v>
      </c>
      <c r="E1224" s="64">
        <v>60.3</v>
      </c>
      <c r="H1224" s="128">
        <f t="shared" si="38"/>
        <v>1.6740649056335901E-3</v>
      </c>
      <c r="I1224" s="128">
        <f t="shared" si="39"/>
        <v>-1.13133300541073E-2</v>
      </c>
    </row>
    <row r="1225" spans="1:9" ht="14.25" customHeight="1" x14ac:dyDescent="0.3">
      <c r="A1225" s="127">
        <v>45728</v>
      </c>
      <c r="B1225" s="64">
        <v>22470.5</v>
      </c>
      <c r="D1225" s="127">
        <v>45728</v>
      </c>
      <c r="E1225" s="64">
        <v>59.94</v>
      </c>
      <c r="H1225" s="128">
        <f t="shared" si="38"/>
        <v>-1.2178914476462901E-3</v>
      </c>
      <c r="I1225" s="128">
        <f t="shared" si="39"/>
        <v>-5.9701492537313303E-3</v>
      </c>
    </row>
    <row r="1226" spans="1:9" ht="14.25" customHeight="1" x14ac:dyDescent="0.3">
      <c r="A1226" s="127">
        <v>45729</v>
      </c>
      <c r="B1226" s="64">
        <v>22397.200000000001</v>
      </c>
      <c r="D1226" s="127">
        <v>45729</v>
      </c>
      <c r="E1226" s="64">
        <v>59.02</v>
      </c>
      <c r="H1226" s="128">
        <f t="shared" si="38"/>
        <v>-3.2620546939320099E-3</v>
      </c>
      <c r="I1226" s="128">
        <f t="shared" si="39"/>
        <v>-1.53486820153486E-2</v>
      </c>
    </row>
    <row r="1227" spans="1:9" ht="14.25" customHeight="1" x14ac:dyDescent="0.3">
      <c r="A1227" s="127">
        <v>45733</v>
      </c>
      <c r="B1227" s="64">
        <v>22508.75</v>
      </c>
      <c r="D1227" s="127">
        <v>45733</v>
      </c>
      <c r="E1227" s="64">
        <v>60.05</v>
      </c>
      <c r="H1227" s="128">
        <f t="shared" si="38"/>
        <v>4.9805332809458001E-3</v>
      </c>
      <c r="I1227" s="128">
        <f t="shared" si="39"/>
        <v>1.7451711284310299E-2</v>
      </c>
    </row>
    <row r="1228" spans="1:9" ht="14.25" customHeight="1" x14ac:dyDescent="0.3">
      <c r="A1228" s="127">
        <v>45734</v>
      </c>
      <c r="B1228" s="64">
        <v>22834.3</v>
      </c>
      <c r="D1228" s="127">
        <v>45734</v>
      </c>
      <c r="E1228" s="64">
        <v>60.05</v>
      </c>
      <c r="H1228" s="128">
        <f t="shared" si="38"/>
        <v>1.4463264286110901E-2</v>
      </c>
      <c r="I1228" s="128">
        <f t="shared" si="39"/>
        <v>0</v>
      </c>
    </row>
    <row r="1229" spans="1:9" ht="14.25" customHeight="1" x14ac:dyDescent="0.3">
      <c r="A1229" s="127">
        <v>45735</v>
      </c>
      <c r="B1229" s="64">
        <v>22907.599999999999</v>
      </c>
      <c r="D1229" s="127">
        <v>45735</v>
      </c>
      <c r="E1229" s="64">
        <v>63.63</v>
      </c>
      <c r="H1229" s="128">
        <f t="shared" si="38"/>
        <v>3.2100830767748199E-3</v>
      </c>
      <c r="I1229" s="128">
        <f t="shared" si="39"/>
        <v>5.96169858451292E-2</v>
      </c>
    </row>
    <row r="1230" spans="1:9" ht="14.25" customHeight="1" x14ac:dyDescent="0.3">
      <c r="A1230" s="127">
        <v>45736</v>
      </c>
      <c r="B1230" s="64">
        <v>23190.65</v>
      </c>
      <c r="D1230" s="127">
        <v>45736</v>
      </c>
      <c r="E1230" s="64">
        <v>63.64</v>
      </c>
      <c r="H1230" s="128">
        <f t="shared" si="38"/>
        <v>1.23561612739878E-2</v>
      </c>
      <c r="I1230" s="128">
        <f t="shared" si="39"/>
        <v>1.5715857300012599E-4</v>
      </c>
    </row>
    <row r="1231" spans="1:9" ht="14.25" customHeight="1" x14ac:dyDescent="0.3">
      <c r="A1231" s="127">
        <v>45737</v>
      </c>
      <c r="B1231" s="64">
        <v>23350.400000000001</v>
      </c>
      <c r="D1231" s="127">
        <v>45737</v>
      </c>
      <c r="E1231" s="64">
        <v>64.62</v>
      </c>
      <c r="H1231" s="128">
        <f t="shared" si="38"/>
        <v>6.8885520673202302E-3</v>
      </c>
      <c r="I1231" s="128">
        <f t="shared" si="39"/>
        <v>1.53991200502829E-2</v>
      </c>
    </row>
    <row r="1232" spans="1:9" ht="14.25" customHeight="1" x14ac:dyDescent="0.3">
      <c r="A1232" s="127">
        <v>45740</v>
      </c>
      <c r="B1232" s="64">
        <v>23658.35</v>
      </c>
      <c r="D1232" s="127">
        <v>45740</v>
      </c>
      <c r="E1232" s="64">
        <v>66.55</v>
      </c>
      <c r="H1232" s="128">
        <f t="shared" si="38"/>
        <v>1.31882109085924E-2</v>
      </c>
      <c r="I1232" s="128">
        <f t="shared" si="39"/>
        <v>2.9866914268028399E-2</v>
      </c>
    </row>
    <row r="1233" spans="1:9" ht="14.25" customHeight="1" x14ac:dyDescent="0.3">
      <c r="A1233" s="127">
        <v>45741</v>
      </c>
      <c r="B1233" s="64">
        <v>23668.65</v>
      </c>
      <c r="D1233" s="127">
        <v>45741</v>
      </c>
      <c r="E1233" s="64">
        <v>65.27</v>
      </c>
      <c r="H1233" s="128">
        <f t="shared" si="38"/>
        <v>4.3536425828525298E-4</v>
      </c>
      <c r="I1233" s="128">
        <f t="shared" si="39"/>
        <v>-1.9233658903080399E-2</v>
      </c>
    </row>
    <row r="1234" spans="1:9" ht="14.25" customHeight="1" x14ac:dyDescent="0.3">
      <c r="A1234" s="127">
        <v>45742</v>
      </c>
      <c r="B1234" s="64">
        <v>23486.85</v>
      </c>
      <c r="D1234" s="127">
        <v>45742</v>
      </c>
      <c r="E1234" s="64">
        <v>64.849999999999994</v>
      </c>
      <c r="H1234" s="128">
        <f t="shared" si="38"/>
        <v>-7.68104644751614E-3</v>
      </c>
      <c r="I1234" s="128">
        <f t="shared" si="39"/>
        <v>-6.4348092538685699E-3</v>
      </c>
    </row>
    <row r="1235" spans="1:9" ht="14.25" customHeight="1" x14ac:dyDescent="0.3">
      <c r="A1235" s="127">
        <v>45743</v>
      </c>
      <c r="B1235" s="64">
        <v>23591.95</v>
      </c>
      <c r="D1235" s="127">
        <v>45743</v>
      </c>
      <c r="E1235" s="64">
        <v>65.61</v>
      </c>
      <c r="H1235" s="128">
        <f t="shared" si="38"/>
        <v>4.4748444342260496E-3</v>
      </c>
      <c r="I1235" s="128">
        <f t="shared" si="39"/>
        <v>1.1719352351580699E-2</v>
      </c>
    </row>
    <row r="1236" spans="1:9" ht="14.25" customHeight="1" x14ac:dyDescent="0.3">
      <c r="A1236" s="127">
        <v>45744</v>
      </c>
      <c r="B1236" s="64">
        <v>23519.35</v>
      </c>
      <c r="D1236" s="127">
        <v>45744</v>
      </c>
      <c r="E1236" s="64">
        <v>65.94</v>
      </c>
      <c r="H1236" s="128">
        <f t="shared" si="38"/>
        <v>-3.0773208658038901E-3</v>
      </c>
      <c r="I1236" s="128">
        <f t="shared" si="39"/>
        <v>5.0297210791037704E-3</v>
      </c>
    </row>
    <row r="1237" spans="1:9" ht="14.25" customHeight="1" x14ac:dyDescent="0.3">
      <c r="A1237" s="127">
        <v>45748</v>
      </c>
      <c r="B1237" s="64">
        <v>23165.7</v>
      </c>
      <c r="D1237" s="127">
        <v>45748</v>
      </c>
      <c r="E1237" s="64">
        <v>66.78</v>
      </c>
      <c r="H1237" s="128">
        <f t="shared" si="38"/>
        <v>-1.50365550068347E-2</v>
      </c>
      <c r="I1237" s="128">
        <f t="shared" si="39"/>
        <v>1.2738853503184801E-2</v>
      </c>
    </row>
    <row r="1238" spans="1:9" ht="14.25" customHeight="1" x14ac:dyDescent="0.3">
      <c r="A1238" s="127">
        <v>45749</v>
      </c>
      <c r="B1238" s="64">
        <v>23332.35</v>
      </c>
      <c r="D1238" s="127">
        <v>45749</v>
      </c>
      <c r="E1238" s="64">
        <v>67.2</v>
      </c>
      <c r="H1238" s="128">
        <f t="shared" si="38"/>
        <v>7.1938253538635904E-3</v>
      </c>
      <c r="I1238" s="128">
        <f t="shared" si="39"/>
        <v>6.2893081761006501E-3</v>
      </c>
    </row>
    <row r="1239" spans="1:9" ht="14.25" customHeight="1" x14ac:dyDescent="0.3">
      <c r="A1239" s="127">
        <v>45750</v>
      </c>
      <c r="B1239" s="64">
        <v>23250.1</v>
      </c>
      <c r="D1239" s="127">
        <v>45750</v>
      </c>
      <c r="E1239" s="64">
        <v>67.41</v>
      </c>
      <c r="H1239" s="128">
        <f t="shared" si="38"/>
        <v>-3.5251485598321599E-3</v>
      </c>
      <c r="I1239" s="128">
        <f t="shared" si="39"/>
        <v>3.12499999999991E-3</v>
      </c>
    </row>
    <row r="1240" spans="1:9" ht="14.25" customHeight="1" x14ac:dyDescent="0.3">
      <c r="A1240" s="127">
        <v>45751</v>
      </c>
      <c r="B1240" s="64">
        <v>22904.45</v>
      </c>
      <c r="D1240" s="127">
        <v>45751</v>
      </c>
      <c r="E1240" s="64">
        <v>62.23</v>
      </c>
      <c r="H1240" s="128">
        <f t="shared" si="38"/>
        <v>-1.48666027242893E-2</v>
      </c>
      <c r="I1240" s="128">
        <f t="shared" si="39"/>
        <v>-7.6843198338525404E-2</v>
      </c>
    </row>
    <row r="1241" spans="1:9" ht="14.25" customHeight="1" x14ac:dyDescent="0.3">
      <c r="A1241" s="127">
        <v>45754</v>
      </c>
      <c r="B1241" s="64">
        <v>22161.599999999999</v>
      </c>
      <c r="D1241" s="127">
        <v>45754</v>
      </c>
      <c r="E1241" s="64">
        <v>58.67</v>
      </c>
      <c r="H1241" s="128">
        <f t="shared" si="38"/>
        <v>-3.2432562231356897E-2</v>
      </c>
      <c r="I1241" s="128">
        <f t="shared" si="39"/>
        <v>-5.7207134822432802E-2</v>
      </c>
    </row>
    <row r="1242" spans="1:9" ht="14.25" customHeight="1" x14ac:dyDescent="0.3">
      <c r="A1242" s="127">
        <v>45755</v>
      </c>
      <c r="B1242" s="64">
        <v>22535.85</v>
      </c>
      <c r="D1242" s="127">
        <v>45755</v>
      </c>
      <c r="E1242" s="64">
        <v>58.93</v>
      </c>
      <c r="H1242" s="128">
        <f t="shared" si="38"/>
        <v>1.68873186051549E-2</v>
      </c>
      <c r="I1242" s="128">
        <f t="shared" si="39"/>
        <v>4.4315663882733601E-3</v>
      </c>
    </row>
    <row r="1243" spans="1:9" ht="14.25" customHeight="1" x14ac:dyDescent="0.3">
      <c r="A1243" s="127">
        <v>45756</v>
      </c>
      <c r="B1243" s="64">
        <v>22399.15</v>
      </c>
      <c r="D1243" s="127">
        <v>45756</v>
      </c>
      <c r="E1243" s="64">
        <v>58.68</v>
      </c>
      <c r="H1243" s="128">
        <f t="shared" si="38"/>
        <v>-6.06589056991403E-3</v>
      </c>
      <c r="I1243" s="128">
        <f t="shared" si="39"/>
        <v>-4.2423213982691298E-3</v>
      </c>
    </row>
    <row r="1244" spans="1:9" ht="14.25" customHeight="1" x14ac:dyDescent="0.3">
      <c r="A1244" s="127">
        <v>45758</v>
      </c>
      <c r="B1244" s="64">
        <v>22828.55</v>
      </c>
      <c r="D1244" s="127">
        <v>45758</v>
      </c>
      <c r="E1244" s="64">
        <v>60.21</v>
      </c>
      <c r="H1244" s="128">
        <f t="shared" si="38"/>
        <v>1.9170370304230199E-2</v>
      </c>
      <c r="I1244" s="128">
        <f t="shared" si="39"/>
        <v>2.6073619631901902E-2</v>
      </c>
    </row>
    <row r="1245" spans="1:9" ht="14.25" customHeight="1" x14ac:dyDescent="0.3">
      <c r="A1245" s="127">
        <v>45762</v>
      </c>
      <c r="B1245" s="64">
        <v>23328.55</v>
      </c>
      <c r="D1245" s="127">
        <v>45762</v>
      </c>
      <c r="E1245" s="64">
        <v>62.35</v>
      </c>
      <c r="H1245" s="128">
        <f t="shared" si="38"/>
        <v>2.19023985316632E-2</v>
      </c>
      <c r="I1245" s="128">
        <f t="shared" si="39"/>
        <v>3.5542268726125197E-2</v>
      </c>
    </row>
    <row r="1246" spans="1:9" ht="14.25" customHeight="1" x14ac:dyDescent="0.3">
      <c r="A1246" s="127">
        <v>45763</v>
      </c>
      <c r="B1246" s="64">
        <v>23437.200000000001</v>
      </c>
      <c r="D1246" s="127">
        <v>45763</v>
      </c>
      <c r="E1246" s="64">
        <v>62.92</v>
      </c>
      <c r="H1246" s="128">
        <f t="shared" si="38"/>
        <v>4.6573833350123097E-3</v>
      </c>
      <c r="I1246" s="128">
        <f t="shared" si="39"/>
        <v>9.1419406575781893E-3</v>
      </c>
    </row>
    <row r="1247" spans="1:9" ht="14.25" customHeight="1" x14ac:dyDescent="0.3">
      <c r="A1247" s="127">
        <v>45764</v>
      </c>
      <c r="B1247" s="64">
        <v>23851.65</v>
      </c>
      <c r="D1247" s="127">
        <v>45764</v>
      </c>
      <c r="E1247" s="64">
        <v>63.05</v>
      </c>
      <c r="H1247" s="128">
        <f t="shared" si="38"/>
        <v>1.7683426347857301E-2</v>
      </c>
      <c r="I1247" s="128">
        <f t="shared" si="39"/>
        <v>2.0661157024792699E-3</v>
      </c>
    </row>
    <row r="1248" spans="1:9" ht="14.25" customHeight="1" x14ac:dyDescent="0.3">
      <c r="A1248" s="127">
        <v>45768</v>
      </c>
      <c r="B1248" s="64">
        <v>24125.55</v>
      </c>
      <c r="D1248" s="127">
        <v>45768</v>
      </c>
      <c r="E1248" s="64">
        <v>64.92</v>
      </c>
      <c r="H1248" s="128">
        <f t="shared" si="38"/>
        <v>1.1483482274811101E-2</v>
      </c>
      <c r="I1248" s="128">
        <f t="shared" si="39"/>
        <v>2.96590007930215E-2</v>
      </c>
    </row>
    <row r="1249" spans="1:9" ht="14.25" customHeight="1" x14ac:dyDescent="0.3">
      <c r="A1249" s="127">
        <v>45769</v>
      </c>
      <c r="B1249" s="64">
        <v>24167.25</v>
      </c>
      <c r="D1249" s="127">
        <v>45769</v>
      </c>
      <c r="E1249" s="64">
        <v>65.05</v>
      </c>
      <c r="H1249" s="128">
        <f t="shared" si="38"/>
        <v>1.7284580040662599E-3</v>
      </c>
      <c r="I1249" s="128">
        <f t="shared" si="39"/>
        <v>2.0024645717805802E-3</v>
      </c>
    </row>
    <row r="1250" spans="1:9" ht="14.25" customHeight="1" x14ac:dyDescent="0.3">
      <c r="A1250" s="127">
        <v>45770</v>
      </c>
      <c r="B1250" s="64">
        <v>24328.95</v>
      </c>
      <c r="D1250" s="127">
        <v>45770</v>
      </c>
      <c r="E1250" s="64">
        <v>65.19</v>
      </c>
      <c r="H1250" s="128">
        <f t="shared" si="38"/>
        <v>6.6908729789281196E-3</v>
      </c>
      <c r="I1250" s="128">
        <f t="shared" si="39"/>
        <v>2.15219062259801E-3</v>
      </c>
    </row>
    <row r="1251" spans="1:9" ht="14.25" customHeight="1" x14ac:dyDescent="0.3">
      <c r="A1251" s="127">
        <v>45771</v>
      </c>
      <c r="B1251" s="64">
        <v>24246.7</v>
      </c>
      <c r="D1251" s="127">
        <v>45771</v>
      </c>
      <c r="E1251" s="64">
        <v>65.099999999999994</v>
      </c>
      <c r="H1251" s="128">
        <f t="shared" si="38"/>
        <v>-3.3807459836943201E-3</v>
      </c>
      <c r="I1251" s="128">
        <f t="shared" si="39"/>
        <v>-1.3805798435343401E-3</v>
      </c>
    </row>
    <row r="1252" spans="1:9" ht="14.25" customHeight="1" x14ac:dyDescent="0.3">
      <c r="A1252" s="127">
        <v>45772</v>
      </c>
      <c r="B1252" s="64">
        <v>24039.35</v>
      </c>
      <c r="D1252" s="127">
        <v>45772</v>
      </c>
      <c r="E1252" s="64">
        <v>62.17</v>
      </c>
      <c r="H1252" s="128">
        <f t="shared" si="38"/>
        <v>-8.5516791975816207E-3</v>
      </c>
      <c r="I1252" s="128">
        <f t="shared" si="39"/>
        <v>-4.5007680491551301E-2</v>
      </c>
    </row>
    <row r="1253" spans="1:9" ht="14.25" customHeight="1" x14ac:dyDescent="0.3">
      <c r="A1253" s="127">
        <v>45775</v>
      </c>
      <c r="B1253" s="64">
        <v>24328.5</v>
      </c>
      <c r="D1253" s="127">
        <v>45775</v>
      </c>
      <c r="E1253" s="64">
        <v>62.89</v>
      </c>
      <c r="H1253" s="128">
        <f t="shared" si="38"/>
        <v>1.20281954378967E-2</v>
      </c>
      <c r="I1253" s="128">
        <f t="shared" si="39"/>
        <v>1.15811484638893E-2</v>
      </c>
    </row>
    <row r="1254" spans="1:9" ht="14.25" customHeight="1" x14ac:dyDescent="0.3">
      <c r="A1254" s="127">
        <v>45776</v>
      </c>
      <c r="B1254" s="64">
        <v>24335.95</v>
      </c>
      <c r="D1254" s="127">
        <v>45776</v>
      </c>
      <c r="E1254" s="64">
        <v>62.76</v>
      </c>
      <c r="H1254" s="128">
        <f t="shared" si="38"/>
        <v>3.0622520911690899E-4</v>
      </c>
      <c r="I1254" s="128">
        <f t="shared" si="39"/>
        <v>-2.0671012879631499E-3</v>
      </c>
    </row>
    <row r="1255" spans="1:9" ht="14.25" customHeight="1" x14ac:dyDescent="0.3">
      <c r="A1255" s="127">
        <v>45777</v>
      </c>
      <c r="B1255" s="64">
        <v>24334.2</v>
      </c>
      <c r="D1255" s="127">
        <v>45777</v>
      </c>
      <c r="E1255" s="64">
        <v>62.01</v>
      </c>
      <c r="H1255" s="128">
        <f t="shared" si="38"/>
        <v>-7.1910075423396296E-5</v>
      </c>
      <c r="I1255" s="128">
        <f t="shared" si="39"/>
        <v>-1.19502868068834E-2</v>
      </c>
    </row>
    <row r="1256" spans="1:9" ht="14.25" customHeight="1" x14ac:dyDescent="0.3">
      <c r="A1256" s="127">
        <v>45779</v>
      </c>
      <c r="B1256" s="64">
        <v>24346.7</v>
      </c>
      <c r="D1256" s="127">
        <v>45779</v>
      </c>
      <c r="E1256" s="64">
        <v>62.4</v>
      </c>
      <c r="H1256" s="128">
        <f t="shared" si="38"/>
        <v>5.1368033467301204E-4</v>
      </c>
      <c r="I1256" s="128">
        <f t="shared" si="39"/>
        <v>6.2893081761006397E-3</v>
      </c>
    </row>
    <row r="1257" spans="1:9" ht="14.25" customHeight="1" x14ac:dyDescent="0.3">
      <c r="A1257" s="127">
        <v>45782</v>
      </c>
      <c r="B1257" s="64">
        <v>24461.15</v>
      </c>
      <c r="D1257" s="127">
        <v>45782</v>
      </c>
      <c r="E1257" s="64">
        <v>63.12</v>
      </c>
      <c r="H1257" s="128">
        <f t="shared" si="38"/>
        <v>4.7008424139616803E-3</v>
      </c>
      <c r="I1257" s="128">
        <f t="shared" si="39"/>
        <v>1.1538461538461499E-2</v>
      </c>
    </row>
    <row r="1258" spans="1:9" ht="14.25" customHeight="1" x14ac:dyDescent="0.3">
      <c r="A1258" s="127">
        <v>45783</v>
      </c>
      <c r="B1258" s="64">
        <v>24379.599999999999</v>
      </c>
      <c r="D1258" s="127">
        <v>45783</v>
      </c>
      <c r="E1258" s="64">
        <v>61.6</v>
      </c>
      <c r="H1258" s="128">
        <f t="shared" si="38"/>
        <v>-3.3338579747887098E-3</v>
      </c>
      <c r="I1258" s="128">
        <f t="shared" si="39"/>
        <v>-2.4081115335868101E-2</v>
      </c>
    </row>
    <row r="1259" spans="1:9" ht="14.25" customHeight="1" x14ac:dyDescent="0.3">
      <c r="A1259" s="127">
        <v>45784</v>
      </c>
      <c r="B1259" s="64">
        <v>24414.400000000001</v>
      </c>
      <c r="D1259" s="127">
        <v>45784</v>
      </c>
      <c r="E1259" s="64">
        <v>62.92</v>
      </c>
      <c r="H1259" s="128">
        <f t="shared" si="38"/>
        <v>1.4274229273656201E-3</v>
      </c>
      <c r="I1259" s="128">
        <f t="shared" si="39"/>
        <v>2.1428571428571401E-2</v>
      </c>
    </row>
    <row r="1260" spans="1:9" ht="14.25" customHeight="1" x14ac:dyDescent="0.3">
      <c r="A1260" s="127">
        <v>45785</v>
      </c>
      <c r="B1260" s="64">
        <v>24273.8</v>
      </c>
      <c r="D1260" s="127">
        <v>45785</v>
      </c>
      <c r="E1260" s="64">
        <v>61.06</v>
      </c>
      <c r="H1260" s="128">
        <f t="shared" si="38"/>
        <v>-5.7588963890164097E-3</v>
      </c>
      <c r="I1260" s="128">
        <f t="shared" si="39"/>
        <v>-2.9561347743165899E-2</v>
      </c>
    </row>
    <row r="1261" spans="1:9" ht="14.25" customHeight="1" x14ac:dyDescent="0.3">
      <c r="A1261" s="127">
        <v>45786</v>
      </c>
      <c r="B1261" s="64">
        <v>24008</v>
      </c>
      <c r="D1261" s="127">
        <v>45786</v>
      </c>
      <c r="E1261" s="64">
        <v>61.53</v>
      </c>
      <c r="H1261" s="128">
        <f t="shared" si="38"/>
        <v>-1.09500778617274E-2</v>
      </c>
      <c r="I1261" s="128">
        <f t="shared" si="39"/>
        <v>7.6973468719292301E-3</v>
      </c>
    </row>
    <row r="1262" spans="1:9" ht="14.25" customHeight="1" x14ac:dyDescent="0.3">
      <c r="A1262" s="127">
        <v>45789</v>
      </c>
      <c r="B1262" s="64">
        <v>24924.7</v>
      </c>
      <c r="D1262" s="127">
        <v>45789</v>
      </c>
      <c r="E1262" s="64">
        <v>65.16</v>
      </c>
      <c r="H1262" s="128">
        <f t="shared" si="38"/>
        <v>3.8183105631456202E-2</v>
      </c>
      <c r="I1262" s="128">
        <f t="shared" si="39"/>
        <v>5.89956118966357E-2</v>
      </c>
    </row>
    <row r="1263" spans="1:9" ht="14.25" customHeight="1" x14ac:dyDescent="0.3">
      <c r="A1263" s="127">
        <v>45790</v>
      </c>
      <c r="B1263" s="64">
        <v>24578.35</v>
      </c>
      <c r="D1263" s="127">
        <v>45790</v>
      </c>
      <c r="E1263" s="64">
        <v>64.33</v>
      </c>
      <c r="H1263" s="128">
        <f t="shared" si="38"/>
        <v>-1.3895854313191401E-2</v>
      </c>
      <c r="I1263" s="128">
        <f t="shared" si="39"/>
        <v>-1.2737875997544499E-2</v>
      </c>
    </row>
    <row r="1264" spans="1:9" ht="14.25" customHeight="1" x14ac:dyDescent="0.3">
      <c r="A1264" s="127">
        <v>45791</v>
      </c>
      <c r="B1264" s="64">
        <v>24666.9</v>
      </c>
      <c r="D1264" s="127">
        <v>45791</v>
      </c>
      <c r="E1264" s="64">
        <v>67.040000000000006</v>
      </c>
      <c r="H1264" s="128">
        <f t="shared" si="38"/>
        <v>3.60276422135753E-3</v>
      </c>
      <c r="I1264" s="128">
        <f t="shared" si="39"/>
        <v>4.2126535053629802E-2</v>
      </c>
    </row>
    <row r="1265" spans="1:9" ht="14.25" customHeight="1" x14ac:dyDescent="0.3">
      <c r="A1265" s="127">
        <v>45792</v>
      </c>
      <c r="B1265" s="64">
        <v>25062.1</v>
      </c>
      <c r="D1265" s="127">
        <v>45792</v>
      </c>
      <c r="E1265" s="64">
        <v>67.06</v>
      </c>
      <c r="H1265" s="128">
        <f t="shared" si="38"/>
        <v>1.6021470067174901E-2</v>
      </c>
      <c r="I1265" s="128">
        <f t="shared" si="39"/>
        <v>2.98329355608532E-4</v>
      </c>
    </row>
    <row r="1266" spans="1:9" ht="14.25" customHeight="1" x14ac:dyDescent="0.3">
      <c r="A1266" s="127">
        <v>45793</v>
      </c>
      <c r="B1266" s="64">
        <v>25019.8</v>
      </c>
      <c r="D1266" s="127">
        <v>45793</v>
      </c>
      <c r="E1266" s="64">
        <v>67.260000000000005</v>
      </c>
      <c r="H1266" s="128">
        <f t="shared" si="38"/>
        <v>-1.68780748620424E-3</v>
      </c>
      <c r="I1266" s="128">
        <f t="shared" si="39"/>
        <v>2.9824038174769301E-3</v>
      </c>
    </row>
    <row r="1267" spans="1:9" ht="14.25" customHeight="1" x14ac:dyDescent="0.3">
      <c r="A1267" s="127">
        <v>45796</v>
      </c>
      <c r="B1267" s="64">
        <v>24945.45</v>
      </c>
      <c r="D1267" s="127">
        <v>45796</v>
      </c>
      <c r="E1267" s="64">
        <v>67.25</v>
      </c>
      <c r="H1267" s="128">
        <f t="shared" si="38"/>
        <v>-2.9716464560067802E-3</v>
      </c>
      <c r="I1267" s="128">
        <f t="shared" si="39"/>
        <v>-1.48676776687557E-4</v>
      </c>
    </row>
    <row r="1268" spans="1:9" ht="14.25" customHeight="1" x14ac:dyDescent="0.3">
      <c r="A1268" s="127">
        <v>45797</v>
      </c>
      <c r="B1268" s="64">
        <v>24683.9</v>
      </c>
      <c r="D1268" s="127">
        <v>45797</v>
      </c>
      <c r="E1268" s="64">
        <v>66.31</v>
      </c>
      <c r="H1268" s="128">
        <f t="shared" si="38"/>
        <v>-1.04848780038043E-2</v>
      </c>
      <c r="I1268" s="128">
        <f t="shared" si="39"/>
        <v>-1.3977695167286201E-2</v>
      </c>
    </row>
    <row r="1269" spans="1:9" ht="14.25" customHeight="1" x14ac:dyDescent="0.3">
      <c r="A1269" s="127">
        <v>45798</v>
      </c>
      <c r="B1269" s="64">
        <v>24813.45</v>
      </c>
      <c r="D1269" s="127">
        <v>45798</v>
      </c>
      <c r="E1269" s="64">
        <v>67.14</v>
      </c>
      <c r="H1269" s="128">
        <f t="shared" si="38"/>
        <v>5.24836026721868E-3</v>
      </c>
      <c r="I1269" s="128">
        <f t="shared" si="39"/>
        <v>1.25169657668526E-2</v>
      </c>
    </row>
    <row r="1270" spans="1:9" ht="14.25" customHeight="1" x14ac:dyDescent="0.3">
      <c r="A1270" s="127">
        <v>45799</v>
      </c>
      <c r="B1270" s="64">
        <v>24609.7</v>
      </c>
      <c r="D1270" s="127">
        <v>45799</v>
      </c>
      <c r="E1270" s="64">
        <v>68.14</v>
      </c>
      <c r="H1270" s="128">
        <f t="shared" si="38"/>
        <v>-8.2112725155107404E-3</v>
      </c>
      <c r="I1270" s="128">
        <f t="shared" si="39"/>
        <v>1.48942508191838E-2</v>
      </c>
    </row>
    <row r="1271" spans="1:9" ht="14.25" customHeight="1" x14ac:dyDescent="0.3">
      <c r="A1271" s="127">
        <v>45800</v>
      </c>
      <c r="B1271" s="64">
        <v>24853.15</v>
      </c>
      <c r="D1271" s="127">
        <v>45800</v>
      </c>
      <c r="E1271" s="64">
        <v>69.38</v>
      </c>
      <c r="H1271" s="128">
        <f t="shared" si="38"/>
        <v>9.8924407855439395E-3</v>
      </c>
      <c r="I1271" s="128">
        <f t="shared" si="39"/>
        <v>1.8197828001174001E-2</v>
      </c>
    </row>
    <row r="1272" spans="1:9" ht="14.25" customHeight="1" x14ac:dyDescent="0.3">
      <c r="A1272" s="127">
        <v>45803</v>
      </c>
      <c r="B1272" s="64">
        <v>25001.15</v>
      </c>
      <c r="D1272" s="127">
        <v>45803</v>
      </c>
      <c r="E1272" s="64">
        <v>70.099999999999994</v>
      </c>
      <c r="H1272" s="128">
        <f t="shared" si="38"/>
        <v>5.9549795498759703E-3</v>
      </c>
      <c r="I1272" s="128">
        <f t="shared" si="39"/>
        <v>1.03776304410493E-2</v>
      </c>
    </row>
    <row r="1273" spans="1:9" ht="14.25" customHeight="1" x14ac:dyDescent="0.3">
      <c r="A1273" s="127">
        <v>45804</v>
      </c>
      <c r="B1273" s="64">
        <v>24826.2</v>
      </c>
      <c r="D1273" s="127">
        <v>45804</v>
      </c>
      <c r="E1273" s="64">
        <v>69.62</v>
      </c>
      <c r="H1273" s="128">
        <f t="shared" si="38"/>
        <v>-6.9976781068071198E-3</v>
      </c>
      <c r="I1273" s="128">
        <f t="shared" si="39"/>
        <v>-6.8473609129813097E-3</v>
      </c>
    </row>
    <row r="1274" spans="1:9" ht="14.25" customHeight="1" x14ac:dyDescent="0.3">
      <c r="A1274" s="127">
        <v>45805</v>
      </c>
      <c r="B1274" s="64">
        <v>24752.45</v>
      </c>
      <c r="D1274" s="127">
        <v>45805</v>
      </c>
      <c r="E1274" s="64">
        <v>67.819999999999993</v>
      </c>
      <c r="H1274" s="128">
        <f t="shared" si="38"/>
        <v>-2.97065197251291E-3</v>
      </c>
      <c r="I1274" s="128">
        <f t="shared" si="39"/>
        <v>-2.5854639471416401E-2</v>
      </c>
    </row>
    <row r="1275" spans="1:9" ht="14.25" customHeight="1" x14ac:dyDescent="0.3">
      <c r="A1275" s="127">
        <v>45806</v>
      </c>
      <c r="B1275" s="64">
        <v>24833.599999999999</v>
      </c>
      <c r="D1275" s="127">
        <v>45806</v>
      </c>
      <c r="E1275" s="64">
        <v>69.19</v>
      </c>
      <c r="H1275" s="128">
        <f t="shared" si="38"/>
        <v>3.27846334403252E-3</v>
      </c>
      <c r="I1275" s="128">
        <f t="shared" si="39"/>
        <v>2.0200530816868199E-2</v>
      </c>
    </row>
    <row r="1276" spans="1:9" ht="14.25" customHeight="1" x14ac:dyDescent="0.3">
      <c r="A1276" s="127">
        <v>45807</v>
      </c>
      <c r="B1276" s="64">
        <v>24750.7</v>
      </c>
      <c r="D1276" s="127">
        <v>45807</v>
      </c>
      <c r="E1276" s="64">
        <v>68.12</v>
      </c>
      <c r="H1276" s="128">
        <f t="shared" si="38"/>
        <v>-3.3382191869079699E-3</v>
      </c>
      <c r="I1276" s="128">
        <f t="shared" si="39"/>
        <v>-1.5464662523486E-2</v>
      </c>
    </row>
    <row r="1277" spans="1:9" ht="14.25" customHeight="1" x14ac:dyDescent="0.3">
      <c r="A1277" s="127">
        <v>45810</v>
      </c>
      <c r="B1277" s="64">
        <v>24716.6</v>
      </c>
      <c r="D1277" s="127">
        <v>45810</v>
      </c>
      <c r="E1277" s="64">
        <v>67.739999999999995</v>
      </c>
      <c r="H1277" s="128">
        <f t="shared" si="38"/>
        <v>-1.37773881142764E-3</v>
      </c>
      <c r="I1277" s="128">
        <f t="shared" si="39"/>
        <v>-5.5783910745744198E-3</v>
      </c>
    </row>
    <row r="1278" spans="1:9" ht="14.25" customHeight="1" x14ac:dyDescent="0.3">
      <c r="A1278" s="127">
        <v>45811</v>
      </c>
      <c r="B1278" s="64">
        <v>24542.5</v>
      </c>
      <c r="D1278" s="127">
        <v>45811</v>
      </c>
      <c r="E1278" s="64">
        <v>67.66</v>
      </c>
      <c r="H1278" s="128">
        <f t="shared" si="38"/>
        <v>-7.0438490730925203E-3</v>
      </c>
      <c r="I1278" s="128">
        <f t="shared" si="39"/>
        <v>-1.18098612341302E-3</v>
      </c>
    </row>
    <row r="1279" spans="1:9" ht="14.25" customHeight="1" x14ac:dyDescent="0.3">
      <c r="A1279" s="127">
        <v>45812</v>
      </c>
      <c r="B1279" s="64">
        <v>24620.2</v>
      </c>
      <c r="D1279" s="127">
        <v>45812</v>
      </c>
      <c r="E1279" s="64">
        <v>67.33</v>
      </c>
      <c r="H1279" s="128">
        <f t="shared" si="38"/>
        <v>3.1659366405215701E-3</v>
      </c>
      <c r="I1279" s="128">
        <f t="shared" si="39"/>
        <v>-4.8773278155482998E-3</v>
      </c>
    </row>
    <row r="1280" spans="1:9" ht="14.25" customHeight="1" x14ac:dyDescent="0.3">
      <c r="A1280" s="127">
        <v>45813</v>
      </c>
      <c r="B1280" s="64">
        <v>24750.9</v>
      </c>
      <c r="D1280" s="127">
        <v>45813</v>
      </c>
      <c r="E1280" s="64">
        <v>67.760000000000005</v>
      </c>
      <c r="H1280" s="128">
        <f t="shared" si="38"/>
        <v>5.3086489955402796E-3</v>
      </c>
      <c r="I1280" s="128">
        <f t="shared" si="39"/>
        <v>6.3864547749889599E-3</v>
      </c>
    </row>
    <row r="1281" spans="1:9" ht="14.25" customHeight="1" x14ac:dyDescent="0.3">
      <c r="A1281" s="127">
        <v>45814</v>
      </c>
      <c r="B1281" s="64">
        <v>25003.05</v>
      </c>
      <c r="D1281" s="127">
        <v>45814</v>
      </c>
      <c r="E1281" s="64">
        <v>69.38</v>
      </c>
      <c r="H1281" s="128">
        <f t="shared" si="38"/>
        <v>1.01875083330302E-2</v>
      </c>
      <c r="I1281" s="128">
        <f t="shared" si="39"/>
        <v>2.3907910271546502E-2</v>
      </c>
    </row>
    <row r="1282" spans="1:9" ht="14.25" customHeight="1" x14ac:dyDescent="0.3">
      <c r="A1282" s="127">
        <v>45817</v>
      </c>
      <c r="B1282" s="64">
        <v>25103.200000000001</v>
      </c>
      <c r="D1282" s="127">
        <v>45817</v>
      </c>
      <c r="E1282" s="64">
        <v>70.83</v>
      </c>
      <c r="H1282" s="128">
        <f t="shared" si="38"/>
        <v>4.0055113276180896E-3</v>
      </c>
      <c r="I1282" s="128">
        <f t="shared" si="39"/>
        <v>2.0899394638224301E-2</v>
      </c>
    </row>
    <row r="1283" spans="1:9" ht="14.25" customHeight="1" x14ac:dyDescent="0.3">
      <c r="A1283" s="127">
        <v>45818</v>
      </c>
      <c r="B1283" s="64">
        <v>25104.25</v>
      </c>
      <c r="D1283" s="127">
        <v>45818</v>
      </c>
      <c r="E1283" s="64">
        <v>71.14</v>
      </c>
      <c r="H1283" s="128">
        <f t="shared" ref="H1283:H1346" si="40">(B1283-B1282)/B1282</f>
        <v>4.1827336753850999E-5</v>
      </c>
      <c r="I1283" s="128">
        <f t="shared" ref="I1283:I1346" si="41">(E1283-E1282)/E1282</f>
        <v>4.3766765494847098E-3</v>
      </c>
    </row>
    <row r="1284" spans="1:9" ht="14.25" customHeight="1" x14ac:dyDescent="0.3">
      <c r="A1284" s="127">
        <v>45819</v>
      </c>
      <c r="B1284" s="64">
        <v>25141.4</v>
      </c>
      <c r="D1284" s="127">
        <v>45819</v>
      </c>
      <c r="E1284" s="64">
        <v>70.78</v>
      </c>
      <c r="H1284" s="128">
        <f t="shared" si="40"/>
        <v>1.4798291126005101E-3</v>
      </c>
      <c r="I1284" s="128">
        <f t="shared" si="41"/>
        <v>-5.06044419454596E-3</v>
      </c>
    </row>
    <row r="1285" spans="1:9" ht="14.25" customHeight="1" x14ac:dyDescent="0.3">
      <c r="A1285" s="127">
        <v>45820</v>
      </c>
      <c r="B1285" s="64">
        <v>24888.2</v>
      </c>
      <c r="D1285" s="127">
        <v>45820</v>
      </c>
      <c r="E1285" s="64">
        <v>69.319999999999993</v>
      </c>
      <c r="H1285" s="128">
        <f t="shared" si="40"/>
        <v>-1.0071038207896199E-2</v>
      </c>
      <c r="I1285" s="128">
        <f t="shared" si="41"/>
        <v>-2.0627295846284401E-2</v>
      </c>
    </row>
    <row r="1286" spans="1:9" ht="14.25" customHeight="1" x14ac:dyDescent="0.3">
      <c r="A1286" s="127">
        <v>45821</v>
      </c>
      <c r="B1286" s="64">
        <v>24718.6</v>
      </c>
      <c r="D1286" s="127">
        <v>45821</v>
      </c>
      <c r="E1286" s="64">
        <v>67.349999999999994</v>
      </c>
      <c r="H1286" s="128">
        <f t="shared" si="40"/>
        <v>-6.8144743292002704E-3</v>
      </c>
      <c r="I1286" s="128">
        <f t="shared" si="41"/>
        <v>-2.8418926716676299E-2</v>
      </c>
    </row>
    <row r="1287" spans="1:9" ht="14.25" customHeight="1" x14ac:dyDescent="0.3">
      <c r="A1287" s="127">
        <v>45824</v>
      </c>
      <c r="B1287" s="64">
        <v>24946.5</v>
      </c>
      <c r="D1287" s="127">
        <v>45824</v>
      </c>
      <c r="E1287" s="64">
        <v>67.489999999999995</v>
      </c>
      <c r="H1287" s="128">
        <f t="shared" si="40"/>
        <v>9.2197778191322102E-3</v>
      </c>
      <c r="I1287" s="128">
        <f t="shared" si="41"/>
        <v>2.0786933927245798E-3</v>
      </c>
    </row>
    <row r="1288" spans="1:9" ht="14.25" customHeight="1" x14ac:dyDescent="0.3">
      <c r="A1288" s="127">
        <v>45825</v>
      </c>
      <c r="B1288" s="64">
        <v>24853.4</v>
      </c>
      <c r="D1288" s="127">
        <v>45825</v>
      </c>
      <c r="E1288" s="64">
        <v>65.69</v>
      </c>
      <c r="H1288" s="128">
        <f t="shared" si="40"/>
        <v>-3.7319864510050901E-3</v>
      </c>
      <c r="I1288" s="128">
        <f t="shared" si="41"/>
        <v>-2.6670617869313899E-2</v>
      </c>
    </row>
    <row r="1289" spans="1:9" ht="14.25" customHeight="1" x14ac:dyDescent="0.3">
      <c r="A1289" s="127">
        <v>45826</v>
      </c>
      <c r="B1289" s="64">
        <v>24812.05</v>
      </c>
      <c r="D1289" s="127">
        <v>45826</v>
      </c>
      <c r="E1289" s="64">
        <v>65.56</v>
      </c>
      <c r="H1289" s="128">
        <f t="shared" si="40"/>
        <v>-1.6637562667483001E-3</v>
      </c>
      <c r="I1289" s="128">
        <f t="shared" si="41"/>
        <v>-1.9789922362611601E-3</v>
      </c>
    </row>
    <row r="1290" spans="1:9" ht="14.25" customHeight="1" x14ac:dyDescent="0.3">
      <c r="A1290" s="127">
        <v>45827</v>
      </c>
      <c r="B1290" s="64">
        <v>24793.25</v>
      </c>
      <c r="D1290" s="127">
        <v>45827</v>
      </c>
      <c r="E1290" s="64">
        <v>64.17</v>
      </c>
      <c r="H1290" s="128">
        <f t="shared" si="40"/>
        <v>-7.5769636124380199E-4</v>
      </c>
      <c r="I1290" s="128">
        <f t="shared" si="41"/>
        <v>-2.1201952410006102E-2</v>
      </c>
    </row>
    <row r="1291" spans="1:9" ht="14.25" customHeight="1" x14ac:dyDescent="0.3">
      <c r="A1291" s="127">
        <v>45828</v>
      </c>
      <c r="B1291" s="64">
        <v>25112.400000000001</v>
      </c>
      <c r="D1291" s="127">
        <v>45828</v>
      </c>
      <c r="E1291" s="64">
        <v>65.03</v>
      </c>
      <c r="H1291" s="128">
        <f t="shared" si="40"/>
        <v>1.28724552045416E-2</v>
      </c>
      <c r="I1291" s="128">
        <f t="shared" si="41"/>
        <v>1.3401901199937701E-2</v>
      </c>
    </row>
    <row r="1292" spans="1:9" ht="14.25" customHeight="1" x14ac:dyDescent="0.3">
      <c r="A1292" s="127">
        <v>45831</v>
      </c>
      <c r="B1292" s="64">
        <v>24971.9</v>
      </c>
      <c r="D1292" s="127">
        <v>45831</v>
      </c>
      <c r="E1292" s="64">
        <v>65.08</v>
      </c>
      <c r="H1292" s="128">
        <f t="shared" si="40"/>
        <v>-5.5948455742979601E-3</v>
      </c>
      <c r="I1292" s="128">
        <f t="shared" si="41"/>
        <v>7.6887590342914305E-4</v>
      </c>
    </row>
    <row r="1293" spans="1:9" ht="14.25" customHeight="1" x14ac:dyDescent="0.3">
      <c r="A1293" s="127">
        <v>45832</v>
      </c>
      <c r="B1293" s="64">
        <v>25044.35</v>
      </c>
      <c r="D1293" s="127">
        <v>45832</v>
      </c>
      <c r="E1293" s="64">
        <v>66.489999999999995</v>
      </c>
      <c r="H1293" s="128">
        <f t="shared" si="40"/>
        <v>2.9012610173834198E-3</v>
      </c>
      <c r="I1293" s="128">
        <f t="shared" si="41"/>
        <v>2.1665642286416702E-2</v>
      </c>
    </row>
    <row r="1294" spans="1:9" ht="14.25" customHeight="1" x14ac:dyDescent="0.3">
      <c r="A1294" s="127">
        <v>45833</v>
      </c>
      <c r="B1294" s="64">
        <v>25244.75</v>
      </c>
      <c r="D1294" s="127">
        <v>45833</v>
      </c>
      <c r="E1294" s="64">
        <v>66.06</v>
      </c>
      <c r="H1294" s="128">
        <f t="shared" si="40"/>
        <v>8.0018047982879006E-3</v>
      </c>
      <c r="I1294" s="128">
        <f t="shared" si="41"/>
        <v>-6.4671379154759004E-3</v>
      </c>
    </row>
    <row r="1295" spans="1:9" ht="14.25" customHeight="1" x14ac:dyDescent="0.3">
      <c r="A1295" s="127">
        <v>45834</v>
      </c>
      <c r="B1295" s="64">
        <v>25549</v>
      </c>
      <c r="D1295" s="127">
        <v>45834</v>
      </c>
      <c r="E1295" s="64">
        <v>67.53</v>
      </c>
      <c r="H1295" s="128">
        <f t="shared" si="40"/>
        <v>1.20520108141297E-2</v>
      </c>
      <c r="I1295" s="128">
        <f t="shared" si="41"/>
        <v>2.2252497729336899E-2</v>
      </c>
    </row>
    <row r="1296" spans="1:9" ht="14.25" customHeight="1" x14ac:dyDescent="0.3">
      <c r="A1296" s="127">
        <v>45835</v>
      </c>
      <c r="B1296" s="64">
        <v>25637.8</v>
      </c>
      <c r="D1296" s="127">
        <v>45835</v>
      </c>
      <c r="E1296" s="64">
        <v>66.91</v>
      </c>
      <c r="H1296" s="128">
        <f t="shared" si="40"/>
        <v>3.47567419468469E-3</v>
      </c>
      <c r="I1296" s="128">
        <f t="shared" si="41"/>
        <v>-9.1811046942100495E-3</v>
      </c>
    </row>
    <row r="1297" spans="1:9" ht="14.25" customHeight="1" x14ac:dyDescent="0.3">
      <c r="A1297" s="127">
        <v>45838</v>
      </c>
      <c r="B1297" s="64">
        <v>25517.05</v>
      </c>
      <c r="D1297" s="127">
        <v>45838</v>
      </c>
      <c r="E1297" s="64">
        <v>67</v>
      </c>
      <c r="H1297" s="128">
        <f t="shared" si="40"/>
        <v>-4.7098424981862697E-3</v>
      </c>
      <c r="I1297" s="128">
        <f t="shared" si="41"/>
        <v>1.3450904199671699E-3</v>
      </c>
    </row>
    <row r="1298" spans="1:9" ht="14.25" customHeight="1" x14ac:dyDescent="0.3">
      <c r="A1298" s="127">
        <v>45839</v>
      </c>
      <c r="B1298" s="64">
        <v>25541.8</v>
      </c>
      <c r="D1298" s="127">
        <v>45839</v>
      </c>
      <c r="E1298" s="64">
        <v>65.040000000000006</v>
      </c>
      <c r="H1298" s="128">
        <f t="shared" si="40"/>
        <v>9.6993970698023505E-4</v>
      </c>
      <c r="I1298" s="128">
        <f t="shared" si="41"/>
        <v>-2.92537313432835E-2</v>
      </c>
    </row>
    <row r="1299" spans="1:9" ht="14.25" customHeight="1" x14ac:dyDescent="0.3">
      <c r="A1299" s="127">
        <v>45840</v>
      </c>
      <c r="B1299" s="64">
        <v>25453.4</v>
      </c>
      <c r="D1299" s="127">
        <v>45840</v>
      </c>
      <c r="E1299" s="64">
        <v>65.099999999999994</v>
      </c>
      <c r="H1299" s="128">
        <f t="shared" si="40"/>
        <v>-3.4609933520737702E-3</v>
      </c>
      <c r="I1299" s="128">
        <f t="shared" si="41"/>
        <v>9.2250922509206702E-4</v>
      </c>
    </row>
    <row r="1300" spans="1:9" ht="14.25" customHeight="1" x14ac:dyDescent="0.3">
      <c r="A1300" s="127">
        <v>45841</v>
      </c>
      <c r="B1300" s="64">
        <v>25405.3</v>
      </c>
      <c r="D1300" s="127">
        <v>45841</v>
      </c>
      <c r="E1300" s="64">
        <v>66.099999999999994</v>
      </c>
      <c r="H1300" s="128">
        <f t="shared" si="40"/>
        <v>-1.8897278948982099E-3</v>
      </c>
      <c r="I1300" s="128">
        <f t="shared" si="41"/>
        <v>1.5360983102918601E-2</v>
      </c>
    </row>
    <row r="1301" spans="1:9" ht="14.25" customHeight="1" x14ac:dyDescent="0.3">
      <c r="A1301" s="127">
        <v>45842</v>
      </c>
      <c r="B1301" s="64">
        <v>25461</v>
      </c>
      <c r="D1301" s="127">
        <v>45842</v>
      </c>
      <c r="E1301" s="64">
        <v>65.83</v>
      </c>
      <c r="H1301" s="128">
        <f t="shared" si="40"/>
        <v>2.1924559048702701E-3</v>
      </c>
      <c r="I1301" s="128">
        <f t="shared" si="41"/>
        <v>-4.0847201210286802E-3</v>
      </c>
    </row>
    <row r="1302" spans="1:9" ht="14.25" customHeight="1" x14ac:dyDescent="0.3">
      <c r="A1302" s="127">
        <v>45845</v>
      </c>
      <c r="B1302" s="64">
        <v>25461.3</v>
      </c>
      <c r="D1302" s="127">
        <v>45845</v>
      </c>
      <c r="E1302" s="64">
        <v>65.36</v>
      </c>
      <c r="H1302" s="128">
        <f t="shared" si="40"/>
        <v>1.1782726522888799E-5</v>
      </c>
      <c r="I1302" s="128">
        <f t="shared" si="41"/>
        <v>-7.1396020051648001E-3</v>
      </c>
    </row>
    <row r="1303" spans="1:9" ht="14.25" customHeight="1" x14ac:dyDescent="0.3">
      <c r="A1303" s="127">
        <v>45846</v>
      </c>
      <c r="B1303" s="64">
        <v>25522.5</v>
      </c>
      <c r="D1303" s="127">
        <v>45846</v>
      </c>
      <c r="E1303" s="64">
        <v>65.36</v>
      </c>
      <c r="H1303" s="128">
        <f t="shared" si="40"/>
        <v>2.4036478891494399E-3</v>
      </c>
      <c r="I1303" s="128">
        <f t="shared" si="41"/>
        <v>0</v>
      </c>
    </row>
    <row r="1304" spans="1:9" ht="14.25" customHeight="1" x14ac:dyDescent="0.3">
      <c r="A1304" s="127">
        <v>45847</v>
      </c>
      <c r="B1304" s="64">
        <v>25476.1</v>
      </c>
      <c r="D1304" s="127">
        <v>45847</v>
      </c>
      <c r="E1304" s="64">
        <v>64.989999999999995</v>
      </c>
      <c r="H1304" s="128">
        <f t="shared" si="40"/>
        <v>-1.8180037222059501E-3</v>
      </c>
      <c r="I1304" s="128">
        <f t="shared" si="41"/>
        <v>-5.6609547123623698E-3</v>
      </c>
    </row>
    <row r="1305" spans="1:9" ht="14.25" customHeight="1" x14ac:dyDescent="0.3">
      <c r="A1305" s="127">
        <v>45848</v>
      </c>
      <c r="B1305" s="64">
        <v>25355.25</v>
      </c>
      <c r="D1305" s="127">
        <v>45848</v>
      </c>
      <c r="E1305" s="64">
        <v>65.75</v>
      </c>
      <c r="H1305" s="128">
        <f t="shared" si="40"/>
        <v>-4.7436617064620804E-3</v>
      </c>
      <c r="I1305" s="128">
        <f t="shared" si="41"/>
        <v>1.16941067856594E-2</v>
      </c>
    </row>
    <row r="1306" spans="1:9" ht="14.25" customHeight="1" x14ac:dyDescent="0.3">
      <c r="A1306" s="127">
        <v>45849</v>
      </c>
      <c r="B1306" s="64">
        <v>25149.85</v>
      </c>
      <c r="D1306" s="127">
        <v>45849</v>
      </c>
      <c r="E1306" s="64">
        <v>66.09</v>
      </c>
      <c r="H1306" s="128">
        <f t="shared" si="40"/>
        <v>-8.1008864041964296E-3</v>
      </c>
      <c r="I1306" s="128">
        <f t="shared" si="41"/>
        <v>5.1711026615970102E-3</v>
      </c>
    </row>
    <row r="1307" spans="1:9" ht="14.25" customHeight="1" x14ac:dyDescent="0.3">
      <c r="A1307" s="127">
        <v>45852</v>
      </c>
      <c r="B1307" s="64">
        <v>25082.3</v>
      </c>
      <c r="D1307" s="127">
        <v>45852</v>
      </c>
      <c r="E1307" s="64">
        <v>66.11</v>
      </c>
      <c r="H1307" s="128">
        <f t="shared" si="40"/>
        <v>-2.68590071113741E-3</v>
      </c>
      <c r="I1307" s="128">
        <f t="shared" si="41"/>
        <v>3.0261764260850399E-4</v>
      </c>
    </row>
    <row r="1308" spans="1:9" ht="14.25" customHeight="1" x14ac:dyDescent="0.3">
      <c r="A1308" s="127">
        <v>45853</v>
      </c>
      <c r="B1308" s="64">
        <v>25195.8</v>
      </c>
      <c r="D1308" s="127">
        <v>45853</v>
      </c>
      <c r="E1308" s="64">
        <v>65.069999999999993</v>
      </c>
      <c r="H1308" s="128">
        <f t="shared" si="40"/>
        <v>4.5251033597397397E-3</v>
      </c>
      <c r="I1308" s="128">
        <f t="shared" si="41"/>
        <v>-1.5731356829526599E-2</v>
      </c>
    </row>
    <row r="1309" spans="1:9" ht="14.25" customHeight="1" x14ac:dyDescent="0.3">
      <c r="A1309" s="127">
        <v>45854</v>
      </c>
      <c r="B1309" s="64">
        <v>25212.05</v>
      </c>
      <c r="D1309" s="127">
        <v>45854</v>
      </c>
      <c r="E1309" s="64">
        <v>65.7</v>
      </c>
      <c r="H1309" s="128">
        <f t="shared" si="40"/>
        <v>6.4494876130148703E-4</v>
      </c>
      <c r="I1309" s="128">
        <f t="shared" si="41"/>
        <v>9.6818810511758099E-3</v>
      </c>
    </row>
    <row r="1310" spans="1:9" ht="14.25" customHeight="1" x14ac:dyDescent="0.3">
      <c r="A1310" s="127">
        <v>45855</v>
      </c>
      <c r="B1310" s="64">
        <v>25111.45</v>
      </c>
      <c r="D1310" s="127">
        <v>45855</v>
      </c>
      <c r="E1310" s="64">
        <v>66.58</v>
      </c>
      <c r="H1310" s="128">
        <f t="shared" si="40"/>
        <v>-3.9901555010401204E-3</v>
      </c>
      <c r="I1310" s="128">
        <f t="shared" si="41"/>
        <v>1.3394216133942099E-2</v>
      </c>
    </row>
    <row r="1311" spans="1:9" ht="14.25" customHeight="1" x14ac:dyDescent="0.3">
      <c r="A1311" s="127">
        <v>45856</v>
      </c>
      <c r="B1311" s="64">
        <v>24968.400000000001</v>
      </c>
      <c r="D1311" s="127">
        <v>45856</v>
      </c>
      <c r="E1311" s="64">
        <v>68.38</v>
      </c>
      <c r="H1311" s="128">
        <f t="shared" si="40"/>
        <v>-5.6966045369741397E-3</v>
      </c>
      <c r="I1311" s="128">
        <f t="shared" si="41"/>
        <v>2.70351456893962E-2</v>
      </c>
    </row>
    <row r="1312" spans="1:9" ht="14.25" customHeight="1" x14ac:dyDescent="0.3">
      <c r="A1312" s="127">
        <v>45859</v>
      </c>
      <c r="B1312" s="64">
        <v>25090.7</v>
      </c>
      <c r="D1312" s="127">
        <v>45859</v>
      </c>
      <c r="E1312" s="64">
        <v>68.83</v>
      </c>
      <c r="H1312" s="128">
        <f t="shared" si="40"/>
        <v>4.8981913138206401E-3</v>
      </c>
      <c r="I1312" s="128">
        <f t="shared" si="41"/>
        <v>6.5808715998830498E-3</v>
      </c>
    </row>
    <row r="1313" spans="1:9" ht="14.25" customHeight="1" x14ac:dyDescent="0.3">
      <c r="A1313" s="127">
        <v>45860</v>
      </c>
      <c r="B1313" s="64">
        <v>25060.9</v>
      </c>
      <c r="D1313" s="127">
        <v>45860</v>
      </c>
      <c r="E1313" s="64">
        <v>69.05</v>
      </c>
      <c r="H1313" s="128">
        <f t="shared" si="40"/>
        <v>-1.18769105684573E-3</v>
      </c>
      <c r="I1313" s="128">
        <f t="shared" si="41"/>
        <v>3.1962806915589001E-3</v>
      </c>
    </row>
    <row r="1314" spans="1:9" ht="14.25" customHeight="1" x14ac:dyDescent="0.3">
      <c r="A1314" s="127">
        <v>45861</v>
      </c>
      <c r="B1314" s="64">
        <v>25219.9</v>
      </c>
      <c r="D1314" s="127">
        <v>45861</v>
      </c>
      <c r="E1314" s="64">
        <v>69.849999999999994</v>
      </c>
      <c r="H1314" s="128">
        <f t="shared" si="40"/>
        <v>6.34454468913726E-3</v>
      </c>
      <c r="I1314" s="128">
        <f t="shared" si="41"/>
        <v>1.1585807385952201E-2</v>
      </c>
    </row>
    <row r="1315" spans="1:9" ht="14.25" customHeight="1" x14ac:dyDescent="0.3">
      <c r="A1315" s="127">
        <v>45862</v>
      </c>
      <c r="B1315" s="64">
        <v>25062.1</v>
      </c>
      <c r="D1315" s="127">
        <v>45862</v>
      </c>
      <c r="E1315" s="64">
        <v>69.63</v>
      </c>
      <c r="H1315" s="128">
        <f t="shared" si="40"/>
        <v>-6.2569637468825401E-3</v>
      </c>
      <c r="I1315" s="128">
        <f t="shared" si="41"/>
        <v>-3.1496062992125802E-3</v>
      </c>
    </row>
    <row r="1316" spans="1:9" ht="14.25" customHeight="1" x14ac:dyDescent="0.3">
      <c r="A1316" s="127">
        <v>45863</v>
      </c>
      <c r="B1316" s="64">
        <v>24837</v>
      </c>
      <c r="D1316" s="127">
        <v>45863</v>
      </c>
      <c r="E1316" s="64">
        <v>68.58</v>
      </c>
      <c r="H1316" s="128">
        <f t="shared" si="40"/>
        <v>-8.9816894833233702E-3</v>
      </c>
      <c r="I1316" s="128">
        <f t="shared" si="41"/>
        <v>-1.50797070228349E-2</v>
      </c>
    </row>
    <row r="1317" spans="1:9" ht="14.25" customHeight="1" x14ac:dyDescent="0.3">
      <c r="A1317" s="127">
        <v>45866</v>
      </c>
      <c r="B1317" s="64">
        <v>24680.9</v>
      </c>
      <c r="D1317" s="127">
        <v>45866</v>
      </c>
      <c r="E1317" s="64">
        <v>67.98</v>
      </c>
      <c r="H1317" s="128">
        <f t="shared" si="40"/>
        <v>-6.28497805693113E-3</v>
      </c>
      <c r="I1317" s="128">
        <f t="shared" si="41"/>
        <v>-8.7489063867015795E-3</v>
      </c>
    </row>
    <row r="1318" spans="1:9" ht="14.25" customHeight="1" x14ac:dyDescent="0.3">
      <c r="A1318" s="127">
        <v>45867</v>
      </c>
      <c r="B1318" s="64">
        <v>24821.1</v>
      </c>
      <c r="D1318" s="127">
        <v>45867</v>
      </c>
      <c r="E1318" s="64">
        <v>68.72</v>
      </c>
      <c r="H1318" s="128">
        <f t="shared" si="40"/>
        <v>5.6805059783069899E-3</v>
      </c>
      <c r="I1318" s="128">
        <f t="shared" si="41"/>
        <v>1.08855545748749E-2</v>
      </c>
    </row>
    <row r="1319" spans="1:9" ht="14.25" customHeight="1" x14ac:dyDescent="0.3">
      <c r="A1319" s="127">
        <v>45868</v>
      </c>
      <c r="B1319" s="64">
        <v>24855.05</v>
      </c>
      <c r="D1319" s="127">
        <v>45868</v>
      </c>
      <c r="E1319" s="64">
        <v>68.97</v>
      </c>
      <c r="H1319" s="128">
        <f t="shared" si="40"/>
        <v>1.36778789014188E-3</v>
      </c>
      <c r="I1319" s="128">
        <f t="shared" si="41"/>
        <v>3.6379511059371401E-3</v>
      </c>
    </row>
    <row r="1320" spans="1:9" ht="14.25" customHeight="1" x14ac:dyDescent="0.3">
      <c r="A1320" s="127">
        <v>45869</v>
      </c>
      <c r="B1320" s="64">
        <v>24768.35</v>
      </c>
      <c r="D1320" s="127">
        <v>45869</v>
      </c>
      <c r="E1320" s="64">
        <v>67.75</v>
      </c>
      <c r="H1320" s="128">
        <f t="shared" si="40"/>
        <v>-3.4882247269669799E-3</v>
      </c>
      <c r="I1320" s="128">
        <f t="shared" si="41"/>
        <v>-1.7688850224735399E-2</v>
      </c>
    </row>
    <row r="1321" spans="1:9" ht="14.25" customHeight="1" x14ac:dyDescent="0.3">
      <c r="A1321" s="127">
        <v>45870</v>
      </c>
      <c r="B1321" s="64">
        <v>24565.35</v>
      </c>
      <c r="D1321" s="127">
        <v>45870</v>
      </c>
      <c r="E1321" s="64">
        <v>67.44</v>
      </c>
      <c r="H1321" s="128">
        <f t="shared" si="40"/>
        <v>-8.1959436135228998E-3</v>
      </c>
      <c r="I1321" s="128">
        <f t="shared" si="41"/>
        <v>-4.5756457564576003E-3</v>
      </c>
    </row>
    <row r="1322" spans="1:9" ht="14.25" customHeight="1" x14ac:dyDescent="0.3">
      <c r="A1322" s="127">
        <v>45873</v>
      </c>
      <c r="B1322" s="64">
        <v>24722.75</v>
      </c>
      <c r="D1322" s="127">
        <v>45873</v>
      </c>
      <c r="E1322" s="64">
        <v>68.739999999999995</v>
      </c>
      <c r="H1322" s="128">
        <f t="shared" si="40"/>
        <v>6.4073990397043598E-3</v>
      </c>
      <c r="I1322" s="128">
        <f t="shared" si="41"/>
        <v>1.9276393831553901E-2</v>
      </c>
    </row>
    <row r="1323" spans="1:9" ht="14.25" customHeight="1" x14ac:dyDescent="0.3">
      <c r="A1323" s="127">
        <v>45874</v>
      </c>
      <c r="B1323" s="64">
        <v>24649.55</v>
      </c>
      <c r="D1323" s="127">
        <v>45874</v>
      </c>
      <c r="E1323" s="64">
        <v>68.84</v>
      </c>
      <c r="H1323" s="128">
        <f t="shared" si="40"/>
        <v>-2.96083566755319E-3</v>
      </c>
      <c r="I1323" s="128">
        <f t="shared" si="41"/>
        <v>1.45475705557184E-3</v>
      </c>
    </row>
    <row r="1324" spans="1:9" ht="14.25" customHeight="1" x14ac:dyDescent="0.3">
      <c r="A1324" s="127">
        <v>45875</v>
      </c>
      <c r="B1324" s="64">
        <v>24574.2</v>
      </c>
      <c r="D1324" s="127">
        <v>45875</v>
      </c>
      <c r="E1324" s="64">
        <v>68.78</v>
      </c>
      <c r="H1324" s="128">
        <f t="shared" si="40"/>
        <v>-3.0568509364267702E-3</v>
      </c>
      <c r="I1324" s="128">
        <f t="shared" si="41"/>
        <v>-8.7158628704244996E-4</v>
      </c>
    </row>
    <row r="1325" spans="1:9" ht="14.25" customHeight="1" x14ac:dyDescent="0.3">
      <c r="A1325" s="127">
        <v>45876</v>
      </c>
      <c r="B1325" s="64">
        <v>24596.15</v>
      </c>
      <c r="D1325" s="127">
        <v>45876</v>
      </c>
      <c r="E1325" s="64">
        <v>68.430000000000007</v>
      </c>
      <c r="H1325" s="128">
        <f t="shared" si="40"/>
        <v>8.9321320734757305E-4</v>
      </c>
      <c r="I1325" s="128">
        <f t="shared" si="41"/>
        <v>-5.0886885722592904E-3</v>
      </c>
    </row>
    <row r="1326" spans="1:9" ht="14.25" customHeight="1" x14ac:dyDescent="0.3">
      <c r="A1326" s="127">
        <v>45877</v>
      </c>
      <c r="B1326" s="64">
        <v>24363.3</v>
      </c>
      <c r="D1326" s="127">
        <v>45877</v>
      </c>
      <c r="E1326" s="64">
        <v>68.02</v>
      </c>
      <c r="H1326" s="128">
        <f t="shared" si="40"/>
        <v>-9.4669287673071704E-3</v>
      </c>
      <c r="I1326" s="128">
        <f t="shared" si="41"/>
        <v>-5.9915241852989999E-3</v>
      </c>
    </row>
    <row r="1327" spans="1:9" ht="14.25" customHeight="1" x14ac:dyDescent="0.3">
      <c r="A1327" s="127">
        <v>45880</v>
      </c>
      <c r="B1327" s="64">
        <v>24585.05</v>
      </c>
      <c r="D1327" s="127">
        <v>45880</v>
      </c>
      <c r="E1327" s="64">
        <v>67.62</v>
      </c>
      <c r="H1327" s="128">
        <f t="shared" si="40"/>
        <v>9.1018047637224792E-3</v>
      </c>
      <c r="I1327" s="128">
        <f t="shared" si="41"/>
        <v>-5.8806233460745603E-3</v>
      </c>
    </row>
    <row r="1328" spans="1:9" ht="14.25" customHeight="1" x14ac:dyDescent="0.3">
      <c r="A1328" s="127">
        <v>45881</v>
      </c>
      <c r="B1328" s="64">
        <v>24487.4</v>
      </c>
      <c r="D1328" s="127">
        <v>45881</v>
      </c>
      <c r="E1328" s="64">
        <v>67.900000000000006</v>
      </c>
      <c r="H1328" s="128">
        <f t="shared" si="40"/>
        <v>-3.9719260282162503E-3</v>
      </c>
      <c r="I1328" s="128">
        <f t="shared" si="41"/>
        <v>4.1407867494824202E-3</v>
      </c>
    </row>
    <row r="1329" spans="1:9" ht="14.25" customHeight="1" x14ac:dyDescent="0.3">
      <c r="A1329" s="127">
        <v>45882</v>
      </c>
      <c r="B1329" s="64">
        <v>24619.35</v>
      </c>
      <c r="D1329" s="127">
        <v>45882</v>
      </c>
      <c r="E1329" s="64">
        <v>69.47</v>
      </c>
      <c r="H1329" s="128">
        <f t="shared" si="40"/>
        <v>5.3884855068319698E-3</v>
      </c>
      <c r="I1329" s="128">
        <f t="shared" si="41"/>
        <v>2.3122238586155999E-2</v>
      </c>
    </row>
    <row r="1330" spans="1:9" ht="14.25" customHeight="1" x14ac:dyDescent="0.3">
      <c r="A1330" s="127">
        <v>45883</v>
      </c>
      <c r="B1330" s="64">
        <v>24631.3</v>
      </c>
      <c r="D1330" s="127">
        <v>45883</v>
      </c>
      <c r="E1330" s="64">
        <v>67.349999999999994</v>
      </c>
      <c r="H1330" s="128">
        <f t="shared" si="40"/>
        <v>4.8539055661504999E-4</v>
      </c>
      <c r="I1330" s="128">
        <f t="shared" si="41"/>
        <v>-3.0516769828703098E-2</v>
      </c>
    </row>
    <row r="1331" spans="1:9" ht="14.25" customHeight="1" x14ac:dyDescent="0.3">
      <c r="A1331" s="127">
        <v>45887</v>
      </c>
      <c r="B1331" s="64">
        <v>24876.95</v>
      </c>
      <c r="D1331" s="127">
        <v>45887</v>
      </c>
      <c r="E1331" s="64">
        <v>67.53</v>
      </c>
      <c r="H1331" s="128">
        <f t="shared" si="40"/>
        <v>9.9730830285044408E-3</v>
      </c>
      <c r="I1331" s="128">
        <f t="shared" si="41"/>
        <v>2.6726057906459799E-3</v>
      </c>
    </row>
    <row r="1332" spans="1:9" ht="14.25" customHeight="1" x14ac:dyDescent="0.3">
      <c r="A1332" s="127">
        <v>45888</v>
      </c>
      <c r="B1332" s="64">
        <v>24980.65</v>
      </c>
      <c r="D1332" s="127">
        <v>45888</v>
      </c>
      <c r="E1332" s="64">
        <v>68.63</v>
      </c>
      <c r="H1332" s="128">
        <f t="shared" si="40"/>
        <v>4.1685174428537598E-3</v>
      </c>
      <c r="I1332" s="128">
        <f t="shared" si="41"/>
        <v>1.6289056715533799E-2</v>
      </c>
    </row>
    <row r="1333" spans="1:9" ht="14.25" customHeight="1" x14ac:dyDescent="0.3">
      <c r="A1333" s="127">
        <v>45889</v>
      </c>
      <c r="B1333" s="64">
        <v>25050.55</v>
      </c>
      <c r="D1333" s="127">
        <v>45889</v>
      </c>
      <c r="E1333" s="64">
        <v>69.7</v>
      </c>
      <c r="H1333" s="128">
        <f t="shared" si="40"/>
        <v>2.7981657803138799E-3</v>
      </c>
      <c r="I1333" s="128">
        <f t="shared" si="41"/>
        <v>1.55908494827336E-2</v>
      </c>
    </row>
    <row r="1334" spans="1:9" ht="14.25" customHeight="1" x14ac:dyDescent="0.3">
      <c r="A1334" s="127">
        <v>45890</v>
      </c>
      <c r="B1334" s="64">
        <v>25083.75</v>
      </c>
      <c r="D1334" s="127">
        <v>45890</v>
      </c>
      <c r="E1334" s="64">
        <v>69.25</v>
      </c>
      <c r="H1334" s="128">
        <f t="shared" si="40"/>
        <v>1.3253202025504699E-3</v>
      </c>
      <c r="I1334" s="128">
        <f t="shared" si="41"/>
        <v>-6.4562410329986096E-3</v>
      </c>
    </row>
    <row r="1335" spans="1:9" ht="14.25" customHeight="1" x14ac:dyDescent="0.3">
      <c r="A1335" s="127">
        <v>45891</v>
      </c>
      <c r="B1335" s="64">
        <v>24870.1</v>
      </c>
      <c r="D1335" s="127">
        <v>45891</v>
      </c>
      <c r="E1335" s="64">
        <v>68.09</v>
      </c>
      <c r="H1335" s="128">
        <f t="shared" si="40"/>
        <v>-8.5174664872677101E-3</v>
      </c>
      <c r="I1335" s="128">
        <f t="shared" si="41"/>
        <v>-1.6750902527075801E-2</v>
      </c>
    </row>
    <row r="1336" spans="1:9" ht="14.25" customHeight="1" x14ac:dyDescent="0.3">
      <c r="A1336" s="127">
        <v>45894</v>
      </c>
      <c r="B1336" s="64">
        <v>24967.75</v>
      </c>
      <c r="D1336" s="127">
        <v>45894</v>
      </c>
      <c r="E1336" s="64">
        <v>68.59</v>
      </c>
      <c r="H1336" s="128">
        <f t="shared" si="40"/>
        <v>3.9264015826233701E-3</v>
      </c>
      <c r="I1336" s="128">
        <f t="shared" si="41"/>
        <v>7.3432222059039501E-3</v>
      </c>
    </row>
    <row r="1337" spans="1:9" ht="14.25" customHeight="1" x14ac:dyDescent="0.3">
      <c r="A1337" s="127">
        <v>45895</v>
      </c>
      <c r="B1337" s="64">
        <v>24712.05</v>
      </c>
      <c r="D1337" s="127">
        <v>45895</v>
      </c>
      <c r="E1337" s="64">
        <v>67.819999999999993</v>
      </c>
      <c r="H1337" s="128">
        <f t="shared" si="40"/>
        <v>-1.02412111623995E-2</v>
      </c>
      <c r="I1337" s="128">
        <f t="shared" si="41"/>
        <v>-1.12261262574721E-2</v>
      </c>
    </row>
    <row r="1338" spans="1:9" ht="14.25" customHeight="1" x14ac:dyDescent="0.3">
      <c r="A1338" s="127">
        <v>45897</v>
      </c>
      <c r="B1338" s="64">
        <v>24500.9</v>
      </c>
      <c r="D1338" s="127">
        <v>45897</v>
      </c>
      <c r="E1338" s="64">
        <v>66.7</v>
      </c>
      <c r="H1338" s="128">
        <f t="shared" si="40"/>
        <v>-8.5444145669824195E-3</v>
      </c>
      <c r="I1338" s="128">
        <f t="shared" si="41"/>
        <v>-1.6514302565614699E-2</v>
      </c>
    </row>
    <row r="1339" spans="1:9" ht="14.25" customHeight="1" x14ac:dyDescent="0.3">
      <c r="A1339" s="127">
        <v>45898</v>
      </c>
      <c r="B1339" s="64">
        <v>24426.85</v>
      </c>
      <c r="D1339" s="127">
        <v>45898</v>
      </c>
      <c r="E1339" s="64">
        <v>66.77</v>
      </c>
      <c r="H1339" s="128">
        <f t="shared" si="40"/>
        <v>-3.02233795493239E-3</v>
      </c>
      <c r="I1339" s="128">
        <f t="shared" si="41"/>
        <v>1.0494752623687101E-3</v>
      </c>
    </row>
    <row r="1340" spans="1:9" ht="14.25" customHeight="1" x14ac:dyDescent="0.3">
      <c r="A1340" s="127">
        <v>45901</v>
      </c>
      <c r="B1340" s="64">
        <v>24625.05</v>
      </c>
      <c r="D1340" s="127">
        <v>45901</v>
      </c>
      <c r="E1340" s="64">
        <v>67.569999999999993</v>
      </c>
      <c r="H1340" s="128">
        <f t="shared" si="40"/>
        <v>8.1140220699763097E-3</v>
      </c>
      <c r="I1340" s="128">
        <f t="shared" si="41"/>
        <v>1.19814287853826E-2</v>
      </c>
    </row>
    <row r="1341" spans="1:9" ht="14.25" customHeight="1" x14ac:dyDescent="0.3">
      <c r="A1341" s="127">
        <v>45902</v>
      </c>
      <c r="B1341" s="64">
        <v>24579.599999999999</v>
      </c>
      <c r="D1341" s="127">
        <v>45902</v>
      </c>
      <c r="E1341" s="64">
        <v>70.650000000000006</v>
      </c>
      <c r="H1341" s="128">
        <f t="shared" si="40"/>
        <v>-1.84568153161113E-3</v>
      </c>
      <c r="I1341" s="128">
        <f t="shared" si="41"/>
        <v>4.5582359035074897E-2</v>
      </c>
    </row>
    <row r="1342" spans="1:9" ht="14.25" customHeight="1" x14ac:dyDescent="0.3">
      <c r="A1342" s="127">
        <v>45903</v>
      </c>
      <c r="B1342" s="64">
        <v>24715.05</v>
      </c>
      <c r="D1342" s="127">
        <v>45903</v>
      </c>
      <c r="E1342" s="64">
        <v>72.099999999999994</v>
      </c>
      <c r="H1342" s="128">
        <f t="shared" si="40"/>
        <v>5.5106673827076402E-3</v>
      </c>
      <c r="I1342" s="128">
        <f t="shared" si="41"/>
        <v>2.0523708421797401E-2</v>
      </c>
    </row>
    <row r="1343" spans="1:9" ht="14.25" customHeight="1" x14ac:dyDescent="0.3">
      <c r="A1343" s="127">
        <v>45904</v>
      </c>
      <c r="B1343" s="64">
        <v>24734.3</v>
      </c>
      <c r="D1343" s="127">
        <v>45904</v>
      </c>
      <c r="E1343" s="64">
        <v>71.260000000000005</v>
      </c>
      <c r="H1343" s="128">
        <f t="shared" si="40"/>
        <v>7.7887764742535397E-4</v>
      </c>
      <c r="I1343" s="128">
        <f t="shared" si="41"/>
        <v>-1.16504854368931E-2</v>
      </c>
    </row>
    <row r="1344" spans="1:9" ht="14.25" customHeight="1" x14ac:dyDescent="0.3">
      <c r="A1344" s="127">
        <v>45905</v>
      </c>
      <c r="B1344" s="64">
        <v>24741</v>
      </c>
      <c r="D1344" s="127">
        <v>45905</v>
      </c>
      <c r="E1344" s="64">
        <v>72.33</v>
      </c>
      <c r="H1344" s="128">
        <f t="shared" si="40"/>
        <v>2.7087890095942599E-4</v>
      </c>
      <c r="I1344" s="128">
        <f t="shared" si="41"/>
        <v>1.5015436429974599E-2</v>
      </c>
    </row>
    <row r="1345" spans="1:9" ht="14.25" customHeight="1" x14ac:dyDescent="0.3">
      <c r="A1345" s="127">
        <v>45908</v>
      </c>
      <c r="B1345" s="64">
        <v>24773.15</v>
      </c>
      <c r="D1345" s="127">
        <v>45908</v>
      </c>
      <c r="E1345" s="64">
        <v>72.31</v>
      </c>
      <c r="H1345" s="128">
        <f t="shared" si="40"/>
        <v>1.29946243078297E-3</v>
      </c>
      <c r="I1345" s="128">
        <f t="shared" si="41"/>
        <v>-2.7651043826899E-4</v>
      </c>
    </row>
    <row r="1346" spans="1:9" ht="14.25" customHeight="1" x14ac:dyDescent="0.3">
      <c r="A1346" s="127">
        <v>45909</v>
      </c>
      <c r="B1346" s="64">
        <v>24868.6</v>
      </c>
      <c r="D1346" s="127">
        <v>45909</v>
      </c>
      <c r="E1346" s="64">
        <v>72.459999999999994</v>
      </c>
      <c r="H1346" s="128">
        <f t="shared" si="40"/>
        <v>3.8529617751475701E-3</v>
      </c>
      <c r="I1346" s="128">
        <f t="shared" si="41"/>
        <v>2.0744018807909198E-3</v>
      </c>
    </row>
    <row r="1347" spans="1:9" ht="14.25" customHeight="1" x14ac:dyDescent="0.3">
      <c r="A1347" s="127">
        <v>45910</v>
      </c>
      <c r="B1347" s="64">
        <v>24973.1</v>
      </c>
      <c r="D1347" s="127">
        <v>45910</v>
      </c>
      <c r="E1347" s="64">
        <v>73.06</v>
      </c>
      <c r="H1347" s="128">
        <f t="shared" ref="H1347:H1410" si="42">(B1347-B1346)/B1346</f>
        <v>4.2020861648826204E-3</v>
      </c>
      <c r="I1347" s="128">
        <f t="shared" ref="I1347:I1410" si="43">(E1347-E1346)/E1346</f>
        <v>8.2804305823903999E-3</v>
      </c>
    </row>
    <row r="1348" spans="1:9" ht="14.25" customHeight="1" x14ac:dyDescent="0.3">
      <c r="A1348" s="127">
        <v>45911</v>
      </c>
      <c r="B1348" s="64">
        <v>25005.5</v>
      </c>
      <c r="D1348" s="127">
        <v>45911</v>
      </c>
      <c r="E1348" s="64">
        <v>73.63</v>
      </c>
      <c r="H1348" s="128">
        <f t="shared" si="42"/>
        <v>1.29739599809401E-3</v>
      </c>
      <c r="I1348" s="128">
        <f t="shared" si="43"/>
        <v>7.8018067341909803E-3</v>
      </c>
    </row>
    <row r="1349" spans="1:9" ht="14.25" customHeight="1" x14ac:dyDescent="0.3">
      <c r="A1349" s="127">
        <v>45912</v>
      </c>
      <c r="B1349" s="64">
        <v>25114</v>
      </c>
      <c r="D1349" s="127">
        <v>45912</v>
      </c>
      <c r="E1349" s="64">
        <v>74.209999999999994</v>
      </c>
      <c r="H1349" s="128">
        <f t="shared" si="42"/>
        <v>4.3390454100098001E-3</v>
      </c>
      <c r="I1349" s="128">
        <f t="shared" si="43"/>
        <v>7.8772239576259395E-3</v>
      </c>
    </row>
    <row r="1350" spans="1:9" ht="14.25" customHeight="1" x14ac:dyDescent="0.3">
      <c r="A1350" s="127">
        <v>45915</v>
      </c>
      <c r="B1350" s="64">
        <v>25069.200000000001</v>
      </c>
      <c r="D1350" s="127">
        <v>45915</v>
      </c>
      <c r="E1350" s="64">
        <v>73.28</v>
      </c>
      <c r="H1350" s="128">
        <f t="shared" si="42"/>
        <v>-1.7838655729871501E-3</v>
      </c>
      <c r="I1350" s="128">
        <f t="shared" si="43"/>
        <v>-1.2532003773076301E-2</v>
      </c>
    </row>
    <row r="1351" spans="1:9" ht="14.25" customHeight="1" x14ac:dyDescent="0.3">
      <c r="A1351" s="127">
        <v>45916</v>
      </c>
      <c r="B1351" s="64">
        <v>25239.1</v>
      </c>
      <c r="D1351" s="127">
        <v>45916</v>
      </c>
      <c r="E1351" s="64">
        <v>73.209999999999994</v>
      </c>
      <c r="H1351" s="128">
        <f t="shared" si="42"/>
        <v>6.7772405980245799E-3</v>
      </c>
      <c r="I1351" s="128">
        <f t="shared" si="43"/>
        <v>-9.5524017467258997E-4</v>
      </c>
    </row>
    <row r="1352" spans="1:9" ht="14.25" customHeight="1" x14ac:dyDescent="0.3">
      <c r="A1352" s="127">
        <v>45917</v>
      </c>
      <c r="B1352" s="64">
        <v>25330.25</v>
      </c>
      <c r="D1352" s="127">
        <v>45917</v>
      </c>
      <c r="E1352" s="64">
        <v>73.459999999999994</v>
      </c>
      <c r="H1352" s="128">
        <f t="shared" si="42"/>
        <v>3.61145999659265E-3</v>
      </c>
      <c r="I1352" s="128">
        <f t="shared" si="43"/>
        <v>3.4148340390657002E-3</v>
      </c>
    </row>
    <row r="1353" spans="1:9" ht="14.25" customHeight="1" x14ac:dyDescent="0.3">
      <c r="A1353" s="127">
        <v>45918</v>
      </c>
      <c r="B1353" s="64">
        <v>25423.599999999999</v>
      </c>
      <c r="D1353" s="127">
        <v>45918</v>
      </c>
      <c r="E1353" s="64">
        <v>74.47</v>
      </c>
      <c r="H1353" s="128">
        <f t="shared" si="42"/>
        <v>3.6853169629197701E-3</v>
      </c>
      <c r="I1353" s="128">
        <f t="shared" si="43"/>
        <v>1.37489790362103E-2</v>
      </c>
    </row>
    <row r="1354" spans="1:9" ht="14.25" customHeight="1" x14ac:dyDescent="0.3">
      <c r="A1354" s="127">
        <v>45919</v>
      </c>
      <c r="B1354" s="64">
        <v>25327.05</v>
      </c>
      <c r="D1354" s="127">
        <v>45919</v>
      </c>
      <c r="E1354" s="64">
        <v>74.27</v>
      </c>
      <c r="H1354" s="128">
        <f t="shared" si="42"/>
        <v>-3.7976525747730199E-3</v>
      </c>
      <c r="I1354" s="128">
        <f t="shared" si="43"/>
        <v>-2.6856452262656498E-3</v>
      </c>
    </row>
    <row r="1355" spans="1:9" ht="14.25" customHeight="1" x14ac:dyDescent="0.3">
      <c r="A1355" s="127">
        <v>45922</v>
      </c>
      <c r="B1355" s="64">
        <v>25202.35</v>
      </c>
      <c r="D1355" s="127">
        <v>45922</v>
      </c>
      <c r="E1355" s="64">
        <v>74.59</v>
      </c>
      <c r="H1355" s="128">
        <f t="shared" si="42"/>
        <v>-4.9235896008418198E-3</v>
      </c>
      <c r="I1355" s="128">
        <f t="shared" si="43"/>
        <v>4.3086037430996003E-3</v>
      </c>
    </row>
    <row r="1356" spans="1:9" ht="14.25" customHeight="1" x14ac:dyDescent="0.3">
      <c r="A1356" s="127">
        <v>45923</v>
      </c>
      <c r="B1356" s="64">
        <v>25169.5</v>
      </c>
      <c r="D1356" s="127">
        <v>45923</v>
      </c>
      <c r="E1356" s="64">
        <v>75.8</v>
      </c>
      <c r="H1356" s="128">
        <f t="shared" si="42"/>
        <v>-1.3034498766979501E-3</v>
      </c>
      <c r="I1356" s="128">
        <f t="shared" si="43"/>
        <v>1.62220136747552E-2</v>
      </c>
    </row>
    <row r="1357" spans="1:9" ht="14.25" customHeight="1" x14ac:dyDescent="0.3">
      <c r="A1357" s="127">
        <v>45924</v>
      </c>
      <c r="B1357" s="64">
        <v>25056.9</v>
      </c>
      <c r="D1357" s="127">
        <v>45924</v>
      </c>
      <c r="E1357" s="64">
        <v>74.92</v>
      </c>
      <c r="H1357" s="128">
        <f t="shared" si="42"/>
        <v>-4.4736685273842804E-3</v>
      </c>
      <c r="I1357" s="128">
        <f t="shared" si="43"/>
        <v>-1.1609498680738701E-2</v>
      </c>
    </row>
    <row r="1358" spans="1:9" ht="14.25" customHeight="1" x14ac:dyDescent="0.3">
      <c r="A1358" s="127">
        <v>45925</v>
      </c>
      <c r="B1358" s="64">
        <v>24890.85</v>
      </c>
      <c r="D1358" s="127">
        <v>45925</v>
      </c>
      <c r="E1358" s="64">
        <v>74.13</v>
      </c>
      <c r="H1358" s="128">
        <f t="shared" si="42"/>
        <v>-6.62691713659722E-3</v>
      </c>
      <c r="I1358" s="128">
        <f t="shared" si="43"/>
        <v>-1.05445808862788E-2</v>
      </c>
    </row>
    <row r="1359" spans="1:9" ht="14.25" customHeight="1" x14ac:dyDescent="0.3">
      <c r="A1359" s="127">
        <v>45926</v>
      </c>
      <c r="B1359" s="64">
        <v>24654.7</v>
      </c>
      <c r="D1359" s="127">
        <v>45926</v>
      </c>
      <c r="E1359" s="64">
        <v>72.78</v>
      </c>
      <c r="H1359" s="128">
        <f t="shared" si="42"/>
        <v>-9.4874220848222505E-3</v>
      </c>
      <c r="I1359" s="128">
        <f t="shared" si="43"/>
        <v>-1.8211250505867999E-2</v>
      </c>
    </row>
    <row r="1360" spans="1:9" ht="14.25" customHeight="1" x14ac:dyDescent="0.3">
      <c r="A1360" s="127">
        <v>45929</v>
      </c>
      <c r="B1360" s="64">
        <v>24634.9</v>
      </c>
      <c r="D1360" s="127">
        <v>45929</v>
      </c>
      <c r="E1360" s="64">
        <v>72.819999999999993</v>
      </c>
      <c r="H1360" s="128">
        <f t="shared" si="42"/>
        <v>-8.0309231099949595E-4</v>
      </c>
      <c r="I1360" s="128">
        <f t="shared" si="43"/>
        <v>5.496015388842E-4</v>
      </c>
    </row>
    <row r="1361" spans="1:9" ht="14.25" customHeight="1" x14ac:dyDescent="0.3">
      <c r="A1361" s="127">
        <v>45930</v>
      </c>
      <c r="B1361" s="64">
        <v>24611.1</v>
      </c>
      <c r="D1361" s="127">
        <v>45930</v>
      </c>
      <c r="E1361" s="64">
        <v>74.099999999999994</v>
      </c>
      <c r="H1361" s="128">
        <f t="shared" si="42"/>
        <v>-9.6610905666363195E-4</v>
      </c>
      <c r="I1361" s="128">
        <f t="shared" si="43"/>
        <v>1.7577588574567399E-2</v>
      </c>
    </row>
    <row r="1362" spans="1:9" ht="14.25" customHeight="1" x14ac:dyDescent="0.3">
      <c r="A1362" s="127">
        <v>45931</v>
      </c>
      <c r="B1362" s="64">
        <v>24836.3</v>
      </c>
      <c r="D1362" s="127">
        <v>45931</v>
      </c>
      <c r="E1362" s="64">
        <v>73.91</v>
      </c>
      <c r="H1362" s="128">
        <f t="shared" si="42"/>
        <v>9.1503427315317402E-3</v>
      </c>
      <c r="I1362" s="128">
        <f t="shared" si="43"/>
        <v>-2.5641025641025298E-3</v>
      </c>
    </row>
    <row r="1363" spans="1:9" ht="14.25" customHeight="1" x14ac:dyDescent="0.3">
      <c r="A1363" s="127">
        <v>45933</v>
      </c>
      <c r="B1363" s="64">
        <v>24894.25</v>
      </c>
      <c r="D1363" s="127">
        <v>45933</v>
      </c>
      <c r="E1363" s="64">
        <v>74.83</v>
      </c>
      <c r="H1363" s="128">
        <f t="shared" si="42"/>
        <v>2.3332783063500099E-3</v>
      </c>
      <c r="I1363" s="128">
        <f t="shared" si="43"/>
        <v>1.24475713705859E-2</v>
      </c>
    </row>
    <row r="1364" spans="1:9" ht="14.25" customHeight="1" x14ac:dyDescent="0.3">
      <c r="A1364" s="127">
        <v>45936</v>
      </c>
      <c r="B1364" s="64">
        <v>25077.65</v>
      </c>
      <c r="D1364" s="127">
        <v>45936</v>
      </c>
      <c r="E1364" s="64">
        <v>73.819999999999993</v>
      </c>
      <c r="H1364" s="128">
        <f t="shared" si="42"/>
        <v>7.3671630999126896E-3</v>
      </c>
      <c r="I1364" s="128">
        <f t="shared" si="43"/>
        <v>-1.3497260457036E-2</v>
      </c>
    </row>
    <row r="1365" spans="1:9" ht="14.25" customHeight="1" x14ac:dyDescent="0.3">
      <c r="A1365" s="127">
        <v>45937</v>
      </c>
      <c r="B1365" s="64">
        <v>25108.3</v>
      </c>
      <c r="D1365" s="127">
        <v>45937</v>
      </c>
      <c r="E1365" s="64">
        <v>73.849999999999994</v>
      </c>
      <c r="H1365" s="128">
        <f t="shared" si="42"/>
        <v>1.22220383488875E-3</v>
      </c>
      <c r="I1365" s="128">
        <f t="shared" si="43"/>
        <v>4.0639393118397602E-4</v>
      </c>
    </row>
    <row r="1366" spans="1:9" ht="14.25" customHeight="1" x14ac:dyDescent="0.3">
      <c r="A1366" s="127">
        <v>45938</v>
      </c>
      <c r="B1366" s="64">
        <v>25046.15</v>
      </c>
      <c r="D1366" s="127">
        <v>45938</v>
      </c>
      <c r="E1366" s="64">
        <v>73.98</v>
      </c>
      <c r="H1366" s="128">
        <f t="shared" si="42"/>
        <v>-2.4752770996044299E-3</v>
      </c>
      <c r="I1366" s="128">
        <f t="shared" si="43"/>
        <v>1.7603249830739299E-3</v>
      </c>
    </row>
    <row r="1367" spans="1:9" ht="14.25" customHeight="1" x14ac:dyDescent="0.3">
      <c r="A1367" s="127">
        <v>45939</v>
      </c>
      <c r="B1367" s="64">
        <v>25181.8</v>
      </c>
      <c r="D1367" s="127">
        <v>45939</v>
      </c>
      <c r="E1367" s="64">
        <v>76.48</v>
      </c>
      <c r="H1367" s="128">
        <f t="shared" si="42"/>
        <v>5.4160020601967899E-3</v>
      </c>
      <c r="I1367" s="128">
        <f t="shared" si="43"/>
        <v>3.3792917004595802E-2</v>
      </c>
    </row>
    <row r="1368" spans="1:9" ht="14.25" customHeight="1" x14ac:dyDescent="0.3">
      <c r="A1368" s="127">
        <v>45940</v>
      </c>
      <c r="B1368" s="64">
        <v>25285.35</v>
      </c>
      <c r="D1368" s="127">
        <v>45940</v>
      </c>
      <c r="E1368" s="64">
        <v>74.849999999999994</v>
      </c>
      <c r="H1368" s="128">
        <f t="shared" si="42"/>
        <v>4.11209683183884E-3</v>
      </c>
      <c r="I1368" s="128">
        <f t="shared" si="43"/>
        <v>-2.1312761506276302E-2</v>
      </c>
    </row>
    <row r="1369" spans="1:9" ht="14.25" customHeight="1" x14ac:dyDescent="0.3">
      <c r="A1369" s="127">
        <v>45943</v>
      </c>
      <c r="B1369" s="64">
        <v>25227.35</v>
      </c>
      <c r="D1369" s="127">
        <v>45943</v>
      </c>
      <c r="E1369" s="64">
        <v>74.87</v>
      </c>
      <c r="H1369" s="128">
        <f t="shared" si="42"/>
        <v>-2.2938183572701202E-3</v>
      </c>
      <c r="I1369" s="128">
        <f t="shared" si="43"/>
        <v>2.6720106880441199E-4</v>
      </c>
    </row>
    <row r="1370" spans="1:9" ht="14.25" customHeight="1" x14ac:dyDescent="0.3">
      <c r="A1370" s="127">
        <v>45944</v>
      </c>
      <c r="B1370" s="64">
        <v>25145.5</v>
      </c>
      <c r="D1370" s="127">
        <v>45944</v>
      </c>
      <c r="E1370" s="64">
        <v>73.88</v>
      </c>
      <c r="H1370" s="128">
        <f t="shared" si="42"/>
        <v>-3.24449456641298E-3</v>
      </c>
      <c r="I1370" s="128">
        <f t="shared" si="43"/>
        <v>-1.32229197275278E-2</v>
      </c>
    </row>
    <row r="1371" spans="1:9" ht="14.25" customHeight="1" x14ac:dyDescent="0.3">
      <c r="A1371" s="127">
        <v>45945</v>
      </c>
      <c r="B1371" s="64">
        <v>25323.55</v>
      </c>
      <c r="D1371" s="127">
        <v>45945</v>
      </c>
      <c r="E1371" s="64">
        <v>74.45</v>
      </c>
      <c r="H1371" s="128">
        <f t="shared" si="42"/>
        <v>7.0807898033445104E-3</v>
      </c>
      <c r="I1371" s="128">
        <f t="shared" si="43"/>
        <v>7.7152138603141197E-3</v>
      </c>
    </row>
    <row r="1372" spans="1:9" ht="14.25" customHeight="1" x14ac:dyDescent="0.3">
      <c r="A1372" s="127">
        <v>45946</v>
      </c>
      <c r="B1372" s="64">
        <v>25585.3</v>
      </c>
      <c r="D1372" s="127">
        <v>45946</v>
      </c>
      <c r="E1372" s="64">
        <v>73.64</v>
      </c>
      <c r="H1372" s="128">
        <f t="shared" si="42"/>
        <v>1.0336228530360101E-2</v>
      </c>
      <c r="I1372" s="128">
        <f t="shared" si="43"/>
        <v>-1.08797850906649E-2</v>
      </c>
    </row>
    <row r="1373" spans="1:9" ht="14.25" customHeight="1" x14ac:dyDescent="0.3">
      <c r="A1373" s="127">
        <v>45947</v>
      </c>
      <c r="B1373" s="64">
        <v>25709.85</v>
      </c>
      <c r="D1373" s="127">
        <v>45947</v>
      </c>
      <c r="E1373" s="64">
        <v>72.7</v>
      </c>
      <c r="H1373" s="128">
        <f t="shared" si="42"/>
        <v>4.8680296889229103E-3</v>
      </c>
      <c r="I1373" s="128">
        <f t="shared" si="43"/>
        <v>-1.2764801738185699E-2</v>
      </c>
    </row>
    <row r="1374" spans="1:9" ht="14.25" customHeight="1" x14ac:dyDescent="0.3">
      <c r="A1374" s="127">
        <v>45950</v>
      </c>
      <c r="B1374" s="64">
        <v>25843.15</v>
      </c>
      <c r="D1374" s="127">
        <v>45950</v>
      </c>
      <c r="E1374" s="64">
        <v>73.02</v>
      </c>
      <c r="H1374" s="128">
        <f t="shared" si="42"/>
        <v>5.1847832640020399E-3</v>
      </c>
      <c r="I1374" s="128">
        <f t="shared" si="43"/>
        <v>4.4016506189820202E-3</v>
      </c>
    </row>
    <row r="1375" spans="1:9" ht="14.25" customHeight="1" x14ac:dyDescent="0.3">
      <c r="A1375" s="127">
        <v>45951</v>
      </c>
      <c r="B1375" s="64">
        <v>25868.6</v>
      </c>
      <c r="D1375" s="127">
        <v>45951</v>
      </c>
      <c r="E1375" s="64">
        <v>73.38</v>
      </c>
      <c r="H1375" s="128">
        <f t="shared" si="42"/>
        <v>9.8478707123539799E-4</v>
      </c>
      <c r="I1375" s="128">
        <f t="shared" si="43"/>
        <v>4.9301561216105096E-3</v>
      </c>
    </row>
    <row r="1376" spans="1:9" ht="14.25" customHeight="1" x14ac:dyDescent="0.3">
      <c r="A1376" s="127">
        <v>45953</v>
      </c>
      <c r="B1376" s="64">
        <v>25891.4</v>
      </c>
      <c r="D1376" s="127">
        <v>45953</v>
      </c>
      <c r="E1376" s="64">
        <v>72</v>
      </c>
      <c r="H1376" s="128">
        <f t="shared" si="42"/>
        <v>8.8137742282160295E-4</v>
      </c>
      <c r="I1376" s="128">
        <f t="shared" si="43"/>
        <v>-1.8806214227309801E-2</v>
      </c>
    </row>
    <row r="1377" spans="1:9" ht="14.25" customHeight="1" x14ac:dyDescent="0.3">
      <c r="A1377" s="127">
        <v>45954</v>
      </c>
      <c r="B1377" s="64">
        <v>25795.15</v>
      </c>
      <c r="D1377" s="127">
        <v>45954</v>
      </c>
      <c r="E1377" s="64">
        <v>72</v>
      </c>
      <c r="H1377" s="128">
        <f t="shared" si="42"/>
        <v>-3.71745058204655E-3</v>
      </c>
      <c r="I1377" s="128">
        <f t="shared" si="43"/>
        <v>0</v>
      </c>
    </row>
    <row r="1378" spans="1:9" ht="14.25" customHeight="1" x14ac:dyDescent="0.3">
      <c r="A1378" s="127">
        <v>45957</v>
      </c>
      <c r="B1378" s="64">
        <v>25966.05</v>
      </c>
      <c r="D1378" s="127">
        <v>45957</v>
      </c>
      <c r="E1378" s="64">
        <v>72.180000000000007</v>
      </c>
      <c r="H1378" s="128">
        <f t="shared" si="42"/>
        <v>6.6252764570083099E-3</v>
      </c>
      <c r="I1378" s="128">
        <f t="shared" si="43"/>
        <v>2.5000000000000898E-3</v>
      </c>
    </row>
    <row r="1379" spans="1:9" ht="14.25" customHeight="1" x14ac:dyDescent="0.3">
      <c r="A1379" s="127">
        <v>45958</v>
      </c>
      <c r="B1379" s="64">
        <v>25936.2</v>
      </c>
      <c r="D1379" s="127">
        <v>45958</v>
      </c>
      <c r="E1379" s="64">
        <v>72.430000000000007</v>
      </c>
      <c r="H1379" s="128">
        <f t="shared" si="42"/>
        <v>-1.1495780066663401E-3</v>
      </c>
      <c r="I1379" s="128">
        <f t="shared" si="43"/>
        <v>3.4635633139373798E-3</v>
      </c>
    </row>
    <row r="1380" spans="1:9" ht="14.25" customHeight="1" x14ac:dyDescent="0.3">
      <c r="A1380" s="127">
        <v>45959</v>
      </c>
      <c r="B1380" s="64">
        <v>26053.9</v>
      </c>
      <c r="D1380" s="127">
        <v>45959</v>
      </c>
      <c r="E1380" s="64">
        <v>74.44</v>
      </c>
      <c r="H1380" s="128">
        <f t="shared" si="42"/>
        <v>4.53805877499405E-3</v>
      </c>
      <c r="I1380" s="128">
        <f t="shared" si="43"/>
        <v>2.7750931934281201E-2</v>
      </c>
    </row>
    <row r="1381" spans="1:9" ht="14.25" customHeight="1" x14ac:dyDescent="0.3">
      <c r="A1381" s="127">
        <v>45960</v>
      </c>
      <c r="B1381" s="64">
        <v>25877.85</v>
      </c>
      <c r="D1381" s="127">
        <v>45960</v>
      </c>
      <c r="E1381" s="64">
        <v>73.650000000000006</v>
      </c>
      <c r="H1381" s="128">
        <f t="shared" si="42"/>
        <v>-6.7571457632063896E-3</v>
      </c>
      <c r="I1381" s="128">
        <f t="shared" si="43"/>
        <v>-1.0612573885007999E-2</v>
      </c>
    </row>
    <row r="1382" spans="1:9" ht="14.25" customHeight="1" x14ac:dyDescent="0.3">
      <c r="A1382" s="127">
        <v>45961</v>
      </c>
      <c r="B1382" s="64">
        <v>25722.1</v>
      </c>
      <c r="D1382" s="127">
        <v>45961</v>
      </c>
      <c r="E1382" s="64">
        <v>73.55</v>
      </c>
      <c r="H1382" s="128">
        <f t="shared" si="42"/>
        <v>-6.0186607465457899E-3</v>
      </c>
      <c r="I1382" s="128">
        <f t="shared" si="43"/>
        <v>-1.3577732518670501E-3</v>
      </c>
    </row>
    <row r="1383" spans="1:9" ht="14.25" customHeight="1" x14ac:dyDescent="0.3">
      <c r="A1383" s="127">
        <v>45964</v>
      </c>
      <c r="B1383" s="64">
        <v>25763.35</v>
      </c>
      <c r="D1383" s="127">
        <v>45964</v>
      </c>
      <c r="E1383" s="64">
        <v>73.680000000000007</v>
      </c>
      <c r="H1383" s="128">
        <f t="shared" si="42"/>
        <v>1.6036793263380499E-3</v>
      </c>
      <c r="I1383" s="128">
        <f t="shared" si="43"/>
        <v>1.7675050985725301E-3</v>
      </c>
    </row>
    <row r="1384" spans="1:9" ht="14.25" customHeight="1" x14ac:dyDescent="0.3">
      <c r="A1384" s="127">
        <v>45965</v>
      </c>
      <c r="B1384" s="64">
        <v>25597.65</v>
      </c>
      <c r="D1384" s="127">
        <v>45965</v>
      </c>
      <c r="E1384" s="64">
        <v>72.08</v>
      </c>
      <c r="H1384" s="128">
        <f t="shared" si="42"/>
        <v>-6.4316170063286396E-3</v>
      </c>
      <c r="I1384" s="128">
        <f t="shared" si="43"/>
        <v>-2.1715526601520201E-2</v>
      </c>
    </row>
    <row r="1385" spans="1:9" ht="14.25" customHeight="1" x14ac:dyDescent="0.3">
      <c r="A1385" s="127">
        <v>45967</v>
      </c>
      <c r="B1385" s="64">
        <v>25509.7</v>
      </c>
      <c r="D1385" s="127">
        <v>45967</v>
      </c>
      <c r="E1385" s="64">
        <v>70.959999999999994</v>
      </c>
      <c r="H1385" s="128">
        <f t="shared" si="42"/>
        <v>-3.4358622764199299E-3</v>
      </c>
      <c r="I1385" s="128">
        <f t="shared" si="43"/>
        <v>-1.5538290788013401E-2</v>
      </c>
    </row>
    <row r="1386" spans="1:9" ht="14.25" customHeight="1" x14ac:dyDescent="0.3">
      <c r="A1386" s="127">
        <v>45968</v>
      </c>
      <c r="B1386" s="64">
        <v>25492.3</v>
      </c>
      <c r="D1386" s="127">
        <v>45968</v>
      </c>
      <c r="E1386" s="64">
        <v>72.05</v>
      </c>
      <c r="H1386" s="128">
        <f t="shared" si="42"/>
        <v>-6.8209347816718601E-4</v>
      </c>
      <c r="I1386" s="128">
        <f t="shared" si="43"/>
        <v>1.53607666290869E-2</v>
      </c>
    </row>
    <row r="1387" spans="1:9" ht="14.25" customHeight="1" x14ac:dyDescent="0.3">
      <c r="A1387" s="127">
        <v>45971</v>
      </c>
      <c r="B1387" s="64">
        <v>25574.35</v>
      </c>
      <c r="D1387" s="127">
        <v>45971</v>
      </c>
      <c r="E1387" s="64">
        <v>72.86</v>
      </c>
      <c r="H1387" s="128">
        <f t="shared" si="42"/>
        <v>3.2186189555277198E-3</v>
      </c>
      <c r="I1387" s="128">
        <f t="shared" si="43"/>
        <v>1.12421929215823E-2</v>
      </c>
    </row>
    <row r="1388" spans="1:9" ht="14.25" customHeight="1" x14ac:dyDescent="0.3">
      <c r="A1388" s="127">
        <v>45972</v>
      </c>
      <c r="B1388" s="64">
        <v>25694.95</v>
      </c>
      <c r="D1388" s="127">
        <v>45972</v>
      </c>
      <c r="E1388" s="64">
        <v>73.55</v>
      </c>
      <c r="H1388" s="128">
        <f t="shared" si="42"/>
        <v>4.7156623726508102E-3</v>
      </c>
      <c r="I1388" s="128">
        <f t="shared" si="43"/>
        <v>9.4702168542409801E-3</v>
      </c>
    </row>
    <row r="1389" spans="1:9" ht="14.25" customHeight="1" x14ac:dyDescent="0.3">
      <c r="A1389" s="127">
        <v>45973</v>
      </c>
      <c r="B1389" s="64">
        <v>25875.8</v>
      </c>
      <c r="D1389" s="127">
        <v>45973</v>
      </c>
      <c r="E1389" s="64">
        <v>74.900000000000006</v>
      </c>
      <c r="H1389" s="128">
        <f t="shared" si="42"/>
        <v>7.0383480022338397E-3</v>
      </c>
      <c r="I1389" s="128">
        <f t="shared" si="43"/>
        <v>1.8354860639021201E-2</v>
      </c>
    </row>
    <row r="1390" spans="1:9" ht="14.25" customHeight="1" x14ac:dyDescent="0.3">
      <c r="A1390" s="127">
        <v>45974</v>
      </c>
      <c r="B1390" s="64">
        <v>25879.15</v>
      </c>
      <c r="D1390" s="127">
        <v>45974</v>
      </c>
      <c r="E1390" s="64">
        <v>75.11</v>
      </c>
      <c r="H1390" s="128">
        <f t="shared" si="42"/>
        <v>1.2946459626377499E-4</v>
      </c>
      <c r="I1390" s="128">
        <f t="shared" si="43"/>
        <v>2.8037383177569302E-3</v>
      </c>
    </row>
    <row r="1391" spans="1:9" ht="14.25" customHeight="1" x14ac:dyDescent="0.3">
      <c r="A1391" s="127">
        <v>45975</v>
      </c>
      <c r="B1391" s="64">
        <v>25910.05</v>
      </c>
      <c r="D1391" s="127">
        <v>45975</v>
      </c>
      <c r="E1391" s="64">
        <v>74.290000000000006</v>
      </c>
      <c r="H1391" s="128">
        <f t="shared" si="42"/>
        <v>1.19401139527372E-3</v>
      </c>
      <c r="I1391" s="128">
        <f t="shared" si="43"/>
        <v>-1.09173212621488E-2</v>
      </c>
    </row>
    <row r="1392" spans="1:9" ht="14.25" customHeight="1" x14ac:dyDescent="0.3">
      <c r="A1392" s="127">
        <v>45978</v>
      </c>
      <c r="B1392" s="64">
        <v>26013.45</v>
      </c>
      <c r="D1392" s="127">
        <v>45978</v>
      </c>
      <c r="E1392" s="64">
        <v>74.28</v>
      </c>
      <c r="H1392" s="128">
        <f t="shared" si="42"/>
        <v>3.9907294659794696E-3</v>
      </c>
      <c r="I1392" s="128">
        <f t="shared" si="43"/>
        <v>-1.3460761879129199E-4</v>
      </c>
    </row>
    <row r="1393" spans="1:9" ht="14.25" customHeight="1" x14ac:dyDescent="0.3">
      <c r="A1393" s="127">
        <v>45979</v>
      </c>
      <c r="B1393" s="64">
        <v>25910.05</v>
      </c>
      <c r="D1393" s="127">
        <v>45979</v>
      </c>
      <c r="E1393" s="64">
        <v>73.489999999999995</v>
      </c>
      <c r="H1393" s="128">
        <f t="shared" si="42"/>
        <v>-3.9748668477268996E-3</v>
      </c>
      <c r="I1393" s="128">
        <f t="shared" si="43"/>
        <v>-1.06354334948843E-2</v>
      </c>
    </row>
    <row r="1394" spans="1:9" ht="14.25" customHeight="1" x14ac:dyDescent="0.3">
      <c r="A1394" s="127">
        <v>45980</v>
      </c>
      <c r="B1394" s="64">
        <v>26052.65</v>
      </c>
      <c r="D1394" s="127">
        <v>45980</v>
      </c>
      <c r="E1394" s="64">
        <v>73.040000000000006</v>
      </c>
      <c r="H1394" s="128">
        <f t="shared" si="42"/>
        <v>5.5036559172985796E-3</v>
      </c>
      <c r="I1394" s="128">
        <f t="shared" si="43"/>
        <v>-6.1232820791942899E-3</v>
      </c>
    </row>
    <row r="1395" spans="1:9" ht="14.25" customHeight="1" x14ac:dyDescent="0.3">
      <c r="A1395" s="127">
        <v>45981</v>
      </c>
      <c r="B1395" s="64">
        <v>26192.15</v>
      </c>
      <c r="D1395" s="127">
        <v>45981</v>
      </c>
      <c r="E1395" s="64">
        <v>72.260000000000005</v>
      </c>
      <c r="H1395" s="128">
        <f t="shared" si="42"/>
        <v>5.3545416685058904E-3</v>
      </c>
      <c r="I1395" s="128">
        <f t="shared" si="43"/>
        <v>-1.06790799561884E-2</v>
      </c>
    </row>
    <row r="1396" spans="1:9" ht="14.25" customHeight="1" x14ac:dyDescent="0.3">
      <c r="A1396" s="127">
        <v>45982</v>
      </c>
      <c r="B1396" s="64">
        <v>26068.15</v>
      </c>
      <c r="D1396" s="127">
        <v>45982</v>
      </c>
      <c r="E1396" s="64">
        <v>71.34</v>
      </c>
      <c r="H1396" s="128">
        <f t="shared" si="42"/>
        <v>-4.7342428933860002E-3</v>
      </c>
      <c r="I1396" s="128">
        <f t="shared" si="43"/>
        <v>-1.27318018267368E-2</v>
      </c>
    </row>
    <row r="1397" spans="1:9" ht="14.25" customHeight="1" x14ac:dyDescent="0.3">
      <c r="A1397" s="127">
        <v>45985</v>
      </c>
      <c r="B1397" s="64">
        <v>25959.5</v>
      </c>
      <c r="D1397" s="127">
        <v>45985</v>
      </c>
      <c r="E1397" s="64">
        <v>70.400000000000006</v>
      </c>
      <c r="H1397" s="128">
        <f t="shared" si="42"/>
        <v>-4.1679213906626097E-3</v>
      </c>
      <c r="I1397" s="128">
        <f t="shared" si="43"/>
        <v>-1.3176338659938299E-2</v>
      </c>
    </row>
    <row r="1398" spans="1:9" ht="14.25" customHeight="1" x14ac:dyDescent="0.3">
      <c r="A1398" s="127">
        <v>45986</v>
      </c>
      <c r="B1398" s="64">
        <v>25884.799999999999</v>
      </c>
      <c r="D1398" s="127">
        <v>45986</v>
      </c>
      <c r="E1398" s="64">
        <v>70.56</v>
      </c>
      <c r="H1398" s="128">
        <f t="shared" si="42"/>
        <v>-2.8775592750245899E-3</v>
      </c>
      <c r="I1398" s="128">
        <f t="shared" si="43"/>
        <v>2.2727272727272201E-3</v>
      </c>
    </row>
    <row r="1399" spans="1:9" ht="14.25" customHeight="1" x14ac:dyDescent="0.3">
      <c r="A1399" s="127">
        <v>45987</v>
      </c>
      <c r="B1399" s="64">
        <v>26205.3</v>
      </c>
      <c r="D1399" s="127">
        <v>45987</v>
      </c>
      <c r="E1399" s="64">
        <v>72.099999999999994</v>
      </c>
      <c r="H1399" s="128">
        <f t="shared" si="42"/>
        <v>1.2381783904067301E-2</v>
      </c>
      <c r="I1399" s="128">
        <f t="shared" si="43"/>
        <v>2.1825396825396699E-2</v>
      </c>
    </row>
    <row r="1400" spans="1:9" ht="14.25" customHeight="1" x14ac:dyDescent="0.3">
      <c r="A1400" s="127">
        <v>45988</v>
      </c>
      <c r="B1400" s="64">
        <v>26215.55</v>
      </c>
      <c r="D1400" s="127">
        <v>45988</v>
      </c>
      <c r="E1400" s="64">
        <v>72.02</v>
      </c>
      <c r="H1400" s="128">
        <f t="shared" si="42"/>
        <v>3.91142249850221E-4</v>
      </c>
      <c r="I1400" s="128">
        <f t="shared" si="43"/>
        <v>-1.1095700416088501E-3</v>
      </c>
    </row>
    <row r="1401" spans="1:9" ht="14.25" customHeight="1" x14ac:dyDescent="0.3">
      <c r="A1401" s="127">
        <v>45989</v>
      </c>
      <c r="B1401" s="64">
        <v>26202.95</v>
      </c>
      <c r="D1401" s="127">
        <v>45989</v>
      </c>
      <c r="E1401" s="64">
        <v>71.739999999999995</v>
      </c>
      <c r="H1401" s="128">
        <f t="shared" si="42"/>
        <v>-4.80630770668498E-4</v>
      </c>
      <c r="I1401" s="128">
        <f t="shared" si="43"/>
        <v>-3.8878089419605798E-3</v>
      </c>
    </row>
    <row r="1402" spans="1:9" ht="14.25" customHeight="1" x14ac:dyDescent="0.3">
      <c r="A1402" s="127">
        <v>45992</v>
      </c>
      <c r="B1402" s="64">
        <v>26175.75</v>
      </c>
      <c r="D1402" s="127">
        <v>45992</v>
      </c>
      <c r="E1402" s="64">
        <v>73.17</v>
      </c>
      <c r="H1402" s="128">
        <f t="shared" si="42"/>
        <v>-1.0380510591365001E-3</v>
      </c>
      <c r="I1402" s="128">
        <f t="shared" si="43"/>
        <v>1.99330917201005E-2</v>
      </c>
    </row>
    <row r="1403" spans="1:9" ht="14.25" customHeight="1" x14ac:dyDescent="0.3">
      <c r="A1403" s="127">
        <v>45993</v>
      </c>
      <c r="B1403" s="64">
        <v>26032.2</v>
      </c>
      <c r="D1403" s="127">
        <v>45993</v>
      </c>
      <c r="E1403" s="64">
        <v>73.849999999999994</v>
      </c>
      <c r="H1403" s="128">
        <f t="shared" si="42"/>
        <v>-5.4840835506145703E-3</v>
      </c>
      <c r="I1403" s="128">
        <f t="shared" si="43"/>
        <v>9.2934262675959094E-3</v>
      </c>
    </row>
    <row r="1404" spans="1:9" ht="14.25" customHeight="1" x14ac:dyDescent="0.3">
      <c r="A1404" s="127">
        <v>45994</v>
      </c>
      <c r="B1404" s="64">
        <v>25986</v>
      </c>
      <c r="D1404" s="127">
        <v>45994</v>
      </c>
      <c r="E1404" s="64">
        <v>73.81</v>
      </c>
      <c r="H1404" s="128">
        <f t="shared" si="42"/>
        <v>-1.77472514808586E-3</v>
      </c>
      <c r="I1404" s="128">
        <f t="shared" si="43"/>
        <v>-5.4163845633029201E-4</v>
      </c>
    </row>
    <row r="1405" spans="1:9" ht="14.25" customHeight="1" x14ac:dyDescent="0.3">
      <c r="A1405" s="127">
        <v>45995</v>
      </c>
      <c r="B1405" s="64">
        <v>26033.75</v>
      </c>
      <c r="D1405" s="127">
        <v>45995</v>
      </c>
      <c r="E1405" s="64">
        <v>73.73</v>
      </c>
      <c r="H1405" s="128">
        <f t="shared" si="42"/>
        <v>1.83752789963827E-3</v>
      </c>
      <c r="I1405" s="128">
        <f t="shared" si="43"/>
        <v>-1.08386397507111E-3</v>
      </c>
    </row>
    <row r="1406" spans="1:9" ht="14.25" customHeight="1" x14ac:dyDescent="0.3">
      <c r="A1406" s="127">
        <v>45996</v>
      </c>
      <c r="B1406" s="64">
        <v>26186.45</v>
      </c>
      <c r="D1406" s="127">
        <v>45996</v>
      </c>
      <c r="E1406" s="64">
        <v>74.2</v>
      </c>
      <c r="H1406" s="128">
        <f t="shared" si="42"/>
        <v>5.86546310078267E-3</v>
      </c>
      <c r="I1406" s="128">
        <f t="shared" si="43"/>
        <v>6.3746100637460798E-3</v>
      </c>
    </row>
    <row r="1407" spans="1:9" ht="14.25" customHeight="1" x14ac:dyDescent="0.3">
      <c r="A1407" s="127">
        <v>45999</v>
      </c>
      <c r="B1407" s="64">
        <v>25960.55</v>
      </c>
      <c r="D1407" s="127">
        <v>45999</v>
      </c>
      <c r="E1407" s="64">
        <v>72.459999999999994</v>
      </c>
      <c r="H1407" s="128">
        <f t="shared" si="42"/>
        <v>-8.6265988707901007E-3</v>
      </c>
      <c r="I1407" s="128">
        <f t="shared" si="43"/>
        <v>-2.34501347708896E-2</v>
      </c>
    </row>
    <row r="1408" spans="1:9" ht="14.25" customHeight="1" x14ac:dyDescent="0.3">
      <c r="A1408" s="127">
        <v>46000</v>
      </c>
      <c r="B1408" s="64">
        <v>25839.65</v>
      </c>
      <c r="D1408" s="127">
        <v>46000</v>
      </c>
      <c r="E1408" s="64">
        <v>72.62</v>
      </c>
      <c r="H1408" s="128">
        <f t="shared" si="42"/>
        <v>-4.6570662023723598E-3</v>
      </c>
      <c r="I1408" s="128">
        <f t="shared" si="43"/>
        <v>2.20811482197089E-3</v>
      </c>
    </row>
    <row r="1409" spans="1:9" ht="14.25" customHeight="1" x14ac:dyDescent="0.3">
      <c r="A1409" s="127">
        <v>46001</v>
      </c>
      <c r="B1409" s="64">
        <v>25758</v>
      </c>
      <c r="D1409" s="127">
        <v>46001</v>
      </c>
      <c r="E1409" s="64">
        <v>72.209999999999994</v>
      </c>
      <c r="H1409" s="128">
        <f t="shared" si="42"/>
        <v>-3.15987252149319E-3</v>
      </c>
      <c r="I1409" s="128">
        <f t="shared" si="43"/>
        <v>-5.64582759570381E-3</v>
      </c>
    </row>
    <row r="1410" spans="1:9" ht="14.25" customHeight="1" x14ac:dyDescent="0.3">
      <c r="A1410" s="127">
        <v>46002</v>
      </c>
      <c r="B1410" s="64">
        <v>25898.55</v>
      </c>
      <c r="D1410" s="127">
        <v>46002</v>
      </c>
      <c r="E1410" s="64">
        <v>73.09</v>
      </c>
      <c r="H1410" s="128">
        <f t="shared" si="42"/>
        <v>5.45655718611691E-3</v>
      </c>
      <c r="I1410" s="128">
        <f t="shared" si="43"/>
        <v>1.2186677745464799E-2</v>
      </c>
    </row>
    <row r="1411" spans="1:9" ht="14.25" customHeight="1" x14ac:dyDescent="0.3">
      <c r="A1411" s="127">
        <v>46003</v>
      </c>
      <c r="B1411" s="64">
        <v>26046.95</v>
      </c>
      <c r="D1411" s="127">
        <v>46003</v>
      </c>
      <c r="E1411" s="64">
        <v>75.64</v>
      </c>
      <c r="H1411" s="128">
        <f t="shared" ref="H1411:H1474" si="44">(B1411-B1410)/B1410</f>
        <v>5.7300505240641397E-3</v>
      </c>
      <c r="I1411" s="128">
        <f t="shared" ref="I1411:I1474" si="45">(E1411-E1410)/E1410</f>
        <v>3.4888493637980501E-2</v>
      </c>
    </row>
    <row r="1412" spans="1:9" ht="14.25" customHeight="1" x14ac:dyDescent="0.3">
      <c r="A1412" s="127">
        <v>46006</v>
      </c>
      <c r="B1412" s="64">
        <v>26027.3</v>
      </c>
      <c r="D1412" s="127">
        <v>46006</v>
      </c>
      <c r="E1412" s="64">
        <v>76.23</v>
      </c>
      <c r="H1412" s="128">
        <f t="shared" si="44"/>
        <v>-7.5440694591886797E-4</v>
      </c>
      <c r="I1412" s="128">
        <f t="shared" si="45"/>
        <v>7.8001057641459998E-3</v>
      </c>
    </row>
    <row r="1413" spans="1:9" ht="14.25" customHeight="1" x14ac:dyDescent="0.3">
      <c r="A1413" s="127">
        <v>46007</v>
      </c>
      <c r="B1413" s="64">
        <v>25860.1</v>
      </c>
      <c r="D1413" s="127">
        <v>46007</v>
      </c>
      <c r="E1413" s="64">
        <v>74.87</v>
      </c>
      <c r="H1413" s="128">
        <f t="shared" si="44"/>
        <v>-6.4240240055634199E-3</v>
      </c>
      <c r="I1413" s="128">
        <f t="shared" si="45"/>
        <v>-1.78407451134724E-2</v>
      </c>
    </row>
    <row r="1414" spans="1:9" ht="14.25" customHeight="1" x14ac:dyDescent="0.3">
      <c r="A1414" s="127">
        <v>46008</v>
      </c>
      <c r="B1414" s="64">
        <v>25818.55</v>
      </c>
      <c r="D1414" s="127">
        <v>46008</v>
      </c>
      <c r="E1414" s="64">
        <v>75</v>
      </c>
      <c r="H1414" s="128">
        <f t="shared" si="44"/>
        <v>-1.6067223251263201E-3</v>
      </c>
      <c r="I1414" s="128">
        <f t="shared" si="45"/>
        <v>1.73634299452378E-3</v>
      </c>
    </row>
    <row r="1415" spans="1:9" ht="14.25" customHeight="1" x14ac:dyDescent="0.3">
      <c r="A1415" s="127">
        <v>46009</v>
      </c>
      <c r="B1415" s="64">
        <v>25815.55</v>
      </c>
      <c r="D1415" s="127">
        <v>46009</v>
      </c>
      <c r="E1415" s="64">
        <v>74.25</v>
      </c>
      <c r="H1415" s="128">
        <f t="shared" si="44"/>
        <v>-1.16195526084927E-4</v>
      </c>
      <c r="I1415" s="128">
        <f t="shared" si="45"/>
        <v>-0.01</v>
      </c>
    </row>
    <row r="1416" spans="1:9" ht="14.25" customHeight="1" x14ac:dyDescent="0.3">
      <c r="A1416" s="127">
        <v>46010</v>
      </c>
      <c r="B1416" s="64">
        <v>25966.400000000001</v>
      </c>
      <c r="D1416" s="127">
        <v>46010</v>
      </c>
      <c r="E1416" s="64">
        <v>74.05</v>
      </c>
      <c r="H1416" s="128">
        <f t="shared" si="44"/>
        <v>5.8433773442751399E-3</v>
      </c>
      <c r="I1416" s="128">
        <f t="shared" si="45"/>
        <v>-2.6936026936027302E-3</v>
      </c>
    </row>
    <row r="1417" spans="1:9" ht="14.25" customHeight="1" x14ac:dyDescent="0.3">
      <c r="A1417" s="127">
        <v>46013</v>
      </c>
      <c r="B1417" s="64">
        <v>26172.400000000001</v>
      </c>
      <c r="D1417" s="127">
        <v>46013</v>
      </c>
      <c r="E1417" s="64">
        <v>76.2</v>
      </c>
      <c r="H1417" s="128">
        <f t="shared" si="44"/>
        <v>7.9333292254605906E-3</v>
      </c>
      <c r="I1417" s="128">
        <f t="shared" si="45"/>
        <v>2.9034436191762401E-2</v>
      </c>
    </row>
    <row r="1418" spans="1:9" ht="14.25" customHeight="1" x14ac:dyDescent="0.3">
      <c r="A1418" s="127">
        <v>46014</v>
      </c>
      <c r="B1418" s="64">
        <v>26177.15</v>
      </c>
      <c r="D1418" s="127">
        <v>46014</v>
      </c>
      <c r="E1418" s="64">
        <v>79.12</v>
      </c>
      <c r="H1418" s="128">
        <f t="shared" si="44"/>
        <v>1.8148889670034101E-4</v>
      </c>
      <c r="I1418" s="128">
        <f t="shared" si="45"/>
        <v>3.8320209973753301E-2</v>
      </c>
    </row>
    <row r="1419" spans="1:9" ht="14.25" customHeight="1" x14ac:dyDescent="0.3">
      <c r="A1419" s="127">
        <v>46015</v>
      </c>
      <c r="B1419" s="64">
        <v>26142.1</v>
      </c>
      <c r="D1419" s="127">
        <v>46015</v>
      </c>
      <c r="E1419" s="64">
        <v>79.03</v>
      </c>
      <c r="H1419" s="128">
        <f t="shared" si="44"/>
        <v>-1.33895401141847E-3</v>
      </c>
      <c r="I1419" s="128">
        <f t="shared" si="45"/>
        <v>-1.13751263902937E-3</v>
      </c>
    </row>
    <row r="1420" spans="1:9" ht="14.25" customHeight="1" x14ac:dyDescent="0.3">
      <c r="A1420" s="127">
        <v>46017</v>
      </c>
      <c r="B1420" s="64">
        <v>26042.3</v>
      </c>
      <c r="D1420" s="127">
        <v>46017</v>
      </c>
      <c r="E1420" s="64">
        <v>80.17</v>
      </c>
      <c r="H1420" s="128">
        <f t="shared" si="44"/>
        <v>-3.81759690307968E-3</v>
      </c>
      <c r="I1420" s="128">
        <f t="shared" si="45"/>
        <v>1.44249019359737E-2</v>
      </c>
    </row>
    <row r="1421" spans="1:9" ht="14.25" customHeight="1" x14ac:dyDescent="0.3">
      <c r="A1421" s="127">
        <v>46020</v>
      </c>
      <c r="B1421" s="64">
        <v>25942.1</v>
      </c>
      <c r="D1421" s="127">
        <v>46020</v>
      </c>
      <c r="E1421" s="64">
        <v>78.459999999999994</v>
      </c>
      <c r="H1421" s="128">
        <f t="shared" si="44"/>
        <v>-3.84758642669813E-3</v>
      </c>
      <c r="I1421" s="128">
        <f t="shared" si="45"/>
        <v>-2.1329674441811299E-2</v>
      </c>
    </row>
    <row r="1422" spans="1:9" ht="14.25" customHeight="1" x14ac:dyDescent="0.3">
      <c r="A1422" s="127">
        <v>46021</v>
      </c>
      <c r="B1422" s="64">
        <v>25938.85</v>
      </c>
      <c r="D1422" s="127">
        <v>46021</v>
      </c>
      <c r="E1422" s="64">
        <v>80.95</v>
      </c>
      <c r="H1422" s="128">
        <f t="shared" si="44"/>
        <v>-1.2527898666646101E-4</v>
      </c>
      <c r="I1422" s="128">
        <f t="shared" si="45"/>
        <v>3.17359163905176E-2</v>
      </c>
    </row>
    <row r="1423" spans="1:9" ht="14.25" customHeight="1" x14ac:dyDescent="0.3">
      <c r="A1423" s="127">
        <v>46022</v>
      </c>
      <c r="B1423" s="64">
        <v>26129.599999999999</v>
      </c>
      <c r="D1423" s="127">
        <v>46022</v>
      </c>
      <c r="E1423" s="64">
        <v>80.72</v>
      </c>
      <c r="H1423" s="128">
        <f t="shared" si="44"/>
        <v>7.3538341136943196E-3</v>
      </c>
      <c r="I1423" s="128">
        <f t="shared" si="45"/>
        <v>-2.8412600370599601E-3</v>
      </c>
    </row>
    <row r="1424" spans="1:9" ht="14.25" customHeight="1" x14ac:dyDescent="0.3">
      <c r="A1424" s="127">
        <v>46023</v>
      </c>
      <c r="B1424" s="64">
        <v>26146.55</v>
      </c>
      <c r="D1424" s="127">
        <v>46023</v>
      </c>
      <c r="E1424" s="64">
        <v>81.19</v>
      </c>
      <c r="H1424" s="128">
        <f t="shared" si="44"/>
        <v>6.4868960871964103E-4</v>
      </c>
      <c r="I1424" s="128">
        <f t="shared" si="45"/>
        <v>5.8225966303270399E-3</v>
      </c>
    </row>
    <row r="1425" spans="1:9" ht="14.25" customHeight="1" x14ac:dyDescent="0.3">
      <c r="A1425" s="127">
        <v>46024</v>
      </c>
      <c r="B1425" s="64">
        <v>26328.55</v>
      </c>
      <c r="D1425" s="127">
        <v>46024</v>
      </c>
      <c r="E1425" s="64">
        <v>82.04</v>
      </c>
      <c r="H1425" s="128">
        <f t="shared" si="44"/>
        <v>6.9607653782239E-3</v>
      </c>
      <c r="I1425" s="128">
        <f t="shared" si="45"/>
        <v>1.04692696144846E-2</v>
      </c>
    </row>
    <row r="1426" spans="1:9" ht="14.25" customHeight="1" x14ac:dyDescent="0.3">
      <c r="A1426" s="127">
        <v>46027</v>
      </c>
      <c r="B1426" s="64">
        <v>26250.3</v>
      </c>
      <c r="D1426" s="127">
        <v>46027</v>
      </c>
      <c r="E1426" s="64">
        <v>81.430000000000007</v>
      </c>
      <c r="H1426" s="128">
        <f t="shared" si="44"/>
        <v>-2.97205884866428E-3</v>
      </c>
      <c r="I1426" s="128">
        <f t="shared" si="45"/>
        <v>-7.43539736713797E-3</v>
      </c>
    </row>
    <row r="1427" spans="1:9" ht="14.25" customHeight="1" x14ac:dyDescent="0.3">
      <c r="A1427" s="127">
        <v>46028</v>
      </c>
      <c r="B1427" s="64">
        <v>26178.7</v>
      </c>
      <c r="D1427" s="127">
        <v>46028</v>
      </c>
      <c r="E1427" s="64">
        <v>81.400000000000006</v>
      </c>
      <c r="H1427" s="128">
        <f t="shared" si="44"/>
        <v>-2.7275878751861298E-3</v>
      </c>
      <c r="I1427" s="128">
        <f t="shared" si="45"/>
        <v>-3.6841458921774698E-4</v>
      </c>
    </row>
    <row r="1428" spans="1:9" ht="14.25" customHeight="1" x14ac:dyDescent="0.3">
      <c r="A1428" s="127">
        <v>46029</v>
      </c>
      <c r="B1428" s="64">
        <v>26140.75</v>
      </c>
      <c r="D1428" s="127">
        <v>46029</v>
      </c>
      <c r="E1428" s="64">
        <v>83.62</v>
      </c>
      <c r="H1428" s="128">
        <f t="shared" si="44"/>
        <v>-1.44965181617119E-3</v>
      </c>
      <c r="I1428" s="128">
        <f t="shared" si="45"/>
        <v>2.7272727272727299E-2</v>
      </c>
    </row>
    <row r="1429" spans="1:9" ht="14.25" customHeight="1" x14ac:dyDescent="0.3">
      <c r="A1429" s="127">
        <v>46030</v>
      </c>
      <c r="B1429" s="64">
        <v>25876.85</v>
      </c>
      <c r="D1429" s="127">
        <v>46030</v>
      </c>
      <c r="E1429" s="64">
        <v>79.180000000000007</v>
      </c>
      <c r="H1429" s="128">
        <f t="shared" si="44"/>
        <v>-1.00953492153057E-2</v>
      </c>
      <c r="I1429" s="128">
        <f t="shared" si="45"/>
        <v>-5.30973451327433E-2</v>
      </c>
    </row>
    <row r="1430" spans="1:9" ht="14.25" customHeight="1" x14ac:dyDescent="0.3">
      <c r="A1430" s="127">
        <v>46031</v>
      </c>
      <c r="B1430" s="64">
        <v>25683.3</v>
      </c>
      <c r="D1430" s="127">
        <v>46031</v>
      </c>
      <c r="E1430" s="64">
        <v>78.11</v>
      </c>
      <c r="H1430" s="128">
        <f t="shared" si="44"/>
        <v>-7.4796584592019197E-3</v>
      </c>
      <c r="I1430" s="128">
        <f t="shared" si="45"/>
        <v>-1.3513513513513599E-2</v>
      </c>
    </row>
    <row r="1431" spans="1:9" ht="14.25" customHeight="1" x14ac:dyDescent="0.3">
      <c r="A1431" s="127">
        <v>46034</v>
      </c>
      <c r="B1431" s="64">
        <v>25790.25</v>
      </c>
      <c r="D1431" s="127">
        <v>46034</v>
      </c>
      <c r="E1431" s="64">
        <v>79.349999999999994</v>
      </c>
      <c r="H1431" s="128">
        <f t="shared" si="44"/>
        <v>4.1641845090000396E-3</v>
      </c>
      <c r="I1431" s="128">
        <f t="shared" si="45"/>
        <v>1.5875048009217699E-2</v>
      </c>
    </row>
    <row r="1432" spans="1:9" ht="14.25" customHeight="1" x14ac:dyDescent="0.3">
      <c r="A1432" s="127">
        <v>46035</v>
      </c>
      <c r="B1432" s="64">
        <v>25732.3</v>
      </c>
      <c r="D1432" s="127">
        <v>46035</v>
      </c>
      <c r="E1432" s="64">
        <v>79.7</v>
      </c>
      <c r="H1432" s="128">
        <f t="shared" si="44"/>
        <v>-2.2469731778482502E-3</v>
      </c>
      <c r="I1432" s="128">
        <f t="shared" si="45"/>
        <v>4.4108380592313597E-3</v>
      </c>
    </row>
    <row r="1433" spans="1:9" ht="14.25" customHeight="1" x14ac:dyDescent="0.3">
      <c r="A1433" s="127">
        <v>46036</v>
      </c>
      <c r="B1433" s="64">
        <v>25665.599999999999</v>
      </c>
      <c r="D1433" s="127">
        <v>46036</v>
      </c>
      <c r="E1433" s="64">
        <v>81.38</v>
      </c>
      <c r="H1433" s="128">
        <f t="shared" si="44"/>
        <v>-2.5920729977499399E-3</v>
      </c>
      <c r="I1433" s="128">
        <f t="shared" si="45"/>
        <v>2.1079046424090201E-2</v>
      </c>
    </row>
    <row r="1434" spans="1:9" ht="14.25" customHeight="1" x14ac:dyDescent="0.3">
      <c r="A1434" s="127">
        <v>46038</v>
      </c>
      <c r="B1434" s="64">
        <v>25694.35</v>
      </c>
      <c r="D1434" s="127">
        <v>46038</v>
      </c>
      <c r="E1434" s="64">
        <v>80.3</v>
      </c>
      <c r="H1434" s="128">
        <f t="shared" si="44"/>
        <v>1.12017642291628E-3</v>
      </c>
      <c r="I1434" s="128">
        <f t="shared" si="45"/>
        <v>-1.32710739739494E-2</v>
      </c>
    </row>
    <row r="1435" spans="1:9" ht="14.25" customHeight="1" x14ac:dyDescent="0.3">
      <c r="A1435" s="127">
        <v>46041</v>
      </c>
      <c r="B1435" s="64">
        <v>25585.5</v>
      </c>
      <c r="D1435" s="127">
        <v>46041</v>
      </c>
      <c r="E1435" s="64">
        <v>78.989999999999995</v>
      </c>
      <c r="H1435" s="128">
        <f t="shared" si="44"/>
        <v>-4.2363398957357802E-3</v>
      </c>
      <c r="I1435" s="128">
        <f t="shared" si="45"/>
        <v>-1.63138231631383E-2</v>
      </c>
    </row>
    <row r="1436" spans="1:9" ht="14.25" customHeight="1" x14ac:dyDescent="0.3">
      <c r="A1436" s="127">
        <v>46042</v>
      </c>
      <c r="B1436" s="64">
        <v>25232.5</v>
      </c>
      <c r="D1436" s="127">
        <v>46042</v>
      </c>
      <c r="E1436" s="64">
        <v>76.510000000000005</v>
      </c>
      <c r="H1436" s="128">
        <f t="shared" si="44"/>
        <v>-1.3796877137441099E-2</v>
      </c>
      <c r="I1436" s="128">
        <f t="shared" si="45"/>
        <v>-3.13963792885174E-2</v>
      </c>
    </row>
    <row r="1437" spans="1:9" ht="14.25" customHeight="1" x14ac:dyDescent="0.3">
      <c r="A1437" s="127">
        <v>46043</v>
      </c>
      <c r="B1437" s="64">
        <v>25157.5</v>
      </c>
      <c r="D1437" s="127">
        <v>46043</v>
      </c>
      <c r="E1437" s="64">
        <v>76.319999999999993</v>
      </c>
      <c r="H1437" s="128">
        <f t="shared" si="44"/>
        <v>-2.9723570791637798E-3</v>
      </c>
      <c r="I1437" s="128">
        <f t="shared" si="45"/>
        <v>-2.4833355116979702E-3</v>
      </c>
    </row>
    <row r="1438" spans="1:9" ht="14.25" customHeight="1" x14ac:dyDescent="0.3">
      <c r="A1438" s="127">
        <v>46044</v>
      </c>
      <c r="B1438" s="64">
        <v>25289.9</v>
      </c>
      <c r="D1438" s="127">
        <v>46044</v>
      </c>
      <c r="E1438" s="64">
        <v>75.92</v>
      </c>
      <c r="H1438" s="128">
        <f t="shared" si="44"/>
        <v>5.2628440822816798E-3</v>
      </c>
      <c r="I1438" s="128">
        <f t="shared" si="45"/>
        <v>-5.2410901467504099E-3</v>
      </c>
    </row>
    <row r="1439" spans="1:9" ht="14.25" customHeight="1" x14ac:dyDescent="0.3">
      <c r="A1439" s="127">
        <v>46045</v>
      </c>
      <c r="B1439" s="64">
        <v>25048.65</v>
      </c>
      <c r="D1439" s="127">
        <v>46045</v>
      </c>
      <c r="E1439" s="64">
        <v>74.11</v>
      </c>
      <c r="H1439" s="128">
        <f t="shared" si="44"/>
        <v>-9.5393813340503494E-3</v>
      </c>
      <c r="I1439" s="128">
        <f t="shared" si="45"/>
        <v>-2.3840885142254999E-2</v>
      </c>
    </row>
    <row r="1440" spans="1:9" ht="14.25" customHeight="1" x14ac:dyDescent="0.3">
      <c r="A1440" s="127">
        <v>46049</v>
      </c>
      <c r="B1440" s="64">
        <v>25175.4</v>
      </c>
      <c r="D1440" s="127">
        <v>46049</v>
      </c>
      <c r="E1440" s="64">
        <v>76.510000000000005</v>
      </c>
      <c r="H1440" s="128">
        <f t="shared" si="44"/>
        <v>5.0601529423741397E-3</v>
      </c>
      <c r="I1440" s="128">
        <f t="shared" si="45"/>
        <v>3.2384293617595497E-2</v>
      </c>
    </row>
    <row r="1441" spans="1:9" ht="14.25" customHeight="1" x14ac:dyDescent="0.3">
      <c r="A1441" s="127">
        <v>46050</v>
      </c>
      <c r="B1441" s="64">
        <v>25342.75</v>
      </c>
      <c r="D1441" s="127">
        <v>46050</v>
      </c>
      <c r="E1441" s="64">
        <v>79.11</v>
      </c>
      <c r="H1441" s="128">
        <f t="shared" si="44"/>
        <v>6.64736210745404E-3</v>
      </c>
      <c r="I1441" s="128">
        <f t="shared" si="45"/>
        <v>3.3982485949549002E-2</v>
      </c>
    </row>
    <row r="1442" spans="1:9" ht="14.25" customHeight="1" x14ac:dyDescent="0.3">
      <c r="A1442" s="127">
        <v>46051</v>
      </c>
      <c r="B1442" s="64">
        <v>25418.9</v>
      </c>
      <c r="D1442" s="127">
        <v>46051</v>
      </c>
      <c r="E1442" s="64">
        <v>82.1</v>
      </c>
      <c r="H1442" s="128">
        <f t="shared" si="44"/>
        <v>3.00480413530503E-3</v>
      </c>
      <c r="I1442" s="128">
        <f t="shared" si="45"/>
        <v>3.77954746555429E-2</v>
      </c>
    </row>
    <row r="1443" spans="1:9" ht="14.25" customHeight="1" x14ac:dyDescent="0.3">
      <c r="A1443" s="127">
        <v>46052</v>
      </c>
      <c r="B1443" s="64">
        <v>25320.65</v>
      </c>
      <c r="D1443" s="127">
        <v>46052</v>
      </c>
      <c r="E1443" s="64">
        <v>78.81</v>
      </c>
      <c r="H1443" s="128">
        <f t="shared" si="44"/>
        <v>-3.8652341368037202E-3</v>
      </c>
      <c r="I1443" s="128">
        <f t="shared" si="45"/>
        <v>-4.0073081607795297E-2</v>
      </c>
    </row>
    <row r="1444" spans="1:9" ht="14.25" customHeight="1" x14ac:dyDescent="0.3">
      <c r="A1444" s="127">
        <v>46055</v>
      </c>
      <c r="B1444" s="64">
        <v>25088.400000000001</v>
      </c>
      <c r="D1444" s="127">
        <v>46055</v>
      </c>
      <c r="E1444" s="64">
        <v>79.040000000000006</v>
      </c>
      <c r="H1444" s="128">
        <f t="shared" si="44"/>
        <v>-9.1723553700240705E-3</v>
      </c>
      <c r="I1444" s="128">
        <f t="shared" si="45"/>
        <v>2.9184113691156401E-3</v>
      </c>
    </row>
    <row r="1445" spans="1:9" ht="14.25" customHeight="1" x14ac:dyDescent="0.3">
      <c r="A1445" s="127">
        <v>46056</v>
      </c>
      <c r="B1445" s="64">
        <v>25727.55</v>
      </c>
      <c r="D1445" s="127">
        <v>46056</v>
      </c>
      <c r="E1445" s="64">
        <v>79.239999999999995</v>
      </c>
      <c r="H1445" s="128">
        <f t="shared" si="44"/>
        <v>2.5475917156932999E-2</v>
      </c>
      <c r="I1445" s="128">
        <f t="shared" si="45"/>
        <v>2.5303643724694899E-3</v>
      </c>
    </row>
    <row r="1446" spans="1:9" ht="14.25" customHeight="1" x14ac:dyDescent="0.3">
      <c r="A1446" s="127">
        <v>46057</v>
      </c>
      <c r="B1446" s="64">
        <v>25776</v>
      </c>
      <c r="D1446" s="127">
        <v>46057</v>
      </c>
      <c r="E1446" s="64">
        <v>83.35</v>
      </c>
      <c r="H1446" s="128">
        <f t="shared" si="44"/>
        <v>1.8831952517826499E-3</v>
      </c>
      <c r="I1446" s="128">
        <f t="shared" si="45"/>
        <v>5.1867743563856601E-2</v>
      </c>
    </row>
    <row r="1447" spans="1:9" ht="14.25" customHeight="1" x14ac:dyDescent="0.3">
      <c r="A1447" s="127">
        <v>46058</v>
      </c>
      <c r="B1447" s="64">
        <v>25642.799999999999</v>
      </c>
      <c r="D1447" s="127">
        <v>46058</v>
      </c>
      <c r="E1447" s="64">
        <v>82.1</v>
      </c>
      <c r="H1447" s="128">
        <f t="shared" si="44"/>
        <v>-5.1675977653631603E-3</v>
      </c>
      <c r="I1447" s="128">
        <f t="shared" si="45"/>
        <v>-1.499700059988E-2</v>
      </c>
    </row>
    <row r="1448" spans="1:9" ht="14.25" customHeight="1" x14ac:dyDescent="0.3">
      <c r="A1448" s="127">
        <v>46059</v>
      </c>
      <c r="B1448" s="64">
        <v>25693.7</v>
      </c>
      <c r="D1448" s="127">
        <v>46059</v>
      </c>
      <c r="E1448" s="64">
        <v>81.599999999999994</v>
      </c>
      <c r="H1448" s="128">
        <f t="shared" si="44"/>
        <v>1.9849626405853298E-3</v>
      </c>
      <c r="I1448" s="128">
        <f t="shared" si="45"/>
        <v>-6.0901339829476297E-3</v>
      </c>
    </row>
    <row r="1449" spans="1:9" ht="14.25" customHeight="1" x14ac:dyDescent="0.3">
      <c r="A1449" s="127">
        <v>46062</v>
      </c>
      <c r="B1449" s="64">
        <v>25867.3</v>
      </c>
      <c r="D1449" s="127">
        <v>46062</v>
      </c>
      <c r="E1449" s="64">
        <v>81.98</v>
      </c>
      <c r="H1449" s="128">
        <f t="shared" si="44"/>
        <v>6.7565200807979597E-3</v>
      </c>
      <c r="I1449" s="128">
        <f t="shared" si="45"/>
        <v>4.6568627450981597E-3</v>
      </c>
    </row>
    <row r="1450" spans="1:9" ht="14.25" customHeight="1" x14ac:dyDescent="0.3">
      <c r="A1450" s="127">
        <v>46063</v>
      </c>
      <c r="B1450" s="64">
        <v>25935.15</v>
      </c>
      <c r="D1450" s="127">
        <v>46063</v>
      </c>
      <c r="E1450" s="64">
        <v>82.56</v>
      </c>
      <c r="H1450" s="128">
        <f t="shared" si="44"/>
        <v>2.6230027873029699E-3</v>
      </c>
      <c r="I1450" s="128">
        <f t="shared" si="45"/>
        <v>7.07489631617466E-3</v>
      </c>
    </row>
    <row r="1451" spans="1:9" ht="14.25" customHeight="1" x14ac:dyDescent="0.3">
      <c r="A1451" s="127">
        <v>46064</v>
      </c>
      <c r="B1451" s="64">
        <v>25953.85</v>
      </c>
      <c r="D1451" s="127">
        <v>46064</v>
      </c>
      <c r="E1451" s="64">
        <v>82.94</v>
      </c>
      <c r="H1451" s="128">
        <f t="shared" si="44"/>
        <v>7.2102918240292001E-4</v>
      </c>
      <c r="I1451" s="128">
        <f t="shared" si="45"/>
        <v>4.6027131782945202E-3</v>
      </c>
    </row>
    <row r="1452" spans="1:9" ht="14.25" customHeight="1" x14ac:dyDescent="0.3">
      <c r="A1452" s="127">
        <v>46065</v>
      </c>
      <c r="B1452" s="64">
        <v>25807.200000000001</v>
      </c>
      <c r="D1452" s="127">
        <v>46065</v>
      </c>
      <c r="E1452" s="64">
        <v>82.24</v>
      </c>
      <c r="H1452" s="128">
        <f t="shared" si="44"/>
        <v>-5.65041410041276E-3</v>
      </c>
      <c r="I1452" s="128">
        <f t="shared" si="45"/>
        <v>-8.4398360260429604E-3</v>
      </c>
    </row>
    <row r="1453" spans="1:9" ht="14.25" customHeight="1" x14ac:dyDescent="0.3">
      <c r="A1453" s="127">
        <v>46066</v>
      </c>
      <c r="B1453" s="64">
        <v>25471.1</v>
      </c>
      <c r="D1453" s="127">
        <v>46066</v>
      </c>
      <c r="E1453" s="64">
        <v>79.430000000000007</v>
      </c>
      <c r="H1453" s="128">
        <f t="shared" si="44"/>
        <v>-1.30234973185778E-2</v>
      </c>
      <c r="I1453" s="128">
        <f t="shared" si="45"/>
        <v>-3.4168287937743E-2</v>
      </c>
    </row>
    <row r="1454" spans="1:9" ht="14.25" customHeight="1" x14ac:dyDescent="0.3">
      <c r="A1454" s="127">
        <v>46069</v>
      </c>
      <c r="B1454" s="64">
        <v>25682.75</v>
      </c>
      <c r="D1454" s="127">
        <v>46069</v>
      </c>
      <c r="E1454" s="64">
        <v>80.459999999999994</v>
      </c>
      <c r="H1454" s="128">
        <f t="shared" si="44"/>
        <v>8.3094173396516605E-3</v>
      </c>
      <c r="I1454" s="128">
        <f t="shared" si="45"/>
        <v>1.2967392672793499E-2</v>
      </c>
    </row>
    <row r="1455" spans="1:9" ht="14.25" customHeight="1" x14ac:dyDescent="0.3">
      <c r="A1455" s="127">
        <v>46070</v>
      </c>
      <c r="B1455" s="64">
        <v>25725.4</v>
      </c>
      <c r="D1455" s="127">
        <v>46070</v>
      </c>
      <c r="E1455" s="64">
        <v>79.03</v>
      </c>
      <c r="H1455" s="128">
        <f t="shared" si="44"/>
        <v>1.6606477110123099E-3</v>
      </c>
      <c r="I1455" s="128">
        <f t="shared" si="45"/>
        <v>-1.77728063634103E-2</v>
      </c>
    </row>
    <row r="1456" spans="1:9" ht="14.25" customHeight="1" x14ac:dyDescent="0.3">
      <c r="A1456" s="127">
        <v>46071</v>
      </c>
      <c r="B1456" s="64">
        <v>25819.35</v>
      </c>
      <c r="D1456" s="127">
        <v>46071</v>
      </c>
      <c r="E1456" s="64">
        <v>80.09</v>
      </c>
      <c r="H1456" s="128">
        <f t="shared" si="44"/>
        <v>3.6520326214557202E-3</v>
      </c>
      <c r="I1456" s="128">
        <f t="shared" si="45"/>
        <v>1.3412628115905399E-2</v>
      </c>
    </row>
    <row r="1457" spans="1:9" ht="14.25" customHeight="1" x14ac:dyDescent="0.3">
      <c r="A1457" s="127">
        <v>46072</v>
      </c>
      <c r="B1457" s="64">
        <v>25454.35</v>
      </c>
      <c r="D1457" s="127">
        <v>46072</v>
      </c>
      <c r="E1457" s="64">
        <v>79.22</v>
      </c>
      <c r="H1457" s="128">
        <f t="shared" si="44"/>
        <v>-1.41366843084741E-2</v>
      </c>
      <c r="I1457" s="128">
        <f t="shared" si="45"/>
        <v>-1.0862779373205201E-2</v>
      </c>
    </row>
    <row r="1458" spans="1:9" ht="14.25" customHeight="1" x14ac:dyDescent="0.3">
      <c r="A1458" s="127">
        <v>46073</v>
      </c>
      <c r="B1458" s="64">
        <v>25571.25</v>
      </c>
      <c r="D1458" s="127">
        <v>46073</v>
      </c>
      <c r="E1458" s="64">
        <v>80.13</v>
      </c>
      <c r="H1458" s="128">
        <f t="shared" si="44"/>
        <v>4.5925352641101201E-3</v>
      </c>
      <c r="I1458" s="128">
        <f t="shared" si="45"/>
        <v>1.14869982327695E-2</v>
      </c>
    </row>
    <row r="1459" spans="1:9" ht="14.25" customHeight="1" x14ac:dyDescent="0.3">
      <c r="A1459" s="127">
        <v>46076</v>
      </c>
      <c r="B1459" s="64">
        <v>25713</v>
      </c>
      <c r="D1459" s="127">
        <v>46076</v>
      </c>
      <c r="E1459" s="64">
        <v>78.91</v>
      </c>
      <c r="H1459" s="128">
        <f t="shared" si="44"/>
        <v>5.54333479982402E-3</v>
      </c>
      <c r="I1459" s="128">
        <f t="shared" si="45"/>
        <v>-1.52252589541994E-2</v>
      </c>
    </row>
    <row r="1460" spans="1:9" ht="14.25" customHeight="1" x14ac:dyDescent="0.3">
      <c r="A1460" s="127">
        <v>46077</v>
      </c>
      <c r="B1460" s="64">
        <v>25424.65</v>
      </c>
      <c r="D1460" s="127">
        <v>46077</v>
      </c>
      <c r="E1460" s="64">
        <v>80.8</v>
      </c>
      <c r="H1460" s="128">
        <f t="shared" si="44"/>
        <v>-1.1214171819701999E-2</v>
      </c>
      <c r="I1460" s="128">
        <f t="shared" si="45"/>
        <v>2.3951336966164E-2</v>
      </c>
    </row>
    <row r="1461" spans="1:9" ht="14.25" customHeight="1" x14ac:dyDescent="0.3">
      <c r="A1461" s="127">
        <v>46078</v>
      </c>
      <c r="B1461" s="64">
        <v>25482.5</v>
      </c>
      <c r="D1461" s="127">
        <v>46078</v>
      </c>
      <c r="E1461" s="64">
        <v>81.86</v>
      </c>
      <c r="H1461" s="128">
        <f t="shared" si="44"/>
        <v>2.2753508897860402E-3</v>
      </c>
      <c r="I1461" s="128">
        <f t="shared" si="45"/>
        <v>1.3118811881188099E-2</v>
      </c>
    </row>
    <row r="1462" spans="1:9" ht="14.25" customHeight="1" x14ac:dyDescent="0.3">
      <c r="A1462" s="127">
        <v>46079</v>
      </c>
      <c r="B1462" s="64">
        <v>25496.55</v>
      </c>
      <c r="D1462" s="127">
        <v>46079</v>
      </c>
      <c r="E1462" s="64">
        <v>82.56</v>
      </c>
      <c r="H1462" s="128">
        <f t="shared" si="44"/>
        <v>5.5135877563030602E-4</v>
      </c>
      <c r="I1462" s="128">
        <f t="shared" si="45"/>
        <v>8.5511849499145202E-3</v>
      </c>
    </row>
    <row r="1463" spans="1:9" ht="14.25" customHeight="1" x14ac:dyDescent="0.3">
      <c r="A1463" s="127">
        <v>46080</v>
      </c>
      <c r="B1463" s="64">
        <v>25178.65</v>
      </c>
      <c r="D1463" s="127">
        <v>46080</v>
      </c>
      <c r="E1463" s="64">
        <v>81.739999999999995</v>
      </c>
      <c r="H1463" s="128">
        <f t="shared" si="44"/>
        <v>-1.2468353561560201E-2</v>
      </c>
      <c r="I1463" s="128">
        <f t="shared" si="45"/>
        <v>-9.9321705426357494E-3</v>
      </c>
    </row>
    <row r="1464" spans="1:9" ht="14.25" customHeight="1" x14ac:dyDescent="0.3">
      <c r="A1464" s="127">
        <v>46083</v>
      </c>
      <c r="B1464" s="64">
        <v>24865.7</v>
      </c>
      <c r="D1464" s="127">
        <v>46083</v>
      </c>
      <c r="E1464" s="64">
        <v>81.260000000000005</v>
      </c>
      <c r="H1464" s="128">
        <f t="shared" si="44"/>
        <v>-1.2429181072059099E-2</v>
      </c>
      <c r="I1464" s="128">
        <f t="shared" si="45"/>
        <v>-5.8722779544897203E-3</v>
      </c>
    </row>
    <row r="1465" spans="1:9" ht="14.25" customHeight="1" x14ac:dyDescent="0.3">
      <c r="A1465" s="127">
        <v>46085</v>
      </c>
      <c r="B1465" s="64">
        <v>24480.5</v>
      </c>
      <c r="D1465" s="127">
        <v>46085</v>
      </c>
      <c r="E1465" s="64">
        <v>76.709999999999994</v>
      </c>
      <c r="H1465" s="128">
        <f t="shared" si="44"/>
        <v>-1.5491218827541601E-2</v>
      </c>
      <c r="I1465" s="128">
        <f t="shared" si="45"/>
        <v>-5.5993108540487502E-2</v>
      </c>
    </row>
    <row r="1466" spans="1:9" ht="14.25" customHeight="1" x14ac:dyDescent="0.3">
      <c r="A1466" s="127">
        <v>46086</v>
      </c>
      <c r="B1466" s="64">
        <v>24765.9</v>
      </c>
      <c r="D1466" s="127">
        <v>46086</v>
      </c>
      <c r="E1466" s="64">
        <v>78.44</v>
      </c>
      <c r="H1466" s="128">
        <f t="shared" si="44"/>
        <v>1.1658258613999E-2</v>
      </c>
      <c r="I1466" s="128">
        <f t="shared" si="45"/>
        <v>2.2552470342849702E-2</v>
      </c>
    </row>
    <row r="1467" spans="1:9" ht="14.25" customHeight="1" x14ac:dyDescent="0.3">
      <c r="A1467" s="127">
        <v>46087</v>
      </c>
      <c r="B1467" s="64">
        <v>24450.45</v>
      </c>
      <c r="D1467" s="127">
        <v>46087</v>
      </c>
      <c r="E1467" s="64">
        <v>79.790000000000006</v>
      </c>
      <c r="H1467" s="128">
        <f t="shared" si="44"/>
        <v>-1.27372718132594E-2</v>
      </c>
      <c r="I1467" s="128">
        <f t="shared" si="45"/>
        <v>1.7210606833248501E-2</v>
      </c>
    </row>
    <row r="1468" spans="1:9" ht="14.25" customHeight="1" x14ac:dyDescent="0.3">
      <c r="A1468" s="127">
        <v>46090</v>
      </c>
      <c r="B1468" s="64">
        <v>24028.05</v>
      </c>
      <c r="D1468" s="127">
        <v>46090</v>
      </c>
      <c r="E1468" s="64">
        <v>79.13</v>
      </c>
      <c r="H1468" s="128">
        <f t="shared" si="44"/>
        <v>-1.72757556609388E-2</v>
      </c>
      <c r="I1468" s="128">
        <f t="shared" si="45"/>
        <v>-8.2717132472742306E-3</v>
      </c>
    </row>
    <row r="1469" spans="1:9" ht="14.25" customHeight="1" x14ac:dyDescent="0.3">
      <c r="A1469" s="127">
        <v>46091</v>
      </c>
      <c r="B1469" s="64">
        <v>24261.599999999999</v>
      </c>
      <c r="D1469" s="127">
        <v>46091</v>
      </c>
      <c r="E1469" s="64">
        <v>79.67</v>
      </c>
      <c r="H1469" s="128">
        <f t="shared" si="44"/>
        <v>9.7198898787042402E-3</v>
      </c>
      <c r="I1469" s="128">
        <f t="shared" si="45"/>
        <v>6.8242133198534796E-3</v>
      </c>
    </row>
    <row r="1470" spans="1:9" ht="14.25" customHeight="1" x14ac:dyDescent="0.3">
      <c r="A1470" s="127">
        <v>46092</v>
      </c>
      <c r="B1470" s="64">
        <v>23866.85</v>
      </c>
      <c r="D1470" s="127">
        <v>46092</v>
      </c>
      <c r="E1470" s="64">
        <v>79.73</v>
      </c>
      <c r="H1470" s="128">
        <f t="shared" si="44"/>
        <v>-1.6270567481122399E-2</v>
      </c>
      <c r="I1470" s="128">
        <f t="shared" si="45"/>
        <v>7.5310656457891598E-4</v>
      </c>
    </row>
    <row r="1471" spans="1:9" ht="14.25" customHeight="1" x14ac:dyDescent="0.3">
      <c r="A1471" s="127">
        <v>46093</v>
      </c>
      <c r="B1471" s="64">
        <v>23639.15</v>
      </c>
      <c r="D1471" s="127">
        <v>46093</v>
      </c>
      <c r="E1471" s="64">
        <v>80.87</v>
      </c>
      <c r="H1471" s="128">
        <f t="shared" si="44"/>
        <v>-9.5404295078737704E-3</v>
      </c>
      <c r="I1471" s="128">
        <f t="shared" si="45"/>
        <v>1.4298256616079299E-2</v>
      </c>
    </row>
    <row r="1472" spans="1:9" ht="14.25" customHeight="1" x14ac:dyDescent="0.3">
      <c r="A1472" s="127">
        <v>46094</v>
      </c>
      <c r="B1472" s="64">
        <v>23151.1</v>
      </c>
      <c r="D1472" s="127">
        <v>46094</v>
      </c>
      <c r="E1472" s="64">
        <v>78.59</v>
      </c>
      <c r="H1472" s="128">
        <f t="shared" si="44"/>
        <v>-2.0645835404403401E-2</v>
      </c>
      <c r="I1472" s="128">
        <f t="shared" si="45"/>
        <v>-2.8193396809694599E-2</v>
      </c>
    </row>
    <row r="1473" spans="1:9" ht="14.25" customHeight="1" x14ac:dyDescent="0.3">
      <c r="A1473" s="127">
        <v>46097</v>
      </c>
      <c r="B1473" s="64">
        <v>23408.799999999999</v>
      </c>
      <c r="D1473" s="127">
        <v>46097</v>
      </c>
      <c r="E1473" s="64">
        <v>77.56</v>
      </c>
      <c r="H1473" s="128">
        <f t="shared" si="44"/>
        <v>1.11312205467559E-2</v>
      </c>
      <c r="I1473" s="128">
        <f t="shared" si="45"/>
        <v>-1.3105993128896799E-2</v>
      </c>
    </row>
    <row r="1474" spans="1:9" ht="14.25" customHeight="1" x14ac:dyDescent="0.3">
      <c r="A1474" s="127">
        <v>46098</v>
      </c>
      <c r="B1474" s="64">
        <v>23581.15</v>
      </c>
      <c r="D1474" s="127">
        <v>46098</v>
      </c>
      <c r="E1474" s="64">
        <v>79.22</v>
      </c>
      <c r="H1474" s="128">
        <f t="shared" si="44"/>
        <v>7.3626157684290603E-3</v>
      </c>
      <c r="I1474" s="128">
        <f t="shared" si="45"/>
        <v>2.1402784940690998E-2</v>
      </c>
    </row>
    <row r="1475" spans="1:9" ht="14.25" customHeight="1" x14ac:dyDescent="0.3">
      <c r="A1475" s="127">
        <v>46099</v>
      </c>
      <c r="B1475" s="64">
        <v>23777.8</v>
      </c>
      <c r="D1475" s="127">
        <v>46099</v>
      </c>
      <c r="E1475" s="64">
        <v>79.489999999999995</v>
      </c>
      <c r="H1475" s="128">
        <f t="shared" ref="H1475:H1482" si="46">(B1475-B1474)/B1474</f>
        <v>8.3392879482127799E-3</v>
      </c>
      <c r="I1475" s="128">
        <f t="shared" ref="I1475:I1482" si="47">(E1475-E1474)/E1474</f>
        <v>3.4082302448876002E-3</v>
      </c>
    </row>
    <row r="1476" spans="1:9" ht="14.25" customHeight="1" x14ac:dyDescent="0.3">
      <c r="A1476" s="127">
        <v>46100</v>
      </c>
      <c r="B1476" s="64">
        <v>23002.15</v>
      </c>
      <c r="D1476" s="127">
        <v>46100</v>
      </c>
      <c r="E1476" s="64">
        <v>77.94</v>
      </c>
      <c r="H1476" s="128">
        <f t="shared" si="46"/>
        <v>-3.2620763905828E-2</v>
      </c>
      <c r="I1476" s="128">
        <f t="shared" si="47"/>
        <v>-1.9499308089067802E-2</v>
      </c>
    </row>
    <row r="1477" spans="1:9" ht="14.25" customHeight="1" x14ac:dyDescent="0.3">
      <c r="A1477" s="127">
        <v>46101</v>
      </c>
      <c r="B1477" s="64">
        <v>23114.5</v>
      </c>
      <c r="D1477" s="127">
        <v>46101</v>
      </c>
      <c r="E1477" s="64">
        <v>79.78</v>
      </c>
      <c r="H1477" s="128">
        <f t="shared" si="46"/>
        <v>4.8843260303927504E-3</v>
      </c>
      <c r="I1477" s="128">
        <f t="shared" si="47"/>
        <v>2.3607903515524799E-2</v>
      </c>
    </row>
    <row r="1478" spans="1:9" ht="14.25" customHeight="1" x14ac:dyDescent="0.3">
      <c r="A1478" s="127">
        <v>46104</v>
      </c>
      <c r="B1478" s="64">
        <v>22512.65</v>
      </c>
      <c r="D1478" s="127">
        <v>46104</v>
      </c>
      <c r="E1478" s="64">
        <v>75.09</v>
      </c>
      <c r="H1478" s="128">
        <f t="shared" si="46"/>
        <v>-2.6037768500292002E-2</v>
      </c>
      <c r="I1478" s="128">
        <f t="shared" si="47"/>
        <v>-5.8786663324141397E-2</v>
      </c>
    </row>
    <row r="1479" spans="1:9" ht="14.25" customHeight="1" x14ac:dyDescent="0.3">
      <c r="A1479" s="127">
        <v>46105</v>
      </c>
      <c r="B1479" s="64">
        <v>22912.400000000001</v>
      </c>
      <c r="D1479" s="127">
        <v>46105</v>
      </c>
      <c r="E1479" s="64">
        <v>76.77</v>
      </c>
      <c r="H1479" s="128">
        <f t="shared" si="46"/>
        <v>1.7756683464629899E-2</v>
      </c>
      <c r="I1479" s="128">
        <f t="shared" si="47"/>
        <v>2.2373152217339098E-2</v>
      </c>
    </row>
    <row r="1480" spans="1:9" ht="14.25" customHeight="1" x14ac:dyDescent="0.3">
      <c r="A1480" s="127">
        <v>46106</v>
      </c>
      <c r="B1480" s="64">
        <v>23306.45</v>
      </c>
      <c r="D1480" s="127">
        <v>46106</v>
      </c>
      <c r="E1480" s="64">
        <v>77.849999999999994</v>
      </c>
      <c r="H1480" s="128">
        <f t="shared" si="46"/>
        <v>1.7198111066496699E-2</v>
      </c>
      <c r="I1480" s="128">
        <f t="shared" si="47"/>
        <v>1.4067995310668199E-2</v>
      </c>
    </row>
    <row r="1481" spans="1:9" ht="14.25" customHeight="1" x14ac:dyDescent="0.3">
      <c r="A1481" s="127">
        <v>46108</v>
      </c>
      <c r="B1481" s="64">
        <v>22819.599999999999</v>
      </c>
      <c r="D1481" s="127">
        <v>46108</v>
      </c>
      <c r="E1481" s="64">
        <v>77.2</v>
      </c>
      <c r="H1481" s="128">
        <f t="shared" si="46"/>
        <v>-2.08890671895549E-2</v>
      </c>
      <c r="I1481" s="128">
        <f t="shared" si="47"/>
        <v>-8.3493898522799207E-3</v>
      </c>
    </row>
    <row r="1482" spans="1:9" ht="14.25" customHeight="1" x14ac:dyDescent="0.3">
      <c r="A1482" s="127">
        <v>46111</v>
      </c>
      <c r="B1482" s="64">
        <v>22331.4</v>
      </c>
      <c r="D1482" s="127">
        <v>46111</v>
      </c>
      <c r="E1482" s="64">
        <v>76.27</v>
      </c>
      <c r="H1482" s="128">
        <f t="shared" si="46"/>
        <v>-2.1393889463443599E-2</v>
      </c>
      <c r="I1482" s="128">
        <f t="shared" si="47"/>
        <v>-1.20466321243524E-2</v>
      </c>
    </row>
  </sheetData>
  <mergeCells count="1">
    <mergeCell ref="L9:M9"/>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40"/>
  <sheetViews>
    <sheetView showGridLines="0" workbookViewId="0">
      <selection activeCell="L15" sqref="L15"/>
    </sheetView>
  </sheetViews>
  <sheetFormatPr defaultColWidth="8.6640625" defaultRowHeight="14.4" x14ac:dyDescent="0.3"/>
  <cols>
    <col min="1" max="1" width="24.33203125" customWidth="1"/>
    <col min="2" max="2" width="10" customWidth="1"/>
    <col min="3" max="3" width="9.44140625" customWidth="1"/>
    <col min="4" max="4" width="10" customWidth="1"/>
    <col min="5" max="5" width="11" customWidth="1"/>
    <col min="6" max="6" width="9.44140625" customWidth="1"/>
    <col min="7" max="7" width="11.6640625" customWidth="1"/>
    <col min="8" max="9" width="9.44140625" customWidth="1"/>
  </cols>
  <sheetData>
    <row r="1" spans="1:9" ht="14.25" customHeight="1" x14ac:dyDescent="0.3">
      <c r="A1" s="274" t="s">
        <v>479</v>
      </c>
      <c r="B1" s="225"/>
      <c r="C1" s="225"/>
      <c r="D1" s="225"/>
      <c r="E1" s="225"/>
      <c r="F1" s="225"/>
      <c r="G1" s="225"/>
      <c r="H1" s="225"/>
      <c r="I1" s="226"/>
    </row>
    <row r="2" spans="1:9" ht="14.25" customHeight="1" x14ac:dyDescent="0.3">
      <c r="A2" s="287" t="s">
        <v>245</v>
      </c>
      <c r="B2" s="285">
        <v>44256</v>
      </c>
      <c r="C2" s="285">
        <v>44621</v>
      </c>
      <c r="D2" s="285">
        <v>44986</v>
      </c>
      <c r="E2" s="285">
        <v>45352</v>
      </c>
      <c r="F2" s="285">
        <v>45717</v>
      </c>
      <c r="G2" s="288" t="s">
        <v>480</v>
      </c>
      <c r="H2" s="275" t="s">
        <v>481</v>
      </c>
      <c r="I2" s="275" t="s">
        <v>482</v>
      </c>
    </row>
    <row r="3" spans="1:9" ht="14.25" customHeight="1" x14ac:dyDescent="0.3">
      <c r="A3" s="64"/>
      <c r="B3" s="64"/>
      <c r="C3" s="64"/>
      <c r="D3" s="64"/>
      <c r="E3" s="64"/>
      <c r="F3" s="64"/>
      <c r="G3" s="64"/>
      <c r="H3" s="64"/>
      <c r="I3" s="64"/>
    </row>
    <row r="4" spans="1:9" ht="14.25" customHeight="1" x14ac:dyDescent="0.3">
      <c r="A4" s="64" t="s">
        <v>483</v>
      </c>
      <c r="B4" s="67"/>
      <c r="C4" s="67">
        <f>(Assumptions!C3-Assumptions!B3)/Assumptions!B3</f>
        <v>0.68390559308161503</v>
      </c>
      <c r="D4" s="67">
        <f>(Assumptions!D3-Assumptions!C3)/Assumptions!C3</f>
        <v>-0.31739957104876698</v>
      </c>
      <c r="E4" s="67">
        <f>(Assumptions!E3-Assumptions!D3)/Assumptions!D3</f>
        <v>0.206090152873626</v>
      </c>
      <c r="F4" s="67">
        <f>(Assumptions!F3-Assumptions!E3)/Assumptions!E3</f>
        <v>0.12191140823687099</v>
      </c>
      <c r="G4" s="64"/>
      <c r="H4" s="67">
        <f>AVERAGE(C4:F4)</f>
        <v>0.17362689578583601</v>
      </c>
      <c r="I4" s="67">
        <f>MEDIAN(B4:F4)</f>
        <v>0.164000780555248</v>
      </c>
    </row>
    <row r="5" spans="1:9" ht="14.25" customHeight="1" x14ac:dyDescent="0.3">
      <c r="A5" s="64" t="s">
        <v>484</v>
      </c>
      <c r="B5" s="67"/>
      <c r="C5" s="67">
        <f>(Assumptions!C9-Assumptions!B9)/Assumptions!B9</f>
        <v>0.43157736649346301</v>
      </c>
      <c r="D5" s="67">
        <f>(Assumptions!D9-Assumptions!C9)/Assumptions!C9</f>
        <v>-0.51897314687359897</v>
      </c>
      <c r="E5" s="67">
        <f>(Assumptions!E9-Assumptions!D9)/Assumptions!D9</f>
        <v>0.20492256957008001</v>
      </c>
      <c r="F5" s="67">
        <f>(Assumptions!F9-Assumptions!E9)/Assumptions!E9</f>
        <v>0.117353619925324</v>
      </c>
      <c r="G5" s="64"/>
      <c r="H5" s="67">
        <f>AVERAGE(B5:F5)</f>
        <v>5.8720102278817E-2</v>
      </c>
      <c r="I5" s="67">
        <f>MEDIAN(B5:F5)</f>
        <v>0.16113809474770199</v>
      </c>
    </row>
    <row r="6" spans="1:9" ht="14.25" customHeight="1" x14ac:dyDescent="0.3">
      <c r="A6" s="64" t="s">
        <v>485</v>
      </c>
      <c r="B6" s="67"/>
      <c r="C6" s="67">
        <f>(Assumptions!C11-Assumptions!B11)/Assumptions!B11</f>
        <v>0.436183596492355</v>
      </c>
      <c r="D6" s="67">
        <f>(Assumptions!D11-Assumptions!C11)/Assumptions!C11</f>
        <v>-0.535058781043662</v>
      </c>
      <c r="E6" s="67">
        <f>(Assumptions!E11-Assumptions!D11)/Assumptions!D11</f>
        <v>0.214441033176764</v>
      </c>
      <c r="F6" s="67">
        <f>(Assumptions!F11-Assumptions!E11)/Assumptions!E11</f>
        <v>0.113232605943099</v>
      </c>
      <c r="G6" s="64"/>
      <c r="H6" s="67">
        <f>AVERAGE(B6:F6)</f>
        <v>5.7199613642139102E-2</v>
      </c>
      <c r="I6" s="67">
        <f>MEDIAN(B6:F6)</f>
        <v>0.16383681955993201</v>
      </c>
    </row>
    <row r="7" spans="1:9" ht="14.25" customHeight="1" x14ac:dyDescent="0.3">
      <c r="A7" s="64" t="s">
        <v>486</v>
      </c>
      <c r="B7" s="67"/>
      <c r="C7" s="67">
        <f>(Assumptions!C17-Assumptions!B17)/Assumptions!B17</f>
        <v>0.50342420798181498</v>
      </c>
      <c r="D7" s="67">
        <f>(Assumptions!D17-Assumptions!C17)/Assumptions!C17</f>
        <v>-0.54189879294336096</v>
      </c>
      <c r="E7" s="67">
        <f>(Assumptions!E17-Assumptions!D17)/Assumptions!D17</f>
        <v>0.35980642596978701</v>
      </c>
      <c r="F7" s="67">
        <f>(Assumptions!F17-Assumptions!E17)/Assumptions!E17</f>
        <v>0.115996034323613</v>
      </c>
      <c r="G7" s="64"/>
      <c r="H7" s="67">
        <f>AVERAGE(B7:F7)</f>
        <v>0.10933196883296301</v>
      </c>
      <c r="I7" s="67">
        <f>MEDIAN(B7:F7)</f>
        <v>0.2379012301467</v>
      </c>
    </row>
    <row r="8" spans="1:9" ht="14.25" customHeight="1" x14ac:dyDescent="0.3">
      <c r="A8" s="64" t="s">
        <v>487</v>
      </c>
      <c r="B8" s="67"/>
      <c r="C8" s="67"/>
      <c r="D8" s="67"/>
      <c r="E8" s="67"/>
      <c r="F8" s="67"/>
      <c r="G8" s="64"/>
      <c r="H8" s="67"/>
      <c r="I8" s="67"/>
    </row>
    <row r="9" spans="1:9" ht="14.25" customHeight="1" x14ac:dyDescent="0.3">
      <c r="A9" s="64"/>
      <c r="B9" s="64"/>
      <c r="C9" s="64"/>
      <c r="D9" s="64"/>
      <c r="E9" s="64"/>
      <c r="F9" s="64"/>
      <c r="G9" s="64"/>
      <c r="H9" s="124"/>
      <c r="I9" s="124"/>
    </row>
    <row r="10" spans="1:9" ht="14.25" customHeight="1" x14ac:dyDescent="0.3">
      <c r="A10" s="64" t="s">
        <v>488</v>
      </c>
      <c r="B10" s="67">
        <f>(Assumptions!B3-Assumptions!B8)/Assumptions!B3</f>
        <v>0.57184357120271501</v>
      </c>
      <c r="C10" s="67">
        <f>(Assumptions!C3-Assumptions!C8)/Assumptions!C3</f>
        <v>0.48615451903717399</v>
      </c>
      <c r="D10" s="67">
        <f>(Assumptions!D3-Assumptions!D8)/Assumptions!D3</f>
        <v>0.34259190077704699</v>
      </c>
      <c r="E10" s="67">
        <f>(Assumptions!E3-Assumptions!E8)/Assumptions!E3</f>
        <v>0.34226024681044798</v>
      </c>
      <c r="F10" s="67">
        <f>(Assumptions!F3-Assumptions!F8)/Assumptions!F3</f>
        <v>0.340869807475428</v>
      </c>
      <c r="G10" s="64"/>
      <c r="H10" s="67">
        <f>AVERAGE(B10:F10)</f>
        <v>0.41674400906056203</v>
      </c>
      <c r="I10" s="67">
        <f>MEDIAN(B10:F10)</f>
        <v>0.34259190077704699</v>
      </c>
    </row>
    <row r="11" spans="1:9" ht="14.25" customHeight="1" x14ac:dyDescent="0.3">
      <c r="A11" s="64" t="s">
        <v>489</v>
      </c>
      <c r="B11" s="67">
        <f>Assumptions!B28</f>
        <v>0.57184357120271501</v>
      </c>
      <c r="C11" s="67">
        <f>Assumptions!C28</f>
        <v>0.48615451903717399</v>
      </c>
      <c r="D11" s="67">
        <f>Assumptions!D28</f>
        <v>0.34259190077704699</v>
      </c>
      <c r="E11" s="67">
        <f>Assumptions!E28</f>
        <v>0.34226024681044798</v>
      </c>
      <c r="F11" s="67">
        <f>Assumptions!F28</f>
        <v>0.340869807475428</v>
      </c>
      <c r="G11" s="64"/>
      <c r="H11" s="67">
        <f>AVERAGE(B11:F11)</f>
        <v>0.41674400906056203</v>
      </c>
      <c r="I11" s="67">
        <f>MEDIAN(B11:F11)</f>
        <v>0.34259190077704699</v>
      </c>
    </row>
    <row r="12" spans="1:9" ht="14.25" customHeight="1" x14ac:dyDescent="0.3">
      <c r="A12" s="64" t="s">
        <v>490</v>
      </c>
      <c r="B12" s="67">
        <f>Assumptions!B29</f>
        <v>0.55697440348313498</v>
      </c>
      <c r="C12" s="67">
        <f>Assumptions!C29</f>
        <v>0.47503702418655902</v>
      </c>
      <c r="D12" s="67">
        <f>Assumptions!D29</f>
        <v>0.32356307395533301</v>
      </c>
      <c r="E12" s="67">
        <f>Assumptions!E29</f>
        <v>0.325803401093963</v>
      </c>
      <c r="F12" s="67">
        <f>Assumptions!F29</f>
        <v>0.32328307436943399</v>
      </c>
      <c r="G12" s="64"/>
      <c r="H12" s="67">
        <f>AVERAGE(B12:F12)</f>
        <v>0.40093219541768499</v>
      </c>
      <c r="I12" s="67">
        <f>MEDIAN(B12:F12)</f>
        <v>0.325803401093963</v>
      </c>
    </row>
    <row r="13" spans="1:9" ht="14.25" customHeight="1" x14ac:dyDescent="0.3">
      <c r="A13" s="64" t="s">
        <v>491</v>
      </c>
      <c r="B13" s="67">
        <f>Assumptions!B30</f>
        <v>0.57875636139351405</v>
      </c>
      <c r="C13" s="67">
        <f>Assumptions!C30</f>
        <v>0.50128951967275803</v>
      </c>
      <c r="D13" s="67">
        <f>Assumptions!D30</f>
        <v>0.36278844934702698</v>
      </c>
      <c r="E13" s="67">
        <f>Assumptions!E30</f>
        <v>0.38646836729186701</v>
      </c>
      <c r="F13" s="67">
        <f>Assumptions!F30</f>
        <v>0.38250119637640201</v>
      </c>
      <c r="G13" s="64"/>
      <c r="H13" s="67">
        <f>AVERAGE(B13:F13)</f>
        <v>0.44236077881631303</v>
      </c>
      <c r="I13" s="67">
        <f>MEDIAN(B13:F13)</f>
        <v>0.38646836729186701</v>
      </c>
    </row>
    <row r="14" spans="1:9" ht="14.25" customHeight="1" x14ac:dyDescent="0.3">
      <c r="A14" s="64" t="s">
        <v>492</v>
      </c>
      <c r="B14" s="67">
        <f>Assumptions!B31</f>
        <v>0.40642001397522198</v>
      </c>
      <c r="C14" s="67">
        <f>Assumptions!C31</f>
        <v>0.36285982428531599</v>
      </c>
      <c r="D14" s="67">
        <f>Assumptions!D31</f>
        <v>0.24351951221721099</v>
      </c>
      <c r="E14" s="67">
        <f>Assumptions!E31</f>
        <v>0.27455609083037502</v>
      </c>
      <c r="F14" s="67">
        <f>Assumptions!F31</f>
        <v>0.27310847034492503</v>
      </c>
      <c r="G14" s="64"/>
      <c r="H14" s="67">
        <f>AVERAGE(B14:F14)</f>
        <v>0.31209278233061</v>
      </c>
      <c r="I14" s="67">
        <f>MEDIAN(B14:F14)</f>
        <v>0.27455609083037502</v>
      </c>
    </row>
    <row r="15" spans="1:9" ht="14.25" customHeight="1" x14ac:dyDescent="0.3">
      <c r="A15" s="64"/>
      <c r="B15" s="64"/>
      <c r="C15" s="64"/>
      <c r="D15" s="64"/>
      <c r="E15" s="64"/>
      <c r="F15" s="64"/>
      <c r="G15" s="64"/>
      <c r="H15" s="124"/>
      <c r="I15" s="124"/>
    </row>
    <row r="16" spans="1:9" ht="14.25" customHeight="1" x14ac:dyDescent="0.3">
      <c r="A16" s="64" t="s">
        <v>493</v>
      </c>
      <c r="B16" s="67">
        <f>Assumptions!B8/Assumptions!B3</f>
        <v>0.42815642879728499</v>
      </c>
      <c r="C16" s="67">
        <f>Assumptions!C8/Assumptions!C3</f>
        <v>0.51384548096282601</v>
      </c>
      <c r="D16" s="67">
        <f>Assumptions!D8/Assumptions!D3</f>
        <v>0.65740809922295296</v>
      </c>
      <c r="E16" s="67">
        <f>Assumptions!E8/Assumptions!E3</f>
        <v>0.65773975318955202</v>
      </c>
      <c r="F16" s="67">
        <f>Assumptions!F8/Assumptions!F3</f>
        <v>0.65913019252457195</v>
      </c>
      <c r="G16" s="64"/>
      <c r="H16" s="67">
        <f>AVERAGE(B16:F16)</f>
        <v>0.58325599093943703</v>
      </c>
      <c r="I16" s="67">
        <f>MEDIAN(B16:F16)</f>
        <v>0.65740809922295296</v>
      </c>
    </row>
    <row r="17" spans="1:9" ht="14.25" customHeight="1" x14ac:dyDescent="0.3">
      <c r="A17" s="64" t="s">
        <v>494</v>
      </c>
      <c r="B17" s="67">
        <f>Assumptions!B10/Assumptions!B3</f>
        <v>1.4869167719579499E-2</v>
      </c>
      <c r="C17" s="67">
        <f>Assumptions!C10/Assumptions!C3</f>
        <v>1.1117494850614701E-2</v>
      </c>
      <c r="D17" s="67">
        <f>Assumptions!D10/Assumptions!D3</f>
        <v>1.90288268217139E-2</v>
      </c>
      <c r="E17" s="67">
        <f>Assumptions!E10/Assumptions!E3</f>
        <v>1.64568457164848E-2</v>
      </c>
      <c r="F17" s="67">
        <f>Assumptions!F10/Assumptions!F3</f>
        <v>1.7586733105993901E-2</v>
      </c>
      <c r="G17" s="64"/>
      <c r="H17" s="67">
        <f>AVERAGE(B17:F17)</f>
        <v>1.5811813642877301E-2</v>
      </c>
      <c r="I17" s="67">
        <f>MEDIAN(B17:F17)</f>
        <v>1.64568457164848E-2</v>
      </c>
    </row>
    <row r="18" spans="1:9" ht="14.25" customHeight="1" x14ac:dyDescent="0.3">
      <c r="A18" s="64" t="s">
        <v>495</v>
      </c>
      <c r="B18" s="67">
        <f>Assumptions!B9/Assumptions!B3</f>
        <v>0.57184357120271501</v>
      </c>
      <c r="C18" s="67">
        <f>Assumptions!C9/Assumptions!C3</f>
        <v>0.48615451903717399</v>
      </c>
      <c r="D18" s="67">
        <f>Assumptions!D9/Assumptions!D3</f>
        <v>0.34259190077704699</v>
      </c>
      <c r="E18" s="67">
        <f>Assumptions!E9/Assumptions!E3</f>
        <v>0.34226024681044798</v>
      </c>
      <c r="F18" s="67">
        <f>Assumptions!F9/Assumptions!F3</f>
        <v>0.340869807475428</v>
      </c>
      <c r="G18" s="64"/>
      <c r="H18" s="67">
        <f>AVERAGE(B18:F18)</f>
        <v>0.41674400906056203</v>
      </c>
      <c r="I18" s="67">
        <f>MEDIAN(B18:F18)</f>
        <v>0.34259190077704699</v>
      </c>
    </row>
    <row r="19" spans="1:9" ht="14.25" customHeight="1" x14ac:dyDescent="0.3">
      <c r="A19" s="64"/>
      <c r="B19" s="64"/>
      <c r="C19" s="64"/>
      <c r="D19" s="64"/>
      <c r="E19" s="64"/>
      <c r="F19" s="64"/>
      <c r="G19" s="64"/>
      <c r="H19" s="124"/>
      <c r="I19" s="124"/>
    </row>
    <row r="20" spans="1:9" ht="14.25" customHeight="1" x14ac:dyDescent="0.3">
      <c r="A20" s="64" t="s">
        <v>496</v>
      </c>
      <c r="B20" s="67">
        <f>Assumptions!B44</f>
        <v>0.32904749641576397</v>
      </c>
      <c r="C20" s="67">
        <f>Assumptions!C44</f>
        <v>0.40321383079342898</v>
      </c>
      <c r="D20" s="67">
        <f>Assumptions!D44</f>
        <v>0.35863783686114498</v>
      </c>
      <c r="E20" s="67">
        <f>Assumptions!E44</f>
        <v>0.416977450012884</v>
      </c>
      <c r="F20" s="67">
        <f>Assumptions!F44</f>
        <v>0.330582560195263</v>
      </c>
      <c r="G20" s="64"/>
      <c r="H20" s="67">
        <f>AVERAGE(B20:F20)</f>
        <v>0.36769183485569701</v>
      </c>
      <c r="I20" s="67">
        <f>MEDIAN(B20:F20)</f>
        <v>0.35863783686114498</v>
      </c>
    </row>
    <row r="21" spans="1:9" ht="14.25" customHeight="1" x14ac:dyDescent="0.3">
      <c r="A21" s="64" t="s">
        <v>497</v>
      </c>
      <c r="B21" s="67">
        <f>Assumptions!B17/Assumptions!B3</f>
        <v>0.40642001397522198</v>
      </c>
      <c r="C21" s="67">
        <f>Assumptions!C17/Assumptions!C3</f>
        <v>0.36285982428531599</v>
      </c>
      <c r="D21" s="67">
        <f>Assumptions!D17/Assumptions!D3</f>
        <v>0.24351951221721099</v>
      </c>
      <c r="E21" s="67">
        <f>Assumptions!E17/Assumptions!E3</f>
        <v>0.27455609083037502</v>
      </c>
      <c r="F21" s="67">
        <f>Assumptions!F17/Assumptions!F3</f>
        <v>0.27310847034492503</v>
      </c>
      <c r="G21" s="64"/>
      <c r="H21" s="67">
        <f>AVERAGE(B21:F21)</f>
        <v>0.31209278233061</v>
      </c>
      <c r="I21" s="67">
        <f>MEDIAN(B21:F21)</f>
        <v>0.27455609083037502</v>
      </c>
    </row>
    <row r="22" spans="1:9" ht="14.25" customHeight="1" x14ac:dyDescent="0.3">
      <c r="A22" s="64" t="s">
        <v>498</v>
      </c>
      <c r="B22" s="67">
        <f>Assumptions!B17/Assumptions!B39</f>
        <v>0.209031239072348</v>
      </c>
      <c r="C22" s="67">
        <f>Assumptions!C17/Assumptions!C39</f>
        <v>0.268427325656174</v>
      </c>
      <c r="D22" s="67">
        <f>Assumptions!D17/Assumptions!D39</f>
        <v>0.19018886574895799</v>
      </c>
      <c r="E22" s="67">
        <f>Assumptions!E17/Assumptions!E39</f>
        <v>0.228025522394459</v>
      </c>
      <c r="F22" s="67">
        <f>Assumptions!F17/Assumptions!F39</f>
        <v>0.21985622868172799</v>
      </c>
      <c r="G22" s="64"/>
      <c r="H22" s="67">
        <f>AVERAGE(B22:F22)</f>
        <v>0.223105836310733</v>
      </c>
      <c r="I22" s="67">
        <f>MEDIAN(B22:F22)</f>
        <v>0.21985622868172799</v>
      </c>
    </row>
    <row r="23" spans="1:9" ht="14.25" customHeight="1" x14ac:dyDescent="0.3">
      <c r="A23" s="64" t="s">
        <v>499</v>
      </c>
      <c r="B23" s="67">
        <f>B22*B21</f>
        <v>8.4954479105041697E-2</v>
      </c>
      <c r="C23" s="67">
        <f>C22*C21</f>
        <v>9.7401492220976799E-2</v>
      </c>
      <c r="D23" s="67">
        <f>D22*D21</f>
        <v>4.63146998163309E-2</v>
      </c>
      <c r="E23" s="67">
        <f>E22*E21</f>
        <v>6.2605796038176703E-2</v>
      </c>
      <c r="F23" s="67">
        <f>F22*F21</f>
        <v>6.0044598311070702E-2</v>
      </c>
      <c r="G23" s="64"/>
      <c r="H23" s="67">
        <f>AVERAGE(B23:F23)</f>
        <v>7.02642130983194E-2</v>
      </c>
      <c r="I23" s="67">
        <f>MEDIAN(B23:F23)</f>
        <v>6.2605796038176703E-2</v>
      </c>
    </row>
    <row r="24" spans="1:9" ht="14.25" customHeight="1" x14ac:dyDescent="0.3">
      <c r="A24" s="64" t="s">
        <v>500</v>
      </c>
      <c r="B24" s="63">
        <f>IF(Assumptions!B13=0,"",Assumptions!B11/Assumptions!B13)</f>
        <v>509.26412849494398</v>
      </c>
      <c r="C24" s="63">
        <f>IF(Assumptions!C13=0,"",Assumptions!C11/Assumptions!C13)</f>
        <v>314.766513056836</v>
      </c>
      <c r="D24" s="63">
        <f>IF(Assumptions!D13=0,"",Assumptions!D11/Assumptions!D13)</f>
        <v>75.984979396517403</v>
      </c>
      <c r="E24" s="63">
        <f>IF(Assumptions!E13=0,"",Assumptions!E11/Assumptions!E13)</f>
        <v>88.7291666666667</v>
      </c>
      <c r="F24" s="63">
        <f>IF(Assumptions!F13=0,"",Assumptions!F11/Assumptions!F13)</f>
        <v>43.495328680774399</v>
      </c>
      <c r="G24" s="64"/>
      <c r="H24" s="63">
        <f>AVERAGE(B24:F24)</f>
        <v>206.44802325914799</v>
      </c>
      <c r="I24" s="63">
        <f>MEDIAN(B24:F24)</f>
        <v>88.7291666666667</v>
      </c>
    </row>
    <row r="25" spans="1:9" ht="14.25" customHeight="1" x14ac:dyDescent="0.3">
      <c r="A25" s="64"/>
      <c r="B25" s="64"/>
      <c r="C25" s="64"/>
      <c r="D25" s="64"/>
      <c r="E25" s="64"/>
      <c r="F25" s="64"/>
      <c r="G25" s="64"/>
      <c r="H25" s="124"/>
      <c r="I25" s="124"/>
    </row>
    <row r="26" spans="1:9" ht="14.25" customHeight="1" x14ac:dyDescent="0.3">
      <c r="A26" s="64" t="s">
        <v>501</v>
      </c>
      <c r="B26" s="63">
        <f>Assumptions!B3/'Historical FS'!B39</f>
        <v>7.1826402291706604</v>
      </c>
      <c r="C26" s="63">
        <f>Assumptions!C3/'Historical FS'!C39</f>
        <v>8.7606979656771493</v>
      </c>
      <c r="D26" s="63">
        <f>Assumptions!D3/'Historical FS'!D39</f>
        <v>6.6516366593624996</v>
      </c>
      <c r="E26" s="63">
        <f>Assumptions!E3/'Historical FS'!E39</f>
        <v>6.0724636855109697</v>
      </c>
      <c r="F26" s="63">
        <f>Assumptions!F3/'Historical FS'!F39</f>
        <v>3.0867299967332098</v>
      </c>
      <c r="G26" s="64"/>
      <c r="H26" s="63">
        <f>AVERAGE(B26:F26)</f>
        <v>6.3508337072909002</v>
      </c>
      <c r="I26" s="63">
        <f>MEDIAN(B26:F26)</f>
        <v>6.6516366593624996</v>
      </c>
    </row>
    <row r="27" spans="1:9" ht="14.25" customHeight="1" x14ac:dyDescent="0.3">
      <c r="A27" s="64" t="s">
        <v>502</v>
      </c>
      <c r="B27" s="63">
        <f>Assumptions!B8/'Historical FS'!B19</f>
        <v>18.240451244525801</v>
      </c>
      <c r="C27" s="63">
        <f>Assumptions!C8/'Historical FS'!C19</f>
        <v>13.7455272704722</v>
      </c>
      <c r="D27" s="63">
        <f>Assumptions!D8/'Historical FS'!D19</f>
        <v>27.2694935549764</v>
      </c>
      <c r="E27" s="63">
        <f>Assumptions!E8/'Historical FS'!E19</f>
        <v>33.971688280208497</v>
      </c>
      <c r="F27" s="63">
        <f>Assumptions!F8/'Historical FS'!F19</f>
        <v>49.016518384869002</v>
      </c>
      <c r="G27" s="64"/>
      <c r="H27" s="63">
        <f>AVERAGE(B27:F27)</f>
        <v>28.448735747010399</v>
      </c>
      <c r="I27" s="63">
        <f>MEDIAN(B27:F27)</f>
        <v>27.2694935549764</v>
      </c>
    </row>
    <row r="28" spans="1:9" ht="14.25" customHeight="1" x14ac:dyDescent="0.3">
      <c r="A28" s="64" t="s">
        <v>503</v>
      </c>
      <c r="B28" s="63">
        <f>Assumptions!B8/'Historical FS'!B38</f>
        <v>7.1396845028859097</v>
      </c>
      <c r="C28" s="63">
        <f>Assumptions!C8/'Historical FS'!C38</f>
        <v>6.1431059171324298</v>
      </c>
      <c r="D28" s="63">
        <f>Assumptions!D8/'Historical FS'!D38</f>
        <v>4.3653451503055702</v>
      </c>
      <c r="E28" s="63">
        <f>Assumptions!E8/'Historical FS'!E38</f>
        <v>5.0651511592186296</v>
      </c>
      <c r="F28" s="63">
        <f>Assumptions!F8/'Historical FS'!F38</f>
        <v>5.9736628603490898</v>
      </c>
      <c r="G28" s="64"/>
      <c r="H28" s="63">
        <f>AVERAGE(B28:F28)</f>
        <v>5.7373899179783301</v>
      </c>
      <c r="I28" s="63">
        <f>MEDIAN(B28:F28)</f>
        <v>5.9736628603490898</v>
      </c>
    </row>
    <row r="29" spans="1:9" ht="14.25" customHeight="1" x14ac:dyDescent="0.3">
      <c r="A29" s="64" t="s">
        <v>504</v>
      </c>
      <c r="B29" s="63">
        <f>Assumptions!B3/'Historical FS'!B30</f>
        <v>0.73199650433743102</v>
      </c>
      <c r="C29" s="63">
        <f>Assumptions!C3/'Historical FS'!C30</f>
        <v>1.1238082046410001</v>
      </c>
      <c r="D29" s="63">
        <f>Assumptions!D3/'Historical FS'!D30</f>
        <v>3.4622475856013999</v>
      </c>
      <c r="E29" s="63">
        <f>Assumptions!E3/'Historical FS'!E30</f>
        <v>3.2693889262249498</v>
      </c>
      <c r="F29" s="63">
        <f>Assumptions!F3/'Historical FS'!F30</f>
        <v>2.4690556235507999</v>
      </c>
      <c r="G29" s="64"/>
      <c r="H29" s="63">
        <f>AVERAGE(B29:F29)</f>
        <v>2.2112993688711202</v>
      </c>
      <c r="I29" s="63">
        <f>MEDIAN(B29:F29)</f>
        <v>2.4690556235507999</v>
      </c>
    </row>
    <row r="30" spans="1:9" ht="14.25" customHeight="1" x14ac:dyDescent="0.3">
      <c r="A30" s="64" t="s">
        <v>505</v>
      </c>
      <c r="B30" s="63">
        <f>Assumptions!B3/Assumptions!B42</f>
        <v>0.59077669343152694</v>
      </c>
      <c r="C30" s="63">
        <f>Assumptions!C3/Assumptions!C42</f>
        <v>0.84880506205570305</v>
      </c>
      <c r="D30" s="63">
        <f>Assumptions!D3/Assumptions!D42</f>
        <v>1.1084016246880299</v>
      </c>
      <c r="E30" s="63">
        <f>Assumptions!E3/Assumptions!E42</f>
        <v>1.27984376041742</v>
      </c>
      <c r="F30" s="63">
        <f>Assumptions!F3/Assumptions!F42</f>
        <v>1.0225792390772901</v>
      </c>
      <c r="G30" s="64"/>
      <c r="H30" s="63">
        <f>AVERAGE(B30:F30)</f>
        <v>0.97008127593399496</v>
      </c>
      <c r="I30" s="63">
        <f>MEDIAN(B30:F30)</f>
        <v>1.0225792390772901</v>
      </c>
    </row>
    <row r="31" spans="1:9" ht="14.25" customHeight="1" x14ac:dyDescent="0.3">
      <c r="A31" s="64"/>
      <c r="B31" s="64"/>
      <c r="C31" s="64"/>
      <c r="D31" s="64"/>
      <c r="E31" s="64"/>
      <c r="F31" s="64"/>
      <c r="G31" s="64"/>
      <c r="H31" s="124"/>
      <c r="I31" s="124"/>
    </row>
    <row r="32" spans="1:9" ht="14.25" customHeight="1" x14ac:dyDescent="0.3">
      <c r="A32" s="125" t="s">
        <v>506</v>
      </c>
      <c r="B32" s="64"/>
      <c r="C32" s="64"/>
      <c r="D32" s="64"/>
      <c r="E32" s="64"/>
      <c r="F32" s="64"/>
      <c r="G32" s="64"/>
      <c r="H32" s="124"/>
      <c r="I32" s="124"/>
    </row>
    <row r="33" spans="1:9" ht="14.25" customHeight="1" x14ac:dyDescent="0.3">
      <c r="A33" s="64" t="s">
        <v>507</v>
      </c>
      <c r="B33" s="63">
        <f t="shared" ref="B33:F35" si="0">365/B26</f>
        <v>50.816968183598497</v>
      </c>
      <c r="C33" s="63">
        <f t="shared" si="0"/>
        <v>41.663347079194502</v>
      </c>
      <c r="D33" s="63">
        <f t="shared" si="0"/>
        <v>54.873712845731703</v>
      </c>
      <c r="E33" s="63">
        <f t="shared" si="0"/>
        <v>60.107399385672402</v>
      </c>
      <c r="F33" s="63">
        <f t="shared" si="0"/>
        <v>118.248113824757</v>
      </c>
      <c r="G33" s="64"/>
      <c r="H33" s="63">
        <f>AVERAGE(B33:F33)</f>
        <v>65.141908263790796</v>
      </c>
      <c r="I33" s="63">
        <f>MEDIAN(B33:F33)</f>
        <v>54.873712845731703</v>
      </c>
    </row>
    <row r="34" spans="1:9" ht="14.25" customHeight="1" x14ac:dyDescent="0.3">
      <c r="A34" s="64" t="s">
        <v>508</v>
      </c>
      <c r="B34" s="63">
        <f t="shared" si="0"/>
        <v>20.0104698675995</v>
      </c>
      <c r="C34" s="63">
        <f t="shared" si="0"/>
        <v>26.554092310746299</v>
      </c>
      <c r="D34" s="63">
        <f t="shared" si="0"/>
        <v>13.3849203786695</v>
      </c>
      <c r="E34" s="63">
        <f t="shared" si="0"/>
        <v>10.7442408216328</v>
      </c>
      <c r="F34" s="63">
        <f t="shared" si="0"/>
        <v>7.4464693133462596</v>
      </c>
      <c r="G34" s="64"/>
      <c r="H34" s="63">
        <f>AVERAGE(B34:F34)</f>
        <v>15.628038538398901</v>
      </c>
      <c r="I34" s="63">
        <f>MEDIAN(B34:F34)</f>
        <v>13.3849203786695</v>
      </c>
    </row>
    <row r="35" spans="1:9" ht="14.25" customHeight="1" x14ac:dyDescent="0.3">
      <c r="A35" s="64" t="s">
        <v>418</v>
      </c>
      <c r="B35" s="63">
        <f t="shared" si="0"/>
        <v>51.122707152180801</v>
      </c>
      <c r="C35" s="63">
        <f t="shared" si="0"/>
        <v>59.416198405769997</v>
      </c>
      <c r="D35" s="63">
        <f t="shared" si="0"/>
        <v>83.613090702449995</v>
      </c>
      <c r="E35" s="63">
        <f t="shared" si="0"/>
        <v>72.061028096998797</v>
      </c>
      <c r="F35" s="63">
        <f t="shared" si="0"/>
        <v>61.101539965157997</v>
      </c>
      <c r="G35" s="64"/>
      <c r="H35" s="63">
        <f>AVERAGE(B35:F35)</f>
        <v>65.462912864511495</v>
      </c>
      <c r="I35" s="63">
        <f>MEDIAN(B35:F35)</f>
        <v>61.101539965157997</v>
      </c>
    </row>
    <row r="36" spans="1:9" ht="14.25" customHeight="1" x14ac:dyDescent="0.3">
      <c r="A36" s="64" t="s">
        <v>420</v>
      </c>
      <c r="B36" s="63">
        <f>B33+B35-B34</f>
        <v>81.929205468179802</v>
      </c>
      <c r="C36" s="63">
        <f>C33+C35-C34</f>
        <v>74.5254531742182</v>
      </c>
      <c r="D36" s="63">
        <f>D33+D35-D34</f>
        <v>125.10188316951201</v>
      </c>
      <c r="E36" s="63">
        <f>E33+E35-E34</f>
        <v>121.42418666103799</v>
      </c>
      <c r="F36" s="63">
        <f>F33+F35-F34</f>
        <v>171.90318447656901</v>
      </c>
      <c r="G36" s="64"/>
      <c r="H36" s="63">
        <f>AVERAGE(B36:F36)</f>
        <v>114.976782589903</v>
      </c>
      <c r="I36" s="63">
        <f>MEDIAN(B36:F36)</f>
        <v>121.42418666103799</v>
      </c>
    </row>
    <row r="37" spans="1:9" ht="14.25" customHeight="1" x14ac:dyDescent="0.3">
      <c r="A37" s="64"/>
      <c r="B37" s="64"/>
      <c r="C37" s="64"/>
      <c r="D37" s="64"/>
      <c r="E37" s="64"/>
      <c r="F37" s="64"/>
      <c r="G37" s="64"/>
      <c r="H37" s="124"/>
      <c r="I37" s="124"/>
    </row>
    <row r="38" spans="1:9" ht="14.25" customHeight="1" x14ac:dyDescent="0.3">
      <c r="A38" s="64" t="s">
        <v>509</v>
      </c>
      <c r="B38" s="67">
        <f>(Assumptions!B17+Assumptions!B10)/Assumptions!B3</f>
        <v>0.42128918169480201</v>
      </c>
      <c r="C38" s="67">
        <f>(Assumptions!C17+Assumptions!C10)/Assumptions!C3</f>
        <v>0.37397731913593102</v>
      </c>
      <c r="D38" s="67">
        <f>(Assumptions!D17+Assumptions!D10)/Assumptions!D3</f>
        <v>0.26254833903892499</v>
      </c>
      <c r="E38" s="67">
        <f>(Assumptions!E17+Assumptions!E10)/Assumptions!E3</f>
        <v>0.29101293654686</v>
      </c>
      <c r="F38" s="67">
        <f>(Assumptions!F17+Assumptions!F10)/Assumptions!F3</f>
        <v>0.29069520345091898</v>
      </c>
      <c r="G38" s="64"/>
      <c r="H38" s="67">
        <f>AVERAGE(B38:F38)</f>
        <v>0.32790459597348698</v>
      </c>
      <c r="I38" s="67">
        <f>MEDIAN(B38:F38)</f>
        <v>0.29101293654686</v>
      </c>
    </row>
    <row r="39" spans="1:9" ht="14.25" customHeight="1" x14ac:dyDescent="0.3">
      <c r="A39" s="64" t="s">
        <v>510</v>
      </c>
      <c r="B39" s="67">
        <f>(Assumptions!B17+Assumptions!B10)/'Historical FS'!B44</f>
        <v>0.175339156995164</v>
      </c>
      <c r="C39" s="67">
        <f>(Assumptions!C17+Assumptions!C10)/'Historical FS'!C44</f>
        <v>0.21580470873148899</v>
      </c>
      <c r="D39" s="67">
        <f>(Assumptions!D17+Assumptions!D10)/'Historical FS'!D44</f>
        <v>0.164204815186789</v>
      </c>
      <c r="E39" s="67">
        <f>(Assumptions!E17+Assumptions!E10)/'Historical FS'!E44</f>
        <v>0.17388336792291201</v>
      </c>
      <c r="F39" s="67">
        <f>(Assumptions!F17+Assumptions!F10)/'Historical FS'!F44</f>
        <v>0.16946473372273099</v>
      </c>
      <c r="G39" s="64"/>
      <c r="H39" s="67">
        <f>AVERAGE(B39:F39)</f>
        <v>0.17973935651181699</v>
      </c>
      <c r="I39" s="67">
        <f>MEDIAN(B39:F39)</f>
        <v>0.17388336792291201</v>
      </c>
    </row>
    <row r="40" spans="1:9" ht="14.25" customHeight="1" x14ac:dyDescent="0.3">
      <c r="A40" s="64" t="s">
        <v>511</v>
      </c>
      <c r="B40" s="63">
        <f>IF(Assumptions!B40=0,"",(Assumptions!B17+Assumptions!B10)/Assumptions!B40)</f>
        <v>3.2465968402633298</v>
      </c>
      <c r="C40" s="63">
        <f>IF(Assumptions!C40=0,"",(Assumptions!C17+Assumptions!C10)/Assumptions!C40)</f>
        <v>2.7786986665135598</v>
      </c>
      <c r="D40" s="63">
        <f>IF(Assumptions!D40=0,"",(Assumptions!D17+Assumptions!D10)/Assumptions!D40)</f>
        <v>11.1505601230828</v>
      </c>
      <c r="E40" s="63">
        <f>IF(Assumptions!E40=0,"",(Assumptions!E17+Assumptions!E10)/Assumptions!E40)</f>
        <v>1.84739642608162</v>
      </c>
      <c r="F40" s="63">
        <f>IF(Assumptions!F40=0,"",(Assumptions!F17+Assumptions!F10)/Assumptions!F40)</f>
        <v>1.84307443408612</v>
      </c>
      <c r="G40" s="64"/>
      <c r="H40" s="63">
        <f>AVERAGE(B40:F40)</f>
        <v>4.1732652980054903</v>
      </c>
      <c r="I40" s="63">
        <f>MEDIAN(B40:F40)</f>
        <v>2.7786986665135598</v>
      </c>
    </row>
  </sheetData>
  <mergeCells count="1">
    <mergeCell ref="A1:I1"/>
  </mergeCells>
  <pageMargins left="0.7" right="0.7" top="0.75" bottom="0.75" header="0.511811023622047" footer="0.511811023622047"/>
  <pageSetup paperSize="9" orientation="portrait" horizontalDpi="300" verticalDpi="300"/>
  <extLst>
    <ext xmlns:x14="http://schemas.microsoft.com/office/spreadsheetml/2009/9/main" uri="{05C60535-1F16-4fd2-B633-F4F36F0B64E0}">
      <x14:sparklineGroups xmlns:xm="http://schemas.microsoft.com/office/excel/2006/main">
        <x14:sparklineGroup displayEmptyCellsAs="gap" xr2:uid="{00000000-0003-0000-0C00-000000000000}">
          <x14:colorSeries rgb="FF376092"/>
          <x14:colorNegative rgb="FFD00000"/>
          <x14:colorAxis rgb="FF000000"/>
          <x14:colorMarkers rgb="FFD00000"/>
          <x14:colorFirst rgb="FFD00000"/>
          <x14:colorLast rgb="FFD00000"/>
          <x14:colorHigh rgb="FFD00000"/>
          <x14:colorLow rgb="FFD00000"/>
          <x14:sparklines>
            <x14:sparkline>
              <xm:f>'Ratio Analysis'!B38:F38</xm:f>
              <xm:sqref>G38</xm:sqref>
            </x14:sparkline>
            <x14:sparkline>
              <xm:f>'Ratio Analysis'!B39:F39</xm:f>
              <xm:sqref>G39</xm:sqref>
            </x14:sparkline>
            <x14:sparkline>
              <xm:f>'Ratio Analysis'!B40:F40</xm:f>
              <xm:sqref>G40</xm:sqref>
            </x14:sparkline>
          </x14:sparklines>
        </x14:sparklineGroup>
        <x14:sparklineGroup displayEmptyCellsAs="gap" xr2:uid="{00000000-0003-0000-0C00-000001000000}">
          <x14:colorSeries rgb="FF376092"/>
          <x14:colorNegative rgb="FFD00000"/>
          <x14:colorAxis rgb="FF000000"/>
          <x14:colorMarkers rgb="FFD00000"/>
          <x14:colorFirst rgb="FFD00000"/>
          <x14:colorLast rgb="FFD00000"/>
          <x14:colorHigh rgb="FFD00000"/>
          <x14:colorLow rgb="FFD00000"/>
          <x14:sparklines>
            <x14:sparkline>
              <xm:f>'Ratio Analysis'!B33:F33</xm:f>
              <xm:sqref>G33</xm:sqref>
            </x14:sparkline>
            <x14:sparkline>
              <xm:f>'Ratio Analysis'!B34:F34</xm:f>
              <xm:sqref>G34</xm:sqref>
            </x14:sparkline>
            <x14:sparkline>
              <xm:f>'Ratio Analysis'!B35:F35</xm:f>
              <xm:sqref>G35</xm:sqref>
            </x14:sparkline>
            <x14:sparkline>
              <xm:f>'Ratio Analysis'!B36:F36</xm:f>
              <xm:sqref>G36</xm:sqref>
            </x14:sparkline>
          </x14:sparklines>
        </x14:sparklineGroup>
        <x14:sparklineGroup displayEmptyCellsAs="gap" xr2:uid="{00000000-0003-0000-0C00-000002000000}">
          <x14:colorSeries rgb="FF376092"/>
          <x14:colorNegative rgb="FFD00000"/>
          <x14:colorAxis rgb="FF000000"/>
          <x14:colorMarkers rgb="FFD00000"/>
          <x14:colorFirst rgb="FFD00000"/>
          <x14:colorLast rgb="FFD00000"/>
          <x14:colorHigh rgb="FFD00000"/>
          <x14:colorLow rgb="FFD00000"/>
          <x14:sparklines>
            <x14:sparkline>
              <xm:f>'Ratio Analysis'!B26:F26</xm:f>
              <xm:sqref>G26</xm:sqref>
            </x14:sparkline>
            <x14:sparkline>
              <xm:f>'Ratio Analysis'!B27:F27</xm:f>
              <xm:sqref>G27</xm:sqref>
            </x14:sparkline>
            <x14:sparkline>
              <xm:f>'Ratio Analysis'!B28:F28</xm:f>
              <xm:sqref>G28</xm:sqref>
            </x14:sparkline>
            <x14:sparkline>
              <xm:f>'Ratio Analysis'!B29:F29</xm:f>
              <xm:sqref>G29</xm:sqref>
            </x14:sparkline>
            <x14:sparkline>
              <xm:f>'Ratio Analysis'!B30:F30</xm:f>
              <xm:sqref>G30</xm:sqref>
            </x14:sparkline>
          </x14:sparklines>
        </x14:sparklineGroup>
        <x14:sparklineGroup displayEmptyCellsAs="gap" xr2:uid="{00000000-0003-0000-0C00-000003000000}">
          <x14:colorSeries rgb="FF376092"/>
          <x14:colorNegative rgb="FFD00000"/>
          <x14:colorAxis rgb="FF000000"/>
          <x14:colorMarkers rgb="FFD00000"/>
          <x14:colorFirst rgb="FFD00000"/>
          <x14:colorLast rgb="FFD00000"/>
          <x14:colorHigh rgb="FFD00000"/>
          <x14:colorLow rgb="FFD00000"/>
          <x14:sparklines>
            <x14:sparkline>
              <xm:f>'Ratio Analysis'!B20:F20</xm:f>
              <xm:sqref>G20</xm:sqref>
            </x14:sparkline>
            <x14:sparkline>
              <xm:f>'Ratio Analysis'!B21:F21</xm:f>
              <xm:sqref>G21</xm:sqref>
            </x14:sparkline>
            <x14:sparkline>
              <xm:f>'Ratio Analysis'!B22:F22</xm:f>
              <xm:sqref>G22</xm:sqref>
            </x14:sparkline>
            <x14:sparkline>
              <xm:f>'Ratio Analysis'!B23:F23</xm:f>
              <xm:sqref>G23</xm:sqref>
            </x14:sparkline>
            <x14:sparkline>
              <xm:f>'Ratio Analysis'!B24:F24</xm:f>
              <xm:sqref>G24</xm:sqref>
            </x14:sparkline>
          </x14:sparklines>
        </x14:sparklineGroup>
        <x14:sparklineGroup displayEmptyCellsAs="gap" xr2:uid="{00000000-0003-0000-0C00-000004000000}">
          <x14:colorSeries rgb="FF376092"/>
          <x14:colorNegative rgb="FFD00000"/>
          <x14:colorAxis rgb="FF000000"/>
          <x14:colorMarkers rgb="FFD00000"/>
          <x14:colorFirst rgb="FFD00000"/>
          <x14:colorLast rgb="FFD00000"/>
          <x14:colorHigh rgb="FFD00000"/>
          <x14:colorLow rgb="FFD00000"/>
          <x14:sparklines>
            <x14:sparkline>
              <xm:f>'Ratio Analysis'!B16:F16</xm:f>
              <xm:sqref>G16</xm:sqref>
            </x14:sparkline>
            <x14:sparkline>
              <xm:f>'Ratio Analysis'!B17:F17</xm:f>
              <xm:sqref>G17</xm:sqref>
            </x14:sparkline>
            <x14:sparkline>
              <xm:f>'Ratio Analysis'!B18:F18</xm:f>
              <xm:sqref>G18</xm:sqref>
            </x14:sparkline>
          </x14:sparklines>
        </x14:sparklineGroup>
        <x14:sparklineGroup displayEmptyCellsAs="gap" xr2:uid="{00000000-0003-0000-0C00-000005000000}">
          <x14:colorSeries rgb="FF376092"/>
          <x14:colorNegative rgb="FFD00000"/>
          <x14:colorAxis rgb="FF000000"/>
          <x14:colorMarkers rgb="FFD00000"/>
          <x14:colorFirst rgb="FFD00000"/>
          <x14:colorLast rgb="FFD00000"/>
          <x14:colorHigh rgb="FFD00000"/>
          <x14:colorLow rgb="FFD00000"/>
          <x14:sparklines>
            <x14:sparkline>
              <xm:f>'Ratio Analysis'!B10:F10</xm:f>
              <xm:sqref>G10</xm:sqref>
            </x14:sparkline>
            <x14:sparkline>
              <xm:f>'Ratio Analysis'!B11:F11</xm:f>
              <xm:sqref>G11</xm:sqref>
            </x14:sparkline>
            <x14:sparkline>
              <xm:f>'Ratio Analysis'!B12:F12</xm:f>
              <xm:sqref>G12</xm:sqref>
            </x14:sparkline>
            <x14:sparkline>
              <xm:f>'Ratio Analysis'!B13:F13</xm:f>
              <xm:sqref>G13</xm:sqref>
            </x14:sparkline>
            <x14:sparkline>
              <xm:f>'Ratio Analysis'!B14:F14</xm:f>
              <xm:sqref>G14</xm:sqref>
            </x14:sparkline>
          </x14:sparklines>
        </x14:sparklineGroup>
        <x14:sparklineGroup displayEmptyCellsAs="gap" xr2:uid="{00000000-0003-0000-0C00-000006000000}">
          <x14:colorSeries rgb="FF376092"/>
          <x14:colorNegative rgb="FFD00000"/>
          <x14:colorAxis rgb="FF000000"/>
          <x14:colorMarkers rgb="FFD00000"/>
          <x14:colorFirst rgb="FFD00000"/>
          <x14:colorLast rgb="FFD00000"/>
          <x14:colorHigh rgb="FFD00000"/>
          <x14:colorLow rgb="FFD00000"/>
          <x14:sparklines>
            <x14:sparkline>
              <xm:f>'Ratio Analysis'!C4:F4</xm:f>
              <xm:sqref>G4</xm:sqref>
            </x14:sparkline>
            <x14:sparkline>
              <xm:f>'Ratio Analysis'!C5:F5</xm:f>
              <xm:sqref>G5</xm:sqref>
            </x14:sparkline>
            <x14:sparkline>
              <xm:f>'Ratio Analysis'!C6:F6</xm:f>
              <xm:sqref>G6</xm:sqref>
            </x14:sparkline>
            <x14:sparkline>
              <xm:f>'Ratio Analysis'!C7:F7</xm:f>
              <xm:sqref>G7</xm:sqref>
            </x14:sparkline>
          </x14:sparklines>
        </x14:sparklineGroup>
      </x14:sparklineGroup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showGridLines="0" workbookViewId="0"/>
  </sheetViews>
  <sheetFormatPr defaultColWidth="8.6640625" defaultRowHeight="14.4" x14ac:dyDescent="0.3"/>
  <cols>
    <col min="1" max="1" width="39.88671875" customWidth="1"/>
    <col min="2" max="2" width="8.5546875" customWidth="1"/>
    <col min="3" max="3" width="9.6640625" customWidth="1"/>
    <col min="4" max="4" width="10.33203125" customWidth="1"/>
    <col min="5" max="5" width="8.5546875" customWidth="1"/>
    <col min="6" max="6" width="9.21875" customWidth="1"/>
  </cols>
  <sheetData>
    <row r="1" spans="1:6" ht="14.25" customHeight="1" x14ac:dyDescent="0.3">
      <c r="A1" s="286" t="s">
        <v>512</v>
      </c>
      <c r="B1" s="285">
        <v>44256</v>
      </c>
      <c r="C1" s="285">
        <v>44621</v>
      </c>
      <c r="D1" s="285">
        <v>44986</v>
      </c>
      <c r="E1" s="285">
        <v>45352</v>
      </c>
      <c r="F1" s="285">
        <v>45717</v>
      </c>
    </row>
    <row r="2" spans="1:6" ht="14.25" customHeight="1" x14ac:dyDescent="0.3">
      <c r="A2" s="101" t="s">
        <v>513</v>
      </c>
      <c r="B2" s="63">
        <f>Assumptions!B11</f>
        <v>8560.73</v>
      </c>
      <c r="C2" s="63">
        <f>Assumptions!C11</f>
        <v>12294.78</v>
      </c>
      <c r="D2" s="63">
        <f>Assumptions!D11</f>
        <v>5716.35</v>
      </c>
      <c r="E2" s="63">
        <f>Assumptions!E11</f>
        <v>6942.17</v>
      </c>
      <c r="F2" s="63">
        <f>Assumptions!F11</f>
        <v>7728.25</v>
      </c>
    </row>
    <row r="3" spans="1:6" ht="14.25" customHeight="1" x14ac:dyDescent="0.3">
      <c r="A3" s="10" t="s">
        <v>514</v>
      </c>
      <c r="B3" s="63">
        <f>B2*Assumptions!$G$34</f>
        <v>2528.1971424324702</v>
      </c>
      <c r="C3" s="63">
        <f>C2*Assumptions!$G$34</f>
        <v>3630.9552646603602</v>
      </c>
      <c r="D3" s="63">
        <f>D2*Assumptions!$G$34</f>
        <v>1688.18076672712</v>
      </c>
      <c r="E3" s="63">
        <f>E2*Assumptions!$G$34</f>
        <v>2050.1959945332301</v>
      </c>
      <c r="F3" s="63">
        <f>F2*Assumptions!$G$34</f>
        <v>2282.3450296883302</v>
      </c>
    </row>
    <row r="4" spans="1:6" ht="14.25" customHeight="1" x14ac:dyDescent="0.3">
      <c r="A4" s="101" t="s">
        <v>515</v>
      </c>
      <c r="B4" s="63">
        <f>B2-B3</f>
        <v>6032.5328575675303</v>
      </c>
      <c r="C4" s="63">
        <f>C2-C3</f>
        <v>8663.82473533964</v>
      </c>
      <c r="D4" s="63">
        <f>D2-D3</f>
        <v>4028.1692332728799</v>
      </c>
      <c r="E4" s="63">
        <f>E2-E3</f>
        <v>4891.97400546677</v>
      </c>
      <c r="F4" s="63">
        <f>F2-F3</f>
        <v>5445.9049703116698</v>
      </c>
    </row>
    <row r="5" spans="1:6" ht="14.25" customHeight="1" x14ac:dyDescent="0.3">
      <c r="A5" s="10" t="s">
        <v>516</v>
      </c>
      <c r="B5" s="63"/>
      <c r="C5" s="63">
        <f>'Fixed Asset Scheduled'!C8</f>
        <v>2032.93</v>
      </c>
      <c r="D5" s="63">
        <f>'Fixed Asset Scheduled'!D8</f>
        <v>-17927.66</v>
      </c>
      <c r="E5" s="63">
        <f>'Fixed Asset Scheduled'!E8</f>
        <v>1414.66</v>
      </c>
      <c r="F5" s="63">
        <f>'Fixed Asset Scheduled'!F8</f>
        <v>3164.67</v>
      </c>
    </row>
    <row r="6" spans="1:6" ht="14.25" customHeight="1" x14ac:dyDescent="0.3">
      <c r="A6" s="10" t="s">
        <v>517</v>
      </c>
      <c r="B6" s="63"/>
      <c r="C6" s="63">
        <f>'Change in working Capital'!C6</f>
        <v>1450.84</v>
      </c>
      <c r="D6" s="63">
        <f>'Change in working Capital'!D6</f>
        <v>739.02</v>
      </c>
      <c r="E6" s="63">
        <f>'Change in working Capital'!E6</f>
        <v>972.63999999999896</v>
      </c>
      <c r="F6" s="63">
        <f>'Change in working Capital'!F6</f>
        <v>4197.54</v>
      </c>
    </row>
    <row r="7" spans="1:6" ht="14.25" customHeight="1" x14ac:dyDescent="0.3">
      <c r="A7" s="10" t="s">
        <v>518</v>
      </c>
      <c r="B7" s="63"/>
      <c r="C7" s="63">
        <f>C5+C6</f>
        <v>3483.77</v>
      </c>
      <c r="D7" s="63">
        <f>D5+D6</f>
        <v>-17188.64</v>
      </c>
      <c r="E7" s="63">
        <f>E5+E6</f>
        <v>2387.3000000000002</v>
      </c>
      <c r="F7" s="63">
        <f>F5+F6</f>
        <v>7362.21</v>
      </c>
    </row>
    <row r="8" spans="1:6" ht="14.25" customHeight="1" x14ac:dyDescent="0.3">
      <c r="A8" s="101" t="s">
        <v>519</v>
      </c>
      <c r="B8" s="119"/>
      <c r="C8" s="63">
        <f>C4-C7</f>
        <v>5180.0547353396296</v>
      </c>
      <c r="D8" s="63">
        <f>D4-D7</f>
        <v>21216.809233272899</v>
      </c>
      <c r="E8" s="63">
        <f>E4-E7</f>
        <v>2504.6740054667698</v>
      </c>
      <c r="F8" s="63">
        <f>F4-F7</f>
        <v>-1916.30502968833</v>
      </c>
    </row>
    <row r="9" spans="1:6" ht="14.25" customHeight="1" x14ac:dyDescent="0.3">
      <c r="A9" s="101"/>
      <c r="B9" s="64"/>
      <c r="C9" s="63"/>
      <c r="D9" s="63"/>
      <c r="E9" s="63"/>
      <c r="F9" s="63"/>
    </row>
    <row r="10" spans="1:6" ht="14.25" customHeight="1" x14ac:dyDescent="0.3">
      <c r="A10" s="10" t="s">
        <v>520</v>
      </c>
      <c r="B10" s="67"/>
      <c r="C10" s="67">
        <f>IF(C4=0,"",C7/C4)</f>
        <v>0.40210531796537202</v>
      </c>
      <c r="D10" s="67">
        <f>IF(D4=0,"",D7/D4)</f>
        <v>-4.2671096978798602</v>
      </c>
      <c r="E10" s="67">
        <f>IF(E4=0,"",E7/E4)</f>
        <v>0.48800341075651599</v>
      </c>
      <c r="F10" s="67">
        <f>IF(F4=0,"",F7/F4)</f>
        <v>1.3518799979314799</v>
      </c>
    </row>
    <row r="11" spans="1:6" ht="14.25" customHeight="1" x14ac:dyDescent="0.3">
      <c r="A11" s="20"/>
      <c r="B11" s="20"/>
      <c r="C11" s="20"/>
      <c r="D11" s="20"/>
      <c r="E11" s="20"/>
    </row>
    <row r="12" spans="1:6" ht="14.25" customHeight="1" x14ac:dyDescent="0.3">
      <c r="A12" s="10" t="s">
        <v>521</v>
      </c>
      <c r="B12" s="123"/>
      <c r="C12" s="46">
        <f>MEDIAN(C10:F10)</f>
        <v>0.44505436436094398</v>
      </c>
      <c r="D12" s="20"/>
      <c r="E12" s="20"/>
    </row>
    <row r="13" spans="1:6" ht="14.25" customHeight="1" x14ac:dyDescent="0.3">
      <c r="A13" s="10" t="s">
        <v>522</v>
      </c>
      <c r="B13" s="123"/>
      <c r="C13" s="46">
        <f>AVERAGE(C10:F10)</f>
        <v>-0.50628024280662298</v>
      </c>
      <c r="D13" s="20"/>
      <c r="E13" s="20"/>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0"/>
  <sheetViews>
    <sheetView showGridLines="0" workbookViewId="0">
      <selection sqref="A1:F1"/>
    </sheetView>
  </sheetViews>
  <sheetFormatPr defaultColWidth="8.6640625" defaultRowHeight="14.4" x14ac:dyDescent="0.3"/>
  <cols>
    <col min="1" max="1" width="46" customWidth="1"/>
    <col min="2" max="5" width="8.5546875" customWidth="1"/>
    <col min="6" max="6" width="9.6640625" customWidth="1"/>
  </cols>
  <sheetData>
    <row r="1" spans="1:6" ht="14.25" customHeight="1" x14ac:dyDescent="0.3">
      <c r="A1" s="286" t="s">
        <v>512</v>
      </c>
      <c r="B1" s="285">
        <v>44256</v>
      </c>
      <c r="C1" s="285">
        <v>44621</v>
      </c>
      <c r="D1" s="285">
        <v>44986</v>
      </c>
      <c r="E1" s="285">
        <v>45352</v>
      </c>
      <c r="F1" s="285">
        <v>45717</v>
      </c>
    </row>
    <row r="2" spans="1:6" ht="14.25" customHeight="1" x14ac:dyDescent="0.3">
      <c r="A2" s="10" t="s">
        <v>523</v>
      </c>
      <c r="B2" s="63">
        <f>'Historical FS'!B38</f>
        <v>921.72</v>
      </c>
      <c r="C2" s="63">
        <f>'Historical FS'!C38</f>
        <v>2164.9</v>
      </c>
      <c r="D2" s="63">
        <f>'Historical FS'!D38</f>
        <v>2660.58</v>
      </c>
      <c r="E2" s="63">
        <f>'Historical FS'!E38</f>
        <v>2766.95</v>
      </c>
      <c r="F2" s="63">
        <f>'Historical FS'!F38</f>
        <v>2637.72</v>
      </c>
    </row>
    <row r="3" spans="1:6" ht="14.25" customHeight="1" x14ac:dyDescent="0.3">
      <c r="A3" s="10" t="s">
        <v>524</v>
      </c>
      <c r="B3" s="63">
        <f>'Historical FS'!B39</f>
        <v>2139.89</v>
      </c>
      <c r="C3" s="63">
        <f>'Historical FS'!C39</f>
        <v>2954.3</v>
      </c>
      <c r="D3" s="63">
        <f>'Historical FS'!D39</f>
        <v>2656.02</v>
      </c>
      <c r="E3" s="63">
        <f>'Historical FS'!E39</f>
        <v>3508.93</v>
      </c>
      <c r="F3" s="63">
        <f>'Historical FS'!F39</f>
        <v>7744.61</v>
      </c>
    </row>
    <row r="4" spans="1:6" ht="14.25" customHeight="1" x14ac:dyDescent="0.3">
      <c r="A4" s="10" t="s">
        <v>525</v>
      </c>
      <c r="B4" s="63">
        <f>'Historical FS'!B19</f>
        <v>360.78</v>
      </c>
      <c r="C4" s="63">
        <f>'Historical FS'!C19</f>
        <v>967.53</v>
      </c>
      <c r="D4" s="63">
        <f>'Historical FS'!D19</f>
        <v>425.91</v>
      </c>
      <c r="E4" s="63">
        <f>'Historical FS'!E19</f>
        <v>412.55</v>
      </c>
      <c r="F4" s="63">
        <f>'Historical FS'!F19</f>
        <v>321.45999999999998</v>
      </c>
    </row>
    <row r="5" spans="1:6" ht="14.25" customHeight="1" x14ac:dyDescent="0.3">
      <c r="A5" s="10" t="s">
        <v>526</v>
      </c>
      <c r="B5" s="63">
        <f>B2+B3-B4</f>
        <v>2700.83</v>
      </c>
      <c r="C5" s="63">
        <f>C2+C3-C4</f>
        <v>4151.67</v>
      </c>
      <c r="D5" s="63">
        <f>D2+D3-D4</f>
        <v>4890.6899999999996</v>
      </c>
      <c r="E5" s="63">
        <f>E2+E3-E4</f>
        <v>5863.33</v>
      </c>
      <c r="F5" s="63">
        <f>F2+F3-F4</f>
        <v>10060.870000000001</v>
      </c>
    </row>
    <row r="6" spans="1:6" ht="14.25" customHeight="1" x14ac:dyDescent="0.3">
      <c r="A6" s="101" t="s">
        <v>527</v>
      </c>
      <c r="B6" s="63"/>
      <c r="C6" s="63">
        <f>C5-B5</f>
        <v>1450.84</v>
      </c>
      <c r="D6" s="63">
        <f>D5-C5</f>
        <v>739.02</v>
      </c>
      <c r="E6" s="63">
        <f>E5-D5</f>
        <v>972.63999999999896</v>
      </c>
      <c r="F6" s="63">
        <f>F5-E5</f>
        <v>4197.54</v>
      </c>
    </row>
    <row r="7" spans="1:6" ht="14.25" customHeight="1" x14ac:dyDescent="0.3">
      <c r="A7" s="10" t="s">
        <v>528</v>
      </c>
      <c r="B7" s="67"/>
      <c r="C7" s="67">
        <f>C6/Assumptions!C3</f>
        <v>5.6056530996961999E-2</v>
      </c>
      <c r="D7" s="67">
        <f>D6/Assumptions!D3</f>
        <v>4.1830815627886701E-2</v>
      </c>
      <c r="E7" s="67">
        <f>E6/Assumptions!E3</f>
        <v>4.5647026799982102E-2</v>
      </c>
      <c r="F7" s="67">
        <f>F6/Assumptions!F3</f>
        <v>0.17558873431743</v>
      </c>
    </row>
    <row r="8" spans="1:6" ht="14.25" customHeight="1" x14ac:dyDescent="0.3">
      <c r="A8" s="20"/>
      <c r="B8" s="20"/>
      <c r="C8" s="20"/>
      <c r="D8" s="20"/>
      <c r="E8" s="20"/>
    </row>
    <row r="9" spans="1:6" ht="14.25" customHeight="1" x14ac:dyDescent="0.3">
      <c r="A9" s="10" t="s">
        <v>529</v>
      </c>
      <c r="B9" s="20"/>
      <c r="C9" s="115">
        <f>MEDIAN(C5:F5)/MEDIAN(Assumptions!C3:F3)</f>
        <v>0.237850441141636</v>
      </c>
      <c r="D9" s="20"/>
      <c r="E9" s="20"/>
    </row>
    <row r="10" spans="1:6" ht="14.25" customHeight="1" x14ac:dyDescent="0.3">
      <c r="A10" s="10" t="s">
        <v>530</v>
      </c>
      <c r="B10" s="20"/>
      <c r="C10" s="115">
        <f>AVERAGE(C5:F5)/AVERAGE(Assumptions!C3:F3)</f>
        <v>0.28127538389747497</v>
      </c>
      <c r="D10" s="20"/>
      <c r="E10" s="20"/>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2"/>
  <sheetViews>
    <sheetView showGridLines="0" workbookViewId="0">
      <selection sqref="A1:F1"/>
    </sheetView>
  </sheetViews>
  <sheetFormatPr defaultColWidth="8.6640625" defaultRowHeight="14.4" x14ac:dyDescent="0.3"/>
  <cols>
    <col min="1" max="1" width="40.33203125" customWidth="1"/>
    <col min="2" max="3" width="9.6640625" customWidth="1"/>
    <col min="4" max="4" width="10.33203125" customWidth="1"/>
    <col min="5" max="5" width="8.5546875" customWidth="1"/>
    <col min="6" max="6" width="9.6640625" customWidth="1"/>
  </cols>
  <sheetData>
    <row r="1" spans="1:6" ht="14.25" customHeight="1" x14ac:dyDescent="0.3">
      <c r="A1" s="286" t="s">
        <v>512</v>
      </c>
      <c r="B1" s="285">
        <v>44256</v>
      </c>
      <c r="C1" s="285">
        <v>44621</v>
      </c>
      <c r="D1" s="285">
        <v>44986</v>
      </c>
      <c r="E1" s="285">
        <v>45352</v>
      </c>
      <c r="F1" s="285">
        <v>45717</v>
      </c>
    </row>
    <row r="2" spans="1:6" ht="14.25" customHeight="1" x14ac:dyDescent="0.3">
      <c r="A2" s="10" t="s">
        <v>531</v>
      </c>
      <c r="B2" s="63"/>
      <c r="C2" s="63">
        <f>B6</f>
        <v>20997.45</v>
      </c>
      <c r="D2" s="63">
        <f>C6</f>
        <v>23030.38</v>
      </c>
      <c r="E2" s="118">
        <f>D6</f>
        <v>5102.72</v>
      </c>
      <c r="F2" s="63">
        <f>E6</f>
        <v>6517.38</v>
      </c>
    </row>
    <row r="3" spans="1:6" ht="14.25" customHeight="1" x14ac:dyDescent="0.3">
      <c r="A3" s="101" t="s">
        <v>532</v>
      </c>
      <c r="B3" s="119"/>
      <c r="C3" s="63">
        <f>C6+C5-C2</f>
        <v>2320.67</v>
      </c>
      <c r="D3" s="63">
        <f>D6+D5-D2</f>
        <v>-17591.48</v>
      </c>
      <c r="E3" s="63">
        <f>E6+E5-E2</f>
        <v>1765.32</v>
      </c>
      <c r="F3" s="63">
        <f>F6+F5-F2</f>
        <v>3585.09</v>
      </c>
    </row>
    <row r="4" spans="1:6" ht="14.25" customHeight="1" x14ac:dyDescent="0.3">
      <c r="A4" s="101" t="s">
        <v>533</v>
      </c>
      <c r="B4" s="63">
        <f>'Historical FS'!B30</f>
        <v>20997.45</v>
      </c>
      <c r="C4" s="63">
        <f>C2+C3</f>
        <v>23318.12</v>
      </c>
      <c r="D4" s="63">
        <f>D2+D3</f>
        <v>5438.9</v>
      </c>
      <c r="E4" s="63">
        <f>E2+E3</f>
        <v>6868.04</v>
      </c>
      <c r="F4" s="63">
        <f>F2+F3</f>
        <v>10102.469999999999</v>
      </c>
    </row>
    <row r="5" spans="1:6" ht="14.25" customHeight="1" x14ac:dyDescent="0.3">
      <c r="A5" s="101" t="s">
        <v>534</v>
      </c>
      <c r="B5" s="63">
        <f>'Historical FS'!B62</f>
        <v>228.54</v>
      </c>
      <c r="C5" s="63">
        <f>'Historical FS'!C62</f>
        <v>287.74</v>
      </c>
      <c r="D5" s="63">
        <f>'Historical FS'!D62</f>
        <v>336.18</v>
      </c>
      <c r="E5" s="63">
        <f>'Historical FS'!E62</f>
        <v>350.66</v>
      </c>
      <c r="F5" s="63">
        <f>'Historical FS'!F62</f>
        <v>420.42</v>
      </c>
    </row>
    <row r="6" spans="1:6" ht="14.25" customHeight="1" x14ac:dyDescent="0.3">
      <c r="A6" s="10" t="s">
        <v>535</v>
      </c>
      <c r="B6" s="63">
        <f>'Historical FS'!B30</f>
        <v>20997.45</v>
      </c>
      <c r="C6" s="63">
        <f>'Historical FS'!C30</f>
        <v>23030.38</v>
      </c>
      <c r="D6" s="63">
        <f>'Historical FS'!D30</f>
        <v>5102.72</v>
      </c>
      <c r="E6" s="63">
        <f>'Historical FS'!E30</f>
        <v>6517.38</v>
      </c>
      <c r="F6" s="63">
        <f>'Historical FS'!F30</f>
        <v>9682.0499999999993</v>
      </c>
    </row>
    <row r="7" spans="1:6" ht="14.25" customHeight="1" x14ac:dyDescent="0.3">
      <c r="A7" s="20"/>
      <c r="B7" s="20"/>
      <c r="C7" s="20"/>
      <c r="D7" s="20"/>
      <c r="E7" s="20"/>
    </row>
    <row r="8" spans="1:6" ht="14.25" customHeight="1" x14ac:dyDescent="0.3">
      <c r="A8" s="101" t="s">
        <v>536</v>
      </c>
      <c r="B8" s="120"/>
      <c r="C8" s="121">
        <f>C3-C5</f>
        <v>2032.93</v>
      </c>
      <c r="D8" s="121">
        <f>D3-D5</f>
        <v>-17927.66</v>
      </c>
      <c r="E8" s="121">
        <f>E3-E5</f>
        <v>1414.66</v>
      </c>
      <c r="F8" s="121">
        <f>F3-F5</f>
        <v>3164.67</v>
      </c>
    </row>
    <row r="9" spans="1:6" ht="14.25" customHeight="1" x14ac:dyDescent="0.3">
      <c r="A9" s="10" t="s">
        <v>537</v>
      </c>
      <c r="B9" s="122"/>
      <c r="C9" s="115">
        <f>C8/Assumptions!C3</f>
        <v>7.8546913208661195E-2</v>
      </c>
      <c r="D9" s="115">
        <f>D8/Assumptions!D3</f>
        <v>-1.01476095382999</v>
      </c>
      <c r="E9" s="115">
        <f>E8/Assumptions!E3</f>
        <v>6.6391494214573493E-2</v>
      </c>
      <c r="F9" s="115">
        <f>F8/Assumptions!F3</f>
        <v>0.132382395363079</v>
      </c>
    </row>
    <row r="10" spans="1:6" ht="14.25" customHeight="1" x14ac:dyDescent="0.3">
      <c r="A10" s="20"/>
      <c r="B10" s="20"/>
      <c r="C10" s="20"/>
      <c r="D10" s="20"/>
      <c r="E10" s="20"/>
    </row>
    <row r="11" spans="1:6" ht="14.25" customHeight="1" x14ac:dyDescent="0.3">
      <c r="A11" s="10" t="s">
        <v>538</v>
      </c>
      <c r="B11" s="20"/>
      <c r="C11" s="115">
        <f>MEDIAN(C9:F9)</f>
        <v>7.2469203711617303E-2</v>
      </c>
      <c r="D11" s="20"/>
      <c r="E11" s="20"/>
    </row>
    <row r="12" spans="1:6" ht="14.25" customHeight="1" x14ac:dyDescent="0.3">
      <c r="A12" s="10" t="s">
        <v>539</v>
      </c>
      <c r="B12" s="20"/>
      <c r="C12" s="115">
        <f>AVERAGE(C9:F9)</f>
        <v>-0.184360037760919</v>
      </c>
      <c r="D12" s="20"/>
      <c r="E12" s="20"/>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E3:R14"/>
  <sheetViews>
    <sheetView workbookViewId="0">
      <selection activeCell="D7" sqref="D7"/>
    </sheetView>
  </sheetViews>
  <sheetFormatPr defaultColWidth="8.6640625" defaultRowHeight="14.4" x14ac:dyDescent="0.3"/>
  <cols>
    <col min="5" max="5" width="11.109375" customWidth="1"/>
    <col min="6" max="6" width="6.109375" customWidth="1"/>
    <col min="7" max="7" width="9.6640625" customWidth="1"/>
    <col min="8" max="8" width="11.88671875" customWidth="1"/>
    <col min="10" max="10" width="11.109375" customWidth="1"/>
    <col min="11" max="11" width="6.109375" customWidth="1"/>
    <col min="12" max="12" width="9.6640625" customWidth="1"/>
    <col min="13" max="13" width="13.88671875" customWidth="1"/>
    <col min="15" max="15" width="11.109375" customWidth="1"/>
    <col min="16" max="16" width="6.109375" customWidth="1"/>
    <col min="17" max="17" width="5.88671875" customWidth="1"/>
    <col min="18" max="18" width="10.77734375" customWidth="1"/>
  </cols>
  <sheetData>
    <row r="3" spans="5:18" ht="14.25" customHeight="1" x14ac:dyDescent="0.3">
      <c r="E3" s="274" t="s">
        <v>540</v>
      </c>
      <c r="F3" s="225"/>
      <c r="G3" s="225"/>
      <c r="H3" s="226"/>
      <c r="J3" s="274" t="s">
        <v>541</v>
      </c>
      <c r="K3" s="225"/>
      <c r="L3" s="225"/>
      <c r="M3" s="226"/>
      <c r="O3" s="274" t="s">
        <v>542</v>
      </c>
      <c r="P3" s="225"/>
      <c r="Q3" s="225"/>
      <c r="R3" s="226"/>
    </row>
    <row r="4" spans="5:18" ht="14.25" customHeight="1" x14ac:dyDescent="0.3">
      <c r="E4" s="275" t="s">
        <v>543</v>
      </c>
      <c r="F4" s="275" t="s">
        <v>544</v>
      </c>
      <c r="G4" s="275" t="s">
        <v>545</v>
      </c>
      <c r="H4" s="275" t="s">
        <v>483</v>
      </c>
      <c r="J4" s="275" t="s">
        <v>543</v>
      </c>
      <c r="K4" s="275" t="s">
        <v>544</v>
      </c>
      <c r="L4" s="275" t="s">
        <v>270</v>
      </c>
      <c r="M4" s="275" t="s">
        <v>484</v>
      </c>
      <c r="O4" s="275" t="s">
        <v>543</v>
      </c>
      <c r="P4" s="275" t="s">
        <v>544</v>
      </c>
      <c r="Q4" s="275" t="s">
        <v>546</v>
      </c>
      <c r="R4" s="275" t="s">
        <v>547</v>
      </c>
    </row>
    <row r="5" spans="5:18" ht="14.25" customHeight="1" x14ac:dyDescent="0.3">
      <c r="E5" s="117">
        <v>1</v>
      </c>
      <c r="F5" s="276">
        <f>'Ratio Analysis'!B2</f>
        <v>44256</v>
      </c>
      <c r="G5" s="277">
        <f>Assumptions!B3</f>
        <v>15370.06</v>
      </c>
      <c r="H5" s="278"/>
      <c r="I5" s="279"/>
      <c r="J5" s="280">
        <v>1</v>
      </c>
      <c r="K5" s="281">
        <f>'Ratio Analysis'!B2</f>
        <v>44256</v>
      </c>
      <c r="L5" s="277">
        <f>Assumptions!B9</f>
        <v>8789.27</v>
      </c>
      <c r="M5" s="278"/>
      <c r="N5" s="279"/>
      <c r="O5" s="280">
        <v>1</v>
      </c>
      <c r="P5" s="281">
        <f>'Ratio Analysis'!B2</f>
        <v>44256</v>
      </c>
      <c r="Q5" s="277">
        <f>'Standalone P&amp;L '!F38</f>
        <v>20.62</v>
      </c>
      <c r="R5" s="278"/>
    </row>
    <row r="6" spans="5:18" ht="14.25" customHeight="1" x14ac:dyDescent="0.3">
      <c r="E6" s="117">
        <f t="shared" ref="E6:E14" si="0">E5+1</f>
        <v>2</v>
      </c>
      <c r="F6" s="281">
        <f t="shared" ref="F6:F14" si="1">F5+365</f>
        <v>44621</v>
      </c>
      <c r="G6" s="277">
        <f>Assumptions!C3</f>
        <v>25881.73</v>
      </c>
      <c r="H6" s="278">
        <f t="shared" ref="H6:H14" si="2">(G6-G5)/G5</f>
        <v>0.68390559308161503</v>
      </c>
      <c r="I6" s="279"/>
      <c r="J6" s="280">
        <f t="shared" ref="J6:J14" si="3">J5+1</f>
        <v>2</v>
      </c>
      <c r="K6" s="281">
        <f t="shared" ref="K6:K14" si="4">K5+365</f>
        <v>44621</v>
      </c>
      <c r="L6" s="277">
        <f>Assumptions!C9</f>
        <v>12582.52</v>
      </c>
      <c r="M6" s="278">
        <f t="shared" ref="M6:M14" si="5">(L6-L5)/L5</f>
        <v>0.43157736649346301</v>
      </c>
      <c r="N6" s="279"/>
      <c r="O6" s="280">
        <f t="shared" ref="O6:O14" si="6">O5+1</f>
        <v>2</v>
      </c>
      <c r="P6" s="281">
        <f t="shared" ref="P6:P14" si="7">P5+365</f>
        <v>44621</v>
      </c>
      <c r="Q6" s="277">
        <f>'Standalone P&amp;L '!E38</f>
        <v>32.07</v>
      </c>
      <c r="R6" s="278">
        <f t="shared" ref="R6:R14" si="8">(Q6-Q5)/Q5</f>
        <v>0.55528612997090199</v>
      </c>
    </row>
    <row r="7" spans="5:18" ht="14.25" customHeight="1" x14ac:dyDescent="0.3">
      <c r="E7" s="117">
        <f t="shared" si="0"/>
        <v>3</v>
      </c>
      <c r="F7" s="281">
        <f t="shared" si="1"/>
        <v>44986</v>
      </c>
      <c r="G7" s="277">
        <f>Assumptions!D3</f>
        <v>17666.88</v>
      </c>
      <c r="H7" s="278">
        <f t="shared" si="2"/>
        <v>-0.31739957104876698</v>
      </c>
      <c r="I7" s="279"/>
      <c r="J7" s="280">
        <f t="shared" si="3"/>
        <v>3</v>
      </c>
      <c r="K7" s="281">
        <f t="shared" si="4"/>
        <v>44986</v>
      </c>
      <c r="L7" s="277">
        <f>Assumptions!D9</f>
        <v>6052.53</v>
      </c>
      <c r="M7" s="278">
        <f t="shared" si="5"/>
        <v>-0.51897314687359897</v>
      </c>
      <c r="N7" s="279"/>
      <c r="O7" s="280">
        <f t="shared" si="6"/>
        <v>3</v>
      </c>
      <c r="P7" s="281">
        <f t="shared" si="7"/>
        <v>44986</v>
      </c>
      <c r="Q7" s="277">
        <f>'Standalone P&amp;L '!D38</f>
        <v>18.86</v>
      </c>
      <c r="R7" s="278">
        <f t="shared" si="8"/>
        <v>-0.411911443716869</v>
      </c>
    </row>
    <row r="8" spans="5:18" ht="14.25" customHeight="1" x14ac:dyDescent="0.3">
      <c r="E8" s="117">
        <f t="shared" si="0"/>
        <v>4</v>
      </c>
      <c r="F8" s="281">
        <f t="shared" si="1"/>
        <v>45351</v>
      </c>
      <c r="G8" s="277">
        <f>Assumptions!E3</f>
        <v>21307.85</v>
      </c>
      <c r="H8" s="278">
        <f t="shared" si="2"/>
        <v>0.206090152873626</v>
      </c>
      <c r="I8" s="279"/>
      <c r="J8" s="280">
        <f t="shared" si="3"/>
        <v>4</v>
      </c>
      <c r="K8" s="281">
        <f t="shared" si="4"/>
        <v>45351</v>
      </c>
      <c r="L8" s="277">
        <f>Assumptions!E9</f>
        <v>7292.83</v>
      </c>
      <c r="M8" s="278">
        <f t="shared" si="5"/>
        <v>0.20492256957008001</v>
      </c>
      <c r="N8" s="279"/>
      <c r="O8" s="280">
        <f t="shared" si="6"/>
        <v>4</v>
      </c>
      <c r="P8" s="281">
        <f t="shared" si="7"/>
        <v>45351</v>
      </c>
      <c r="Q8" s="277">
        <f>'Standalone P&amp;L '!C38</f>
        <v>19.22</v>
      </c>
      <c r="R8" s="278">
        <f t="shared" si="8"/>
        <v>1.9088016967126201E-2</v>
      </c>
    </row>
    <row r="9" spans="5:18" ht="14.25" customHeight="1" x14ac:dyDescent="0.3">
      <c r="E9" s="117">
        <f t="shared" si="0"/>
        <v>5</v>
      </c>
      <c r="F9" s="281">
        <f t="shared" si="1"/>
        <v>45716</v>
      </c>
      <c r="G9" s="277">
        <f>Assumptions!F3</f>
        <v>23905.52</v>
      </c>
      <c r="H9" s="278">
        <f t="shared" si="2"/>
        <v>0.12191140823687099</v>
      </c>
      <c r="I9" s="279"/>
      <c r="J9" s="280">
        <f t="shared" si="3"/>
        <v>5</v>
      </c>
      <c r="K9" s="281">
        <f t="shared" si="4"/>
        <v>45716</v>
      </c>
      <c r="L9" s="282">
        <f>Assumptions!F9</f>
        <v>8148.67</v>
      </c>
      <c r="M9" s="278">
        <f t="shared" si="5"/>
        <v>0.117353619925324</v>
      </c>
      <c r="N9" s="279"/>
      <c r="O9" s="280">
        <f t="shared" si="6"/>
        <v>5</v>
      </c>
      <c r="P9" s="281">
        <f t="shared" si="7"/>
        <v>45716</v>
      </c>
      <c r="Q9" s="282">
        <f>'Standalone P&amp;L '!B38</f>
        <v>7.61</v>
      </c>
      <c r="R9" s="278">
        <f t="shared" si="8"/>
        <v>-0.60405827263267398</v>
      </c>
    </row>
    <row r="10" spans="5:18" ht="14.25" customHeight="1" x14ac:dyDescent="0.3">
      <c r="E10" s="117">
        <f t="shared" si="0"/>
        <v>6</v>
      </c>
      <c r="F10" s="283">
        <f t="shared" si="1"/>
        <v>46081</v>
      </c>
      <c r="G10" s="284">
        <f>FORECAST(E10,$G$5:$G$9,$E$5:$E$9)</f>
        <v>24575.52</v>
      </c>
      <c r="H10" s="278">
        <f t="shared" si="2"/>
        <v>2.8026999621844701E-2</v>
      </c>
      <c r="I10" s="279"/>
      <c r="J10" s="280">
        <f t="shared" si="3"/>
        <v>6</v>
      </c>
      <c r="K10" s="283">
        <f t="shared" si="4"/>
        <v>46081</v>
      </c>
      <c r="L10" s="284">
        <f>FORECAST(J10,$L$5:$L$9,$J$5:$J$9)</f>
        <v>6601.8969999999999</v>
      </c>
      <c r="M10" s="278">
        <f t="shared" si="5"/>
        <v>-0.189819074769257</v>
      </c>
      <c r="N10" s="279"/>
      <c r="O10" s="280">
        <f t="shared" si="6"/>
        <v>6</v>
      </c>
      <c r="P10" s="283">
        <f t="shared" si="7"/>
        <v>46081</v>
      </c>
      <c r="Q10" s="284">
        <f>FORECAST(O10,$Q$5:$Q$9,$O$5:$O$9)</f>
        <v>8.0150000000000006</v>
      </c>
      <c r="R10" s="278">
        <f t="shared" si="8"/>
        <v>5.3219448094611897E-2</v>
      </c>
    </row>
    <row r="11" spans="5:18" ht="14.25" customHeight="1" x14ac:dyDescent="0.3">
      <c r="E11" s="117">
        <f t="shared" si="0"/>
        <v>7</v>
      </c>
      <c r="F11" s="283">
        <f t="shared" si="1"/>
        <v>46446</v>
      </c>
      <c r="G11" s="284">
        <f>FORECAST(E11,$G$5:$G$9,$E$5:$E$9)</f>
        <v>25825.223999999998</v>
      </c>
      <c r="H11" s="278">
        <f t="shared" si="2"/>
        <v>5.0851579132404998E-2</v>
      </c>
      <c r="I11" s="279"/>
      <c r="J11" s="280">
        <f t="shared" si="3"/>
        <v>7</v>
      </c>
      <c r="K11" s="283">
        <f t="shared" si="4"/>
        <v>46446</v>
      </c>
      <c r="L11" s="284">
        <f>FORECAST(J11,$L$5:$L$9,$J$5:$J$9)</f>
        <v>5944.808</v>
      </c>
      <c r="M11" s="278">
        <f t="shared" si="5"/>
        <v>-9.9530331963676499E-2</v>
      </c>
      <c r="N11" s="279"/>
      <c r="O11" s="280">
        <f t="shared" si="6"/>
        <v>7</v>
      </c>
      <c r="P11" s="283">
        <f t="shared" si="7"/>
        <v>46446</v>
      </c>
      <c r="Q11" s="284">
        <f>FORECAST(O11,$Q$5:$Q$9,$O$5:$O$9)</f>
        <v>4.1280000000000001</v>
      </c>
      <c r="R11" s="278">
        <f t="shared" si="8"/>
        <v>-0.484965689332502</v>
      </c>
    </row>
    <row r="12" spans="5:18" ht="14.25" customHeight="1" x14ac:dyDescent="0.3">
      <c r="E12" s="117">
        <f t="shared" si="0"/>
        <v>8</v>
      </c>
      <c r="F12" s="283">
        <f t="shared" si="1"/>
        <v>46811</v>
      </c>
      <c r="G12" s="284">
        <f>FORECAST(E12,$G$5:$G$9,$E$5:$E$9)</f>
        <v>27074.928</v>
      </c>
      <c r="H12" s="278">
        <f t="shared" si="2"/>
        <v>4.8390829059217398E-2</v>
      </c>
      <c r="I12" s="279"/>
      <c r="J12" s="280">
        <f t="shared" si="3"/>
        <v>8</v>
      </c>
      <c r="K12" s="283">
        <f t="shared" si="4"/>
        <v>46811</v>
      </c>
      <c r="L12" s="284">
        <f>FORECAST(J12,$L$5:$L$9,$J$5:$J$9)</f>
        <v>5287.7190000000001</v>
      </c>
      <c r="M12" s="278">
        <f t="shared" si="5"/>
        <v>-0.110531576461342</v>
      </c>
      <c r="N12" s="279"/>
      <c r="O12" s="280">
        <f t="shared" si="6"/>
        <v>8</v>
      </c>
      <c r="P12" s="283">
        <f t="shared" si="7"/>
        <v>46811</v>
      </c>
      <c r="Q12" s="284">
        <f>FORECAST(O12,$Q$5:$Q$9,$O$5:$O$9)</f>
        <v>0.240999999999996</v>
      </c>
      <c r="R12" s="278">
        <f t="shared" si="8"/>
        <v>-0.94161821705426396</v>
      </c>
    </row>
    <row r="13" spans="5:18" ht="14.25" customHeight="1" x14ac:dyDescent="0.3">
      <c r="E13" s="117">
        <f t="shared" si="0"/>
        <v>9</v>
      </c>
      <c r="F13" s="283">
        <f t="shared" si="1"/>
        <v>47176</v>
      </c>
      <c r="G13" s="284">
        <f>FORECAST(E13,$G$5:$G$9,$E$5:$E$9)</f>
        <v>28324.632000000001</v>
      </c>
      <c r="H13" s="278">
        <f t="shared" si="2"/>
        <v>4.6157241858593198E-2</v>
      </c>
      <c r="I13" s="279"/>
      <c r="J13" s="280">
        <f t="shared" si="3"/>
        <v>9</v>
      </c>
      <c r="K13" s="283">
        <f t="shared" si="4"/>
        <v>47176</v>
      </c>
      <c r="L13" s="284">
        <f>FORECAST(J13,$L$5:$L$9,$J$5:$J$9)</f>
        <v>4630.63</v>
      </c>
      <c r="M13" s="278">
        <f t="shared" si="5"/>
        <v>-0.124267004354808</v>
      </c>
      <c r="N13" s="279"/>
      <c r="O13" s="280">
        <f t="shared" si="6"/>
        <v>9</v>
      </c>
      <c r="P13" s="283">
        <f t="shared" si="7"/>
        <v>47176</v>
      </c>
      <c r="Q13" s="284">
        <f>FORECAST(O13,$Q$5:$Q$9,$O$5:$O$9)</f>
        <v>-3.6459999999999999</v>
      </c>
      <c r="R13" s="278">
        <f t="shared" si="8"/>
        <v>-16.1286307053945</v>
      </c>
    </row>
    <row r="14" spans="5:18" ht="14.25" customHeight="1" x14ac:dyDescent="0.3">
      <c r="E14" s="117">
        <f t="shared" si="0"/>
        <v>10</v>
      </c>
      <c r="F14" s="283">
        <f t="shared" si="1"/>
        <v>47541</v>
      </c>
      <c r="G14" s="284">
        <f>FORECAST(E14,$G$5:$G$9,$E$5:$E$9)</f>
        <v>29574.335999999999</v>
      </c>
      <c r="H14" s="278">
        <f t="shared" si="2"/>
        <v>4.4120749741779597E-2</v>
      </c>
      <c r="I14" s="279"/>
      <c r="J14" s="280">
        <f t="shared" si="3"/>
        <v>10</v>
      </c>
      <c r="K14" s="283">
        <f t="shared" si="4"/>
        <v>47541</v>
      </c>
      <c r="L14" s="284">
        <f>FORECAST(J14,$L$5:$L$9,$J$5:$J$9)</f>
        <v>3973.5410000000002</v>
      </c>
      <c r="M14" s="278">
        <f t="shared" si="5"/>
        <v>-0.14190056212653601</v>
      </c>
      <c r="N14" s="279"/>
      <c r="O14" s="280">
        <f t="shared" si="6"/>
        <v>10</v>
      </c>
      <c r="P14" s="283">
        <f t="shared" si="7"/>
        <v>47541</v>
      </c>
      <c r="Q14" s="284">
        <f>FORECAST(O14,$Q$5:$Q$9,$O$5:$O$9)</f>
        <v>-7.5330000000000004</v>
      </c>
      <c r="R14" s="278">
        <f t="shared" si="8"/>
        <v>1.06609983543609</v>
      </c>
    </row>
  </sheetData>
  <mergeCells count="3">
    <mergeCell ref="E3:H3"/>
    <mergeCell ref="J3:M3"/>
    <mergeCell ref="O3:R3"/>
  </mergeCells>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8"/>
  <sheetViews>
    <sheetView showGridLines="0" workbookViewId="0">
      <selection activeCell="B22" sqref="B22"/>
    </sheetView>
  </sheetViews>
  <sheetFormatPr defaultColWidth="8.6640625" defaultRowHeight="14.4" x14ac:dyDescent="0.3"/>
  <cols>
    <col min="1" max="1" width="39.77734375" customWidth="1"/>
    <col min="2" max="2" width="20.21875" customWidth="1"/>
    <col min="3" max="6" width="9.6640625" customWidth="1"/>
  </cols>
  <sheetData>
    <row r="1" spans="1:6" ht="25.5" customHeight="1" x14ac:dyDescent="0.5">
      <c r="A1" s="269" t="s">
        <v>412</v>
      </c>
      <c r="B1" s="225"/>
      <c r="C1" s="225"/>
      <c r="D1" s="225"/>
      <c r="E1" s="225"/>
      <c r="F1" s="226"/>
    </row>
    <row r="2" spans="1:6" ht="14.25" customHeight="1" x14ac:dyDescent="0.3">
      <c r="A2" s="273" t="s">
        <v>548</v>
      </c>
      <c r="B2" s="271">
        <v>44256</v>
      </c>
      <c r="C2" s="272" t="s">
        <v>303</v>
      </c>
      <c r="D2" s="272" t="s">
        <v>302</v>
      </c>
      <c r="E2" s="272" t="s">
        <v>301</v>
      </c>
      <c r="F2" s="272" t="s">
        <v>300</v>
      </c>
    </row>
    <row r="3" spans="1:6" ht="14.25" customHeight="1" x14ac:dyDescent="0.3">
      <c r="A3" s="111" t="s">
        <v>549</v>
      </c>
      <c r="B3" s="63">
        <f>'Historical FS'!B52</f>
        <v>15370.06</v>
      </c>
      <c r="C3" s="63">
        <f>'Historical FS'!C52</f>
        <v>25881.73</v>
      </c>
      <c r="D3" s="63">
        <f>'Historical FS'!D52</f>
        <v>17666.88</v>
      </c>
      <c r="E3" s="63">
        <f>'Historical FS'!E52</f>
        <v>21307.85</v>
      </c>
      <c r="F3" s="63">
        <f>'Historical FS'!F52</f>
        <v>23905.52</v>
      </c>
    </row>
    <row r="4" spans="1:6" ht="14.25" customHeight="1" x14ac:dyDescent="0.3">
      <c r="A4" s="64" t="s">
        <v>550</v>
      </c>
      <c r="B4" s="64"/>
      <c r="C4" s="67">
        <f>(C3-B3)/B3</f>
        <v>0.68390559308161503</v>
      </c>
      <c r="D4" s="67">
        <f>(D3-C3)/C3</f>
        <v>-0.31739957104876698</v>
      </c>
      <c r="E4" s="67">
        <f>(E3-D3)/D3</f>
        <v>0.206090152873626</v>
      </c>
      <c r="F4" s="67">
        <f>(F3-E3)/E3</f>
        <v>0.12191140823687099</v>
      </c>
    </row>
    <row r="5" spans="1:6" ht="14.25" customHeight="1" x14ac:dyDescent="0.3">
      <c r="A5" s="64" t="s">
        <v>551</v>
      </c>
      <c r="B5" s="63">
        <f>'Historical FS'!B56+'Historical FS'!B57+'Historical FS'!B58+'Historical FS'!B59</f>
        <v>3217.81</v>
      </c>
      <c r="C5" s="63">
        <f>'Historical FS'!C56+'Historical FS'!C57+'Historical FS'!C58+'Historical FS'!C59</f>
        <v>9604.51</v>
      </c>
      <c r="D5" s="63">
        <f>'Historical FS'!D56+'Historical FS'!D57+'Historical FS'!D58+'Historical FS'!D59</f>
        <v>8209.48</v>
      </c>
      <c r="E5" s="63">
        <f>'Historical FS'!E56+'Historical FS'!E57+'Historical FS'!E58+'Historical FS'!E59</f>
        <v>10208.9</v>
      </c>
      <c r="F5" s="63">
        <f>'Historical FS'!F56+'Historical FS'!F57+'Historical FS'!F58+'Historical FS'!F59</f>
        <v>11695.7</v>
      </c>
    </row>
    <row r="6" spans="1:6" ht="14.25" customHeight="1" x14ac:dyDescent="0.3">
      <c r="A6" s="64" t="s">
        <v>552</v>
      </c>
      <c r="B6" s="63">
        <f>'Historical FS'!B60</f>
        <v>1085.24</v>
      </c>
      <c r="C6" s="63">
        <f>'Historical FS'!C60</f>
        <v>1337.07</v>
      </c>
      <c r="D6" s="63">
        <f>'Historical FS'!D60</f>
        <v>1530.57</v>
      </c>
      <c r="E6" s="63">
        <f>'Historical FS'!E60</f>
        <v>1625.54</v>
      </c>
      <c r="F6" s="63">
        <f>'Historical FS'!F60</f>
        <v>1795.04</v>
      </c>
    </row>
    <row r="7" spans="1:6" ht="14.25" customHeight="1" x14ac:dyDescent="0.3">
      <c r="A7" s="64" t="s">
        <v>553</v>
      </c>
      <c r="B7" s="63">
        <f>'Historical FS'!B63</f>
        <v>2277.7399999999998</v>
      </c>
      <c r="C7" s="63">
        <f>'Historical FS'!C63</f>
        <v>2357.63</v>
      </c>
      <c r="D7" s="63">
        <f>'Historical FS'!D63</f>
        <v>1874.3</v>
      </c>
      <c r="E7" s="63">
        <f>'Historical FS'!E63</f>
        <v>2180.58</v>
      </c>
      <c r="F7" s="63">
        <f>'Historical FS'!F63</f>
        <v>2266.11</v>
      </c>
    </row>
    <row r="8" spans="1:6" ht="14.25" customHeight="1" x14ac:dyDescent="0.3">
      <c r="A8" s="111" t="s">
        <v>268</v>
      </c>
      <c r="B8" s="63">
        <f>B5+B6+B7</f>
        <v>6580.79</v>
      </c>
      <c r="C8" s="63">
        <f>C5+C6+C7</f>
        <v>13299.21</v>
      </c>
      <c r="D8" s="63">
        <f>D5+D6+D7</f>
        <v>11614.35</v>
      </c>
      <c r="E8" s="63">
        <f>E5+E6+E7</f>
        <v>14015.02</v>
      </c>
      <c r="F8" s="63">
        <f>F5+F6+F7</f>
        <v>15756.85</v>
      </c>
    </row>
    <row r="9" spans="1:6" ht="14.25" customHeight="1" x14ac:dyDescent="0.3">
      <c r="A9" s="111" t="s">
        <v>270</v>
      </c>
      <c r="B9" s="63">
        <f>B3-B8</f>
        <v>8789.27</v>
      </c>
      <c r="C9" s="63">
        <f>C3-C8</f>
        <v>12582.52</v>
      </c>
      <c r="D9" s="63">
        <f>D3-D8</f>
        <v>6052.53</v>
      </c>
      <c r="E9" s="63">
        <f>E3-E8</f>
        <v>7292.83</v>
      </c>
      <c r="F9" s="63">
        <f>F3-F8</f>
        <v>8148.67</v>
      </c>
    </row>
    <row r="10" spans="1:6" ht="14.25" customHeight="1" x14ac:dyDescent="0.3">
      <c r="A10" s="64" t="s">
        <v>554</v>
      </c>
      <c r="B10" s="63">
        <f>'Historical FS'!B62</f>
        <v>228.54</v>
      </c>
      <c r="C10" s="63">
        <f>'Historical FS'!C62</f>
        <v>287.74</v>
      </c>
      <c r="D10" s="63">
        <f>'Historical FS'!D62</f>
        <v>336.18</v>
      </c>
      <c r="E10" s="63">
        <f>'Historical FS'!E62</f>
        <v>350.66</v>
      </c>
      <c r="F10" s="63">
        <f>'Historical FS'!F62</f>
        <v>420.42</v>
      </c>
    </row>
    <row r="11" spans="1:6" ht="14.25" customHeight="1" x14ac:dyDescent="0.3">
      <c r="A11" s="64" t="s">
        <v>555</v>
      </c>
      <c r="B11" s="63">
        <f>B9-B10</f>
        <v>8560.73</v>
      </c>
      <c r="C11" s="63">
        <f>C9-C10</f>
        <v>12294.78</v>
      </c>
      <c r="D11" s="63">
        <f>D9-D10</f>
        <v>5716.35</v>
      </c>
      <c r="E11" s="63">
        <f>E9-E10</f>
        <v>6942.17</v>
      </c>
      <c r="F11" s="63">
        <f>F9-F10</f>
        <v>7728.25</v>
      </c>
    </row>
    <row r="12" spans="1:6" ht="14.25" customHeight="1" x14ac:dyDescent="0.3">
      <c r="A12" s="64" t="s">
        <v>556</v>
      </c>
      <c r="B12" s="63">
        <f>'Historical FS'!B53</f>
        <v>351.6</v>
      </c>
      <c r="C12" s="63">
        <f>'Historical FS'!C53</f>
        <v>718.52</v>
      </c>
      <c r="D12" s="63">
        <f>'Historical FS'!D53</f>
        <v>768.22</v>
      </c>
      <c r="E12" s="63">
        <f>'Historical FS'!E53</f>
        <v>1370.88</v>
      </c>
      <c r="F12" s="63">
        <f>'Historical FS'!F53</f>
        <v>1593.32</v>
      </c>
    </row>
    <row r="13" spans="1:6" ht="14.25" customHeight="1" x14ac:dyDescent="0.3">
      <c r="A13" s="64" t="s">
        <v>557</v>
      </c>
      <c r="B13" s="63">
        <f>'Historical FS'!B61</f>
        <v>16.809999999999999</v>
      </c>
      <c r="C13" s="63">
        <f>'Historical FS'!C61</f>
        <v>39.06</v>
      </c>
      <c r="D13" s="63">
        <f>'Historical FS'!D61</f>
        <v>75.23</v>
      </c>
      <c r="E13" s="63">
        <f>'Historical FS'!E61</f>
        <v>78.239999999999995</v>
      </c>
      <c r="F13" s="63">
        <f>'Historical FS'!F61</f>
        <v>177.68</v>
      </c>
    </row>
    <row r="14" spans="1:6" ht="14.25" customHeight="1" x14ac:dyDescent="0.3">
      <c r="A14" s="64" t="s">
        <v>558</v>
      </c>
      <c r="B14" s="63">
        <f>B11+B12-B13</f>
        <v>8895.52</v>
      </c>
      <c r="C14" s="63">
        <f>C11+C12-C13</f>
        <v>12974.24</v>
      </c>
      <c r="D14" s="63">
        <f>D11+D12-D13</f>
        <v>6409.34</v>
      </c>
      <c r="E14" s="63">
        <f>E11+E12-E13</f>
        <v>8234.81</v>
      </c>
      <c r="F14" s="63">
        <f>F11+F12-F13</f>
        <v>9143.89</v>
      </c>
    </row>
    <row r="15" spans="1:6" ht="14.25" customHeight="1" x14ac:dyDescent="0.3">
      <c r="A15" s="111" t="s">
        <v>559</v>
      </c>
      <c r="B15" s="63">
        <f>'Historical FS'!B72</f>
        <v>2648.45</v>
      </c>
      <c r="C15" s="63">
        <f>'Historical FS'!C72</f>
        <v>3582.25</v>
      </c>
      <c r="D15" s="63">
        <f>'Historical FS'!D72</f>
        <v>2108.21</v>
      </c>
      <c r="E15" s="63">
        <f>'Historical FS'!E72</f>
        <v>2380.42</v>
      </c>
      <c r="F15" s="63">
        <f>'Historical FS'!F72</f>
        <v>2604.14</v>
      </c>
    </row>
    <row r="16" spans="1:6" ht="14.25" customHeight="1" x14ac:dyDescent="0.3">
      <c r="A16" s="64" t="s">
        <v>560</v>
      </c>
      <c r="B16" s="63">
        <f>'Historical FS'!B79</f>
        <v>0.37</v>
      </c>
      <c r="C16" s="63">
        <f>'Historical FS'!C79</f>
        <v>0.55000000000000004</v>
      </c>
      <c r="D16" s="63">
        <f>'Historical FS'!D79</f>
        <v>-1.1000000000000001</v>
      </c>
      <c r="E16" s="63">
        <f>'Historical FS'!E79</f>
        <v>4.1900000000000004</v>
      </c>
      <c r="F16" s="63">
        <f>'Historical FS'!F79</f>
        <v>10.95</v>
      </c>
    </row>
    <row r="17" spans="1:6" ht="14.25" customHeight="1" x14ac:dyDescent="0.3">
      <c r="A17" s="111" t="s">
        <v>561</v>
      </c>
      <c r="B17" s="63">
        <f>B14-B15-B16</f>
        <v>6246.7</v>
      </c>
      <c r="C17" s="63">
        <f>C14-C15-C16</f>
        <v>9391.44</v>
      </c>
      <c r="D17" s="63">
        <f>D14-D15-D16</f>
        <v>4302.2299999999996</v>
      </c>
      <c r="E17" s="63">
        <f>E14-E15-E16</f>
        <v>5850.2</v>
      </c>
      <c r="F17" s="63">
        <f>F14-F15-F16</f>
        <v>6528.8</v>
      </c>
    </row>
    <row r="18" spans="1:6" ht="14.25" customHeight="1" x14ac:dyDescent="0.3">
      <c r="A18" s="64"/>
      <c r="B18" s="64"/>
      <c r="C18" s="64"/>
      <c r="D18" s="64"/>
      <c r="E18" s="64"/>
      <c r="F18" s="64"/>
    </row>
    <row r="23" spans="1:6" ht="14.25" customHeight="1" x14ac:dyDescent="0.3">
      <c r="A23" s="215" t="s">
        <v>562</v>
      </c>
      <c r="B23" s="199"/>
      <c r="C23" s="200"/>
    </row>
    <row r="24" spans="1:6" ht="14.25" customHeight="1" x14ac:dyDescent="0.3">
      <c r="A24" s="10" t="s">
        <v>563</v>
      </c>
      <c r="B24" s="67">
        <f>AVERAGE(C4:F4)</f>
        <v>0.17362689578583601</v>
      </c>
      <c r="C24" s="64"/>
    </row>
    <row r="25" spans="1:6" ht="14.25" customHeight="1" x14ac:dyDescent="0.3">
      <c r="A25" s="10" t="s">
        <v>564</v>
      </c>
      <c r="B25" s="67">
        <f>(F3/B3)^(1/5)-1</f>
        <v>9.2356824895580197E-2</v>
      </c>
      <c r="C25" s="67">
        <f>_xlfn.RRI(5,B3,F3)</f>
        <v>9.2356824895580197E-2</v>
      </c>
      <c r="D25" t="s">
        <v>565</v>
      </c>
    </row>
    <row r="27" spans="1:6" ht="14.25" customHeight="1" x14ac:dyDescent="0.3">
      <c r="A27" s="112" t="s">
        <v>566</v>
      </c>
    </row>
    <row r="28" spans="1:6" ht="14.25" customHeight="1" x14ac:dyDescent="0.3">
      <c r="A28" s="113" t="s">
        <v>270</v>
      </c>
      <c r="B28" s="114">
        <f>B9/B3</f>
        <v>0.57184357120271501</v>
      </c>
      <c r="C28" s="114">
        <f>C9/C3</f>
        <v>0.48615451903717399</v>
      </c>
      <c r="D28" s="114">
        <f>D9/D3</f>
        <v>0.34259190077704699</v>
      </c>
      <c r="E28" s="114">
        <f>E9/E3</f>
        <v>0.34226024681044798</v>
      </c>
      <c r="F28" s="114">
        <f>F9/F3</f>
        <v>0.340869807475428</v>
      </c>
    </row>
    <row r="29" spans="1:6" ht="14.25" customHeight="1" x14ac:dyDescent="0.3">
      <c r="A29" s="113" t="s">
        <v>513</v>
      </c>
      <c r="B29" s="114">
        <f>B11/B3</f>
        <v>0.55697440348313498</v>
      </c>
      <c r="C29" s="114">
        <f>C11/C3</f>
        <v>0.47503702418655902</v>
      </c>
      <c r="D29" s="114">
        <f>D11/D3</f>
        <v>0.32356307395533301</v>
      </c>
      <c r="E29" s="114">
        <f>E11/E3</f>
        <v>0.325803401093963</v>
      </c>
      <c r="F29" s="114">
        <f>F11/F3</f>
        <v>0.32328307436943399</v>
      </c>
    </row>
    <row r="30" spans="1:6" ht="14.25" customHeight="1" x14ac:dyDescent="0.3">
      <c r="A30" s="113" t="s">
        <v>558</v>
      </c>
      <c r="B30" s="114">
        <f>B14/B3</f>
        <v>0.57875636139351405</v>
      </c>
      <c r="C30" s="114">
        <f>C14/C3</f>
        <v>0.50128951967275803</v>
      </c>
      <c r="D30" s="114">
        <f>D14/D3</f>
        <v>0.36278844934702698</v>
      </c>
      <c r="E30" s="114">
        <f>E14/E3</f>
        <v>0.38646836729186701</v>
      </c>
      <c r="F30" s="114">
        <f>F14/F3</f>
        <v>0.38250119637640201</v>
      </c>
    </row>
    <row r="31" spans="1:6" ht="14.25" customHeight="1" x14ac:dyDescent="0.3">
      <c r="A31" s="113" t="s">
        <v>567</v>
      </c>
      <c r="B31" s="114">
        <f>B17/B3</f>
        <v>0.40642001397522198</v>
      </c>
      <c r="C31" s="114">
        <f>C17/C3</f>
        <v>0.36285982428531599</v>
      </c>
      <c r="D31" s="114">
        <f>D17/D3</f>
        <v>0.24351951221721099</v>
      </c>
      <c r="E31" s="114">
        <f>E17/E3</f>
        <v>0.27455609083037502</v>
      </c>
      <c r="F31" s="114">
        <f>F17/F3</f>
        <v>0.27310847034492503</v>
      </c>
    </row>
    <row r="33" spans="1:8" ht="14.25" customHeight="1" x14ac:dyDescent="0.3">
      <c r="A33" s="112" t="s">
        <v>568</v>
      </c>
    </row>
    <row r="34" spans="1:8" ht="14.25" customHeight="1" x14ac:dyDescent="0.3">
      <c r="A34" s="113" t="s">
        <v>569</v>
      </c>
      <c r="B34" s="115">
        <f>B15/B14</f>
        <v>0.29772851952443502</v>
      </c>
      <c r="C34" s="115">
        <f>C15/C14</f>
        <v>0.27610480459741799</v>
      </c>
      <c r="D34" s="115">
        <f>D15/D14</f>
        <v>0.32892778351593099</v>
      </c>
      <c r="E34" s="115">
        <f>E15/E14</f>
        <v>0.28906799306844999</v>
      </c>
      <c r="F34" s="115">
        <f>F15/F14</f>
        <v>0.284795639492601</v>
      </c>
      <c r="G34" s="33">
        <f>AVERAGE(B34:F34)</f>
        <v>0.295324948039767</v>
      </c>
      <c r="H34" t="s">
        <v>569</v>
      </c>
    </row>
    <row r="35" spans="1:8" ht="14.25" customHeight="1" x14ac:dyDescent="0.3">
      <c r="A35" s="113" t="s">
        <v>570</v>
      </c>
      <c r="B35" s="116">
        <v>0.3</v>
      </c>
      <c r="C35" s="116">
        <f>B35</f>
        <v>0.3</v>
      </c>
      <c r="D35" s="116">
        <f>C35</f>
        <v>0.3</v>
      </c>
      <c r="E35" s="116">
        <f>D35</f>
        <v>0.3</v>
      </c>
      <c r="F35" s="116">
        <f>E35</f>
        <v>0.3</v>
      </c>
    </row>
    <row r="37" spans="1:8" ht="14.25" customHeight="1" x14ac:dyDescent="0.3">
      <c r="A37" s="112" t="s">
        <v>571</v>
      </c>
    </row>
    <row r="38" spans="1:8" ht="14.25" customHeight="1" x14ac:dyDescent="0.3">
      <c r="A38" s="113" t="s">
        <v>572</v>
      </c>
      <c r="B38" s="63">
        <f>B11*(1-B35)</f>
        <v>5992.5110000000004</v>
      </c>
      <c r="C38" s="63">
        <f>C11*(1-C35)</f>
        <v>8606.3459999999995</v>
      </c>
      <c r="D38" s="63">
        <f>D11*(1-D35)</f>
        <v>4001.4450000000002</v>
      </c>
      <c r="E38" s="63">
        <f>E11*(1-E35)</f>
        <v>4859.5190000000002</v>
      </c>
      <c r="F38" s="63">
        <f>F11*(1-F35)</f>
        <v>5409.7749999999996</v>
      </c>
    </row>
    <row r="39" spans="1:8" ht="14.25" customHeight="1" x14ac:dyDescent="0.3">
      <c r="A39" s="113" t="s">
        <v>573</v>
      </c>
      <c r="B39" s="63">
        <f>'Historical FS'!B11</f>
        <v>29884.05</v>
      </c>
      <c r="C39" s="63">
        <f>'Historical FS'!C11</f>
        <v>34986.9</v>
      </c>
      <c r="D39" s="63">
        <f>'Historical FS'!D11</f>
        <v>22620.83</v>
      </c>
      <c r="E39" s="63">
        <f>'Historical FS'!E11</f>
        <v>25655.9</v>
      </c>
      <c r="F39" s="63">
        <f>'Historical FS'!F11</f>
        <v>29695.77</v>
      </c>
    </row>
    <row r="40" spans="1:8" ht="14.25" customHeight="1" x14ac:dyDescent="0.3">
      <c r="A40" s="113" t="s">
        <v>574</v>
      </c>
      <c r="B40" s="63">
        <f>'Historical FS'!B13+'Historical FS'!B18</f>
        <v>1994.47</v>
      </c>
      <c r="C40" s="63">
        <f>'Historical FS'!C13+'Historical FS'!C18</f>
        <v>3483.35</v>
      </c>
      <c r="D40" s="63">
        <f>'Historical FS'!D13+'Historical FS'!D18</f>
        <v>415.98</v>
      </c>
      <c r="E40" s="63">
        <f>'Historical FS'!E13+'Historical FS'!E18</f>
        <v>3356.54</v>
      </c>
      <c r="F40" s="63">
        <f>'Historical FS'!F13+'Historical FS'!F18</f>
        <v>3770.45</v>
      </c>
    </row>
    <row r="41" spans="1:8" ht="14.25" customHeight="1" x14ac:dyDescent="0.3">
      <c r="A41" s="113" t="s">
        <v>575</v>
      </c>
      <c r="B41" s="63">
        <f>'Historical FS'!B40</f>
        <v>5861.82</v>
      </c>
      <c r="C41" s="63">
        <f>'Historical FS'!C40</f>
        <v>7978.29</v>
      </c>
      <c r="D41" s="63">
        <f>'Historical FS'!D40</f>
        <v>7097.75</v>
      </c>
      <c r="E41" s="63">
        <f>'Historical FS'!E40</f>
        <v>12363.65</v>
      </c>
      <c r="F41" s="63">
        <f>'Historical FS'!F40</f>
        <v>10088.549999999999</v>
      </c>
    </row>
    <row r="42" spans="1:8" ht="14.25" customHeight="1" x14ac:dyDescent="0.3">
      <c r="A42" s="113" t="s">
        <v>576</v>
      </c>
      <c r="B42" s="63">
        <f>B39+B40-B41</f>
        <v>26016.7</v>
      </c>
      <c r="C42" s="63">
        <f>C39+C40-C41</f>
        <v>30491.96</v>
      </c>
      <c r="D42" s="63">
        <f>D39+D40-D41</f>
        <v>15939.06</v>
      </c>
      <c r="E42" s="63">
        <f>E39+E40-E41</f>
        <v>16648.79</v>
      </c>
      <c r="F42" s="63">
        <f>F39+F40-F41</f>
        <v>23377.67</v>
      </c>
    </row>
    <row r="44" spans="1:8" ht="14.25" customHeight="1" x14ac:dyDescent="0.3">
      <c r="A44" s="113" t="s">
        <v>577</v>
      </c>
      <c r="B44" s="115">
        <f>B11/B42</f>
        <v>0.32904749641576397</v>
      </c>
      <c r="C44" s="115">
        <f>C11/C42</f>
        <v>0.40321383079342898</v>
      </c>
      <c r="D44" s="115">
        <f>D11/D42</f>
        <v>0.35863783686114498</v>
      </c>
      <c r="E44" s="115">
        <f>E11/E42</f>
        <v>0.416977450012884</v>
      </c>
      <c r="F44" s="115">
        <f>F11/F42</f>
        <v>0.330582560195263</v>
      </c>
    </row>
    <row r="45" spans="1:8" ht="14.25" customHeight="1" x14ac:dyDescent="0.3">
      <c r="A45" s="113" t="s">
        <v>578</v>
      </c>
      <c r="B45" s="115">
        <f>B38/B42</f>
        <v>0.23033324749103501</v>
      </c>
      <c r="C45" s="115">
        <f>C38/C42</f>
        <v>0.28224968155539998</v>
      </c>
      <c r="D45" s="115">
        <f>D38/D42</f>
        <v>0.25104648580280098</v>
      </c>
      <c r="E45" s="115">
        <f>E38/E42</f>
        <v>0.29188421500901901</v>
      </c>
      <c r="F45" s="115">
        <f>F38/F42</f>
        <v>0.231407792136684</v>
      </c>
    </row>
    <row r="46" spans="1:8" ht="14.25" customHeight="1" x14ac:dyDescent="0.3">
      <c r="A46" s="20"/>
    </row>
    <row r="47" spans="1:8" ht="14.25" customHeight="1" x14ac:dyDescent="0.3">
      <c r="A47" s="101" t="s">
        <v>579</v>
      </c>
      <c r="B47" s="67"/>
      <c r="C47" s="115"/>
      <c r="D47" s="115"/>
      <c r="E47" s="115"/>
      <c r="F47" s="115"/>
    </row>
    <row r="48" spans="1:8" ht="14.25" customHeight="1" x14ac:dyDescent="0.3">
      <c r="A48" s="101" t="s">
        <v>580</v>
      </c>
      <c r="B48" s="67">
        <f>FCFF!C12*Assumptions!F45</f>
        <v>0.10298904783756101</v>
      </c>
      <c r="C48" s="115"/>
      <c r="D48" s="115"/>
      <c r="E48" s="115"/>
      <c r="F48" s="115"/>
    </row>
  </sheetData>
  <mergeCells count="2">
    <mergeCell ref="A1:F1"/>
    <mergeCell ref="A23:C23"/>
  </mergeCell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9"/>
  <sheetViews>
    <sheetView workbookViewId="0">
      <selection activeCell="O23" sqref="O23"/>
    </sheetView>
  </sheetViews>
  <sheetFormatPr defaultColWidth="8.6640625" defaultRowHeight="14.4" x14ac:dyDescent="0.3"/>
  <cols>
    <col min="1" max="1" width="24.5546875" customWidth="1"/>
    <col min="2" max="10" width="9.88671875" customWidth="1"/>
    <col min="11" max="12" width="11.33203125" customWidth="1"/>
  </cols>
  <sheetData>
    <row r="1" spans="1:16" ht="14.25" customHeight="1" x14ac:dyDescent="0.3">
      <c r="A1" s="101" t="s">
        <v>581</v>
      </c>
      <c r="B1" s="10"/>
      <c r="C1" s="10"/>
      <c r="D1" s="10"/>
      <c r="E1" s="10"/>
      <c r="F1" s="10"/>
      <c r="G1" s="10"/>
      <c r="H1" s="10"/>
      <c r="I1" s="10"/>
      <c r="J1" s="10"/>
      <c r="K1" s="10"/>
      <c r="L1" s="10"/>
    </row>
    <row r="2" spans="1:16" ht="14.25" customHeight="1" x14ac:dyDescent="0.3">
      <c r="A2" s="102" t="s">
        <v>582</v>
      </c>
      <c r="B2" s="103" t="s">
        <v>583</v>
      </c>
      <c r="C2" s="103" t="s">
        <v>584</v>
      </c>
      <c r="D2" s="103" t="s">
        <v>585</v>
      </c>
      <c r="E2" s="103" t="s">
        <v>586</v>
      </c>
      <c r="F2" s="103" t="s">
        <v>587</v>
      </c>
      <c r="G2" s="103" t="s">
        <v>588</v>
      </c>
      <c r="H2" s="103" t="s">
        <v>589</v>
      </c>
      <c r="I2" s="103" t="s">
        <v>590</v>
      </c>
      <c r="J2" s="103" t="s">
        <v>591</v>
      </c>
      <c r="K2" s="103" t="s">
        <v>592</v>
      </c>
      <c r="L2" s="103" t="s">
        <v>593</v>
      </c>
    </row>
    <row r="3" spans="1:16" ht="14.25" customHeight="1" x14ac:dyDescent="0.3">
      <c r="A3" s="10" t="s">
        <v>545</v>
      </c>
      <c r="B3" s="104">
        <f>Assumptions!F3</f>
        <v>23905.52</v>
      </c>
      <c r="C3" s="104">
        <f t="shared" ref="C3:L3" si="0">B3*(1+C4)</f>
        <v>26113.357924677799</v>
      </c>
      <c r="D3" s="104">
        <f t="shared" si="0"/>
        <v>28470.972267047699</v>
      </c>
      <c r="E3" s="104">
        <f t="shared" si="0"/>
        <v>30982.421324168299</v>
      </c>
      <c r="F3" s="104">
        <f t="shared" si="0"/>
        <v>33651.181515416902</v>
      </c>
      <c r="G3" s="104">
        <f t="shared" si="0"/>
        <v>36480.064815915597</v>
      </c>
      <c r="H3" s="104">
        <f t="shared" si="0"/>
        <v>39471.135451270799</v>
      </c>
      <c r="I3" s="104">
        <f t="shared" si="0"/>
        <v>42625.626821544203</v>
      </c>
      <c r="J3" s="104">
        <f t="shared" si="0"/>
        <v>45943.859708441698</v>
      </c>
      <c r="K3" s="104">
        <f t="shared" si="0"/>
        <v>49425.162896243601</v>
      </c>
      <c r="L3" s="104">
        <f t="shared" si="0"/>
        <v>53067.7974016968</v>
      </c>
      <c r="M3" s="33">
        <f>Assumptions!B25</f>
        <v>9.2356824895580197E-2</v>
      </c>
      <c r="P3" t="s">
        <v>594</v>
      </c>
    </row>
    <row r="4" spans="1:16" ht="14.25" customHeight="1" x14ac:dyDescent="0.3">
      <c r="A4" s="10" t="s">
        <v>595</v>
      </c>
      <c r="B4" s="105"/>
      <c r="C4" s="106">
        <f>M3</f>
        <v>9.2356824895580197E-2</v>
      </c>
      <c r="D4" s="106">
        <f t="shared" ref="D4:L4" si="1">C4-$O$4</f>
        <v>9.0283844351626799E-2</v>
      </c>
      <c r="E4" s="106">
        <f t="shared" si="1"/>
        <v>8.8210863807673498E-2</v>
      </c>
      <c r="F4" s="106">
        <f t="shared" si="1"/>
        <v>8.61378832637201E-2</v>
      </c>
      <c r="G4" s="106">
        <f t="shared" si="1"/>
        <v>8.4064902719766701E-2</v>
      </c>
      <c r="H4" s="106">
        <f t="shared" si="1"/>
        <v>8.19919221758134E-2</v>
      </c>
      <c r="I4" s="106">
        <f t="shared" si="1"/>
        <v>7.9918941631860002E-2</v>
      </c>
      <c r="J4" s="106">
        <f t="shared" si="1"/>
        <v>7.7845961087906701E-2</v>
      </c>
      <c r="K4" s="106">
        <f t="shared" si="1"/>
        <v>7.5772980543953303E-2</v>
      </c>
      <c r="L4" s="106">
        <f t="shared" si="1"/>
        <v>7.3700000000000002E-2</v>
      </c>
      <c r="M4" s="107">
        <v>7.3700000000000002E-2</v>
      </c>
      <c r="N4" s="33">
        <f>M3-M4</f>
        <v>1.8656824895580199E-2</v>
      </c>
      <c r="O4" s="33">
        <f>N4/9</f>
        <v>2.0729805439533501E-3</v>
      </c>
      <c r="P4" s="33">
        <f>M4</f>
        <v>7.3700000000000002E-2</v>
      </c>
    </row>
    <row r="5" spans="1:16" ht="14.25" customHeight="1" x14ac:dyDescent="0.3">
      <c r="A5" s="10"/>
      <c r="B5" s="105"/>
      <c r="C5" s="108"/>
      <c r="D5" s="108"/>
      <c r="E5" s="108"/>
      <c r="F5" s="108"/>
      <c r="G5" s="108"/>
      <c r="H5" s="108"/>
      <c r="I5" s="108"/>
      <c r="J5" s="108"/>
      <c r="K5" s="108"/>
      <c r="L5" s="108"/>
    </row>
    <row r="6" spans="1:16" ht="14.25" customHeight="1" x14ac:dyDescent="0.3">
      <c r="A6" s="101" t="s">
        <v>596</v>
      </c>
      <c r="B6" s="103"/>
      <c r="C6" s="103"/>
      <c r="D6" s="103"/>
      <c r="E6" s="103"/>
      <c r="F6" s="103"/>
      <c r="G6" s="103"/>
      <c r="H6" s="103"/>
      <c r="I6" s="103"/>
      <c r="J6" s="103"/>
      <c r="K6" s="103"/>
      <c r="L6" s="103"/>
    </row>
    <row r="7" spans="1:16" ht="14.25" customHeight="1" x14ac:dyDescent="0.3">
      <c r="A7" s="102" t="s">
        <v>582</v>
      </c>
      <c r="B7" s="103" t="s">
        <v>583</v>
      </c>
      <c r="C7" s="103" t="s">
        <v>584</v>
      </c>
      <c r="D7" s="103" t="s">
        <v>585</v>
      </c>
      <c r="E7" s="103" t="s">
        <v>586</v>
      </c>
      <c r="F7" s="103" t="s">
        <v>587</v>
      </c>
      <c r="G7" s="103" t="s">
        <v>588</v>
      </c>
      <c r="H7" s="103" t="s">
        <v>589</v>
      </c>
      <c r="I7" s="103" t="s">
        <v>590</v>
      </c>
      <c r="J7" s="103" t="s">
        <v>591</v>
      </c>
      <c r="K7" s="103" t="s">
        <v>592</v>
      </c>
      <c r="L7" s="103" t="s">
        <v>593</v>
      </c>
      <c r="N7" s="33">
        <f>Assumptions!B24</f>
        <v>0.17362689578583601</v>
      </c>
    </row>
    <row r="8" spans="1:16" ht="14.25" customHeight="1" x14ac:dyDescent="0.3">
      <c r="A8" s="10" t="s">
        <v>545</v>
      </c>
      <c r="B8" s="104">
        <f>B3</f>
        <v>23905.52</v>
      </c>
      <c r="C8" s="104">
        <f t="shared" ref="C8:L8" si="2">B8*(1+C9)</f>
        <v>28056.161229746202</v>
      </c>
      <c r="D8" s="104">
        <f t="shared" si="2"/>
        <v>32615.958178472301</v>
      </c>
      <c r="E8" s="104">
        <f t="shared" si="2"/>
        <v>37554.696538113203</v>
      </c>
      <c r="F8" s="104">
        <f t="shared" si="2"/>
        <v>42824.293837793899</v>
      </c>
      <c r="G8" s="104">
        <f t="shared" si="2"/>
        <v>48357.832486656698</v>
      </c>
      <c r="H8" s="104">
        <f t="shared" si="2"/>
        <v>54069.470557511399</v>
      </c>
      <c r="I8" s="104">
        <f t="shared" si="2"/>
        <v>59855.388654131901</v>
      </c>
      <c r="J8" s="104">
        <f t="shared" si="2"/>
        <v>65595.878172221899</v>
      </c>
      <c r="K8" s="104">
        <f t="shared" si="2"/>
        <v>71158.604669303095</v>
      </c>
      <c r="L8" s="104">
        <f t="shared" si="2"/>
        <v>76402.993833430693</v>
      </c>
      <c r="N8" s="33">
        <f>M4</f>
        <v>7.3700000000000002E-2</v>
      </c>
      <c r="O8" s="33">
        <f>N7-N8</f>
        <v>9.9926895785835995E-2</v>
      </c>
      <c r="P8" s="33">
        <f>O8/9</f>
        <v>1.1102988420648399E-2</v>
      </c>
    </row>
    <row r="9" spans="1:16" ht="14.25" customHeight="1" x14ac:dyDescent="0.3">
      <c r="A9" s="10" t="s">
        <v>595</v>
      </c>
      <c r="B9" s="105"/>
      <c r="C9" s="109">
        <f>N7</f>
        <v>0.17362689578583601</v>
      </c>
      <c r="D9" s="108">
        <f t="shared" ref="D9:L9" si="3">C9-$P$8</f>
        <v>0.16252390736518799</v>
      </c>
      <c r="E9" s="108">
        <f t="shared" si="3"/>
        <v>0.15142091894453899</v>
      </c>
      <c r="F9" s="108">
        <f t="shared" si="3"/>
        <v>0.14031793052389099</v>
      </c>
      <c r="G9" s="108">
        <f t="shared" si="3"/>
        <v>0.129214942103242</v>
      </c>
      <c r="H9" s="108">
        <f t="shared" si="3"/>
        <v>0.118111953682594</v>
      </c>
      <c r="I9" s="108">
        <f t="shared" si="3"/>
        <v>0.107008965261945</v>
      </c>
      <c r="J9" s="108">
        <f t="shared" si="3"/>
        <v>9.5905976841296897E-2</v>
      </c>
      <c r="K9" s="108">
        <f t="shared" si="3"/>
        <v>8.4802988420648498E-2</v>
      </c>
      <c r="L9" s="108">
        <f t="shared" si="3"/>
        <v>7.3700000000000002E-2</v>
      </c>
    </row>
    <row r="10" spans="1:16" ht="14.25" customHeight="1" x14ac:dyDescent="0.3">
      <c r="A10" s="10"/>
      <c r="B10" s="105"/>
      <c r="C10" s="105"/>
      <c r="D10" s="105"/>
      <c r="E10" s="105"/>
      <c r="F10" s="105"/>
      <c r="G10" s="105"/>
      <c r="H10" s="105"/>
      <c r="I10" s="105"/>
      <c r="J10" s="105"/>
      <c r="K10" s="105"/>
      <c r="L10" s="105"/>
    </row>
    <row r="11" spans="1:16" ht="14.25" customHeight="1" x14ac:dyDescent="0.3">
      <c r="A11" s="101" t="s">
        <v>597</v>
      </c>
      <c r="B11" s="105"/>
      <c r="C11" s="105"/>
      <c r="D11" s="105"/>
      <c r="E11" s="105"/>
      <c r="F11" s="105"/>
      <c r="G11" s="105"/>
      <c r="H11" s="105"/>
      <c r="I11" s="105"/>
      <c r="J11" s="105"/>
      <c r="K11" s="105"/>
      <c r="L11" s="105"/>
    </row>
    <row r="12" spans="1:16" ht="14.25" customHeight="1" x14ac:dyDescent="0.3">
      <c r="A12" s="102" t="s">
        <v>582</v>
      </c>
      <c r="B12" s="103" t="s">
        <v>583</v>
      </c>
      <c r="C12" s="103" t="s">
        <v>584</v>
      </c>
      <c r="D12" s="103" t="s">
        <v>585</v>
      </c>
      <c r="E12" s="103" t="s">
        <v>586</v>
      </c>
      <c r="F12" s="103" t="s">
        <v>587</v>
      </c>
      <c r="G12" s="103" t="s">
        <v>588</v>
      </c>
      <c r="H12" s="103" t="s">
        <v>589</v>
      </c>
      <c r="I12" s="103" t="s">
        <v>590</v>
      </c>
      <c r="J12" s="103" t="s">
        <v>591</v>
      </c>
      <c r="K12" s="103" t="s">
        <v>592</v>
      </c>
      <c r="L12" s="103" t="s">
        <v>593</v>
      </c>
      <c r="N12" s="33">
        <f>FCFF!C12*Assumptions!F45</f>
        <v>0.10298904783756101</v>
      </c>
    </row>
    <row r="13" spans="1:16" ht="14.25" customHeight="1" x14ac:dyDescent="0.3">
      <c r="A13" s="10" t="s">
        <v>545</v>
      </c>
      <c r="B13" s="104">
        <f>B8</f>
        <v>23905.52</v>
      </c>
      <c r="C13" s="104">
        <f t="shared" ref="C13:L13" si="4">B13*(1+C14)</f>
        <v>26367.526742861799</v>
      </c>
      <c r="D13" s="104">
        <f t="shared" si="4"/>
        <v>28997.284354592801</v>
      </c>
      <c r="E13" s="104">
        <f t="shared" si="4"/>
        <v>31794.953093787099</v>
      </c>
      <c r="F13" s="104">
        <f t="shared" si="4"/>
        <v>34759.070404903803</v>
      </c>
      <c r="G13" s="104">
        <f t="shared" si="4"/>
        <v>37886.402824788798</v>
      </c>
      <c r="H13" s="104">
        <f t="shared" si="4"/>
        <v>41171.811452855</v>
      </c>
      <c r="I13" s="104">
        <f t="shared" si="4"/>
        <v>44608.1350086643</v>
      </c>
      <c r="J13" s="104">
        <f t="shared" si="4"/>
        <v>48186.094514405799</v>
      </c>
      <c r="K13" s="104">
        <f t="shared" si="4"/>
        <v>51894.223549821698</v>
      </c>
      <c r="L13" s="104">
        <f t="shared" si="4"/>
        <v>55718.827825443601</v>
      </c>
      <c r="N13" s="33">
        <f>N8</f>
        <v>7.3700000000000002E-2</v>
      </c>
      <c r="O13" s="33">
        <f>N12-N13</f>
        <v>2.9289047837561501E-2</v>
      </c>
      <c r="P13">
        <f>O13/9</f>
        <v>3.25433864861794E-3</v>
      </c>
    </row>
    <row r="14" spans="1:16" ht="14.25" customHeight="1" x14ac:dyDescent="0.3">
      <c r="A14" s="10" t="s">
        <v>595</v>
      </c>
      <c r="B14" s="105"/>
      <c r="C14" s="108">
        <f>N12</f>
        <v>0.10298904783756101</v>
      </c>
      <c r="D14" s="108">
        <f t="shared" ref="D14:L14" si="5">C14-($P$13)</f>
        <v>9.9734709188943504E-2</v>
      </c>
      <c r="E14" s="108">
        <f t="shared" si="5"/>
        <v>9.64803705403256E-2</v>
      </c>
      <c r="F14" s="108">
        <f t="shared" si="5"/>
        <v>9.3226031891707598E-2</v>
      </c>
      <c r="G14" s="108">
        <f t="shared" si="5"/>
        <v>8.9971693243089707E-2</v>
      </c>
      <c r="H14" s="108">
        <f t="shared" si="5"/>
        <v>8.6717354594471704E-2</v>
      </c>
      <c r="I14" s="108">
        <f t="shared" si="5"/>
        <v>8.34630159458538E-2</v>
      </c>
      <c r="J14" s="108">
        <f t="shared" si="5"/>
        <v>8.0208677297235895E-2</v>
      </c>
      <c r="K14" s="108">
        <f t="shared" si="5"/>
        <v>7.6954338648617907E-2</v>
      </c>
      <c r="L14" s="108">
        <f t="shared" si="5"/>
        <v>7.3700000000000002E-2</v>
      </c>
      <c r="P14" s="107">
        <v>2.9399999999999999E-3</v>
      </c>
    </row>
    <row r="15" spans="1:16" ht="14.25" customHeight="1" x14ac:dyDescent="0.3">
      <c r="A15" s="10"/>
      <c r="B15" s="105"/>
      <c r="C15" s="105"/>
      <c r="D15" s="105"/>
      <c r="E15" s="105"/>
      <c r="F15" s="105"/>
      <c r="G15" s="105"/>
      <c r="H15" s="105"/>
      <c r="I15" s="105"/>
      <c r="J15" s="105"/>
      <c r="K15" s="105"/>
      <c r="L15" s="105"/>
    </row>
    <row r="16" spans="1:16" ht="14.25" customHeight="1" x14ac:dyDescent="0.3">
      <c r="A16" s="101" t="s">
        <v>598</v>
      </c>
      <c r="B16" s="110">
        <v>3</v>
      </c>
      <c r="C16" s="105"/>
      <c r="D16" s="105"/>
      <c r="E16" s="105"/>
      <c r="F16" s="105"/>
      <c r="G16" s="105"/>
      <c r="H16" s="105"/>
      <c r="I16" s="105"/>
      <c r="J16" s="105"/>
      <c r="K16" s="105"/>
      <c r="L16" s="105"/>
    </row>
    <row r="17" spans="1:12" ht="14.25" customHeight="1" x14ac:dyDescent="0.3">
      <c r="A17" s="102" t="s">
        <v>582</v>
      </c>
      <c r="B17" s="103" t="s">
        <v>583</v>
      </c>
      <c r="C17" s="103" t="s">
        <v>584</v>
      </c>
      <c r="D17" s="103" t="s">
        <v>585</v>
      </c>
      <c r="E17" s="103" t="s">
        <v>586</v>
      </c>
      <c r="F17" s="103" t="s">
        <v>587</v>
      </c>
      <c r="G17" s="103" t="s">
        <v>588</v>
      </c>
      <c r="H17" s="103" t="s">
        <v>589</v>
      </c>
      <c r="I17" s="103" t="s">
        <v>590</v>
      </c>
      <c r="J17" s="103" t="s">
        <v>591</v>
      </c>
      <c r="K17" s="103" t="s">
        <v>592</v>
      </c>
      <c r="L17" s="103" t="s">
        <v>593</v>
      </c>
    </row>
    <row r="18" spans="1:12" ht="14.25" customHeight="1" x14ac:dyDescent="0.3">
      <c r="A18" s="10" t="s">
        <v>545</v>
      </c>
      <c r="B18" s="104">
        <f>B13</f>
        <v>23905.52</v>
      </c>
      <c r="C18" s="104">
        <f t="shared" ref="C18:L18" si="6">B18*(1+C19)</f>
        <v>26367.526742861799</v>
      </c>
      <c r="D18" s="104">
        <f t="shared" si="6"/>
        <v>28997.284354592801</v>
      </c>
      <c r="E18" s="104">
        <f t="shared" si="6"/>
        <v>31794.953093787099</v>
      </c>
      <c r="F18" s="104">
        <f t="shared" si="6"/>
        <v>34759.070404903803</v>
      </c>
      <c r="G18" s="104">
        <f t="shared" si="6"/>
        <v>37886.402824788798</v>
      </c>
      <c r="H18" s="104">
        <f t="shared" si="6"/>
        <v>41171.811452855</v>
      </c>
      <c r="I18" s="104">
        <f t="shared" si="6"/>
        <v>44608.1350086643</v>
      </c>
      <c r="J18" s="104">
        <f t="shared" si="6"/>
        <v>48186.094514405799</v>
      </c>
      <c r="K18" s="104">
        <f t="shared" si="6"/>
        <v>51894.223549821698</v>
      </c>
      <c r="L18" s="104">
        <f t="shared" si="6"/>
        <v>55718.827825443601</v>
      </c>
    </row>
    <row r="19" spans="1:12" ht="14.25" customHeight="1" x14ac:dyDescent="0.3">
      <c r="A19" s="10" t="s">
        <v>595</v>
      </c>
      <c r="B19" s="105"/>
      <c r="C19" s="108">
        <f t="shared" ref="C19:L19" si="7">CHOOSE($B$16,C4,C9,C14)</f>
        <v>0.10298904783756101</v>
      </c>
      <c r="D19" s="108">
        <f t="shared" si="7"/>
        <v>9.9734709188943504E-2</v>
      </c>
      <c r="E19" s="108">
        <f t="shared" si="7"/>
        <v>9.64803705403256E-2</v>
      </c>
      <c r="F19" s="108">
        <f t="shared" si="7"/>
        <v>9.3226031891707598E-2</v>
      </c>
      <c r="G19" s="108">
        <f t="shared" si="7"/>
        <v>8.9971693243089707E-2</v>
      </c>
      <c r="H19" s="108">
        <f t="shared" si="7"/>
        <v>8.6717354594471704E-2</v>
      </c>
      <c r="I19" s="108">
        <f t="shared" si="7"/>
        <v>8.34630159458538E-2</v>
      </c>
      <c r="J19" s="108">
        <f t="shared" si="7"/>
        <v>8.0208677297235895E-2</v>
      </c>
      <c r="K19" s="108">
        <f t="shared" si="7"/>
        <v>7.6954338648617907E-2</v>
      </c>
      <c r="L19" s="108">
        <f t="shared" si="7"/>
        <v>7.3700000000000002E-2</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81"/>
  <sheetViews>
    <sheetView workbookViewId="0">
      <selection activeCell="A48" sqref="A48:A81"/>
    </sheetView>
  </sheetViews>
  <sheetFormatPr defaultColWidth="8.6640625" defaultRowHeight="14.4" x14ac:dyDescent="0.3"/>
  <cols>
    <col min="1" max="1" width="49.109375" customWidth="1"/>
    <col min="2" max="6" width="9.109375" customWidth="1"/>
  </cols>
  <sheetData>
    <row r="1" spans="1:10" ht="15" customHeight="1" x14ac:dyDescent="0.3">
      <c r="A1" s="242" t="s">
        <v>397</v>
      </c>
      <c r="B1" s="225"/>
      <c r="C1" s="225"/>
      <c r="D1" s="225"/>
      <c r="E1" s="225"/>
      <c r="F1" s="226"/>
    </row>
    <row r="2" spans="1:10" ht="14.25" customHeight="1" x14ac:dyDescent="0.3">
      <c r="A2" s="243" t="s">
        <v>299</v>
      </c>
      <c r="B2" s="244" t="s">
        <v>304</v>
      </c>
      <c r="C2" s="244" t="s">
        <v>303</v>
      </c>
      <c r="D2" s="244" t="s">
        <v>302</v>
      </c>
      <c r="E2" s="244" t="s">
        <v>301</v>
      </c>
      <c r="F2" s="244" t="s">
        <v>300</v>
      </c>
      <c r="G2" s="93"/>
      <c r="H2" s="93"/>
      <c r="I2" s="93"/>
      <c r="J2" s="93"/>
    </row>
    <row r="3" spans="1:10" ht="14.25" customHeight="1" x14ac:dyDescent="0.3">
      <c r="A3" s="245" t="s">
        <v>309</v>
      </c>
      <c r="B3" s="244" t="s">
        <v>310</v>
      </c>
      <c r="C3" s="244" t="s">
        <v>310</v>
      </c>
      <c r="D3" s="244" t="s">
        <v>310</v>
      </c>
      <c r="E3" s="244" t="s">
        <v>310</v>
      </c>
      <c r="F3" s="244" t="s">
        <v>310</v>
      </c>
    </row>
    <row r="4" spans="1:10" ht="14.25" customHeight="1" x14ac:dyDescent="0.3">
      <c r="A4" s="252" t="s">
        <v>311</v>
      </c>
      <c r="B4" s="252"/>
      <c r="C4" s="252"/>
      <c r="D4" s="252"/>
      <c r="E4" s="252"/>
      <c r="F4" s="252"/>
    </row>
    <row r="5" spans="1:10" ht="14.25" customHeight="1" x14ac:dyDescent="0.3">
      <c r="A5" s="247" t="s">
        <v>312</v>
      </c>
      <c r="B5" s="247"/>
      <c r="C5" s="247"/>
      <c r="D5" s="247"/>
      <c r="E5" s="247"/>
      <c r="F5" s="247"/>
    </row>
    <row r="6" spans="1:10" ht="14.25" customHeight="1" x14ac:dyDescent="0.3">
      <c r="A6" s="248" t="s">
        <v>313</v>
      </c>
      <c r="B6" s="249">
        <v>293.07</v>
      </c>
      <c r="C6" s="249">
        <v>293.07</v>
      </c>
      <c r="D6" s="249">
        <v>293.07</v>
      </c>
      <c r="E6" s="249">
        <v>293.07</v>
      </c>
      <c r="F6" s="249">
        <v>879.18</v>
      </c>
      <c r="G6" s="96"/>
      <c r="H6" s="96"/>
      <c r="I6" s="96"/>
      <c r="J6" s="96"/>
    </row>
    <row r="7" spans="1:10" ht="14.25" customHeight="1" x14ac:dyDescent="0.3">
      <c r="A7" s="250" t="s">
        <v>314</v>
      </c>
      <c r="B7" s="251">
        <v>293.07</v>
      </c>
      <c r="C7" s="251">
        <v>293.07</v>
      </c>
      <c r="D7" s="251">
        <v>293.07</v>
      </c>
      <c r="E7" s="251">
        <v>293.07</v>
      </c>
      <c r="F7" s="251">
        <v>879.18</v>
      </c>
      <c r="G7" s="96"/>
      <c r="H7" s="96"/>
      <c r="I7" s="96"/>
      <c r="J7" s="96"/>
    </row>
    <row r="8" spans="1:10" ht="14.25" customHeight="1" x14ac:dyDescent="0.3">
      <c r="A8" s="248" t="s">
        <v>315</v>
      </c>
      <c r="B8" s="249">
        <v>29590.98</v>
      </c>
      <c r="C8" s="249">
        <v>34693.83</v>
      </c>
      <c r="D8" s="249">
        <v>22327.759999999998</v>
      </c>
      <c r="E8" s="249">
        <v>25362.83</v>
      </c>
      <c r="F8" s="249">
        <v>28816.59</v>
      </c>
      <c r="G8" s="96"/>
      <c r="H8" s="96"/>
      <c r="I8" s="96"/>
      <c r="J8" s="96"/>
    </row>
    <row r="9" spans="1:10" ht="14.25" customHeight="1" x14ac:dyDescent="0.3">
      <c r="A9" s="250" t="s">
        <v>316</v>
      </c>
      <c r="B9" s="251">
        <v>29590.98</v>
      </c>
      <c r="C9" s="251">
        <v>34693.83</v>
      </c>
      <c r="D9" s="251">
        <v>22327.759999999998</v>
      </c>
      <c r="E9" s="251">
        <v>25362.83</v>
      </c>
      <c r="F9" s="251">
        <v>28816.59</v>
      </c>
      <c r="G9" s="96"/>
      <c r="H9" s="96"/>
      <c r="I9" s="96"/>
      <c r="J9" s="96"/>
    </row>
    <row r="10" spans="1:10" ht="14.25" customHeight="1" x14ac:dyDescent="0.3">
      <c r="A10" s="248" t="s">
        <v>295</v>
      </c>
      <c r="B10" s="249">
        <v>13.54</v>
      </c>
      <c r="C10" s="249">
        <v>13.45</v>
      </c>
      <c r="D10" s="249">
        <v>14.23</v>
      </c>
      <c r="E10" s="249">
        <v>17.010000000000002</v>
      </c>
      <c r="F10" s="249">
        <v>11.41</v>
      </c>
      <c r="G10" s="96"/>
      <c r="H10" s="96"/>
      <c r="I10" s="96"/>
      <c r="J10" s="96"/>
    </row>
    <row r="11" spans="1:10" ht="14.25" customHeight="1" x14ac:dyDescent="0.3">
      <c r="A11" s="250" t="s">
        <v>317</v>
      </c>
      <c r="B11" s="251">
        <v>29884.05</v>
      </c>
      <c r="C11" s="251">
        <v>34986.9</v>
      </c>
      <c r="D11" s="251">
        <v>22620.83</v>
      </c>
      <c r="E11" s="251">
        <v>25655.9</v>
      </c>
      <c r="F11" s="251">
        <v>29695.77</v>
      </c>
      <c r="G11" s="96"/>
      <c r="H11" s="96"/>
      <c r="I11" s="96"/>
      <c r="J11" s="96"/>
    </row>
    <row r="12" spans="1:10" ht="14.25" customHeight="1" x14ac:dyDescent="0.3">
      <c r="A12" s="247" t="s">
        <v>318</v>
      </c>
      <c r="B12" s="247"/>
      <c r="C12" s="247"/>
      <c r="D12" s="247"/>
      <c r="E12" s="247"/>
      <c r="F12" s="247"/>
    </row>
    <row r="13" spans="1:10" ht="14.25" customHeight="1" x14ac:dyDescent="0.3">
      <c r="A13" s="248" t="s">
        <v>319</v>
      </c>
      <c r="B13" s="249">
        <v>546.42999999999995</v>
      </c>
      <c r="C13" s="249">
        <v>1668.22</v>
      </c>
      <c r="D13" s="249">
        <v>0</v>
      </c>
      <c r="E13" s="249">
        <v>0</v>
      </c>
      <c r="F13" s="249">
        <v>0</v>
      </c>
      <c r="G13" s="97"/>
      <c r="H13" s="97"/>
      <c r="I13" s="96"/>
      <c r="J13" s="96"/>
    </row>
    <row r="14" spans="1:10" ht="14.25" customHeight="1" x14ac:dyDescent="0.3">
      <c r="A14" s="248" t="s">
        <v>320</v>
      </c>
      <c r="B14" s="249">
        <v>4.7</v>
      </c>
      <c r="C14" s="249">
        <v>156.13</v>
      </c>
      <c r="D14" s="249">
        <v>155.30000000000001</v>
      </c>
      <c r="E14" s="249">
        <v>152.04</v>
      </c>
      <c r="F14" s="249">
        <v>152.25</v>
      </c>
      <c r="G14" s="96"/>
      <c r="H14" s="96"/>
      <c r="I14" s="96"/>
      <c r="J14" s="96"/>
    </row>
    <row r="15" spans="1:10" ht="14.25" customHeight="1" x14ac:dyDescent="0.3">
      <c r="A15" s="248" t="s">
        <v>321</v>
      </c>
      <c r="B15" s="249">
        <v>945.41</v>
      </c>
      <c r="C15" s="249">
        <v>1092.46</v>
      </c>
      <c r="D15" s="249">
        <v>1255.99</v>
      </c>
      <c r="E15" s="249">
        <v>1431.26</v>
      </c>
      <c r="F15" s="249">
        <v>1479.09</v>
      </c>
      <c r="G15" s="96"/>
      <c r="H15" s="96"/>
      <c r="I15" s="96"/>
      <c r="J15" s="96"/>
    </row>
    <row r="16" spans="1:10" ht="14.25" customHeight="1" x14ac:dyDescent="0.3">
      <c r="A16" s="250" t="s">
        <v>322</v>
      </c>
      <c r="B16" s="251">
        <v>1496.54</v>
      </c>
      <c r="C16" s="251">
        <v>2916.81</v>
      </c>
      <c r="D16" s="251">
        <v>1411.29</v>
      </c>
      <c r="E16" s="251">
        <v>1583.3</v>
      </c>
      <c r="F16" s="251">
        <v>1631.34</v>
      </c>
      <c r="G16" s="96"/>
      <c r="H16" s="96"/>
      <c r="I16" s="96"/>
      <c r="J16" s="96"/>
    </row>
    <row r="17" spans="1:10" ht="14.25" customHeight="1" x14ac:dyDescent="0.3">
      <c r="A17" s="247" t="s">
        <v>323</v>
      </c>
      <c r="B17" s="247"/>
      <c r="C17" s="247"/>
      <c r="D17" s="247"/>
      <c r="E17" s="247"/>
      <c r="F17" s="247"/>
    </row>
    <row r="18" spans="1:10" ht="14.25" customHeight="1" x14ac:dyDescent="0.3">
      <c r="A18" s="248" t="s">
        <v>324</v>
      </c>
      <c r="B18" s="249">
        <v>1448.04</v>
      </c>
      <c r="C18" s="249">
        <v>1815.13</v>
      </c>
      <c r="D18" s="249">
        <v>415.98</v>
      </c>
      <c r="E18" s="249">
        <v>3356.54</v>
      </c>
      <c r="F18" s="249">
        <v>3770.45</v>
      </c>
      <c r="G18" s="96"/>
      <c r="H18" s="96"/>
      <c r="I18" s="96"/>
      <c r="J18" s="96"/>
    </row>
    <row r="19" spans="1:10" ht="14.25" customHeight="1" x14ac:dyDescent="0.3">
      <c r="A19" s="248" t="s">
        <v>325</v>
      </c>
      <c r="B19" s="249">
        <v>360.78</v>
      </c>
      <c r="C19" s="249">
        <v>967.53</v>
      </c>
      <c r="D19" s="249">
        <v>425.91</v>
      </c>
      <c r="E19" s="249">
        <v>412.55</v>
      </c>
      <c r="F19" s="249">
        <v>321.45999999999998</v>
      </c>
      <c r="G19" s="96"/>
      <c r="H19" s="96"/>
      <c r="I19" s="96"/>
      <c r="J19" s="96"/>
    </row>
    <row r="20" spans="1:10" ht="14.25" customHeight="1" x14ac:dyDescent="0.3">
      <c r="A20" s="248" t="s">
        <v>326</v>
      </c>
      <c r="B20" s="249">
        <v>3628.29</v>
      </c>
      <c r="C20" s="249">
        <v>4136.62</v>
      </c>
      <c r="D20" s="249">
        <v>3235.61</v>
      </c>
      <c r="E20" s="249">
        <v>4380.4399999999996</v>
      </c>
      <c r="F20" s="249">
        <v>5192.7</v>
      </c>
      <c r="G20" s="96"/>
      <c r="H20" s="96"/>
      <c r="I20" s="96"/>
      <c r="J20" s="96"/>
    </row>
    <row r="21" spans="1:10" ht="14.25" customHeight="1" x14ac:dyDescent="0.3">
      <c r="A21" s="248" t="s">
        <v>327</v>
      </c>
      <c r="B21" s="249">
        <v>98.56</v>
      </c>
      <c r="C21" s="249">
        <v>15.13</v>
      </c>
      <c r="D21" s="249">
        <v>123.86</v>
      </c>
      <c r="E21" s="249">
        <v>255.29</v>
      </c>
      <c r="F21" s="249">
        <v>383.75</v>
      </c>
      <c r="G21" s="96"/>
      <c r="H21" s="96"/>
      <c r="I21" s="96"/>
      <c r="J21" s="96"/>
    </row>
    <row r="22" spans="1:10" ht="14.25" customHeight="1" x14ac:dyDescent="0.3">
      <c r="A22" s="250" t="s">
        <v>328</v>
      </c>
      <c r="B22" s="251">
        <v>5535.67</v>
      </c>
      <c r="C22" s="251">
        <v>6934.41</v>
      </c>
      <c r="D22" s="251">
        <v>4201.3599999999997</v>
      </c>
      <c r="E22" s="251">
        <v>8404.82</v>
      </c>
      <c r="F22" s="251">
        <v>9668.36</v>
      </c>
      <c r="G22" s="96"/>
      <c r="H22" s="96"/>
      <c r="I22" s="96"/>
      <c r="J22" s="96"/>
    </row>
    <row r="23" spans="1:10" ht="14.25" customHeight="1" x14ac:dyDescent="0.3">
      <c r="A23" s="250" t="s">
        <v>329</v>
      </c>
      <c r="B23" s="251">
        <v>36929.800000000003</v>
      </c>
      <c r="C23" s="251">
        <v>44851.57</v>
      </c>
      <c r="D23" s="251">
        <v>28247.71</v>
      </c>
      <c r="E23" s="251">
        <v>35661.03</v>
      </c>
      <c r="F23" s="251">
        <v>41006.879999999997</v>
      </c>
      <c r="G23" s="96"/>
      <c r="H23" s="96"/>
      <c r="I23" s="96"/>
      <c r="J23" s="96"/>
    </row>
    <row r="24" spans="1:10" ht="14.25" customHeight="1" x14ac:dyDescent="0.3">
      <c r="A24" s="246" t="s">
        <v>330</v>
      </c>
      <c r="B24" s="246"/>
      <c r="C24" s="246"/>
      <c r="D24" s="246"/>
      <c r="E24" s="246"/>
      <c r="F24" s="246"/>
    </row>
    <row r="25" spans="1:10" ht="14.25" customHeight="1" x14ac:dyDescent="0.3">
      <c r="A25" s="247" t="s">
        <v>331</v>
      </c>
      <c r="B25" s="247"/>
      <c r="C25" s="247"/>
      <c r="D25" s="247"/>
      <c r="E25" s="247"/>
      <c r="F25" s="247"/>
    </row>
    <row r="26" spans="1:10" ht="14.25" customHeight="1" x14ac:dyDescent="0.3">
      <c r="A26" s="248" t="s">
        <v>332</v>
      </c>
      <c r="B26" s="249">
        <v>3320.95</v>
      </c>
      <c r="C26" s="249">
        <v>4165.13</v>
      </c>
      <c r="D26" s="249">
        <v>2388.75</v>
      </c>
      <c r="E26" s="249">
        <v>2520.4899999999998</v>
      </c>
      <c r="F26" s="249">
        <v>4177.3</v>
      </c>
      <c r="G26" s="96"/>
      <c r="H26" s="96"/>
      <c r="I26" s="96"/>
      <c r="J26" s="96"/>
    </row>
    <row r="27" spans="1:10" ht="14.25" customHeight="1" x14ac:dyDescent="0.3">
      <c r="A27" s="248" t="s">
        <v>333</v>
      </c>
      <c r="B27" s="249">
        <v>518.57000000000005</v>
      </c>
      <c r="C27" s="249">
        <v>535.73</v>
      </c>
      <c r="D27" s="249">
        <v>715.93</v>
      </c>
      <c r="E27" s="249">
        <v>762.24</v>
      </c>
      <c r="F27" s="249">
        <v>767.27</v>
      </c>
      <c r="G27" s="96"/>
      <c r="H27" s="96"/>
      <c r="I27" s="96"/>
      <c r="J27" s="96"/>
    </row>
    <row r="28" spans="1:10" ht="14.25" customHeight="1" x14ac:dyDescent="0.3">
      <c r="A28" s="248" t="s">
        <v>334</v>
      </c>
      <c r="B28" s="249">
        <v>17106.509999999998</v>
      </c>
      <c r="C28" s="249">
        <v>18324.52</v>
      </c>
      <c r="D28" s="249">
        <v>1991.55</v>
      </c>
      <c r="E28" s="249">
        <v>3230.51</v>
      </c>
      <c r="F28" s="249">
        <v>4737.4799999999996</v>
      </c>
      <c r="G28" s="96"/>
      <c r="H28" s="96"/>
      <c r="I28" s="96"/>
      <c r="J28" s="96"/>
    </row>
    <row r="29" spans="1:10" ht="14.25" customHeight="1" x14ac:dyDescent="0.3">
      <c r="A29" s="248" t="s">
        <v>335</v>
      </c>
      <c r="B29" s="249">
        <v>51.42</v>
      </c>
      <c r="C29" s="249">
        <v>5</v>
      </c>
      <c r="D29" s="249">
        <v>6.49</v>
      </c>
      <c r="E29" s="249">
        <v>4.1399999999999997</v>
      </c>
      <c r="F29" s="249">
        <v>0</v>
      </c>
      <c r="G29" s="96"/>
      <c r="H29" s="96"/>
      <c r="I29" s="96"/>
      <c r="J29" s="96"/>
    </row>
    <row r="30" spans="1:10" ht="14.25" customHeight="1" x14ac:dyDescent="0.3">
      <c r="A30" s="250" t="s">
        <v>336</v>
      </c>
      <c r="B30" s="251">
        <v>20997.45</v>
      </c>
      <c r="C30" s="251">
        <v>23030.38</v>
      </c>
      <c r="D30" s="251">
        <v>5102.72</v>
      </c>
      <c r="E30" s="251">
        <v>6517.38</v>
      </c>
      <c r="F30" s="251">
        <v>9682.0499999999993</v>
      </c>
      <c r="G30" s="96"/>
      <c r="H30" s="96"/>
      <c r="I30" s="96"/>
      <c r="J30" s="96"/>
    </row>
    <row r="31" spans="1:10" ht="14.25" customHeight="1" x14ac:dyDescent="0.3">
      <c r="A31" s="248" t="s">
        <v>337</v>
      </c>
      <c r="B31" s="249">
        <v>874.9</v>
      </c>
      <c r="C31" s="249">
        <v>894.95</v>
      </c>
      <c r="D31" s="249">
        <v>934.68</v>
      </c>
      <c r="E31" s="249">
        <v>951.17</v>
      </c>
      <c r="F31" s="249">
        <v>974.53</v>
      </c>
      <c r="G31" s="96"/>
      <c r="H31" s="96"/>
      <c r="I31" s="96"/>
      <c r="J31" s="96"/>
    </row>
    <row r="32" spans="1:10" ht="14.25" customHeight="1" x14ac:dyDescent="0.3">
      <c r="A32" s="248" t="s">
        <v>338</v>
      </c>
      <c r="B32" s="249">
        <v>408.28</v>
      </c>
      <c r="C32" s="249">
        <v>530.95000000000005</v>
      </c>
      <c r="D32" s="249">
        <v>297.5</v>
      </c>
      <c r="E32" s="249">
        <v>265.89</v>
      </c>
      <c r="F32" s="249">
        <v>296.25</v>
      </c>
      <c r="G32" s="96"/>
      <c r="H32" s="96"/>
      <c r="I32" s="96"/>
      <c r="J32" s="96"/>
    </row>
    <row r="33" spans="1:10" ht="14.25" customHeight="1" x14ac:dyDescent="0.3">
      <c r="A33" s="248" t="s">
        <v>339</v>
      </c>
      <c r="B33" s="249">
        <v>259.17</v>
      </c>
      <c r="C33" s="249">
        <v>40.770000000000003</v>
      </c>
      <c r="D33" s="249">
        <v>62.62</v>
      </c>
      <c r="E33" s="249">
        <v>81.739999999999995</v>
      </c>
      <c r="F33" s="249">
        <v>126.72</v>
      </c>
      <c r="G33" s="96"/>
      <c r="H33" s="96"/>
      <c r="I33" s="96"/>
      <c r="J33" s="96"/>
    </row>
    <row r="34" spans="1:10" ht="14.25" customHeight="1" x14ac:dyDescent="0.3">
      <c r="A34" s="248" t="s">
        <v>340</v>
      </c>
      <c r="B34" s="249">
        <v>3695.91</v>
      </c>
      <c r="C34" s="249">
        <v>4449.8</v>
      </c>
      <c r="D34" s="249">
        <v>5949.09</v>
      </c>
      <c r="E34" s="249">
        <v>6202.43</v>
      </c>
      <c r="F34" s="249">
        <v>6456.76</v>
      </c>
      <c r="G34" s="96"/>
      <c r="H34" s="96"/>
      <c r="I34" s="96"/>
      <c r="J34" s="96"/>
    </row>
    <row r="35" spans="1:10" ht="14.25" customHeight="1" x14ac:dyDescent="0.3">
      <c r="A35" s="250" t="s">
        <v>341</v>
      </c>
      <c r="B35" s="251">
        <v>26329.599999999999</v>
      </c>
      <c r="C35" s="251">
        <v>29040.74</v>
      </c>
      <c r="D35" s="251">
        <v>12440.5</v>
      </c>
      <c r="E35" s="251">
        <v>14112.5</v>
      </c>
      <c r="F35" s="251">
        <v>17630.2</v>
      </c>
      <c r="G35" s="96"/>
      <c r="H35" s="96"/>
      <c r="I35" s="96"/>
      <c r="J35" s="96"/>
    </row>
    <row r="36" spans="1:10" ht="14.25" customHeight="1" x14ac:dyDescent="0.3">
      <c r="A36" s="247" t="s">
        <v>342</v>
      </c>
      <c r="B36" s="247"/>
      <c r="C36" s="247"/>
      <c r="D36" s="247"/>
      <c r="E36" s="247"/>
      <c r="F36" s="247"/>
    </row>
    <row r="37" spans="1:10" ht="14.25" customHeight="1" x14ac:dyDescent="0.3">
      <c r="A37" s="248" t="s">
        <v>399</v>
      </c>
      <c r="B37" s="249">
        <v>0</v>
      </c>
      <c r="C37" s="249">
        <v>0</v>
      </c>
      <c r="D37" s="249">
        <v>0</v>
      </c>
      <c r="E37" s="249">
        <v>4.8899999999999997</v>
      </c>
      <c r="F37" s="249">
        <v>3.6</v>
      </c>
      <c r="G37" s="96"/>
      <c r="H37" s="97"/>
      <c r="I37" s="97"/>
      <c r="J37" s="97"/>
    </row>
    <row r="38" spans="1:10" ht="14.25" customHeight="1" x14ac:dyDescent="0.3">
      <c r="A38" s="248" t="s">
        <v>343</v>
      </c>
      <c r="B38" s="249">
        <v>921.72</v>
      </c>
      <c r="C38" s="249">
        <v>2164.9</v>
      </c>
      <c r="D38" s="249">
        <v>2660.58</v>
      </c>
      <c r="E38" s="249">
        <v>2766.95</v>
      </c>
      <c r="F38" s="249">
        <v>2637.72</v>
      </c>
      <c r="G38" s="96"/>
      <c r="H38" s="96"/>
      <c r="I38" s="96"/>
      <c r="J38" s="96"/>
    </row>
    <row r="39" spans="1:10" ht="14.25" customHeight="1" x14ac:dyDescent="0.3">
      <c r="A39" s="248" t="s">
        <v>344</v>
      </c>
      <c r="B39" s="249">
        <v>2139.89</v>
      </c>
      <c r="C39" s="249">
        <v>2954.3</v>
      </c>
      <c r="D39" s="249">
        <v>2656.02</v>
      </c>
      <c r="E39" s="249">
        <v>3508.93</v>
      </c>
      <c r="F39" s="249">
        <v>7744.61</v>
      </c>
      <c r="G39" s="96"/>
      <c r="H39" s="96"/>
      <c r="I39" s="96"/>
      <c r="J39" s="96"/>
    </row>
    <row r="40" spans="1:10" ht="14.25" customHeight="1" x14ac:dyDescent="0.3">
      <c r="A40" s="248" t="s">
        <v>345</v>
      </c>
      <c r="B40" s="249">
        <v>5861.82</v>
      </c>
      <c r="C40" s="249">
        <v>7978.29</v>
      </c>
      <c r="D40" s="249">
        <v>7097.75</v>
      </c>
      <c r="E40" s="249">
        <v>12363.65</v>
      </c>
      <c r="F40" s="249">
        <v>10088.549999999999</v>
      </c>
      <c r="G40" s="96"/>
      <c r="H40" s="96"/>
      <c r="I40" s="96"/>
      <c r="J40" s="96"/>
    </row>
    <row r="41" spans="1:10" ht="14.25" customHeight="1" x14ac:dyDescent="0.3">
      <c r="A41" s="248" t="s">
        <v>346</v>
      </c>
      <c r="B41" s="249">
        <v>0</v>
      </c>
      <c r="C41" s="249">
        <v>0</v>
      </c>
      <c r="D41" s="249">
        <v>0</v>
      </c>
      <c r="E41" s="249">
        <v>0</v>
      </c>
      <c r="F41" s="249">
        <v>53.91</v>
      </c>
      <c r="G41" s="96"/>
      <c r="H41" s="96"/>
      <c r="I41" s="96"/>
      <c r="J41" s="96"/>
    </row>
    <row r="42" spans="1:10" ht="14.25" customHeight="1" x14ac:dyDescent="0.3">
      <c r="A42" s="248" t="s">
        <v>347</v>
      </c>
      <c r="B42" s="249">
        <v>1676.77</v>
      </c>
      <c r="C42" s="249">
        <v>2713.34</v>
      </c>
      <c r="D42" s="249">
        <v>3392.86</v>
      </c>
      <c r="E42" s="249">
        <v>2904.11</v>
      </c>
      <c r="F42" s="249">
        <v>2848.29</v>
      </c>
      <c r="G42" s="96"/>
      <c r="H42" s="96"/>
      <c r="I42" s="96"/>
      <c r="J42" s="96"/>
    </row>
    <row r="43" spans="1:10" ht="14.25" customHeight="1" x14ac:dyDescent="0.3">
      <c r="A43" s="250" t="s">
        <v>348</v>
      </c>
      <c r="B43" s="251">
        <v>10600.2</v>
      </c>
      <c r="C43" s="251">
        <v>15810.83</v>
      </c>
      <c r="D43" s="251">
        <v>15807.21</v>
      </c>
      <c r="E43" s="251">
        <v>21548.53</v>
      </c>
      <c r="F43" s="251">
        <v>23376.68</v>
      </c>
      <c r="G43" s="96"/>
      <c r="H43" s="96"/>
      <c r="I43" s="96"/>
      <c r="J43" s="96"/>
    </row>
    <row r="44" spans="1:10" ht="14.25" customHeight="1" x14ac:dyDescent="0.3">
      <c r="A44" s="250" t="s">
        <v>349</v>
      </c>
      <c r="B44" s="251">
        <v>36929.800000000003</v>
      </c>
      <c r="C44" s="251">
        <v>44851.57</v>
      </c>
      <c r="D44" s="251">
        <v>28247.71</v>
      </c>
      <c r="E44" s="251">
        <v>35661.03</v>
      </c>
      <c r="F44" s="251">
        <v>41006.879999999997</v>
      </c>
      <c r="G44" s="96"/>
      <c r="H44" s="96"/>
      <c r="I44" s="96"/>
      <c r="J44" s="96"/>
    </row>
    <row r="45" spans="1:10" ht="15" customHeight="1" x14ac:dyDescent="0.3">
      <c r="A45" s="253" t="s">
        <v>400</v>
      </c>
      <c r="B45" s="225"/>
      <c r="C45" s="225"/>
      <c r="D45" s="225"/>
      <c r="E45" s="225"/>
      <c r="F45" s="226"/>
    </row>
    <row r="46" spans="1:10" ht="14.25" customHeight="1" x14ac:dyDescent="0.3">
      <c r="A46" s="254" t="s">
        <v>299</v>
      </c>
      <c r="B46" s="255" t="s">
        <v>304</v>
      </c>
      <c r="C46" s="255" t="s">
        <v>303</v>
      </c>
      <c r="D46" s="255" t="s">
        <v>302</v>
      </c>
      <c r="E46" s="255" t="s">
        <v>301</v>
      </c>
      <c r="F46" s="255" t="s">
        <v>300</v>
      </c>
      <c r="G46" s="98"/>
      <c r="H46" s="98"/>
      <c r="I46" s="98"/>
      <c r="J46" s="98"/>
    </row>
    <row r="47" spans="1:10" ht="14.25" customHeight="1" x14ac:dyDescent="0.3">
      <c r="A47" s="256" t="s">
        <v>309</v>
      </c>
      <c r="B47" s="257" t="s">
        <v>310</v>
      </c>
      <c r="C47" s="257" t="s">
        <v>310</v>
      </c>
      <c r="D47" s="257" t="s">
        <v>310</v>
      </c>
      <c r="E47" s="257" t="s">
        <v>310</v>
      </c>
      <c r="F47" s="257" t="s">
        <v>310</v>
      </c>
    </row>
    <row r="48" spans="1:10" ht="14.25" customHeight="1" x14ac:dyDescent="0.3">
      <c r="A48" s="258" t="s">
        <v>363</v>
      </c>
      <c r="B48" s="259"/>
      <c r="C48" s="259"/>
      <c r="D48" s="259"/>
      <c r="E48" s="259"/>
      <c r="F48" s="259"/>
      <c r="G48" s="99"/>
      <c r="H48" s="100"/>
      <c r="I48" s="100"/>
      <c r="J48" s="100"/>
    </row>
    <row r="49" spans="1:10" ht="14.25" customHeight="1" x14ac:dyDescent="0.3">
      <c r="A49" s="260" t="s">
        <v>364</v>
      </c>
      <c r="B49" s="261">
        <v>15370.05</v>
      </c>
      <c r="C49" s="261">
        <v>25881.73</v>
      </c>
      <c r="D49" s="261">
        <v>17661.099999999999</v>
      </c>
      <c r="E49" s="261">
        <v>21301.23</v>
      </c>
      <c r="F49" s="261">
        <v>23900.78</v>
      </c>
      <c r="H49" s="99"/>
      <c r="I49" s="99"/>
      <c r="J49" s="99"/>
    </row>
    <row r="50" spans="1:10" ht="14.25" customHeight="1" x14ac:dyDescent="0.3">
      <c r="A50" s="260" t="s">
        <v>365</v>
      </c>
      <c r="B50" s="261">
        <v>15370.05</v>
      </c>
      <c r="C50" s="261">
        <v>25881.73</v>
      </c>
      <c r="D50" s="261">
        <v>17661.099999999999</v>
      </c>
      <c r="E50" s="261">
        <v>21301.23</v>
      </c>
      <c r="F50" s="261">
        <v>23900.78</v>
      </c>
      <c r="G50" s="99"/>
      <c r="H50" s="99"/>
      <c r="I50" s="99"/>
      <c r="J50" s="99"/>
    </row>
    <row r="51" spans="1:10" ht="14.25" customHeight="1" x14ac:dyDescent="0.3">
      <c r="A51" s="267" t="s">
        <v>366</v>
      </c>
      <c r="B51" s="262">
        <v>0.01</v>
      </c>
      <c r="C51" s="262">
        <v>0</v>
      </c>
      <c r="D51" s="262">
        <v>5.78</v>
      </c>
      <c r="E51" s="262">
        <v>6.62</v>
      </c>
      <c r="F51" s="262">
        <v>4.74</v>
      </c>
      <c r="G51" s="99"/>
      <c r="H51" s="99"/>
      <c r="I51" s="99"/>
      <c r="J51" s="99"/>
    </row>
    <row r="52" spans="1:10" ht="14.25" customHeight="1" x14ac:dyDescent="0.3">
      <c r="A52" s="263" t="s">
        <v>367</v>
      </c>
      <c r="B52" s="264">
        <v>15370.06</v>
      </c>
      <c r="C52" s="264">
        <v>25881.73</v>
      </c>
      <c r="D52" s="264">
        <v>17666.88</v>
      </c>
      <c r="E52" s="264">
        <v>21307.85</v>
      </c>
      <c r="F52" s="264">
        <v>23905.52</v>
      </c>
      <c r="G52" s="99"/>
      <c r="H52" s="99"/>
      <c r="I52" s="99"/>
      <c r="J52" s="99"/>
    </row>
    <row r="53" spans="1:10" ht="14.25" customHeight="1" x14ac:dyDescent="0.3">
      <c r="A53" s="268" t="s">
        <v>272</v>
      </c>
      <c r="B53" s="266">
        <v>351.6</v>
      </c>
      <c r="C53" s="266">
        <v>718.52</v>
      </c>
      <c r="D53" s="266">
        <v>768.22</v>
      </c>
      <c r="E53" s="266">
        <v>1370.88</v>
      </c>
      <c r="F53" s="266">
        <v>1593.32</v>
      </c>
      <c r="G53" s="99"/>
      <c r="H53" s="99"/>
      <c r="I53" s="99"/>
      <c r="J53" s="99"/>
    </row>
    <row r="54" spans="1:10" ht="14.25" customHeight="1" x14ac:dyDescent="0.3">
      <c r="A54" s="263" t="s">
        <v>368</v>
      </c>
      <c r="B54" s="264">
        <v>15721.66</v>
      </c>
      <c r="C54" s="264">
        <v>26600.25</v>
      </c>
      <c r="D54" s="264">
        <v>18435.099999999999</v>
      </c>
      <c r="E54" s="264">
        <v>22678.73</v>
      </c>
      <c r="F54" s="264">
        <v>25498.84</v>
      </c>
      <c r="G54" s="99"/>
      <c r="H54" s="99"/>
      <c r="I54" s="99"/>
      <c r="J54" s="99"/>
    </row>
    <row r="55" spans="1:10" ht="14.25" customHeight="1" x14ac:dyDescent="0.3">
      <c r="A55" s="258" t="s">
        <v>369</v>
      </c>
      <c r="B55" s="259"/>
      <c r="C55" s="259"/>
      <c r="D55" s="259"/>
      <c r="E55" s="259"/>
      <c r="F55" s="259"/>
      <c r="G55" s="100"/>
      <c r="H55" s="100"/>
      <c r="I55" s="100"/>
      <c r="J55" s="100"/>
    </row>
    <row r="56" spans="1:10" ht="14.25" customHeight="1" x14ac:dyDescent="0.3">
      <c r="A56" s="267" t="s">
        <v>370</v>
      </c>
      <c r="B56" s="262">
        <v>410.24</v>
      </c>
      <c r="C56" s="262">
        <v>626.02</v>
      </c>
      <c r="D56" s="262">
        <v>771.03</v>
      </c>
      <c r="E56" s="262">
        <v>841.79</v>
      </c>
      <c r="F56" s="262">
        <v>896.39</v>
      </c>
      <c r="G56" s="99"/>
      <c r="H56" s="99"/>
      <c r="I56" s="99"/>
      <c r="J56" s="99"/>
    </row>
    <row r="57" spans="1:10" ht="14.25" customHeight="1" x14ac:dyDescent="0.3">
      <c r="A57" s="268" t="s">
        <v>371</v>
      </c>
      <c r="B57" s="266">
        <v>0</v>
      </c>
      <c r="C57" s="266">
        <v>0</v>
      </c>
      <c r="D57" s="266">
        <v>0</v>
      </c>
      <c r="E57" s="266">
        <v>0</v>
      </c>
      <c r="F57" s="266">
        <v>197.09</v>
      </c>
      <c r="G57" s="99"/>
      <c r="H57" s="99"/>
      <c r="I57" s="99"/>
      <c r="J57" s="99"/>
    </row>
    <row r="58" spans="1:10" ht="14.25" customHeight="1" x14ac:dyDescent="0.3">
      <c r="A58" s="267" t="s">
        <v>372</v>
      </c>
      <c r="B58" s="262">
        <v>2969.38</v>
      </c>
      <c r="C58" s="262">
        <v>10178.99</v>
      </c>
      <c r="D58" s="262">
        <v>7935.05</v>
      </c>
      <c r="E58" s="262">
        <v>9460.4699999999993</v>
      </c>
      <c r="F58" s="262">
        <v>10502.91</v>
      </c>
      <c r="G58" s="99"/>
      <c r="H58" s="99"/>
      <c r="I58" s="99"/>
      <c r="J58" s="99"/>
    </row>
    <row r="59" spans="1:10" ht="14.25" customHeight="1" x14ac:dyDescent="0.3">
      <c r="A59" s="268" t="s">
        <v>373</v>
      </c>
      <c r="B59" s="266">
        <v>-161.81</v>
      </c>
      <c r="C59" s="266">
        <v>-1200.5</v>
      </c>
      <c r="D59" s="266">
        <v>-496.6</v>
      </c>
      <c r="E59" s="266">
        <v>-93.36</v>
      </c>
      <c r="F59" s="266">
        <v>99.31</v>
      </c>
      <c r="G59" s="99"/>
      <c r="H59" s="99"/>
      <c r="I59" s="99"/>
      <c r="J59" s="99"/>
    </row>
    <row r="60" spans="1:10" ht="14.25" customHeight="1" x14ac:dyDescent="0.3">
      <c r="A60" s="267" t="s">
        <v>374</v>
      </c>
      <c r="B60" s="262">
        <v>1085.24</v>
      </c>
      <c r="C60" s="262">
        <v>1337.07</v>
      </c>
      <c r="D60" s="262">
        <v>1530.57</v>
      </c>
      <c r="E60" s="262">
        <v>1625.54</v>
      </c>
      <c r="F60" s="262">
        <v>1795.04</v>
      </c>
      <c r="G60" s="99"/>
      <c r="H60" s="99"/>
      <c r="I60" s="99"/>
      <c r="J60" s="99"/>
    </row>
    <row r="61" spans="1:10" ht="14.25" customHeight="1" x14ac:dyDescent="0.3">
      <c r="A61" s="268" t="s">
        <v>267</v>
      </c>
      <c r="B61" s="266">
        <v>16.809999999999999</v>
      </c>
      <c r="C61" s="266">
        <v>39.06</v>
      </c>
      <c r="D61" s="266">
        <v>75.23</v>
      </c>
      <c r="E61" s="266">
        <v>78.239999999999995</v>
      </c>
      <c r="F61" s="266">
        <v>177.68</v>
      </c>
      <c r="G61" s="99"/>
      <c r="H61" s="99"/>
      <c r="I61" s="99"/>
      <c r="J61" s="99"/>
    </row>
    <row r="62" spans="1:10" ht="14.25" customHeight="1" x14ac:dyDescent="0.3">
      <c r="A62" s="267" t="s">
        <v>375</v>
      </c>
      <c r="B62" s="262">
        <v>228.54</v>
      </c>
      <c r="C62" s="262">
        <v>287.74</v>
      </c>
      <c r="D62" s="262">
        <v>336.18</v>
      </c>
      <c r="E62" s="262">
        <v>350.66</v>
      </c>
      <c r="F62" s="262">
        <v>420.42</v>
      </c>
      <c r="G62" s="99"/>
      <c r="H62" s="99"/>
      <c r="I62" s="99"/>
      <c r="J62" s="99"/>
    </row>
    <row r="63" spans="1:10" ht="14.25" customHeight="1" x14ac:dyDescent="0.3">
      <c r="A63" s="268" t="s">
        <v>266</v>
      </c>
      <c r="B63" s="266">
        <v>2277.7399999999998</v>
      </c>
      <c r="C63" s="266">
        <v>2357.63</v>
      </c>
      <c r="D63" s="266">
        <v>1874.3</v>
      </c>
      <c r="E63" s="266">
        <v>2180.58</v>
      </c>
      <c r="F63" s="266">
        <v>2266.11</v>
      </c>
      <c r="G63" s="99"/>
      <c r="H63" s="99"/>
      <c r="I63" s="99"/>
      <c r="J63" s="99"/>
    </row>
    <row r="64" spans="1:10" ht="14.25" customHeight="1" x14ac:dyDescent="0.3">
      <c r="A64" s="263" t="s">
        <v>268</v>
      </c>
      <c r="B64" s="264">
        <v>6826.14</v>
      </c>
      <c r="C64" s="264">
        <v>13626.01</v>
      </c>
      <c r="D64" s="264">
        <v>12025.76</v>
      </c>
      <c r="E64" s="264">
        <v>14443.92</v>
      </c>
      <c r="F64" s="264">
        <v>16354.95</v>
      </c>
      <c r="G64" s="99"/>
      <c r="H64" s="99"/>
      <c r="I64" s="99"/>
      <c r="J64" s="99"/>
    </row>
    <row r="65" spans="1:10" ht="14.25" customHeight="1" x14ac:dyDescent="0.3">
      <c r="A65" s="263" t="s">
        <v>376</v>
      </c>
      <c r="B65" s="264">
        <v>8895.52</v>
      </c>
      <c r="C65" s="264">
        <v>12974.24</v>
      </c>
      <c r="D65" s="264">
        <v>6409.34</v>
      </c>
      <c r="E65" s="264">
        <v>8234.81</v>
      </c>
      <c r="F65" s="264">
        <v>9143.89</v>
      </c>
      <c r="G65" s="99"/>
      <c r="H65" s="99"/>
      <c r="I65" s="99"/>
      <c r="J65" s="99"/>
    </row>
    <row r="66" spans="1:10" ht="14.25" customHeight="1" x14ac:dyDescent="0.3">
      <c r="A66" s="267" t="s">
        <v>276</v>
      </c>
      <c r="B66" s="262">
        <v>0</v>
      </c>
      <c r="C66" s="262">
        <v>0</v>
      </c>
      <c r="D66" s="262">
        <v>1237.27</v>
      </c>
      <c r="E66" s="262">
        <v>-282.14999999999998</v>
      </c>
      <c r="F66" s="262">
        <v>0</v>
      </c>
      <c r="G66" s="99"/>
      <c r="H66" s="99"/>
      <c r="I66" s="99"/>
      <c r="J66" s="99"/>
    </row>
    <row r="67" spans="1:10" ht="14.25" customHeight="1" x14ac:dyDescent="0.3">
      <c r="A67" s="263" t="s">
        <v>377</v>
      </c>
      <c r="B67" s="264">
        <v>8895.52</v>
      </c>
      <c r="C67" s="264">
        <v>12974.24</v>
      </c>
      <c r="D67" s="264">
        <v>7646.61</v>
      </c>
      <c r="E67" s="264">
        <v>7952.66</v>
      </c>
      <c r="F67" s="264">
        <v>9143.89</v>
      </c>
      <c r="G67" s="99"/>
      <c r="H67" s="99"/>
      <c r="I67" s="99"/>
      <c r="J67" s="99"/>
    </row>
    <row r="68" spans="1:10" ht="14.25" customHeight="1" x14ac:dyDescent="0.3">
      <c r="A68" s="258" t="s">
        <v>378</v>
      </c>
      <c r="B68" s="259"/>
      <c r="C68" s="259"/>
      <c r="D68" s="259"/>
      <c r="E68" s="259"/>
      <c r="F68" s="259"/>
      <c r="G68" s="100"/>
      <c r="H68" s="100"/>
      <c r="I68" s="100"/>
      <c r="J68" s="100"/>
    </row>
    <row r="69" spans="1:10" ht="14.25" customHeight="1" x14ac:dyDescent="0.3">
      <c r="A69" s="268" t="s">
        <v>379</v>
      </c>
      <c r="B69" s="266">
        <v>2316.46</v>
      </c>
      <c r="C69" s="266">
        <v>3444.39</v>
      </c>
      <c r="D69" s="266">
        <v>1664.65</v>
      </c>
      <c r="E69" s="266">
        <v>2117.62</v>
      </c>
      <c r="F69" s="266">
        <v>2410.81</v>
      </c>
      <c r="G69" s="99"/>
      <c r="H69" s="99"/>
      <c r="I69" s="99"/>
      <c r="J69" s="99"/>
    </row>
    <row r="70" spans="1:10" ht="14.25" customHeight="1" x14ac:dyDescent="0.3">
      <c r="A70" s="267" t="s">
        <v>380</v>
      </c>
      <c r="B70" s="262">
        <v>-11.21</v>
      </c>
      <c r="C70" s="262">
        <v>-122.67</v>
      </c>
      <c r="D70" s="262">
        <v>271.43</v>
      </c>
      <c r="E70" s="262">
        <v>31.62</v>
      </c>
      <c r="F70" s="262">
        <v>-30.36</v>
      </c>
      <c r="G70" s="99"/>
      <c r="H70" s="99"/>
      <c r="I70" s="99"/>
      <c r="J70" s="99"/>
    </row>
    <row r="71" spans="1:10" ht="14.25" customHeight="1" x14ac:dyDescent="0.3">
      <c r="A71" s="268" t="s">
        <v>381</v>
      </c>
      <c r="B71" s="266">
        <v>343.2</v>
      </c>
      <c r="C71" s="266">
        <v>260.52999999999997</v>
      </c>
      <c r="D71" s="266">
        <v>172.13</v>
      </c>
      <c r="E71" s="266">
        <v>231.18</v>
      </c>
      <c r="F71" s="266">
        <v>223.69</v>
      </c>
      <c r="G71" s="99"/>
      <c r="H71" s="99"/>
      <c r="I71" s="99"/>
      <c r="J71" s="99"/>
    </row>
    <row r="72" spans="1:10" ht="14.25" customHeight="1" x14ac:dyDescent="0.3">
      <c r="A72" s="263" t="s">
        <v>382</v>
      </c>
      <c r="B72" s="264">
        <v>2648.45</v>
      </c>
      <c r="C72" s="264">
        <v>3582.25</v>
      </c>
      <c r="D72" s="264">
        <v>2108.21</v>
      </c>
      <c r="E72" s="264">
        <v>2380.42</v>
      </c>
      <c r="F72" s="264">
        <v>2604.14</v>
      </c>
      <c r="G72" s="99"/>
      <c r="H72" s="99"/>
      <c r="I72" s="99"/>
      <c r="J72" s="99"/>
    </row>
    <row r="73" spans="1:10" ht="14.25" customHeight="1" x14ac:dyDescent="0.3">
      <c r="A73" s="263" t="s">
        <v>383</v>
      </c>
      <c r="B73" s="264">
        <v>6247.07</v>
      </c>
      <c r="C73" s="264">
        <v>9391.99</v>
      </c>
      <c r="D73" s="264">
        <v>5538.4</v>
      </c>
      <c r="E73" s="264">
        <v>5572.24</v>
      </c>
      <c r="F73" s="264">
        <v>6539.75</v>
      </c>
      <c r="G73" s="99"/>
      <c r="H73" s="99"/>
      <c r="I73" s="99"/>
      <c r="J73" s="99"/>
    </row>
    <row r="74" spans="1:10" ht="14.25" customHeight="1" x14ac:dyDescent="0.3">
      <c r="A74" s="260" t="s">
        <v>384</v>
      </c>
      <c r="B74" s="261">
        <v>6247.07</v>
      </c>
      <c r="C74" s="261">
        <v>9391.99</v>
      </c>
      <c r="D74" s="261">
        <v>5538.4</v>
      </c>
      <c r="E74" s="261">
        <v>5572.24</v>
      </c>
      <c r="F74" s="261">
        <v>6539.75</v>
      </c>
      <c r="G74" s="99"/>
      <c r="H74" s="99"/>
      <c r="I74" s="99"/>
      <c r="J74" s="99"/>
    </row>
    <row r="75" spans="1:10" ht="14.25" customHeight="1" x14ac:dyDescent="0.3">
      <c r="A75" s="267" t="s">
        <v>385</v>
      </c>
      <c r="B75" s="262">
        <v>0.53</v>
      </c>
      <c r="C75" s="262">
        <v>-0.91</v>
      </c>
      <c r="D75" s="262">
        <v>-0.91</v>
      </c>
      <c r="E75" s="262">
        <v>-1.32</v>
      </c>
      <c r="F75" s="262">
        <v>-1.24</v>
      </c>
      <c r="G75" s="99"/>
      <c r="H75" s="99"/>
      <c r="I75" s="99"/>
      <c r="J75" s="99"/>
    </row>
    <row r="76" spans="1:10" ht="14.25" customHeight="1" x14ac:dyDescent="0.3">
      <c r="A76" s="268" t="s">
        <v>386</v>
      </c>
      <c r="B76" s="266">
        <v>0.13</v>
      </c>
      <c r="C76" s="266">
        <v>-0.23</v>
      </c>
      <c r="D76" s="266">
        <v>-0.23</v>
      </c>
      <c r="E76" s="266">
        <v>-0.33</v>
      </c>
      <c r="F76" s="266">
        <v>-0.31</v>
      </c>
      <c r="G76" s="99"/>
      <c r="H76" s="99"/>
      <c r="I76" s="99"/>
      <c r="J76" s="99"/>
    </row>
    <row r="77" spans="1:10" ht="14.25" customHeight="1" x14ac:dyDescent="0.3">
      <c r="A77" s="267" t="s">
        <v>387</v>
      </c>
      <c r="B77" s="262">
        <v>0.4</v>
      </c>
      <c r="C77" s="262">
        <v>-0.68</v>
      </c>
      <c r="D77" s="262">
        <v>-0.68</v>
      </c>
      <c r="E77" s="262">
        <v>-0.99</v>
      </c>
      <c r="F77" s="262">
        <v>-0.93</v>
      </c>
      <c r="G77" s="99"/>
      <c r="H77" s="99"/>
      <c r="I77" s="99"/>
      <c r="J77" s="99"/>
    </row>
    <row r="78" spans="1:10" ht="14.25" customHeight="1" x14ac:dyDescent="0.3">
      <c r="A78" s="263" t="s">
        <v>388</v>
      </c>
      <c r="B78" s="264">
        <v>6247.47</v>
      </c>
      <c r="C78" s="264">
        <v>9391.31</v>
      </c>
      <c r="D78" s="264">
        <v>5537.72</v>
      </c>
      <c r="E78" s="264">
        <v>5571.25</v>
      </c>
      <c r="F78" s="264">
        <v>6538.82</v>
      </c>
      <c r="G78" s="99"/>
      <c r="H78" s="99"/>
      <c r="I78" s="99"/>
      <c r="J78" s="99"/>
    </row>
    <row r="79" spans="1:10" ht="14.25" customHeight="1" x14ac:dyDescent="0.3">
      <c r="A79" s="268" t="s">
        <v>295</v>
      </c>
      <c r="B79" s="266">
        <v>0.37</v>
      </c>
      <c r="C79" s="266">
        <v>0.55000000000000004</v>
      </c>
      <c r="D79" s="266">
        <v>-1.1000000000000001</v>
      </c>
      <c r="E79" s="266">
        <v>4.1900000000000004</v>
      </c>
      <c r="F79" s="266">
        <v>10.95</v>
      </c>
      <c r="G79" s="99"/>
      <c r="H79" s="99"/>
      <c r="I79" s="99"/>
      <c r="J79" s="99"/>
    </row>
    <row r="80" spans="1:10" ht="14.25" customHeight="1" x14ac:dyDescent="0.3">
      <c r="A80" s="267" t="s">
        <v>401</v>
      </c>
      <c r="B80" s="262">
        <v>29.17</v>
      </c>
      <c r="C80" s="262">
        <v>-12.26</v>
      </c>
      <c r="D80" s="262">
        <v>64.84</v>
      </c>
      <c r="E80" s="262">
        <v>-0.38</v>
      </c>
      <c r="F80" s="262">
        <v>-7.79</v>
      </c>
      <c r="G80" s="99"/>
      <c r="H80" s="99"/>
      <c r="I80" s="99"/>
      <c r="J80" s="99"/>
    </row>
    <row r="81" spans="1:10" ht="14.25" customHeight="1" x14ac:dyDescent="0.3">
      <c r="A81" s="263" t="s">
        <v>402</v>
      </c>
      <c r="B81" s="264">
        <v>6277.01</v>
      </c>
      <c r="C81" s="264">
        <v>9379.6</v>
      </c>
      <c r="D81" s="264">
        <v>5601.46</v>
      </c>
      <c r="E81" s="264">
        <v>5575.06</v>
      </c>
      <c r="F81" s="264">
        <v>6541.98</v>
      </c>
      <c r="G81" s="99"/>
      <c r="H81" s="99"/>
      <c r="I81" s="99"/>
      <c r="J81" s="99"/>
    </row>
  </sheetData>
  <mergeCells count="2">
    <mergeCell ref="A1:F1"/>
    <mergeCell ref="A45:F45"/>
  </mergeCell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K28"/>
  <sheetViews>
    <sheetView workbookViewId="0">
      <selection activeCell="B28" sqref="B28"/>
    </sheetView>
  </sheetViews>
  <sheetFormatPr defaultColWidth="8.6640625" defaultRowHeight="14.4" x14ac:dyDescent="0.3"/>
  <cols>
    <col min="2" max="2" width="33.6640625" customWidth="1"/>
    <col min="3" max="3" width="10" customWidth="1"/>
    <col min="4" max="4" width="21.77734375" customWidth="1"/>
    <col min="5" max="5" width="14.109375" customWidth="1"/>
    <col min="7" max="7" width="19" customWidth="1"/>
  </cols>
  <sheetData>
    <row r="3" spans="2:11" x14ac:dyDescent="0.3">
      <c r="B3" s="235" t="s">
        <v>599</v>
      </c>
      <c r="C3" s="236"/>
      <c r="D3" s="61"/>
      <c r="E3" s="61"/>
      <c r="F3" s="61"/>
    </row>
    <row r="4" spans="2:11" x14ac:dyDescent="0.3">
      <c r="B4" s="62" t="s">
        <v>600</v>
      </c>
      <c r="C4" s="63">
        <f>'Consolidated Balance sheet'!F13+'Consolidated Balance sheet'!F18</f>
        <v>3770.45</v>
      </c>
    </row>
    <row r="5" spans="2:11" x14ac:dyDescent="0.3">
      <c r="B5" s="62" t="s">
        <v>601</v>
      </c>
      <c r="C5" s="64">
        <f>'Consolidated Balance sheet'!F7*92.02</f>
        <v>80902.143599999996</v>
      </c>
    </row>
    <row r="6" spans="2:11" x14ac:dyDescent="0.3">
      <c r="B6" s="65" t="s">
        <v>602</v>
      </c>
      <c r="C6" s="63">
        <f>C4+C5</f>
        <v>84672.593599999993</v>
      </c>
    </row>
    <row r="7" spans="2:11" x14ac:dyDescent="0.3">
      <c r="B7" s="66" t="s">
        <v>603</v>
      </c>
      <c r="C7" s="67">
        <f>C4/C6</f>
        <v>4.4529756792521399E-2</v>
      </c>
    </row>
    <row r="8" spans="2:11" x14ac:dyDescent="0.3">
      <c r="B8" s="66" t="s">
        <v>604</v>
      </c>
      <c r="C8" s="67">
        <f>C5/C6</f>
        <v>0.95547024320747898</v>
      </c>
    </row>
    <row r="9" spans="2:11" x14ac:dyDescent="0.3">
      <c r="B9" s="68" t="s">
        <v>605</v>
      </c>
      <c r="C9" s="64">
        <f>C4/C5</f>
        <v>4.6605069188797102E-2</v>
      </c>
    </row>
    <row r="11" spans="2:11" x14ac:dyDescent="0.3">
      <c r="B11" s="237" t="s">
        <v>606</v>
      </c>
      <c r="C11" s="226"/>
    </row>
    <row r="12" spans="2:11" x14ac:dyDescent="0.3">
      <c r="B12" s="69" t="s">
        <v>607</v>
      </c>
      <c r="C12" s="70">
        <v>7.0699999999999999E-2</v>
      </c>
      <c r="E12" s="216" t="s">
        <v>608</v>
      </c>
      <c r="F12" s="183"/>
      <c r="G12" s="183"/>
      <c r="H12" s="183"/>
      <c r="I12" s="183"/>
      <c r="J12" s="183"/>
      <c r="K12" s="183"/>
    </row>
    <row r="13" spans="2:11" x14ac:dyDescent="0.3">
      <c r="B13" s="69" t="s">
        <v>609</v>
      </c>
      <c r="C13" s="71">
        <f>Beta!J3</f>
        <v>1.08879371964295</v>
      </c>
    </row>
    <row r="14" spans="2:11" x14ac:dyDescent="0.3">
      <c r="B14" s="69" t="s">
        <v>610</v>
      </c>
      <c r="C14" s="70">
        <v>6.8500000000000005E-2</v>
      </c>
      <c r="E14" s="216" t="s">
        <v>611</v>
      </c>
      <c r="F14" s="183"/>
      <c r="G14" s="183"/>
      <c r="H14" s="183"/>
      <c r="I14" s="183"/>
      <c r="J14" s="183"/>
      <c r="K14" s="183"/>
    </row>
    <row r="15" spans="2:11" x14ac:dyDescent="0.3">
      <c r="B15" s="72" t="s">
        <v>612</v>
      </c>
      <c r="C15" s="73">
        <f>C12+C13*(C14)</f>
        <v>0.14528236979554199</v>
      </c>
    </row>
    <row r="17" spans="2:10" x14ac:dyDescent="0.3">
      <c r="B17" s="237" t="s">
        <v>613</v>
      </c>
      <c r="C17" s="226"/>
    </row>
    <row r="18" spans="2:10" x14ac:dyDescent="0.3">
      <c r="B18" s="74" t="s">
        <v>614</v>
      </c>
      <c r="C18" s="75">
        <f>'Consolidated P&amp;L'!F17</f>
        <v>177.68</v>
      </c>
    </row>
    <row r="19" spans="2:10" x14ac:dyDescent="0.3">
      <c r="B19" s="69" t="s">
        <v>615</v>
      </c>
      <c r="C19" s="76">
        <f>C4</f>
        <v>3770.45</v>
      </c>
    </row>
    <row r="20" spans="2:10" x14ac:dyDescent="0.3">
      <c r="B20" s="69" t="s">
        <v>616</v>
      </c>
      <c r="C20" s="77">
        <f>C18/C19</f>
        <v>4.7124348552560001E-2</v>
      </c>
    </row>
    <row r="21" spans="2:10" x14ac:dyDescent="0.3">
      <c r="B21" s="78" t="s">
        <v>568</v>
      </c>
      <c r="C21" s="79">
        <f>Assumptions!G34</f>
        <v>0.295324948039767</v>
      </c>
    </row>
    <row r="22" spans="2:10" x14ac:dyDescent="0.3">
      <c r="B22" s="80" t="s">
        <v>617</v>
      </c>
      <c r="C22" s="81">
        <f>C20*(1-C21)</f>
        <v>3.3207352764867401E-2</v>
      </c>
    </row>
    <row r="24" spans="2:10" ht="17.25" customHeight="1" x14ac:dyDescent="0.3">
      <c r="B24" s="238" t="s">
        <v>618</v>
      </c>
      <c r="C24" s="239"/>
      <c r="D24" s="239"/>
      <c r="E24" s="240"/>
    </row>
    <row r="25" spans="2:10" x14ac:dyDescent="0.3">
      <c r="B25" s="82" t="s">
        <v>619</v>
      </c>
      <c r="C25" s="83" t="s">
        <v>620</v>
      </c>
      <c r="D25" s="83" t="s">
        <v>621</v>
      </c>
      <c r="E25" s="84" t="s">
        <v>622</v>
      </c>
    </row>
    <row r="26" spans="2:10" x14ac:dyDescent="0.3">
      <c r="B26" s="85" t="s">
        <v>623</v>
      </c>
      <c r="C26" s="86">
        <f>C7</f>
        <v>4.4529756792521399E-2</v>
      </c>
      <c r="D26" s="87">
        <f>C22</f>
        <v>3.3207352764867401E-2</v>
      </c>
      <c r="E26" s="88">
        <f>D26*C26</f>
        <v>1.4787153423430101E-3</v>
      </c>
    </row>
    <row r="27" spans="2:10" x14ac:dyDescent="0.3">
      <c r="B27" s="85" t="s">
        <v>624</v>
      </c>
      <c r="C27" s="86">
        <f>C8</f>
        <v>0.95547024320747898</v>
      </c>
      <c r="D27" s="87">
        <f>C15</f>
        <v>0.14528236979554199</v>
      </c>
      <c r="E27" s="88">
        <f>D27*C27</f>
        <v>0.13881298120230501</v>
      </c>
    </row>
    <row r="28" spans="2:10" ht="15" customHeight="1" x14ac:dyDescent="0.3">
      <c r="B28" s="241" t="s">
        <v>618</v>
      </c>
      <c r="C28" s="89">
        <f>SUM(C26:C27)</f>
        <v>1</v>
      </c>
      <c r="D28" s="90" t="s">
        <v>625</v>
      </c>
      <c r="E28" s="91">
        <f>E26+E27</f>
        <v>0.14029169654464799</v>
      </c>
      <c r="G28" t="s">
        <v>626</v>
      </c>
      <c r="J28" s="92"/>
    </row>
  </sheetData>
  <mergeCells count="6">
    <mergeCell ref="B24:E24"/>
    <mergeCell ref="B3:C3"/>
    <mergeCell ref="B11:C11"/>
    <mergeCell ref="E12:K12"/>
    <mergeCell ref="E14:K14"/>
    <mergeCell ref="B17:C17"/>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31"/>
  <sheetViews>
    <sheetView showGridLines="0" zoomScale="80" zoomScaleNormal="80" workbookViewId="0">
      <selection activeCell="H22" sqref="H22:L22"/>
    </sheetView>
  </sheetViews>
  <sheetFormatPr defaultColWidth="8.6640625" defaultRowHeight="14.4" x14ac:dyDescent="0.3"/>
  <cols>
    <col min="1" max="1" width="30.5546875" customWidth="1"/>
    <col min="2" max="2" width="10.33203125" customWidth="1"/>
    <col min="3" max="3" width="14.88671875" customWidth="1"/>
    <col min="4" max="7" width="12.44140625" customWidth="1"/>
    <col min="8" max="8" width="29.21875" customWidth="1"/>
    <col min="9" max="12" width="12.44140625" customWidth="1"/>
    <col min="14" max="14" width="12.5546875" customWidth="1"/>
    <col min="16" max="16" width="43.77734375" customWidth="1"/>
    <col min="17" max="17" width="7" customWidth="1"/>
  </cols>
  <sheetData>
    <row r="1" spans="1:17" x14ac:dyDescent="0.3">
      <c r="C1">
        <v>1</v>
      </c>
      <c r="D1">
        <v>2</v>
      </c>
      <c r="E1">
        <v>3</v>
      </c>
      <c r="F1">
        <v>4</v>
      </c>
      <c r="G1">
        <v>5</v>
      </c>
      <c r="H1">
        <v>6</v>
      </c>
      <c r="I1">
        <v>7</v>
      </c>
      <c r="J1">
        <v>8</v>
      </c>
      <c r="K1">
        <v>9</v>
      </c>
      <c r="L1">
        <v>10</v>
      </c>
    </row>
    <row r="2" spans="1:17" x14ac:dyDescent="0.3">
      <c r="A2" s="29" t="s">
        <v>627</v>
      </c>
      <c r="B2" s="30" t="s">
        <v>583</v>
      </c>
      <c r="C2" s="30" t="s">
        <v>584</v>
      </c>
      <c r="D2" s="30" t="s">
        <v>585</v>
      </c>
      <c r="E2" s="30" t="s">
        <v>586</v>
      </c>
      <c r="F2" s="30" t="s">
        <v>628</v>
      </c>
      <c r="G2" s="30" t="s">
        <v>588</v>
      </c>
      <c r="H2" s="30" t="s">
        <v>589</v>
      </c>
      <c r="I2" s="30" t="s">
        <v>590</v>
      </c>
      <c r="J2" s="30" t="s">
        <v>591</v>
      </c>
      <c r="K2" s="30" t="s">
        <v>592</v>
      </c>
      <c r="L2" s="30" t="s">
        <v>593</v>
      </c>
      <c r="M2" s="31"/>
      <c r="N2" s="29" t="s">
        <v>629</v>
      </c>
      <c r="P2" s="32" t="s">
        <v>630</v>
      </c>
      <c r="Q2" s="33">
        <v>0.04</v>
      </c>
    </row>
    <row r="3" spans="1:17" x14ac:dyDescent="0.3">
      <c r="A3" s="34" t="s">
        <v>631</v>
      </c>
      <c r="B3" s="35">
        <f>'Growth scenario'!B18</f>
        <v>23905.52</v>
      </c>
      <c r="C3" s="35">
        <f>'Growth scenario'!C18</f>
        <v>26367.526742861799</v>
      </c>
      <c r="D3" s="35">
        <f>'Growth scenario'!D18</f>
        <v>28997.284354592801</v>
      </c>
      <c r="E3" s="35">
        <f>'Growth scenario'!E18</f>
        <v>31794.953093787099</v>
      </c>
      <c r="F3" s="35">
        <f>'Growth scenario'!F18</f>
        <v>34759.070404903803</v>
      </c>
      <c r="G3" s="35">
        <f>'Growth scenario'!G18</f>
        <v>37886.402824788798</v>
      </c>
      <c r="H3" s="35">
        <f>'Growth scenario'!H18</f>
        <v>41171.811452855</v>
      </c>
      <c r="I3" s="35">
        <f>'Growth scenario'!I18</f>
        <v>44608.1350086643</v>
      </c>
      <c r="J3" s="35">
        <f>'Growth scenario'!J18</f>
        <v>48186.094514405799</v>
      </c>
      <c r="K3" s="35">
        <f>'Growth scenario'!K18</f>
        <v>51894.223549821698</v>
      </c>
      <c r="L3" s="35">
        <f>'Growth scenario'!L18</f>
        <v>55718.827825443601</v>
      </c>
      <c r="N3" s="36">
        <f>L3*(1+$Q$2)</f>
        <v>57947.580938461346</v>
      </c>
      <c r="P3" s="32" t="s">
        <v>632</v>
      </c>
      <c r="Q3" s="33">
        <f>WACC!E28</f>
        <v>0.14029169654464799</v>
      </c>
    </row>
    <row r="4" spans="1:17" x14ac:dyDescent="0.3">
      <c r="A4" s="34" t="s">
        <v>483</v>
      </c>
      <c r="C4" s="33">
        <f>'Growth scenario'!C19</f>
        <v>0.10298904783756101</v>
      </c>
      <c r="D4" s="33">
        <f>'Growth scenario'!D19</f>
        <v>9.9734709188943504E-2</v>
      </c>
      <c r="E4" s="33">
        <f>'Growth scenario'!E19</f>
        <v>9.64803705403256E-2</v>
      </c>
      <c r="F4" s="33">
        <f>'Growth scenario'!F19</f>
        <v>9.3226031891707598E-2</v>
      </c>
      <c r="G4" s="33">
        <f>'Growth scenario'!G19</f>
        <v>8.9971693243089707E-2</v>
      </c>
      <c r="H4" s="33">
        <f>'Growth scenario'!H19</f>
        <v>8.6717354594471704E-2</v>
      </c>
      <c r="I4" s="33">
        <f>'Growth scenario'!I19</f>
        <v>8.34630159458538E-2</v>
      </c>
      <c r="J4" s="33">
        <f>'Growth scenario'!J19</f>
        <v>8.0208677297235895E-2</v>
      </c>
      <c r="K4" s="33">
        <f>'Growth scenario'!K19</f>
        <v>7.6954338648617907E-2</v>
      </c>
      <c r="L4" s="33">
        <f>'Growth scenario'!L19</f>
        <v>7.3700000000000002E-2</v>
      </c>
      <c r="N4" s="37">
        <f>$Q$2</f>
        <v>0.04</v>
      </c>
      <c r="P4" s="32" t="s">
        <v>633</v>
      </c>
      <c r="Q4" s="33">
        <f>Q2*Q3</f>
        <v>5.6116678617859194E-3</v>
      </c>
    </row>
    <row r="5" spans="1:17" x14ac:dyDescent="0.3">
      <c r="A5" s="34" t="s">
        <v>513</v>
      </c>
      <c r="C5" s="38">
        <f t="shared" ref="C5:L5" si="0">C3*C6</f>
        <v>10571.590384750099</v>
      </c>
      <c r="D5" s="38">
        <f t="shared" si="0"/>
        <v>11625.9448774378</v>
      </c>
      <c r="E5" s="38">
        <f t="shared" si="0"/>
        <v>12747.6203470944</v>
      </c>
      <c r="F5" s="38">
        <f t="shared" si="0"/>
        <v>13936.030408115999</v>
      </c>
      <c r="G5" s="38">
        <f t="shared" si="0"/>
        <v>15189.878661021399</v>
      </c>
      <c r="H5" s="38">
        <f t="shared" si="0"/>
        <v>16507.104755116201</v>
      </c>
      <c r="I5" s="38">
        <f t="shared" si="0"/>
        <v>17884.837502512299</v>
      </c>
      <c r="J5" s="38">
        <f t="shared" si="0"/>
        <v>19319.3566622648</v>
      </c>
      <c r="K5" s="38">
        <f t="shared" si="0"/>
        <v>20806.064977326201</v>
      </c>
      <c r="L5" s="38">
        <f t="shared" si="0"/>
        <v>22339.471966155099</v>
      </c>
      <c r="N5" s="36">
        <f>N6*N3</f>
        <v>23233.050844801302</v>
      </c>
      <c r="P5" s="32"/>
    </row>
    <row r="6" spans="1:17" x14ac:dyDescent="0.3">
      <c r="A6" s="34" t="s">
        <v>634</v>
      </c>
      <c r="C6" s="33">
        <f>AVERAGE(Assumptions!B29:F29)</f>
        <v>0.40093219541768499</v>
      </c>
      <c r="D6" s="33">
        <f t="shared" ref="D6:L6" si="1">C6</f>
        <v>0.40093219541768499</v>
      </c>
      <c r="E6" s="33">
        <f t="shared" si="1"/>
        <v>0.40093219541768499</v>
      </c>
      <c r="F6" s="33">
        <f t="shared" si="1"/>
        <v>0.40093219541768499</v>
      </c>
      <c r="G6" s="33">
        <f t="shared" si="1"/>
        <v>0.40093219541768499</v>
      </c>
      <c r="H6" s="33">
        <f t="shared" si="1"/>
        <v>0.40093219541768499</v>
      </c>
      <c r="I6" s="33">
        <f t="shared" si="1"/>
        <v>0.40093219541768499</v>
      </c>
      <c r="J6" s="33">
        <f t="shared" si="1"/>
        <v>0.40093219541768499</v>
      </c>
      <c r="K6" s="33">
        <f t="shared" si="1"/>
        <v>0.40093219541768499</v>
      </c>
      <c r="L6" s="33">
        <f t="shared" si="1"/>
        <v>0.40093219541768499</v>
      </c>
      <c r="N6" s="37">
        <f>L6</f>
        <v>0.40093219541768499</v>
      </c>
      <c r="P6" s="32" t="s">
        <v>635</v>
      </c>
    </row>
    <row r="7" spans="1:17" x14ac:dyDescent="0.3">
      <c r="A7" s="34" t="s">
        <v>514</v>
      </c>
      <c r="C7" s="35">
        <f>Assumptions!$B$35*'DCF Valuation'!C5</f>
        <v>3171.4771154250302</v>
      </c>
      <c r="D7" s="35">
        <f>Assumptions!$B$35*'DCF Valuation'!D5</f>
        <v>3487.7834632313302</v>
      </c>
      <c r="E7" s="35">
        <f>Assumptions!$B$35*'DCF Valuation'!E5</f>
        <v>3824.2861041283099</v>
      </c>
      <c r="F7" s="35">
        <f>Assumptions!$B$35*'DCF Valuation'!F5</f>
        <v>4180.80912243479</v>
      </c>
      <c r="G7" s="35">
        <f>Assumptions!$B$35*'DCF Valuation'!G5</f>
        <v>4556.9635983064099</v>
      </c>
      <c r="H7" s="35">
        <f>Assumptions!$B$35*'DCF Valuation'!H5</f>
        <v>4952.1314265348501</v>
      </c>
      <c r="I7" s="35">
        <f>Assumptions!$B$35*'DCF Valuation'!I5</f>
        <v>5365.4512507536901</v>
      </c>
      <c r="J7" s="35">
        <f>Assumptions!$B$35*'DCF Valuation'!J5</f>
        <v>5795.8069986794399</v>
      </c>
      <c r="K7" s="35">
        <f>Assumptions!$B$35*'DCF Valuation'!K5</f>
        <v>6241.8194931978496</v>
      </c>
      <c r="L7" s="35">
        <f>Assumptions!$B$35*'DCF Valuation'!L5</f>
        <v>6701.84158984653</v>
      </c>
      <c r="N7" s="36">
        <f>Assumptions!$B$35*N5</f>
        <v>6969.9152534403902</v>
      </c>
    </row>
    <row r="8" spans="1:17" x14ac:dyDescent="0.3">
      <c r="A8" s="39" t="s">
        <v>636</v>
      </c>
      <c r="B8" s="31"/>
      <c r="C8" s="40">
        <f t="shared" ref="C8:L8" si="2">C5-C7</f>
        <v>7400.1132693250702</v>
      </c>
      <c r="D8" s="40">
        <f t="shared" si="2"/>
        <v>8138.16141420645</v>
      </c>
      <c r="E8" s="40">
        <f t="shared" si="2"/>
        <v>8923.3342429660697</v>
      </c>
      <c r="F8" s="40">
        <f t="shared" si="2"/>
        <v>9755.2212856811893</v>
      </c>
      <c r="G8" s="40">
        <f t="shared" si="2"/>
        <v>10632.915062714999</v>
      </c>
      <c r="H8" s="40">
        <f t="shared" si="2"/>
        <v>11554.9733285813</v>
      </c>
      <c r="I8" s="40">
        <f t="shared" si="2"/>
        <v>12519.3862517586</v>
      </c>
      <c r="J8" s="40">
        <f t="shared" si="2"/>
        <v>13523.5496635854</v>
      </c>
      <c r="K8" s="40">
        <f t="shared" si="2"/>
        <v>14564.2454841283</v>
      </c>
      <c r="L8" s="40">
        <f t="shared" si="2"/>
        <v>15637.6303763086</v>
      </c>
      <c r="M8" s="31"/>
      <c r="N8" s="36">
        <f>N5-N7</f>
        <v>16263.135591360911</v>
      </c>
      <c r="O8" s="31"/>
      <c r="P8" s="31"/>
      <c r="Q8" s="31"/>
    </row>
    <row r="9" spans="1:17" x14ac:dyDescent="0.3">
      <c r="A9" s="34" t="s">
        <v>637</v>
      </c>
      <c r="C9" s="41">
        <f>C3*'Fixed Asset Scheduled'!$C$11</f>
        <v>1910.83366689997</v>
      </c>
      <c r="D9" s="41">
        <f>D3*'Fixed Asset Scheduled'!$C$11</f>
        <v>2101.4101069766798</v>
      </c>
      <c r="E9" s="41">
        <f>E3*'Fixed Asset Scheduled'!$C$11</f>
        <v>2304.1549327549801</v>
      </c>
      <c r="F9" s="41">
        <f>F3*'Fixed Asset Scheduled'!$C$11</f>
        <v>2518.96215399943</v>
      </c>
      <c r="G9" s="41">
        <f>G3*'Fixed Asset Scheduled'!$C$11</f>
        <v>2745.5974442100101</v>
      </c>
      <c r="H9" s="41">
        <f>H3*'Fixed Asset Scheduled'!$C$11</f>
        <v>2983.6883913532502</v>
      </c>
      <c r="I9" s="41">
        <f>I3*'Fixed Asset Scheduled'!$C$11</f>
        <v>3232.71602313822</v>
      </c>
      <c r="J9" s="41">
        <f>J3*'Fixed Asset Scheduled'!$C$11</f>
        <v>3492.00789943172</v>
      </c>
      <c r="K9" s="41">
        <f>K3*'Fixed Asset Scheduled'!$C$11</f>
        <v>3760.7330578882402</v>
      </c>
      <c r="L9" s="41">
        <f>L3*'Fixed Asset Scheduled'!$C$11</f>
        <v>4037.8990842546</v>
      </c>
      <c r="N9" s="42"/>
    </row>
    <row r="10" spans="1:17" x14ac:dyDescent="0.3">
      <c r="A10" s="34" t="s">
        <v>638</v>
      </c>
      <c r="B10" s="43">
        <f>'Change in working Capital'!F5</f>
        <v>10060.870000000001</v>
      </c>
      <c r="C10" s="35">
        <f>'Change in working Capital'!$C$9*'DCF Valuation'!C3</f>
        <v>6271.5278676035496</v>
      </c>
      <c r="D10" s="35">
        <f>'Change in working Capital'!$C$9*'DCF Valuation'!D3</f>
        <v>6897.0168756493504</v>
      </c>
      <c r="E10" s="35">
        <f>'Change in working Capital'!$C$9*'DCF Valuation'!E3</f>
        <v>7562.44361943488</v>
      </c>
      <c r="F10" s="35">
        <f>'Change in working Capital'!$C$9*'DCF Valuation'!F3</f>
        <v>8267.4602294795495</v>
      </c>
      <c r="G10" s="35">
        <f>'Change in working Capital'!$C$9*'DCF Valuation'!G3</f>
        <v>9011.2976251457294</v>
      </c>
      <c r="H10" s="35">
        <f>'Change in working Capital'!$C$9*'DCF Valuation'!H3</f>
        <v>9792.7335166618195</v>
      </c>
      <c r="I10" s="35">
        <f>'Change in working Capital'!$C$9*'DCF Valuation'!I3</f>
        <v>10610.0645903165</v>
      </c>
      <c r="J10" s="35">
        <f>'Change in working Capital'!$C$9*'DCF Valuation'!J3</f>
        <v>11461.083837144</v>
      </c>
      <c r="K10" s="35">
        <f>'Change in working Capital'!$C$9*'DCF Valuation'!K3</f>
        <v>12343.0639640278</v>
      </c>
      <c r="L10" s="35">
        <f>'Change in working Capital'!$C$9*'DCF Valuation'!L3</f>
        <v>13252.747778176599</v>
      </c>
      <c r="N10" s="42"/>
    </row>
    <row r="11" spans="1:17" x14ac:dyDescent="0.3">
      <c r="A11" s="34" t="s">
        <v>639</v>
      </c>
      <c r="C11" s="35">
        <f t="shared" ref="C11:L11" si="3">C10-B10</f>
        <v>-3789.3421323964499</v>
      </c>
      <c r="D11" s="35">
        <f t="shared" si="3"/>
        <v>625.48900804579603</v>
      </c>
      <c r="E11" s="35">
        <f t="shared" si="3"/>
        <v>665.42674378552897</v>
      </c>
      <c r="F11" s="35">
        <f t="shared" si="3"/>
        <v>705.01661004467599</v>
      </c>
      <c r="G11" s="35">
        <f t="shared" si="3"/>
        <v>743.83739566617805</v>
      </c>
      <c r="H11" s="35">
        <f t="shared" si="3"/>
        <v>781.43589151608501</v>
      </c>
      <c r="I11" s="35">
        <f t="shared" si="3"/>
        <v>817.33107365464105</v>
      </c>
      <c r="J11" s="35">
        <f t="shared" si="3"/>
        <v>851.01924682752394</v>
      </c>
      <c r="K11" s="35">
        <f t="shared" si="3"/>
        <v>881.98012688378003</v>
      </c>
      <c r="L11" s="35">
        <f t="shared" si="3"/>
        <v>909.68381414884402</v>
      </c>
      <c r="N11" s="42"/>
    </row>
    <row r="12" spans="1:17" x14ac:dyDescent="0.3">
      <c r="A12" s="34" t="s">
        <v>518</v>
      </c>
      <c r="C12" s="41">
        <f t="shared" ref="C12:L12" si="4">C9+C11</f>
        <v>-1878.5084654964801</v>
      </c>
      <c r="D12" s="41">
        <f t="shared" si="4"/>
        <v>2726.8991150224801</v>
      </c>
      <c r="E12" s="41">
        <f t="shared" si="4"/>
        <v>2969.5816765405002</v>
      </c>
      <c r="F12" s="41">
        <f t="shared" si="4"/>
        <v>3223.9787640441</v>
      </c>
      <c r="G12" s="41">
        <f t="shared" si="4"/>
        <v>3489.4348398761899</v>
      </c>
      <c r="H12" s="41">
        <f t="shared" si="4"/>
        <v>3765.1242828693298</v>
      </c>
      <c r="I12" s="41">
        <f t="shared" si="4"/>
        <v>4050.04709679287</v>
      </c>
      <c r="J12" s="41">
        <f t="shared" si="4"/>
        <v>4343.02714625925</v>
      </c>
      <c r="K12" s="41">
        <f t="shared" si="4"/>
        <v>4642.7131847720202</v>
      </c>
      <c r="L12" s="41">
        <f t="shared" si="4"/>
        <v>4947.5828984034497</v>
      </c>
      <c r="N12" s="36">
        <f>N8*N14</f>
        <v>91.263315329906774</v>
      </c>
    </row>
    <row r="13" spans="1:17" x14ac:dyDescent="0.3">
      <c r="A13" s="44" t="s">
        <v>640</v>
      </c>
      <c r="C13" s="40">
        <f>C8-C12</f>
        <v>9278.6217348215505</v>
      </c>
      <c r="D13" s="40">
        <f t="shared" ref="D13:L13" si="5">D8-(D12)</f>
        <v>5411.2622991839698</v>
      </c>
      <c r="E13" s="40">
        <f t="shared" si="5"/>
        <v>5953.75256642556</v>
      </c>
      <c r="F13" s="40">
        <f t="shared" si="5"/>
        <v>6531.2425216370802</v>
      </c>
      <c r="G13" s="40">
        <f t="shared" si="5"/>
        <v>7143.4802228387598</v>
      </c>
      <c r="H13" s="40">
        <f t="shared" si="5"/>
        <v>7789.8490457119797</v>
      </c>
      <c r="I13" s="40">
        <f t="shared" si="5"/>
        <v>8469.3391549657408</v>
      </c>
      <c r="J13" s="40">
        <f t="shared" si="5"/>
        <v>9180.5225173261206</v>
      </c>
      <c r="K13" s="40">
        <f t="shared" si="5"/>
        <v>9921.5322993562895</v>
      </c>
      <c r="L13" s="40">
        <f t="shared" si="5"/>
        <v>10690.0474779051</v>
      </c>
      <c r="N13" s="36">
        <f>N8-N12</f>
        <v>16171.872276031005</v>
      </c>
    </row>
    <row r="14" spans="1:17" x14ac:dyDescent="0.3">
      <c r="A14" s="34" t="s">
        <v>641</v>
      </c>
      <c r="C14" s="45">
        <f t="shared" ref="C14:L14" si="6">C13/C8</f>
        <v>1.25384860976159</v>
      </c>
      <c r="D14" s="45">
        <f t="shared" si="6"/>
        <v>0.66492442503508897</v>
      </c>
      <c r="E14" s="45">
        <f t="shared" si="6"/>
        <v>0.66721165029973895</v>
      </c>
      <c r="F14" s="45">
        <f t="shared" si="6"/>
        <v>0.66951249288662595</v>
      </c>
      <c r="G14" s="45">
        <f t="shared" si="6"/>
        <v>0.67182707476784698</v>
      </c>
      <c r="H14" s="45">
        <f t="shared" si="6"/>
        <v>0.67415551937655505</v>
      </c>
      <c r="I14" s="45">
        <f t="shared" si="6"/>
        <v>0.67649795162890203</v>
      </c>
      <c r="J14" s="45">
        <f t="shared" si="6"/>
        <v>0.67885449794637598</v>
      </c>
      <c r="K14" s="45">
        <f t="shared" si="6"/>
        <v>0.68122528627854395</v>
      </c>
      <c r="L14" s="45">
        <f t="shared" si="6"/>
        <v>0.68361044612621302</v>
      </c>
      <c r="N14" s="46">
        <f>$Q$4</f>
        <v>5.6116678617859194E-3</v>
      </c>
    </row>
    <row r="16" spans="1:17" x14ac:dyDescent="0.3">
      <c r="A16" t="s">
        <v>642</v>
      </c>
      <c r="L16" s="40">
        <f>L13/(Q3-Q2)</f>
        <v>106589.5567251282</v>
      </c>
    </row>
    <row r="18" spans="1:20" x14ac:dyDescent="0.3">
      <c r="A18" t="s">
        <v>643</v>
      </c>
      <c r="C18">
        <f t="shared" ref="C18:L18" si="7">1/(1+$Q$3)^C1</f>
        <v>0.87696858885339191</v>
      </c>
      <c r="D18">
        <f t="shared" si="7"/>
        <v>0.7690739058355095</v>
      </c>
      <c r="E18">
        <f t="shared" si="7"/>
        <v>0.67445365792453316</v>
      </c>
      <c r="F18">
        <f t="shared" si="7"/>
        <v>0.59147467263708609</v>
      </c>
      <c r="G18">
        <f t="shared" si="7"/>
        <v>0.51870470900506738</v>
      </c>
      <c r="H18">
        <f t="shared" si="7"/>
        <v>0.45488773668778315</v>
      </c>
      <c r="I18">
        <f t="shared" si="7"/>
        <v>0.39892225652979851</v>
      </c>
      <c r="J18">
        <f t="shared" si="7"/>
        <v>0.34984228837114817</v>
      </c>
      <c r="K18">
        <f t="shared" si="7"/>
        <v>0.30680069795408721</v>
      </c>
      <c r="L18">
        <f t="shared" si="7"/>
        <v>0.26905457514403158</v>
      </c>
    </row>
    <row r="20" spans="1:20" x14ac:dyDescent="0.3">
      <c r="A20" t="s">
        <v>644</v>
      </c>
      <c r="C20" s="41">
        <f>SUMPRODUCT(C18:L18,C13:L13)</f>
        <v>39936.66091181431</v>
      </c>
    </row>
    <row r="21" spans="1:20" x14ac:dyDescent="0.3">
      <c r="A21" t="s">
        <v>645</v>
      </c>
      <c r="C21" s="35">
        <f>L16*L18</f>
        <v>28678.407899470025</v>
      </c>
    </row>
    <row r="22" spans="1:20" x14ac:dyDescent="0.3">
      <c r="C22" s="35"/>
      <c r="H22" s="234" t="s">
        <v>646</v>
      </c>
      <c r="I22" s="218"/>
      <c r="J22" s="218"/>
      <c r="K22" s="218"/>
      <c r="L22" s="218"/>
    </row>
    <row r="23" spans="1:20" ht="24" customHeight="1" x14ac:dyDescent="0.3">
      <c r="A23" s="31" t="s">
        <v>647</v>
      </c>
      <c r="C23" s="40">
        <f>C20+C21</f>
        <v>68615.068811284335</v>
      </c>
      <c r="H23" s="47" t="s">
        <v>648</v>
      </c>
      <c r="I23" s="48"/>
      <c r="J23" s="48"/>
      <c r="K23" s="48"/>
      <c r="L23" s="48"/>
    </row>
    <row r="24" spans="1:20" x14ac:dyDescent="0.3">
      <c r="A24" s="49" t="s">
        <v>649</v>
      </c>
      <c r="C24" s="43">
        <f>'Historical FS'!F40</f>
        <v>10088.549999999999</v>
      </c>
      <c r="H24" s="50">
        <f>C30</f>
        <v>85.218292967633886</v>
      </c>
      <c r="I24" s="51">
        <f>J24-1%</f>
        <v>0.12029169654464798</v>
      </c>
      <c r="J24" s="51">
        <f>K24-1%</f>
        <v>0.13029169654464798</v>
      </c>
      <c r="K24" s="51">
        <f>$Q$3</f>
        <v>0.14029169654464799</v>
      </c>
      <c r="L24" s="51">
        <f>K24+1%</f>
        <v>0.150291696544648</v>
      </c>
      <c r="M24" s="51">
        <f>L24+1%</f>
        <v>0.160291696544648</v>
      </c>
    </row>
    <row r="25" spans="1:20" x14ac:dyDescent="0.3">
      <c r="A25" s="49" t="s">
        <v>650</v>
      </c>
      <c r="C25" s="43">
        <f>'Historical FS'!F18+'Historical FS'!F13</f>
        <v>3770.45</v>
      </c>
      <c r="H25" s="52">
        <f>H26-1%</f>
        <v>1.9999999999999997E-2</v>
      </c>
      <c r="I25">
        <f t="dataTable" ref="I25:M29" dt2D="1" dtr="1" r1="Q3" r2="Q2" ca="1"/>
        <v>95.574102521232518</v>
      </c>
      <c r="J25">
        <v>106.18097703711358</v>
      </c>
      <c r="K25">
        <v>106.18097703711358</v>
      </c>
      <c r="L25">
        <v>95.574102521232518</v>
      </c>
      <c r="M25">
        <v>79.794893637243788</v>
      </c>
      <c r="P25" s="36"/>
      <c r="Q25" s="36"/>
      <c r="R25" s="36"/>
      <c r="S25" s="36"/>
      <c r="T25" s="36"/>
    </row>
    <row r="26" spans="1:20" x14ac:dyDescent="0.3">
      <c r="A26" s="49" t="s">
        <v>651</v>
      </c>
      <c r="C26" s="43">
        <f>'Historical FS'!F79</f>
        <v>10.95</v>
      </c>
      <c r="H26" s="52">
        <f>H27-1%</f>
        <v>0.03</v>
      </c>
      <c r="I26">
        <v>92.04403617084904</v>
      </c>
      <c r="J26">
        <v>101.46449566211635</v>
      </c>
      <c r="K26">
        <v>101.46449566211635</v>
      </c>
      <c r="L26">
        <v>92.04403617084904</v>
      </c>
      <c r="M26">
        <v>77.707569831088804</v>
      </c>
      <c r="P26" s="36"/>
      <c r="Q26" s="53"/>
      <c r="R26" s="36"/>
      <c r="S26" s="36"/>
      <c r="T26" s="36"/>
    </row>
    <row r="27" spans="1:20" ht="15" customHeight="1" x14ac:dyDescent="0.3">
      <c r="A27" s="54" t="s">
        <v>652</v>
      </c>
      <c r="B27" s="55"/>
      <c r="C27" s="56">
        <f>C23+C24-C25-C26</f>
        <v>74922.218811284343</v>
      </c>
      <c r="H27" s="52">
        <f>$Q$2</f>
        <v>0.04</v>
      </c>
      <c r="I27">
        <v>92.04403617084904</v>
      </c>
      <c r="J27">
        <v>101.46449566211635</v>
      </c>
      <c r="K27" s="57">
        <v>101.46449566211635</v>
      </c>
      <c r="L27">
        <v>92.04403617084904</v>
      </c>
      <c r="M27">
        <v>77.707569831088804</v>
      </c>
      <c r="P27" s="36"/>
      <c r="Q27" s="58"/>
      <c r="R27" s="59"/>
      <c r="S27" s="36"/>
      <c r="T27" s="36"/>
    </row>
    <row r="28" spans="1:20" ht="15" customHeight="1" x14ac:dyDescent="0.3">
      <c r="H28" s="52">
        <f>H27+1%</f>
        <v>0.05</v>
      </c>
      <c r="I28">
        <v>95.574102521232518</v>
      </c>
      <c r="J28">
        <v>106.18097703711358</v>
      </c>
      <c r="K28">
        <v>106.18097703711358</v>
      </c>
      <c r="L28">
        <v>95.574102521232518</v>
      </c>
      <c r="M28">
        <v>79.794893637243788</v>
      </c>
      <c r="P28" s="36"/>
      <c r="Q28" s="36"/>
      <c r="R28" s="36"/>
      <c r="S28" s="36"/>
      <c r="T28" s="36"/>
    </row>
    <row r="29" spans="1:20" x14ac:dyDescent="0.3">
      <c r="A29" s="49" t="s">
        <v>653</v>
      </c>
      <c r="C29" s="35">
        <f>'Relative Valuation'!D5/'Relative Valuation'!B5</f>
        <v>879.17999999999984</v>
      </c>
      <c r="H29" s="52">
        <f>H28+1%</f>
        <v>6.0000000000000005E-2</v>
      </c>
      <c r="I29">
        <v>105.27216654165007</v>
      </c>
      <c r="J29">
        <v>119.63986171545538</v>
      </c>
      <c r="K29">
        <v>119.63986171545538</v>
      </c>
      <c r="L29">
        <v>105.27216654165007</v>
      </c>
      <c r="M29">
        <v>85.218292967633886</v>
      </c>
      <c r="P29" s="36"/>
      <c r="Q29" s="36"/>
      <c r="R29" s="36"/>
      <c r="S29" s="36"/>
      <c r="T29" s="36"/>
    </row>
    <row r="30" spans="1:20" ht="15" customHeight="1" x14ac:dyDescent="0.3">
      <c r="A30" s="54" t="s">
        <v>654</v>
      </c>
      <c r="B30" s="55"/>
      <c r="C30" s="60">
        <f>C27/C29</f>
        <v>85.218292967633886</v>
      </c>
      <c r="E30" s="54"/>
    </row>
    <row r="31" spans="1:20" ht="15" customHeight="1" x14ac:dyDescent="0.3"/>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6"/>
  <sheetViews>
    <sheetView tabSelected="1" topLeftCell="A14" workbookViewId="0">
      <selection activeCell="E21" sqref="E21"/>
    </sheetView>
  </sheetViews>
  <sheetFormatPr defaultColWidth="8.6640625" defaultRowHeight="14.4" x14ac:dyDescent="0.3"/>
  <cols>
    <col min="1" max="1" width="30.6640625" customWidth="1"/>
    <col min="2" max="3" width="8" customWidth="1"/>
    <col min="4" max="4" width="10.88671875" customWidth="1"/>
    <col min="5" max="5" width="10.44140625" customWidth="1"/>
    <col min="6" max="6" width="9.44140625" customWidth="1"/>
    <col min="7" max="7" width="9" customWidth="1"/>
    <col min="8" max="8" width="8" customWidth="1"/>
    <col min="9" max="9" width="6.5546875" customWidth="1"/>
    <col min="10" max="10" width="6.6640625" customWidth="1"/>
    <col min="11" max="11" width="7.6640625" customWidth="1"/>
    <col min="12" max="12" width="9.33203125" customWidth="1"/>
    <col min="13" max="13" width="8.109375" customWidth="1"/>
    <col min="15" max="15" width="12" customWidth="1"/>
    <col min="16" max="16" width="10.21875" customWidth="1"/>
    <col min="17" max="17" width="9.5546875" customWidth="1"/>
  </cols>
  <sheetData>
    <row r="1" spans="1:17" ht="15" customHeight="1" x14ac:dyDescent="0.3">
      <c r="A1" s="221" t="s">
        <v>655</v>
      </c>
      <c r="B1" s="222"/>
      <c r="C1" s="222"/>
      <c r="D1" s="222"/>
      <c r="E1" s="222"/>
      <c r="F1" s="222"/>
      <c r="G1" s="222"/>
      <c r="H1" s="222"/>
      <c r="I1" s="222"/>
      <c r="J1" s="222"/>
      <c r="K1" s="222"/>
      <c r="L1" s="222"/>
      <c r="M1" s="222"/>
    </row>
    <row r="2" spans="1:17" ht="14.25" customHeight="1" x14ac:dyDescent="0.3">
      <c r="A2" s="1"/>
      <c r="B2" s="1"/>
      <c r="C2" s="1"/>
      <c r="D2" s="1"/>
      <c r="E2" s="1"/>
      <c r="F2" s="1"/>
      <c r="G2" s="1"/>
      <c r="H2" s="1"/>
      <c r="I2" s="1"/>
      <c r="J2" s="1"/>
      <c r="K2" s="1"/>
      <c r="L2" s="1"/>
      <c r="M2" s="1"/>
    </row>
    <row r="3" spans="1:17" ht="14.25" customHeight="1" x14ac:dyDescent="0.3">
      <c r="A3" s="223" t="s">
        <v>29</v>
      </c>
      <c r="B3" s="224" t="s">
        <v>656</v>
      </c>
      <c r="C3" s="225"/>
      <c r="D3" s="225"/>
      <c r="E3" s="226"/>
      <c r="F3" s="224" t="s">
        <v>657</v>
      </c>
      <c r="G3" s="225"/>
      <c r="H3" s="225"/>
      <c r="I3" s="226"/>
      <c r="J3" s="227" t="s">
        <v>658</v>
      </c>
      <c r="K3" s="225"/>
      <c r="L3" s="225"/>
      <c r="M3" s="226"/>
    </row>
    <row r="4" spans="1:17" ht="24" customHeight="1" x14ac:dyDescent="0.3">
      <c r="A4" s="228"/>
      <c r="B4" s="229" t="s">
        <v>659</v>
      </c>
      <c r="C4" s="229" t="s">
        <v>660</v>
      </c>
      <c r="D4" s="229" t="s">
        <v>661</v>
      </c>
      <c r="E4" s="229" t="s">
        <v>662</v>
      </c>
      <c r="F4" s="229" t="s">
        <v>663</v>
      </c>
      <c r="G4" s="229" t="s">
        <v>664</v>
      </c>
      <c r="H4" s="229" t="s">
        <v>665</v>
      </c>
      <c r="I4" s="229" t="s">
        <v>666</v>
      </c>
      <c r="J4" s="230" t="s">
        <v>667</v>
      </c>
      <c r="K4" s="230" t="s">
        <v>668</v>
      </c>
      <c r="L4" s="230" t="s">
        <v>669</v>
      </c>
      <c r="M4" s="230" t="s">
        <v>670</v>
      </c>
    </row>
    <row r="5" spans="1:17" ht="14.25" customHeight="1" x14ac:dyDescent="0.3">
      <c r="A5" s="2" t="s">
        <v>412</v>
      </c>
      <c r="B5" s="3">
        <v>89</v>
      </c>
      <c r="C5" s="3">
        <f>'Historical FS'!F6</f>
        <v>879.18</v>
      </c>
      <c r="D5" s="4">
        <f>B5*C5</f>
        <v>78247.01999999999</v>
      </c>
      <c r="E5" s="180">
        <f>D5+'Historical FS'!F13+'Historical FS'!F18-'Historical FS'!F40-'Historical FS'!F37</f>
        <v>71925.319999999978</v>
      </c>
      <c r="F5" s="180">
        <f>Assumptions!F3</f>
        <v>23905.52</v>
      </c>
      <c r="G5" s="3">
        <f>Assumptions!F9</f>
        <v>8148.67</v>
      </c>
      <c r="H5" s="3">
        <f>Assumptions!F11</f>
        <v>7728.25</v>
      </c>
      <c r="I5" s="3">
        <f>'Consolidated P&amp;L'!F41</f>
        <v>7</v>
      </c>
      <c r="J5" s="5">
        <f t="shared" ref="J5:J10" si="0">B5/I5</f>
        <v>12.714285714285714</v>
      </c>
      <c r="K5" s="5">
        <f t="shared" ref="K5:K10" si="1">E5/F5</f>
        <v>3.0087327111060533</v>
      </c>
      <c r="L5" s="5">
        <f t="shared" ref="L5:L10" si="2">E5/G5</f>
        <v>8.8266330579100618</v>
      </c>
      <c r="M5" s="5">
        <f t="shared" ref="M5:M10" si="3">E5/H5</f>
        <v>9.3068055510626575</v>
      </c>
    </row>
    <row r="6" spans="1:17" ht="14.25" customHeight="1" x14ac:dyDescent="0.3">
      <c r="A6" s="6" t="s">
        <v>413</v>
      </c>
      <c r="B6" s="3">
        <v>1270.3</v>
      </c>
      <c r="C6" s="3">
        <v>305</v>
      </c>
      <c r="D6" s="4">
        <v>310157</v>
      </c>
      <c r="E6" s="181">
        <v>379433.75</v>
      </c>
      <c r="F6" s="7">
        <v>168824</v>
      </c>
      <c r="G6" s="7">
        <v>23107</v>
      </c>
      <c r="H6" s="7">
        <v>13798</v>
      </c>
      <c r="I6" s="3">
        <v>85.19</v>
      </c>
      <c r="J6" s="5">
        <f t="shared" si="0"/>
        <v>14.911374574480572</v>
      </c>
      <c r="K6" s="5">
        <f t="shared" si="1"/>
        <v>2.2475107212244705</v>
      </c>
      <c r="L6" s="5">
        <f t="shared" si="2"/>
        <v>16.42072748517765</v>
      </c>
      <c r="M6" s="5">
        <f t="shared" si="3"/>
        <v>27.499184664444122</v>
      </c>
    </row>
    <row r="7" spans="1:17" ht="14.25" customHeight="1" x14ac:dyDescent="0.3">
      <c r="A7" s="6" t="s">
        <v>671</v>
      </c>
      <c r="B7" s="3">
        <v>208.28</v>
      </c>
      <c r="C7" s="3">
        <v>1247.44</v>
      </c>
      <c r="D7" s="4">
        <v>259907</v>
      </c>
      <c r="E7" s="181">
        <v>248133.35</v>
      </c>
      <c r="F7" s="7">
        <v>218542.51</v>
      </c>
      <c r="G7" s="7">
        <v>25933.85</v>
      </c>
      <c r="H7" s="64">
        <v>22767.25</v>
      </c>
      <c r="I7" s="3">
        <v>2.59</v>
      </c>
      <c r="J7" s="5">
        <f t="shared" si="0"/>
        <v>80.416988416988417</v>
      </c>
      <c r="K7" s="5">
        <f t="shared" si="1"/>
        <v>1.1354008426095226</v>
      </c>
      <c r="L7" s="5">
        <f t="shared" si="2"/>
        <v>9.5679334152083104</v>
      </c>
      <c r="M7" s="5">
        <f t="shared" si="3"/>
        <v>10.898696592693453</v>
      </c>
    </row>
    <row r="8" spans="1:17" ht="14.25" customHeight="1" x14ac:dyDescent="0.3">
      <c r="A8" s="6" t="s">
        <v>415</v>
      </c>
      <c r="B8" s="3">
        <v>1048.8</v>
      </c>
      <c r="C8" s="3">
        <v>222</v>
      </c>
      <c r="D8" s="4">
        <v>235240</v>
      </c>
      <c r="E8" s="181">
        <v>161568.70000000001</v>
      </c>
      <c r="F8" s="7">
        <v>238496</v>
      </c>
      <c r="G8" s="7">
        <v>33650</v>
      </c>
      <c r="H8" s="7">
        <v>25769</v>
      </c>
      <c r="I8" s="3">
        <v>72.040000000000006</v>
      </c>
      <c r="J8" s="5">
        <f t="shared" si="0"/>
        <v>14.558578567462519</v>
      </c>
      <c r="K8" s="5">
        <f t="shared" si="1"/>
        <v>0.67744825909029927</v>
      </c>
      <c r="L8" s="5">
        <f t="shared" si="2"/>
        <v>4.8014472511144133</v>
      </c>
      <c r="M8" s="5">
        <f t="shared" si="3"/>
        <v>6.269886297489232</v>
      </c>
    </row>
    <row r="9" spans="1:17" ht="15" customHeight="1" x14ac:dyDescent="0.3">
      <c r="A9" s="6" t="s">
        <v>672</v>
      </c>
      <c r="B9" s="3">
        <v>1210</v>
      </c>
      <c r="C9" s="3">
        <v>101.18</v>
      </c>
      <c r="D9" s="4">
        <v>123318</v>
      </c>
      <c r="E9" s="180">
        <v>95634.4</v>
      </c>
      <c r="F9" s="121">
        <v>57876.54</v>
      </c>
      <c r="G9" s="121">
        <v>8432.25</v>
      </c>
      <c r="H9" s="64">
        <v>7535.6</v>
      </c>
      <c r="I9" s="182">
        <v>27.88</v>
      </c>
      <c r="J9" s="5">
        <f t="shared" si="0"/>
        <v>43.400286944045909</v>
      </c>
      <c r="K9" s="5">
        <f t="shared" si="1"/>
        <v>1.6523862691169857</v>
      </c>
      <c r="L9" s="5">
        <f t="shared" si="2"/>
        <v>11.341504343443328</v>
      </c>
      <c r="M9" s="5">
        <f t="shared" si="3"/>
        <v>12.691013323424809</v>
      </c>
      <c r="O9" s="7"/>
    </row>
    <row r="10" spans="1:17" ht="14.25" customHeight="1" x14ac:dyDescent="0.3">
      <c r="A10" s="8" t="s">
        <v>673</v>
      </c>
      <c r="B10" s="9">
        <v>1668.3</v>
      </c>
      <c r="C10" s="10">
        <v>52.32</v>
      </c>
      <c r="D10" s="4">
        <v>93647</v>
      </c>
      <c r="E10" s="180">
        <v>67277.84</v>
      </c>
      <c r="F10" s="121">
        <v>6626.31</v>
      </c>
      <c r="G10" s="10">
        <v>2004.13</v>
      </c>
      <c r="H10" s="10">
        <v>1923.33</v>
      </c>
      <c r="I10" s="10">
        <v>27.71</v>
      </c>
      <c r="J10" s="5">
        <f t="shared" si="0"/>
        <v>60.205701912666903</v>
      </c>
      <c r="K10" s="5">
        <f t="shared" si="1"/>
        <v>10.153138021010184</v>
      </c>
      <c r="L10" s="5">
        <f t="shared" si="2"/>
        <v>33.569598778522348</v>
      </c>
      <c r="M10" s="5">
        <f t="shared" si="3"/>
        <v>34.979873448654153</v>
      </c>
    </row>
    <row r="11" spans="1:17" ht="14.25" customHeight="1" x14ac:dyDescent="0.3">
      <c r="A11" s="2" t="s">
        <v>674</v>
      </c>
      <c r="B11" s="11">
        <f t="shared" ref="B11:M11" si="4">AVERAGE(B6:B10)</f>
        <v>1081.136</v>
      </c>
      <c r="C11" s="11">
        <f t="shared" si="4"/>
        <v>385.58800000000002</v>
      </c>
      <c r="D11" s="11">
        <f t="shared" si="4"/>
        <v>204453.8</v>
      </c>
      <c r="E11" s="11">
        <f t="shared" si="4"/>
        <v>190409.60800000001</v>
      </c>
      <c r="F11" s="11">
        <f t="shared" si="4"/>
        <v>138073.07200000001</v>
      </c>
      <c r="G11" s="11">
        <f t="shared" si="4"/>
        <v>18625.446000000004</v>
      </c>
      <c r="H11" s="11">
        <f t="shared" si="4"/>
        <v>14358.636000000002</v>
      </c>
      <c r="I11" s="11">
        <f t="shared" si="4"/>
        <v>43.082000000000001</v>
      </c>
      <c r="J11" s="11">
        <f t="shared" si="4"/>
        <v>42.698586083128866</v>
      </c>
      <c r="K11" s="11">
        <f t="shared" si="4"/>
        <v>3.1731768226102921</v>
      </c>
      <c r="L11" s="11">
        <f t="shared" si="4"/>
        <v>15.140242254693209</v>
      </c>
      <c r="M11" s="11">
        <f t="shared" si="4"/>
        <v>18.467730865341156</v>
      </c>
    </row>
    <row r="12" spans="1:17" ht="14.25" customHeight="1" x14ac:dyDescent="0.3">
      <c r="A12" s="2" t="s">
        <v>675</v>
      </c>
      <c r="B12" s="11">
        <f t="shared" ref="B12:M12" si="5">MEDIAN(B6:B10)</f>
        <v>1210</v>
      </c>
      <c r="C12" s="11">
        <f t="shared" si="5"/>
        <v>222</v>
      </c>
      <c r="D12" s="11">
        <f t="shared" si="5"/>
        <v>235240</v>
      </c>
      <c r="E12" s="11">
        <f t="shared" si="5"/>
        <v>161568.70000000001</v>
      </c>
      <c r="F12" s="11">
        <f t="shared" si="5"/>
        <v>168824</v>
      </c>
      <c r="G12" s="11">
        <f t="shared" si="5"/>
        <v>23107</v>
      </c>
      <c r="H12" s="11">
        <f t="shared" si="5"/>
        <v>13798</v>
      </c>
      <c r="I12" s="11">
        <f t="shared" si="5"/>
        <v>27.88</v>
      </c>
      <c r="J12" s="11">
        <f t="shared" si="5"/>
        <v>43.400286944045909</v>
      </c>
      <c r="K12" s="11">
        <f t="shared" si="5"/>
        <v>1.6523862691169857</v>
      </c>
      <c r="L12" s="11">
        <f t="shared" si="5"/>
        <v>11.341504343443328</v>
      </c>
      <c r="M12" s="11">
        <f t="shared" si="5"/>
        <v>12.691013323424809</v>
      </c>
      <c r="P12" s="12"/>
      <c r="Q12" s="13"/>
    </row>
    <row r="13" spans="1:17" ht="14.25" customHeight="1" x14ac:dyDescent="0.3">
      <c r="P13" s="14"/>
    </row>
    <row r="14" spans="1:17" ht="14.25" customHeight="1" x14ac:dyDescent="0.3">
      <c r="A14" s="231" t="s">
        <v>676</v>
      </c>
      <c r="B14" s="225"/>
      <c r="C14" s="225"/>
      <c r="D14" s="225"/>
      <c r="E14" s="225"/>
      <c r="F14" s="225"/>
      <c r="G14" s="225"/>
      <c r="H14" s="225"/>
      <c r="I14" s="225"/>
      <c r="J14" s="225"/>
      <c r="K14" s="225"/>
      <c r="L14" s="225"/>
      <c r="M14" s="226"/>
    </row>
    <row r="15" spans="1:17" ht="36" customHeight="1" x14ac:dyDescent="0.3">
      <c r="A15" s="232" t="s">
        <v>677</v>
      </c>
      <c r="B15" s="233" t="s">
        <v>678</v>
      </c>
      <c r="C15" s="233" t="s">
        <v>679</v>
      </c>
      <c r="D15" s="232" t="s">
        <v>680</v>
      </c>
      <c r="E15" s="230" t="s">
        <v>681</v>
      </c>
      <c r="F15" s="230" t="s">
        <v>682</v>
      </c>
      <c r="G15" s="230" t="s">
        <v>683</v>
      </c>
      <c r="H15" s="230" t="s">
        <v>684</v>
      </c>
      <c r="I15" s="493" t="s">
        <v>685</v>
      </c>
      <c r="J15" s="493" t="s">
        <v>686</v>
      </c>
      <c r="K15" s="232" t="s">
        <v>687</v>
      </c>
      <c r="L15" s="230" t="s">
        <v>688</v>
      </c>
      <c r="M15" s="230" t="s">
        <v>689</v>
      </c>
    </row>
    <row r="16" spans="1:17" ht="14.25" customHeight="1" x14ac:dyDescent="0.3">
      <c r="A16" s="2" t="s">
        <v>690</v>
      </c>
      <c r="B16" s="15">
        <f>K11</f>
        <v>3.1731768226102921</v>
      </c>
      <c r="C16" s="15">
        <f>K12</f>
        <v>1.6523862691169857</v>
      </c>
      <c r="D16" s="15">
        <f>K5</f>
        <v>3.0087327111060533</v>
      </c>
      <c r="E16" s="16">
        <f>B16*F5</f>
        <v>75856.441996446796</v>
      </c>
      <c r="F16" s="16">
        <f>C16*F5</f>
        <v>39501.153004101485</v>
      </c>
      <c r="G16" s="16">
        <f>E16-(E5-D5)</f>
        <v>82178.141996446808</v>
      </c>
      <c r="H16" s="16">
        <f>F16-(E5-D5)</f>
        <v>45822.853004101496</v>
      </c>
      <c r="I16" s="17">
        <f>G16/C5</f>
        <v>93.471350572632247</v>
      </c>
      <c r="J16" s="17">
        <f>H16/C5</f>
        <v>52.11999022282297</v>
      </c>
      <c r="K16" s="17">
        <f>B5</f>
        <v>89</v>
      </c>
      <c r="L16" s="18">
        <f>(B5-I16)/I16</f>
        <v>-4.7836588914565513E-2</v>
      </c>
      <c r="M16" s="18">
        <f>(B5-J16)/J16</f>
        <v>0.70759817144070636</v>
      </c>
    </row>
    <row r="17" spans="1:17" ht="14.25" customHeight="1" x14ac:dyDescent="0.3">
      <c r="A17" s="2" t="s">
        <v>691</v>
      </c>
      <c r="B17" s="15">
        <f>L11</f>
        <v>15.140242254693209</v>
      </c>
      <c r="C17" s="15">
        <f>L12</f>
        <v>11.341504343443328</v>
      </c>
      <c r="D17" s="15">
        <f>L5</f>
        <v>8.8266330579100618</v>
      </c>
      <c r="E17" s="16">
        <f>B17*G5</f>
        <v>123372.83785355091</v>
      </c>
      <c r="F17" s="16">
        <f>C17*G5</f>
        <v>92418.176198286339</v>
      </c>
      <c r="G17" s="16">
        <f>E17-(E5-D5)</f>
        <v>129694.53785355092</v>
      </c>
      <c r="H17" s="16">
        <f>F17-(E5-D5)</f>
        <v>98739.876198286351</v>
      </c>
      <c r="I17" s="17">
        <f>G17/C5</f>
        <v>147.51761624872145</v>
      </c>
      <c r="J17" s="17">
        <f>H17/C5</f>
        <v>112.30905639150841</v>
      </c>
      <c r="K17" s="17">
        <f>K16</f>
        <v>89</v>
      </c>
      <c r="L17" s="18">
        <f>(B5-I17)/I17</f>
        <v>-0.39668222505750145</v>
      </c>
      <c r="M17" s="18">
        <f>(B5-J17)/J17</f>
        <v>-0.20754387170927013</v>
      </c>
    </row>
    <row r="18" spans="1:17" ht="14.25" customHeight="1" x14ac:dyDescent="0.3">
      <c r="A18" s="2" t="s">
        <v>692</v>
      </c>
      <c r="B18" s="15">
        <f>J11</f>
        <v>42.698586083128866</v>
      </c>
      <c r="C18" s="15">
        <f>J12</f>
        <v>43.400286944045909</v>
      </c>
      <c r="D18" s="15">
        <f>J5</f>
        <v>12.714285714285714</v>
      </c>
      <c r="E18" s="17">
        <f>B18*I5</f>
        <v>298.89010258190206</v>
      </c>
      <c r="F18" s="17">
        <f>C18*I5</f>
        <v>303.80200860832139</v>
      </c>
      <c r="G18" s="16">
        <f>E18*C5</f>
        <v>262778.20038795663</v>
      </c>
      <c r="H18" s="16">
        <f>F18*C5</f>
        <v>267096.64992826397</v>
      </c>
      <c r="I18" s="17">
        <f>E18</f>
        <v>298.89010258190206</v>
      </c>
      <c r="J18" s="17">
        <f>F18</f>
        <v>303.80200860832139</v>
      </c>
      <c r="K18" s="17">
        <f>K17</f>
        <v>89</v>
      </c>
      <c r="L18" s="18">
        <f>(B5-I18)/I18</f>
        <v>-0.70223169241406325</v>
      </c>
      <c r="M18" s="18">
        <f>(B5-J18)/J18</f>
        <v>-0.70704604486422673</v>
      </c>
    </row>
    <row r="19" spans="1:17" ht="14.25" customHeight="1" x14ac:dyDescent="0.3">
      <c r="A19" s="19"/>
      <c r="B19" s="20"/>
      <c r="C19" s="21"/>
      <c r="D19" s="20"/>
      <c r="E19" s="20"/>
      <c r="F19" s="20"/>
      <c r="G19" s="20"/>
      <c r="H19" s="20"/>
      <c r="I19" s="20"/>
      <c r="J19" s="20"/>
      <c r="K19" s="20"/>
      <c r="L19" s="20"/>
      <c r="M19" s="22"/>
      <c r="N19" s="20"/>
      <c r="O19" s="23"/>
      <c r="P19" s="23"/>
      <c r="Q19" s="23"/>
    </row>
    <row r="20" spans="1:17" ht="14.25" customHeight="1" x14ac:dyDescent="0.3">
      <c r="A20" s="220"/>
      <c r="B20" s="20"/>
      <c r="C20" s="21"/>
      <c r="D20" s="20"/>
      <c r="E20" s="20"/>
      <c r="F20" s="20"/>
      <c r="G20" s="20"/>
      <c r="H20" s="20"/>
      <c r="I20" s="20"/>
      <c r="J20" s="20"/>
      <c r="K20" s="20"/>
      <c r="L20" s="20"/>
      <c r="M20" s="22"/>
      <c r="N20" s="20"/>
      <c r="O20" s="217" t="s">
        <v>693</v>
      </c>
      <c r="P20" s="217" t="s">
        <v>669</v>
      </c>
      <c r="Q20" s="217" t="s">
        <v>694</v>
      </c>
    </row>
    <row r="21" spans="1:17" ht="14.25" customHeight="1" x14ac:dyDescent="0.3">
      <c r="A21" s="20" t="s">
        <v>695</v>
      </c>
      <c r="B21" s="20"/>
      <c r="C21" s="20"/>
      <c r="D21" s="20"/>
      <c r="E21" s="20"/>
      <c r="F21" s="20"/>
      <c r="G21" s="20"/>
      <c r="H21" s="20"/>
      <c r="I21" s="20"/>
      <c r="J21" s="20"/>
      <c r="K21" s="20"/>
      <c r="L21" s="20"/>
      <c r="M21" s="20"/>
      <c r="N21" s="20"/>
      <c r="O21" s="23">
        <f>MAX(K6:K10)</f>
        <v>10.153138021010184</v>
      </c>
      <c r="P21" s="23">
        <f>MAX(L6:L10)</f>
        <v>33.569598778522348</v>
      </c>
      <c r="Q21" s="23">
        <f>MAX(J6:J10)</f>
        <v>80.416988416988417</v>
      </c>
    </row>
    <row r="22" spans="1:17" ht="14.25" customHeight="1" x14ac:dyDescent="0.3">
      <c r="A22" s="20" t="s">
        <v>696</v>
      </c>
      <c r="B22" s="20"/>
      <c r="C22" s="20"/>
      <c r="D22" s="20"/>
      <c r="E22" s="20"/>
      <c r="F22" s="20"/>
      <c r="G22" s="20"/>
      <c r="H22" s="20"/>
      <c r="I22" s="20"/>
      <c r="J22" s="20"/>
      <c r="K22" s="20"/>
      <c r="L22" s="20"/>
      <c r="M22" s="20"/>
      <c r="N22" s="20"/>
      <c r="O22" s="24">
        <f>QUARTILE(K6:K10,3)</f>
        <v>2.2475107212244705</v>
      </c>
      <c r="P22" s="24">
        <f>QUARTILE(L6:L10,3)</f>
        <v>16.42072748517765</v>
      </c>
      <c r="Q22" s="24">
        <f>QUARTILE(J6:J10,3)</f>
        <v>60.205701912666903</v>
      </c>
    </row>
    <row r="23" spans="1:17" ht="14.25" customHeight="1" x14ac:dyDescent="0.3">
      <c r="A23" s="25" t="s">
        <v>697</v>
      </c>
      <c r="B23" s="20"/>
      <c r="C23" s="20"/>
      <c r="D23" s="20"/>
      <c r="E23" s="20"/>
      <c r="F23" s="20"/>
      <c r="G23" s="20"/>
      <c r="H23" s="20"/>
      <c r="I23" s="20"/>
      <c r="J23" s="20"/>
      <c r="K23" s="20"/>
      <c r="L23" s="20"/>
      <c r="M23" s="20"/>
      <c r="N23" s="20"/>
      <c r="O23" s="23">
        <f>AVERAGE(K6:K10)</f>
        <v>3.1731768226102921</v>
      </c>
      <c r="P23" s="23">
        <f>AVERAGE(L6:L10)</f>
        <v>15.140242254693209</v>
      </c>
      <c r="Q23" s="23">
        <f>AVERAGE(J6:J10)</f>
        <v>42.698586083128866</v>
      </c>
    </row>
    <row r="24" spans="1:17" ht="14.25" customHeight="1" x14ac:dyDescent="0.3">
      <c r="A24" s="25" t="s">
        <v>698</v>
      </c>
      <c r="B24" s="20"/>
      <c r="C24" s="20"/>
      <c r="D24" s="20"/>
      <c r="E24" s="20"/>
      <c r="F24" s="20"/>
      <c r="G24" s="20"/>
      <c r="H24" s="20"/>
      <c r="I24" s="20"/>
      <c r="J24" s="20"/>
      <c r="K24" s="20"/>
      <c r="L24" s="23"/>
      <c r="M24" s="20"/>
      <c r="N24" s="20"/>
      <c r="O24" s="23">
        <f>MEDIAN(K6:K10)</f>
        <v>1.6523862691169857</v>
      </c>
      <c r="P24" s="23">
        <f>MEDIAN(L6:L10)</f>
        <v>11.341504343443328</v>
      </c>
      <c r="Q24" s="23">
        <f>MEDIAN(J6:J10)</f>
        <v>43.400286944045909</v>
      </c>
    </row>
    <row r="25" spans="1:17" ht="14.25" customHeight="1" x14ac:dyDescent="0.3">
      <c r="A25" s="20" t="s">
        <v>699</v>
      </c>
      <c r="B25" s="20"/>
      <c r="C25" s="20"/>
      <c r="D25" s="20"/>
      <c r="E25" s="20"/>
      <c r="F25" s="20"/>
      <c r="G25" s="20"/>
      <c r="H25" s="20"/>
      <c r="I25" s="20"/>
      <c r="J25" s="20"/>
      <c r="K25" s="20"/>
      <c r="L25" s="20"/>
      <c r="M25" s="20"/>
      <c r="N25" s="20"/>
      <c r="O25" s="23">
        <f>QUARTILE(K6:K10,1)</f>
        <v>1.1354008426095226</v>
      </c>
      <c r="P25" s="23">
        <f>QUARTILE(L6:L10,1)</f>
        <v>9.5679334152083104</v>
      </c>
      <c r="Q25" s="23">
        <f>QUARTILE(J6:J10,1)</f>
        <v>14.911374574480572</v>
      </c>
    </row>
    <row r="26" spans="1:17" ht="14.25" customHeight="1" x14ac:dyDescent="0.3">
      <c r="A26" s="20" t="s">
        <v>700</v>
      </c>
      <c r="B26" s="20"/>
      <c r="C26" s="20"/>
      <c r="D26" s="20"/>
      <c r="E26" s="20"/>
      <c r="F26" s="20"/>
      <c r="G26" s="20"/>
      <c r="H26" s="20"/>
      <c r="I26" s="20"/>
      <c r="J26" s="20"/>
      <c r="K26" s="20"/>
      <c r="L26" s="20"/>
      <c r="M26" s="20"/>
      <c r="N26" s="20"/>
      <c r="O26" s="23">
        <f>MIN(K6:K10)</f>
        <v>0.67744825909029927</v>
      </c>
      <c r="P26" s="23">
        <f>MIN(L6:L10)</f>
        <v>4.8014472511144133</v>
      </c>
      <c r="Q26" s="23">
        <f>MIN(J6:J10)</f>
        <v>14.558578567462519</v>
      </c>
    </row>
    <row r="27" spans="1:17" ht="14.25" customHeight="1" x14ac:dyDescent="0.3">
      <c r="A27" s="20"/>
      <c r="B27" s="20"/>
      <c r="C27" s="20"/>
      <c r="D27" s="20"/>
      <c r="E27" s="20"/>
      <c r="F27" s="20"/>
      <c r="G27" s="20"/>
      <c r="H27" s="20"/>
      <c r="I27" s="20"/>
      <c r="J27" s="20"/>
      <c r="K27" s="20"/>
      <c r="L27" s="20"/>
      <c r="M27" s="20"/>
      <c r="N27" s="20"/>
      <c r="O27" s="20"/>
      <c r="P27" s="20"/>
      <c r="Q27" s="20"/>
    </row>
    <row r="28" spans="1:17" ht="14.25" customHeight="1" x14ac:dyDescent="0.3">
      <c r="A28" s="218" t="s">
        <v>707</v>
      </c>
      <c r="B28" s="218"/>
      <c r="C28" s="218"/>
      <c r="D28" s="218"/>
      <c r="E28" s="218"/>
      <c r="F28" s="218"/>
      <c r="G28" s="218"/>
      <c r="H28" s="218"/>
      <c r="I28" s="218"/>
      <c r="J28" s="218"/>
      <c r="K28" s="218"/>
      <c r="L28" s="218"/>
      <c r="M28" s="218"/>
      <c r="N28" s="218"/>
      <c r="O28" s="217" t="s">
        <v>693</v>
      </c>
      <c r="P28" s="217" t="s">
        <v>669</v>
      </c>
      <c r="Q28" s="217" t="s">
        <v>694</v>
      </c>
    </row>
    <row r="29" spans="1:17" ht="14.25" customHeight="1" x14ac:dyDescent="0.3">
      <c r="A29" s="20"/>
      <c r="B29" s="20"/>
      <c r="C29" s="20"/>
      <c r="D29" s="20"/>
      <c r="E29" s="20"/>
      <c r="F29" s="20"/>
      <c r="G29" s="20"/>
      <c r="H29" s="20"/>
      <c r="I29" s="20"/>
      <c r="J29" s="20"/>
      <c r="K29" s="20"/>
      <c r="L29" s="20"/>
      <c r="M29" s="20"/>
      <c r="N29" s="20"/>
      <c r="O29" s="219" t="s">
        <v>701</v>
      </c>
      <c r="P29" s="219"/>
      <c r="Q29" s="219"/>
    </row>
    <row r="30" spans="1:17" ht="14.25" customHeight="1" x14ac:dyDescent="0.3">
      <c r="A30" s="20" t="s">
        <v>702</v>
      </c>
      <c r="B30" s="20"/>
      <c r="C30" s="20"/>
      <c r="D30" s="20"/>
      <c r="E30" s="20"/>
      <c r="F30" s="20"/>
      <c r="G30" s="20"/>
      <c r="H30" s="20"/>
      <c r="I30" s="20"/>
      <c r="J30" s="20"/>
      <c r="K30" s="20"/>
      <c r="L30" s="20"/>
      <c r="M30" s="20"/>
      <c r="N30" s="20"/>
      <c r="O30" s="24">
        <f>O23*F5</f>
        <v>75856.441996446796</v>
      </c>
      <c r="P30" s="24">
        <f>P23*G5</f>
        <v>123372.83785355091</v>
      </c>
      <c r="Q30" s="24">
        <f>Q23*I5*C5</f>
        <v>262778.20038795663</v>
      </c>
    </row>
    <row r="31" spans="1:17" ht="14.25" customHeight="1" x14ac:dyDescent="0.3">
      <c r="A31" s="20" t="s">
        <v>703</v>
      </c>
      <c r="B31" s="20"/>
      <c r="C31" s="20"/>
      <c r="D31" s="20"/>
      <c r="E31" s="20"/>
      <c r="F31" s="20"/>
      <c r="G31" s="20"/>
      <c r="H31" s="20"/>
      <c r="I31" s="20"/>
      <c r="J31" s="20"/>
      <c r="K31" s="20"/>
      <c r="L31" s="20"/>
      <c r="M31" s="20"/>
      <c r="N31" s="20"/>
      <c r="O31" s="24">
        <f>E5-D5</f>
        <v>-6321.7000000000116</v>
      </c>
      <c r="P31" s="24">
        <f>E5-D5</f>
        <v>-6321.7000000000116</v>
      </c>
      <c r="Q31" s="24">
        <f>E5-D5</f>
        <v>-6321.7000000000116</v>
      </c>
    </row>
    <row r="32" spans="1:17" ht="14.25" customHeight="1" x14ac:dyDescent="0.3">
      <c r="A32" s="20" t="s">
        <v>704</v>
      </c>
      <c r="B32" s="20"/>
      <c r="C32" s="20"/>
      <c r="D32" s="20"/>
      <c r="E32" s="20"/>
      <c r="F32" s="20"/>
      <c r="G32" s="20"/>
      <c r="H32" s="20"/>
      <c r="I32" s="20"/>
      <c r="J32" s="20"/>
      <c r="K32" s="20"/>
      <c r="L32" s="20"/>
      <c r="M32" s="20"/>
      <c r="N32" s="20"/>
      <c r="O32" s="24">
        <f>O30-O31</f>
        <v>82178.141996446808</v>
      </c>
      <c r="P32" s="24">
        <f>P30-P31</f>
        <v>129694.53785355092</v>
      </c>
      <c r="Q32" s="24">
        <f>Q30-Q31</f>
        <v>269099.90038795664</v>
      </c>
    </row>
    <row r="33" spans="1:17" ht="14.25" customHeight="1" x14ac:dyDescent="0.3">
      <c r="A33" s="20" t="s">
        <v>705</v>
      </c>
      <c r="B33" s="20"/>
      <c r="C33" s="20"/>
      <c r="D33" s="20"/>
      <c r="E33" s="20"/>
      <c r="F33" s="20"/>
      <c r="G33" s="20"/>
      <c r="H33" s="20"/>
      <c r="I33" s="20"/>
      <c r="J33" s="20"/>
      <c r="K33" s="20"/>
      <c r="L33" s="20"/>
      <c r="M33" s="20"/>
      <c r="N33" s="20"/>
      <c r="O33" s="24">
        <f>C5</f>
        <v>879.18</v>
      </c>
      <c r="P33" s="24">
        <f>C5</f>
        <v>879.18</v>
      </c>
      <c r="Q33" s="24">
        <f>C5</f>
        <v>879.18</v>
      </c>
    </row>
    <row r="34" spans="1:17" ht="14.25" customHeight="1" x14ac:dyDescent="0.3">
      <c r="A34" s="20"/>
      <c r="B34" s="20"/>
      <c r="C34" s="20"/>
      <c r="D34" s="20"/>
      <c r="E34" s="20"/>
      <c r="F34" s="20"/>
      <c r="G34" s="20"/>
      <c r="H34" s="20"/>
      <c r="I34" s="20"/>
      <c r="J34" s="20"/>
      <c r="K34" s="20"/>
      <c r="L34" s="20"/>
      <c r="M34" s="20"/>
      <c r="N34" s="20"/>
      <c r="O34" s="20"/>
      <c r="P34" s="20"/>
      <c r="Q34" s="20"/>
    </row>
    <row r="35" spans="1:17" ht="15" customHeight="1" x14ac:dyDescent="0.3">
      <c r="A35" s="26" t="s">
        <v>706</v>
      </c>
      <c r="B35" s="27"/>
      <c r="C35" s="27"/>
      <c r="D35" s="27"/>
      <c r="E35" s="27"/>
      <c r="F35" s="27"/>
      <c r="G35" s="27"/>
      <c r="H35" s="27"/>
      <c r="I35" s="27"/>
      <c r="J35" s="27"/>
      <c r="K35" s="27"/>
      <c r="L35" s="27"/>
      <c r="M35" s="27"/>
      <c r="N35" s="27"/>
      <c r="O35" s="28">
        <f>O32/O33</f>
        <v>93.471350572632247</v>
      </c>
      <c r="P35" s="28">
        <f>P32/P33</f>
        <v>147.51761624872145</v>
      </c>
      <c r="Q35" s="28">
        <f>Q23*I5</f>
        <v>298.89010258190206</v>
      </c>
    </row>
    <row r="36" spans="1:17" ht="15" customHeight="1" x14ac:dyDescent="0.3"/>
  </sheetData>
  <mergeCells count="6">
    <mergeCell ref="A1:M1"/>
    <mergeCell ref="B3:E3"/>
    <mergeCell ref="F3:I3"/>
    <mergeCell ref="J3:M3"/>
    <mergeCell ref="A14:M14"/>
    <mergeCell ref="A3:A4"/>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About the Company</vt:lpstr>
      <vt:lpstr>Promoter</vt:lpstr>
      <vt:lpstr>Public</vt:lpstr>
      <vt:lpstr>Standalone Quarterly Results</vt:lpstr>
      <vt:lpstr>Consolidated Quarterly Results</vt:lpstr>
      <vt:lpstr>Standalone balance sheet</vt:lpstr>
      <vt:lpstr>Standalone P&amp;L </vt:lpstr>
      <vt:lpstr>Consolidated Balance sheet</vt:lpstr>
      <vt:lpstr>Consolidated P&amp;L</vt:lpstr>
      <vt:lpstr>Peers</vt:lpstr>
      <vt:lpstr>Stock Analysis</vt:lpstr>
      <vt:lpstr>Beta</vt:lpstr>
      <vt:lpstr>Ratio Analysis</vt:lpstr>
      <vt:lpstr>FCFF</vt:lpstr>
      <vt:lpstr>Change in working Capital</vt:lpstr>
      <vt:lpstr>Fixed Asset Scheduled</vt:lpstr>
      <vt:lpstr>Forecasting</vt:lpstr>
      <vt:lpstr>Assumptions</vt:lpstr>
      <vt:lpstr>Growth scenario</vt:lpstr>
      <vt:lpstr>Historical FS</vt:lpstr>
      <vt:lpstr>WACC</vt:lpstr>
      <vt:lpstr>DCF Valuation</vt:lpstr>
      <vt:lpstr>Relative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 KUSHWAHA</dc:creator>
  <cp:lastModifiedBy>PRATHAM KUSHWAHA</cp:lastModifiedBy>
  <cp:revision>3</cp:revision>
  <dcterms:created xsi:type="dcterms:W3CDTF">2026-04-27T07:25:00Z</dcterms:created>
  <dcterms:modified xsi:type="dcterms:W3CDTF">2026-06-29T07:01:18Z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B2016A11976E44908A277D34419D2FA9_12</vt:lpwstr>
  </property>
  <property fmtid="{D5CDD505-2E9C-101B-9397-08002B2CF9AE}" pid="3" name="KSOProductBuildVer">
    <vt:lpwstr>1033-12.1.0.26880</vt:lpwstr>
  </property>
  <property fmtid="{D5CDD505-2E9C-101B-9397-08002B2CF9AE}" pid="4" name="CalculationRule">
    <vt:i4>0</vt:i4>
  </property>
</Properties>
</file>