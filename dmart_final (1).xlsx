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drawings/drawing2.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mc:AlternateContent xmlns:mc="http://schemas.openxmlformats.org/markup-compatibility/2006">
    <mc:Choice Requires="x15">
      <x15ac:absPath xmlns:x15ac="http://schemas.microsoft.com/office/spreadsheetml/2010/11/ac" url="C:\Users\PRATHAM\Downloads\CSA ADVISOR\"/>
    </mc:Choice>
  </mc:AlternateContent>
  <xr:revisionPtr revIDLastSave="0" documentId="13_ncr:1_{42A4A04B-4E94-4447-B08B-23E18F0EB7FE}" xr6:coauthVersionLast="47" xr6:coauthVersionMax="47" xr10:uidLastSave="{00000000-0000-0000-0000-000000000000}"/>
  <bookViews>
    <workbookView xWindow="-108" yWindow="-108" windowWidth="23256" windowHeight="12456" tabRatio="500" xr2:uid="{00000000-000D-0000-FFFF-FFFF00000000}"/>
  </bookViews>
  <sheets>
    <sheet name="About the Company" sheetId="1" r:id="rId1"/>
    <sheet name="Promoter" sheetId="2" r:id="rId2"/>
    <sheet name="Public" sheetId="3" r:id="rId3"/>
    <sheet name="Consolidated Balance sheet" sheetId="4" r:id="rId4"/>
    <sheet name="Consolidated P&amp;l" sheetId="5" r:id="rId5"/>
    <sheet name="Consolidated Cash flow" sheetId="6" r:id="rId6"/>
    <sheet name="Beta" sheetId="7" r:id="rId7"/>
    <sheet name="Ratio analysis" sheetId="8" r:id="rId8"/>
    <sheet name="FCFF" sheetId="9" r:id="rId9"/>
    <sheet name="Fixed Asset Scheduled" sheetId="10" r:id="rId10"/>
    <sheet name="Change in working capital" sheetId="11" r:id="rId11"/>
    <sheet name="Assumptions" sheetId="12" r:id="rId12"/>
    <sheet name="wacc" sheetId="13" r:id="rId13"/>
    <sheet name="Forecasting" sheetId="14" r:id="rId14"/>
    <sheet name="Growth Scenario" sheetId="15" r:id="rId15"/>
    <sheet name="DCF valuation" sheetId="16" r:id="rId16"/>
    <sheet name="Relative Valuation" sheetId="17" r:id="rId17"/>
    <sheet name="Stock Analysis" sheetId="18" r:id="rId18"/>
  </sheets>
  <externalReferences>
    <externalReference r:id="rId19"/>
  </externalReferences>
  <calcPr calcId="181029" iterateDelta="1E-4"/>
  <extLst>
    <ext xmlns:xlwcv="http://schemas.microsoft.com/office/spreadsheetml/2024/workbookCompatibilityVersion" uri="{D14903EA-33C4-47F7-8F05-3474C54BE107}">
      <xlwcv:version setVersion="1"/>
    </ext>
    <ext xmlns:loext="http://schemas.libreoffice.org/" uri="{7626C862-2A13-11E5-B345-FEFF819CDC9F}">
      <loext:extCalcPr stringRefSyntax="ExcelA1"/>
    </ext>
  </extLst>
</workbook>
</file>

<file path=xl/calcChain.xml><?xml version="1.0" encoding="utf-8"?>
<calcChain xmlns="http://schemas.openxmlformats.org/spreadsheetml/2006/main">
  <c r="D25" i="13" l="1"/>
  <c r="D24" i="13"/>
  <c r="I5" i="18" l="1"/>
  <c r="H5" i="18"/>
  <c r="G5" i="18"/>
  <c r="I4" i="18"/>
  <c r="H4" i="18"/>
  <c r="G4" i="18"/>
  <c r="I3" i="18"/>
  <c r="H3" i="18"/>
  <c r="G3" i="18"/>
  <c r="I2" i="18"/>
  <c r="H2" i="18"/>
  <c r="G2" i="18"/>
  <c r="Q32" i="17"/>
  <c r="P32" i="17"/>
  <c r="O32" i="17"/>
  <c r="O30" i="17"/>
  <c r="O21" i="17"/>
  <c r="K17" i="17"/>
  <c r="K15" i="17"/>
  <c r="K16" i="17" s="1"/>
  <c r="I11" i="17"/>
  <c r="G11" i="17"/>
  <c r="F11" i="17"/>
  <c r="E11" i="17"/>
  <c r="B11" i="17"/>
  <c r="K10" i="17"/>
  <c r="B15" i="17" s="1"/>
  <c r="I10" i="17"/>
  <c r="G10" i="17"/>
  <c r="F10" i="17"/>
  <c r="E10" i="17"/>
  <c r="B10" i="17"/>
  <c r="M9" i="17"/>
  <c r="L9" i="17"/>
  <c r="K9" i="17"/>
  <c r="J9" i="17"/>
  <c r="H9" i="17"/>
  <c r="C9" i="17"/>
  <c r="D9" i="17" s="1"/>
  <c r="L8" i="17"/>
  <c r="K8" i="17"/>
  <c r="J8" i="17"/>
  <c r="H8" i="17"/>
  <c r="M8" i="17" s="1"/>
  <c r="D8" i="17"/>
  <c r="C8" i="17"/>
  <c r="M7" i="17"/>
  <c r="L7" i="17"/>
  <c r="K7" i="17"/>
  <c r="O20" i="17" s="1"/>
  <c r="J7" i="17"/>
  <c r="H7" i="17"/>
  <c r="D7" i="17"/>
  <c r="C7" i="17"/>
  <c r="L6" i="17"/>
  <c r="K6" i="17"/>
  <c r="O24" i="17" s="1"/>
  <c r="J6" i="17"/>
  <c r="Q23" i="17" s="1"/>
  <c r="H6" i="17"/>
  <c r="H10" i="17" s="1"/>
  <c r="C6" i="17"/>
  <c r="I5" i="17"/>
  <c r="J5" i="17" s="1"/>
  <c r="D17" i="17" s="1"/>
  <c r="E5" i="17"/>
  <c r="Q30" i="17" s="1"/>
  <c r="D5" i="17"/>
  <c r="C29" i="16"/>
  <c r="Q12" i="16" s="1"/>
  <c r="C26" i="16"/>
  <c r="C25" i="16"/>
  <c r="C24" i="16"/>
  <c r="Q14" i="16"/>
  <c r="S4" i="16"/>
  <c r="T5" i="16" s="1"/>
  <c r="N8" i="15"/>
  <c r="N13" i="15" s="1"/>
  <c r="P4" i="15"/>
  <c r="Q9" i="14"/>
  <c r="P9" i="14"/>
  <c r="L9" i="14"/>
  <c r="K9" i="14"/>
  <c r="F9" i="14"/>
  <c r="G9" i="14" s="1"/>
  <c r="P8" i="14"/>
  <c r="K8" i="14"/>
  <c r="L8" i="14" s="1"/>
  <c r="F8" i="14"/>
  <c r="G8" i="14" s="1"/>
  <c r="P7" i="14"/>
  <c r="Q7" i="14" s="1"/>
  <c r="L7" i="14"/>
  <c r="K7" i="14"/>
  <c r="G7" i="14"/>
  <c r="F7" i="14"/>
  <c r="Q6" i="14"/>
  <c r="P6" i="14"/>
  <c r="N6" i="14"/>
  <c r="N7" i="14" s="1"/>
  <c r="N8" i="14" s="1"/>
  <c r="N9" i="14" s="1"/>
  <c r="N10" i="14" s="1"/>
  <c r="K6" i="14"/>
  <c r="L6" i="14" s="1"/>
  <c r="K16" i="14" s="1"/>
  <c r="I6" i="14"/>
  <c r="I7" i="14" s="1"/>
  <c r="I8" i="14" s="1"/>
  <c r="I9" i="14" s="1"/>
  <c r="I10" i="14" s="1"/>
  <c r="F6" i="14"/>
  <c r="G6" i="14" s="1"/>
  <c r="D6" i="14"/>
  <c r="D7" i="14" s="1"/>
  <c r="D8" i="14" s="1"/>
  <c r="D9" i="14" s="1"/>
  <c r="D10" i="14" s="1"/>
  <c r="P5" i="14"/>
  <c r="K5" i="14"/>
  <c r="F5" i="14"/>
  <c r="B16" i="13"/>
  <c r="B3" i="13"/>
  <c r="B2" i="13"/>
  <c r="C42" i="12"/>
  <c r="F41" i="12"/>
  <c r="F42" i="12" s="1"/>
  <c r="E41" i="12"/>
  <c r="D41" i="12"/>
  <c r="C41" i="12"/>
  <c r="B41" i="12"/>
  <c r="F40" i="12"/>
  <c r="E40" i="12"/>
  <c r="D40" i="12"/>
  <c r="C40" i="12"/>
  <c r="B40" i="12"/>
  <c r="F39" i="12"/>
  <c r="E39" i="12"/>
  <c r="E42" i="12" s="1"/>
  <c r="D39" i="12"/>
  <c r="D42" i="12" s="1"/>
  <c r="C39" i="12"/>
  <c r="B39" i="12"/>
  <c r="B42" i="12" s="1"/>
  <c r="D35" i="12"/>
  <c r="E35" i="12" s="1"/>
  <c r="F35" i="12" s="1"/>
  <c r="C35" i="12"/>
  <c r="F16" i="12"/>
  <c r="E16" i="12"/>
  <c r="D16" i="12"/>
  <c r="C16" i="12"/>
  <c r="B16" i="12"/>
  <c r="F15" i="12"/>
  <c r="E15" i="12"/>
  <c r="D15" i="12"/>
  <c r="C15" i="12"/>
  <c r="B15" i="12"/>
  <c r="F13" i="12"/>
  <c r="E13" i="12"/>
  <c r="D13" i="12"/>
  <c r="C13" i="12"/>
  <c r="B13" i="12"/>
  <c r="F12" i="12"/>
  <c r="E12" i="12"/>
  <c r="D12" i="12"/>
  <c r="C12" i="12"/>
  <c r="B12" i="12"/>
  <c r="F10" i="12"/>
  <c r="E10" i="12"/>
  <c r="D10" i="12"/>
  <c r="C10" i="12"/>
  <c r="B10" i="12"/>
  <c r="E9" i="12"/>
  <c r="F7" i="12"/>
  <c r="E7" i="12"/>
  <c r="E8" i="12" s="1"/>
  <c r="D7" i="12"/>
  <c r="C7" i="12"/>
  <c r="B7" i="12"/>
  <c r="F6" i="12"/>
  <c r="E6" i="12"/>
  <c r="D6" i="12"/>
  <c r="C6" i="12"/>
  <c r="B6" i="12"/>
  <c r="B8" i="12" s="1"/>
  <c r="F5" i="12"/>
  <c r="F8" i="12" s="1"/>
  <c r="E5" i="12"/>
  <c r="D5" i="12"/>
  <c r="D8" i="12" s="1"/>
  <c r="C5" i="12"/>
  <c r="C8" i="12" s="1"/>
  <c r="C9" i="12" s="1"/>
  <c r="B5" i="12"/>
  <c r="F4" i="12"/>
  <c r="D4" i="12"/>
  <c r="F3" i="12"/>
  <c r="B3" i="15" s="1"/>
  <c r="B8" i="15" s="1"/>
  <c r="E3" i="12"/>
  <c r="E4" i="12" s="1"/>
  <c r="D3" i="12"/>
  <c r="C3" i="12"/>
  <c r="B3" i="12"/>
  <c r="F5" i="11"/>
  <c r="E5" i="11"/>
  <c r="D5" i="11"/>
  <c r="D6" i="11" s="1"/>
  <c r="C5" i="11"/>
  <c r="B5" i="11"/>
  <c r="F4" i="11"/>
  <c r="E4" i="11"/>
  <c r="D4" i="11"/>
  <c r="C4" i="11"/>
  <c r="B4" i="11"/>
  <c r="F3" i="11"/>
  <c r="E3" i="11"/>
  <c r="E6" i="11" s="1"/>
  <c r="E7" i="11" s="1"/>
  <c r="D3" i="11"/>
  <c r="C3" i="11"/>
  <c r="B3" i="11"/>
  <c r="B6" i="11" s="1"/>
  <c r="F7" i="10"/>
  <c r="E7" i="10"/>
  <c r="D7" i="10"/>
  <c r="C7" i="10"/>
  <c r="B7" i="10"/>
  <c r="C3" i="10" s="1"/>
  <c r="F6" i="10"/>
  <c r="E6" i="10"/>
  <c r="D6" i="10"/>
  <c r="C6" i="10"/>
  <c r="B6" i="10"/>
  <c r="B5" i="10"/>
  <c r="D4" i="10"/>
  <c r="D9" i="10" s="1"/>
  <c r="D10" i="10" s="1"/>
  <c r="E3" i="10"/>
  <c r="D3" i="10"/>
  <c r="B3" i="10"/>
  <c r="F3" i="9"/>
  <c r="F4" i="9" s="1"/>
  <c r="E3" i="9"/>
  <c r="E4" i="9" s="1"/>
  <c r="E5" i="9" s="1"/>
  <c r="D3" i="9"/>
  <c r="C3" i="9"/>
  <c r="C4" i="9" s="1"/>
  <c r="C5" i="9" s="1"/>
  <c r="B3" i="9"/>
  <c r="B4" i="9" s="1"/>
  <c r="F48" i="8"/>
  <c r="E48" i="8"/>
  <c r="D48" i="8"/>
  <c r="C48" i="8"/>
  <c r="B48" i="8"/>
  <c r="F47" i="8"/>
  <c r="E47" i="8"/>
  <c r="D47" i="8"/>
  <c r="C47" i="8"/>
  <c r="B47" i="8"/>
  <c r="I47" i="8" s="1"/>
  <c r="F46" i="8"/>
  <c r="E46" i="8"/>
  <c r="D46" i="8"/>
  <c r="I46" i="8" s="1"/>
  <c r="C46" i="8"/>
  <c r="B46" i="8"/>
  <c r="C42" i="8"/>
  <c r="F41" i="8"/>
  <c r="B41" i="8"/>
  <c r="I41" i="8" s="1"/>
  <c r="F40" i="8"/>
  <c r="E40" i="8"/>
  <c r="F37" i="8"/>
  <c r="E37" i="8"/>
  <c r="D37" i="8"/>
  <c r="I37" i="8" s="1"/>
  <c r="C37" i="8"/>
  <c r="B37" i="8"/>
  <c r="F36" i="8"/>
  <c r="E36" i="8"/>
  <c r="D36" i="8"/>
  <c r="C36" i="8"/>
  <c r="I36" i="8" s="1"/>
  <c r="B36" i="8"/>
  <c r="F35" i="8"/>
  <c r="F42" i="8" s="1"/>
  <c r="E35" i="8"/>
  <c r="E42" i="8" s="1"/>
  <c r="D35" i="8"/>
  <c r="D42" i="8" s="1"/>
  <c r="C35" i="8"/>
  <c r="B35" i="8"/>
  <c r="I35" i="8" s="1"/>
  <c r="F34" i="8"/>
  <c r="E34" i="8"/>
  <c r="E41" i="8" s="1"/>
  <c r="D34" i="8"/>
  <c r="D41" i="8" s="1"/>
  <c r="C34" i="8"/>
  <c r="C41" i="8" s="1"/>
  <c r="B34" i="8"/>
  <c r="I34" i="8" s="1"/>
  <c r="I33" i="8"/>
  <c r="F33" i="8"/>
  <c r="E33" i="8"/>
  <c r="D33" i="8"/>
  <c r="D40" i="8" s="1"/>
  <c r="C33" i="8"/>
  <c r="C40" i="8" s="1"/>
  <c r="B33" i="8"/>
  <c r="H33" i="8" s="1"/>
  <c r="H30" i="8"/>
  <c r="F30" i="8"/>
  <c r="E30" i="8"/>
  <c r="D30" i="8"/>
  <c r="C30" i="8"/>
  <c r="I30" i="8" s="1"/>
  <c r="B30" i="8"/>
  <c r="F28" i="8"/>
  <c r="E28" i="8"/>
  <c r="D28" i="8"/>
  <c r="C28" i="8"/>
  <c r="B28" i="8"/>
  <c r="I28" i="8" s="1"/>
  <c r="F27" i="8"/>
  <c r="E27" i="8"/>
  <c r="D27" i="8"/>
  <c r="I27" i="8" s="1"/>
  <c r="C27" i="8"/>
  <c r="B27" i="8"/>
  <c r="F26" i="8"/>
  <c r="E26" i="8"/>
  <c r="D26" i="8"/>
  <c r="C26" i="8"/>
  <c r="I26" i="8" s="1"/>
  <c r="B26" i="8"/>
  <c r="F25" i="8"/>
  <c r="F29" i="8" s="1"/>
  <c r="E25" i="8"/>
  <c r="E29" i="8" s="1"/>
  <c r="D25" i="8"/>
  <c r="D29" i="8" s="1"/>
  <c r="C25" i="8"/>
  <c r="C29" i="8" s="1"/>
  <c r="B25" i="8"/>
  <c r="I25" i="8" s="1"/>
  <c r="F21" i="8"/>
  <c r="E21" i="8"/>
  <c r="D21" i="8"/>
  <c r="C21" i="8"/>
  <c r="B21" i="8"/>
  <c r="I21" i="8" s="1"/>
  <c r="I20" i="8"/>
  <c r="F20" i="8"/>
  <c r="E20" i="8"/>
  <c r="D20" i="8"/>
  <c r="C20" i="8"/>
  <c r="B20" i="8"/>
  <c r="H20" i="8" s="1"/>
  <c r="H19" i="8"/>
  <c r="F19" i="8"/>
  <c r="E19" i="8"/>
  <c r="D19" i="8"/>
  <c r="C19" i="8"/>
  <c r="I19" i="8" s="1"/>
  <c r="B19" i="8"/>
  <c r="F18" i="8"/>
  <c r="E18" i="8"/>
  <c r="D18" i="8"/>
  <c r="C18" i="8"/>
  <c r="B18" i="8"/>
  <c r="I18" i="8" s="1"/>
  <c r="F17" i="8"/>
  <c r="E17" i="8"/>
  <c r="I17" i="8" s="1"/>
  <c r="D17" i="8"/>
  <c r="C17" i="8"/>
  <c r="B17" i="8"/>
  <c r="H17" i="8" s="1"/>
  <c r="F14" i="8"/>
  <c r="E14" i="8"/>
  <c r="D14" i="8"/>
  <c r="I14" i="8" s="1"/>
  <c r="C14" i="8"/>
  <c r="B14" i="8"/>
  <c r="F13" i="8"/>
  <c r="E13" i="8"/>
  <c r="D13" i="8"/>
  <c r="C13" i="8"/>
  <c r="I13" i="8" s="1"/>
  <c r="B13" i="8"/>
  <c r="F12" i="8"/>
  <c r="E12" i="8"/>
  <c r="D12" i="8"/>
  <c r="C12" i="8"/>
  <c r="B12" i="8"/>
  <c r="I12" i="8" s="1"/>
  <c r="F11" i="8"/>
  <c r="E11" i="8"/>
  <c r="D11" i="8"/>
  <c r="C11" i="8"/>
  <c r="B11" i="8"/>
  <c r="I11" i="8" s="1"/>
  <c r="I10" i="8"/>
  <c r="F10" i="8"/>
  <c r="E10" i="8"/>
  <c r="D10" i="8"/>
  <c r="C10" i="8"/>
  <c r="B10" i="8"/>
  <c r="H10" i="8" s="1"/>
  <c r="H7" i="8"/>
  <c r="F7" i="8"/>
  <c r="E7" i="8"/>
  <c r="D7" i="8"/>
  <c r="C7" i="8"/>
  <c r="I7" i="8" s="1"/>
  <c r="F6" i="8"/>
  <c r="E6" i="8"/>
  <c r="I6" i="8" s="1"/>
  <c r="D6" i="8"/>
  <c r="C6" i="8"/>
  <c r="F5" i="8"/>
  <c r="E5" i="8"/>
  <c r="D5" i="8"/>
  <c r="C5" i="8"/>
  <c r="I5" i="8" s="1"/>
  <c r="F4" i="8"/>
  <c r="E4" i="8"/>
  <c r="D4" i="8"/>
  <c r="C4" i="8"/>
  <c r="I4" i="8" s="1"/>
  <c r="F1519" i="7"/>
  <c r="E1519" i="7"/>
  <c r="F1518" i="7"/>
  <c r="E1518" i="7"/>
  <c r="F1517" i="7"/>
  <c r="E1517" i="7"/>
  <c r="F1516" i="7"/>
  <c r="E1516" i="7"/>
  <c r="F1515" i="7"/>
  <c r="E1515" i="7"/>
  <c r="F1514" i="7"/>
  <c r="E1514" i="7"/>
  <c r="F1513" i="7"/>
  <c r="E1513" i="7"/>
  <c r="F1512" i="7"/>
  <c r="E1512" i="7"/>
  <c r="F1511" i="7"/>
  <c r="E1511" i="7"/>
  <c r="F1510" i="7"/>
  <c r="E1510" i="7"/>
  <c r="F1509" i="7"/>
  <c r="E1509" i="7"/>
  <c r="F1508" i="7"/>
  <c r="E1508" i="7"/>
  <c r="F1507" i="7"/>
  <c r="E1507" i="7"/>
  <c r="F1506" i="7"/>
  <c r="E1506" i="7"/>
  <c r="F1505" i="7"/>
  <c r="E1505" i="7"/>
  <c r="F1504" i="7"/>
  <c r="E1504" i="7"/>
  <c r="F1503" i="7"/>
  <c r="E1503" i="7"/>
  <c r="F1502" i="7"/>
  <c r="E1502" i="7"/>
  <c r="F1501" i="7"/>
  <c r="E1501" i="7"/>
  <c r="F1500" i="7"/>
  <c r="E1500" i="7"/>
  <c r="F1499" i="7"/>
  <c r="E1499" i="7"/>
  <c r="F1498" i="7"/>
  <c r="E1498" i="7"/>
  <c r="F1497" i="7"/>
  <c r="E1497" i="7"/>
  <c r="F1496" i="7"/>
  <c r="E1496" i="7"/>
  <c r="F1495" i="7"/>
  <c r="E1495" i="7"/>
  <c r="F1494" i="7"/>
  <c r="E1494" i="7"/>
  <c r="F1493" i="7"/>
  <c r="E1493" i="7"/>
  <c r="F1492" i="7"/>
  <c r="E1492" i="7"/>
  <c r="F1491" i="7"/>
  <c r="E1491" i="7"/>
  <c r="F1490" i="7"/>
  <c r="E1490" i="7"/>
  <c r="F1489" i="7"/>
  <c r="E1489" i="7"/>
  <c r="F1488" i="7"/>
  <c r="E1488" i="7"/>
  <c r="F1487" i="7"/>
  <c r="E1487" i="7"/>
  <c r="F1486" i="7"/>
  <c r="E1486" i="7"/>
  <c r="F1485" i="7"/>
  <c r="E1485" i="7"/>
  <c r="F1484" i="7"/>
  <c r="E1484" i="7"/>
  <c r="F1483" i="7"/>
  <c r="E1483" i="7"/>
  <c r="F1482" i="7"/>
  <c r="E1482" i="7"/>
  <c r="F1481" i="7"/>
  <c r="E1481" i="7"/>
  <c r="F1480" i="7"/>
  <c r="E1480" i="7"/>
  <c r="F1479" i="7"/>
  <c r="E1479" i="7"/>
  <c r="F1478" i="7"/>
  <c r="E1478" i="7"/>
  <c r="F1477" i="7"/>
  <c r="E1477" i="7"/>
  <c r="F1476" i="7"/>
  <c r="E1476" i="7"/>
  <c r="F1475" i="7"/>
  <c r="E1475" i="7"/>
  <c r="F1474" i="7"/>
  <c r="E1474" i="7"/>
  <c r="F1473" i="7"/>
  <c r="E1473" i="7"/>
  <c r="F1472" i="7"/>
  <c r="E1472" i="7"/>
  <c r="F1471" i="7"/>
  <c r="E1471" i="7"/>
  <c r="F1470" i="7"/>
  <c r="E1470" i="7"/>
  <c r="F1469" i="7"/>
  <c r="E1469" i="7"/>
  <c r="F1468" i="7"/>
  <c r="E1468" i="7"/>
  <c r="F1467" i="7"/>
  <c r="E1467" i="7"/>
  <c r="F1466" i="7"/>
  <c r="E1466" i="7"/>
  <c r="F1465" i="7"/>
  <c r="E1465" i="7"/>
  <c r="F1464" i="7"/>
  <c r="E1464" i="7"/>
  <c r="F1463" i="7"/>
  <c r="E1463" i="7"/>
  <c r="F1462" i="7"/>
  <c r="E1462" i="7"/>
  <c r="F1461" i="7"/>
  <c r="E1461" i="7"/>
  <c r="F1460" i="7"/>
  <c r="E1460" i="7"/>
  <c r="F1459" i="7"/>
  <c r="E1459" i="7"/>
  <c r="F1458" i="7"/>
  <c r="E1458" i="7"/>
  <c r="F1457" i="7"/>
  <c r="E1457" i="7"/>
  <c r="F1456" i="7"/>
  <c r="E1456" i="7"/>
  <c r="F1455" i="7"/>
  <c r="E1455" i="7"/>
  <c r="F1454" i="7"/>
  <c r="E1454" i="7"/>
  <c r="F1453" i="7"/>
  <c r="E1453" i="7"/>
  <c r="F1452" i="7"/>
  <c r="E1452" i="7"/>
  <c r="F1451" i="7"/>
  <c r="E1451" i="7"/>
  <c r="F1450" i="7"/>
  <c r="E1450" i="7"/>
  <c r="F1449" i="7"/>
  <c r="E1449" i="7"/>
  <c r="F1448" i="7"/>
  <c r="E1448" i="7"/>
  <c r="F1447" i="7"/>
  <c r="E1447" i="7"/>
  <c r="F1446" i="7"/>
  <c r="E1446" i="7"/>
  <c r="F1445" i="7"/>
  <c r="E1445" i="7"/>
  <c r="F1444" i="7"/>
  <c r="E1444" i="7"/>
  <c r="F1443" i="7"/>
  <c r="E1443" i="7"/>
  <c r="F1442" i="7"/>
  <c r="E1442" i="7"/>
  <c r="F1441" i="7"/>
  <c r="E1441" i="7"/>
  <c r="F1440" i="7"/>
  <c r="E1440" i="7"/>
  <c r="F1439" i="7"/>
  <c r="E1439" i="7"/>
  <c r="F1438" i="7"/>
  <c r="E1438" i="7"/>
  <c r="F1437" i="7"/>
  <c r="E1437" i="7"/>
  <c r="F1436" i="7"/>
  <c r="E1436" i="7"/>
  <c r="F1435" i="7"/>
  <c r="E1435" i="7"/>
  <c r="F1434" i="7"/>
  <c r="E1434" i="7"/>
  <c r="F1433" i="7"/>
  <c r="E1433" i="7"/>
  <c r="F1432" i="7"/>
  <c r="E1432" i="7"/>
  <c r="F1431" i="7"/>
  <c r="E1431" i="7"/>
  <c r="F1430" i="7"/>
  <c r="E1430" i="7"/>
  <c r="F1429" i="7"/>
  <c r="E1429" i="7"/>
  <c r="F1428" i="7"/>
  <c r="E1428" i="7"/>
  <c r="F1427" i="7"/>
  <c r="E1427" i="7"/>
  <c r="F1426" i="7"/>
  <c r="E1426" i="7"/>
  <c r="F1425" i="7"/>
  <c r="E1425" i="7"/>
  <c r="F1424" i="7"/>
  <c r="E1424" i="7"/>
  <c r="F1423" i="7"/>
  <c r="E1423" i="7"/>
  <c r="F1422" i="7"/>
  <c r="E1422" i="7"/>
  <c r="F1421" i="7"/>
  <c r="E1421" i="7"/>
  <c r="F1420" i="7"/>
  <c r="E1420" i="7"/>
  <c r="F1419" i="7"/>
  <c r="E1419" i="7"/>
  <c r="F1418" i="7"/>
  <c r="E1418" i="7"/>
  <c r="F1417" i="7"/>
  <c r="E1417" i="7"/>
  <c r="F1416" i="7"/>
  <c r="E1416" i="7"/>
  <c r="F1415" i="7"/>
  <c r="E1415" i="7"/>
  <c r="F1414" i="7"/>
  <c r="E1414" i="7"/>
  <c r="F1413" i="7"/>
  <c r="E1413" i="7"/>
  <c r="F1412" i="7"/>
  <c r="E1412" i="7"/>
  <c r="F1411" i="7"/>
  <c r="E1411" i="7"/>
  <c r="F1410" i="7"/>
  <c r="E1410" i="7"/>
  <c r="F1409" i="7"/>
  <c r="E1409" i="7"/>
  <c r="F1408" i="7"/>
  <c r="E1408" i="7"/>
  <c r="F1407" i="7"/>
  <c r="E1407" i="7"/>
  <c r="F1406" i="7"/>
  <c r="E1406" i="7"/>
  <c r="F1405" i="7"/>
  <c r="E1405" i="7"/>
  <c r="F1404" i="7"/>
  <c r="E1404" i="7"/>
  <c r="F1403" i="7"/>
  <c r="E1403" i="7"/>
  <c r="F1402" i="7"/>
  <c r="E1402" i="7"/>
  <c r="F1401" i="7"/>
  <c r="E1401" i="7"/>
  <c r="F1400" i="7"/>
  <c r="E1400" i="7"/>
  <c r="F1399" i="7"/>
  <c r="E1399" i="7"/>
  <c r="F1398" i="7"/>
  <c r="E1398" i="7"/>
  <c r="F1397" i="7"/>
  <c r="E1397" i="7"/>
  <c r="F1396" i="7"/>
  <c r="E1396" i="7"/>
  <c r="F1395" i="7"/>
  <c r="E1395" i="7"/>
  <c r="F1394" i="7"/>
  <c r="E1394" i="7"/>
  <c r="F1393" i="7"/>
  <c r="E1393" i="7"/>
  <c r="F1392" i="7"/>
  <c r="E1392" i="7"/>
  <c r="F1391" i="7"/>
  <c r="E1391" i="7"/>
  <c r="F1390" i="7"/>
  <c r="E1390" i="7"/>
  <c r="F1389" i="7"/>
  <c r="E1389" i="7"/>
  <c r="F1388" i="7"/>
  <c r="E1388" i="7"/>
  <c r="F1387" i="7"/>
  <c r="E1387" i="7"/>
  <c r="F1386" i="7"/>
  <c r="E1386" i="7"/>
  <c r="F1385" i="7"/>
  <c r="E1385" i="7"/>
  <c r="F1384" i="7"/>
  <c r="E1384" i="7"/>
  <c r="F1383" i="7"/>
  <c r="E1383" i="7"/>
  <c r="F1382" i="7"/>
  <c r="E1382" i="7"/>
  <c r="F1381" i="7"/>
  <c r="E1381" i="7"/>
  <c r="F1380" i="7"/>
  <c r="E1380" i="7"/>
  <c r="F1379" i="7"/>
  <c r="E1379" i="7"/>
  <c r="F1378" i="7"/>
  <c r="E1378" i="7"/>
  <c r="F1377" i="7"/>
  <c r="E1377" i="7"/>
  <c r="F1376" i="7"/>
  <c r="E1376" i="7"/>
  <c r="F1375" i="7"/>
  <c r="E1375" i="7"/>
  <c r="F1374" i="7"/>
  <c r="E1374" i="7"/>
  <c r="F1373" i="7"/>
  <c r="E1373" i="7"/>
  <c r="F1372" i="7"/>
  <c r="E1372" i="7"/>
  <c r="F1371" i="7"/>
  <c r="E1371" i="7"/>
  <c r="F1370" i="7"/>
  <c r="E1370" i="7"/>
  <c r="F1369" i="7"/>
  <c r="E1369" i="7"/>
  <c r="F1368" i="7"/>
  <c r="E1368" i="7"/>
  <c r="F1367" i="7"/>
  <c r="E1367" i="7"/>
  <c r="F1366" i="7"/>
  <c r="E1366" i="7"/>
  <c r="F1365" i="7"/>
  <c r="E1365" i="7"/>
  <c r="F1364" i="7"/>
  <c r="E1364" i="7"/>
  <c r="F1363" i="7"/>
  <c r="E1363" i="7"/>
  <c r="F1362" i="7"/>
  <c r="E1362" i="7"/>
  <c r="F1361" i="7"/>
  <c r="E1361" i="7"/>
  <c r="F1360" i="7"/>
  <c r="E1360" i="7"/>
  <c r="F1359" i="7"/>
  <c r="E1359" i="7"/>
  <c r="F1358" i="7"/>
  <c r="E1358" i="7"/>
  <c r="F1357" i="7"/>
  <c r="E1357" i="7"/>
  <c r="F1356" i="7"/>
  <c r="E1356" i="7"/>
  <c r="F1355" i="7"/>
  <c r="E1355" i="7"/>
  <c r="F1354" i="7"/>
  <c r="E1354" i="7"/>
  <c r="F1353" i="7"/>
  <c r="E1353" i="7"/>
  <c r="F1352" i="7"/>
  <c r="E1352" i="7"/>
  <c r="F1351" i="7"/>
  <c r="E1351" i="7"/>
  <c r="F1350" i="7"/>
  <c r="E1350" i="7"/>
  <c r="F1349" i="7"/>
  <c r="E1349" i="7"/>
  <c r="F1348" i="7"/>
  <c r="E1348" i="7"/>
  <c r="F1347" i="7"/>
  <c r="E1347" i="7"/>
  <c r="F1346" i="7"/>
  <c r="E1346" i="7"/>
  <c r="F1345" i="7"/>
  <c r="E1345" i="7"/>
  <c r="F1344" i="7"/>
  <c r="E1344" i="7"/>
  <c r="F1343" i="7"/>
  <c r="E1343" i="7"/>
  <c r="F1342" i="7"/>
  <c r="E1342" i="7"/>
  <c r="F1341" i="7"/>
  <c r="E1341" i="7"/>
  <c r="F1340" i="7"/>
  <c r="E1340" i="7"/>
  <c r="F1339" i="7"/>
  <c r="E1339" i="7"/>
  <c r="F1338" i="7"/>
  <c r="E1338" i="7"/>
  <c r="F1337" i="7"/>
  <c r="E1337" i="7"/>
  <c r="F1336" i="7"/>
  <c r="E1336" i="7"/>
  <c r="F1335" i="7"/>
  <c r="E1335" i="7"/>
  <c r="F1334" i="7"/>
  <c r="E1334" i="7"/>
  <c r="F1333" i="7"/>
  <c r="E1333" i="7"/>
  <c r="F1332" i="7"/>
  <c r="E1332" i="7"/>
  <c r="F1331" i="7"/>
  <c r="E1331" i="7"/>
  <c r="F1330" i="7"/>
  <c r="E1330" i="7"/>
  <c r="F1329" i="7"/>
  <c r="E1329" i="7"/>
  <c r="F1328" i="7"/>
  <c r="E1328" i="7"/>
  <c r="F1327" i="7"/>
  <c r="E1327" i="7"/>
  <c r="F1326" i="7"/>
  <c r="E1326" i="7"/>
  <c r="F1325" i="7"/>
  <c r="E1325" i="7"/>
  <c r="F1324" i="7"/>
  <c r="E1324" i="7"/>
  <c r="F1323" i="7"/>
  <c r="E1323" i="7"/>
  <c r="F1322" i="7"/>
  <c r="E1322" i="7"/>
  <c r="F1321" i="7"/>
  <c r="E1321" i="7"/>
  <c r="F1320" i="7"/>
  <c r="E1320" i="7"/>
  <c r="F1319" i="7"/>
  <c r="E1319" i="7"/>
  <c r="F1318" i="7"/>
  <c r="E1318" i="7"/>
  <c r="F1317" i="7"/>
  <c r="E1317" i="7"/>
  <c r="F1316" i="7"/>
  <c r="E1316" i="7"/>
  <c r="F1315" i="7"/>
  <c r="E1315" i="7"/>
  <c r="F1314" i="7"/>
  <c r="E1314" i="7"/>
  <c r="F1313" i="7"/>
  <c r="E1313" i="7"/>
  <c r="F1312" i="7"/>
  <c r="E1312" i="7"/>
  <c r="F1311" i="7"/>
  <c r="E1311" i="7"/>
  <c r="F1310" i="7"/>
  <c r="E1310" i="7"/>
  <c r="F1309" i="7"/>
  <c r="E1309" i="7"/>
  <c r="F1308" i="7"/>
  <c r="E1308" i="7"/>
  <c r="F1307" i="7"/>
  <c r="E1307" i="7"/>
  <c r="F1306" i="7"/>
  <c r="E1306" i="7"/>
  <c r="F1305" i="7"/>
  <c r="E1305" i="7"/>
  <c r="F1304" i="7"/>
  <c r="E1304" i="7"/>
  <c r="F1303" i="7"/>
  <c r="E1303" i="7"/>
  <c r="F1302" i="7"/>
  <c r="E1302" i="7"/>
  <c r="F1301" i="7"/>
  <c r="E1301" i="7"/>
  <c r="F1300" i="7"/>
  <c r="E1300" i="7"/>
  <c r="F1299" i="7"/>
  <c r="E1299" i="7"/>
  <c r="F1298" i="7"/>
  <c r="E1298" i="7"/>
  <c r="F1297" i="7"/>
  <c r="E1297" i="7"/>
  <c r="F1296" i="7"/>
  <c r="E1296" i="7"/>
  <c r="F1295" i="7"/>
  <c r="E1295" i="7"/>
  <c r="F1294" i="7"/>
  <c r="E1294" i="7"/>
  <c r="F1293" i="7"/>
  <c r="E1293" i="7"/>
  <c r="F1292" i="7"/>
  <c r="E1292" i="7"/>
  <c r="F1291" i="7"/>
  <c r="E1291" i="7"/>
  <c r="F1290" i="7"/>
  <c r="E1290" i="7"/>
  <c r="F1289" i="7"/>
  <c r="E1289" i="7"/>
  <c r="F1288" i="7"/>
  <c r="E1288" i="7"/>
  <c r="F1287" i="7"/>
  <c r="E1287" i="7"/>
  <c r="F1286" i="7"/>
  <c r="E1286" i="7"/>
  <c r="F1285" i="7"/>
  <c r="E1285" i="7"/>
  <c r="F1284" i="7"/>
  <c r="E1284" i="7"/>
  <c r="F1283" i="7"/>
  <c r="E1283" i="7"/>
  <c r="F1282" i="7"/>
  <c r="E1282" i="7"/>
  <c r="F1281" i="7"/>
  <c r="E1281" i="7"/>
  <c r="F1280" i="7"/>
  <c r="E1280" i="7"/>
  <c r="F1279" i="7"/>
  <c r="E1279" i="7"/>
  <c r="F1278" i="7"/>
  <c r="E1278" i="7"/>
  <c r="F1277" i="7"/>
  <c r="E1277" i="7"/>
  <c r="F1276" i="7"/>
  <c r="E1276" i="7"/>
  <c r="F1275" i="7"/>
  <c r="E1275" i="7"/>
  <c r="F1274" i="7"/>
  <c r="E1274" i="7"/>
  <c r="F1273" i="7"/>
  <c r="E1273" i="7"/>
  <c r="F1272" i="7"/>
  <c r="E1272" i="7"/>
  <c r="F1271" i="7"/>
  <c r="E1271" i="7"/>
  <c r="F1270" i="7"/>
  <c r="E1270" i="7"/>
  <c r="F1269" i="7"/>
  <c r="E1269" i="7"/>
  <c r="F1268" i="7"/>
  <c r="E1268" i="7"/>
  <c r="F1267" i="7"/>
  <c r="E1267" i="7"/>
  <c r="F1266" i="7"/>
  <c r="E1266" i="7"/>
  <c r="F1265" i="7"/>
  <c r="E1265" i="7"/>
  <c r="F1264" i="7"/>
  <c r="E1264" i="7"/>
  <c r="F1263" i="7"/>
  <c r="E1263" i="7"/>
  <c r="F1262" i="7"/>
  <c r="E1262" i="7"/>
  <c r="F1261" i="7"/>
  <c r="E1261" i="7"/>
  <c r="F1260" i="7"/>
  <c r="E1260" i="7"/>
  <c r="F1259" i="7"/>
  <c r="E1259" i="7"/>
  <c r="F1258" i="7"/>
  <c r="E1258" i="7"/>
  <c r="F1257" i="7"/>
  <c r="E1257" i="7"/>
  <c r="F1256" i="7"/>
  <c r="E1256" i="7"/>
  <c r="F1255" i="7"/>
  <c r="E1255" i="7"/>
  <c r="F1254" i="7"/>
  <c r="E1254" i="7"/>
  <c r="F1253" i="7"/>
  <c r="E1253" i="7"/>
  <c r="F1252" i="7"/>
  <c r="E1252" i="7"/>
  <c r="F1251" i="7"/>
  <c r="E1251" i="7"/>
  <c r="F1250" i="7"/>
  <c r="E1250" i="7"/>
  <c r="F1249" i="7"/>
  <c r="E1249" i="7"/>
  <c r="F1248" i="7"/>
  <c r="E1248" i="7"/>
  <c r="F1247" i="7"/>
  <c r="E1247" i="7"/>
  <c r="F1246" i="7"/>
  <c r="E1246" i="7"/>
  <c r="F1245" i="7"/>
  <c r="E1245" i="7"/>
  <c r="F1244" i="7"/>
  <c r="E1244" i="7"/>
  <c r="F1243" i="7"/>
  <c r="E1243" i="7"/>
  <c r="F1242" i="7"/>
  <c r="E1242" i="7"/>
  <c r="F1241" i="7"/>
  <c r="E1241" i="7"/>
  <c r="F1240" i="7"/>
  <c r="E1240" i="7"/>
  <c r="F1239" i="7"/>
  <c r="E1239" i="7"/>
  <c r="F1238" i="7"/>
  <c r="E1238" i="7"/>
  <c r="F1237" i="7"/>
  <c r="E1237" i="7"/>
  <c r="F1236" i="7"/>
  <c r="E1236" i="7"/>
  <c r="F1235" i="7"/>
  <c r="E1235" i="7"/>
  <c r="F1234" i="7"/>
  <c r="E1234" i="7"/>
  <c r="F1233" i="7"/>
  <c r="E1233" i="7"/>
  <c r="F1232" i="7"/>
  <c r="E1232" i="7"/>
  <c r="F1231" i="7"/>
  <c r="E1231" i="7"/>
  <c r="F1230" i="7"/>
  <c r="E1230" i="7"/>
  <c r="F1229" i="7"/>
  <c r="E1229" i="7"/>
  <c r="F1228" i="7"/>
  <c r="E1228" i="7"/>
  <c r="F1227" i="7"/>
  <c r="E1227" i="7"/>
  <c r="F1226" i="7"/>
  <c r="E1226" i="7"/>
  <c r="F1225" i="7"/>
  <c r="E1225" i="7"/>
  <c r="F1224" i="7"/>
  <c r="E1224" i="7"/>
  <c r="F1223" i="7"/>
  <c r="E1223" i="7"/>
  <c r="F1222" i="7"/>
  <c r="E1222" i="7"/>
  <c r="F1221" i="7"/>
  <c r="E1221" i="7"/>
  <c r="F1220" i="7"/>
  <c r="E1220" i="7"/>
  <c r="F1219" i="7"/>
  <c r="E1219" i="7"/>
  <c r="F1218" i="7"/>
  <c r="E1218" i="7"/>
  <c r="F1217" i="7"/>
  <c r="E1217" i="7"/>
  <c r="F1216" i="7"/>
  <c r="E1216" i="7"/>
  <c r="F1215" i="7"/>
  <c r="E1215" i="7"/>
  <c r="F1214" i="7"/>
  <c r="E1214" i="7"/>
  <c r="F1213" i="7"/>
  <c r="E1213" i="7"/>
  <c r="F1212" i="7"/>
  <c r="E1212" i="7"/>
  <c r="F1211" i="7"/>
  <c r="E1211" i="7"/>
  <c r="F1210" i="7"/>
  <c r="E1210" i="7"/>
  <c r="F1209" i="7"/>
  <c r="E1209" i="7"/>
  <c r="F1208" i="7"/>
  <c r="E1208" i="7"/>
  <c r="F1207" i="7"/>
  <c r="E1207" i="7"/>
  <c r="F1206" i="7"/>
  <c r="E1206" i="7"/>
  <c r="F1205" i="7"/>
  <c r="E1205" i="7"/>
  <c r="F1204" i="7"/>
  <c r="E1204" i="7"/>
  <c r="F1203" i="7"/>
  <c r="E1203" i="7"/>
  <c r="F1202" i="7"/>
  <c r="E1202" i="7"/>
  <c r="F1201" i="7"/>
  <c r="E1201" i="7"/>
  <c r="F1200" i="7"/>
  <c r="E1200" i="7"/>
  <c r="F1199" i="7"/>
  <c r="E1199" i="7"/>
  <c r="F1198" i="7"/>
  <c r="E1198" i="7"/>
  <c r="F1197" i="7"/>
  <c r="E1197" i="7"/>
  <c r="F1196" i="7"/>
  <c r="E1196" i="7"/>
  <c r="F1195" i="7"/>
  <c r="E1195" i="7"/>
  <c r="F1194" i="7"/>
  <c r="E1194" i="7"/>
  <c r="F1193" i="7"/>
  <c r="E1193" i="7"/>
  <c r="F1192" i="7"/>
  <c r="E1192" i="7"/>
  <c r="F1191" i="7"/>
  <c r="E1191" i="7"/>
  <c r="F1190" i="7"/>
  <c r="E1190" i="7"/>
  <c r="F1189" i="7"/>
  <c r="E1189" i="7"/>
  <c r="F1188" i="7"/>
  <c r="E1188" i="7"/>
  <c r="F1187" i="7"/>
  <c r="E1187" i="7"/>
  <c r="F1186" i="7"/>
  <c r="E1186" i="7"/>
  <c r="F1185" i="7"/>
  <c r="E1185" i="7"/>
  <c r="F1184" i="7"/>
  <c r="E1184" i="7"/>
  <c r="F1183" i="7"/>
  <c r="E1183" i="7"/>
  <c r="F1182" i="7"/>
  <c r="E1182" i="7"/>
  <c r="F1181" i="7"/>
  <c r="E1181" i="7"/>
  <c r="F1180" i="7"/>
  <c r="E1180" i="7"/>
  <c r="F1179" i="7"/>
  <c r="E1179" i="7"/>
  <c r="F1178" i="7"/>
  <c r="E1178" i="7"/>
  <c r="F1177" i="7"/>
  <c r="E1177" i="7"/>
  <c r="F1176" i="7"/>
  <c r="E1176" i="7"/>
  <c r="F1175" i="7"/>
  <c r="E1175" i="7"/>
  <c r="F1174" i="7"/>
  <c r="E1174" i="7"/>
  <c r="F1173" i="7"/>
  <c r="E1173" i="7"/>
  <c r="F1172" i="7"/>
  <c r="E1172" i="7"/>
  <c r="F1171" i="7"/>
  <c r="E1171" i="7"/>
  <c r="F1170" i="7"/>
  <c r="E1170" i="7"/>
  <c r="F1169" i="7"/>
  <c r="E1169" i="7"/>
  <c r="F1168" i="7"/>
  <c r="E1168" i="7"/>
  <c r="F1167" i="7"/>
  <c r="E1167" i="7"/>
  <c r="F1166" i="7"/>
  <c r="E1166" i="7"/>
  <c r="F1165" i="7"/>
  <c r="E1165" i="7"/>
  <c r="F1164" i="7"/>
  <c r="E1164" i="7"/>
  <c r="F1163" i="7"/>
  <c r="E1163" i="7"/>
  <c r="F1162" i="7"/>
  <c r="E1162" i="7"/>
  <c r="F1161" i="7"/>
  <c r="E1161" i="7"/>
  <c r="F1160" i="7"/>
  <c r="E1160" i="7"/>
  <c r="F1159" i="7"/>
  <c r="E1159" i="7"/>
  <c r="F1158" i="7"/>
  <c r="E1158" i="7"/>
  <c r="F1157" i="7"/>
  <c r="E1157" i="7"/>
  <c r="F1156" i="7"/>
  <c r="E1156" i="7"/>
  <c r="F1155" i="7"/>
  <c r="E1155" i="7"/>
  <c r="F1154" i="7"/>
  <c r="E1154" i="7"/>
  <c r="F1153" i="7"/>
  <c r="E1153" i="7"/>
  <c r="F1152" i="7"/>
  <c r="E1152" i="7"/>
  <c r="F1151" i="7"/>
  <c r="E1151" i="7"/>
  <c r="F1150" i="7"/>
  <c r="E1150" i="7"/>
  <c r="F1149" i="7"/>
  <c r="E1149" i="7"/>
  <c r="F1148" i="7"/>
  <c r="E1148" i="7"/>
  <c r="F1147" i="7"/>
  <c r="E1147" i="7"/>
  <c r="F1146" i="7"/>
  <c r="E1146" i="7"/>
  <c r="F1145" i="7"/>
  <c r="E1145" i="7"/>
  <c r="F1144" i="7"/>
  <c r="E1144" i="7"/>
  <c r="F1143" i="7"/>
  <c r="E1143" i="7"/>
  <c r="F1142" i="7"/>
  <c r="E1142" i="7"/>
  <c r="F1141" i="7"/>
  <c r="E1141" i="7"/>
  <c r="F1140" i="7"/>
  <c r="E1140" i="7"/>
  <c r="F1139" i="7"/>
  <c r="E1139" i="7"/>
  <c r="F1138" i="7"/>
  <c r="E1138" i="7"/>
  <c r="F1137" i="7"/>
  <c r="E1137" i="7"/>
  <c r="F1136" i="7"/>
  <c r="E1136" i="7"/>
  <c r="F1135" i="7"/>
  <c r="E1135" i="7"/>
  <c r="F1134" i="7"/>
  <c r="E1134" i="7"/>
  <c r="F1133" i="7"/>
  <c r="E1133" i="7"/>
  <c r="F1132" i="7"/>
  <c r="E1132" i="7"/>
  <c r="F1131" i="7"/>
  <c r="E1131" i="7"/>
  <c r="F1130" i="7"/>
  <c r="E1130" i="7"/>
  <c r="F1129" i="7"/>
  <c r="E1129" i="7"/>
  <c r="F1128" i="7"/>
  <c r="E1128" i="7"/>
  <c r="F1127" i="7"/>
  <c r="E1127" i="7"/>
  <c r="F1126" i="7"/>
  <c r="E1126" i="7"/>
  <c r="F1125" i="7"/>
  <c r="E1125" i="7"/>
  <c r="F1124" i="7"/>
  <c r="E1124" i="7"/>
  <c r="F1123" i="7"/>
  <c r="E1123" i="7"/>
  <c r="F1122" i="7"/>
  <c r="E1122" i="7"/>
  <c r="F1121" i="7"/>
  <c r="E1121" i="7"/>
  <c r="F1120" i="7"/>
  <c r="E1120" i="7"/>
  <c r="F1119" i="7"/>
  <c r="E1119" i="7"/>
  <c r="F1118" i="7"/>
  <c r="E1118" i="7"/>
  <c r="F1117" i="7"/>
  <c r="E1117" i="7"/>
  <c r="F1116" i="7"/>
  <c r="E1116" i="7"/>
  <c r="F1115" i="7"/>
  <c r="E1115" i="7"/>
  <c r="F1114" i="7"/>
  <c r="E1114" i="7"/>
  <c r="F1113" i="7"/>
  <c r="E1113" i="7"/>
  <c r="F1112" i="7"/>
  <c r="E1112" i="7"/>
  <c r="F1111" i="7"/>
  <c r="E1111" i="7"/>
  <c r="F1110" i="7"/>
  <c r="E1110" i="7"/>
  <c r="F1109" i="7"/>
  <c r="E1109" i="7"/>
  <c r="F1108" i="7"/>
  <c r="E1108" i="7"/>
  <c r="F1107" i="7"/>
  <c r="E1107" i="7"/>
  <c r="F1106" i="7"/>
  <c r="E1106" i="7"/>
  <c r="F1105" i="7"/>
  <c r="E1105" i="7"/>
  <c r="F1104" i="7"/>
  <c r="E1104" i="7"/>
  <c r="F1103" i="7"/>
  <c r="E1103" i="7"/>
  <c r="F1102" i="7"/>
  <c r="E1102" i="7"/>
  <c r="F1101" i="7"/>
  <c r="E1101" i="7"/>
  <c r="F1100" i="7"/>
  <c r="E1100" i="7"/>
  <c r="F1099" i="7"/>
  <c r="E1099" i="7"/>
  <c r="F1098" i="7"/>
  <c r="E1098" i="7"/>
  <c r="F1097" i="7"/>
  <c r="E1097" i="7"/>
  <c r="F1096" i="7"/>
  <c r="E1096" i="7"/>
  <c r="F1095" i="7"/>
  <c r="E1095" i="7"/>
  <c r="F1094" i="7"/>
  <c r="E1094" i="7"/>
  <c r="F1093" i="7"/>
  <c r="E1093" i="7"/>
  <c r="F1092" i="7"/>
  <c r="E1092" i="7"/>
  <c r="F1091" i="7"/>
  <c r="E1091" i="7"/>
  <c r="F1090" i="7"/>
  <c r="E1090" i="7"/>
  <c r="F1089" i="7"/>
  <c r="E1089" i="7"/>
  <c r="F1088" i="7"/>
  <c r="E1088" i="7"/>
  <c r="F1087" i="7"/>
  <c r="E1087" i="7"/>
  <c r="F1086" i="7"/>
  <c r="E1086" i="7"/>
  <c r="F1085" i="7"/>
  <c r="E1085" i="7"/>
  <c r="F1084" i="7"/>
  <c r="E1084" i="7"/>
  <c r="F1083" i="7"/>
  <c r="E1083" i="7"/>
  <c r="F1082" i="7"/>
  <c r="E1082" i="7"/>
  <c r="F1081" i="7"/>
  <c r="E1081" i="7"/>
  <c r="F1080" i="7"/>
  <c r="E1080" i="7"/>
  <c r="F1079" i="7"/>
  <c r="E1079" i="7"/>
  <c r="F1078" i="7"/>
  <c r="E1078" i="7"/>
  <c r="F1077" i="7"/>
  <c r="E1077" i="7"/>
  <c r="F1076" i="7"/>
  <c r="E1076" i="7"/>
  <c r="F1075" i="7"/>
  <c r="E1075" i="7"/>
  <c r="F1074" i="7"/>
  <c r="E1074" i="7"/>
  <c r="F1073" i="7"/>
  <c r="E1073" i="7"/>
  <c r="F1072" i="7"/>
  <c r="E1072" i="7"/>
  <c r="F1071" i="7"/>
  <c r="E1071" i="7"/>
  <c r="F1070" i="7"/>
  <c r="E1070" i="7"/>
  <c r="F1069" i="7"/>
  <c r="E1069" i="7"/>
  <c r="F1068" i="7"/>
  <c r="E1068" i="7"/>
  <c r="F1067" i="7"/>
  <c r="E1067" i="7"/>
  <c r="F1066" i="7"/>
  <c r="E1066" i="7"/>
  <c r="F1065" i="7"/>
  <c r="E1065" i="7"/>
  <c r="F1064" i="7"/>
  <c r="E1064" i="7"/>
  <c r="F1063" i="7"/>
  <c r="E1063" i="7"/>
  <c r="F1062" i="7"/>
  <c r="E1062" i="7"/>
  <c r="F1061" i="7"/>
  <c r="E1061" i="7"/>
  <c r="F1060" i="7"/>
  <c r="E1060" i="7"/>
  <c r="F1059" i="7"/>
  <c r="E1059" i="7"/>
  <c r="F1058" i="7"/>
  <c r="E1058" i="7"/>
  <c r="F1057" i="7"/>
  <c r="E1057" i="7"/>
  <c r="F1056" i="7"/>
  <c r="E1056" i="7"/>
  <c r="F1055" i="7"/>
  <c r="E1055" i="7"/>
  <c r="F1054" i="7"/>
  <c r="E1054" i="7"/>
  <c r="F1053" i="7"/>
  <c r="E1053" i="7"/>
  <c r="F1052" i="7"/>
  <c r="E1052" i="7"/>
  <c r="F1051" i="7"/>
  <c r="E1051" i="7"/>
  <c r="F1050" i="7"/>
  <c r="E1050" i="7"/>
  <c r="F1049" i="7"/>
  <c r="E1049" i="7"/>
  <c r="F1048" i="7"/>
  <c r="E1048" i="7"/>
  <c r="F1047" i="7"/>
  <c r="E1047" i="7"/>
  <c r="F1046" i="7"/>
  <c r="E1046" i="7"/>
  <c r="F1045" i="7"/>
  <c r="E1045" i="7"/>
  <c r="F1044" i="7"/>
  <c r="E1044" i="7"/>
  <c r="F1043" i="7"/>
  <c r="E1043" i="7"/>
  <c r="F1042" i="7"/>
  <c r="E1042" i="7"/>
  <c r="F1041" i="7"/>
  <c r="E1041" i="7"/>
  <c r="F1040" i="7"/>
  <c r="E1040" i="7"/>
  <c r="F1039" i="7"/>
  <c r="E1039" i="7"/>
  <c r="F1038" i="7"/>
  <c r="E1038" i="7"/>
  <c r="F1037" i="7"/>
  <c r="E1037" i="7"/>
  <c r="F1036" i="7"/>
  <c r="E1036" i="7"/>
  <c r="F1035" i="7"/>
  <c r="E1035" i="7"/>
  <c r="F1034" i="7"/>
  <c r="E1034" i="7"/>
  <c r="F1033" i="7"/>
  <c r="E1033" i="7"/>
  <c r="F1032" i="7"/>
  <c r="E1032" i="7"/>
  <c r="F1031" i="7"/>
  <c r="E1031" i="7"/>
  <c r="F1030" i="7"/>
  <c r="E1030" i="7"/>
  <c r="F1029" i="7"/>
  <c r="E1029" i="7"/>
  <c r="F1028" i="7"/>
  <c r="E1028" i="7"/>
  <c r="F1027" i="7"/>
  <c r="E1027" i="7"/>
  <c r="F1026" i="7"/>
  <c r="E1026" i="7"/>
  <c r="F1025" i="7"/>
  <c r="E1025" i="7"/>
  <c r="F1024" i="7"/>
  <c r="E1024" i="7"/>
  <c r="F1023" i="7"/>
  <c r="E1023" i="7"/>
  <c r="F1022" i="7"/>
  <c r="E1022" i="7"/>
  <c r="F1021" i="7"/>
  <c r="E1021" i="7"/>
  <c r="F1020" i="7"/>
  <c r="E1020" i="7"/>
  <c r="F1019" i="7"/>
  <c r="E1019" i="7"/>
  <c r="F1018" i="7"/>
  <c r="E1018" i="7"/>
  <c r="F1017" i="7"/>
  <c r="E1017" i="7"/>
  <c r="F1016" i="7"/>
  <c r="E1016" i="7"/>
  <c r="F1015" i="7"/>
  <c r="E1015" i="7"/>
  <c r="F1014" i="7"/>
  <c r="E1014" i="7"/>
  <c r="F1013" i="7"/>
  <c r="E1013" i="7"/>
  <c r="F1012" i="7"/>
  <c r="E1012" i="7"/>
  <c r="F1011" i="7"/>
  <c r="E1011" i="7"/>
  <c r="F1010" i="7"/>
  <c r="E1010" i="7"/>
  <c r="F1009" i="7"/>
  <c r="E1009" i="7"/>
  <c r="F1008" i="7"/>
  <c r="E1008" i="7"/>
  <c r="F1007" i="7"/>
  <c r="E1007" i="7"/>
  <c r="F1006" i="7"/>
  <c r="E1006" i="7"/>
  <c r="F1005" i="7"/>
  <c r="E1005" i="7"/>
  <c r="F1004" i="7"/>
  <c r="E1004" i="7"/>
  <c r="F1003" i="7"/>
  <c r="E1003" i="7"/>
  <c r="F1002" i="7"/>
  <c r="E1002" i="7"/>
  <c r="F1001" i="7"/>
  <c r="E1001" i="7"/>
  <c r="F1000" i="7"/>
  <c r="E1000" i="7"/>
  <c r="F999" i="7"/>
  <c r="E999" i="7"/>
  <c r="F998" i="7"/>
  <c r="E998" i="7"/>
  <c r="F997" i="7"/>
  <c r="E997" i="7"/>
  <c r="F996" i="7"/>
  <c r="E996" i="7"/>
  <c r="F995" i="7"/>
  <c r="E995" i="7"/>
  <c r="F994" i="7"/>
  <c r="E994" i="7"/>
  <c r="F993" i="7"/>
  <c r="E993" i="7"/>
  <c r="F992" i="7"/>
  <c r="E992" i="7"/>
  <c r="F991" i="7"/>
  <c r="E991" i="7"/>
  <c r="F990" i="7"/>
  <c r="E990" i="7"/>
  <c r="F989" i="7"/>
  <c r="E989" i="7"/>
  <c r="F988" i="7"/>
  <c r="E988" i="7"/>
  <c r="F987" i="7"/>
  <c r="E987" i="7"/>
  <c r="F986" i="7"/>
  <c r="E986" i="7"/>
  <c r="F985" i="7"/>
  <c r="E985" i="7"/>
  <c r="F984" i="7"/>
  <c r="E984" i="7"/>
  <c r="F983" i="7"/>
  <c r="E983" i="7"/>
  <c r="F982" i="7"/>
  <c r="E982" i="7"/>
  <c r="F981" i="7"/>
  <c r="E981" i="7"/>
  <c r="F980" i="7"/>
  <c r="E980" i="7"/>
  <c r="F979" i="7"/>
  <c r="E979" i="7"/>
  <c r="F978" i="7"/>
  <c r="E978" i="7"/>
  <c r="F977" i="7"/>
  <c r="E977" i="7"/>
  <c r="F976" i="7"/>
  <c r="E976" i="7"/>
  <c r="F975" i="7"/>
  <c r="E975" i="7"/>
  <c r="F974" i="7"/>
  <c r="E974" i="7"/>
  <c r="F973" i="7"/>
  <c r="E973" i="7"/>
  <c r="F972" i="7"/>
  <c r="E972" i="7"/>
  <c r="F971" i="7"/>
  <c r="E971" i="7"/>
  <c r="F970" i="7"/>
  <c r="E970" i="7"/>
  <c r="F969" i="7"/>
  <c r="E969" i="7"/>
  <c r="F968" i="7"/>
  <c r="E968" i="7"/>
  <c r="F967" i="7"/>
  <c r="E967" i="7"/>
  <c r="F966" i="7"/>
  <c r="E966" i="7"/>
  <c r="F965" i="7"/>
  <c r="E965" i="7"/>
  <c r="F964" i="7"/>
  <c r="E964" i="7"/>
  <c r="F963" i="7"/>
  <c r="E963" i="7"/>
  <c r="F962" i="7"/>
  <c r="E962" i="7"/>
  <c r="F961" i="7"/>
  <c r="E961" i="7"/>
  <c r="F960" i="7"/>
  <c r="E960" i="7"/>
  <c r="F959" i="7"/>
  <c r="E959" i="7"/>
  <c r="F958" i="7"/>
  <c r="E958" i="7"/>
  <c r="F957" i="7"/>
  <c r="E957" i="7"/>
  <c r="F956" i="7"/>
  <c r="E956" i="7"/>
  <c r="F955" i="7"/>
  <c r="E955" i="7"/>
  <c r="F954" i="7"/>
  <c r="E954" i="7"/>
  <c r="F953" i="7"/>
  <c r="E953" i="7"/>
  <c r="F952" i="7"/>
  <c r="E952" i="7"/>
  <c r="F951" i="7"/>
  <c r="E951" i="7"/>
  <c r="F950" i="7"/>
  <c r="E950" i="7"/>
  <c r="F949" i="7"/>
  <c r="E949" i="7"/>
  <c r="F948" i="7"/>
  <c r="E948" i="7"/>
  <c r="F947" i="7"/>
  <c r="E947" i="7"/>
  <c r="F946" i="7"/>
  <c r="E946" i="7"/>
  <c r="F945" i="7"/>
  <c r="E945" i="7"/>
  <c r="F944" i="7"/>
  <c r="E944" i="7"/>
  <c r="F943" i="7"/>
  <c r="E943" i="7"/>
  <c r="F942" i="7"/>
  <c r="E942" i="7"/>
  <c r="F941" i="7"/>
  <c r="E941" i="7"/>
  <c r="F940" i="7"/>
  <c r="E940" i="7"/>
  <c r="F939" i="7"/>
  <c r="E939" i="7"/>
  <c r="F938" i="7"/>
  <c r="E938" i="7"/>
  <c r="F937" i="7"/>
  <c r="E937" i="7"/>
  <c r="F936" i="7"/>
  <c r="E936" i="7"/>
  <c r="F935" i="7"/>
  <c r="E935" i="7"/>
  <c r="F934" i="7"/>
  <c r="E934" i="7"/>
  <c r="F933" i="7"/>
  <c r="E933" i="7"/>
  <c r="F932" i="7"/>
  <c r="E932" i="7"/>
  <c r="F931" i="7"/>
  <c r="E931" i="7"/>
  <c r="F930" i="7"/>
  <c r="E930" i="7"/>
  <c r="F929" i="7"/>
  <c r="E929" i="7"/>
  <c r="F928" i="7"/>
  <c r="E928" i="7"/>
  <c r="F927" i="7"/>
  <c r="E927" i="7"/>
  <c r="F926" i="7"/>
  <c r="E926" i="7"/>
  <c r="F925" i="7"/>
  <c r="E925" i="7"/>
  <c r="F924" i="7"/>
  <c r="E924" i="7"/>
  <c r="F923" i="7"/>
  <c r="E923" i="7"/>
  <c r="F922" i="7"/>
  <c r="E922" i="7"/>
  <c r="F921" i="7"/>
  <c r="E921" i="7"/>
  <c r="F920" i="7"/>
  <c r="E920" i="7"/>
  <c r="F919" i="7"/>
  <c r="E919" i="7"/>
  <c r="F918" i="7"/>
  <c r="E918" i="7"/>
  <c r="F917" i="7"/>
  <c r="E917" i="7"/>
  <c r="F916" i="7"/>
  <c r="E916" i="7"/>
  <c r="F915" i="7"/>
  <c r="E915" i="7"/>
  <c r="F914" i="7"/>
  <c r="E914" i="7"/>
  <c r="F913" i="7"/>
  <c r="E913" i="7"/>
  <c r="F912" i="7"/>
  <c r="E912" i="7"/>
  <c r="F911" i="7"/>
  <c r="E911" i="7"/>
  <c r="F910" i="7"/>
  <c r="E910" i="7"/>
  <c r="F909" i="7"/>
  <c r="E909" i="7"/>
  <c r="F908" i="7"/>
  <c r="E908" i="7"/>
  <c r="F907" i="7"/>
  <c r="E907" i="7"/>
  <c r="F906" i="7"/>
  <c r="E906" i="7"/>
  <c r="F905" i="7"/>
  <c r="E905" i="7"/>
  <c r="F904" i="7"/>
  <c r="E904" i="7"/>
  <c r="F903" i="7"/>
  <c r="E903" i="7"/>
  <c r="F902" i="7"/>
  <c r="E902" i="7"/>
  <c r="F901" i="7"/>
  <c r="E901" i="7"/>
  <c r="F900" i="7"/>
  <c r="E900" i="7"/>
  <c r="F899" i="7"/>
  <c r="E899" i="7"/>
  <c r="F898" i="7"/>
  <c r="E898" i="7"/>
  <c r="F897" i="7"/>
  <c r="E897" i="7"/>
  <c r="F896" i="7"/>
  <c r="E896" i="7"/>
  <c r="F895" i="7"/>
  <c r="E895" i="7"/>
  <c r="F894" i="7"/>
  <c r="E894" i="7"/>
  <c r="F893" i="7"/>
  <c r="E893" i="7"/>
  <c r="F892" i="7"/>
  <c r="E892" i="7"/>
  <c r="F891" i="7"/>
  <c r="E891" i="7"/>
  <c r="F890" i="7"/>
  <c r="E890" i="7"/>
  <c r="F889" i="7"/>
  <c r="E889" i="7"/>
  <c r="F888" i="7"/>
  <c r="E888" i="7"/>
  <c r="F887" i="7"/>
  <c r="E887" i="7"/>
  <c r="F886" i="7"/>
  <c r="E886" i="7"/>
  <c r="F885" i="7"/>
  <c r="E885" i="7"/>
  <c r="F884" i="7"/>
  <c r="E884" i="7"/>
  <c r="F883" i="7"/>
  <c r="E883" i="7"/>
  <c r="F882" i="7"/>
  <c r="E882" i="7"/>
  <c r="F881" i="7"/>
  <c r="E881" i="7"/>
  <c r="F880" i="7"/>
  <c r="E880" i="7"/>
  <c r="F879" i="7"/>
  <c r="E879" i="7"/>
  <c r="F878" i="7"/>
  <c r="E878" i="7"/>
  <c r="F877" i="7"/>
  <c r="E877" i="7"/>
  <c r="F876" i="7"/>
  <c r="E876" i="7"/>
  <c r="F875" i="7"/>
  <c r="E875" i="7"/>
  <c r="F874" i="7"/>
  <c r="E874" i="7"/>
  <c r="F873" i="7"/>
  <c r="E873" i="7"/>
  <c r="F872" i="7"/>
  <c r="E872" i="7"/>
  <c r="F871" i="7"/>
  <c r="E871" i="7"/>
  <c r="F870" i="7"/>
  <c r="E870" i="7"/>
  <c r="F869" i="7"/>
  <c r="E869" i="7"/>
  <c r="F868" i="7"/>
  <c r="E868" i="7"/>
  <c r="F867" i="7"/>
  <c r="E867" i="7"/>
  <c r="F866" i="7"/>
  <c r="E866" i="7"/>
  <c r="F865" i="7"/>
  <c r="E865" i="7"/>
  <c r="F864" i="7"/>
  <c r="E864" i="7"/>
  <c r="F863" i="7"/>
  <c r="E863" i="7"/>
  <c r="F862" i="7"/>
  <c r="E862" i="7"/>
  <c r="F861" i="7"/>
  <c r="E861" i="7"/>
  <c r="F860" i="7"/>
  <c r="E860" i="7"/>
  <c r="F859" i="7"/>
  <c r="E859" i="7"/>
  <c r="F858" i="7"/>
  <c r="E858" i="7"/>
  <c r="F857" i="7"/>
  <c r="E857" i="7"/>
  <c r="F856" i="7"/>
  <c r="E856" i="7"/>
  <c r="F855" i="7"/>
  <c r="E855" i="7"/>
  <c r="F854" i="7"/>
  <c r="E854" i="7"/>
  <c r="F853" i="7"/>
  <c r="E853" i="7"/>
  <c r="F852" i="7"/>
  <c r="E852" i="7"/>
  <c r="F851" i="7"/>
  <c r="E851" i="7"/>
  <c r="F850" i="7"/>
  <c r="E850" i="7"/>
  <c r="F849" i="7"/>
  <c r="E849" i="7"/>
  <c r="F848" i="7"/>
  <c r="E848" i="7"/>
  <c r="F847" i="7"/>
  <c r="E847" i="7"/>
  <c r="F846" i="7"/>
  <c r="E846" i="7"/>
  <c r="F845" i="7"/>
  <c r="E845" i="7"/>
  <c r="F844" i="7"/>
  <c r="E844" i="7"/>
  <c r="F843" i="7"/>
  <c r="E843" i="7"/>
  <c r="F842" i="7"/>
  <c r="E842" i="7"/>
  <c r="F841" i="7"/>
  <c r="E841" i="7"/>
  <c r="F840" i="7"/>
  <c r="E840" i="7"/>
  <c r="F839" i="7"/>
  <c r="E839" i="7"/>
  <c r="F838" i="7"/>
  <c r="E838" i="7"/>
  <c r="F837" i="7"/>
  <c r="E837" i="7"/>
  <c r="F836" i="7"/>
  <c r="E836" i="7"/>
  <c r="F835" i="7"/>
  <c r="E835" i="7"/>
  <c r="F834" i="7"/>
  <c r="E834" i="7"/>
  <c r="F833" i="7"/>
  <c r="E833" i="7"/>
  <c r="F832" i="7"/>
  <c r="E832" i="7"/>
  <c r="F831" i="7"/>
  <c r="E831" i="7"/>
  <c r="F830" i="7"/>
  <c r="E830" i="7"/>
  <c r="F829" i="7"/>
  <c r="E829" i="7"/>
  <c r="F828" i="7"/>
  <c r="E828" i="7"/>
  <c r="F827" i="7"/>
  <c r="E827" i="7"/>
  <c r="F826" i="7"/>
  <c r="E826" i="7"/>
  <c r="F825" i="7"/>
  <c r="E825" i="7"/>
  <c r="F824" i="7"/>
  <c r="E824" i="7"/>
  <c r="F823" i="7"/>
  <c r="E823" i="7"/>
  <c r="F822" i="7"/>
  <c r="E822" i="7"/>
  <c r="F821" i="7"/>
  <c r="E821" i="7"/>
  <c r="F820" i="7"/>
  <c r="E820" i="7"/>
  <c r="F819" i="7"/>
  <c r="E819" i="7"/>
  <c r="F818" i="7"/>
  <c r="E818" i="7"/>
  <c r="F817" i="7"/>
  <c r="E817" i="7"/>
  <c r="F816" i="7"/>
  <c r="E816" i="7"/>
  <c r="F815" i="7"/>
  <c r="E815" i="7"/>
  <c r="F814" i="7"/>
  <c r="E814" i="7"/>
  <c r="F813" i="7"/>
  <c r="E813" i="7"/>
  <c r="F812" i="7"/>
  <c r="E812" i="7"/>
  <c r="F811" i="7"/>
  <c r="E811" i="7"/>
  <c r="F810" i="7"/>
  <c r="E810" i="7"/>
  <c r="F809" i="7"/>
  <c r="E809" i="7"/>
  <c r="F808" i="7"/>
  <c r="E808" i="7"/>
  <c r="F807" i="7"/>
  <c r="E807" i="7"/>
  <c r="F806" i="7"/>
  <c r="E806" i="7"/>
  <c r="F805" i="7"/>
  <c r="E805" i="7"/>
  <c r="F804" i="7"/>
  <c r="E804" i="7"/>
  <c r="F803" i="7"/>
  <c r="E803" i="7"/>
  <c r="F802" i="7"/>
  <c r="E802" i="7"/>
  <c r="F801" i="7"/>
  <c r="E801" i="7"/>
  <c r="F800" i="7"/>
  <c r="E800" i="7"/>
  <c r="F799" i="7"/>
  <c r="E799" i="7"/>
  <c r="F798" i="7"/>
  <c r="E798" i="7"/>
  <c r="F797" i="7"/>
  <c r="E797" i="7"/>
  <c r="F796" i="7"/>
  <c r="E796" i="7"/>
  <c r="F795" i="7"/>
  <c r="E795" i="7"/>
  <c r="F794" i="7"/>
  <c r="E794" i="7"/>
  <c r="F793" i="7"/>
  <c r="E793" i="7"/>
  <c r="F792" i="7"/>
  <c r="E792" i="7"/>
  <c r="F791" i="7"/>
  <c r="E791" i="7"/>
  <c r="F790" i="7"/>
  <c r="E790" i="7"/>
  <c r="F789" i="7"/>
  <c r="E789" i="7"/>
  <c r="F788" i="7"/>
  <c r="E788" i="7"/>
  <c r="F787" i="7"/>
  <c r="E787" i="7"/>
  <c r="F786" i="7"/>
  <c r="E786" i="7"/>
  <c r="F785" i="7"/>
  <c r="E785" i="7"/>
  <c r="F784" i="7"/>
  <c r="E784" i="7"/>
  <c r="F783" i="7"/>
  <c r="E783" i="7"/>
  <c r="F782" i="7"/>
  <c r="E782" i="7"/>
  <c r="F781" i="7"/>
  <c r="E781" i="7"/>
  <c r="F780" i="7"/>
  <c r="E780" i="7"/>
  <c r="F779" i="7"/>
  <c r="E779" i="7"/>
  <c r="F778" i="7"/>
  <c r="E778" i="7"/>
  <c r="F777" i="7"/>
  <c r="E777" i="7"/>
  <c r="F776" i="7"/>
  <c r="E776" i="7"/>
  <c r="F775" i="7"/>
  <c r="E775" i="7"/>
  <c r="F774" i="7"/>
  <c r="E774" i="7"/>
  <c r="F773" i="7"/>
  <c r="E773" i="7"/>
  <c r="F772" i="7"/>
  <c r="E772" i="7"/>
  <c r="F771" i="7"/>
  <c r="E771" i="7"/>
  <c r="F770" i="7"/>
  <c r="E770" i="7"/>
  <c r="F769" i="7"/>
  <c r="E769" i="7"/>
  <c r="F768" i="7"/>
  <c r="E768" i="7"/>
  <c r="F767" i="7"/>
  <c r="E767" i="7"/>
  <c r="F766" i="7"/>
  <c r="E766" i="7"/>
  <c r="F765" i="7"/>
  <c r="E765" i="7"/>
  <c r="F764" i="7"/>
  <c r="E764" i="7"/>
  <c r="F763" i="7"/>
  <c r="E763" i="7"/>
  <c r="F762" i="7"/>
  <c r="E762" i="7"/>
  <c r="F761" i="7"/>
  <c r="E761" i="7"/>
  <c r="F760" i="7"/>
  <c r="E760" i="7"/>
  <c r="F759" i="7"/>
  <c r="E759" i="7"/>
  <c r="F758" i="7"/>
  <c r="E758" i="7"/>
  <c r="F757" i="7"/>
  <c r="E757" i="7"/>
  <c r="F756" i="7"/>
  <c r="E756" i="7"/>
  <c r="F755" i="7"/>
  <c r="E755" i="7"/>
  <c r="F754" i="7"/>
  <c r="E754" i="7"/>
  <c r="F753" i="7"/>
  <c r="E753" i="7"/>
  <c r="F752" i="7"/>
  <c r="E752" i="7"/>
  <c r="F751" i="7"/>
  <c r="E751" i="7"/>
  <c r="F750" i="7"/>
  <c r="E750" i="7"/>
  <c r="F749" i="7"/>
  <c r="E749" i="7"/>
  <c r="F748" i="7"/>
  <c r="E748" i="7"/>
  <c r="F747" i="7"/>
  <c r="E747" i="7"/>
  <c r="F746" i="7"/>
  <c r="E746" i="7"/>
  <c r="F745" i="7"/>
  <c r="E745" i="7"/>
  <c r="F744" i="7"/>
  <c r="E744" i="7"/>
  <c r="F743" i="7"/>
  <c r="E743" i="7"/>
  <c r="F742" i="7"/>
  <c r="E742" i="7"/>
  <c r="F741" i="7"/>
  <c r="E741" i="7"/>
  <c r="F740" i="7"/>
  <c r="E740" i="7"/>
  <c r="F739" i="7"/>
  <c r="E739" i="7"/>
  <c r="F738" i="7"/>
  <c r="E738" i="7"/>
  <c r="F737" i="7"/>
  <c r="E737" i="7"/>
  <c r="F736" i="7"/>
  <c r="E736" i="7"/>
  <c r="F735" i="7"/>
  <c r="E735" i="7"/>
  <c r="F734" i="7"/>
  <c r="E734" i="7"/>
  <c r="F733" i="7"/>
  <c r="E733" i="7"/>
  <c r="F732" i="7"/>
  <c r="E732" i="7"/>
  <c r="F731" i="7"/>
  <c r="E731" i="7"/>
  <c r="F730" i="7"/>
  <c r="E730" i="7"/>
  <c r="F729" i="7"/>
  <c r="E729" i="7"/>
  <c r="F728" i="7"/>
  <c r="E728" i="7"/>
  <c r="F727" i="7"/>
  <c r="E727" i="7"/>
  <c r="F726" i="7"/>
  <c r="E726" i="7"/>
  <c r="F725" i="7"/>
  <c r="E725" i="7"/>
  <c r="F724" i="7"/>
  <c r="E724" i="7"/>
  <c r="F723" i="7"/>
  <c r="E723" i="7"/>
  <c r="F722" i="7"/>
  <c r="E722" i="7"/>
  <c r="F721" i="7"/>
  <c r="E721" i="7"/>
  <c r="F720" i="7"/>
  <c r="E720" i="7"/>
  <c r="F719" i="7"/>
  <c r="E719" i="7"/>
  <c r="F718" i="7"/>
  <c r="E718" i="7"/>
  <c r="F717" i="7"/>
  <c r="E717" i="7"/>
  <c r="F716" i="7"/>
  <c r="E716" i="7"/>
  <c r="F715" i="7"/>
  <c r="E715" i="7"/>
  <c r="F714" i="7"/>
  <c r="E714" i="7"/>
  <c r="F713" i="7"/>
  <c r="E713" i="7"/>
  <c r="F712" i="7"/>
  <c r="E712" i="7"/>
  <c r="F711" i="7"/>
  <c r="E711" i="7"/>
  <c r="F710" i="7"/>
  <c r="E710" i="7"/>
  <c r="F709" i="7"/>
  <c r="E709" i="7"/>
  <c r="F708" i="7"/>
  <c r="E708" i="7"/>
  <c r="F707" i="7"/>
  <c r="E707" i="7"/>
  <c r="F706" i="7"/>
  <c r="E706" i="7"/>
  <c r="F705" i="7"/>
  <c r="E705" i="7"/>
  <c r="F704" i="7"/>
  <c r="E704" i="7"/>
  <c r="F703" i="7"/>
  <c r="E703" i="7"/>
  <c r="F702" i="7"/>
  <c r="E702" i="7"/>
  <c r="F701" i="7"/>
  <c r="E701" i="7"/>
  <c r="F700" i="7"/>
  <c r="E700" i="7"/>
  <c r="F699" i="7"/>
  <c r="E699" i="7"/>
  <c r="F698" i="7"/>
  <c r="E698" i="7"/>
  <c r="F697" i="7"/>
  <c r="E697" i="7"/>
  <c r="F696" i="7"/>
  <c r="E696" i="7"/>
  <c r="F695" i="7"/>
  <c r="E695" i="7"/>
  <c r="F694" i="7"/>
  <c r="E694" i="7"/>
  <c r="F693" i="7"/>
  <c r="E693" i="7"/>
  <c r="F692" i="7"/>
  <c r="E692" i="7"/>
  <c r="F691" i="7"/>
  <c r="E691" i="7"/>
  <c r="F690" i="7"/>
  <c r="E690" i="7"/>
  <c r="F689" i="7"/>
  <c r="E689" i="7"/>
  <c r="F688" i="7"/>
  <c r="E688" i="7"/>
  <c r="F687" i="7"/>
  <c r="E687" i="7"/>
  <c r="F686" i="7"/>
  <c r="E686" i="7"/>
  <c r="F685" i="7"/>
  <c r="E685" i="7"/>
  <c r="F684" i="7"/>
  <c r="E684" i="7"/>
  <c r="F683" i="7"/>
  <c r="E683" i="7"/>
  <c r="F682" i="7"/>
  <c r="E682" i="7"/>
  <c r="F681" i="7"/>
  <c r="E681" i="7"/>
  <c r="F680" i="7"/>
  <c r="E680" i="7"/>
  <c r="F679" i="7"/>
  <c r="E679" i="7"/>
  <c r="F678" i="7"/>
  <c r="E678" i="7"/>
  <c r="F677" i="7"/>
  <c r="E677" i="7"/>
  <c r="F676" i="7"/>
  <c r="E676" i="7"/>
  <c r="F675" i="7"/>
  <c r="E675" i="7"/>
  <c r="F674" i="7"/>
  <c r="E674" i="7"/>
  <c r="F673" i="7"/>
  <c r="E673" i="7"/>
  <c r="F672" i="7"/>
  <c r="E672" i="7"/>
  <c r="F671" i="7"/>
  <c r="E671" i="7"/>
  <c r="F670" i="7"/>
  <c r="E670" i="7"/>
  <c r="F669" i="7"/>
  <c r="E669" i="7"/>
  <c r="F668" i="7"/>
  <c r="E668" i="7"/>
  <c r="F667" i="7"/>
  <c r="E667" i="7"/>
  <c r="F666" i="7"/>
  <c r="E666" i="7"/>
  <c r="F665" i="7"/>
  <c r="E665" i="7"/>
  <c r="F664" i="7"/>
  <c r="E664" i="7"/>
  <c r="F663" i="7"/>
  <c r="E663" i="7"/>
  <c r="F662" i="7"/>
  <c r="E662" i="7"/>
  <c r="F661" i="7"/>
  <c r="E661" i="7"/>
  <c r="F660" i="7"/>
  <c r="E660" i="7"/>
  <c r="F659" i="7"/>
  <c r="E659" i="7"/>
  <c r="F658" i="7"/>
  <c r="E658" i="7"/>
  <c r="F657" i="7"/>
  <c r="E657" i="7"/>
  <c r="F656" i="7"/>
  <c r="E656" i="7"/>
  <c r="F655" i="7"/>
  <c r="E655" i="7"/>
  <c r="F654" i="7"/>
  <c r="E654" i="7"/>
  <c r="F653" i="7"/>
  <c r="E653" i="7"/>
  <c r="F652" i="7"/>
  <c r="E652" i="7"/>
  <c r="F651" i="7"/>
  <c r="E651" i="7"/>
  <c r="F650" i="7"/>
  <c r="E650" i="7"/>
  <c r="F649" i="7"/>
  <c r="E649" i="7"/>
  <c r="F648" i="7"/>
  <c r="E648" i="7"/>
  <c r="F647" i="7"/>
  <c r="E647" i="7"/>
  <c r="F646" i="7"/>
  <c r="E646" i="7"/>
  <c r="F645" i="7"/>
  <c r="E645" i="7"/>
  <c r="F644" i="7"/>
  <c r="E644" i="7"/>
  <c r="F643" i="7"/>
  <c r="E643" i="7"/>
  <c r="F642" i="7"/>
  <c r="E642" i="7"/>
  <c r="F641" i="7"/>
  <c r="E641" i="7"/>
  <c r="F640" i="7"/>
  <c r="E640" i="7"/>
  <c r="F639" i="7"/>
  <c r="E639" i="7"/>
  <c r="F638" i="7"/>
  <c r="E638" i="7"/>
  <c r="F637" i="7"/>
  <c r="E637" i="7"/>
  <c r="F636" i="7"/>
  <c r="E636" i="7"/>
  <c r="F635" i="7"/>
  <c r="E635" i="7"/>
  <c r="F634" i="7"/>
  <c r="E634" i="7"/>
  <c r="F633" i="7"/>
  <c r="E633" i="7"/>
  <c r="F632" i="7"/>
  <c r="E632" i="7"/>
  <c r="F631" i="7"/>
  <c r="E631" i="7"/>
  <c r="F630" i="7"/>
  <c r="E630" i="7"/>
  <c r="F629" i="7"/>
  <c r="E629" i="7"/>
  <c r="F628" i="7"/>
  <c r="E628" i="7"/>
  <c r="F627" i="7"/>
  <c r="E627" i="7"/>
  <c r="F626" i="7"/>
  <c r="E626" i="7"/>
  <c r="F625" i="7"/>
  <c r="E625" i="7"/>
  <c r="F624" i="7"/>
  <c r="E624" i="7"/>
  <c r="F623" i="7"/>
  <c r="E623" i="7"/>
  <c r="F622" i="7"/>
  <c r="E622" i="7"/>
  <c r="F621" i="7"/>
  <c r="E621" i="7"/>
  <c r="F620" i="7"/>
  <c r="E620" i="7"/>
  <c r="F619" i="7"/>
  <c r="E619" i="7"/>
  <c r="F618" i="7"/>
  <c r="E618" i="7"/>
  <c r="F617" i="7"/>
  <c r="E617" i="7"/>
  <c r="F616" i="7"/>
  <c r="E616" i="7"/>
  <c r="F615" i="7"/>
  <c r="E615" i="7"/>
  <c r="F614" i="7"/>
  <c r="E614" i="7"/>
  <c r="F613" i="7"/>
  <c r="E613" i="7"/>
  <c r="F612" i="7"/>
  <c r="E612" i="7"/>
  <c r="F611" i="7"/>
  <c r="E611" i="7"/>
  <c r="F610" i="7"/>
  <c r="E610" i="7"/>
  <c r="F609" i="7"/>
  <c r="E609" i="7"/>
  <c r="F608" i="7"/>
  <c r="E608" i="7"/>
  <c r="F607" i="7"/>
  <c r="E607" i="7"/>
  <c r="F606" i="7"/>
  <c r="E606" i="7"/>
  <c r="F605" i="7"/>
  <c r="E605" i="7"/>
  <c r="F604" i="7"/>
  <c r="E604" i="7"/>
  <c r="F603" i="7"/>
  <c r="E603" i="7"/>
  <c r="F602" i="7"/>
  <c r="E602" i="7"/>
  <c r="F601" i="7"/>
  <c r="E601" i="7"/>
  <c r="F600" i="7"/>
  <c r="E600" i="7"/>
  <c r="F599" i="7"/>
  <c r="E599" i="7"/>
  <c r="F598" i="7"/>
  <c r="E598" i="7"/>
  <c r="F597" i="7"/>
  <c r="E597" i="7"/>
  <c r="F596" i="7"/>
  <c r="E596" i="7"/>
  <c r="F595" i="7"/>
  <c r="E595" i="7"/>
  <c r="F594" i="7"/>
  <c r="E594" i="7"/>
  <c r="F593" i="7"/>
  <c r="E593" i="7"/>
  <c r="F592" i="7"/>
  <c r="E592" i="7"/>
  <c r="F591" i="7"/>
  <c r="E591" i="7"/>
  <c r="F590" i="7"/>
  <c r="E590" i="7"/>
  <c r="F589" i="7"/>
  <c r="E589" i="7"/>
  <c r="F588" i="7"/>
  <c r="E588" i="7"/>
  <c r="F587" i="7"/>
  <c r="E587" i="7"/>
  <c r="F586" i="7"/>
  <c r="E586" i="7"/>
  <c r="F585" i="7"/>
  <c r="E585" i="7"/>
  <c r="F584" i="7"/>
  <c r="E584" i="7"/>
  <c r="F583" i="7"/>
  <c r="E583" i="7"/>
  <c r="F582" i="7"/>
  <c r="E582" i="7"/>
  <c r="F581" i="7"/>
  <c r="E581" i="7"/>
  <c r="F580" i="7"/>
  <c r="E580" i="7"/>
  <c r="F579" i="7"/>
  <c r="E579" i="7"/>
  <c r="F578" i="7"/>
  <c r="E578" i="7"/>
  <c r="F577" i="7"/>
  <c r="E577" i="7"/>
  <c r="F576" i="7"/>
  <c r="E576" i="7"/>
  <c r="F575" i="7"/>
  <c r="E575" i="7"/>
  <c r="F574" i="7"/>
  <c r="E574" i="7"/>
  <c r="F573" i="7"/>
  <c r="E573" i="7"/>
  <c r="F572" i="7"/>
  <c r="E572" i="7"/>
  <c r="F571" i="7"/>
  <c r="E571" i="7"/>
  <c r="F570" i="7"/>
  <c r="E570" i="7"/>
  <c r="F569" i="7"/>
  <c r="E569" i="7"/>
  <c r="F568" i="7"/>
  <c r="E568" i="7"/>
  <c r="F567" i="7"/>
  <c r="E567" i="7"/>
  <c r="F566" i="7"/>
  <c r="E566" i="7"/>
  <c r="F565" i="7"/>
  <c r="E565" i="7"/>
  <c r="F564" i="7"/>
  <c r="E564" i="7"/>
  <c r="F563" i="7"/>
  <c r="E563" i="7"/>
  <c r="F562" i="7"/>
  <c r="E562" i="7"/>
  <c r="F561" i="7"/>
  <c r="E561" i="7"/>
  <c r="F560" i="7"/>
  <c r="E560" i="7"/>
  <c r="F559" i="7"/>
  <c r="E559" i="7"/>
  <c r="F558" i="7"/>
  <c r="E558" i="7"/>
  <c r="F557" i="7"/>
  <c r="E557" i="7"/>
  <c r="F556" i="7"/>
  <c r="E556" i="7"/>
  <c r="F555" i="7"/>
  <c r="E555" i="7"/>
  <c r="F554" i="7"/>
  <c r="E554" i="7"/>
  <c r="F553" i="7"/>
  <c r="E553" i="7"/>
  <c r="F552" i="7"/>
  <c r="E552" i="7"/>
  <c r="F551" i="7"/>
  <c r="E551" i="7"/>
  <c r="F550" i="7"/>
  <c r="E550" i="7"/>
  <c r="F549" i="7"/>
  <c r="E549" i="7"/>
  <c r="F548" i="7"/>
  <c r="E548" i="7"/>
  <c r="F547" i="7"/>
  <c r="E547" i="7"/>
  <c r="F546" i="7"/>
  <c r="E546" i="7"/>
  <c r="F545" i="7"/>
  <c r="E545" i="7"/>
  <c r="F544" i="7"/>
  <c r="E544" i="7"/>
  <c r="F543" i="7"/>
  <c r="E543" i="7"/>
  <c r="F542" i="7"/>
  <c r="E542" i="7"/>
  <c r="F541" i="7"/>
  <c r="E541" i="7"/>
  <c r="F540" i="7"/>
  <c r="E540" i="7"/>
  <c r="F539" i="7"/>
  <c r="E539" i="7"/>
  <c r="F538" i="7"/>
  <c r="E538" i="7"/>
  <c r="F537" i="7"/>
  <c r="E537" i="7"/>
  <c r="F536" i="7"/>
  <c r="E536" i="7"/>
  <c r="F535" i="7"/>
  <c r="E535" i="7"/>
  <c r="F534" i="7"/>
  <c r="E534" i="7"/>
  <c r="F533" i="7"/>
  <c r="E533" i="7"/>
  <c r="F532" i="7"/>
  <c r="E532" i="7"/>
  <c r="F531" i="7"/>
  <c r="E531" i="7"/>
  <c r="F530" i="7"/>
  <c r="E530" i="7"/>
  <c r="F529" i="7"/>
  <c r="E529" i="7"/>
  <c r="F528" i="7"/>
  <c r="E528" i="7"/>
  <c r="F527" i="7"/>
  <c r="E527" i="7"/>
  <c r="F526" i="7"/>
  <c r="E526" i="7"/>
  <c r="F525" i="7"/>
  <c r="E525" i="7"/>
  <c r="F524" i="7"/>
  <c r="E524" i="7"/>
  <c r="F523" i="7"/>
  <c r="E523" i="7"/>
  <c r="F522" i="7"/>
  <c r="E522" i="7"/>
  <c r="F521" i="7"/>
  <c r="E521" i="7"/>
  <c r="F520" i="7"/>
  <c r="E520" i="7"/>
  <c r="F519" i="7"/>
  <c r="E519" i="7"/>
  <c r="F518" i="7"/>
  <c r="E518" i="7"/>
  <c r="F517" i="7"/>
  <c r="E517" i="7"/>
  <c r="F516" i="7"/>
  <c r="E516" i="7"/>
  <c r="F515" i="7"/>
  <c r="E515" i="7"/>
  <c r="F514" i="7"/>
  <c r="E514" i="7"/>
  <c r="F513" i="7"/>
  <c r="E513" i="7"/>
  <c r="F512" i="7"/>
  <c r="E512" i="7"/>
  <c r="F511" i="7"/>
  <c r="E511" i="7"/>
  <c r="F510" i="7"/>
  <c r="E510" i="7"/>
  <c r="F509" i="7"/>
  <c r="E509" i="7"/>
  <c r="F508" i="7"/>
  <c r="E508" i="7"/>
  <c r="F507" i="7"/>
  <c r="E507" i="7"/>
  <c r="F506" i="7"/>
  <c r="E506" i="7"/>
  <c r="F505" i="7"/>
  <c r="E505" i="7"/>
  <c r="F504" i="7"/>
  <c r="E504" i="7"/>
  <c r="F503" i="7"/>
  <c r="E503" i="7"/>
  <c r="F502" i="7"/>
  <c r="E502" i="7"/>
  <c r="F501" i="7"/>
  <c r="E501" i="7"/>
  <c r="F500" i="7"/>
  <c r="E500" i="7"/>
  <c r="F499" i="7"/>
  <c r="E499" i="7"/>
  <c r="F498" i="7"/>
  <c r="E498" i="7"/>
  <c r="F497" i="7"/>
  <c r="E497" i="7"/>
  <c r="F496" i="7"/>
  <c r="E496" i="7"/>
  <c r="F495" i="7"/>
  <c r="E495" i="7"/>
  <c r="F494" i="7"/>
  <c r="E494" i="7"/>
  <c r="F493" i="7"/>
  <c r="E493" i="7"/>
  <c r="F492" i="7"/>
  <c r="E492" i="7"/>
  <c r="F491" i="7"/>
  <c r="E491" i="7"/>
  <c r="F490" i="7"/>
  <c r="E490" i="7"/>
  <c r="F489" i="7"/>
  <c r="E489" i="7"/>
  <c r="F488" i="7"/>
  <c r="E488" i="7"/>
  <c r="F487" i="7"/>
  <c r="E487" i="7"/>
  <c r="F486" i="7"/>
  <c r="E486" i="7"/>
  <c r="F485" i="7"/>
  <c r="E485" i="7"/>
  <c r="F484" i="7"/>
  <c r="E484" i="7"/>
  <c r="F483" i="7"/>
  <c r="E483" i="7"/>
  <c r="F482" i="7"/>
  <c r="E482" i="7"/>
  <c r="F481" i="7"/>
  <c r="E481" i="7"/>
  <c r="F480" i="7"/>
  <c r="E480" i="7"/>
  <c r="F479" i="7"/>
  <c r="E479" i="7"/>
  <c r="F478" i="7"/>
  <c r="E478" i="7"/>
  <c r="F477" i="7"/>
  <c r="E477" i="7"/>
  <c r="F476" i="7"/>
  <c r="E476" i="7"/>
  <c r="F475" i="7"/>
  <c r="E475" i="7"/>
  <c r="F474" i="7"/>
  <c r="E474" i="7"/>
  <c r="F473" i="7"/>
  <c r="E473" i="7"/>
  <c r="F472" i="7"/>
  <c r="E472" i="7"/>
  <c r="F471" i="7"/>
  <c r="E471" i="7"/>
  <c r="F470" i="7"/>
  <c r="E470" i="7"/>
  <c r="F469" i="7"/>
  <c r="E469" i="7"/>
  <c r="F468" i="7"/>
  <c r="E468" i="7"/>
  <c r="F467" i="7"/>
  <c r="E467" i="7"/>
  <c r="F466" i="7"/>
  <c r="E466" i="7"/>
  <c r="F465" i="7"/>
  <c r="E465" i="7"/>
  <c r="F464" i="7"/>
  <c r="E464" i="7"/>
  <c r="F463" i="7"/>
  <c r="E463" i="7"/>
  <c r="F462" i="7"/>
  <c r="E462" i="7"/>
  <c r="F461" i="7"/>
  <c r="E461" i="7"/>
  <c r="F460" i="7"/>
  <c r="E460" i="7"/>
  <c r="F459" i="7"/>
  <c r="E459" i="7"/>
  <c r="F458" i="7"/>
  <c r="E458" i="7"/>
  <c r="F457" i="7"/>
  <c r="E457" i="7"/>
  <c r="F456" i="7"/>
  <c r="E456" i="7"/>
  <c r="F455" i="7"/>
  <c r="E455" i="7"/>
  <c r="F454" i="7"/>
  <c r="E454" i="7"/>
  <c r="F453" i="7"/>
  <c r="E453" i="7"/>
  <c r="F452" i="7"/>
  <c r="E452" i="7"/>
  <c r="F451" i="7"/>
  <c r="E451" i="7"/>
  <c r="F450" i="7"/>
  <c r="E450" i="7"/>
  <c r="F449" i="7"/>
  <c r="E449" i="7"/>
  <c r="F448" i="7"/>
  <c r="E448" i="7"/>
  <c r="F447" i="7"/>
  <c r="E447" i="7"/>
  <c r="F446" i="7"/>
  <c r="E446" i="7"/>
  <c r="F445" i="7"/>
  <c r="E445" i="7"/>
  <c r="F444" i="7"/>
  <c r="E444" i="7"/>
  <c r="F443" i="7"/>
  <c r="E443" i="7"/>
  <c r="F442" i="7"/>
  <c r="E442" i="7"/>
  <c r="F441" i="7"/>
  <c r="E441" i="7"/>
  <c r="F440" i="7"/>
  <c r="E440" i="7"/>
  <c r="F439" i="7"/>
  <c r="E439" i="7"/>
  <c r="F438" i="7"/>
  <c r="E438" i="7"/>
  <c r="F437" i="7"/>
  <c r="E437" i="7"/>
  <c r="F436" i="7"/>
  <c r="E436" i="7"/>
  <c r="F435" i="7"/>
  <c r="E435" i="7"/>
  <c r="F434" i="7"/>
  <c r="E434" i="7"/>
  <c r="F433" i="7"/>
  <c r="E433" i="7"/>
  <c r="F432" i="7"/>
  <c r="E432" i="7"/>
  <c r="F431" i="7"/>
  <c r="E431" i="7"/>
  <c r="F430" i="7"/>
  <c r="E430" i="7"/>
  <c r="F429" i="7"/>
  <c r="E429" i="7"/>
  <c r="F428" i="7"/>
  <c r="E428" i="7"/>
  <c r="F427" i="7"/>
  <c r="E427" i="7"/>
  <c r="F426" i="7"/>
  <c r="E426" i="7"/>
  <c r="F425" i="7"/>
  <c r="E425" i="7"/>
  <c r="F424" i="7"/>
  <c r="E424" i="7"/>
  <c r="F423" i="7"/>
  <c r="E423" i="7"/>
  <c r="F422" i="7"/>
  <c r="E422" i="7"/>
  <c r="F421" i="7"/>
  <c r="E421" i="7"/>
  <c r="F420" i="7"/>
  <c r="E420" i="7"/>
  <c r="F419" i="7"/>
  <c r="E419" i="7"/>
  <c r="F418" i="7"/>
  <c r="E418" i="7"/>
  <c r="F417" i="7"/>
  <c r="E417" i="7"/>
  <c r="F416" i="7"/>
  <c r="E416" i="7"/>
  <c r="F415" i="7"/>
  <c r="E415" i="7"/>
  <c r="F414" i="7"/>
  <c r="E414" i="7"/>
  <c r="F413" i="7"/>
  <c r="E413" i="7"/>
  <c r="F412" i="7"/>
  <c r="E412" i="7"/>
  <c r="F411" i="7"/>
  <c r="E411" i="7"/>
  <c r="F410" i="7"/>
  <c r="E410" i="7"/>
  <c r="F409" i="7"/>
  <c r="E409" i="7"/>
  <c r="F408" i="7"/>
  <c r="E408" i="7"/>
  <c r="F407" i="7"/>
  <c r="E407" i="7"/>
  <c r="F406" i="7"/>
  <c r="E406" i="7"/>
  <c r="F405" i="7"/>
  <c r="E405" i="7"/>
  <c r="F404" i="7"/>
  <c r="E404" i="7"/>
  <c r="F403" i="7"/>
  <c r="E403" i="7"/>
  <c r="F402" i="7"/>
  <c r="E402" i="7"/>
  <c r="F401" i="7"/>
  <c r="E401" i="7"/>
  <c r="F400" i="7"/>
  <c r="E400" i="7"/>
  <c r="F399" i="7"/>
  <c r="E399" i="7"/>
  <c r="F398" i="7"/>
  <c r="E398" i="7"/>
  <c r="F397" i="7"/>
  <c r="E397" i="7"/>
  <c r="F396" i="7"/>
  <c r="E396" i="7"/>
  <c r="F395" i="7"/>
  <c r="E395" i="7"/>
  <c r="F394" i="7"/>
  <c r="E394" i="7"/>
  <c r="F393" i="7"/>
  <c r="E393" i="7"/>
  <c r="F392" i="7"/>
  <c r="E392" i="7"/>
  <c r="F391" i="7"/>
  <c r="E391" i="7"/>
  <c r="F390" i="7"/>
  <c r="E390" i="7"/>
  <c r="F389" i="7"/>
  <c r="E389" i="7"/>
  <c r="F388" i="7"/>
  <c r="E388" i="7"/>
  <c r="F387" i="7"/>
  <c r="E387" i="7"/>
  <c r="F386" i="7"/>
  <c r="E386" i="7"/>
  <c r="F385" i="7"/>
  <c r="E385" i="7"/>
  <c r="F384" i="7"/>
  <c r="E384" i="7"/>
  <c r="F383" i="7"/>
  <c r="E383" i="7"/>
  <c r="F382" i="7"/>
  <c r="E382" i="7"/>
  <c r="F381" i="7"/>
  <c r="E381" i="7"/>
  <c r="F380" i="7"/>
  <c r="E380" i="7"/>
  <c r="F379" i="7"/>
  <c r="E379" i="7"/>
  <c r="F378" i="7"/>
  <c r="E378" i="7"/>
  <c r="F377" i="7"/>
  <c r="E377" i="7"/>
  <c r="F376" i="7"/>
  <c r="E376" i="7"/>
  <c r="F375" i="7"/>
  <c r="E375" i="7"/>
  <c r="F374" i="7"/>
  <c r="E374" i="7"/>
  <c r="F373" i="7"/>
  <c r="E373" i="7"/>
  <c r="F372" i="7"/>
  <c r="E372" i="7"/>
  <c r="F371" i="7"/>
  <c r="E371" i="7"/>
  <c r="F370" i="7"/>
  <c r="E370" i="7"/>
  <c r="F369" i="7"/>
  <c r="E369" i="7"/>
  <c r="F368" i="7"/>
  <c r="E368" i="7"/>
  <c r="F367" i="7"/>
  <c r="E367" i="7"/>
  <c r="F366" i="7"/>
  <c r="E366" i="7"/>
  <c r="F365" i="7"/>
  <c r="E365" i="7"/>
  <c r="F364" i="7"/>
  <c r="E364" i="7"/>
  <c r="F363" i="7"/>
  <c r="E363" i="7"/>
  <c r="F362" i="7"/>
  <c r="E362" i="7"/>
  <c r="F361" i="7"/>
  <c r="E361" i="7"/>
  <c r="F360" i="7"/>
  <c r="E360" i="7"/>
  <c r="F359" i="7"/>
  <c r="E359" i="7"/>
  <c r="F358" i="7"/>
  <c r="E358" i="7"/>
  <c r="F357" i="7"/>
  <c r="E357" i="7"/>
  <c r="F356" i="7"/>
  <c r="E356" i="7"/>
  <c r="F355" i="7"/>
  <c r="E355" i="7"/>
  <c r="F354" i="7"/>
  <c r="E354" i="7"/>
  <c r="F353" i="7"/>
  <c r="E353" i="7"/>
  <c r="F352" i="7"/>
  <c r="E352" i="7"/>
  <c r="F351" i="7"/>
  <c r="E351" i="7"/>
  <c r="F350" i="7"/>
  <c r="E350" i="7"/>
  <c r="F349" i="7"/>
  <c r="E349" i="7"/>
  <c r="F348" i="7"/>
  <c r="E348" i="7"/>
  <c r="F347" i="7"/>
  <c r="E347" i="7"/>
  <c r="F346" i="7"/>
  <c r="E346" i="7"/>
  <c r="F345" i="7"/>
  <c r="E345" i="7"/>
  <c r="F344" i="7"/>
  <c r="E344" i="7"/>
  <c r="F343" i="7"/>
  <c r="E343" i="7"/>
  <c r="F342" i="7"/>
  <c r="E342" i="7"/>
  <c r="F341" i="7"/>
  <c r="E341" i="7"/>
  <c r="F340" i="7"/>
  <c r="E340" i="7"/>
  <c r="F339" i="7"/>
  <c r="E339" i="7"/>
  <c r="F338" i="7"/>
  <c r="E338" i="7"/>
  <c r="F337" i="7"/>
  <c r="E337" i="7"/>
  <c r="F336" i="7"/>
  <c r="E336" i="7"/>
  <c r="F335" i="7"/>
  <c r="E335" i="7"/>
  <c r="F334" i="7"/>
  <c r="E334" i="7"/>
  <c r="F333" i="7"/>
  <c r="E333" i="7"/>
  <c r="F332" i="7"/>
  <c r="E332" i="7"/>
  <c r="F331" i="7"/>
  <c r="E331" i="7"/>
  <c r="F330" i="7"/>
  <c r="E330" i="7"/>
  <c r="F329" i="7"/>
  <c r="E329" i="7"/>
  <c r="F328" i="7"/>
  <c r="E328" i="7"/>
  <c r="F327" i="7"/>
  <c r="E327" i="7"/>
  <c r="F326" i="7"/>
  <c r="E326" i="7"/>
  <c r="F325" i="7"/>
  <c r="E325" i="7"/>
  <c r="F324" i="7"/>
  <c r="E324" i="7"/>
  <c r="F323" i="7"/>
  <c r="E323" i="7"/>
  <c r="F322" i="7"/>
  <c r="E322" i="7"/>
  <c r="F321" i="7"/>
  <c r="E321" i="7"/>
  <c r="F320" i="7"/>
  <c r="E320" i="7"/>
  <c r="F319" i="7"/>
  <c r="E319" i="7"/>
  <c r="F318" i="7"/>
  <c r="E318" i="7"/>
  <c r="F317" i="7"/>
  <c r="E317" i="7"/>
  <c r="F316" i="7"/>
  <c r="E316" i="7"/>
  <c r="F315" i="7"/>
  <c r="E315" i="7"/>
  <c r="F314" i="7"/>
  <c r="E314" i="7"/>
  <c r="F313" i="7"/>
  <c r="E313" i="7"/>
  <c r="F312" i="7"/>
  <c r="E312" i="7"/>
  <c r="F311" i="7"/>
  <c r="E311" i="7"/>
  <c r="F310" i="7"/>
  <c r="E310" i="7"/>
  <c r="F309" i="7"/>
  <c r="E309" i="7"/>
  <c r="F308" i="7"/>
  <c r="E308" i="7"/>
  <c r="F307" i="7"/>
  <c r="E307" i="7"/>
  <c r="F306" i="7"/>
  <c r="E306" i="7"/>
  <c r="F305" i="7"/>
  <c r="E305" i="7"/>
  <c r="F304" i="7"/>
  <c r="E304" i="7"/>
  <c r="F303" i="7"/>
  <c r="E303" i="7"/>
  <c r="F302" i="7"/>
  <c r="E302" i="7"/>
  <c r="F301" i="7"/>
  <c r="E301" i="7"/>
  <c r="F300" i="7"/>
  <c r="E300" i="7"/>
  <c r="F299" i="7"/>
  <c r="E299" i="7"/>
  <c r="F298" i="7"/>
  <c r="E298" i="7"/>
  <c r="F297" i="7"/>
  <c r="E297" i="7"/>
  <c r="F296" i="7"/>
  <c r="E296" i="7"/>
  <c r="F295" i="7"/>
  <c r="E295" i="7"/>
  <c r="F294" i="7"/>
  <c r="E294" i="7"/>
  <c r="F293" i="7"/>
  <c r="E293" i="7"/>
  <c r="F292" i="7"/>
  <c r="E292" i="7"/>
  <c r="F291" i="7"/>
  <c r="E291" i="7"/>
  <c r="F290" i="7"/>
  <c r="E290" i="7"/>
  <c r="F289" i="7"/>
  <c r="E289" i="7"/>
  <c r="F288" i="7"/>
  <c r="E288" i="7"/>
  <c r="F287" i="7"/>
  <c r="E287" i="7"/>
  <c r="F286" i="7"/>
  <c r="E286" i="7"/>
  <c r="F285" i="7"/>
  <c r="E285" i="7"/>
  <c r="F284" i="7"/>
  <c r="E284" i="7"/>
  <c r="F283" i="7"/>
  <c r="E283" i="7"/>
  <c r="F282" i="7"/>
  <c r="E282" i="7"/>
  <c r="F281" i="7"/>
  <c r="E281" i="7"/>
  <c r="F280" i="7"/>
  <c r="E280" i="7"/>
  <c r="F279" i="7"/>
  <c r="E279" i="7"/>
  <c r="F278" i="7"/>
  <c r="E278" i="7"/>
  <c r="F277" i="7"/>
  <c r="E277" i="7"/>
  <c r="F276" i="7"/>
  <c r="E276" i="7"/>
  <c r="F275" i="7"/>
  <c r="E275" i="7"/>
  <c r="F274" i="7"/>
  <c r="E274" i="7"/>
  <c r="F273" i="7"/>
  <c r="E273" i="7"/>
  <c r="F272" i="7"/>
  <c r="E272" i="7"/>
  <c r="F271" i="7"/>
  <c r="E271" i="7"/>
  <c r="F270" i="7"/>
  <c r="E270" i="7"/>
  <c r="F269" i="7"/>
  <c r="E269" i="7"/>
  <c r="F268" i="7"/>
  <c r="E268" i="7"/>
  <c r="F267" i="7"/>
  <c r="E267" i="7"/>
  <c r="F266" i="7"/>
  <c r="E266" i="7"/>
  <c r="F265" i="7"/>
  <c r="E265" i="7"/>
  <c r="F264" i="7"/>
  <c r="E264" i="7"/>
  <c r="F263" i="7"/>
  <c r="E263" i="7"/>
  <c r="F262" i="7"/>
  <c r="E262" i="7"/>
  <c r="F261" i="7"/>
  <c r="E261" i="7"/>
  <c r="F260" i="7"/>
  <c r="E260" i="7"/>
  <c r="F259" i="7"/>
  <c r="E259" i="7"/>
  <c r="F258" i="7"/>
  <c r="E258" i="7"/>
  <c r="F257" i="7"/>
  <c r="E257" i="7"/>
  <c r="F256" i="7"/>
  <c r="E256" i="7"/>
  <c r="F255" i="7"/>
  <c r="E255" i="7"/>
  <c r="F254" i="7"/>
  <c r="E254" i="7"/>
  <c r="F253" i="7"/>
  <c r="E253" i="7"/>
  <c r="F252" i="7"/>
  <c r="E252" i="7"/>
  <c r="F251" i="7"/>
  <c r="E251" i="7"/>
  <c r="F250" i="7"/>
  <c r="E250" i="7"/>
  <c r="F249" i="7"/>
  <c r="E249" i="7"/>
  <c r="F248" i="7"/>
  <c r="E248" i="7"/>
  <c r="F247" i="7"/>
  <c r="E247" i="7"/>
  <c r="F246" i="7"/>
  <c r="E246" i="7"/>
  <c r="F245" i="7"/>
  <c r="E245" i="7"/>
  <c r="F244" i="7"/>
  <c r="E244" i="7"/>
  <c r="F243" i="7"/>
  <c r="E243" i="7"/>
  <c r="F242" i="7"/>
  <c r="E242" i="7"/>
  <c r="F241" i="7"/>
  <c r="E241" i="7"/>
  <c r="F240" i="7"/>
  <c r="E240" i="7"/>
  <c r="F239" i="7"/>
  <c r="E239" i="7"/>
  <c r="F238" i="7"/>
  <c r="E238" i="7"/>
  <c r="F237" i="7"/>
  <c r="E237" i="7"/>
  <c r="F236" i="7"/>
  <c r="E236" i="7"/>
  <c r="F235" i="7"/>
  <c r="E235" i="7"/>
  <c r="F234" i="7"/>
  <c r="E234" i="7"/>
  <c r="F233" i="7"/>
  <c r="E233" i="7"/>
  <c r="F232" i="7"/>
  <c r="E232" i="7"/>
  <c r="F231" i="7"/>
  <c r="E231" i="7"/>
  <c r="F230" i="7"/>
  <c r="E230" i="7"/>
  <c r="F229" i="7"/>
  <c r="E229" i="7"/>
  <c r="F228" i="7"/>
  <c r="E228" i="7"/>
  <c r="F227" i="7"/>
  <c r="E227" i="7"/>
  <c r="F226" i="7"/>
  <c r="E226" i="7"/>
  <c r="F225" i="7"/>
  <c r="E225" i="7"/>
  <c r="F224" i="7"/>
  <c r="E224" i="7"/>
  <c r="F223" i="7"/>
  <c r="E223" i="7"/>
  <c r="F222" i="7"/>
  <c r="E222" i="7"/>
  <c r="F221" i="7"/>
  <c r="E221" i="7"/>
  <c r="F220" i="7"/>
  <c r="E220" i="7"/>
  <c r="F219" i="7"/>
  <c r="E219" i="7"/>
  <c r="F218" i="7"/>
  <c r="E218" i="7"/>
  <c r="F217" i="7"/>
  <c r="E217" i="7"/>
  <c r="F216" i="7"/>
  <c r="E216" i="7"/>
  <c r="F215" i="7"/>
  <c r="E215" i="7"/>
  <c r="F214" i="7"/>
  <c r="E214" i="7"/>
  <c r="F213" i="7"/>
  <c r="E213" i="7"/>
  <c r="F212" i="7"/>
  <c r="E212" i="7"/>
  <c r="F211" i="7"/>
  <c r="E211" i="7"/>
  <c r="F210" i="7"/>
  <c r="E210" i="7"/>
  <c r="F209" i="7"/>
  <c r="E209" i="7"/>
  <c r="F208" i="7"/>
  <c r="E208" i="7"/>
  <c r="F207" i="7"/>
  <c r="E207" i="7"/>
  <c r="F206" i="7"/>
  <c r="E206" i="7"/>
  <c r="F205" i="7"/>
  <c r="E205" i="7"/>
  <c r="F204" i="7"/>
  <c r="E204" i="7"/>
  <c r="F203" i="7"/>
  <c r="E203" i="7"/>
  <c r="F202" i="7"/>
  <c r="E202" i="7"/>
  <c r="F201" i="7"/>
  <c r="E201" i="7"/>
  <c r="F200" i="7"/>
  <c r="E200" i="7"/>
  <c r="F199" i="7"/>
  <c r="E199" i="7"/>
  <c r="F198" i="7"/>
  <c r="E198" i="7"/>
  <c r="F197" i="7"/>
  <c r="E197" i="7"/>
  <c r="F196" i="7"/>
  <c r="E196" i="7"/>
  <c r="F195" i="7"/>
  <c r="E195" i="7"/>
  <c r="F194" i="7"/>
  <c r="E194" i="7"/>
  <c r="F193" i="7"/>
  <c r="E193" i="7"/>
  <c r="F192" i="7"/>
  <c r="E192" i="7"/>
  <c r="F191" i="7"/>
  <c r="E191" i="7"/>
  <c r="F190" i="7"/>
  <c r="E190" i="7"/>
  <c r="F189" i="7"/>
  <c r="E189" i="7"/>
  <c r="F188" i="7"/>
  <c r="E188" i="7"/>
  <c r="F187" i="7"/>
  <c r="E187" i="7"/>
  <c r="F186" i="7"/>
  <c r="E186" i="7"/>
  <c r="F185" i="7"/>
  <c r="E185" i="7"/>
  <c r="F184" i="7"/>
  <c r="E184" i="7"/>
  <c r="F183" i="7"/>
  <c r="E183" i="7"/>
  <c r="F182" i="7"/>
  <c r="E182" i="7"/>
  <c r="F181" i="7"/>
  <c r="E181" i="7"/>
  <c r="F180" i="7"/>
  <c r="E180" i="7"/>
  <c r="F179" i="7"/>
  <c r="E179" i="7"/>
  <c r="F178" i="7"/>
  <c r="E178" i="7"/>
  <c r="F177" i="7"/>
  <c r="E177" i="7"/>
  <c r="F176" i="7"/>
  <c r="E176" i="7"/>
  <c r="F175" i="7"/>
  <c r="E175" i="7"/>
  <c r="F174" i="7"/>
  <c r="E174" i="7"/>
  <c r="F173" i="7"/>
  <c r="E173" i="7"/>
  <c r="F172" i="7"/>
  <c r="E172" i="7"/>
  <c r="F171" i="7"/>
  <c r="E171" i="7"/>
  <c r="F170" i="7"/>
  <c r="E170" i="7"/>
  <c r="F169" i="7"/>
  <c r="E169" i="7"/>
  <c r="F168" i="7"/>
  <c r="E168" i="7"/>
  <c r="F167" i="7"/>
  <c r="E167" i="7"/>
  <c r="F166" i="7"/>
  <c r="E166" i="7"/>
  <c r="F165" i="7"/>
  <c r="E165" i="7"/>
  <c r="F164" i="7"/>
  <c r="E164" i="7"/>
  <c r="F163" i="7"/>
  <c r="E163" i="7"/>
  <c r="F162" i="7"/>
  <c r="E162" i="7"/>
  <c r="F161" i="7"/>
  <c r="E161" i="7"/>
  <c r="F160" i="7"/>
  <c r="E160" i="7"/>
  <c r="F159" i="7"/>
  <c r="E159" i="7"/>
  <c r="F158" i="7"/>
  <c r="E158" i="7"/>
  <c r="F157" i="7"/>
  <c r="E157" i="7"/>
  <c r="F156" i="7"/>
  <c r="E156" i="7"/>
  <c r="F155" i="7"/>
  <c r="E155" i="7"/>
  <c r="F154" i="7"/>
  <c r="E154" i="7"/>
  <c r="F153" i="7"/>
  <c r="E153" i="7"/>
  <c r="F152" i="7"/>
  <c r="E152" i="7"/>
  <c r="F151" i="7"/>
  <c r="E151" i="7"/>
  <c r="F150" i="7"/>
  <c r="E150" i="7"/>
  <c r="F149" i="7"/>
  <c r="E149" i="7"/>
  <c r="F148" i="7"/>
  <c r="E148" i="7"/>
  <c r="F147" i="7"/>
  <c r="E147" i="7"/>
  <c r="F146" i="7"/>
  <c r="E146" i="7"/>
  <c r="F145" i="7"/>
  <c r="E145" i="7"/>
  <c r="F144" i="7"/>
  <c r="E144" i="7"/>
  <c r="F143" i="7"/>
  <c r="E143" i="7"/>
  <c r="F142" i="7"/>
  <c r="E142" i="7"/>
  <c r="F141" i="7"/>
  <c r="E141" i="7"/>
  <c r="F140" i="7"/>
  <c r="E140" i="7"/>
  <c r="F139" i="7"/>
  <c r="E139" i="7"/>
  <c r="F138" i="7"/>
  <c r="E138" i="7"/>
  <c r="F137" i="7"/>
  <c r="E137" i="7"/>
  <c r="F136" i="7"/>
  <c r="E136" i="7"/>
  <c r="F135" i="7"/>
  <c r="E135" i="7"/>
  <c r="F134" i="7"/>
  <c r="E134" i="7"/>
  <c r="F133" i="7"/>
  <c r="E133" i="7"/>
  <c r="F132" i="7"/>
  <c r="E132" i="7"/>
  <c r="F131" i="7"/>
  <c r="E131" i="7"/>
  <c r="F130" i="7"/>
  <c r="E130" i="7"/>
  <c r="F129" i="7"/>
  <c r="E129" i="7"/>
  <c r="F128" i="7"/>
  <c r="E128" i="7"/>
  <c r="F127" i="7"/>
  <c r="E127" i="7"/>
  <c r="F126" i="7"/>
  <c r="E126" i="7"/>
  <c r="F125" i="7"/>
  <c r="E125" i="7"/>
  <c r="F124" i="7"/>
  <c r="E124" i="7"/>
  <c r="F123" i="7"/>
  <c r="E123" i="7"/>
  <c r="F122" i="7"/>
  <c r="E122" i="7"/>
  <c r="F121" i="7"/>
  <c r="E121" i="7"/>
  <c r="F120" i="7"/>
  <c r="E120" i="7"/>
  <c r="F119" i="7"/>
  <c r="E119" i="7"/>
  <c r="F118" i="7"/>
  <c r="E118" i="7"/>
  <c r="F117" i="7"/>
  <c r="E117" i="7"/>
  <c r="F116" i="7"/>
  <c r="E116" i="7"/>
  <c r="F115" i="7"/>
  <c r="E115" i="7"/>
  <c r="F114" i="7"/>
  <c r="E114" i="7"/>
  <c r="F113" i="7"/>
  <c r="E113" i="7"/>
  <c r="F112" i="7"/>
  <c r="E112" i="7"/>
  <c r="F111" i="7"/>
  <c r="E111" i="7"/>
  <c r="F110" i="7"/>
  <c r="E110" i="7"/>
  <c r="F109" i="7"/>
  <c r="E109" i="7"/>
  <c r="F108" i="7"/>
  <c r="E108" i="7"/>
  <c r="F107" i="7"/>
  <c r="E107" i="7"/>
  <c r="F106" i="7"/>
  <c r="E106" i="7"/>
  <c r="F105" i="7"/>
  <c r="E105" i="7"/>
  <c r="F104" i="7"/>
  <c r="E104" i="7"/>
  <c r="F103" i="7"/>
  <c r="E103" i="7"/>
  <c r="F102" i="7"/>
  <c r="E102" i="7"/>
  <c r="F101" i="7"/>
  <c r="E101" i="7"/>
  <c r="F100" i="7"/>
  <c r="E100" i="7"/>
  <c r="F99" i="7"/>
  <c r="E99" i="7"/>
  <c r="F98" i="7"/>
  <c r="E98" i="7"/>
  <c r="F97" i="7"/>
  <c r="E97" i="7"/>
  <c r="F96" i="7"/>
  <c r="E96" i="7"/>
  <c r="F95" i="7"/>
  <c r="E95" i="7"/>
  <c r="F94" i="7"/>
  <c r="E94" i="7"/>
  <c r="F93" i="7"/>
  <c r="E93" i="7"/>
  <c r="F92" i="7"/>
  <c r="E92" i="7"/>
  <c r="F91" i="7"/>
  <c r="E91" i="7"/>
  <c r="F90" i="7"/>
  <c r="E90" i="7"/>
  <c r="F89" i="7"/>
  <c r="E89" i="7"/>
  <c r="F88" i="7"/>
  <c r="E88" i="7"/>
  <c r="F87" i="7"/>
  <c r="E87" i="7"/>
  <c r="F86" i="7"/>
  <c r="E86" i="7"/>
  <c r="F85" i="7"/>
  <c r="E85" i="7"/>
  <c r="F84" i="7"/>
  <c r="E84" i="7"/>
  <c r="F83" i="7"/>
  <c r="E83" i="7"/>
  <c r="F82" i="7"/>
  <c r="E82" i="7"/>
  <c r="F81" i="7"/>
  <c r="E81" i="7"/>
  <c r="F80" i="7"/>
  <c r="E80" i="7"/>
  <c r="F79" i="7"/>
  <c r="E79" i="7"/>
  <c r="F78" i="7"/>
  <c r="E78" i="7"/>
  <c r="F77" i="7"/>
  <c r="E77" i="7"/>
  <c r="F76" i="7"/>
  <c r="E76" i="7"/>
  <c r="F75" i="7"/>
  <c r="E75" i="7"/>
  <c r="F74" i="7"/>
  <c r="E74" i="7"/>
  <c r="F73" i="7"/>
  <c r="E73" i="7"/>
  <c r="F72" i="7"/>
  <c r="E72" i="7"/>
  <c r="F71" i="7"/>
  <c r="E71" i="7"/>
  <c r="F70" i="7"/>
  <c r="E70" i="7"/>
  <c r="F69" i="7"/>
  <c r="E69" i="7"/>
  <c r="F68" i="7"/>
  <c r="E68" i="7"/>
  <c r="F67" i="7"/>
  <c r="E67" i="7"/>
  <c r="F66" i="7"/>
  <c r="E66" i="7"/>
  <c r="F65" i="7"/>
  <c r="E65" i="7"/>
  <c r="F64" i="7"/>
  <c r="E64" i="7"/>
  <c r="F63" i="7"/>
  <c r="E63" i="7"/>
  <c r="F62" i="7"/>
  <c r="E62" i="7"/>
  <c r="F61" i="7"/>
  <c r="E61" i="7"/>
  <c r="F60" i="7"/>
  <c r="E60" i="7"/>
  <c r="F59" i="7"/>
  <c r="E59" i="7"/>
  <c r="F58" i="7"/>
  <c r="E58" i="7"/>
  <c r="F57" i="7"/>
  <c r="E57" i="7"/>
  <c r="F56" i="7"/>
  <c r="E56" i="7"/>
  <c r="F55" i="7"/>
  <c r="E55" i="7"/>
  <c r="F54" i="7"/>
  <c r="E54" i="7"/>
  <c r="F53" i="7"/>
  <c r="E53" i="7"/>
  <c r="F52" i="7"/>
  <c r="E52" i="7"/>
  <c r="F51" i="7"/>
  <c r="E51" i="7"/>
  <c r="F50" i="7"/>
  <c r="E50" i="7"/>
  <c r="F49" i="7"/>
  <c r="E49" i="7"/>
  <c r="F48" i="7"/>
  <c r="E48" i="7"/>
  <c r="F47" i="7"/>
  <c r="E47" i="7"/>
  <c r="F46" i="7"/>
  <c r="E46" i="7"/>
  <c r="F45" i="7"/>
  <c r="E45" i="7"/>
  <c r="F44" i="7"/>
  <c r="E44" i="7"/>
  <c r="F43" i="7"/>
  <c r="E43" i="7"/>
  <c r="F42" i="7"/>
  <c r="E42" i="7"/>
  <c r="F41" i="7"/>
  <c r="E41" i="7"/>
  <c r="F40" i="7"/>
  <c r="E40" i="7"/>
  <c r="F39" i="7"/>
  <c r="E39" i="7"/>
  <c r="F38" i="7"/>
  <c r="E38" i="7"/>
  <c r="F37" i="7"/>
  <c r="E37" i="7"/>
  <c r="F36" i="7"/>
  <c r="E36" i="7"/>
  <c r="F35" i="7"/>
  <c r="E35" i="7"/>
  <c r="F34" i="7"/>
  <c r="E34" i="7"/>
  <c r="F33" i="7"/>
  <c r="E33" i="7"/>
  <c r="F32" i="7"/>
  <c r="E32" i="7"/>
  <c r="F31" i="7"/>
  <c r="E31" i="7"/>
  <c r="F30" i="7"/>
  <c r="E30" i="7"/>
  <c r="F29" i="7"/>
  <c r="E29" i="7"/>
  <c r="F28" i="7"/>
  <c r="E28" i="7"/>
  <c r="F27" i="7"/>
  <c r="E27" i="7"/>
  <c r="F26" i="7"/>
  <c r="E26" i="7"/>
  <c r="F25" i="7"/>
  <c r="E25" i="7"/>
  <c r="F24" i="7"/>
  <c r="E24" i="7"/>
  <c r="F23" i="7"/>
  <c r="E23" i="7"/>
  <c r="F22" i="7"/>
  <c r="E22" i="7"/>
  <c r="F21" i="7"/>
  <c r="E21" i="7"/>
  <c r="F20" i="7"/>
  <c r="E20" i="7"/>
  <c r="F19" i="7"/>
  <c r="E19" i="7"/>
  <c r="F18" i="7"/>
  <c r="E18" i="7"/>
  <c r="F17" i="7"/>
  <c r="E17" i="7"/>
  <c r="F16" i="7"/>
  <c r="E16" i="7"/>
  <c r="F15" i="7"/>
  <c r="E15" i="7"/>
  <c r="F14" i="7"/>
  <c r="E14" i="7"/>
  <c r="F13" i="7"/>
  <c r="E13" i="7"/>
  <c r="F12" i="7"/>
  <c r="E12" i="7"/>
  <c r="F11" i="7"/>
  <c r="E11" i="7"/>
  <c r="F10" i="7"/>
  <c r="E10" i="7"/>
  <c r="F9" i="7"/>
  <c r="E9" i="7"/>
  <c r="F8" i="7"/>
  <c r="E8" i="7"/>
  <c r="F7" i="7"/>
  <c r="E7" i="7"/>
  <c r="F6" i="7"/>
  <c r="E6" i="7"/>
  <c r="F5" i="7"/>
  <c r="E5" i="7"/>
  <c r="F4" i="7"/>
  <c r="E4" i="7"/>
  <c r="H3" i="7"/>
  <c r="H5" i="7" s="1"/>
  <c r="B11" i="13" s="1"/>
  <c r="B13" i="13" s="1"/>
  <c r="C25" i="13" s="1"/>
  <c r="G3" i="7"/>
  <c r="F3" i="7"/>
  <c r="E3" i="7"/>
  <c r="C43" i="8" l="1"/>
  <c r="C28" i="12"/>
  <c r="C11" i="12"/>
  <c r="D43" i="8"/>
  <c r="F43" i="8"/>
  <c r="I11" i="14"/>
  <c r="K10" i="14"/>
  <c r="L10" i="14" s="1"/>
  <c r="E8" i="11"/>
  <c r="E7" i="9"/>
  <c r="N11" i="14"/>
  <c r="P10" i="14"/>
  <c r="Q10" i="14" s="1"/>
  <c r="H18" i="8"/>
  <c r="H41" i="8"/>
  <c r="D6" i="9"/>
  <c r="C4" i="12"/>
  <c r="B24" i="12" s="1"/>
  <c r="N7" i="15" s="1"/>
  <c r="H6" i="8"/>
  <c r="H28" i="8"/>
  <c r="F6" i="11"/>
  <c r="D9" i="12"/>
  <c r="P21" i="17"/>
  <c r="P23" i="17"/>
  <c r="L11" i="17"/>
  <c r="C16" i="17" s="1"/>
  <c r="F16" i="17" s="1"/>
  <c r="H16" i="17" s="1"/>
  <c r="J16" i="17" s="1"/>
  <c r="M16" i="17" s="1"/>
  <c r="P20" i="17"/>
  <c r="P25" i="17"/>
  <c r="P22" i="17"/>
  <c r="P29" i="17" s="1"/>
  <c r="L10" i="17"/>
  <c r="B16" i="17" s="1"/>
  <c r="H14" i="8"/>
  <c r="H27" i="8"/>
  <c r="H37" i="8"/>
  <c r="B42" i="8"/>
  <c r="H46" i="8"/>
  <c r="I48" i="8"/>
  <c r="E5" i="10"/>
  <c r="P16" i="14"/>
  <c r="H5" i="8"/>
  <c r="H13" i="8"/>
  <c r="H26" i="8"/>
  <c r="B29" i="8"/>
  <c r="H36" i="8"/>
  <c r="B13" i="15"/>
  <c r="B7" i="13"/>
  <c r="B5" i="13"/>
  <c r="B24" i="13" s="1"/>
  <c r="B4" i="13"/>
  <c r="B17" i="13"/>
  <c r="B18" i="13" s="1"/>
  <c r="Q8" i="14"/>
  <c r="H12" i="8"/>
  <c r="H25" i="8"/>
  <c r="H35" i="8"/>
  <c r="B40" i="8"/>
  <c r="H47" i="8"/>
  <c r="C4" i="10"/>
  <c r="C9" i="10" s="1"/>
  <c r="B6" i="13"/>
  <c r="B25" i="13" s="1"/>
  <c r="D11" i="14"/>
  <c r="F10" i="14"/>
  <c r="G10" i="14" s="1"/>
  <c r="Q21" i="17"/>
  <c r="H4" i="8"/>
  <c r="H11" i="8"/>
  <c r="H21" i="8"/>
  <c r="H34" i="8"/>
  <c r="C11" i="11"/>
  <c r="F16" i="14"/>
  <c r="C11" i="17"/>
  <c r="D5" i="10"/>
  <c r="C6" i="11"/>
  <c r="C10" i="17"/>
  <c r="P24" i="17"/>
  <c r="E43" i="8"/>
  <c r="B5" i="9"/>
  <c r="E4" i="10"/>
  <c r="E9" i="10" s="1"/>
  <c r="F3" i="10"/>
  <c r="B9" i="12"/>
  <c r="C25" i="12"/>
  <c r="B25" i="12"/>
  <c r="N3" i="15" s="1"/>
  <c r="G5" i="17"/>
  <c r="E11" i="12"/>
  <c r="E28" i="12"/>
  <c r="J10" i="17"/>
  <c r="B17" i="17" s="1"/>
  <c r="E17" i="17" s="1"/>
  <c r="Q20" i="17"/>
  <c r="Q25" i="17"/>
  <c r="Q22" i="17"/>
  <c r="J11" i="17"/>
  <c r="C17" i="17" s="1"/>
  <c r="F17" i="17" s="1"/>
  <c r="Q24" i="17"/>
  <c r="H48" i="8"/>
  <c r="F5" i="9"/>
  <c r="F9" i="12"/>
  <c r="L5" i="17"/>
  <c r="D16" i="17" s="1"/>
  <c r="M6" i="17"/>
  <c r="H11" i="17"/>
  <c r="O22" i="17"/>
  <c r="P30" i="17"/>
  <c r="D4" i="9"/>
  <c r="D5" i="9" s="1"/>
  <c r="O25" i="17"/>
  <c r="F5" i="17"/>
  <c r="K5" i="17" s="1"/>
  <c r="D15" i="17" s="1"/>
  <c r="D6" i="17"/>
  <c r="K11" i="17"/>
  <c r="C15" i="17" s="1"/>
  <c r="F15" i="17" s="1"/>
  <c r="H15" i="17" s="1"/>
  <c r="J15" i="17" s="1"/>
  <c r="M15" i="17" s="1"/>
  <c r="O23" i="17"/>
  <c r="N4" i="15" l="1"/>
  <c r="O4" i="15" s="1"/>
  <c r="C4" i="15"/>
  <c r="E15" i="17"/>
  <c r="G15" i="17" s="1"/>
  <c r="I15" i="17" s="1"/>
  <c r="L15" i="17" s="1"/>
  <c r="B18" i="15"/>
  <c r="P31" i="17"/>
  <c r="P34" i="17" s="1"/>
  <c r="B10" i="16"/>
  <c r="F7" i="11"/>
  <c r="C14" i="12"/>
  <c r="C44" i="12"/>
  <c r="C38" i="12"/>
  <c r="C45" i="12" s="1"/>
  <c r="C29" i="12"/>
  <c r="Q29" i="17"/>
  <c r="Q31" i="17" s="1"/>
  <c r="Q34" i="17"/>
  <c r="D11" i="17"/>
  <c r="D10" i="17"/>
  <c r="M10" i="17"/>
  <c r="M11" i="17"/>
  <c r="C5" i="10"/>
  <c r="N12" i="14"/>
  <c r="P11" i="14"/>
  <c r="Q11" i="14" s="1"/>
  <c r="C10" i="10"/>
  <c r="C6" i="9"/>
  <c r="F11" i="12"/>
  <c r="F28" i="12"/>
  <c r="G17" i="17"/>
  <c r="I17" i="17"/>
  <c r="L17" i="17" s="1"/>
  <c r="F5" i="10"/>
  <c r="F4" i="10"/>
  <c r="F9" i="10" s="1"/>
  <c r="C10" i="11"/>
  <c r="C7" i="11"/>
  <c r="I42" i="8"/>
  <c r="H42" i="8"/>
  <c r="I29" i="8"/>
  <c r="H29" i="8"/>
  <c r="E6" i="9"/>
  <c r="E8" i="9" s="1"/>
  <c r="E10" i="10"/>
  <c r="I40" i="8"/>
  <c r="H40" i="8"/>
  <c r="B43" i="8"/>
  <c r="B26" i="13"/>
  <c r="C9" i="15"/>
  <c r="O8" i="15"/>
  <c r="P8" i="15" s="1"/>
  <c r="B11" i="12"/>
  <c r="B28" i="12"/>
  <c r="I12" i="14"/>
  <c r="K11" i="14"/>
  <c r="L11" i="14" s="1"/>
  <c r="E44" i="12"/>
  <c r="H5" i="17"/>
  <c r="M5" i="17" s="1"/>
  <c r="E29" i="12"/>
  <c r="E14" i="12"/>
  <c r="E38" i="12"/>
  <c r="E45" i="12" s="1"/>
  <c r="D28" i="12"/>
  <c r="D11" i="12"/>
  <c r="O29" i="17"/>
  <c r="O31" i="17" s="1"/>
  <c r="O34" i="17" s="1"/>
  <c r="J17" i="17"/>
  <c r="M17" i="17" s="1"/>
  <c r="H17" i="17"/>
  <c r="D12" i="14"/>
  <c r="F11" i="14"/>
  <c r="G11" i="14" s="1"/>
  <c r="E16" i="17"/>
  <c r="G16" i="17" s="1"/>
  <c r="I16" i="17" s="1"/>
  <c r="L16" i="17" s="1"/>
  <c r="D7" i="11"/>
  <c r="D9" i="15" l="1"/>
  <c r="E9" i="15" s="1"/>
  <c r="F9" i="15" s="1"/>
  <c r="G9" i="15" s="1"/>
  <c r="H9" i="15" s="1"/>
  <c r="I9" i="15" s="1"/>
  <c r="J9" i="15" s="1"/>
  <c r="K9" i="15" s="1"/>
  <c r="L9" i="15" s="1"/>
  <c r="C8" i="15"/>
  <c r="D8" i="15" s="1"/>
  <c r="E8" i="15" s="1"/>
  <c r="F8" i="15" s="1"/>
  <c r="G8" i="15" s="1"/>
  <c r="H8" i="15" s="1"/>
  <c r="I8" i="15" s="1"/>
  <c r="J8" i="15" s="1"/>
  <c r="K8" i="15" s="1"/>
  <c r="L8" i="15" s="1"/>
  <c r="N13" i="14"/>
  <c r="P12" i="14"/>
  <c r="Q12" i="14" s="1"/>
  <c r="B3" i="16"/>
  <c r="I13" i="14"/>
  <c r="K12" i="14"/>
  <c r="L12" i="14" s="1"/>
  <c r="D38" i="12"/>
  <c r="D45" i="12" s="1"/>
  <c r="D29" i="12"/>
  <c r="D14" i="12"/>
  <c r="D44" i="12"/>
  <c r="I43" i="8"/>
  <c r="H43" i="8"/>
  <c r="C17" i="12"/>
  <c r="C31" i="12" s="1"/>
  <c r="C30" i="12"/>
  <c r="C34" i="12"/>
  <c r="D4" i="15"/>
  <c r="E4" i="15" s="1"/>
  <c r="F4" i="15" s="1"/>
  <c r="G4" i="15" s="1"/>
  <c r="H4" i="15" s="1"/>
  <c r="I4" i="15" s="1"/>
  <c r="J4" i="15" s="1"/>
  <c r="K4" i="15" s="1"/>
  <c r="L4" i="15" s="1"/>
  <c r="C3" i="15"/>
  <c r="D3" i="15" s="1"/>
  <c r="E3" i="15" s="1"/>
  <c r="F3" i="15" s="1"/>
  <c r="G3" i="15" s="1"/>
  <c r="H3" i="15" s="1"/>
  <c r="I3" i="15" s="1"/>
  <c r="J3" i="15" s="1"/>
  <c r="K3" i="15" s="1"/>
  <c r="L3" i="15" s="1"/>
  <c r="F38" i="12"/>
  <c r="F45" i="12" s="1"/>
  <c r="F14" i="12"/>
  <c r="F44" i="12"/>
  <c r="F29" i="12"/>
  <c r="D13" i="14"/>
  <c r="F12" i="14"/>
  <c r="G12" i="14" s="1"/>
  <c r="B44" i="12"/>
  <c r="B38" i="12"/>
  <c r="B45" i="12" s="1"/>
  <c r="B29" i="12"/>
  <c r="C6" i="16" s="1"/>
  <c r="D6" i="16" s="1"/>
  <c r="E6" i="16" s="1"/>
  <c r="F6" i="16" s="1"/>
  <c r="G6" i="16" s="1"/>
  <c r="H6" i="16" s="1"/>
  <c r="I6" i="16" s="1"/>
  <c r="J6" i="16" s="1"/>
  <c r="K6" i="16" s="1"/>
  <c r="L6" i="16" s="1"/>
  <c r="N6" i="16" s="1"/>
  <c r="B14" i="12"/>
  <c r="F8" i="11"/>
  <c r="F7" i="9"/>
  <c r="D7" i="9"/>
  <c r="D8" i="9" s="1"/>
  <c r="D8" i="11"/>
  <c r="E30" i="12"/>
  <c r="E17" i="12"/>
  <c r="E31" i="12" s="1"/>
  <c r="E34" i="12"/>
  <c r="C8" i="11"/>
  <c r="C7" i="9"/>
  <c r="C8" i="9" s="1"/>
  <c r="E11" i="9"/>
  <c r="E9" i="9"/>
  <c r="C13" i="10"/>
  <c r="C12" i="10"/>
  <c r="F10" i="10"/>
  <c r="F6" i="9"/>
  <c r="F8" i="9" s="1"/>
  <c r="C11" i="9" l="1"/>
  <c r="C9" i="9"/>
  <c r="F9" i="9"/>
  <c r="F11" i="9"/>
  <c r="B47" i="12"/>
  <c r="N12" i="15" s="1"/>
  <c r="B30" i="12"/>
  <c r="B17" i="12"/>
  <c r="B31" i="12" s="1"/>
  <c r="B34" i="12"/>
  <c r="F30" i="12"/>
  <c r="F17" i="12"/>
  <c r="F34" i="12"/>
  <c r="D17" i="12"/>
  <c r="D31" i="12" s="1"/>
  <c r="D34" i="12"/>
  <c r="D30" i="12"/>
  <c r="N14" i="14"/>
  <c r="P14" i="14" s="1"/>
  <c r="Q14" i="14" s="1"/>
  <c r="P17" i="14" s="1"/>
  <c r="P13" i="14"/>
  <c r="Q13" i="14" s="1"/>
  <c r="D9" i="9"/>
  <c r="D11" i="9"/>
  <c r="Q4" i="16"/>
  <c r="D14" i="14"/>
  <c r="F14" i="14" s="1"/>
  <c r="F13" i="14"/>
  <c r="G13" i="14" s="1"/>
  <c r="I14" i="14"/>
  <c r="K14" i="14" s="1"/>
  <c r="L14" i="14" s="1"/>
  <c r="K13" i="14"/>
  <c r="L13" i="14" s="1"/>
  <c r="C14" i="15" l="1"/>
  <c r="O13" i="15"/>
  <c r="P13" i="15" s="1"/>
  <c r="B27" i="15"/>
  <c r="B31" i="15" s="1"/>
  <c r="Q6" i="16" s="1"/>
  <c r="F31" i="12"/>
  <c r="G14" i="14"/>
  <c r="F17" i="14" s="1"/>
  <c r="K17" i="14"/>
  <c r="C14" i="9"/>
  <c r="Q5" i="16" s="1"/>
  <c r="C13" i="9"/>
  <c r="B48" i="12" s="1"/>
  <c r="G34" i="12"/>
  <c r="B19" i="13" s="1"/>
  <c r="B20" i="13" s="1"/>
  <c r="C24" i="13" s="1"/>
  <c r="D26" i="13" s="1"/>
  <c r="Q3" i="16" s="1"/>
  <c r="P21" i="16" l="1"/>
  <c r="Q7" i="16"/>
  <c r="N14" i="16" s="1"/>
  <c r="P22" i="16"/>
  <c r="P23" i="16"/>
  <c r="P19" i="16"/>
  <c r="N4" i="16"/>
  <c r="P20" i="16"/>
  <c r="T18" i="16"/>
  <c r="H18" i="16"/>
  <c r="R18" i="16"/>
  <c r="F18" i="16"/>
  <c r="Q18" i="16"/>
  <c r="E18" i="16"/>
  <c r="L18" i="16"/>
  <c r="D18" i="16"/>
  <c r="K18" i="16"/>
  <c r="C18" i="16"/>
  <c r="J18" i="16"/>
  <c r="U18" i="16"/>
  <c r="S18" i="16"/>
  <c r="I18" i="16"/>
  <c r="G18" i="16"/>
  <c r="C19" i="15"/>
  <c r="D14" i="15"/>
  <c r="C13" i="15"/>
  <c r="E14" i="15" l="1"/>
  <c r="D19" i="15"/>
  <c r="D4" i="16" s="1"/>
  <c r="C4" i="16"/>
  <c r="C18" i="15"/>
  <c r="D13" i="15"/>
  <c r="E13" i="15" s="1"/>
  <c r="D18" i="15" l="1"/>
  <c r="C3" i="16"/>
  <c r="E19" i="15"/>
  <c r="E4" i="16" s="1"/>
  <c r="F14" i="15"/>
  <c r="G14" i="15" l="1"/>
  <c r="F19" i="15"/>
  <c r="F4" i="16" s="1"/>
  <c r="F13" i="15"/>
  <c r="G13" i="15" s="1"/>
  <c r="C9" i="16"/>
  <c r="C5" i="16"/>
  <c r="C10" i="16"/>
  <c r="C11" i="16" s="1"/>
  <c r="E18" i="15"/>
  <c r="D3" i="16"/>
  <c r="C7" i="16" l="1"/>
  <c r="C8" i="16"/>
  <c r="C13" i="16" s="1"/>
  <c r="H13" i="15"/>
  <c r="D9" i="16"/>
  <c r="D5" i="16"/>
  <c r="D10" i="16"/>
  <c r="D11" i="16" s="1"/>
  <c r="E3" i="16"/>
  <c r="F18" i="15"/>
  <c r="C12" i="16"/>
  <c r="H14" i="15"/>
  <c r="G19" i="15"/>
  <c r="G4" i="16" s="1"/>
  <c r="G18" i="15" l="1"/>
  <c r="F3" i="16"/>
  <c r="E9" i="16"/>
  <c r="E5" i="16"/>
  <c r="E10" i="16"/>
  <c r="E11" i="16" s="1"/>
  <c r="D7" i="16"/>
  <c r="D8" i="16"/>
  <c r="D13" i="16" s="1"/>
  <c r="D12" i="16"/>
  <c r="D14" i="16" s="1"/>
  <c r="H19" i="15"/>
  <c r="H4" i="16" s="1"/>
  <c r="I14" i="15"/>
  <c r="C14" i="16"/>
  <c r="E7" i="16" l="1"/>
  <c r="E8" i="16" s="1"/>
  <c r="E13" i="16" s="1"/>
  <c r="J14" i="15"/>
  <c r="I19" i="15"/>
  <c r="I4" i="16" s="1"/>
  <c r="E12" i="16"/>
  <c r="F9" i="16"/>
  <c r="F5" i="16"/>
  <c r="F10" i="16"/>
  <c r="F11" i="16" s="1"/>
  <c r="I13" i="15"/>
  <c r="H18" i="15"/>
  <c r="G3" i="16"/>
  <c r="F12" i="16" l="1"/>
  <c r="G9" i="16"/>
  <c r="G5" i="16"/>
  <c r="G10" i="16"/>
  <c r="G11" i="16" s="1"/>
  <c r="E14" i="16"/>
  <c r="F7" i="16"/>
  <c r="F8" i="16" s="1"/>
  <c r="F13" i="16" s="1"/>
  <c r="J19" i="15"/>
  <c r="J4" i="16" s="1"/>
  <c r="K14" i="15"/>
  <c r="H3" i="16"/>
  <c r="I18" i="15"/>
  <c r="J13" i="15"/>
  <c r="K13" i="15" s="1"/>
  <c r="J18" i="15" l="1"/>
  <c r="I3" i="16"/>
  <c r="G12" i="16"/>
  <c r="G7" i="16"/>
  <c r="G8" i="16" s="1"/>
  <c r="G13" i="16" s="1"/>
  <c r="H9" i="16"/>
  <c r="H5" i="16"/>
  <c r="H10" i="16"/>
  <c r="H11" i="16" s="1"/>
  <c r="K19" i="15"/>
  <c r="K4" i="16" s="1"/>
  <c r="L14" i="15"/>
  <c r="L19" i="15" s="1"/>
  <c r="L4" i="16" s="1"/>
  <c r="F14" i="16"/>
  <c r="L13" i="15"/>
  <c r="H7" i="16" l="1"/>
  <c r="H8" i="16" s="1"/>
  <c r="H13" i="16" s="1"/>
  <c r="G14" i="16"/>
  <c r="I9" i="16"/>
  <c r="I5" i="16"/>
  <c r="I10" i="16"/>
  <c r="I11" i="16" s="1"/>
  <c r="H12" i="16"/>
  <c r="K18" i="15"/>
  <c r="J3" i="16"/>
  <c r="H14" i="16" l="1"/>
  <c r="L18" i="15"/>
  <c r="L3" i="16" s="1"/>
  <c r="K3" i="16"/>
  <c r="I7" i="16"/>
  <c r="I8" i="16"/>
  <c r="I13" i="16" s="1"/>
  <c r="I12" i="16"/>
  <c r="I14" i="16" s="1"/>
  <c r="J9" i="16"/>
  <c r="J12" i="16" s="1"/>
  <c r="J5" i="16"/>
  <c r="J10" i="16"/>
  <c r="J11" i="16" s="1"/>
  <c r="J7" i="16" l="1"/>
  <c r="J8" i="16" s="1"/>
  <c r="K9" i="16"/>
  <c r="K5" i="16"/>
  <c r="K10" i="16"/>
  <c r="K11" i="16" s="1"/>
  <c r="L9" i="16"/>
  <c r="L5" i="16"/>
  <c r="N3" i="16"/>
  <c r="N5" i="16" s="1"/>
  <c r="L10" i="16"/>
  <c r="J13" i="16" l="1"/>
  <c r="J14" i="16"/>
  <c r="L7" i="16"/>
  <c r="L8" i="16"/>
  <c r="L12" i="16"/>
  <c r="L14" i="16" s="1"/>
  <c r="K7" i="16"/>
  <c r="K8" i="16"/>
  <c r="K12" i="16"/>
  <c r="K14" i="16" s="1"/>
  <c r="L11" i="16"/>
  <c r="N7" i="16"/>
  <c r="N8" i="16" s="1"/>
  <c r="N12" i="16" l="1"/>
  <c r="N13" i="16" s="1"/>
  <c r="K13" i="16"/>
  <c r="L13" i="16"/>
  <c r="C20" i="16" s="1"/>
  <c r="L16" i="16" l="1"/>
  <c r="C21" i="16" s="1"/>
  <c r="U21" i="16"/>
  <c r="R20" i="16"/>
  <c r="T23" i="16"/>
  <c r="Q19" i="16"/>
  <c r="S19" i="16"/>
  <c r="T21" i="16"/>
  <c r="Q22" i="16"/>
  <c r="R21" i="16"/>
  <c r="Q23" i="16"/>
  <c r="U22" i="16"/>
  <c r="T20" i="16"/>
  <c r="R23" i="16"/>
  <c r="S22" i="16"/>
  <c r="T22" i="16"/>
  <c r="R22" i="16"/>
  <c r="U23" i="16"/>
  <c r="S20" i="16"/>
  <c r="R19" i="16"/>
  <c r="S21" i="16"/>
  <c r="S23" i="16"/>
  <c r="U20" i="16"/>
  <c r="Q20" i="16"/>
  <c r="U19" i="16"/>
  <c r="Q21" i="16"/>
  <c r="T19" i="16"/>
  <c r="C23" i="16"/>
  <c r="C27" i="16" l="1"/>
  <c r="Q10" i="16"/>
  <c r="C30" i="16" l="1"/>
  <c r="Q11" i="16"/>
  <c r="Q13" i="16" l="1"/>
  <c r="C32" i="16"/>
  <c r="Q15" i="16" s="1"/>
</calcChain>
</file>

<file path=xl/sharedStrings.xml><?xml version="1.0" encoding="utf-8"?>
<sst xmlns="http://schemas.openxmlformats.org/spreadsheetml/2006/main" count="778" uniqueCount="585">
  <si>
    <t>Who We Are - Avenue Supermarts Limited (DMart) is one of India's largest supermarket chains, founded by veteran value investor Mr. Radhakishan Damani in the year 2000. The Company operates on an Everyday Low Cost / Everyday Low Price (EDLC/EDLP) model and follows a value-retailing format focused on the Foods, Non-Foods (FMCG) and General Merchandise &amp; Apparel categories. Since opening its first store in Mumbai in 2002, DMart has grown to 415 stores across 10 states, 1 union territory and the NCR, with a total retail business area of 17.2 million sq. ft.
Business Model - DMart predominantly owns the real estate for its stores, follows a cluster-based expansion strategy, and emphasises high inventory turnover with low operating costs. Operations are supported by 75 distribution centres and 10 packing centres as of 31st March 2025. Total bill cuts stood at 35.3 crore in FY 2024-25 (vs 30.3 crore in FY 2023-24), and annualised revenue per sq. ft. of retail business area was Rs.33,896 (vs Rs.32,941 in FY 2023-24).
Geographic Presence (Stores by State, FY25) - Maharashtra (116), Gujarat (66), Telangana (45), Andhra Pradesh (41), Karnataka (40), Tamil Nadu (26), Madhya Pradesh (24), Rajasthan (22), Punjab (19), NCR (9), Chhattisgarh (6) and Daman (1).
Vision - To be the lowest-priced retailer in its area of operation / city / region.
Mission / Core Values - Built on the pillars of Action, Care and Truth – continuously identifying and offering new products at the best value, treating every stakeholder with respect, and operating with integrity and transparency.
FY25 Key Highlights (Standalone) - Revenue from Operations: Rs.49,533 Cr (+16.7% YoY) | Profit After Tax: Rs.2,927 Cr (+8.6% YoY) | EPS (Basic): Rs.44.98 | EPS (Diluted): Rs.44.87 | Profit Before Tax: Rs.3,883 Cr | Stores: 415 (50 added during the year) | Retail Business Area: 17.2 mn sq. ft.
FY25 Key Highlights (Consolidated) - Total Income: Rs.59,358 Cr (+16.9% YoY) | Profit Before Tax: Rs.3,673 Cr | Profit After Tax: Rs.2,707 Cr | EPS (Basic): Rs.41.61 | EPS (Diluted): Rs.41.50.</t>
  </si>
  <si>
    <t xml:space="preserve">  Subsidiaries</t>
  </si>
  <si>
    <t>S.No</t>
  </si>
  <si>
    <t>Company Name</t>
  </si>
  <si>
    <t>Type</t>
  </si>
  <si>
    <t>FY25 Revenue / Status</t>
  </si>
  <si>
    <t>Align Retail Trades Private Limited (ARTPL)</t>
  </si>
  <si>
    <t>Wholly Owned Subsidiary</t>
  </si>
  <si>
    <t>Revenue Rs.3,322.44 Cr; PAT Rs.37.56 Cr (FY25)</t>
  </si>
  <si>
    <t>Avenue Food Plaza Private Limited (AFPPL)</t>
  </si>
  <si>
    <t>Revenue Rs.226.50 Cr; Loss Rs.9.66 Cr (FY25)</t>
  </si>
  <si>
    <t>Avenue E-Commerce Limited (AEL) - DMart Ready</t>
  </si>
  <si>
    <t>Subsidiary</t>
  </si>
  <si>
    <t>Revenue Rs.3,502.42 Cr; Loss Rs.247.37 Cr (FY25)</t>
  </si>
  <si>
    <t>Nahar Seth &amp; Jogani Developers Pvt. Ltd. (NSJDPL)</t>
  </si>
  <si>
    <t>Revenue Rs.0.83 Cr; PAT Rs.0.73 Cr (FY25)</t>
  </si>
  <si>
    <t>Reflect Healthcare and Retail Pvt. Ltd. (RHRPL)</t>
  </si>
  <si>
    <t>Revenue Rs.12.92 Cr; Loss Rs.2.45 Cr (FY25)</t>
  </si>
  <si>
    <t>Total Subsidiaries</t>
  </si>
  <si>
    <t>5 (as on 31st March, 2025)</t>
  </si>
  <si>
    <t xml:space="preserve">  Registered Office</t>
  </si>
  <si>
    <t>Anjaneya Co-op. Housing Society Ltd., Orchard Avenue, Opp. Hiranandani Foundation School, Powai, Mumbai - 400 076</t>
  </si>
  <si>
    <t>CIN: L51900MH2000PLC126473</t>
  </si>
  <si>
    <t>Website: www.dmartindia.com  |  Email: investorrelations@dmartindia.com</t>
  </si>
  <si>
    <t xml:space="preserve">  Operational Footprint</t>
  </si>
  <si>
    <t>Company</t>
  </si>
  <si>
    <t>Metric</t>
  </si>
  <si>
    <t>Value</t>
  </si>
  <si>
    <t>Details</t>
  </si>
  <si>
    <t>Avenue Supermarts Ltd.</t>
  </si>
  <si>
    <t>Total Stores</t>
  </si>
  <si>
    <t>Operational as of 31st March, 2025; 50 new stores added in FY25</t>
  </si>
  <si>
    <t>Retail Business Area</t>
  </si>
  <si>
    <t>17.2 mn sq. ft.</t>
  </si>
  <si>
    <t>Across 10 states, 1 UT and NCR</t>
  </si>
  <si>
    <t>Distribution Centres</t>
  </si>
  <si>
    <t>As of 31st March, 2025</t>
  </si>
  <si>
    <t>Packing Centres</t>
  </si>
  <si>
    <t>States / UT Covered</t>
  </si>
  <si>
    <t>Maharashtra, Gujarat, Telangana, Andhra Pradesh, Karnataka, Tamil Nadu, Madhya Pradesh, Rajasthan, Punjab, NCR, Chhattisgarh, Daman</t>
  </si>
  <si>
    <t>Annual Bill Cuts</t>
  </si>
  <si>
    <t>35.3 crore</t>
  </si>
  <si>
    <t>FY 2024-25 (vs 30.3 crore in FY 2023-24)</t>
  </si>
  <si>
    <t>Revenue per sq.ft.</t>
  </si>
  <si>
    <t>Rs.33,896</t>
  </si>
  <si>
    <t>Annualised, FY 2024-25 (vs Rs.32,941 in FY 2023-24)</t>
  </si>
  <si>
    <t>Stock Exchanges</t>
  </si>
  <si>
    <t>BSE &amp; NSE</t>
  </si>
  <si>
    <t>Listed entity</t>
  </si>
  <si>
    <t xml:space="preserve">  Board of Directors</t>
  </si>
  <si>
    <t>Name</t>
  </si>
  <si>
    <t>Designation</t>
  </si>
  <si>
    <t>Mr. Chandrashekhar Bhave</t>
  </si>
  <si>
    <t>Independent Director (Chairman)</t>
  </si>
  <si>
    <t>Mr. Ignatius Navil Noronha</t>
  </si>
  <si>
    <t>Managing Director &amp; CEO</t>
  </si>
  <si>
    <t>Mr. Ramakant Baheti</t>
  </si>
  <si>
    <t>Whole-time Director &amp; Group CFO</t>
  </si>
  <si>
    <t>Mr. Bhaskaran N</t>
  </si>
  <si>
    <t>Whole-time Director &amp; COO - West</t>
  </si>
  <si>
    <t>Mr. Elvin Machado</t>
  </si>
  <si>
    <t>Whole-time Director</t>
  </si>
  <si>
    <t>Ms. Kalpana Unadkat</t>
  </si>
  <si>
    <t>Independent Director</t>
  </si>
  <si>
    <t>Mr. Harischandra M. Bharuka</t>
  </si>
  <si>
    <t>Mrs. Manjri Chandak</t>
  </si>
  <si>
    <t>Non-Executive Director</t>
  </si>
  <si>
    <t>Mr. Niladri Deb</t>
  </si>
  <si>
    <t>Chief Financial Officer</t>
  </si>
  <si>
    <t>Mrs. Ashu Gupta</t>
  </si>
  <si>
    <t>Company Secretary &amp; Compliance Officer</t>
  </si>
  <si>
    <t>DMART (AVENUE SUPERMARTS LIMITED)</t>
  </si>
  <si>
    <t>Shareholding Pattern – Promoter &amp; Promoter Group</t>
  </si>
  <si>
    <t>Sr. No.</t>
  </si>
  <si>
    <t>Name of Shareholder / Category</t>
  </si>
  <si>
    <t>Category</t>
  </si>
  <si>
    <t>No. of
Shareholders</t>
  </si>
  <si>
    <t>No. of Shares Held</t>
  </si>
  <si>
    <t>% of Total
Share Capital</t>
  </si>
  <si>
    <t>(A1) INDIAN</t>
  </si>
  <si>
    <t>Individuals/Hindu undivided Family</t>
  </si>
  <si>
    <t>Individual</t>
  </si>
  <si>
    <t>Radhakishan Shivkishan Damani</t>
  </si>
  <si>
    <t>Promoter</t>
  </si>
  <si>
    <t>Gopikishan Shivkishan Damani</t>
  </si>
  <si>
    <t>Shrikantadevi Radhakishan Damani</t>
  </si>
  <si>
    <t>Kirandevi Gopikishan Damani</t>
  </si>
  <si>
    <t>Jyoti Varun Kabra</t>
  </si>
  <si>
    <t>Promoter Group</t>
  </si>
  <si>
    <t>Manjri Chandak</t>
  </si>
  <si>
    <t>Madhu Abhay Chandak</t>
  </si>
  <si>
    <t>Rukmanidevi Mohanlal Bagri</t>
  </si>
  <si>
    <t>Vijay Shankar Chandak</t>
  </si>
  <si>
    <t>Govind Kishan Mundhra</t>
  </si>
  <si>
    <t>Pratinav Gopikishan Damani</t>
  </si>
  <si>
    <t>Prateet Gopikishan Damani</t>
  </si>
  <si>
    <t>Radhakishan Shivkishan Damani HUF</t>
  </si>
  <si>
    <t>Gopikishan Shivkishan Damani HUF</t>
  </si>
  <si>
    <t>Any Other – Bodies Corporate / Trusts (Sub-total)</t>
  </si>
  <si>
    <t>Gopikishan S. Damani And Radhakishan S. Damani (On behalf of Gulmohar Pvt Beneficiary Trust)</t>
  </si>
  <si>
    <t>Gopikishan S. Damani And Radhakishan S. Damani (On behalf of Karnikar Pvt Beneficiary Trust)</t>
  </si>
  <si>
    <t>Radhakishan S. Damani And Shrikantadevi Damani (On behalf of Bottle Palm Pvt Beneficiary Trust)</t>
  </si>
  <si>
    <t>Radhakishan S. Damani And Shrikantadevi Damani (On behalf of Royal Palm Pvt Beneficiary Trust)</t>
  </si>
  <si>
    <t>Radhakishan S. Damani And Shrikantadevi Damani (On behalf of Mountain Glory Pvt Beneficiary Trust)</t>
  </si>
  <si>
    <t>Bright Star Investments Private Limited</t>
  </si>
  <si>
    <t>Sub-Total (A1) – Indian Promoters</t>
  </si>
  <si>
    <t>(A2) Foreign Promoters</t>
  </si>
  <si>
    <t>TOTAL PROMOTER &amp; PROMOTER GROUP SHAREHOLDING (A)</t>
  </si>
  <si>
    <t>Notes:</t>
  </si>
  <si>
    <t>Shareholding Pattern – Public Shareholders</t>
  </si>
  <si>
    <t>DOMESTIC INSTITUTIONS</t>
  </si>
  <si>
    <t>Mutual Funds/</t>
  </si>
  <si>
    <t>SBI Mutual Fund</t>
  </si>
  <si>
    <t>ICICI Prudential Fund</t>
  </si>
  <si>
    <t>Alternate Investment Funds</t>
  </si>
  <si>
    <t>Banks</t>
  </si>
  <si>
    <t>Insurance Companies</t>
  </si>
  <si>
    <t>Provident Funds/ Pension Funds</t>
  </si>
  <si>
    <t>Nps Trust- A/C Sbi Pension Fund Scheme - State Govt</t>
  </si>
  <si>
    <t>Sovereign Wealth Funds</t>
  </si>
  <si>
    <t>NBFCs registered with RBI</t>
  </si>
  <si>
    <t>Sub-Total (B1) – Domestic Institutions</t>
  </si>
  <si>
    <t>FOREIGN INSTITUTIONS</t>
  </si>
  <si>
    <t>Foreign Portfolio Investors Category I</t>
  </si>
  <si>
    <t>Foreign Portfolio Investors Category II</t>
  </si>
  <si>
    <t>Sub-Total (B2) – Foreign Institutions</t>
  </si>
  <si>
    <t>GOVERNMENT HOLDING</t>
  </si>
  <si>
    <t>Central Government / President of India</t>
  </si>
  <si>
    <t>Sub-Total (B3) – Government Holding</t>
  </si>
  <si>
    <t>NON-INSTITUTIONS</t>
  </si>
  <si>
    <t>Directors and their relatives (excluding independent directors and nominee directors)</t>
  </si>
  <si>
    <t>Key Managerial Personnel</t>
  </si>
  <si>
    <t>Relatives of promoters (other than 'immediate relatives' of promoters disclosed under 'Promoter and Promoter Group' category)</t>
  </si>
  <si>
    <t>Resident Individuals holding nominal share capital up to Rs. 2 lakhs</t>
  </si>
  <si>
    <t>Resident Individuals holding nominal share capital in excess of Rs. 2 lakhs</t>
  </si>
  <si>
    <t>Ignatius Navil Noronha</t>
  </si>
  <si>
    <t>Non Resident Indians (NRIs)</t>
  </si>
  <si>
    <t>Bodies Corporate</t>
  </si>
  <si>
    <t>Any Other (specify)</t>
  </si>
  <si>
    <t>Trusts</t>
  </si>
  <si>
    <t>LLP</t>
  </si>
  <si>
    <t>HUF</t>
  </si>
  <si>
    <t>Clearing Members</t>
  </si>
  <si>
    <t>Sub-Total (B4) – Non-Institutions</t>
  </si>
  <si>
    <t>TOTAL PUBLIC SHAREHOLDING (B)</t>
  </si>
  <si>
    <t>1. Categories with nil shareholding as of the reporting date have been excluded for presentation clarity.</t>
  </si>
  <si>
    <t>2. ‘% of Total Share Capital’ is computed on the basis of total issued equity share capital as per SCRR, 1957.</t>
  </si>
  <si>
    <t>3. Resident Individuals are bifurcated into holdings up to ₹2 lakh and in excess of ₹2 lakh as per SEBI disclosure norms.</t>
  </si>
  <si>
    <t>PARTICULARS</t>
  </si>
  <si>
    <t>Mar 22</t>
  </si>
  <si>
    <t>Mar 23</t>
  </si>
  <si>
    <t>Mar 24</t>
  </si>
  <si>
    <t>Mar 25</t>
  </si>
  <si>
    <t>Mar 26</t>
  </si>
  <si>
    <t>12 mths</t>
  </si>
  <si>
    <t>(Rs. Cr.)</t>
  </si>
  <si>
    <t>EQUITIES AND LIABILITIES</t>
  </si>
  <si>
    <t>SHAREHOLDER'S FUNDS</t>
  </si>
  <si>
    <t>Equity Share Capital</t>
  </si>
  <si>
    <t>Total Share Capital</t>
  </si>
  <si>
    <t>Reserves and Surplus</t>
  </si>
  <si>
    <t>Total Reserves and Surplus</t>
  </si>
  <si>
    <t>Employees Stock Options</t>
  </si>
  <si>
    <t>Total Shareholders Funds</t>
  </si>
  <si>
    <t>Equity Share Application Money</t>
  </si>
  <si>
    <t>Minority Interest</t>
  </si>
  <si>
    <t>NON-CURRENT LIABILITIES</t>
  </si>
  <si>
    <t>Long Term Borrowings</t>
  </si>
  <si>
    <t>Deferred Tax Liabilities [Net]</t>
  </si>
  <si>
    <t>Other Long Term Liabilities</t>
  </si>
  <si>
    <t>Long Term Provisions</t>
  </si>
  <si>
    <t>Total Non-Current Liabilities</t>
  </si>
  <si>
    <t>CURRENT LIABILITIES</t>
  </si>
  <si>
    <t>Short Term Borrowings</t>
  </si>
  <si>
    <t>Trade Payables</t>
  </si>
  <si>
    <t>Other Current Liabilities</t>
  </si>
  <si>
    <t>Short Term Provisions</t>
  </si>
  <si>
    <t>Total Current Liabilities</t>
  </si>
  <si>
    <t>Total Capital And Liabilities</t>
  </si>
  <si>
    <t>ASSETS</t>
  </si>
  <si>
    <t>NON-CURRENT ASSETS</t>
  </si>
  <si>
    <t>Tangible Assets</t>
  </si>
  <si>
    <t>Intangible Assets</t>
  </si>
  <si>
    <t>Capital Work-In-Progress</t>
  </si>
  <si>
    <t>Fixed Assets</t>
  </si>
  <si>
    <t>Non-Current Investments</t>
  </si>
  <si>
    <t>Deferred Tax Assets [Net]</t>
  </si>
  <si>
    <t>Other Non-Current Assets</t>
  </si>
  <si>
    <t>Total Non-Current Assets</t>
  </si>
  <si>
    <t>CURRENT ASSETS</t>
  </si>
  <si>
    <t>Current Investments</t>
  </si>
  <si>
    <t>Inventories</t>
  </si>
  <si>
    <t>Trade Receivables</t>
  </si>
  <si>
    <t>Cash And Cash Equivalents</t>
  </si>
  <si>
    <t>Other Current Assets</t>
  </si>
  <si>
    <t>Total Current Assets</t>
  </si>
  <si>
    <t>Total Assets</t>
  </si>
  <si>
    <t>OTHER ADDITIONAL INFORMATION</t>
  </si>
  <si>
    <t>CONTINGENT LIABILITIES, COMMITMENTS</t>
  </si>
  <si>
    <t>Contingent Liabilities</t>
  </si>
  <si>
    <t>NON-CURRENT INVESTMENTS</t>
  </si>
  <si>
    <t>Non-Current Investments Unquoted Book Value</t>
  </si>
  <si>
    <t>CURRENT INVESTMENTS</t>
  </si>
  <si>
    <t>Current Investments Unquoted Book Value</t>
  </si>
  <si>
    <t>INCOME</t>
  </si>
  <si>
    <t>Revenue From Operations [Gross]</t>
  </si>
  <si>
    <t>Less: Excise/Service Tax/Other Levies</t>
  </si>
  <si>
    <t>Revenue From Operations [Net]</t>
  </si>
  <si>
    <t>Other Operating Revenues</t>
  </si>
  <si>
    <t>Total Operating Revenues</t>
  </si>
  <si>
    <t>Other Income</t>
  </si>
  <si>
    <t>Total Revenue</t>
  </si>
  <si>
    <t>EXPENSES</t>
  </si>
  <si>
    <t>Purchase Of Stock-In Trade</t>
  </si>
  <si>
    <t>Changes In Inventories Of FG, WIP And Stock-In Trade</t>
  </si>
  <si>
    <t>Employee Benefit Expenses</t>
  </si>
  <si>
    <t>Finance Costs</t>
  </si>
  <si>
    <t>Depreciation And Amortisation Expenses</t>
  </si>
  <si>
    <t>Other Expenses</t>
  </si>
  <si>
    <t>Total Expenses</t>
  </si>
  <si>
    <t>Profit/Loss Before Exceptional, ExtraOrdinary Items And Tax</t>
  </si>
  <si>
    <t>Profit/Loss Before Tax</t>
  </si>
  <si>
    <t>TAX EXPENSES - CONTINUED OPERATIONS</t>
  </si>
  <si>
    <t>Current Tax</t>
  </si>
  <si>
    <t>Deferred Tax</t>
  </si>
  <si>
    <t>Tax For Earlier Years</t>
  </si>
  <si>
    <t>Total Tax Expenses</t>
  </si>
  <si>
    <t>Profit/Loss After Tax And Before ExtraOrdinary Items</t>
  </si>
  <si>
    <t>Profit/Loss From Continuing Operations</t>
  </si>
  <si>
    <t>Profit/Loss For The Period</t>
  </si>
  <si>
    <t>Consolidated Profit/Loss After MI And Associates</t>
  </si>
  <si>
    <t>EARNINGS PER SHARE</t>
  </si>
  <si>
    <t>Basic EPS (Rs.)</t>
  </si>
  <si>
    <t>Diluted EPS (Rs.)</t>
  </si>
  <si>
    <t>Mar '22</t>
  </si>
  <si>
    <t>Mar '23</t>
  </si>
  <si>
    <t>Mar '24</t>
  </si>
  <si>
    <t>Mar '25</t>
  </si>
  <si>
    <t>Mar '26</t>
  </si>
  <si>
    <t>Net Profit Before Tax</t>
  </si>
  <si>
    <t>Net Cash From Operating Activities</t>
  </si>
  <si>
    <t>Net Cash (used in)/from Investing Activities</t>
  </si>
  <si>
    <t>Net Cash (used in)/from Financing Activities</t>
  </si>
  <si>
    <t>Net (decrease)/increase In Cash and Cash Equivalents</t>
  </si>
  <si>
    <t>Opening Cash &amp; Cash Equivalents</t>
  </si>
  <si>
    <t>Closing Cash &amp; Cash Equivalents</t>
  </si>
  <si>
    <t>Date</t>
  </si>
  <si>
    <t>NIFTY50_Close</t>
  </si>
  <si>
    <t>DMART_Close</t>
  </si>
  <si>
    <t>Rm Nifty</t>
  </si>
  <si>
    <t>Rm DMArt</t>
  </si>
  <si>
    <t>slope</t>
  </si>
  <si>
    <t>covariance</t>
  </si>
  <si>
    <t>SUMMARY OUTPUT</t>
  </si>
  <si>
    <t>Regression Statistics</t>
  </si>
  <si>
    <t>Multiple R</t>
  </si>
  <si>
    <t>R Square</t>
  </si>
  <si>
    <t>Adjusted R Square</t>
  </si>
  <si>
    <t>Standard Error</t>
  </si>
  <si>
    <t>Observations</t>
  </si>
  <si>
    <t>ANOVA</t>
  </si>
  <si>
    <t>df</t>
  </si>
  <si>
    <t>SS</t>
  </si>
  <si>
    <t>MS</t>
  </si>
  <si>
    <t>F</t>
  </si>
  <si>
    <t>Significance F</t>
  </si>
  <si>
    <t>Regression</t>
  </si>
  <si>
    <t>Residual</t>
  </si>
  <si>
    <t>Total</t>
  </si>
  <si>
    <t>Coefficients</t>
  </si>
  <si>
    <t>t Stat</t>
  </si>
  <si>
    <t>P-value</t>
  </si>
  <si>
    <t>Lower 95%</t>
  </si>
  <si>
    <t>Upper 95%</t>
  </si>
  <si>
    <t>Lower 95.0%</t>
  </si>
  <si>
    <t>Upper 95.0%</t>
  </si>
  <si>
    <t>Intercept</t>
  </si>
  <si>
    <t>X Variable 1</t>
  </si>
  <si>
    <t>Ratio Analysis - DMart (Avenue Supermarts)</t>
  </si>
  <si>
    <t>Particulars</t>
  </si>
  <si>
    <t>Mar-22</t>
  </si>
  <si>
    <t>Mar-23</t>
  </si>
  <si>
    <t>Mar-24</t>
  </si>
  <si>
    <t>Mar-25</t>
  </si>
  <si>
    <t>Mar-26</t>
  </si>
  <si>
    <t>Trends</t>
  </si>
  <si>
    <t>Mean</t>
  </si>
  <si>
    <t>Median</t>
  </si>
  <si>
    <t>GROWTH RATIOS</t>
  </si>
  <si>
    <t>Sales Growth</t>
  </si>
  <si>
    <t>EBITDA Growth</t>
  </si>
  <si>
    <t>EBIT Growth</t>
  </si>
  <si>
    <t>Net Profit Growth</t>
  </si>
  <si>
    <t>MARGIN RATIOS</t>
  </si>
  <si>
    <t>Gross Margin</t>
  </si>
  <si>
    <t>EBITDA Margin</t>
  </si>
  <si>
    <t>EBIT Margin</t>
  </si>
  <si>
    <t>EBT Margin</t>
  </si>
  <si>
    <t>Net Profit Margin</t>
  </si>
  <si>
    <t>EXPENSE ANALYSIS</t>
  </si>
  <si>
    <t>COGS % of Sales</t>
  </si>
  <si>
    <t>Depreciation % of Sales</t>
  </si>
  <si>
    <t>Employee Cost % of Sales</t>
  </si>
  <si>
    <t>Other Expenses % of Sales</t>
  </si>
  <si>
    <t>Finance Cost % of Sales</t>
  </si>
  <si>
    <t>sales expenses% of sales</t>
  </si>
  <si>
    <t>Operating Income</t>
  </si>
  <si>
    <t>RETURN RATIOS</t>
  </si>
  <si>
    <t>Return on Equity (ROE)</t>
  </si>
  <si>
    <t>Return on Capital Employed (ROCE)</t>
  </si>
  <si>
    <t>Return on Assets (ROA)</t>
  </si>
  <si>
    <t>Retained Earnings % of Sales</t>
  </si>
  <si>
    <t>Self Sustained Growth Rate</t>
  </si>
  <si>
    <t>Interest Coverage Ratio</t>
  </si>
  <si>
    <t>TURNOVER RATIOS</t>
  </si>
  <si>
    <t>Debtor Turnover</t>
  </si>
  <si>
    <t>Creditor Turnover</t>
  </si>
  <si>
    <t>Inventory Turnover</t>
  </si>
  <si>
    <t>Fixed Asset Turnover</t>
  </si>
  <si>
    <t>Capital Turnover</t>
  </si>
  <si>
    <t>(IN DAYS)</t>
  </si>
  <si>
    <t>Debtors Days</t>
  </si>
  <si>
    <t>Payable Days</t>
  </si>
  <si>
    <t>Inventory Days</t>
  </si>
  <si>
    <t>Cash Conversion Cycle</t>
  </si>
  <si>
    <t>CASH FLOW RATIOS</t>
  </si>
  <si>
    <t>CFO / Sales</t>
  </si>
  <si>
    <t>CFO / Total Assets</t>
  </si>
  <si>
    <t>CFO / Total Debt</t>
  </si>
  <si>
    <t>FCFF Analysis - DMart</t>
  </si>
  <si>
    <t>Particular</t>
  </si>
  <si>
    <t>EBIT</t>
  </si>
  <si>
    <t>Less: Tax on EBIT</t>
  </si>
  <si>
    <t>EBIT * (1 - Tax) = NOPAT</t>
  </si>
  <si>
    <t>Less: Net Capital Expenditure</t>
  </si>
  <si>
    <t>Less: Net Change in Working Capital</t>
  </si>
  <si>
    <t>Reinvestment</t>
  </si>
  <si>
    <t>Free Cash Flow (FCFF)</t>
  </si>
  <si>
    <t>Reinvestment Rate</t>
  </si>
  <si>
    <t>Median Reinvestment Rate / Sales %</t>
  </si>
  <si>
    <t>Average Reinvestment Rate / Sales %</t>
  </si>
  <si>
    <t>Fixed Asset Schedule - DMart</t>
  </si>
  <si>
    <t>Opening Balance (Fixed Assets)</t>
  </si>
  <si>
    <t>Add: Net Purchases</t>
  </si>
  <si>
    <t>Total Fixed Assets</t>
  </si>
  <si>
    <t>Less: Depreciation</t>
  </si>
  <si>
    <t>Closing Balance (Fixed Assets)</t>
  </si>
  <si>
    <t>Net Capital Expenditure</t>
  </si>
  <si>
    <t>Net Capex / Sales %</t>
  </si>
  <si>
    <t>Median Capex / Sales %</t>
  </si>
  <si>
    <t>Average Capex / Sales %</t>
  </si>
  <si>
    <t>Change in Working Capital - DMart</t>
  </si>
  <si>
    <t>Non Cash Working Capital</t>
  </si>
  <si>
    <t>Change in Working Capital</t>
  </si>
  <si>
    <t>Change in WC % of Sales</t>
  </si>
  <si>
    <t>Median Non Cash WC / Sales</t>
  </si>
  <si>
    <t>Average Non Cash WC / Sales</t>
  </si>
  <si>
    <t>DMART</t>
  </si>
  <si>
    <t>Particulars (in RS Cr.)</t>
  </si>
  <si>
    <t>Revenue from operations</t>
  </si>
  <si>
    <t>Revenue growth in %</t>
  </si>
  <si>
    <t>Less: Material cost</t>
  </si>
  <si>
    <t>Less: Employee costs</t>
  </si>
  <si>
    <t>Less: Other Expenses</t>
  </si>
  <si>
    <t>EBITDA</t>
  </si>
  <si>
    <t>Less: Depreciation And Amortization</t>
  </si>
  <si>
    <t xml:space="preserve">EBIT </t>
  </si>
  <si>
    <t>ADD: Non operating  income/ Other Income</t>
  </si>
  <si>
    <t xml:space="preserve">Less: Interest Expenses </t>
  </si>
  <si>
    <t>EBT</t>
  </si>
  <si>
    <t>Less: TAX</t>
  </si>
  <si>
    <t>Less:Non Controlling Interest/Minority Interest</t>
  </si>
  <si>
    <t>Net Profit- Pat</t>
  </si>
  <si>
    <t>Historical Growth</t>
  </si>
  <si>
    <t>Average Growth</t>
  </si>
  <si>
    <t>CAGR</t>
  </si>
  <si>
    <t>RRI</t>
  </si>
  <si>
    <t>Margins</t>
  </si>
  <si>
    <t>Net Proftt</t>
  </si>
  <si>
    <t>Tax Rate</t>
  </si>
  <si>
    <t>Effective tax rate</t>
  </si>
  <si>
    <t>Marginal Tax rate</t>
  </si>
  <si>
    <t>Return On Capital</t>
  </si>
  <si>
    <t>EBIT*(1-T)</t>
  </si>
  <si>
    <t>Book Equity</t>
  </si>
  <si>
    <t>Book Debt</t>
  </si>
  <si>
    <t>Cash and Cash equivalents</t>
  </si>
  <si>
    <t>Capital Employed</t>
  </si>
  <si>
    <t>Pre-Tax Return on capital</t>
  </si>
  <si>
    <t>Post Tax return On capital</t>
  </si>
  <si>
    <t>Growth In EBIT Margin</t>
  </si>
  <si>
    <t>Growth In EBIT</t>
  </si>
  <si>
    <t>Capital Structure</t>
  </si>
  <si>
    <t>Total Debt</t>
  </si>
  <si>
    <t>Total Equity</t>
  </si>
  <si>
    <t>Total Mix (Debt + Equity)</t>
  </si>
  <si>
    <t>% of Debt</t>
  </si>
  <si>
    <t>% of Equity</t>
  </si>
  <si>
    <t>Debt to Equity</t>
  </si>
  <si>
    <t>Cost of Equity (CAPM)</t>
  </si>
  <si>
    <t>Risk-free Rate (Rf)</t>
  </si>
  <si>
    <t>Source: RBI 10-year Government Securities yield (FY2025)</t>
  </si>
  <si>
    <t>Beta (β)</t>
  </si>
  <si>
    <t>Market Risk Premium (Rm - Rf)</t>
  </si>
  <si>
    <t>Source: India Equity Risk Premium (Damodaran estimate)</t>
  </si>
  <si>
    <t>Cost of Equity [Ke = Rf + β×(Rm-Rf)]</t>
  </si>
  <si>
    <t>Cost of Debt</t>
  </si>
  <si>
    <t>Finance Cost (FY2025)</t>
  </si>
  <si>
    <t>Total Debt (FY2025)</t>
  </si>
  <si>
    <t>Pre-tax Cost of Debt [Kd = FC/Debt]</t>
  </si>
  <si>
    <t>Post-tax Cost of Debt [Kd*(1-T)]</t>
  </si>
  <si>
    <t>WACC</t>
  </si>
  <si>
    <t>Source</t>
  </si>
  <si>
    <t>Weight</t>
  </si>
  <si>
    <t>Cost</t>
  </si>
  <si>
    <t>Weighted Cost</t>
  </si>
  <si>
    <t>Debt</t>
  </si>
  <si>
    <t>Equity</t>
  </si>
  <si>
    <t>wacc = we*ke+wd*kd</t>
  </si>
  <si>
    <t>Sales Forecasting</t>
  </si>
  <si>
    <t>EBITDA Forecasting</t>
  </si>
  <si>
    <t>Earning per share Forecasting</t>
  </si>
  <si>
    <t>Year Weight</t>
  </si>
  <si>
    <t>Year</t>
  </si>
  <si>
    <t>Sales</t>
  </si>
  <si>
    <t>EPS</t>
  </si>
  <si>
    <t>EPS Growth</t>
  </si>
  <si>
    <t>Historical Avg Growth</t>
  </si>
  <si>
    <t>Forecast Avg Growth</t>
  </si>
  <si>
    <t>Scenario 1: Bull Case (High Growth)</t>
  </si>
  <si>
    <t>INR Cr.</t>
  </si>
  <si>
    <t>LTM</t>
  </si>
  <si>
    <t>Y1E</t>
  </si>
  <si>
    <t>Y2E</t>
  </si>
  <si>
    <t>Y3E</t>
  </si>
  <si>
    <t>Y4W</t>
  </si>
  <si>
    <t>Y5E</t>
  </si>
  <si>
    <t>Y6E</t>
  </si>
  <si>
    <t>Y7E</t>
  </si>
  <si>
    <t>Y8E</t>
  </si>
  <si>
    <t>Y9E</t>
  </si>
  <si>
    <t>Y10E</t>
  </si>
  <si>
    <t>Risk free rate</t>
  </si>
  <si>
    <t>Sales Growth %</t>
  </si>
  <si>
    <t>Scenario 2: Base Case (Average Growth)</t>
  </si>
  <si>
    <t>Average rate</t>
  </si>
  <si>
    <t>Scenario 3: Bear Case (EBIT Growth)</t>
  </si>
  <si>
    <t>Live Scenario</t>
  </si>
  <si>
    <t xml:space="preserve">Dividend Per share </t>
  </si>
  <si>
    <t>ROE</t>
  </si>
  <si>
    <t>DPR</t>
  </si>
  <si>
    <t>Retained Earnings</t>
  </si>
  <si>
    <t>Growth Rate</t>
  </si>
  <si>
    <t>Y4E</t>
  </si>
  <si>
    <t>Terminal Year</t>
  </si>
  <si>
    <t>Key Inputs</t>
  </si>
  <si>
    <t>GROWTH RATE</t>
  </si>
  <si>
    <t>Roe *Retention Ratio</t>
  </si>
  <si>
    <t>Cost of Capital (WACC) %</t>
  </si>
  <si>
    <t>roe</t>
  </si>
  <si>
    <t>net income/equity share holder</t>
  </si>
  <si>
    <t>Post-Tax ROCE (avg historical) %</t>
  </si>
  <si>
    <t>Avg Reinvestment Rate % (FCFF sheet)</t>
  </si>
  <si>
    <t>retention ratio</t>
  </si>
  <si>
    <t>EBIT Margin %</t>
  </si>
  <si>
    <t>Terminal Growth Rate g = Reinv.Rate × ROCE</t>
  </si>
  <si>
    <t>Terminal Reinvestment Rate = g / ROCE</t>
  </si>
  <si>
    <t>EBIT*(1-T) = NOPAT</t>
  </si>
  <si>
    <t>Valuation Outputs</t>
  </si>
  <si>
    <t>Enterprise Value (EV)</t>
  </si>
  <si>
    <t>Less: Change in Working Capital</t>
  </si>
  <si>
    <t>Equity Value</t>
  </si>
  <si>
    <t>Shares Outstanding (Cr)</t>
  </si>
  <si>
    <t>Free Cash Flow To Firm (FCFF)</t>
  </si>
  <si>
    <t>Intrinsic Value Per Share (Rs.)</t>
  </si>
  <si>
    <t>Implied Reinvestment Rate %</t>
  </si>
  <si>
    <t xml:space="preserve">CMP (Rs.) </t>
  </si>
  <si>
    <t>Upside / (Downside) %</t>
  </si>
  <si>
    <t>Terminal Value</t>
  </si>
  <si>
    <t>Sensitivity Analysis — Intrinsic Value (Rs.)</t>
  </si>
  <si>
    <t>Present Value Interest Factor (PVIF)</t>
  </si>
  <si>
    <t>g ↓  /  WACC →</t>
  </si>
  <si>
    <t>Present Value of FCFF</t>
  </si>
  <si>
    <t>Present Value of Terminal Value</t>
  </si>
  <si>
    <t>Value of Operating Assets (EV)</t>
  </si>
  <si>
    <t>Add: Cash &amp; Cash Equivalents</t>
  </si>
  <si>
    <t>Less: Total Debt</t>
  </si>
  <si>
    <t>Less: Minority Interest</t>
  </si>
  <si>
    <t>Current Market Price (Rs.) — update</t>
  </si>
  <si>
    <t>RELATIVE VALUATION – DMART  (FY2025  |  INR Crores)</t>
  </si>
  <si>
    <t>Market Data</t>
  </si>
  <si>
    <t>Financial Data</t>
  </si>
  <si>
    <t>Valuation Ratios</t>
  </si>
  <si>
    <t>Price
(₹)</t>
  </si>
  <si>
    <t>Shares
(Cr.)</t>
  </si>
  <si>
    <t>Mkt Cap
(Cr.)</t>
  </si>
  <si>
    <t>EV
(Cr.)</t>
  </si>
  <si>
    <t>Revenue
(Cr.)</t>
  </si>
  <si>
    <t>EBITDA
(Cr.)</t>
  </si>
  <si>
    <t>EBIT
(Cr.)</t>
  </si>
  <si>
    <t>EPS
(₹)</t>
  </si>
  <si>
    <t>P/E</t>
  </si>
  <si>
    <t>EV/Sales</t>
  </si>
  <si>
    <t>EV/EBITDA</t>
  </si>
  <si>
    <t>EV/EBIT</t>
  </si>
  <si>
    <t>Avenue Super.</t>
  </si>
  <si>
    <t>Vishal Mega Mart</t>
  </si>
  <si>
    <t>V-Mart Retail</t>
  </si>
  <si>
    <t>Shoppers Stop</t>
  </si>
  <si>
    <t>Electronics Mart</t>
  </si>
  <si>
    <t>Peer Average</t>
  </si>
  <si>
    <t>Peer Median</t>
  </si>
  <si>
    <t>NMDC — IMPLIED SHARE PRICE FROM PEER MULTIPLES</t>
  </si>
  <si>
    <t>Valuation
Basis</t>
  </si>
  <si>
    <t>Peer Avg
Multiple</t>
  </si>
  <si>
    <t>Peer Median
Multiple</t>
  </si>
  <si>
    <t>NMDC
Actual</t>
  </si>
  <si>
    <t>Implied EV
(Avg)</t>
  </si>
  <si>
    <t>Implied EV
(Median)</t>
  </si>
  <si>
    <t>Implied Equity
(Avg)</t>
  </si>
  <si>
    <t>Implied Equity
(Median)</t>
  </si>
  <si>
    <t>Implied Price
(Avg) ₹</t>
  </si>
  <si>
    <t>Implied Price
(Med) ₹</t>
  </si>
  <si>
    <t>CMP ₹</t>
  </si>
  <si>
    <t>Premium/Disc
(vs Avg)</t>
  </si>
  <si>
    <t>Premium/Disc
(vs Med)</t>
  </si>
  <si>
    <t>EV / Sales</t>
  </si>
  <si>
    <t>EV / EBITDA</t>
  </si>
  <si>
    <t>P / E</t>
  </si>
  <si>
    <t>EV/Revenue</t>
  </si>
  <si>
    <t>P/E Ratio</t>
  </si>
  <si>
    <t>Max</t>
  </si>
  <si>
    <t>75th Percentile</t>
  </si>
  <si>
    <t>Average</t>
  </si>
  <si>
    <t>median</t>
  </si>
  <si>
    <t>25th Percentile</t>
  </si>
  <si>
    <t>Min.</t>
  </si>
  <si>
    <t>M&amp;M Industry Comparable comps</t>
  </si>
  <si>
    <t xml:space="preserve"> </t>
  </si>
  <si>
    <t>Implied Enterprise Value</t>
  </si>
  <si>
    <t>Net Debt</t>
  </si>
  <si>
    <t>Implied Market Value</t>
  </si>
  <si>
    <t>Share Outstanding</t>
  </si>
  <si>
    <t>Implied Value per Share</t>
  </si>
  <si>
    <t>Financial Year</t>
  </si>
  <si>
    <t>Revenue (₹ Crore)</t>
  </si>
  <si>
    <t>Profit After Tax (PAT) (₹ Crore)</t>
  </si>
  <si>
    <t>Revenue Change (%)</t>
  </si>
  <si>
    <t>PAT Change (%)</t>
  </si>
  <si>
    <t>Nifty 50 Change (%)</t>
  </si>
  <si>
    <t>Nifty 50 Prices</t>
  </si>
  <si>
    <t>Market Cap</t>
  </si>
  <si>
    <t>₹ 2,62,088 Cr.</t>
  </si>
  <si>
    <t>FY 2025-26</t>
  </si>
  <si>
    <t>Current Price</t>
  </si>
  <si>
    <t>₹ 4,019</t>
  </si>
  <si>
    <t>FY 2024-25</t>
  </si>
  <si>
    <t>High / Low</t>
  </si>
  <si>
    <t>₹ 4,950 / 3,529</t>
  </si>
  <si>
    <t>FY 2023-24</t>
  </si>
  <si>
    <t>Stock P/E</t>
  </si>
  <si>
    <t>FY 2022-23</t>
  </si>
  <si>
    <t>Book Value</t>
  </si>
  <si>
    <t>FY 2021-22</t>
  </si>
  <si>
    <t>Dividend Yield</t>
  </si>
  <si>
    <t>ROCE</t>
  </si>
  <si>
    <t>17.2 %</t>
  </si>
  <si>
    <t>13.0 %</t>
  </si>
  <si>
    <t>Face Value</t>
  </si>
  <si>
    <t>STOCK ANALYSIS – FINAL CALL</t>
  </si>
  <si>
    <t>RECOMMENDATION: SELL / AVOID FRESH BUY  –  CMP Rs.4,019 vs Fair Value Rs.45 (DCF) / Rs.399–Rs.1,910 (Relative)</t>
  </si>
  <si>
    <t>• DCF intrinsic value ~Rs.45/share vs CMP Rs.4,200 – huge downside.</t>
  </si>
  <si>
    <t>• Relative valuation (peer P/E, EV/Sales, EV/EBITDA) implies fair price Rs.399–Rs.1,910 – still 53-99% below CMP.</t>
  </si>
  <si>
    <t>• Stock P/E 88.2x vs peer average ~9.5x and median ~40.7x – very expensive.</t>
  </si>
  <si>
    <t>• Revenue growth slowing: 38% (FY23) -&gt; 19% -&gt; 17% -&gt; ~16% (FY26E).</t>
  </si>
  <si>
    <t>• Profit growth slowing sharply: 59% (FY23) -&gt; ~7% -&gt; ~7% -&gt; ~10% (FY26E).</t>
  </si>
  <si>
    <t>• Margins falling: EBITDA margin 8.45% -&gt; 7.64%, Net margin 4.82% -&gt; 4.32% (FY22 to FY26E).</t>
  </si>
  <si>
    <t>• Returns falling: ROE 14.8% -&gt; 12.1%, ROCE 18.8% -&gt; 16.4%, ROA 13.1% -&gt; 10.1%.</t>
  </si>
  <si>
    <t>• Interest coverage dropped 60.5x -&gt; 29.7x (still safe but trend down).</t>
  </si>
  <si>
    <t>• Dividend yield = 0% – no income cushion while waiting.</t>
  </si>
  <si>
    <t>• Business quality is strong (415 stores, owned real estate, EDLC/EDLP moat) – issue is only PRICE.</t>
  </si>
  <si>
    <t>ACTION:</t>
  </si>
  <si>
    <t>• Existing holders: Book partial profits / trail stop-loss.</t>
  </si>
  <si>
    <t>• New investors: Wait for price near Rs.1,000–Rs.1,900 zone or clear growth re-acceleration before buying.</t>
  </si>
  <si>
    <t>About the Company (DMART)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</si>
</sst>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0">
    <numFmt numFmtId="164" formatCode="#,##0;\(#,##0\);\-"/>
    <numFmt numFmtId="165" formatCode="0.00%;\(0.00%\);\-"/>
    <numFmt numFmtId="166" formatCode="m/d/yyyy"/>
    <numFmt numFmtId="167" formatCode="0.000"/>
    <numFmt numFmtId="168" formatCode="mmm\-yy"/>
    <numFmt numFmtId="169" formatCode="0.0%"/>
    <numFmt numFmtId="170" formatCode="0.00\x"/>
    <numFmt numFmtId="171" formatCode="0.0"/>
    <numFmt numFmtId="172" formatCode="_ * #,##0.00_ ;_ * \-#,##0.00_ ;_ * \-??_ ;_ @_ "/>
    <numFmt numFmtId="173" formatCode="0.000000000000000%"/>
    <numFmt numFmtId="174" formatCode="yyyy\A"/>
    <numFmt numFmtId="175" formatCode="yyyy\E"/>
    <numFmt numFmtId="176" formatCode="0.0000"/>
    <numFmt numFmtId="177" formatCode="0.0\x"/>
    <numFmt numFmtId="178" formatCode="#,##0.0"/>
    <numFmt numFmtId="179" formatCode="\₹#,##0"/>
    <numFmt numFmtId="180" formatCode="0.0%;\(0.0%\);\-"/>
    <numFmt numFmtId="181" formatCode="0.\X"/>
    <numFmt numFmtId="182" formatCode="0.000%"/>
    <numFmt numFmtId="183" formatCode="&quot;₹ &quot;#,##0.00;[Red]&quot;₹ -&quot;#,##0.00"/>
  </numFmts>
  <fonts count="67" x14ac:knownFonts="1">
    <font>
      <sz val="11"/>
      <color theme="1"/>
      <name val="Calibri"/>
      <charset val="1"/>
    </font>
    <font>
      <b/>
      <sz val="18"/>
      <color rgb="FFFFFFFF"/>
      <name val="Calibri"/>
      <family val="2"/>
      <charset val="1"/>
    </font>
    <font>
      <sz val="11"/>
      <color rgb="FF1A1A2E"/>
      <name val="Calibri"/>
      <family val="2"/>
      <charset val="1"/>
    </font>
    <font>
      <b/>
      <sz val="14"/>
      <color rgb="FFFFFFFF"/>
      <name val="Calibri"/>
      <family val="2"/>
      <charset val="1"/>
    </font>
    <font>
      <b/>
      <sz val="10"/>
      <color rgb="FFFFFFFF"/>
      <name val="Calibri"/>
      <family val="2"/>
      <charset val="1"/>
    </font>
    <font>
      <sz val="10"/>
      <color rgb="FF1A1A2E"/>
      <name val="Calibri"/>
      <family val="2"/>
      <charset val="1"/>
    </font>
    <font>
      <b/>
      <sz val="10"/>
      <color rgb="FF1A1A2E"/>
      <name val="Calibri"/>
      <family val="2"/>
      <charset val="1"/>
    </font>
    <font>
      <b/>
      <sz val="14"/>
      <color rgb="FFFFFFFF"/>
      <name val="Arial"/>
      <family val="2"/>
      <charset val="1"/>
    </font>
    <font>
      <sz val="10"/>
      <name val="Arial"/>
      <family val="2"/>
      <charset val="1"/>
    </font>
    <font>
      <b/>
      <sz val="11"/>
      <color rgb="FFFFFFFF"/>
      <name val="Arial"/>
      <family val="2"/>
      <charset val="1"/>
    </font>
    <font>
      <b/>
      <sz val="10"/>
      <color rgb="FFFFFFFF"/>
      <name val="Arial"/>
      <family val="2"/>
      <charset val="1"/>
    </font>
    <font>
      <b/>
      <sz val="10"/>
      <name val="Arial"/>
      <family val="2"/>
      <charset val="1"/>
    </font>
    <font>
      <i/>
      <sz val="9"/>
      <color rgb="FF595959"/>
      <name val="Arial"/>
      <family val="2"/>
      <charset val="1"/>
    </font>
    <font>
      <b/>
      <sz val="11"/>
      <name val="Calibri"/>
      <family val="2"/>
      <charset val="1"/>
    </font>
    <font>
      <i/>
      <sz val="11"/>
      <color theme="1"/>
      <name val="Calibri"/>
      <family val="2"/>
      <charset val="1"/>
    </font>
    <font>
      <b/>
      <sz val="10"/>
      <name val="Calibri"/>
      <family val="2"/>
      <charset val="1"/>
    </font>
    <font>
      <b/>
      <sz val="10"/>
      <color rgb="FF1F4E79"/>
      <name val="Calibri"/>
      <family val="2"/>
      <charset val="1"/>
    </font>
    <font>
      <b/>
      <i/>
      <sz val="11"/>
      <color theme="1"/>
      <name val="Calibri"/>
      <family val="2"/>
      <charset val="1"/>
    </font>
    <font>
      <b/>
      <sz val="11"/>
      <color theme="0"/>
      <name val="Calibri"/>
      <family val="2"/>
      <charset val="1"/>
    </font>
    <font>
      <sz val="11"/>
      <name val="Calibri"/>
      <family val="2"/>
      <charset val="1"/>
    </font>
    <font>
      <sz val="11"/>
      <color rgb="FF000000"/>
      <name val="Calibri"/>
      <family val="2"/>
      <charset val="1"/>
    </font>
    <font>
      <b/>
      <sz val="11"/>
      <color theme="1"/>
      <name val="Calibri"/>
      <family val="2"/>
      <charset val="1"/>
    </font>
    <font>
      <sz val="11"/>
      <color theme="1"/>
      <name val="Calibri"/>
      <family val="2"/>
      <charset val="1"/>
    </font>
    <font>
      <sz val="10"/>
      <color rgb="FF000000"/>
      <name val="Arial"/>
      <family val="2"/>
      <charset val="1"/>
    </font>
    <font>
      <b/>
      <sz val="10"/>
      <color rgb="FF000000"/>
      <name val="Arial"/>
      <family val="2"/>
      <charset val="1"/>
    </font>
    <font>
      <b/>
      <sz val="11"/>
      <color rgb="FF000000"/>
      <name val="Calibri"/>
      <family val="2"/>
      <charset val="1"/>
    </font>
    <font>
      <sz val="10"/>
      <color theme="1"/>
      <name val="Arial"/>
      <family val="2"/>
      <charset val="1"/>
    </font>
    <font>
      <b/>
      <sz val="12"/>
      <color rgb="FFFFFFFF"/>
      <name val="Arial"/>
      <family val="2"/>
      <charset val="1"/>
    </font>
    <font>
      <sz val="11"/>
      <color rgb="FF595959"/>
      <name val="Calibri"/>
      <family val="2"/>
      <charset val="1"/>
    </font>
    <font>
      <sz val="11"/>
      <color rgb="FF0070C0"/>
      <name val="Calibri"/>
      <family val="2"/>
      <charset val="1"/>
    </font>
    <font>
      <b/>
      <sz val="11"/>
      <color rgb="FF1F4E79"/>
      <name val="Calibri"/>
      <family val="2"/>
      <charset val="1"/>
    </font>
    <font>
      <b/>
      <sz val="10"/>
      <color rgb="FF595959"/>
      <name val="Calibri"/>
      <family val="2"/>
      <charset val="1"/>
    </font>
    <font>
      <b/>
      <sz val="11"/>
      <color rgb="FF375623"/>
      <name val="Calibri"/>
      <family val="2"/>
      <charset val="1"/>
    </font>
    <font>
      <b/>
      <sz val="11"/>
      <color rgb="FFC00000"/>
      <name val="Calibri"/>
      <family val="2"/>
      <charset val="1"/>
    </font>
    <font>
      <b/>
      <sz val="12"/>
      <color rgb="FFC00000"/>
      <name val="Calibri"/>
      <family val="2"/>
      <charset val="1"/>
    </font>
    <font>
      <sz val="9"/>
      <color rgb="FFBFBFBF"/>
      <name val="Calibri"/>
      <family val="2"/>
      <charset val="1"/>
    </font>
    <font>
      <b/>
      <sz val="10"/>
      <color rgb="FF000000"/>
      <name val="Calibri"/>
      <family val="2"/>
      <charset val="1"/>
    </font>
    <font>
      <b/>
      <sz val="10"/>
      <color rgb="FF375623"/>
      <name val="Calibri"/>
      <family val="2"/>
      <charset val="1"/>
    </font>
    <font>
      <b/>
      <sz val="12"/>
      <color rgb="FF375623"/>
      <name val="Calibri"/>
      <family val="2"/>
      <charset val="1"/>
    </font>
    <font>
      <b/>
      <sz val="10"/>
      <color theme="1"/>
      <name val="Calibri"/>
      <family val="2"/>
      <charset val="1"/>
    </font>
    <font>
      <b/>
      <sz val="12"/>
      <color theme="0"/>
      <name val="Arial"/>
      <family val="2"/>
      <charset val="1"/>
    </font>
    <font>
      <b/>
      <sz val="10"/>
      <color theme="0"/>
      <name val="Arial"/>
      <family val="2"/>
      <charset val="1"/>
    </font>
    <font>
      <b/>
      <sz val="9"/>
      <color theme="0"/>
      <name val="Arial"/>
      <family val="2"/>
      <charset val="1"/>
    </font>
    <font>
      <u/>
      <sz val="11"/>
      <color rgb="FF0000FF"/>
      <name val="Calibri"/>
      <family val="2"/>
      <charset val="1"/>
    </font>
    <font>
      <sz val="11"/>
      <color rgb="FF22222F"/>
      <name val="Calibri"/>
      <family val="2"/>
      <charset val="1"/>
    </font>
    <font>
      <sz val="8"/>
      <color rgb="FF22222F"/>
      <name val="Arial"/>
      <family val="2"/>
      <charset val="1"/>
    </font>
    <font>
      <sz val="7"/>
      <color theme="1"/>
      <name val="Arial"/>
      <family val="2"/>
      <charset val="1"/>
    </font>
    <font>
      <sz val="7"/>
      <color rgb="FF000000"/>
      <name val="Arial"/>
      <family val="2"/>
      <charset val="1"/>
    </font>
    <font>
      <b/>
      <sz val="11"/>
      <color theme="0"/>
      <name val="Arial"/>
      <family val="2"/>
      <charset val="1"/>
    </font>
    <font>
      <sz val="11"/>
      <color rgb="FF606F7B"/>
      <name val="Arial"/>
      <family val="2"/>
      <charset val="1"/>
    </font>
    <font>
      <sz val="11"/>
      <color rgb="FF22222F"/>
      <name val="Arial"/>
      <family val="2"/>
      <charset val="1"/>
    </font>
    <font>
      <b/>
      <sz val="13"/>
      <color rgb="FFFFFFFF"/>
      <name val="Calibri"/>
      <family val="2"/>
    </font>
    <font>
      <sz val="11"/>
      <name val="Calibri"/>
      <family val="2"/>
    </font>
    <font>
      <b/>
      <sz val="14"/>
      <color rgb="FFFFFFFF"/>
      <name val="Calibri"/>
      <family val="2"/>
    </font>
    <font>
      <sz val="10.5"/>
      <color rgb="FF1A1A2E"/>
      <name val="Calibri"/>
      <family val="2"/>
    </font>
    <font>
      <b/>
      <sz val="11"/>
      <color rgb="FF1F3864"/>
      <name val="Calibri"/>
      <family val="2"/>
    </font>
    <font>
      <i/>
      <sz val="9"/>
      <color rgb="FF595959"/>
      <name val="Calibri"/>
      <family val="2"/>
    </font>
    <font>
      <b/>
      <sz val="11"/>
      <color rgb="FFFFFFFF"/>
      <name val="Calibri"/>
      <family val="2"/>
      <scheme val="minor"/>
    </font>
    <font>
      <sz val="10"/>
      <name val="Calibri"/>
      <family val="2"/>
      <scheme val="minor"/>
    </font>
    <font>
      <b/>
      <sz val="10"/>
      <color rgb="FFFFFFFF"/>
      <name val="Calibri"/>
      <family val="2"/>
      <scheme val="minor"/>
    </font>
    <font>
      <b/>
      <sz val="10"/>
      <name val="Calibri"/>
      <family val="2"/>
      <scheme val="minor"/>
    </font>
    <font>
      <b/>
      <sz val="11"/>
      <color theme="0"/>
      <name val="Calibri"/>
      <family val="2"/>
    </font>
    <font>
      <sz val="11"/>
      <color theme="0"/>
      <name val="Calibri"/>
      <family val="2"/>
    </font>
    <font>
      <b/>
      <sz val="12"/>
      <color theme="0"/>
      <name val="Calibri"/>
      <family val="2"/>
      <charset val="1"/>
    </font>
    <font>
      <b/>
      <sz val="10"/>
      <color theme="0"/>
      <name val="Calibri"/>
      <family val="2"/>
      <charset val="1"/>
    </font>
    <font>
      <b/>
      <sz val="20"/>
      <color theme="0"/>
      <name val="Calibri"/>
      <family val="2"/>
    </font>
    <font>
      <sz val="11"/>
      <color theme="0"/>
      <name val="Calibri"/>
      <family val="2"/>
      <charset val="1"/>
    </font>
  </fonts>
  <fills count="44">
    <fill>
      <patternFill patternType="none"/>
    </fill>
    <fill>
      <patternFill patternType="gray125"/>
    </fill>
    <fill>
      <patternFill patternType="solid">
        <fgColor rgb="FF1F3864"/>
        <bgColor rgb="FF1F3F5A"/>
      </patternFill>
    </fill>
    <fill>
      <patternFill patternType="solid">
        <fgColor rgb="FFD6E4F7"/>
        <bgColor rgb="FFD5E8F5"/>
      </patternFill>
    </fill>
    <fill>
      <patternFill patternType="solid">
        <fgColor rgb="FFD9E1F2"/>
        <bgColor rgb="FFDBE4F0"/>
      </patternFill>
    </fill>
    <fill>
      <patternFill patternType="solid">
        <fgColor rgb="FFBDD7EE"/>
        <bgColor rgb="FFD6E4F7"/>
      </patternFill>
    </fill>
    <fill>
      <patternFill patternType="solid">
        <fgColor rgb="FFE0E0E0"/>
        <bgColor rgb="FFDBE4F0"/>
      </patternFill>
    </fill>
    <fill>
      <patternFill patternType="solid">
        <fgColor rgb="FFA7A7A7"/>
        <bgColor rgb="FFBFBFBF"/>
      </patternFill>
    </fill>
    <fill>
      <patternFill patternType="solid">
        <fgColor rgb="FFFFFFFF"/>
        <bgColor rgb="FFF8F8FC"/>
      </patternFill>
    </fill>
    <fill>
      <patternFill patternType="solid">
        <fgColor theme="0" tint="-0.249977111117893"/>
        <bgColor rgb="FFA7A7A7"/>
      </patternFill>
    </fill>
    <fill>
      <patternFill patternType="solid">
        <fgColor theme="7" tint="0.79949339274269848"/>
        <bgColor rgb="FFFCE4D6"/>
      </patternFill>
    </fill>
    <fill>
      <patternFill patternType="solid">
        <fgColor rgb="FF1F4E79"/>
        <bgColor rgb="FF18507A"/>
      </patternFill>
    </fill>
    <fill>
      <patternFill patternType="solid">
        <fgColor rgb="FFDEEAF1"/>
        <bgColor rgb="FFDDEBF7"/>
      </patternFill>
    </fill>
    <fill>
      <patternFill patternType="solid">
        <fgColor rgb="FFDCE6F1"/>
        <bgColor rgb="FFDBE4F0"/>
      </patternFill>
    </fill>
    <fill>
      <patternFill patternType="solid">
        <fgColor rgb="FF375623"/>
        <bgColor rgb="FF404040"/>
      </patternFill>
    </fill>
    <fill>
      <patternFill patternType="solid">
        <fgColor rgb="FFEBF1DE"/>
        <bgColor rgb="FFE2EFDA"/>
      </patternFill>
    </fill>
    <fill>
      <patternFill patternType="solid">
        <fgColor rgb="FFC00000"/>
        <bgColor rgb="FFFF0000"/>
      </patternFill>
    </fill>
    <fill>
      <patternFill patternType="solid">
        <fgColor rgb="FFFCE4D6"/>
        <bgColor rgb="FFFFF2CC"/>
      </patternFill>
    </fill>
    <fill>
      <patternFill patternType="solid">
        <fgColor rgb="FF1D324E"/>
        <bgColor rgb="FF1F3864"/>
      </patternFill>
    </fill>
    <fill>
      <patternFill patternType="solid">
        <fgColor rgb="FF404040"/>
        <bgColor rgb="FF375623"/>
      </patternFill>
    </fill>
    <fill>
      <patternFill patternType="solid">
        <fgColor rgb="FFF2F2F2"/>
        <bgColor rgb="FFEBF3FB"/>
      </patternFill>
    </fill>
    <fill>
      <patternFill patternType="solid">
        <fgColor rgb="FFF8F8FC"/>
        <bgColor rgb="FFF2F2F2"/>
      </patternFill>
    </fill>
    <fill>
      <patternFill patternType="solid">
        <fgColor rgb="FFD5E8F5"/>
        <bgColor rgb="FFD6E4F7"/>
      </patternFill>
    </fill>
    <fill>
      <patternFill patternType="solid">
        <fgColor theme="0"/>
        <bgColor rgb="FFF2F2F2"/>
      </patternFill>
    </fill>
    <fill>
      <patternFill patternType="solid">
        <fgColor theme="4" tint="-0.249977111117893"/>
        <bgColor rgb="FF1F3F5A"/>
      </patternFill>
    </fill>
    <fill>
      <patternFill patternType="solid">
        <fgColor theme="4" tint="-0.249977111117893"/>
        <bgColor indexed="64"/>
      </patternFill>
    </fill>
    <fill>
      <patternFill patternType="solid">
        <fgColor theme="4" tint="-0.249977111117893"/>
        <bgColor rgb="FF2E5395"/>
      </patternFill>
    </fill>
    <fill>
      <patternFill patternType="solid">
        <fgColor theme="0"/>
        <bgColor rgb="FFD6E4F7"/>
      </patternFill>
    </fill>
    <fill>
      <patternFill patternType="solid">
        <fgColor theme="0"/>
        <bgColor rgb="FFDBE4F0"/>
      </patternFill>
    </fill>
    <fill>
      <patternFill patternType="solid">
        <fgColor theme="4" tint="-0.249977111117893"/>
        <bgColor rgb="FF2E5FA3"/>
      </patternFill>
    </fill>
    <fill>
      <patternFill patternType="solid">
        <fgColor theme="4" tint="-0.249977111117893"/>
        <bgColor rgb="FF1D324E"/>
      </patternFill>
    </fill>
    <fill>
      <patternFill patternType="solid">
        <fgColor theme="0"/>
        <bgColor indexed="64"/>
      </patternFill>
    </fill>
    <fill>
      <patternFill patternType="solid">
        <fgColor theme="4" tint="-0.249977111117893"/>
        <bgColor rgb="FFDEEAF1"/>
      </patternFill>
    </fill>
    <fill>
      <patternFill patternType="solid">
        <fgColor theme="4" tint="-0.249977111117893"/>
        <bgColor rgb="FFDBE4F0"/>
      </patternFill>
    </fill>
    <fill>
      <patternFill patternType="solid">
        <fgColor theme="4" tint="-0.249977111117893"/>
        <bgColor rgb="FF3273B8"/>
      </patternFill>
    </fill>
    <fill>
      <patternFill patternType="solid">
        <fgColor theme="4" tint="-0.249977111117893"/>
        <bgColor rgb="FF1A5276"/>
      </patternFill>
    </fill>
    <fill>
      <patternFill patternType="solid">
        <fgColor theme="4" tint="-0.249977111117893"/>
        <bgColor rgb="FF404040"/>
      </patternFill>
    </fill>
    <fill>
      <patternFill patternType="solid">
        <fgColor theme="4" tint="-0.249977111117893"/>
        <bgColor rgb="FF18507A"/>
      </patternFill>
    </fill>
    <fill>
      <patternFill patternType="solid">
        <fgColor theme="4" tint="-0.249977111117893"/>
        <bgColor rgb="FF1F3864"/>
      </patternFill>
    </fill>
    <fill>
      <patternFill patternType="solid">
        <fgColor theme="4" tint="-0.249977111117893"/>
        <bgColor rgb="FFC55A11"/>
      </patternFill>
    </fill>
    <fill>
      <patternFill patternType="solid">
        <fgColor theme="0"/>
        <bgColor rgb="FFFFF2CC"/>
      </patternFill>
    </fill>
    <fill>
      <patternFill patternType="solid">
        <fgColor theme="4" tint="-0.249977111117893"/>
        <bgColor rgb="FF843C0B"/>
      </patternFill>
    </fill>
    <fill>
      <patternFill patternType="solid">
        <fgColor theme="0"/>
        <bgColor rgb="FFF8F8FC"/>
      </patternFill>
    </fill>
    <fill>
      <patternFill patternType="solid">
        <fgColor theme="4" tint="-0.249977111117893"/>
        <bgColor rgb="FF375623"/>
      </patternFill>
    </fill>
  </fills>
  <borders count="33">
    <border>
      <left/>
      <right/>
      <top/>
      <bottom/>
      <diagonal/>
    </border>
    <border>
      <left style="medium">
        <color auto="1"/>
      </left>
      <right style="medium">
        <color auto="1"/>
      </right>
      <top style="medium">
        <color auto="1"/>
      </top>
      <bottom style="medium">
        <color auto="1"/>
      </bottom>
      <diagonal/>
    </border>
    <border>
      <left style="thin">
        <color auto="1"/>
      </left>
      <right style="thin">
        <color auto="1"/>
      </right>
      <top style="thin">
        <color auto="1"/>
      </top>
      <bottom style="thin">
        <color auto="1"/>
      </bottom>
      <diagonal/>
    </border>
    <border>
      <left style="thin">
        <color rgb="FFBFBFBF"/>
      </left>
      <right style="thin">
        <color rgb="FFBFBFBF"/>
      </right>
      <top style="thin">
        <color rgb="FFBFBFBF"/>
      </top>
      <bottom style="thin">
        <color rgb="FFBFBFBF"/>
      </bottom>
      <diagonal/>
    </border>
    <border>
      <left style="thin">
        <color auto="1"/>
      </left>
      <right style="thin">
        <color auto="1"/>
      </right>
      <top/>
      <bottom/>
      <diagonal/>
    </border>
    <border>
      <left/>
      <right/>
      <top style="medium">
        <color auto="1"/>
      </top>
      <bottom style="thin">
        <color auto="1"/>
      </bottom>
      <diagonal/>
    </border>
    <border>
      <left/>
      <right/>
      <top/>
      <bottom style="medium">
        <color auto="1"/>
      </bottom>
      <diagonal/>
    </border>
    <border>
      <left style="thin">
        <color auto="1"/>
      </left>
      <right style="thin">
        <color auto="1"/>
      </right>
      <top/>
      <bottom style="thin">
        <color auto="1"/>
      </bottom>
      <diagonal/>
    </border>
    <border>
      <left style="thin">
        <color auto="1"/>
      </left>
      <right/>
      <top style="thin">
        <color auto="1"/>
      </top>
      <bottom style="thin">
        <color auto="1"/>
      </bottom>
      <diagonal/>
    </border>
    <border>
      <left style="thin">
        <color auto="1"/>
      </left>
      <right style="thin">
        <color auto="1"/>
      </right>
      <top style="thin">
        <color auto="1"/>
      </top>
      <bottom/>
      <diagonal/>
    </border>
    <border>
      <left style="thin">
        <color auto="1"/>
      </left>
      <right/>
      <top style="thin">
        <color theme="0"/>
      </top>
      <bottom style="thin">
        <color theme="0"/>
      </bottom>
      <diagonal/>
    </border>
    <border>
      <left style="thin">
        <color auto="1"/>
      </left>
      <right/>
      <top style="thin">
        <color auto="1"/>
      </top>
      <bottom/>
      <diagonal/>
    </border>
    <border>
      <left style="thin">
        <color auto="1"/>
      </left>
      <right/>
      <top/>
      <bottom/>
      <diagonal/>
    </border>
    <border>
      <left style="thin">
        <color auto="1"/>
      </left>
      <right/>
      <top/>
      <bottom style="thin">
        <color auto="1"/>
      </bottom>
      <diagonal/>
    </border>
    <border>
      <left style="thin">
        <color auto="1"/>
      </left>
      <right style="thin">
        <color auto="1"/>
      </right>
      <top style="thin">
        <color auto="1"/>
      </top>
      <bottom style="thin">
        <color theme="0"/>
      </bottom>
      <diagonal/>
    </border>
    <border>
      <left style="thin">
        <color auto="1"/>
      </left>
      <right style="thin">
        <color theme="0"/>
      </right>
      <top style="thin">
        <color theme="0"/>
      </top>
      <bottom/>
      <diagonal/>
    </border>
    <border>
      <left style="thin">
        <color theme="0"/>
      </left>
      <right style="thin">
        <color theme="0"/>
      </right>
      <top style="thin">
        <color theme="0"/>
      </top>
      <bottom style="thin">
        <color theme="0"/>
      </bottom>
      <diagonal/>
    </border>
    <border>
      <left style="thin">
        <color theme="0"/>
      </left>
      <right style="thin">
        <color auto="1"/>
      </right>
      <top style="thin">
        <color theme="0"/>
      </top>
      <bottom style="thin">
        <color theme="0"/>
      </bottom>
      <diagonal/>
    </border>
    <border>
      <left/>
      <right style="thin">
        <color theme="0"/>
      </right>
      <top style="thin">
        <color theme="0"/>
      </top>
      <bottom style="thin">
        <color theme="0"/>
      </bottom>
      <diagonal/>
    </border>
    <border>
      <left/>
      <right/>
      <top style="thin">
        <color auto="1"/>
      </top>
      <bottom style="thin">
        <color auto="1"/>
      </bottom>
      <diagonal/>
    </border>
    <border>
      <left/>
      <right style="thin">
        <color auto="1"/>
      </right>
      <top style="thin">
        <color auto="1"/>
      </top>
      <bottom style="thin">
        <color auto="1"/>
      </bottom>
      <diagonal/>
    </border>
    <border>
      <left style="medium">
        <color rgb="FFF2F2F2"/>
      </left>
      <right style="medium">
        <color rgb="FFF2F2F2"/>
      </right>
      <top/>
      <bottom/>
      <diagonal/>
    </border>
    <border>
      <left/>
      <right/>
      <top style="thin">
        <color auto="1"/>
      </top>
      <bottom style="thick">
        <color auto="1"/>
      </bottom>
      <diagonal/>
    </border>
    <border>
      <left/>
      <right/>
      <top/>
      <bottom style="medium">
        <color rgb="FFDBE4F0"/>
      </bottom>
      <diagonal/>
    </border>
    <border>
      <left/>
      <right/>
      <top style="medium">
        <color rgb="FF645DF9"/>
      </top>
      <bottom style="medium">
        <color rgb="FF645DF9"/>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right/>
      <top/>
      <bottom style="thin">
        <color auto="1"/>
      </bottom>
      <diagonal/>
    </border>
  </borders>
  <cellStyleXfs count="1">
    <xf numFmtId="0" fontId="0" fillId="0" borderId="0"/>
  </cellStyleXfs>
  <cellXfs count="327">
    <xf numFmtId="0" fontId="0" fillId="0" borderId="0" xfId="0"/>
    <xf numFmtId="0" fontId="0" fillId="0" borderId="0" xfId="0" applyAlignment="1"/>
    <xf numFmtId="0" fontId="0" fillId="0" borderId="2" xfId="0" applyBorder="1" applyAlignment="1"/>
    <xf numFmtId="0" fontId="5" fillId="0" borderId="2" xfId="0" applyFont="1" applyBorder="1" applyAlignment="1">
      <alignment horizontal="center" vertical="center" wrapText="1"/>
    </xf>
    <xf numFmtId="0" fontId="5" fillId="0" borderId="2" xfId="0" applyFont="1" applyBorder="1" applyAlignment="1">
      <alignment horizontal="left" vertical="center" wrapText="1" indent="1"/>
    </xf>
    <xf numFmtId="0" fontId="6" fillId="3" borderId="0" xfId="0" applyFont="1" applyFill="1" applyAlignment="1">
      <alignment horizontal="left" vertical="center" indent="1"/>
    </xf>
    <xf numFmtId="0" fontId="0" fillId="3" borderId="0" xfId="0" applyFill="1" applyAlignment="1"/>
    <xf numFmtId="0" fontId="8" fillId="0" borderId="0" xfId="0" applyFont="1" applyAlignment="1"/>
    <xf numFmtId="3" fontId="8" fillId="0" borderId="0" xfId="0" applyNumberFormat="1" applyFont="1" applyAlignment="1"/>
    <xf numFmtId="4" fontId="8" fillId="0" borderId="0" xfId="0" applyNumberFormat="1" applyFont="1" applyAlignment="1"/>
    <xf numFmtId="0" fontId="8" fillId="0" borderId="3" xfId="0" applyFont="1" applyBorder="1" applyAlignment="1">
      <alignment horizontal="center" vertical="center" wrapText="1"/>
    </xf>
    <xf numFmtId="0" fontId="8" fillId="0" borderId="3" xfId="0" applyFont="1" applyBorder="1" applyAlignment="1">
      <alignment horizontal="left" vertical="center" wrapText="1" indent="1"/>
    </xf>
    <xf numFmtId="164" fontId="8" fillId="0" borderId="3" xfId="0" applyNumberFormat="1" applyFont="1" applyBorder="1" applyAlignment="1">
      <alignment horizontal="center" vertical="center" wrapText="1"/>
    </xf>
    <xf numFmtId="164" fontId="8" fillId="0" borderId="3" xfId="0" applyNumberFormat="1" applyFont="1" applyBorder="1" applyAlignment="1">
      <alignment horizontal="right" vertical="center"/>
    </xf>
    <xf numFmtId="165" fontId="8" fillId="0" borderId="3" xfId="0" applyNumberFormat="1" applyFont="1" applyBorder="1" applyAlignment="1">
      <alignment horizontal="right" vertical="center"/>
    </xf>
    <xf numFmtId="0" fontId="11" fillId="0" borderId="0" xfId="0" applyFont="1" applyAlignment="1"/>
    <xf numFmtId="0" fontId="12" fillId="0" borderId="0" xfId="0" applyFont="1" applyAlignment="1"/>
    <xf numFmtId="3" fontId="8" fillId="0" borderId="3" xfId="0" applyNumberFormat="1" applyFont="1" applyBorder="1" applyAlignment="1">
      <alignment horizontal="center" vertical="center" wrapText="1"/>
    </xf>
    <xf numFmtId="0" fontId="13" fillId="0" borderId="2" xfId="0" applyFont="1" applyBorder="1" applyAlignment="1"/>
    <xf numFmtId="4" fontId="0" fillId="0" borderId="2" xfId="0" applyNumberFormat="1" applyBorder="1" applyAlignment="1">
      <alignment horizontal="right"/>
    </xf>
    <xf numFmtId="4" fontId="13" fillId="0" borderId="2" xfId="0" applyNumberFormat="1" applyFont="1" applyBorder="1" applyAlignment="1">
      <alignment horizontal="right"/>
    </xf>
    <xf numFmtId="0" fontId="13" fillId="0" borderId="2" xfId="0" applyFont="1" applyBorder="1" applyAlignment="1">
      <alignment horizontal="center" vertical="top"/>
    </xf>
    <xf numFmtId="2" fontId="0" fillId="0" borderId="0" xfId="0" applyNumberFormat="1" applyAlignment="1"/>
    <xf numFmtId="0" fontId="14" fillId="0" borderId="5" xfId="0" applyFont="1" applyBorder="1" applyAlignment="1">
      <alignment horizontal="center"/>
    </xf>
    <xf numFmtId="0" fontId="0" fillId="0" borderId="6" xfId="0" applyFont="1" applyBorder="1" applyAlignment="1"/>
    <xf numFmtId="0" fontId="15" fillId="4" borderId="2" xfId="0" applyFont="1" applyFill="1" applyBorder="1" applyAlignment="1"/>
    <xf numFmtId="168" fontId="15" fillId="4" borderId="2" xfId="0" applyNumberFormat="1" applyFont="1" applyFill="1" applyBorder="1" applyAlignment="1"/>
    <xf numFmtId="168" fontId="15" fillId="4" borderId="2" xfId="0" applyNumberFormat="1" applyFont="1" applyFill="1" applyBorder="1" applyAlignment="1">
      <alignment horizontal="center"/>
    </xf>
    <xf numFmtId="0" fontId="15" fillId="4" borderId="2" xfId="0" applyFont="1" applyFill="1" applyBorder="1" applyAlignment="1">
      <alignment horizontal="center"/>
    </xf>
    <xf numFmtId="0" fontId="16" fillId="0" borderId="2" xfId="0" applyFont="1" applyBorder="1" applyAlignment="1"/>
    <xf numFmtId="10" fontId="0" fillId="0" borderId="2" xfId="0" applyNumberFormat="1" applyBorder="1" applyAlignment="1"/>
    <xf numFmtId="169" fontId="0" fillId="0" borderId="2" xfId="0" applyNumberFormat="1" applyBorder="1" applyAlignment="1"/>
    <xf numFmtId="170" fontId="0" fillId="0" borderId="2" xfId="0" applyNumberFormat="1" applyBorder="1" applyAlignment="1"/>
    <xf numFmtId="4" fontId="0" fillId="0" borderId="2" xfId="0" applyNumberFormat="1" applyBorder="1" applyAlignment="1"/>
    <xf numFmtId="0" fontId="17" fillId="0" borderId="2" xfId="0" applyFont="1" applyBorder="1" applyAlignment="1"/>
    <xf numFmtId="171" fontId="0" fillId="0" borderId="2" xfId="0" applyNumberFormat="1" applyBorder="1" applyAlignment="1"/>
    <xf numFmtId="0" fontId="19" fillId="0" borderId="2" xfId="0" applyFont="1" applyBorder="1" applyAlignment="1"/>
    <xf numFmtId="0" fontId="15" fillId="0" borderId="2" xfId="0" applyFont="1" applyBorder="1" applyAlignment="1"/>
    <xf numFmtId="4" fontId="15" fillId="0" borderId="2" xfId="0" applyNumberFormat="1" applyFont="1" applyBorder="1" applyAlignment="1"/>
    <xf numFmtId="0" fontId="15" fillId="0" borderId="0" xfId="0" applyFont="1" applyAlignment="1"/>
    <xf numFmtId="169" fontId="19" fillId="0" borderId="2" xfId="0" applyNumberFormat="1" applyFont="1" applyBorder="1" applyAlignment="1"/>
    <xf numFmtId="0" fontId="19" fillId="0" borderId="7" xfId="0" applyFont="1" applyBorder="1" applyAlignment="1"/>
    <xf numFmtId="10" fontId="19" fillId="0" borderId="0" xfId="0" applyNumberFormat="1" applyFont="1" applyAlignment="1"/>
    <xf numFmtId="10" fontId="20" fillId="0" borderId="0" xfId="0" applyNumberFormat="1" applyFont="1" applyAlignment="1"/>
    <xf numFmtId="0" fontId="19" fillId="0" borderId="0" xfId="0" applyFont="1" applyAlignment="1"/>
    <xf numFmtId="10" fontId="15" fillId="0" borderId="0" xfId="0" applyNumberFormat="1" applyFont="1" applyAlignment="1"/>
    <xf numFmtId="169" fontId="15" fillId="0" borderId="0" xfId="0" applyNumberFormat="1" applyFont="1" applyAlignment="1"/>
    <xf numFmtId="4" fontId="21" fillId="0" borderId="2" xfId="0" applyNumberFormat="1" applyFont="1" applyBorder="1" applyAlignment="1"/>
    <xf numFmtId="4" fontId="15" fillId="0" borderId="0" xfId="0" applyNumberFormat="1" applyFont="1" applyAlignment="1"/>
    <xf numFmtId="4" fontId="13" fillId="0" borderId="2" xfId="0" applyNumberFormat="1" applyFont="1" applyBorder="1" applyAlignment="1"/>
    <xf numFmtId="4" fontId="20" fillId="0" borderId="2" xfId="0" applyNumberFormat="1" applyFont="1" applyBorder="1" applyAlignment="1"/>
    <xf numFmtId="10" fontId="20" fillId="0" borderId="7" xfId="0" applyNumberFormat="1" applyFont="1" applyBorder="1" applyAlignment="1"/>
    <xf numFmtId="169" fontId="15" fillId="0" borderId="2" xfId="0" applyNumberFormat="1" applyFont="1" applyBorder="1" applyAlignment="1"/>
    <xf numFmtId="0" fontId="21" fillId="0" borderId="2" xfId="0" applyFont="1" applyBorder="1" applyAlignment="1"/>
    <xf numFmtId="0" fontId="22" fillId="0" borderId="0" xfId="0" applyFont="1" applyAlignment="1"/>
    <xf numFmtId="10" fontId="22" fillId="0" borderId="2" xfId="0" applyNumberFormat="1" applyFont="1" applyBorder="1" applyAlignment="1"/>
    <xf numFmtId="0" fontId="22" fillId="0" borderId="2" xfId="0" applyFont="1" applyBorder="1" applyAlignment="1"/>
    <xf numFmtId="0" fontId="13" fillId="0" borderId="9" xfId="0" applyFont="1" applyBorder="1" applyAlignment="1"/>
    <xf numFmtId="0" fontId="19" fillId="0" borderId="8" xfId="0" applyFont="1" applyBorder="1" applyAlignment="1"/>
    <xf numFmtId="10" fontId="20" fillId="0" borderId="2" xfId="0" applyNumberFormat="1" applyFont="1" applyBorder="1" applyAlignment="1"/>
    <xf numFmtId="10" fontId="0" fillId="0" borderId="0" xfId="0" applyNumberFormat="1" applyAlignment="1"/>
    <xf numFmtId="10" fontId="21" fillId="0" borderId="2" xfId="0" applyNumberFormat="1" applyFont="1" applyBorder="1" applyAlignment="1"/>
    <xf numFmtId="4" fontId="22" fillId="0" borderId="2" xfId="0" applyNumberFormat="1" applyFont="1" applyBorder="1" applyAlignment="1"/>
    <xf numFmtId="0" fontId="9" fillId="0" borderId="0" xfId="0" applyFont="1" applyAlignment="1"/>
    <xf numFmtId="0" fontId="23" fillId="6" borderId="10" xfId="0" applyFont="1" applyFill="1" applyBorder="1" applyAlignment="1"/>
    <xf numFmtId="172" fontId="24" fillId="7" borderId="11" xfId="0" applyNumberFormat="1" applyFont="1" applyFill="1" applyBorder="1" applyAlignment="1">
      <alignment horizontal="left"/>
    </xf>
    <xf numFmtId="0" fontId="23" fillId="6" borderId="12" xfId="0" applyFont="1" applyFill="1" applyBorder="1" applyAlignment="1"/>
    <xf numFmtId="172" fontId="24" fillId="7" borderId="13" xfId="0" applyNumberFormat="1" applyFont="1" applyFill="1" applyBorder="1" applyAlignment="1"/>
    <xf numFmtId="0" fontId="23" fillId="6" borderId="2" xfId="0" applyFont="1" applyFill="1" applyBorder="1" applyAlignment="1"/>
    <xf numFmtId="10" fontId="19" fillId="8" borderId="2" xfId="0" applyNumberFormat="1" applyFont="1" applyFill="1" applyBorder="1" applyAlignment="1">
      <alignment horizontal="center"/>
    </xf>
    <xf numFmtId="2" fontId="19" fillId="8" borderId="2" xfId="0" applyNumberFormat="1" applyFont="1" applyFill="1" applyBorder="1" applyAlignment="1">
      <alignment horizontal="center"/>
    </xf>
    <xf numFmtId="10" fontId="24" fillId="7" borderId="2" xfId="0" applyNumberFormat="1" applyFont="1" applyFill="1" applyBorder="1" applyAlignment="1"/>
    <xf numFmtId="10" fontId="25" fillId="9" borderId="2" xfId="0" applyNumberFormat="1" applyFont="1" applyFill="1" applyBorder="1" applyAlignment="1">
      <alignment horizontal="center"/>
    </xf>
    <xf numFmtId="10" fontId="23" fillId="6" borderId="2" xfId="0" applyNumberFormat="1" applyFont="1" applyFill="1" applyBorder="1" applyAlignment="1">
      <alignment horizontal="left" vertical="center"/>
    </xf>
    <xf numFmtId="4" fontId="26" fillId="8" borderId="2" xfId="0" applyNumberFormat="1" applyFont="1" applyFill="1" applyBorder="1" applyAlignment="1">
      <alignment horizontal="center" vertical="center"/>
    </xf>
    <xf numFmtId="4" fontId="8" fillId="8" borderId="2" xfId="0" applyNumberFormat="1" applyFont="1" applyFill="1" applyBorder="1" applyAlignment="1">
      <alignment horizontal="center"/>
    </xf>
    <xf numFmtId="10" fontId="8" fillId="8" borderId="2" xfId="0" applyNumberFormat="1" applyFont="1" applyFill="1" applyBorder="1" applyAlignment="1">
      <alignment horizontal="center"/>
    </xf>
    <xf numFmtId="172" fontId="23" fillId="6" borderId="2" xfId="0" applyNumberFormat="1" applyFont="1" applyFill="1" applyBorder="1" applyAlignment="1"/>
    <xf numFmtId="10" fontId="26" fillId="9" borderId="2" xfId="0" applyNumberFormat="1" applyFont="1" applyFill="1" applyBorder="1" applyAlignment="1">
      <alignment horizontal="center"/>
    </xf>
    <xf numFmtId="0" fontId="24" fillId="7" borderId="2" xfId="0" applyFont="1" applyFill="1" applyBorder="1" applyAlignment="1"/>
    <xf numFmtId="10" fontId="11" fillId="0" borderId="2" xfId="0" applyNumberFormat="1" applyFont="1" applyBorder="1" applyAlignment="1"/>
    <xf numFmtId="10" fontId="24" fillId="4" borderId="15" xfId="0" applyNumberFormat="1" applyFont="1" applyFill="1" applyBorder="1" applyAlignment="1">
      <alignment horizontal="center"/>
    </xf>
    <xf numFmtId="10" fontId="24" fillId="4" borderId="16" xfId="0" applyNumberFormat="1" applyFont="1" applyFill="1" applyBorder="1" applyAlignment="1">
      <alignment horizontal="center"/>
    </xf>
    <xf numFmtId="10" fontId="24" fillId="4" borderId="17" xfId="0" applyNumberFormat="1" applyFont="1" applyFill="1" applyBorder="1" applyAlignment="1">
      <alignment horizontal="center"/>
    </xf>
    <xf numFmtId="10" fontId="23" fillId="6" borderId="12" xfId="0" applyNumberFormat="1" applyFont="1" applyFill="1" applyBorder="1" applyAlignment="1">
      <alignment horizontal="left"/>
    </xf>
    <xf numFmtId="10" fontId="20" fillId="8" borderId="18" xfId="0" applyNumberFormat="1" applyFont="1" applyFill="1" applyBorder="1" applyAlignment="1">
      <alignment horizontal="center"/>
    </xf>
    <xf numFmtId="10" fontId="20" fillId="8" borderId="16" xfId="0" applyNumberFormat="1" applyFont="1" applyFill="1" applyBorder="1" applyAlignment="1">
      <alignment horizontal="center"/>
    </xf>
    <xf numFmtId="10" fontId="20" fillId="8" borderId="17" xfId="0" applyNumberFormat="1" applyFont="1" applyFill="1" applyBorder="1" applyAlignment="1">
      <alignment horizontal="center"/>
    </xf>
    <xf numFmtId="10" fontId="20" fillId="9" borderId="19" xfId="0" applyNumberFormat="1" applyFont="1" applyFill="1" applyBorder="1" applyAlignment="1"/>
    <xf numFmtId="172" fontId="28" fillId="9" borderId="19" xfId="0" applyNumberFormat="1" applyFont="1" applyFill="1" applyBorder="1" applyAlignment="1"/>
    <xf numFmtId="10" fontId="25" fillId="10" borderId="20" xfId="0" applyNumberFormat="1" applyFont="1" applyFill="1" applyBorder="1" applyAlignment="1"/>
    <xf numFmtId="173" fontId="0" fillId="0" borderId="0" xfId="0" applyNumberFormat="1" applyAlignment="1"/>
    <xf numFmtId="0" fontId="4" fillId="11" borderId="2" xfId="0" applyFont="1" applyFill="1" applyBorder="1" applyAlignment="1">
      <alignment horizontal="center"/>
    </xf>
    <xf numFmtId="0" fontId="0" fillId="0" borderId="2" xfId="0" applyBorder="1" applyAlignment="1">
      <alignment horizontal="left"/>
    </xf>
    <xf numFmtId="174" fontId="0" fillId="0" borderId="2" xfId="0" applyNumberFormat="1" applyBorder="1" applyAlignment="1">
      <alignment horizontal="right"/>
    </xf>
    <xf numFmtId="4" fontId="29" fillId="0" borderId="2" xfId="0" applyNumberFormat="1" applyFont="1" applyBorder="1" applyAlignment="1"/>
    <xf numFmtId="9" fontId="0" fillId="0" borderId="2" xfId="0" applyNumberFormat="1" applyBorder="1" applyAlignment="1"/>
    <xf numFmtId="0" fontId="21" fillId="12" borderId="2" xfId="0" applyFont="1" applyFill="1" applyBorder="1" applyAlignment="1">
      <alignment horizontal="left"/>
    </xf>
    <xf numFmtId="175" fontId="21" fillId="12" borderId="2" xfId="0" applyNumberFormat="1" applyFont="1" applyFill="1" applyBorder="1" applyAlignment="1">
      <alignment horizontal="right"/>
    </xf>
    <xf numFmtId="4" fontId="21" fillId="12" borderId="2" xfId="0" applyNumberFormat="1" applyFont="1" applyFill="1" applyBorder="1" applyAlignment="1"/>
    <xf numFmtId="169" fontId="21" fillId="12" borderId="2" xfId="0" applyNumberFormat="1" applyFont="1" applyFill="1" applyBorder="1" applyAlignment="1"/>
    <xf numFmtId="0" fontId="30" fillId="0" borderId="2" xfId="0" applyFont="1" applyBorder="1" applyAlignment="1"/>
    <xf numFmtId="0" fontId="15" fillId="13" borderId="2" xfId="0" applyFont="1" applyFill="1" applyBorder="1" applyAlignment="1"/>
    <xf numFmtId="4" fontId="19" fillId="13" borderId="2" xfId="0" applyNumberFormat="1" applyFont="1" applyFill="1" applyBorder="1" applyAlignment="1">
      <alignment horizontal="right"/>
    </xf>
    <xf numFmtId="169" fontId="0" fillId="0" borderId="0" xfId="0" applyNumberFormat="1" applyAlignment="1"/>
    <xf numFmtId="0" fontId="31" fillId="0" borderId="0" xfId="0" applyFont="1" applyAlignment="1"/>
    <xf numFmtId="0" fontId="19" fillId="13" borderId="2" xfId="0" applyFont="1" applyFill="1" applyBorder="1" applyAlignment="1">
      <alignment horizontal="right"/>
    </xf>
    <xf numFmtId="169" fontId="19" fillId="13" borderId="2" xfId="0" applyNumberFormat="1" applyFont="1" applyFill="1" applyBorder="1" applyAlignment="1">
      <alignment horizontal="right"/>
    </xf>
    <xf numFmtId="0" fontId="19" fillId="0" borderId="2" xfId="0" applyFont="1" applyBorder="1" applyAlignment="1">
      <alignment horizontal="right"/>
    </xf>
    <xf numFmtId="10" fontId="19" fillId="0" borderId="2" xfId="0" applyNumberFormat="1" applyFont="1" applyBorder="1" applyAlignment="1">
      <alignment horizontal="right"/>
    </xf>
    <xf numFmtId="0" fontId="32" fillId="0" borderId="2" xfId="0" applyFont="1" applyBorder="1" applyAlignment="1"/>
    <xf numFmtId="0" fontId="13" fillId="0" borderId="2" xfId="0" applyFont="1" applyBorder="1" applyAlignment="1">
      <alignment horizontal="right"/>
    </xf>
    <xf numFmtId="0" fontId="4" fillId="14" borderId="2" xfId="0" applyFont="1" applyFill="1" applyBorder="1" applyAlignment="1">
      <alignment horizontal="center"/>
    </xf>
    <xf numFmtId="0" fontId="15" fillId="15" borderId="2" xfId="0" applyFont="1" applyFill="1" applyBorder="1" applyAlignment="1"/>
    <xf numFmtId="4" fontId="19" fillId="15" borderId="2" xfId="0" applyNumberFormat="1" applyFont="1" applyFill="1" applyBorder="1" applyAlignment="1">
      <alignment horizontal="right"/>
    </xf>
    <xf numFmtId="0" fontId="19" fillId="15" borderId="2" xfId="0" applyFont="1" applyFill="1" applyBorder="1" applyAlignment="1">
      <alignment horizontal="right"/>
    </xf>
    <xf numFmtId="169" fontId="19" fillId="15" borderId="2" xfId="0" applyNumberFormat="1" applyFont="1" applyFill="1" applyBorder="1" applyAlignment="1">
      <alignment horizontal="right"/>
    </xf>
    <xf numFmtId="0" fontId="33" fillId="0" borderId="2" xfId="0" applyFont="1" applyBorder="1" applyAlignment="1"/>
    <xf numFmtId="0" fontId="4" fillId="16" borderId="2" xfId="0" applyFont="1" applyFill="1" applyBorder="1" applyAlignment="1">
      <alignment horizontal="center"/>
    </xf>
    <xf numFmtId="0" fontId="15" fillId="17" borderId="2" xfId="0" applyFont="1" applyFill="1" applyBorder="1" applyAlignment="1"/>
    <xf numFmtId="4" fontId="19" fillId="17" borderId="2" xfId="0" applyNumberFormat="1" applyFont="1" applyFill="1" applyBorder="1" applyAlignment="1">
      <alignment horizontal="right"/>
    </xf>
    <xf numFmtId="0" fontId="19" fillId="17" borderId="2" xfId="0" applyFont="1" applyFill="1" applyBorder="1" applyAlignment="1">
      <alignment horizontal="right"/>
    </xf>
    <xf numFmtId="169" fontId="19" fillId="17" borderId="2" xfId="0" applyNumberFormat="1" applyFont="1" applyFill="1" applyBorder="1" applyAlignment="1">
      <alignment horizontal="right"/>
    </xf>
    <xf numFmtId="0" fontId="34" fillId="18" borderId="2" xfId="0" applyFont="1" applyFill="1" applyBorder="1" applyAlignment="1">
      <alignment horizontal="right"/>
    </xf>
    <xf numFmtId="0" fontId="4" fillId="19" borderId="2" xfId="0" applyFont="1" applyFill="1" applyBorder="1" applyAlignment="1">
      <alignment horizontal="center"/>
    </xf>
    <xf numFmtId="0" fontId="15" fillId="20" borderId="2" xfId="0" applyFont="1" applyFill="1" applyBorder="1" applyAlignment="1"/>
    <xf numFmtId="4" fontId="19" fillId="20" borderId="2" xfId="0" applyNumberFormat="1" applyFont="1" applyFill="1" applyBorder="1" applyAlignment="1">
      <alignment horizontal="right"/>
    </xf>
    <xf numFmtId="0" fontId="19" fillId="20" borderId="2" xfId="0" applyFont="1" applyFill="1" applyBorder="1" applyAlignment="1">
      <alignment horizontal="right"/>
    </xf>
    <xf numFmtId="169" fontId="19" fillId="20" borderId="2" xfId="0" applyNumberFormat="1" applyFont="1" applyFill="1" applyBorder="1" applyAlignment="1">
      <alignment horizontal="right"/>
    </xf>
    <xf numFmtId="10" fontId="8" fillId="0" borderId="0" xfId="0" applyNumberFormat="1" applyFont="1" applyAlignment="1"/>
    <xf numFmtId="9" fontId="0" fillId="0" borderId="0" xfId="0" applyNumberFormat="1" applyAlignment="1"/>
    <xf numFmtId="0" fontId="35" fillId="0" borderId="0" xfId="0" applyFont="1" applyAlignment="1">
      <alignment horizontal="center"/>
    </xf>
    <xf numFmtId="0" fontId="36" fillId="0" borderId="0" xfId="0" applyFont="1" applyAlignment="1"/>
    <xf numFmtId="4" fontId="0" fillId="0" borderId="0" xfId="0" applyNumberFormat="1" applyAlignment="1"/>
    <xf numFmtId="0" fontId="13" fillId="0" borderId="0" xfId="0" applyFont="1" applyAlignment="1"/>
    <xf numFmtId="0" fontId="37" fillId="0" borderId="0" xfId="0" applyFont="1" applyAlignment="1"/>
    <xf numFmtId="0" fontId="16" fillId="0" borderId="0" xfId="0" applyFont="1" applyAlignment="1"/>
    <xf numFmtId="0" fontId="39" fillId="5" borderId="0" xfId="0" applyFont="1" applyFill="1" applyAlignment="1">
      <alignment horizontal="center" vertical="center" wrapText="1"/>
    </xf>
    <xf numFmtId="169" fontId="39" fillId="5" borderId="0" xfId="0" applyNumberFormat="1" applyFont="1" applyFill="1" applyAlignment="1">
      <alignment horizontal="center" vertical="center" wrapText="1"/>
    </xf>
    <xf numFmtId="0" fontId="22" fillId="5" borderId="0" xfId="0" applyFont="1" applyFill="1" applyAlignment="1"/>
    <xf numFmtId="169" fontId="39" fillId="5" borderId="0" xfId="0" applyNumberFormat="1" applyFont="1" applyFill="1" applyAlignment="1">
      <alignment horizontal="center"/>
    </xf>
    <xf numFmtId="3" fontId="22" fillId="5" borderId="0" xfId="0" applyNumberFormat="1" applyFont="1" applyFill="1" applyAlignment="1"/>
    <xf numFmtId="3" fontId="39" fillId="5" borderId="0" xfId="0" applyNumberFormat="1" applyFont="1" applyFill="1" applyAlignment="1"/>
    <xf numFmtId="3" fontId="39" fillId="5" borderId="0" xfId="0" applyNumberFormat="1" applyFont="1" applyFill="1" applyAlignment="1">
      <alignment horizontal="center" vertical="center"/>
    </xf>
    <xf numFmtId="4" fontId="19" fillId="0" borderId="0" xfId="0" applyNumberFormat="1" applyFont="1" applyAlignment="1"/>
    <xf numFmtId="10" fontId="39" fillId="0" borderId="0" xfId="0" applyNumberFormat="1" applyFont="1" applyAlignment="1"/>
    <xf numFmtId="3" fontId="22" fillId="0" borderId="0" xfId="0" applyNumberFormat="1" applyFont="1" applyAlignment="1"/>
    <xf numFmtId="3" fontId="39" fillId="0" borderId="0" xfId="0" applyNumberFormat="1" applyFont="1" applyAlignment="1"/>
    <xf numFmtId="0" fontId="43" fillId="21" borderId="2" xfId="0" applyFont="1" applyFill="1" applyBorder="1" applyAlignment="1">
      <alignment horizontal="left" vertical="center"/>
    </xf>
    <xf numFmtId="0" fontId="44" fillId="21" borderId="2" xfId="0" applyFont="1" applyFill="1" applyBorder="1" applyAlignment="1">
      <alignment horizontal="right" vertical="center" wrapText="1"/>
    </xf>
    <xf numFmtId="4" fontId="19" fillId="0" borderId="2" xfId="0" applyNumberFormat="1" applyFont="1" applyBorder="1" applyAlignment="1">
      <alignment horizontal="right"/>
    </xf>
    <xf numFmtId="3" fontId="44" fillId="0" borderId="2" xfId="0" applyNumberFormat="1" applyFont="1" applyBorder="1" applyAlignment="1">
      <alignment horizontal="right"/>
    </xf>
    <xf numFmtId="3" fontId="45" fillId="0" borderId="2" xfId="0" applyNumberFormat="1" applyFont="1" applyBorder="1" applyAlignment="1"/>
    <xf numFmtId="4" fontId="19" fillId="0" borderId="2" xfId="0" applyNumberFormat="1" applyFont="1" applyBorder="1" applyAlignment="1"/>
    <xf numFmtId="177" fontId="19" fillId="22" borderId="2" xfId="0" applyNumberFormat="1" applyFont="1" applyFill="1" applyBorder="1" applyAlignment="1"/>
    <xf numFmtId="0" fontId="43" fillId="8" borderId="2" xfId="0" applyFont="1" applyFill="1" applyBorder="1" applyAlignment="1">
      <alignment horizontal="left" vertical="center"/>
    </xf>
    <xf numFmtId="0" fontId="44" fillId="8" borderId="2" xfId="0" applyFont="1" applyFill="1" applyBorder="1" applyAlignment="1">
      <alignment horizontal="right" vertical="center" wrapText="1"/>
    </xf>
    <xf numFmtId="0" fontId="44" fillId="0" borderId="2" xfId="0" applyFont="1" applyBorder="1" applyAlignment="1">
      <alignment horizontal="right"/>
    </xf>
    <xf numFmtId="178" fontId="19" fillId="0" borderId="2" xfId="0" applyNumberFormat="1" applyFont="1" applyBorder="1" applyAlignment="1"/>
    <xf numFmtId="0" fontId="22" fillId="0" borderId="2" xfId="0" applyFont="1" applyBorder="1" applyAlignment="1">
      <alignment horizontal="right"/>
    </xf>
    <xf numFmtId="0" fontId="20" fillId="0" borderId="2" xfId="0" applyFont="1" applyBorder="1" applyAlignment="1"/>
    <xf numFmtId="0" fontId="11" fillId="0" borderId="2" xfId="0" applyFont="1" applyBorder="1" applyAlignment="1">
      <alignment horizontal="left" vertical="center"/>
    </xf>
    <xf numFmtId="3" fontId="13" fillId="0" borderId="2" xfId="0" applyNumberFormat="1" applyFont="1" applyBorder="1" applyAlignment="1"/>
    <xf numFmtId="4" fontId="46" fillId="8" borderId="21" xfId="0" applyNumberFormat="1" applyFont="1" applyFill="1" applyBorder="1" applyAlignment="1">
      <alignment horizontal="right" vertical="center" wrapText="1"/>
    </xf>
    <xf numFmtId="0" fontId="46" fillId="8" borderId="21" xfId="0" applyFont="1" applyFill="1" applyBorder="1" applyAlignment="1">
      <alignment horizontal="right" vertical="center" wrapText="1"/>
    </xf>
    <xf numFmtId="4" fontId="47" fillId="0" borderId="0" xfId="0" applyNumberFormat="1" applyFont="1" applyAlignment="1"/>
    <xf numFmtId="177" fontId="19" fillId="0" borderId="2" xfId="0" applyNumberFormat="1" applyFont="1" applyBorder="1" applyAlignment="1">
      <alignment horizontal="center" vertical="center"/>
    </xf>
    <xf numFmtId="3" fontId="19" fillId="0" borderId="2" xfId="0" applyNumberFormat="1" applyFont="1" applyBorder="1" applyAlignment="1">
      <alignment horizontal="center" vertical="center"/>
    </xf>
    <xf numFmtId="179" fontId="19" fillId="0" borderId="2" xfId="0" applyNumberFormat="1" applyFont="1" applyBorder="1" applyAlignment="1">
      <alignment horizontal="center" vertical="center"/>
    </xf>
    <xf numFmtId="180" fontId="19" fillId="0" borderId="2" xfId="0" applyNumberFormat="1" applyFont="1" applyBorder="1" applyAlignment="1">
      <alignment horizontal="center" vertical="center"/>
    </xf>
    <xf numFmtId="0" fontId="19" fillId="8" borderId="0" xfId="0" applyFont="1" applyFill="1" applyAlignment="1">
      <alignment horizontal="left" vertical="center"/>
    </xf>
    <xf numFmtId="171" fontId="19" fillId="0" borderId="0" xfId="0" applyNumberFormat="1" applyFont="1" applyAlignment="1"/>
    <xf numFmtId="176" fontId="19" fillId="0" borderId="0" xfId="0" applyNumberFormat="1" applyFont="1" applyAlignment="1"/>
    <xf numFmtId="181" fontId="19" fillId="0" borderId="0" xfId="0" applyNumberFormat="1" applyFont="1" applyAlignment="1"/>
    <xf numFmtId="2" fontId="19" fillId="0" borderId="0" xfId="0" applyNumberFormat="1" applyFont="1" applyAlignment="1"/>
    <xf numFmtId="0" fontId="13" fillId="0" borderId="22" xfId="0" applyFont="1" applyBorder="1" applyAlignment="1"/>
    <xf numFmtId="0" fontId="19" fillId="0" borderId="22" xfId="0" applyFont="1" applyBorder="1" applyAlignment="1"/>
    <xf numFmtId="2" fontId="13" fillId="0" borderId="22" xfId="0" applyNumberFormat="1" applyFont="1" applyBorder="1" applyAlignment="1"/>
    <xf numFmtId="0" fontId="49" fillId="8" borderId="23" xfId="0" applyFont="1" applyFill="1" applyBorder="1" applyAlignment="1">
      <alignment horizontal="left" vertical="center" indent="2"/>
    </xf>
    <xf numFmtId="0" fontId="49" fillId="8" borderId="23" xfId="0" applyFont="1" applyFill="1" applyBorder="1" applyAlignment="1">
      <alignment horizontal="left" vertical="center"/>
    </xf>
    <xf numFmtId="0" fontId="49" fillId="8" borderId="23" xfId="0" applyFont="1" applyFill="1" applyBorder="1" applyAlignment="1">
      <alignment horizontal="right" vertical="center" wrapText="1"/>
    </xf>
    <xf numFmtId="0" fontId="50" fillId="21" borderId="0" xfId="0" applyFont="1" applyFill="1" applyAlignment="1">
      <alignment horizontal="left" vertical="center" indent="2"/>
    </xf>
    <xf numFmtId="0" fontId="43" fillId="21" borderId="0" xfId="0" applyFont="1" applyFill="1" applyAlignment="1">
      <alignment horizontal="left" vertical="center"/>
    </xf>
    <xf numFmtId="0" fontId="50" fillId="21" borderId="0" xfId="0" applyFont="1" applyFill="1" applyAlignment="1">
      <alignment horizontal="right" vertical="center" wrapText="1"/>
    </xf>
    <xf numFmtId="0" fontId="50" fillId="8" borderId="0" xfId="0" applyFont="1" applyFill="1" applyAlignment="1">
      <alignment horizontal="left" vertical="center" indent="2"/>
    </xf>
    <xf numFmtId="0" fontId="43" fillId="8" borderId="0" xfId="0" applyFont="1" applyFill="1" applyAlignment="1">
      <alignment horizontal="left" vertical="center"/>
    </xf>
    <xf numFmtId="0" fontId="50" fillId="8" borderId="0" xfId="0" applyFont="1" applyFill="1" applyAlignment="1">
      <alignment horizontal="right" vertical="center" wrapText="1"/>
    </xf>
    <xf numFmtId="0" fontId="50" fillId="21" borderId="24" xfId="0" applyFont="1" applyFill="1" applyBorder="1" applyAlignment="1">
      <alignment horizontal="left" vertical="center" indent="2"/>
    </xf>
    <xf numFmtId="0" fontId="43" fillId="21" borderId="24" xfId="0" applyFont="1" applyFill="1" applyBorder="1" applyAlignment="1">
      <alignment horizontal="left" vertical="center"/>
    </xf>
    <xf numFmtId="0" fontId="50" fillId="21" borderId="24" xfId="0" applyFont="1" applyFill="1" applyBorder="1" applyAlignment="1">
      <alignment horizontal="right" vertical="center" wrapText="1"/>
    </xf>
    <xf numFmtId="0" fontId="52" fillId="0" borderId="0" xfId="0" applyFont="1"/>
    <xf numFmtId="0" fontId="52" fillId="0" borderId="28" xfId="0" applyFont="1" applyBorder="1"/>
    <xf numFmtId="0" fontId="52" fillId="0" borderId="0" xfId="0" applyFont="1" applyBorder="1"/>
    <xf numFmtId="0" fontId="52" fillId="0" borderId="29" xfId="0" applyFont="1" applyBorder="1"/>
    <xf numFmtId="0" fontId="5" fillId="0" borderId="2" xfId="0" applyFont="1" applyBorder="1" applyAlignment="1">
      <alignment horizontal="left" vertical="center" indent="1"/>
    </xf>
    <xf numFmtId="0" fontId="5" fillId="0" borderId="0" xfId="0" applyFont="1" applyBorder="1" applyAlignment="1">
      <alignment horizontal="left" vertical="center" indent="1"/>
    </xf>
    <xf numFmtId="0" fontId="14" fillId="0" borderId="5" xfId="0" applyFont="1" applyBorder="1" applyAlignment="1">
      <alignment horizontal="center"/>
    </xf>
    <xf numFmtId="0" fontId="21" fillId="0" borderId="2" xfId="0" applyFont="1" applyBorder="1" applyAlignment="1">
      <alignment horizontal="center"/>
    </xf>
    <xf numFmtId="0" fontId="0" fillId="0" borderId="0" xfId="0" applyFont="1" applyBorder="1" applyAlignment="1">
      <alignment horizontal="center"/>
    </xf>
    <xf numFmtId="0" fontId="56" fillId="0" borderId="0" xfId="0" applyFont="1" applyBorder="1" applyAlignment="1">
      <alignment horizontal="left" vertical="center" wrapText="1"/>
    </xf>
    <xf numFmtId="0" fontId="54" fillId="0" borderId="28" xfId="0" applyFont="1" applyBorder="1" applyAlignment="1">
      <alignment horizontal="left" vertical="center" wrapText="1"/>
    </xf>
    <xf numFmtId="0" fontId="54" fillId="0" borderId="0" xfId="0" applyFont="1" applyBorder="1" applyAlignment="1">
      <alignment horizontal="left" vertical="center" wrapText="1"/>
    </xf>
    <xf numFmtId="0" fontId="54" fillId="0" borderId="29" xfId="0" applyFont="1" applyBorder="1" applyAlignment="1">
      <alignment horizontal="left" vertical="center" wrapText="1"/>
    </xf>
    <xf numFmtId="0" fontId="55" fillId="0" borderId="28" xfId="0" applyFont="1" applyBorder="1" applyAlignment="1">
      <alignment horizontal="left" vertical="center" wrapText="1"/>
    </xf>
    <xf numFmtId="0" fontId="55" fillId="0" borderId="0" xfId="0" applyFont="1" applyBorder="1" applyAlignment="1">
      <alignment horizontal="left" vertical="center" wrapText="1"/>
    </xf>
    <xf numFmtId="0" fontId="55" fillId="0" borderId="29" xfId="0" applyFont="1" applyBorder="1" applyAlignment="1">
      <alignment horizontal="left" vertical="center" wrapText="1"/>
    </xf>
    <xf numFmtId="0" fontId="54" fillId="0" borderId="30" xfId="0" applyFont="1" applyBorder="1" applyAlignment="1">
      <alignment horizontal="left" vertical="center" wrapText="1"/>
    </xf>
    <xf numFmtId="0" fontId="54" fillId="0" borderId="6" xfId="0" applyFont="1" applyBorder="1" applyAlignment="1">
      <alignment horizontal="left" vertical="center" wrapText="1"/>
    </xf>
    <xf numFmtId="0" fontId="54" fillId="0" borderId="31" xfId="0" applyFont="1" applyBorder="1" applyAlignment="1">
      <alignment horizontal="left" vertical="center" wrapText="1"/>
    </xf>
    <xf numFmtId="0" fontId="51" fillId="2" borderId="25" xfId="0" applyFont="1" applyFill="1" applyBorder="1" applyAlignment="1">
      <alignment horizontal="left" vertical="center" wrapText="1"/>
    </xf>
    <xf numFmtId="0" fontId="51" fillId="2" borderId="26" xfId="0" applyFont="1" applyFill="1" applyBorder="1" applyAlignment="1">
      <alignment horizontal="left" vertical="center" wrapText="1"/>
    </xf>
    <xf numFmtId="0" fontId="51" fillId="2" borderId="27" xfId="0" applyFont="1" applyFill="1" applyBorder="1" applyAlignment="1">
      <alignment horizontal="left" vertical="center" wrapText="1"/>
    </xf>
    <xf numFmtId="0" fontId="53" fillId="16" borderId="28" xfId="0" applyFont="1" applyFill="1" applyBorder="1" applyAlignment="1">
      <alignment horizontal="left" vertical="center" wrapText="1"/>
    </xf>
    <xf numFmtId="0" fontId="53" fillId="16" borderId="0" xfId="0" applyFont="1" applyFill="1" applyBorder="1" applyAlignment="1">
      <alignment horizontal="left" vertical="center" wrapText="1"/>
    </xf>
    <xf numFmtId="0" fontId="53" fillId="16" borderId="29" xfId="0" applyFont="1" applyFill="1" applyBorder="1" applyAlignment="1">
      <alignment horizontal="left" vertical="center" wrapText="1"/>
    </xf>
    <xf numFmtId="0" fontId="2" fillId="23" borderId="1" xfId="0" applyFont="1" applyFill="1" applyBorder="1" applyAlignment="1">
      <alignment horizontal="left" vertical="top" wrapText="1" indent="1"/>
    </xf>
    <xf numFmtId="0" fontId="0" fillId="25" borderId="2" xfId="0" applyFill="1" applyBorder="1" applyAlignment="1"/>
    <xf numFmtId="0" fontId="4" fillId="26" borderId="2" xfId="0" applyFont="1" applyFill="1" applyBorder="1" applyAlignment="1">
      <alignment horizontal="center" vertical="center" wrapText="1"/>
    </xf>
    <xf numFmtId="0" fontId="4" fillId="26" borderId="2" xfId="0" applyFont="1" applyFill="1" applyBorder="1" applyAlignment="1">
      <alignment horizontal="center" vertical="center" wrapText="1"/>
    </xf>
    <xf numFmtId="0" fontId="11" fillId="27" borderId="3" xfId="0" applyFont="1" applyFill="1" applyBorder="1" applyAlignment="1">
      <alignment horizontal="center" vertical="center" wrapText="1"/>
    </xf>
    <xf numFmtId="0" fontId="11" fillId="27" borderId="3" xfId="0" applyFont="1" applyFill="1" applyBorder="1" applyAlignment="1">
      <alignment horizontal="left" vertical="center" wrapText="1"/>
    </xf>
    <xf numFmtId="164" fontId="11" fillId="27" borderId="3" xfId="0" applyNumberFormat="1" applyFont="1" applyFill="1" applyBorder="1" applyAlignment="1">
      <alignment horizontal="center" vertical="center" wrapText="1"/>
    </xf>
    <xf numFmtId="164" fontId="11" fillId="27" borderId="3" xfId="0" applyNumberFormat="1" applyFont="1" applyFill="1" applyBorder="1" applyAlignment="1">
      <alignment horizontal="right" vertical="center"/>
    </xf>
    <xf numFmtId="165" fontId="11" fillId="27" borderId="3" xfId="0" applyNumberFormat="1" applyFont="1" applyFill="1" applyBorder="1" applyAlignment="1">
      <alignment horizontal="right" vertical="center"/>
    </xf>
    <xf numFmtId="0" fontId="11" fillId="28" borderId="3" xfId="0" applyFont="1" applyFill="1" applyBorder="1" applyAlignment="1">
      <alignment horizontal="center" vertical="center" wrapText="1"/>
    </xf>
    <xf numFmtId="0" fontId="11" fillId="28" borderId="3" xfId="0" applyFont="1" applyFill="1" applyBorder="1" applyAlignment="1">
      <alignment horizontal="left" vertical="center" wrapText="1"/>
    </xf>
    <xf numFmtId="0" fontId="7" fillId="24" borderId="0" xfId="0" applyFont="1" applyFill="1" applyBorder="1" applyAlignment="1">
      <alignment horizontal="center" vertical="center" wrapText="1"/>
    </xf>
    <xf numFmtId="0" fontId="9" fillId="29" borderId="0" xfId="0" applyFont="1" applyFill="1" applyBorder="1" applyAlignment="1">
      <alignment horizontal="center" vertical="center" wrapText="1"/>
    </xf>
    <xf numFmtId="0" fontId="10" fillId="24" borderId="3" xfId="0" applyFont="1" applyFill="1" applyBorder="1" applyAlignment="1">
      <alignment horizontal="center" vertical="center" wrapText="1"/>
    </xf>
    <xf numFmtId="3" fontId="11" fillId="28" borderId="3" xfId="0" applyNumberFormat="1" applyFont="1" applyFill="1" applyBorder="1" applyAlignment="1">
      <alignment horizontal="center" vertical="center" wrapText="1"/>
    </xf>
    <xf numFmtId="3" fontId="11" fillId="28" borderId="3" xfId="0" applyNumberFormat="1" applyFont="1" applyFill="1" applyBorder="1" applyAlignment="1">
      <alignment horizontal="right" vertical="center"/>
    </xf>
    <xf numFmtId="0" fontId="11" fillId="28" borderId="3" xfId="0" applyFont="1" applyFill="1" applyBorder="1" applyAlignment="1">
      <alignment horizontal="right" vertical="center"/>
    </xf>
    <xf numFmtId="0" fontId="57" fillId="29" borderId="0" xfId="0" applyFont="1" applyFill="1" applyBorder="1" applyAlignment="1">
      <alignment horizontal="center" vertical="center" wrapText="1"/>
    </xf>
    <xf numFmtId="0" fontId="58" fillId="0" borderId="0" xfId="0" applyFont="1" applyAlignment="1"/>
    <xf numFmtId="0" fontId="59" fillId="24" borderId="3" xfId="0" applyFont="1" applyFill="1" applyBorder="1" applyAlignment="1">
      <alignment horizontal="center" vertical="center" wrapText="1"/>
    </xf>
    <xf numFmtId="3" fontId="59" fillId="24" borderId="3" xfId="0" applyNumberFormat="1" applyFont="1" applyFill="1" applyBorder="1" applyAlignment="1">
      <alignment horizontal="center" vertical="center" wrapText="1"/>
    </xf>
    <xf numFmtId="0" fontId="60" fillId="28" borderId="3" xfId="0" applyFont="1" applyFill="1" applyBorder="1" applyAlignment="1">
      <alignment horizontal="center" vertical="center" wrapText="1"/>
    </xf>
    <xf numFmtId="0" fontId="60" fillId="28" borderId="3" xfId="0" applyFont="1" applyFill="1" applyBorder="1" applyAlignment="1">
      <alignment horizontal="left" vertical="center" wrapText="1"/>
    </xf>
    <xf numFmtId="3" fontId="60" fillId="28" borderId="3" xfId="0" applyNumberFormat="1" applyFont="1" applyFill="1" applyBorder="1" applyAlignment="1">
      <alignment horizontal="center" vertical="center" wrapText="1"/>
    </xf>
    <xf numFmtId="3" fontId="60" fillId="28" borderId="3" xfId="0" applyNumberFormat="1" applyFont="1" applyFill="1" applyBorder="1" applyAlignment="1">
      <alignment horizontal="right" vertical="center"/>
    </xf>
    <xf numFmtId="0" fontId="60" fillId="28" borderId="3" xfId="0" applyFont="1" applyFill="1" applyBorder="1" applyAlignment="1">
      <alignment horizontal="right" vertical="center"/>
    </xf>
    <xf numFmtId="0" fontId="58" fillId="0" borderId="3" xfId="0" applyFont="1" applyBorder="1" applyAlignment="1">
      <alignment horizontal="center" vertical="center" wrapText="1"/>
    </xf>
    <xf numFmtId="0" fontId="58" fillId="0" borderId="3" xfId="0" applyFont="1" applyBorder="1" applyAlignment="1">
      <alignment horizontal="left" vertical="center" wrapText="1" indent="1"/>
    </xf>
    <xf numFmtId="164" fontId="58" fillId="0" borderId="3" xfId="0" applyNumberFormat="1" applyFont="1" applyBorder="1" applyAlignment="1">
      <alignment horizontal="center" vertical="center" wrapText="1"/>
    </xf>
    <xf numFmtId="164" fontId="58" fillId="0" borderId="3" xfId="0" applyNumberFormat="1" applyFont="1" applyBorder="1" applyAlignment="1">
      <alignment horizontal="right" vertical="center"/>
    </xf>
    <xf numFmtId="165" fontId="58" fillId="0" borderId="3" xfId="0" applyNumberFormat="1" applyFont="1" applyBorder="1" applyAlignment="1">
      <alignment horizontal="right" vertical="center"/>
    </xf>
    <xf numFmtId="164" fontId="60" fillId="28" borderId="3" xfId="0" applyNumberFormat="1" applyFont="1" applyFill="1" applyBorder="1" applyAlignment="1">
      <alignment horizontal="center" vertical="center" wrapText="1"/>
    </xf>
    <xf numFmtId="164" fontId="60" fillId="28" borderId="3" xfId="0" applyNumberFormat="1" applyFont="1" applyFill="1" applyBorder="1" applyAlignment="1">
      <alignment horizontal="right" vertical="center"/>
    </xf>
    <xf numFmtId="165" fontId="60" fillId="28" borderId="3" xfId="0" applyNumberFormat="1" applyFont="1" applyFill="1" applyBorder="1" applyAlignment="1">
      <alignment horizontal="right" vertical="center"/>
    </xf>
    <xf numFmtId="0" fontId="60" fillId="27" borderId="3" xfId="0" applyFont="1" applyFill="1" applyBorder="1" applyAlignment="1">
      <alignment horizontal="center" vertical="center" wrapText="1"/>
    </xf>
    <xf numFmtId="0" fontId="60" fillId="27" borderId="3" xfId="0" applyFont="1" applyFill="1" applyBorder="1" applyAlignment="1">
      <alignment horizontal="left" vertical="center" wrapText="1"/>
    </xf>
    <xf numFmtId="164" fontId="60" fillId="27" borderId="3" xfId="0" applyNumberFormat="1" applyFont="1" applyFill="1" applyBorder="1" applyAlignment="1">
      <alignment horizontal="center" vertical="center" wrapText="1"/>
    </xf>
    <xf numFmtId="164" fontId="60" fillId="27" borderId="3" xfId="0" applyNumberFormat="1" applyFont="1" applyFill="1" applyBorder="1" applyAlignment="1">
      <alignment horizontal="right" vertical="center"/>
    </xf>
    <xf numFmtId="165" fontId="60" fillId="27" borderId="3" xfId="0" applyNumberFormat="1" applyFont="1" applyFill="1" applyBorder="1" applyAlignment="1">
      <alignment horizontal="right" vertical="center"/>
    </xf>
    <xf numFmtId="0" fontId="60" fillId="0" borderId="0" xfId="0" applyFont="1" applyAlignment="1"/>
    <xf numFmtId="3" fontId="11" fillId="27" borderId="3" xfId="0" applyNumberFormat="1" applyFont="1" applyFill="1" applyBorder="1" applyAlignment="1">
      <alignment horizontal="center" vertical="center" wrapText="1"/>
    </xf>
    <xf numFmtId="0" fontId="18" fillId="25" borderId="2" xfId="0" applyFont="1" applyFill="1" applyBorder="1" applyAlignment="1"/>
    <xf numFmtId="0" fontId="61" fillId="25" borderId="2" xfId="0" applyFont="1" applyFill="1" applyBorder="1" applyAlignment="1"/>
    <xf numFmtId="0" fontId="62" fillId="25" borderId="2" xfId="0" applyFont="1" applyFill="1" applyBorder="1" applyAlignment="1"/>
    <xf numFmtId="0" fontId="0" fillId="0" borderId="2" xfId="0" applyBorder="1"/>
    <xf numFmtId="0" fontId="0" fillId="0" borderId="2" xfId="0" applyFont="1" applyBorder="1" applyAlignment="1"/>
    <xf numFmtId="166" fontId="0" fillId="0" borderId="2" xfId="0" applyNumberFormat="1" applyBorder="1" applyAlignment="1"/>
    <xf numFmtId="2" fontId="0" fillId="0" borderId="2" xfId="0" applyNumberFormat="1" applyBorder="1" applyAlignment="1"/>
    <xf numFmtId="167" fontId="0" fillId="0" borderId="2" xfId="0" applyNumberFormat="1" applyBorder="1" applyAlignment="1"/>
    <xf numFmtId="0" fontId="63" fillId="30" borderId="13" xfId="0" applyFont="1" applyFill="1" applyBorder="1" applyAlignment="1">
      <alignment horizontal="center"/>
    </xf>
    <xf numFmtId="0" fontId="63" fillId="30" borderId="32" xfId="0" applyFont="1" applyFill="1" applyBorder="1" applyAlignment="1">
      <alignment horizontal="center"/>
    </xf>
    <xf numFmtId="0" fontId="0" fillId="31" borderId="2" xfId="0" applyFill="1" applyBorder="1" applyAlignment="1"/>
    <xf numFmtId="168" fontId="18" fillId="30" borderId="2" xfId="0" applyNumberFormat="1" applyFont="1" applyFill="1" applyBorder="1" applyAlignment="1"/>
    <xf numFmtId="0" fontId="63" fillId="32" borderId="2" xfId="0" applyFont="1" applyFill="1" applyBorder="1" applyAlignment="1"/>
    <xf numFmtId="0" fontId="64" fillId="33" borderId="2" xfId="0" applyFont="1" applyFill="1" applyBorder="1" applyAlignment="1"/>
    <xf numFmtId="4" fontId="64" fillId="33" borderId="2" xfId="0" applyNumberFormat="1" applyFont="1" applyFill="1" applyBorder="1" applyAlignment="1"/>
    <xf numFmtId="4" fontId="64" fillId="33" borderId="8" xfId="0" applyNumberFormat="1" applyFont="1" applyFill="1" applyBorder="1" applyAlignment="1"/>
    <xf numFmtId="0" fontId="15" fillId="28" borderId="0" xfId="0" applyFont="1" applyFill="1" applyAlignment="1"/>
    <xf numFmtId="0" fontId="15" fillId="0" borderId="0" xfId="0" applyFont="1" applyFill="1" applyAlignment="1"/>
    <xf numFmtId="0" fontId="65" fillId="30" borderId="2" xfId="0" applyFont="1" applyFill="1" applyBorder="1" applyAlignment="1">
      <alignment horizontal="center"/>
    </xf>
    <xf numFmtId="0" fontId="61" fillId="34" borderId="2" xfId="0" applyFont="1" applyFill="1" applyBorder="1" applyAlignment="1">
      <alignment horizontal="center" vertical="center"/>
    </xf>
    <xf numFmtId="168" fontId="61" fillId="34" borderId="2" xfId="0" applyNumberFormat="1" applyFont="1" applyFill="1" applyBorder="1" applyAlignment="1">
      <alignment horizontal="center" vertical="center"/>
    </xf>
    <xf numFmtId="0" fontId="9" fillId="35" borderId="4" xfId="0" applyFont="1" applyFill="1" applyBorder="1" applyAlignment="1">
      <alignment horizontal="center"/>
    </xf>
    <xf numFmtId="0" fontId="9" fillId="35" borderId="2" xfId="0" applyFont="1" applyFill="1" applyBorder="1" applyAlignment="1">
      <alignment horizontal="center"/>
    </xf>
    <xf numFmtId="0" fontId="7" fillId="35" borderId="14" xfId="0" applyFont="1" applyFill="1" applyBorder="1" applyAlignment="1">
      <alignment horizontal="center"/>
    </xf>
    <xf numFmtId="10" fontId="27" fillId="35" borderId="13" xfId="0" applyNumberFormat="1" applyFont="1" applyFill="1" applyBorder="1" applyAlignment="1"/>
    <xf numFmtId="0" fontId="18" fillId="36" borderId="2" xfId="0" applyFont="1" applyFill="1" applyBorder="1" applyAlignment="1">
      <alignment horizontal="center"/>
    </xf>
    <xf numFmtId="0" fontId="4" fillId="37" borderId="2" xfId="0" applyFont="1" applyFill="1" applyBorder="1" applyAlignment="1">
      <alignment horizontal="center"/>
    </xf>
    <xf numFmtId="0" fontId="0" fillId="25" borderId="0" xfId="0" applyFill="1" applyAlignment="1"/>
    <xf numFmtId="0" fontId="36" fillId="0" borderId="0" xfId="0" applyFont="1" applyFill="1" applyAlignment="1"/>
    <xf numFmtId="4" fontId="0" fillId="0" borderId="0" xfId="0" applyNumberFormat="1" applyFill="1" applyAlignment="1"/>
    <xf numFmtId="0" fontId="0" fillId="0" borderId="0" xfId="0" applyFill="1" applyAlignment="1"/>
    <xf numFmtId="10" fontId="0" fillId="0" borderId="0" xfId="0" applyNumberFormat="1" applyFill="1" applyAlignment="1"/>
    <xf numFmtId="4" fontId="15" fillId="0" borderId="0" xfId="0" applyNumberFormat="1" applyFont="1" applyFill="1" applyAlignment="1"/>
    <xf numFmtId="176" fontId="0" fillId="0" borderId="0" xfId="0" applyNumberFormat="1" applyFill="1" applyAlignment="1"/>
    <xf numFmtId="0" fontId="22" fillId="0" borderId="0" xfId="0" applyFont="1" applyFill="1" applyAlignment="1"/>
    <xf numFmtId="9" fontId="0" fillId="0" borderId="0" xfId="0" applyNumberFormat="1" applyFill="1" applyAlignment="1"/>
    <xf numFmtId="10" fontId="30" fillId="0" borderId="0" xfId="0" applyNumberFormat="1" applyFont="1" applyFill="1" applyAlignment="1"/>
    <xf numFmtId="4" fontId="38" fillId="0" borderId="0" xfId="0" applyNumberFormat="1" applyFont="1" applyFill="1" applyAlignment="1"/>
    <xf numFmtId="169" fontId="13" fillId="0" borderId="0" xfId="0" applyNumberFormat="1" applyFont="1" applyFill="1" applyAlignment="1"/>
    <xf numFmtId="4" fontId="32" fillId="0" borderId="0" xfId="0" applyNumberFormat="1" applyFont="1" applyFill="1" applyAlignment="1"/>
    <xf numFmtId="0" fontId="40" fillId="38" borderId="0" xfId="0" applyFont="1" applyFill="1" applyBorder="1" applyAlignment="1">
      <alignment horizontal="center" vertical="center"/>
    </xf>
    <xf numFmtId="0" fontId="41" fillId="38" borderId="2" xfId="0" applyFont="1" applyFill="1" applyBorder="1" applyAlignment="1">
      <alignment horizontal="center" vertical="center"/>
    </xf>
    <xf numFmtId="0" fontId="41" fillId="37" borderId="2" xfId="0" applyFont="1" applyFill="1" applyBorder="1" applyAlignment="1">
      <alignment horizontal="center" vertical="center"/>
    </xf>
    <xf numFmtId="0" fontId="41" fillId="29" borderId="2" xfId="0" applyFont="1" applyFill="1" applyBorder="1" applyAlignment="1">
      <alignment horizontal="center" vertical="center"/>
    </xf>
    <xf numFmtId="0" fontId="42" fillId="37" borderId="2" xfId="0" applyFont="1" applyFill="1" applyBorder="1" applyAlignment="1">
      <alignment horizontal="center" vertical="center" wrapText="1"/>
    </xf>
    <xf numFmtId="0" fontId="42" fillId="29" borderId="2" xfId="0" applyFont="1" applyFill="1" applyBorder="1" applyAlignment="1">
      <alignment horizontal="center" vertical="center" wrapText="1"/>
    </xf>
    <xf numFmtId="0" fontId="48" fillId="38" borderId="2" xfId="0" applyFont="1" applyFill="1" applyBorder="1" applyAlignment="1">
      <alignment horizontal="center" vertical="center"/>
    </xf>
    <xf numFmtId="0" fontId="42" fillId="38" borderId="2" xfId="0" applyFont="1" applyFill="1" applyBorder="1" applyAlignment="1">
      <alignment horizontal="center" vertical="center" wrapText="1"/>
    </xf>
    <xf numFmtId="0" fontId="42" fillId="39" borderId="2" xfId="0" applyFont="1" applyFill="1" applyBorder="1" applyAlignment="1">
      <alignment horizontal="center" vertical="center" wrapText="1"/>
    </xf>
    <xf numFmtId="0" fontId="18" fillId="30" borderId="0" xfId="0" applyFont="1" applyFill="1" applyAlignment="1">
      <alignment horizontal="center"/>
    </xf>
    <xf numFmtId="0" fontId="18" fillId="30" borderId="0" xfId="0" applyFont="1" applyFill="1" applyAlignment="1"/>
    <xf numFmtId="0" fontId="66" fillId="25" borderId="0" xfId="0" applyFont="1" applyFill="1" applyAlignment="1"/>
    <xf numFmtId="0" fontId="18" fillId="36" borderId="2" xfId="0" applyFont="1" applyFill="1" applyBorder="1" applyAlignment="1">
      <alignment horizontal="center" vertical="center" wrapText="1"/>
    </xf>
    <xf numFmtId="0" fontId="13" fillId="40" borderId="2" xfId="0" applyFont="1" applyFill="1" applyBorder="1" applyAlignment="1">
      <alignment horizontal="center" vertical="center" wrapText="1"/>
    </xf>
    <xf numFmtId="0" fontId="13" fillId="31" borderId="2" xfId="0" applyFont="1" applyFill="1" applyBorder="1" applyAlignment="1">
      <alignment horizontal="right"/>
    </xf>
    <xf numFmtId="183" fontId="13" fillId="40" borderId="2" xfId="0" applyNumberFormat="1" applyFont="1" applyFill="1" applyBorder="1" applyAlignment="1">
      <alignment horizontal="right" vertical="center" wrapText="1"/>
    </xf>
    <xf numFmtId="0" fontId="18" fillId="41" borderId="2" xfId="0" applyFont="1" applyFill="1" applyBorder="1" applyAlignment="1">
      <alignment horizontal="right" vertical="center" wrapText="1"/>
    </xf>
    <xf numFmtId="0" fontId="18" fillId="41" borderId="2" xfId="0" applyFont="1" applyFill="1" applyBorder="1" applyAlignment="1">
      <alignment horizontal="center" vertical="center" wrapText="1"/>
    </xf>
    <xf numFmtId="0" fontId="21" fillId="40" borderId="2" xfId="0" applyFont="1" applyFill="1" applyBorder="1" applyAlignment="1">
      <alignment horizontal="right" vertical="center" wrapText="1"/>
    </xf>
    <xf numFmtId="3" fontId="44" fillId="23" borderId="2" xfId="0" applyNumberFormat="1" applyFont="1" applyFill="1" applyBorder="1" applyAlignment="1">
      <alignment horizontal="right" vertical="center" wrapText="1"/>
    </xf>
    <xf numFmtId="3" fontId="44" fillId="42" borderId="2" xfId="0" applyNumberFormat="1" applyFont="1" applyFill="1" applyBorder="1" applyAlignment="1">
      <alignment horizontal="right" vertical="center" wrapText="1"/>
    </xf>
    <xf numFmtId="10" fontId="0" fillId="40" borderId="2" xfId="0" applyNumberFormat="1" applyFill="1" applyBorder="1" applyAlignment="1">
      <alignment horizontal="center" vertical="center" wrapText="1"/>
    </xf>
    <xf numFmtId="182" fontId="0" fillId="40" borderId="2" xfId="0" applyNumberFormat="1" applyFill="1" applyBorder="1" applyAlignment="1">
      <alignment horizontal="center" vertical="center" wrapText="1"/>
    </xf>
    <xf numFmtId="9" fontId="0" fillId="40" borderId="2" xfId="0" applyNumberFormat="1" applyFill="1" applyBorder="1" applyAlignment="1">
      <alignment horizontal="center" vertical="center" wrapText="1"/>
    </xf>
    <xf numFmtId="0" fontId="4" fillId="37" borderId="0" xfId="0" applyFont="1" applyFill="1" applyAlignment="1">
      <alignment horizontal="center" vertical="center"/>
    </xf>
    <xf numFmtId="0" fontId="4" fillId="37" borderId="0" xfId="0" applyFont="1" applyFill="1" applyAlignment="1">
      <alignment horizontal="center" vertical="center" wrapText="1"/>
    </xf>
    <xf numFmtId="10" fontId="4" fillId="37" borderId="0" xfId="0" applyNumberFormat="1" applyFont="1" applyFill="1" applyAlignment="1">
      <alignment horizontal="center" vertical="center" wrapText="1"/>
    </xf>
    <xf numFmtId="0" fontId="4" fillId="43" borderId="0" xfId="0" applyFont="1" applyFill="1" applyAlignment="1">
      <alignment horizontal="center" vertical="center" wrapText="1"/>
    </xf>
    <xf numFmtId="0" fontId="3" fillId="24" borderId="2" xfId="0" applyFont="1" applyFill="1" applyBorder="1" applyAlignment="1">
      <alignment horizontal="center" vertical="center"/>
    </xf>
    <xf numFmtId="0" fontId="1" fillId="24" borderId="1" xfId="0" applyFont="1" applyFill="1" applyBorder="1" applyAlignment="1">
      <alignment horizontal="center" vertical="center"/>
    </xf>
    <xf numFmtId="0" fontId="3" fillId="24" borderId="0" xfId="0" applyFont="1" applyFill="1" applyBorder="1" applyAlignment="1">
      <alignment horizontal="center" vertical="center"/>
    </xf>
  </cellXfs>
  <cellStyles count="1">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EBF1DE"/>
      <rgbColor rgb="FFFF00FF"/>
      <rgbColor rgb="FFF8F8FC"/>
      <rgbColor rgb="FFC00000"/>
      <rgbColor rgb="FF375623"/>
      <rgbColor rgb="FF1D324E"/>
      <rgbColor rgb="FF808000"/>
      <rgbColor rgb="FF800080"/>
      <rgbColor rgb="FF2E5FA3"/>
      <rgbColor rgb="FFBFBFBF"/>
      <rgbColor rgb="FF5A89C0"/>
      <rgbColor rgb="FF645DF9"/>
      <rgbColor rgb="FF595959"/>
      <rgbColor rgb="FFFFF2CC"/>
      <rgbColor rgb="FFDDEBF7"/>
      <rgbColor rgb="FF18507A"/>
      <rgbColor rgb="FFDCE6F1"/>
      <rgbColor rgb="FF0070C0"/>
      <rgbColor rgb="FFBDD7EE"/>
      <rgbColor rgb="FF1F3F5A"/>
      <rgbColor rgb="FFFF00FF"/>
      <rgbColor rgb="FFF2F2F2"/>
      <rgbColor rgb="FF00FFFF"/>
      <rgbColor rgb="FF800080"/>
      <rgbColor rgb="FF800000"/>
      <rgbColor rgb="FF1A5276"/>
      <rgbColor rgb="FF0000FF"/>
      <rgbColor rgb="FF00CCFF"/>
      <rgbColor rgb="FFD5E8F5"/>
      <rgbColor rgb="FFE2EFDA"/>
      <rgbColor rgb="FFFFE699"/>
      <rgbColor rgb="FFD6E4F7"/>
      <rgbColor rgb="FFE0E0E0"/>
      <rgbColor rgb="FFD9E1F2"/>
      <rgbColor rgb="FFFCE4D6"/>
      <rgbColor rgb="FF3273B8"/>
      <rgbColor rgb="FFEBF3FB"/>
      <rgbColor rgb="FFDEEAF1"/>
      <rgbColor rgb="FFDBE4F0"/>
      <rgbColor rgb="FFE49C1D"/>
      <rgbColor rgb="FFC55A11"/>
      <rgbColor rgb="FF606F7B"/>
      <rgbColor rgb="FFA7A7A7"/>
      <rgbColor rgb="FF002060"/>
      <rgbColor rgb="FF2E5395"/>
      <rgbColor rgb="FF1A1A2E"/>
      <rgbColor rgb="FF22222F"/>
      <rgbColor rgb="FF843C0B"/>
      <rgbColor rgb="FF1F4E79"/>
      <rgbColor rgb="FF1F3864"/>
      <rgbColor rgb="FF404040"/>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3" Type="http://schemas.openxmlformats.org/officeDocument/2006/relationships/worksheet" Target="worksheets/sheet3.xml"/><Relationship Id="rId21" Type="http://schemas.openxmlformats.org/officeDocument/2006/relationships/styles" Target="style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calcChain" Target="calcChain.xml"/><Relationship Id="rId10" Type="http://schemas.openxmlformats.org/officeDocument/2006/relationships/worksheet" Target="worksheets/sheet10.xml"/><Relationship Id="rId19" Type="http://schemas.openxmlformats.org/officeDocument/2006/relationships/externalLink" Target="externalLinks/externalLink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haredStrings" Target="sharedStrings.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0" vertOverflow="ellipsis" vert="horz" wrap="square" anchor="ctr" anchorCtr="1"/>
          <a:lstStyle/>
          <a:p>
            <a:pPr>
              <a:defRPr lang="en-IN" sz="1400" b="0" i="0" u="none" strike="noStrike" kern="1200" spc="-1" baseline="0">
                <a:solidFill>
                  <a:srgbClr val="595959"/>
                </a:solidFill>
                <a:latin typeface="Calibri" panose="020F0502020204030204"/>
                <a:ea typeface="+mn-ea"/>
                <a:cs typeface="+mn-cs"/>
              </a:defRPr>
            </a:pPr>
            <a:r>
              <a:rPr lang="en-IN" sz="1400" b="0" strike="noStrike" spc="-1">
                <a:solidFill>
                  <a:srgbClr val="595959"/>
                </a:solidFill>
                <a:latin typeface="Calibri" panose="020F0502020204030204"/>
              </a:rPr>
              <a:t>Sales Forecasting</a:t>
            </a:r>
          </a:p>
        </c:rich>
      </c:tx>
      <c:overlay val="0"/>
      <c:spPr>
        <a:noFill/>
        <a:ln w="0">
          <a:noFill/>
        </a:ln>
      </c:spPr>
    </c:title>
    <c:autoTitleDeleted val="0"/>
    <c:plotArea>
      <c:layout/>
      <c:barChart>
        <c:barDir val="col"/>
        <c:grouping val="clustered"/>
        <c:varyColors val="0"/>
        <c:ser>
          <c:idx val="0"/>
          <c:order val="0"/>
          <c:spPr>
            <a:solidFill>
              <a:srgbClr val="4472C4"/>
            </a:solidFill>
            <a:ln w="0">
              <a:noFill/>
            </a:ln>
          </c:spPr>
          <c:invertIfNegative val="0"/>
          <c:dLbls>
            <c:spPr>
              <a:noFill/>
              <a:ln>
                <a:noFill/>
              </a:ln>
              <a:effectLst/>
            </c:spPr>
            <c:txPr>
              <a:bodyPr rot="0" spcFirstLastPara="0" vertOverflow="ellipsis" vert="horz" wrap="square" lIns="38100" tIns="19050" rIns="38100" bIns="19050" anchor="ctr" anchorCtr="1"/>
              <a:lstStyle/>
              <a:p>
                <a:pPr>
                  <a:defRPr lang="en-US" sz="1000" b="0" i="0" u="none" strike="noStrike" kern="1200" spc="-1" baseline="0">
                    <a:solidFill>
                      <a:srgbClr val="000000"/>
                    </a:solidFill>
                    <a:latin typeface="Calibri" panose="020F0502020204030204"/>
                    <a:ea typeface="+mn-ea"/>
                    <a:cs typeface="+mn-cs"/>
                  </a:defRPr>
                </a:pPr>
                <a:endParaRPr lang="en-US"/>
              </a:p>
            </c:txPr>
            <c:dLblPos val="outEnd"/>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numRef>
              <c:f>[1]Forecasting!$E$10:$E$14</c:f>
              <c:numCache>
                <c:formatCode>General</c:formatCode>
                <c:ptCount val="5"/>
                <c:pt idx="0">
                  <c:v>46447</c:v>
                </c:pt>
                <c:pt idx="1">
                  <c:v>46813</c:v>
                </c:pt>
                <c:pt idx="2">
                  <c:v>47178</c:v>
                </c:pt>
                <c:pt idx="3">
                  <c:v>47543</c:v>
                </c:pt>
                <c:pt idx="4">
                  <c:v>47908</c:v>
                </c:pt>
              </c:numCache>
            </c:numRef>
          </c:cat>
          <c:val>
            <c:numRef>
              <c:f>[1]Forecasting!$F$10:$F$14</c:f>
              <c:numCache>
                <c:formatCode>General</c:formatCode>
                <c:ptCount val="5"/>
                <c:pt idx="0">
                  <c:v>78218.918999999994</c:v>
                </c:pt>
                <c:pt idx="1">
                  <c:v>87439.661999999997</c:v>
                </c:pt>
                <c:pt idx="2">
                  <c:v>96660.404999999999</c:v>
                </c:pt>
                <c:pt idx="3">
                  <c:v>105881.148</c:v>
                </c:pt>
                <c:pt idx="4">
                  <c:v>115101.891</c:v>
                </c:pt>
              </c:numCache>
            </c:numRef>
          </c:val>
          <c:extLst>
            <c:ext xmlns:c16="http://schemas.microsoft.com/office/drawing/2014/chart" uri="{C3380CC4-5D6E-409C-BE32-E72D297353CC}">
              <c16:uniqueId val="{00000000-55F9-4C47-BC03-09B1D3B52305}"/>
            </c:ext>
          </c:extLst>
        </c:ser>
        <c:dLbls>
          <c:showLegendKey val="0"/>
          <c:showVal val="0"/>
          <c:showCatName val="0"/>
          <c:showSerName val="0"/>
          <c:showPercent val="0"/>
          <c:showBubbleSize val="1"/>
        </c:dLbls>
        <c:gapWidth val="219"/>
        <c:overlap val="-27"/>
        <c:axId val="53961820"/>
        <c:axId val="80936015"/>
      </c:barChart>
      <c:lineChart>
        <c:grouping val="standard"/>
        <c:varyColors val="0"/>
        <c:ser>
          <c:idx val="1"/>
          <c:order val="1"/>
          <c:spPr>
            <a:ln w="28440" cap="rnd" cmpd="sng" algn="ctr">
              <a:solidFill>
                <a:srgbClr val="ED7D31"/>
              </a:solidFill>
              <a:prstDash val="solid"/>
              <a:round/>
            </a:ln>
          </c:spPr>
          <c:marker>
            <c:symbol val="none"/>
          </c:marker>
          <c:dLbls>
            <c:spPr>
              <a:noFill/>
              <a:ln>
                <a:noFill/>
              </a:ln>
              <a:effectLst/>
            </c:spPr>
            <c:txPr>
              <a:bodyPr rot="0" spcFirstLastPara="0" vertOverflow="ellipsis" vert="horz" wrap="square" lIns="38100" tIns="19050" rIns="38100" bIns="19050" anchor="ctr" anchorCtr="1"/>
              <a:lstStyle/>
              <a:p>
                <a:pPr>
                  <a:defRPr lang="en-US" sz="1000" b="0" i="0" u="none" strike="noStrike" kern="1200" spc="-1" baseline="0">
                    <a:solidFill>
                      <a:srgbClr val="000000"/>
                    </a:solidFill>
                    <a:latin typeface="Calibri" panose="020F0502020204030204"/>
                    <a:ea typeface="+mn-ea"/>
                    <a:cs typeface="+mn-cs"/>
                  </a:defRPr>
                </a:pPr>
                <a:endParaRPr lang="en-US"/>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numRef>
              <c:f>[1]Forecasting!$E$10:$E$14</c:f>
              <c:numCache>
                <c:formatCode>General</c:formatCode>
                <c:ptCount val="5"/>
                <c:pt idx="0">
                  <c:v>46447</c:v>
                </c:pt>
                <c:pt idx="1">
                  <c:v>46813</c:v>
                </c:pt>
                <c:pt idx="2">
                  <c:v>47178</c:v>
                </c:pt>
                <c:pt idx="3">
                  <c:v>47543</c:v>
                </c:pt>
                <c:pt idx="4">
                  <c:v>47908</c:v>
                </c:pt>
              </c:numCache>
            </c:numRef>
          </c:cat>
          <c:val>
            <c:numRef>
              <c:f>[1]Forecasting!$G$10:$G$14</c:f>
              <c:numCache>
                <c:formatCode>General</c:formatCode>
                <c:ptCount val="5"/>
                <c:pt idx="0">
                  <c:v>0.136560272383006</c:v>
                </c:pt>
                <c:pt idx="1">
                  <c:v>0.117883794839967</c:v>
                </c:pt>
                <c:pt idx="2">
                  <c:v>0.105452637728632</c:v>
                </c:pt>
                <c:pt idx="3">
                  <c:v>9.5393175726917398E-2</c:v>
                </c:pt>
                <c:pt idx="4">
                  <c:v>8.7085786036245103E-2</c:v>
                </c:pt>
              </c:numCache>
            </c:numRef>
          </c:val>
          <c:smooth val="0"/>
          <c:extLst>
            <c:ext xmlns:c16="http://schemas.microsoft.com/office/drawing/2014/chart" uri="{C3380CC4-5D6E-409C-BE32-E72D297353CC}">
              <c16:uniqueId val="{00000001-55F9-4C47-BC03-09B1D3B52305}"/>
            </c:ext>
          </c:extLst>
        </c:ser>
        <c:dLbls>
          <c:showLegendKey val="0"/>
          <c:showVal val="0"/>
          <c:showCatName val="0"/>
          <c:showSerName val="0"/>
          <c:showPercent val="0"/>
          <c:showBubbleSize val="1"/>
        </c:dLbls>
        <c:hiLowLines>
          <c:spPr>
            <a:ln w="0" cap="flat" cmpd="sng" algn="ctr">
              <a:noFill/>
              <a:prstDash val="solid"/>
              <a:round/>
            </a:ln>
          </c:spPr>
        </c:hiLowLines>
        <c:marker val="1"/>
        <c:smooth val="0"/>
        <c:axId val="60117704"/>
        <c:axId val="28140118"/>
      </c:lineChart>
      <c:catAx>
        <c:axId val="53961820"/>
        <c:scaling>
          <c:orientation val="minMax"/>
        </c:scaling>
        <c:delete val="0"/>
        <c:axPos val="b"/>
        <c:numFmt formatCode="yyyy\E" sourceLinked="0"/>
        <c:majorTickMark val="out"/>
        <c:minorTickMark val="none"/>
        <c:tickLblPos val="nextTo"/>
        <c:spPr>
          <a:ln w="9360" cap="flat" cmpd="sng" algn="ctr">
            <a:solidFill>
              <a:srgbClr val="D9D9D9"/>
            </a:solidFill>
            <a:prstDash val="solid"/>
            <a:round/>
          </a:ln>
        </c:spPr>
        <c:txPr>
          <a:bodyPr rot="-60000000" spcFirstLastPara="0" vertOverflow="ellipsis" vert="horz" wrap="square" anchor="ctr" anchorCtr="1"/>
          <a:lstStyle/>
          <a:p>
            <a:pPr>
              <a:defRPr lang="en-US" sz="900" b="0" i="0" u="none" strike="noStrike" kern="1200" spc="-1" baseline="0">
                <a:solidFill>
                  <a:srgbClr val="595959"/>
                </a:solidFill>
                <a:latin typeface="Calibri" panose="020F0502020204030204"/>
                <a:ea typeface="+mn-ea"/>
                <a:cs typeface="+mn-cs"/>
              </a:defRPr>
            </a:pPr>
            <a:endParaRPr lang="en-US"/>
          </a:p>
        </c:txPr>
        <c:crossAx val="80936015"/>
        <c:crosses val="autoZero"/>
        <c:auto val="1"/>
        <c:lblAlgn val="ctr"/>
        <c:lblOffset val="100"/>
        <c:noMultiLvlLbl val="1"/>
      </c:catAx>
      <c:valAx>
        <c:axId val="80936015"/>
        <c:scaling>
          <c:orientation val="minMax"/>
        </c:scaling>
        <c:delete val="0"/>
        <c:axPos val="l"/>
        <c:majorGridlines>
          <c:spPr>
            <a:ln w="9360" cap="flat" cmpd="sng" algn="ctr">
              <a:solidFill>
                <a:srgbClr val="D9D9D9"/>
              </a:solidFill>
              <a:prstDash val="solid"/>
              <a:round/>
            </a:ln>
          </c:spPr>
        </c:majorGridlines>
        <c:numFmt formatCode="#,##0.00" sourceLinked="0"/>
        <c:majorTickMark val="none"/>
        <c:minorTickMark val="none"/>
        <c:tickLblPos val="nextTo"/>
        <c:spPr>
          <a:ln w="6480" cap="flat" cmpd="sng" algn="ctr">
            <a:noFill/>
            <a:prstDash val="solid"/>
            <a:round/>
          </a:ln>
        </c:spPr>
        <c:txPr>
          <a:bodyPr rot="-60000000" spcFirstLastPara="0" vertOverflow="ellipsis" vert="horz" wrap="square" anchor="ctr" anchorCtr="1"/>
          <a:lstStyle/>
          <a:p>
            <a:pPr>
              <a:defRPr lang="en-US" sz="900" b="0" i="0" u="none" strike="noStrike" kern="1200" spc="-1" baseline="0">
                <a:solidFill>
                  <a:srgbClr val="595959"/>
                </a:solidFill>
                <a:latin typeface="Calibri" panose="020F0502020204030204"/>
                <a:ea typeface="+mn-ea"/>
                <a:cs typeface="+mn-cs"/>
              </a:defRPr>
            </a:pPr>
            <a:endParaRPr lang="en-US"/>
          </a:p>
        </c:txPr>
        <c:crossAx val="53961820"/>
        <c:crosses val="autoZero"/>
        <c:crossBetween val="between"/>
      </c:valAx>
      <c:catAx>
        <c:axId val="60117704"/>
        <c:scaling>
          <c:orientation val="minMax"/>
        </c:scaling>
        <c:delete val="1"/>
        <c:axPos val="b"/>
        <c:numFmt formatCode="General" sourceLinked="1"/>
        <c:majorTickMark val="out"/>
        <c:minorTickMark val="none"/>
        <c:tickLblPos val="nextTo"/>
        <c:crossAx val="28140118"/>
        <c:crosses val="autoZero"/>
        <c:auto val="1"/>
        <c:lblAlgn val="ctr"/>
        <c:lblOffset val="100"/>
        <c:noMultiLvlLbl val="1"/>
      </c:catAx>
      <c:valAx>
        <c:axId val="28140118"/>
        <c:scaling>
          <c:orientation val="minMax"/>
        </c:scaling>
        <c:delete val="0"/>
        <c:axPos val="r"/>
        <c:numFmt formatCode="0.0%" sourceLinked="0"/>
        <c:majorTickMark val="none"/>
        <c:minorTickMark val="none"/>
        <c:tickLblPos val="nextTo"/>
        <c:spPr>
          <a:ln w="6480" cap="flat" cmpd="sng" algn="ctr">
            <a:noFill/>
            <a:prstDash val="solid"/>
            <a:round/>
          </a:ln>
        </c:spPr>
        <c:txPr>
          <a:bodyPr rot="-60000000" spcFirstLastPara="0" vertOverflow="ellipsis" vert="horz" wrap="square" anchor="ctr" anchorCtr="1"/>
          <a:lstStyle/>
          <a:p>
            <a:pPr>
              <a:defRPr lang="en-US" sz="900" b="0" i="0" u="none" strike="noStrike" kern="1200" spc="-1" baseline="0">
                <a:solidFill>
                  <a:srgbClr val="595959"/>
                </a:solidFill>
                <a:latin typeface="Calibri" panose="020F0502020204030204"/>
                <a:ea typeface="+mn-ea"/>
                <a:cs typeface="+mn-cs"/>
              </a:defRPr>
            </a:pPr>
            <a:endParaRPr lang="en-US"/>
          </a:p>
        </c:txPr>
        <c:crossAx val="60117704"/>
        <c:crosses val="max"/>
        <c:crossBetween val="between"/>
      </c:valAx>
      <c:spPr>
        <a:noFill/>
        <a:ln w="0">
          <a:noFill/>
        </a:ln>
      </c:spPr>
    </c:plotArea>
    <c:legend>
      <c:legendPos val="b"/>
      <c:overlay val="0"/>
      <c:spPr>
        <a:noFill/>
        <a:ln w="0">
          <a:noFill/>
        </a:ln>
      </c:spPr>
      <c:txPr>
        <a:bodyPr rot="0" spcFirstLastPara="0" vertOverflow="ellipsis" vert="horz" wrap="square" anchor="ctr" anchorCtr="1"/>
        <a:lstStyle/>
        <a:p>
          <a:pPr>
            <a:defRPr lang="en-US" sz="900" b="0" i="0" u="none" strike="noStrike" kern="1200" spc="-1" baseline="0">
              <a:solidFill>
                <a:srgbClr val="595959"/>
              </a:solidFill>
              <a:latin typeface="Calibri" panose="020F0502020204030204"/>
              <a:ea typeface="+mn-ea"/>
              <a:cs typeface="+mn-cs"/>
            </a:defRPr>
          </a:pPr>
          <a:endParaRPr lang="en-US"/>
        </a:p>
      </c:txPr>
    </c:legend>
    <c:plotVisOnly val="1"/>
    <c:dispBlanksAs val="gap"/>
    <c:showDLblsOverMax val="0"/>
    <c:extLst>
      <c:ext uri="{0b15fc19-7d7d-44ad-8c2d-2c3a37ce22c3}">
        <chartProps xmlns="https://web.wps.cn/et/2018/main" chartId="{1c322ca4-5406-4ea3-95c9-c873701fcff2}"/>
      </c:ext>
    </c:extLst>
  </c:chart>
  <c:spPr>
    <a:solidFill>
      <a:srgbClr val="FFFFFF"/>
    </a:solidFill>
    <a:ln w="9360" cap="flat" cmpd="sng" algn="ctr">
      <a:solidFill>
        <a:srgbClr val="D9D9D9"/>
      </a:solidFill>
      <a:prstDash val="solid"/>
      <a:round/>
    </a:ln>
  </c:spPr>
  <c:txPr>
    <a:bodyPr/>
    <a:lstStyle/>
    <a:p>
      <a:pPr>
        <a:defRPr lang="en-US"/>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0" vertOverflow="ellipsis" vert="horz" wrap="square" anchor="ctr" anchorCtr="1"/>
          <a:lstStyle/>
          <a:p>
            <a:pPr>
              <a:defRPr lang="en-IN" sz="1400" b="0" i="0" u="none" strike="noStrike" kern="1200" spc="-1" baseline="0">
                <a:solidFill>
                  <a:srgbClr val="595959"/>
                </a:solidFill>
                <a:latin typeface="Calibri" panose="020F0502020204030204"/>
                <a:ea typeface="+mn-ea"/>
                <a:cs typeface="+mn-cs"/>
              </a:defRPr>
            </a:pPr>
            <a:r>
              <a:rPr lang="en-IN" sz="1400" b="0" strike="noStrike" spc="-1">
                <a:solidFill>
                  <a:srgbClr val="595959"/>
                </a:solidFill>
                <a:latin typeface="Calibri" panose="020F0502020204030204"/>
              </a:rPr>
              <a:t>Ebitda Forecasting</a:t>
            </a:r>
          </a:p>
        </c:rich>
      </c:tx>
      <c:overlay val="0"/>
      <c:spPr>
        <a:noFill/>
        <a:ln w="0">
          <a:noFill/>
        </a:ln>
      </c:spPr>
    </c:title>
    <c:autoTitleDeleted val="0"/>
    <c:plotArea>
      <c:layout/>
      <c:barChart>
        <c:barDir val="col"/>
        <c:grouping val="clustered"/>
        <c:varyColors val="0"/>
        <c:ser>
          <c:idx val="0"/>
          <c:order val="0"/>
          <c:spPr>
            <a:solidFill>
              <a:srgbClr val="4472C4"/>
            </a:solidFill>
            <a:ln w="0">
              <a:noFill/>
            </a:ln>
          </c:spPr>
          <c:invertIfNegative val="0"/>
          <c:dLbls>
            <c:spPr>
              <a:noFill/>
              <a:ln>
                <a:noFill/>
              </a:ln>
              <a:effectLst/>
            </c:spPr>
            <c:txPr>
              <a:bodyPr rot="0" spcFirstLastPara="0" vertOverflow="ellipsis" vert="horz" wrap="square" lIns="38100" tIns="19050" rIns="38100" bIns="19050" anchor="ctr" anchorCtr="1"/>
              <a:lstStyle/>
              <a:p>
                <a:pPr>
                  <a:defRPr lang="en-US" sz="1000" b="0" i="0" u="none" strike="noStrike" kern="1200" spc="-1" baseline="0">
                    <a:solidFill>
                      <a:srgbClr val="000000"/>
                    </a:solidFill>
                    <a:latin typeface="Calibri" panose="020F0502020204030204"/>
                    <a:ea typeface="+mn-ea"/>
                    <a:cs typeface="+mn-cs"/>
                  </a:defRPr>
                </a:pPr>
                <a:endParaRPr lang="en-US"/>
              </a:p>
            </c:txPr>
            <c:dLblPos val="outEnd"/>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numRef>
              <c:f>[1]Forecasting!$J$5:$J$14</c:f>
              <c:numCache>
                <c:formatCode>General</c:formatCode>
                <c:ptCount val="10"/>
                <c:pt idx="0">
                  <c:v>44621</c:v>
                </c:pt>
                <c:pt idx="1">
                  <c:v>44986</c:v>
                </c:pt>
                <c:pt idx="2">
                  <c:v>45352</c:v>
                </c:pt>
                <c:pt idx="3">
                  <c:v>45717</c:v>
                </c:pt>
                <c:pt idx="4">
                  <c:v>46082</c:v>
                </c:pt>
                <c:pt idx="5">
                  <c:v>46447</c:v>
                </c:pt>
                <c:pt idx="6">
                  <c:v>46813</c:v>
                </c:pt>
                <c:pt idx="7">
                  <c:v>47178</c:v>
                </c:pt>
                <c:pt idx="8">
                  <c:v>47543</c:v>
                </c:pt>
                <c:pt idx="9">
                  <c:v>47908</c:v>
                </c:pt>
              </c:numCache>
            </c:numRef>
          </c:cat>
          <c:val>
            <c:numRef>
              <c:f>[1]Forecasting!$K$5:$K$14</c:f>
              <c:numCache>
                <c:formatCode>General</c:formatCode>
                <c:ptCount val="10"/>
                <c:pt idx="0">
                  <c:v>2615.9899999999998</c:v>
                </c:pt>
                <c:pt idx="1">
                  <c:v>3766.37</c:v>
                </c:pt>
                <c:pt idx="2">
                  <c:v>4250.22</c:v>
                </c:pt>
                <c:pt idx="3">
                  <c:v>4611.6400000000003</c:v>
                </c:pt>
                <c:pt idx="4">
                  <c:v>5260.69</c:v>
                </c:pt>
                <c:pt idx="5">
                  <c:v>5941.3829999999998</c:v>
                </c:pt>
                <c:pt idx="6">
                  <c:v>6554.85</c:v>
                </c:pt>
                <c:pt idx="7">
                  <c:v>7168.317</c:v>
                </c:pt>
                <c:pt idx="8">
                  <c:v>7781.7839999999997</c:v>
                </c:pt>
                <c:pt idx="9">
                  <c:v>8395.2510000000002</c:v>
                </c:pt>
              </c:numCache>
            </c:numRef>
          </c:val>
          <c:extLst>
            <c:ext xmlns:c16="http://schemas.microsoft.com/office/drawing/2014/chart" uri="{C3380CC4-5D6E-409C-BE32-E72D297353CC}">
              <c16:uniqueId val="{00000000-0823-44A8-A12F-138FA0996971}"/>
            </c:ext>
          </c:extLst>
        </c:ser>
        <c:dLbls>
          <c:showLegendKey val="0"/>
          <c:showVal val="0"/>
          <c:showCatName val="0"/>
          <c:showSerName val="0"/>
          <c:showPercent val="0"/>
          <c:showBubbleSize val="1"/>
        </c:dLbls>
        <c:gapWidth val="219"/>
        <c:overlap val="-27"/>
        <c:axId val="48230707"/>
        <c:axId val="75433197"/>
      </c:barChart>
      <c:lineChart>
        <c:grouping val="standard"/>
        <c:varyColors val="0"/>
        <c:ser>
          <c:idx val="1"/>
          <c:order val="1"/>
          <c:spPr>
            <a:ln w="28440" cap="rnd" cmpd="sng" algn="ctr">
              <a:solidFill>
                <a:srgbClr val="ED7D31"/>
              </a:solidFill>
              <a:prstDash val="solid"/>
              <a:round/>
            </a:ln>
          </c:spPr>
          <c:marker>
            <c:symbol val="none"/>
          </c:marker>
          <c:dLbls>
            <c:spPr>
              <a:noFill/>
              <a:ln>
                <a:noFill/>
              </a:ln>
              <a:effectLst/>
            </c:spPr>
            <c:txPr>
              <a:bodyPr rot="0" spcFirstLastPara="0" vertOverflow="ellipsis" vert="horz" wrap="square" lIns="38100" tIns="19050" rIns="38100" bIns="19050" anchor="ctr" anchorCtr="1"/>
              <a:lstStyle/>
              <a:p>
                <a:pPr>
                  <a:defRPr lang="en-US" sz="1000" b="0" i="0" u="none" strike="noStrike" kern="1200" spc="-1" baseline="0">
                    <a:solidFill>
                      <a:srgbClr val="000000"/>
                    </a:solidFill>
                    <a:latin typeface="Calibri" panose="020F0502020204030204"/>
                    <a:ea typeface="+mn-ea"/>
                    <a:cs typeface="+mn-cs"/>
                  </a:defRPr>
                </a:pPr>
                <a:endParaRPr lang="en-US"/>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numRef>
              <c:f>[1]Forecasting!$J$5:$J$14</c:f>
              <c:numCache>
                <c:formatCode>General</c:formatCode>
                <c:ptCount val="10"/>
                <c:pt idx="0">
                  <c:v>44621</c:v>
                </c:pt>
                <c:pt idx="1">
                  <c:v>44986</c:v>
                </c:pt>
                <c:pt idx="2">
                  <c:v>45352</c:v>
                </c:pt>
                <c:pt idx="3">
                  <c:v>45717</c:v>
                </c:pt>
                <c:pt idx="4">
                  <c:v>46082</c:v>
                </c:pt>
                <c:pt idx="5">
                  <c:v>46447</c:v>
                </c:pt>
                <c:pt idx="6">
                  <c:v>46813</c:v>
                </c:pt>
                <c:pt idx="7">
                  <c:v>47178</c:v>
                </c:pt>
                <c:pt idx="8">
                  <c:v>47543</c:v>
                </c:pt>
                <c:pt idx="9">
                  <c:v>47908</c:v>
                </c:pt>
              </c:numCache>
            </c:numRef>
          </c:cat>
          <c:val>
            <c:numRef>
              <c:f>[1]Forecasting!$L$5:$L$14</c:f>
              <c:numCache>
                <c:formatCode>General</c:formatCode>
                <c:ptCount val="10"/>
                <c:pt idx="1">
                  <c:v>0.43974938742120601</c:v>
                </c:pt>
                <c:pt idx="2">
                  <c:v>0.12846587032076001</c:v>
                </c:pt>
                <c:pt idx="3">
                  <c:v>8.50355981572717E-2</c:v>
                </c:pt>
                <c:pt idx="4">
                  <c:v>0.140741688423208</c:v>
                </c:pt>
                <c:pt idx="5">
                  <c:v>0.129392342069196</c:v>
                </c:pt>
                <c:pt idx="6">
                  <c:v>0.10325323245446399</c:v>
                </c:pt>
                <c:pt idx="7">
                  <c:v>9.3589784663264702E-2</c:v>
                </c:pt>
                <c:pt idx="8">
                  <c:v>8.5580339150737997E-2</c:v>
                </c:pt>
                <c:pt idx="9">
                  <c:v>7.8833722447191903E-2</c:v>
                </c:pt>
              </c:numCache>
            </c:numRef>
          </c:val>
          <c:smooth val="0"/>
          <c:extLst>
            <c:ext xmlns:c16="http://schemas.microsoft.com/office/drawing/2014/chart" uri="{C3380CC4-5D6E-409C-BE32-E72D297353CC}">
              <c16:uniqueId val="{00000001-0823-44A8-A12F-138FA0996971}"/>
            </c:ext>
          </c:extLst>
        </c:ser>
        <c:dLbls>
          <c:showLegendKey val="0"/>
          <c:showVal val="0"/>
          <c:showCatName val="0"/>
          <c:showSerName val="0"/>
          <c:showPercent val="0"/>
          <c:showBubbleSize val="1"/>
        </c:dLbls>
        <c:hiLowLines>
          <c:spPr>
            <a:ln w="0" cap="flat" cmpd="sng" algn="ctr">
              <a:noFill/>
              <a:prstDash val="solid"/>
              <a:round/>
            </a:ln>
          </c:spPr>
        </c:hiLowLines>
        <c:marker val="1"/>
        <c:smooth val="0"/>
        <c:axId val="8460785"/>
        <c:axId val="58311995"/>
      </c:lineChart>
      <c:catAx>
        <c:axId val="48230707"/>
        <c:scaling>
          <c:orientation val="minMax"/>
        </c:scaling>
        <c:delete val="0"/>
        <c:axPos val="b"/>
        <c:numFmt formatCode="yyyy\A" sourceLinked="0"/>
        <c:majorTickMark val="out"/>
        <c:minorTickMark val="none"/>
        <c:tickLblPos val="nextTo"/>
        <c:spPr>
          <a:ln w="9360" cap="flat" cmpd="sng" algn="ctr">
            <a:solidFill>
              <a:srgbClr val="D9D9D9"/>
            </a:solidFill>
            <a:prstDash val="solid"/>
            <a:round/>
          </a:ln>
        </c:spPr>
        <c:txPr>
          <a:bodyPr rot="-60000000" spcFirstLastPara="0" vertOverflow="ellipsis" vert="horz" wrap="square" anchor="ctr" anchorCtr="1"/>
          <a:lstStyle/>
          <a:p>
            <a:pPr>
              <a:defRPr lang="en-US" sz="900" b="0" i="0" u="none" strike="noStrike" kern="1200" spc="-1" baseline="0">
                <a:solidFill>
                  <a:srgbClr val="595959"/>
                </a:solidFill>
                <a:latin typeface="Calibri" panose="020F0502020204030204"/>
                <a:ea typeface="+mn-ea"/>
                <a:cs typeface="+mn-cs"/>
              </a:defRPr>
            </a:pPr>
            <a:endParaRPr lang="en-US"/>
          </a:p>
        </c:txPr>
        <c:crossAx val="75433197"/>
        <c:crosses val="autoZero"/>
        <c:auto val="1"/>
        <c:lblAlgn val="ctr"/>
        <c:lblOffset val="100"/>
        <c:noMultiLvlLbl val="1"/>
      </c:catAx>
      <c:valAx>
        <c:axId val="75433197"/>
        <c:scaling>
          <c:orientation val="minMax"/>
        </c:scaling>
        <c:delete val="0"/>
        <c:axPos val="l"/>
        <c:majorGridlines>
          <c:spPr>
            <a:ln w="9360" cap="flat" cmpd="sng" algn="ctr">
              <a:solidFill>
                <a:srgbClr val="D9D9D9"/>
              </a:solidFill>
              <a:prstDash val="solid"/>
              <a:round/>
            </a:ln>
          </c:spPr>
        </c:majorGridlines>
        <c:numFmt formatCode="#,##0.00" sourceLinked="0"/>
        <c:majorTickMark val="none"/>
        <c:minorTickMark val="none"/>
        <c:tickLblPos val="nextTo"/>
        <c:spPr>
          <a:ln w="6480" cap="flat" cmpd="sng" algn="ctr">
            <a:noFill/>
            <a:prstDash val="solid"/>
            <a:round/>
          </a:ln>
        </c:spPr>
        <c:txPr>
          <a:bodyPr rot="-60000000" spcFirstLastPara="0" vertOverflow="ellipsis" vert="horz" wrap="square" anchor="ctr" anchorCtr="1"/>
          <a:lstStyle/>
          <a:p>
            <a:pPr>
              <a:defRPr lang="en-US" sz="900" b="0" i="0" u="none" strike="noStrike" kern="1200" spc="-1" baseline="0">
                <a:solidFill>
                  <a:srgbClr val="595959"/>
                </a:solidFill>
                <a:latin typeface="Calibri" panose="020F0502020204030204"/>
                <a:ea typeface="+mn-ea"/>
                <a:cs typeface="+mn-cs"/>
              </a:defRPr>
            </a:pPr>
            <a:endParaRPr lang="en-US"/>
          </a:p>
        </c:txPr>
        <c:crossAx val="48230707"/>
        <c:crosses val="autoZero"/>
        <c:crossBetween val="between"/>
      </c:valAx>
      <c:catAx>
        <c:axId val="8460785"/>
        <c:scaling>
          <c:orientation val="minMax"/>
        </c:scaling>
        <c:delete val="1"/>
        <c:axPos val="b"/>
        <c:numFmt formatCode="General" sourceLinked="1"/>
        <c:majorTickMark val="out"/>
        <c:minorTickMark val="none"/>
        <c:tickLblPos val="nextTo"/>
        <c:crossAx val="58311995"/>
        <c:crosses val="autoZero"/>
        <c:auto val="1"/>
        <c:lblAlgn val="ctr"/>
        <c:lblOffset val="100"/>
        <c:noMultiLvlLbl val="1"/>
      </c:catAx>
      <c:valAx>
        <c:axId val="58311995"/>
        <c:scaling>
          <c:orientation val="minMax"/>
        </c:scaling>
        <c:delete val="0"/>
        <c:axPos val="r"/>
        <c:numFmt formatCode="0%" sourceLinked="0"/>
        <c:majorTickMark val="none"/>
        <c:minorTickMark val="none"/>
        <c:tickLblPos val="nextTo"/>
        <c:spPr>
          <a:ln w="6480" cap="flat" cmpd="sng" algn="ctr">
            <a:noFill/>
            <a:prstDash val="solid"/>
            <a:round/>
          </a:ln>
        </c:spPr>
        <c:txPr>
          <a:bodyPr rot="-60000000" spcFirstLastPara="0" vertOverflow="ellipsis" vert="horz" wrap="square" anchor="ctr" anchorCtr="1"/>
          <a:lstStyle/>
          <a:p>
            <a:pPr>
              <a:defRPr lang="en-US" sz="900" b="0" i="0" u="none" strike="noStrike" kern="1200" spc="-1" baseline="0">
                <a:solidFill>
                  <a:srgbClr val="595959"/>
                </a:solidFill>
                <a:latin typeface="Calibri" panose="020F0502020204030204"/>
                <a:ea typeface="+mn-ea"/>
                <a:cs typeface="+mn-cs"/>
              </a:defRPr>
            </a:pPr>
            <a:endParaRPr lang="en-US"/>
          </a:p>
        </c:txPr>
        <c:crossAx val="8460785"/>
        <c:crosses val="max"/>
        <c:crossBetween val="between"/>
      </c:valAx>
      <c:spPr>
        <a:noFill/>
        <a:ln w="0">
          <a:noFill/>
        </a:ln>
      </c:spPr>
    </c:plotArea>
    <c:legend>
      <c:legendPos val="b"/>
      <c:overlay val="0"/>
      <c:spPr>
        <a:noFill/>
        <a:ln w="0">
          <a:noFill/>
        </a:ln>
      </c:spPr>
      <c:txPr>
        <a:bodyPr rot="0" spcFirstLastPara="0" vertOverflow="ellipsis" vert="horz" wrap="square" anchor="ctr" anchorCtr="1"/>
        <a:lstStyle/>
        <a:p>
          <a:pPr>
            <a:defRPr lang="en-US" sz="900" b="0" i="0" u="none" strike="noStrike" kern="1200" spc="-1" baseline="0">
              <a:solidFill>
                <a:srgbClr val="595959"/>
              </a:solidFill>
              <a:latin typeface="Calibri" panose="020F0502020204030204"/>
              <a:ea typeface="+mn-ea"/>
              <a:cs typeface="+mn-cs"/>
            </a:defRPr>
          </a:pPr>
          <a:endParaRPr lang="en-US"/>
        </a:p>
      </c:txPr>
    </c:legend>
    <c:plotVisOnly val="1"/>
    <c:dispBlanksAs val="gap"/>
    <c:showDLblsOverMax val="0"/>
    <c:extLst>
      <c:ext uri="{0b15fc19-7d7d-44ad-8c2d-2c3a37ce22c3}">
        <chartProps xmlns="https://web.wps.cn/et/2018/main" chartId="{c4916384-ba04-4ca4-b27c-b3b5fe083d37}"/>
      </c:ext>
    </c:extLst>
  </c:chart>
  <c:spPr>
    <a:solidFill>
      <a:srgbClr val="FFFFFF"/>
    </a:solidFill>
    <a:ln w="9360" cap="flat" cmpd="sng" algn="ctr">
      <a:solidFill>
        <a:srgbClr val="D9D9D9"/>
      </a:solidFill>
      <a:prstDash val="solid"/>
      <a:round/>
    </a:ln>
  </c:spPr>
  <c:txPr>
    <a:bodyPr/>
    <a:lstStyle/>
    <a:p>
      <a:pPr>
        <a:defRPr lang="en-US"/>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0" vertOverflow="ellipsis" vert="horz" wrap="square" anchor="ctr" anchorCtr="1"/>
          <a:lstStyle/>
          <a:p>
            <a:pPr>
              <a:defRPr lang="en-IN" sz="1400" b="0" i="0" u="none" strike="noStrike" kern="1200" spc="-1" baseline="0">
                <a:solidFill>
                  <a:srgbClr val="595959"/>
                </a:solidFill>
                <a:latin typeface="Calibri" panose="020F0502020204030204"/>
                <a:ea typeface="+mn-ea"/>
                <a:cs typeface="+mn-cs"/>
              </a:defRPr>
            </a:pPr>
            <a:r>
              <a:rPr lang="en-IN" sz="1400" b="0" strike="noStrike" spc="-1">
                <a:solidFill>
                  <a:srgbClr val="595959"/>
                </a:solidFill>
                <a:latin typeface="Calibri" panose="020F0502020204030204"/>
              </a:rPr>
              <a:t>EPS Forecasting</a:t>
            </a:r>
          </a:p>
        </c:rich>
      </c:tx>
      <c:overlay val="0"/>
      <c:spPr>
        <a:noFill/>
        <a:ln w="0">
          <a:noFill/>
        </a:ln>
      </c:spPr>
    </c:title>
    <c:autoTitleDeleted val="0"/>
    <c:plotArea>
      <c:layout/>
      <c:barChart>
        <c:barDir val="col"/>
        <c:grouping val="clustered"/>
        <c:varyColors val="0"/>
        <c:ser>
          <c:idx val="0"/>
          <c:order val="0"/>
          <c:spPr>
            <a:solidFill>
              <a:srgbClr val="4472C4"/>
            </a:solidFill>
            <a:ln w="0">
              <a:noFill/>
            </a:ln>
          </c:spPr>
          <c:invertIfNegative val="0"/>
          <c:dLbls>
            <c:spPr>
              <a:noFill/>
              <a:ln>
                <a:noFill/>
              </a:ln>
              <a:effectLst/>
            </c:spPr>
            <c:txPr>
              <a:bodyPr rot="0" spcFirstLastPara="0" vertOverflow="ellipsis" vert="horz" wrap="square" lIns="38100" tIns="19050" rIns="38100" bIns="19050" anchor="ctr" anchorCtr="1"/>
              <a:lstStyle/>
              <a:p>
                <a:pPr>
                  <a:defRPr lang="en-US" sz="1000" b="0" i="0" u="none" strike="noStrike" kern="1200" spc="-1" baseline="0">
                    <a:solidFill>
                      <a:srgbClr val="000000"/>
                    </a:solidFill>
                    <a:latin typeface="Calibri" panose="020F0502020204030204"/>
                    <a:ea typeface="+mn-ea"/>
                    <a:cs typeface="+mn-cs"/>
                  </a:defRPr>
                </a:pPr>
                <a:endParaRPr lang="en-US"/>
              </a:p>
            </c:txPr>
            <c:dLblPos val="outEnd"/>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numRef>
              <c:f>[1]Forecasting!$O$5:$O$14</c:f>
              <c:numCache>
                <c:formatCode>General</c:formatCode>
                <c:ptCount val="10"/>
                <c:pt idx="0">
                  <c:v>44621</c:v>
                </c:pt>
                <c:pt idx="1">
                  <c:v>44986</c:v>
                </c:pt>
                <c:pt idx="2">
                  <c:v>45352</c:v>
                </c:pt>
                <c:pt idx="3">
                  <c:v>45717</c:v>
                </c:pt>
                <c:pt idx="4">
                  <c:v>46082</c:v>
                </c:pt>
                <c:pt idx="5">
                  <c:v>46447</c:v>
                </c:pt>
                <c:pt idx="6">
                  <c:v>46813</c:v>
                </c:pt>
                <c:pt idx="7">
                  <c:v>47178</c:v>
                </c:pt>
                <c:pt idx="8">
                  <c:v>47543</c:v>
                </c:pt>
                <c:pt idx="9">
                  <c:v>47908</c:v>
                </c:pt>
              </c:numCache>
            </c:numRef>
          </c:cat>
          <c:val>
            <c:numRef>
              <c:f>[1]Forecasting!$P$5:$P$14</c:f>
              <c:numCache>
                <c:formatCode>General</c:formatCode>
                <c:ptCount val="10"/>
                <c:pt idx="0">
                  <c:v>23</c:v>
                </c:pt>
                <c:pt idx="1">
                  <c:v>37</c:v>
                </c:pt>
                <c:pt idx="2">
                  <c:v>39</c:v>
                </c:pt>
                <c:pt idx="3">
                  <c:v>42</c:v>
                </c:pt>
                <c:pt idx="4">
                  <c:v>46</c:v>
                </c:pt>
                <c:pt idx="5">
                  <c:v>52.7</c:v>
                </c:pt>
                <c:pt idx="6">
                  <c:v>57.8</c:v>
                </c:pt>
                <c:pt idx="7">
                  <c:v>62.9</c:v>
                </c:pt>
                <c:pt idx="8">
                  <c:v>68</c:v>
                </c:pt>
                <c:pt idx="9">
                  <c:v>73.099999999999994</c:v>
                </c:pt>
              </c:numCache>
            </c:numRef>
          </c:val>
          <c:extLst>
            <c:ext xmlns:c16="http://schemas.microsoft.com/office/drawing/2014/chart" uri="{C3380CC4-5D6E-409C-BE32-E72D297353CC}">
              <c16:uniqueId val="{00000000-8AF6-4AA3-A3DB-15909E23CA3D}"/>
            </c:ext>
          </c:extLst>
        </c:ser>
        <c:dLbls>
          <c:showLegendKey val="0"/>
          <c:showVal val="0"/>
          <c:showCatName val="0"/>
          <c:showSerName val="0"/>
          <c:showPercent val="0"/>
          <c:showBubbleSize val="1"/>
        </c:dLbls>
        <c:gapWidth val="219"/>
        <c:overlap val="-27"/>
        <c:axId val="64540254"/>
        <c:axId val="79440018"/>
      </c:barChart>
      <c:lineChart>
        <c:grouping val="standard"/>
        <c:varyColors val="0"/>
        <c:ser>
          <c:idx val="1"/>
          <c:order val="1"/>
          <c:spPr>
            <a:ln w="28440" cap="rnd" cmpd="sng" algn="ctr">
              <a:solidFill>
                <a:srgbClr val="ED7D31"/>
              </a:solidFill>
              <a:prstDash val="solid"/>
              <a:round/>
            </a:ln>
          </c:spPr>
          <c:marker>
            <c:symbol val="none"/>
          </c:marker>
          <c:dLbls>
            <c:spPr>
              <a:noFill/>
              <a:ln>
                <a:noFill/>
              </a:ln>
              <a:effectLst/>
            </c:spPr>
            <c:txPr>
              <a:bodyPr rot="0" spcFirstLastPara="0" vertOverflow="ellipsis" vert="horz" wrap="square" lIns="38100" tIns="19050" rIns="38100" bIns="19050" anchor="ctr" anchorCtr="1"/>
              <a:lstStyle/>
              <a:p>
                <a:pPr>
                  <a:defRPr lang="en-US" sz="1000" b="0" i="0" u="none" strike="noStrike" kern="1200" spc="-1" baseline="0">
                    <a:solidFill>
                      <a:srgbClr val="000000"/>
                    </a:solidFill>
                    <a:latin typeface="Calibri" panose="020F0502020204030204"/>
                    <a:ea typeface="+mn-ea"/>
                    <a:cs typeface="+mn-cs"/>
                  </a:defRPr>
                </a:pPr>
                <a:endParaRPr lang="en-US"/>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numRef>
              <c:f>[1]Forecasting!$O$5:$O$14</c:f>
              <c:numCache>
                <c:formatCode>General</c:formatCode>
                <c:ptCount val="10"/>
                <c:pt idx="0">
                  <c:v>44621</c:v>
                </c:pt>
                <c:pt idx="1">
                  <c:v>44986</c:v>
                </c:pt>
                <c:pt idx="2">
                  <c:v>45352</c:v>
                </c:pt>
                <c:pt idx="3">
                  <c:v>45717</c:v>
                </c:pt>
                <c:pt idx="4">
                  <c:v>46082</c:v>
                </c:pt>
                <c:pt idx="5">
                  <c:v>46447</c:v>
                </c:pt>
                <c:pt idx="6">
                  <c:v>46813</c:v>
                </c:pt>
                <c:pt idx="7">
                  <c:v>47178</c:v>
                </c:pt>
                <c:pt idx="8">
                  <c:v>47543</c:v>
                </c:pt>
                <c:pt idx="9">
                  <c:v>47908</c:v>
                </c:pt>
              </c:numCache>
            </c:numRef>
          </c:cat>
          <c:val>
            <c:numRef>
              <c:f>[1]Forecasting!$Q$5:$Q$14</c:f>
              <c:numCache>
                <c:formatCode>General</c:formatCode>
                <c:ptCount val="10"/>
                <c:pt idx="1">
                  <c:v>0.60869565217391297</c:v>
                </c:pt>
                <c:pt idx="2">
                  <c:v>5.4054054054054099E-2</c:v>
                </c:pt>
                <c:pt idx="3">
                  <c:v>7.69230769230769E-2</c:v>
                </c:pt>
                <c:pt idx="4">
                  <c:v>9.5238095238095205E-2</c:v>
                </c:pt>
                <c:pt idx="5">
                  <c:v>0.145652173913044</c:v>
                </c:pt>
                <c:pt idx="6">
                  <c:v>9.6774193548386997E-2</c:v>
                </c:pt>
                <c:pt idx="7">
                  <c:v>8.8235294117647106E-2</c:v>
                </c:pt>
                <c:pt idx="8">
                  <c:v>8.1081081081081099E-2</c:v>
                </c:pt>
                <c:pt idx="9">
                  <c:v>7.49999999999999E-2</c:v>
                </c:pt>
              </c:numCache>
            </c:numRef>
          </c:val>
          <c:smooth val="0"/>
          <c:extLst>
            <c:ext xmlns:c16="http://schemas.microsoft.com/office/drawing/2014/chart" uri="{C3380CC4-5D6E-409C-BE32-E72D297353CC}">
              <c16:uniqueId val="{00000001-8AF6-4AA3-A3DB-15909E23CA3D}"/>
            </c:ext>
          </c:extLst>
        </c:ser>
        <c:dLbls>
          <c:showLegendKey val="0"/>
          <c:showVal val="0"/>
          <c:showCatName val="0"/>
          <c:showSerName val="0"/>
          <c:showPercent val="0"/>
          <c:showBubbleSize val="1"/>
        </c:dLbls>
        <c:hiLowLines>
          <c:spPr>
            <a:ln w="0" cap="flat" cmpd="sng" algn="ctr">
              <a:noFill/>
              <a:prstDash val="solid"/>
              <a:round/>
            </a:ln>
          </c:spPr>
        </c:hiLowLines>
        <c:marker val="1"/>
        <c:smooth val="0"/>
        <c:axId val="55056815"/>
        <c:axId val="6835696"/>
      </c:lineChart>
      <c:catAx>
        <c:axId val="64540254"/>
        <c:scaling>
          <c:orientation val="minMax"/>
        </c:scaling>
        <c:delete val="0"/>
        <c:axPos val="b"/>
        <c:numFmt formatCode="yyyy\A" sourceLinked="0"/>
        <c:majorTickMark val="out"/>
        <c:minorTickMark val="none"/>
        <c:tickLblPos val="nextTo"/>
        <c:spPr>
          <a:ln w="9360" cap="flat" cmpd="sng" algn="ctr">
            <a:solidFill>
              <a:srgbClr val="D9D9D9"/>
            </a:solidFill>
            <a:prstDash val="solid"/>
            <a:round/>
          </a:ln>
        </c:spPr>
        <c:txPr>
          <a:bodyPr rot="-60000000" spcFirstLastPara="0" vertOverflow="ellipsis" vert="horz" wrap="square" anchor="ctr" anchorCtr="1"/>
          <a:lstStyle/>
          <a:p>
            <a:pPr>
              <a:defRPr lang="en-US" sz="900" b="0" i="0" u="none" strike="noStrike" kern="1200" spc="-1" baseline="0">
                <a:solidFill>
                  <a:srgbClr val="595959"/>
                </a:solidFill>
                <a:latin typeface="Calibri" panose="020F0502020204030204"/>
                <a:ea typeface="+mn-ea"/>
                <a:cs typeface="+mn-cs"/>
              </a:defRPr>
            </a:pPr>
            <a:endParaRPr lang="en-US"/>
          </a:p>
        </c:txPr>
        <c:crossAx val="79440018"/>
        <c:crosses val="autoZero"/>
        <c:auto val="1"/>
        <c:lblAlgn val="ctr"/>
        <c:lblOffset val="100"/>
        <c:noMultiLvlLbl val="1"/>
      </c:catAx>
      <c:valAx>
        <c:axId val="79440018"/>
        <c:scaling>
          <c:orientation val="minMax"/>
        </c:scaling>
        <c:delete val="0"/>
        <c:axPos val="l"/>
        <c:majorGridlines>
          <c:spPr>
            <a:ln w="9360" cap="flat" cmpd="sng" algn="ctr">
              <a:solidFill>
                <a:srgbClr val="D9D9D9"/>
              </a:solidFill>
              <a:prstDash val="solid"/>
              <a:round/>
            </a:ln>
          </c:spPr>
        </c:majorGridlines>
        <c:numFmt formatCode="#,##0.00" sourceLinked="0"/>
        <c:majorTickMark val="none"/>
        <c:minorTickMark val="none"/>
        <c:tickLblPos val="nextTo"/>
        <c:spPr>
          <a:ln w="6480" cap="flat" cmpd="sng" algn="ctr">
            <a:noFill/>
            <a:prstDash val="solid"/>
            <a:round/>
          </a:ln>
        </c:spPr>
        <c:txPr>
          <a:bodyPr rot="-60000000" spcFirstLastPara="0" vertOverflow="ellipsis" vert="horz" wrap="square" anchor="ctr" anchorCtr="1"/>
          <a:lstStyle/>
          <a:p>
            <a:pPr>
              <a:defRPr lang="en-US" sz="900" b="0" i="0" u="none" strike="noStrike" kern="1200" spc="-1" baseline="0">
                <a:solidFill>
                  <a:srgbClr val="595959"/>
                </a:solidFill>
                <a:latin typeface="Calibri" panose="020F0502020204030204"/>
                <a:ea typeface="+mn-ea"/>
                <a:cs typeface="+mn-cs"/>
              </a:defRPr>
            </a:pPr>
            <a:endParaRPr lang="en-US"/>
          </a:p>
        </c:txPr>
        <c:crossAx val="64540254"/>
        <c:crosses val="autoZero"/>
        <c:crossBetween val="between"/>
      </c:valAx>
      <c:catAx>
        <c:axId val="55056815"/>
        <c:scaling>
          <c:orientation val="minMax"/>
        </c:scaling>
        <c:delete val="1"/>
        <c:axPos val="b"/>
        <c:numFmt formatCode="General" sourceLinked="1"/>
        <c:majorTickMark val="out"/>
        <c:minorTickMark val="none"/>
        <c:tickLblPos val="nextTo"/>
        <c:crossAx val="6835696"/>
        <c:crosses val="autoZero"/>
        <c:auto val="1"/>
        <c:lblAlgn val="ctr"/>
        <c:lblOffset val="100"/>
        <c:noMultiLvlLbl val="1"/>
      </c:catAx>
      <c:valAx>
        <c:axId val="6835696"/>
        <c:scaling>
          <c:orientation val="minMax"/>
        </c:scaling>
        <c:delete val="0"/>
        <c:axPos val="r"/>
        <c:numFmt formatCode="0%" sourceLinked="0"/>
        <c:majorTickMark val="none"/>
        <c:minorTickMark val="none"/>
        <c:tickLblPos val="nextTo"/>
        <c:spPr>
          <a:ln w="6480" cap="flat" cmpd="sng" algn="ctr">
            <a:noFill/>
            <a:prstDash val="solid"/>
            <a:round/>
          </a:ln>
        </c:spPr>
        <c:txPr>
          <a:bodyPr rot="-60000000" spcFirstLastPara="0" vertOverflow="ellipsis" vert="horz" wrap="square" anchor="ctr" anchorCtr="1"/>
          <a:lstStyle/>
          <a:p>
            <a:pPr>
              <a:defRPr lang="en-US" sz="900" b="0" i="0" u="none" strike="noStrike" kern="1200" spc="-1" baseline="0">
                <a:solidFill>
                  <a:srgbClr val="595959"/>
                </a:solidFill>
                <a:latin typeface="Calibri" panose="020F0502020204030204"/>
                <a:ea typeface="+mn-ea"/>
                <a:cs typeface="+mn-cs"/>
              </a:defRPr>
            </a:pPr>
            <a:endParaRPr lang="en-US"/>
          </a:p>
        </c:txPr>
        <c:crossAx val="55056815"/>
        <c:crosses val="max"/>
        <c:crossBetween val="between"/>
      </c:valAx>
      <c:spPr>
        <a:noFill/>
        <a:ln w="0">
          <a:noFill/>
        </a:ln>
      </c:spPr>
    </c:plotArea>
    <c:legend>
      <c:legendPos val="b"/>
      <c:overlay val="0"/>
      <c:spPr>
        <a:noFill/>
        <a:ln w="0">
          <a:noFill/>
        </a:ln>
      </c:spPr>
      <c:txPr>
        <a:bodyPr rot="0" spcFirstLastPara="0" vertOverflow="ellipsis" vert="horz" wrap="square" anchor="ctr" anchorCtr="1"/>
        <a:lstStyle/>
        <a:p>
          <a:pPr>
            <a:defRPr lang="en-US" sz="900" b="0" i="0" u="none" strike="noStrike" kern="1200" spc="-1" baseline="0">
              <a:solidFill>
                <a:srgbClr val="595959"/>
              </a:solidFill>
              <a:latin typeface="Calibri" panose="020F0502020204030204"/>
              <a:ea typeface="+mn-ea"/>
              <a:cs typeface="+mn-cs"/>
            </a:defRPr>
          </a:pPr>
          <a:endParaRPr lang="en-US"/>
        </a:p>
      </c:txPr>
    </c:legend>
    <c:plotVisOnly val="1"/>
    <c:dispBlanksAs val="gap"/>
    <c:showDLblsOverMax val="0"/>
    <c:extLst>
      <c:ext uri="{0b15fc19-7d7d-44ad-8c2d-2c3a37ce22c3}">
        <chartProps xmlns="https://web.wps.cn/et/2018/main" chartId="{ab9ac5ce-a0f7-45f2-ad4a-80e9d4a1c304}"/>
      </c:ext>
    </c:extLst>
  </c:chart>
  <c:spPr>
    <a:solidFill>
      <a:srgbClr val="FFFFFF"/>
    </a:solidFill>
    <a:ln w="9360" cap="flat" cmpd="sng" algn="ctr">
      <a:solidFill>
        <a:srgbClr val="D9D9D9"/>
      </a:solidFill>
      <a:prstDash val="solid"/>
      <a:round/>
    </a:ln>
  </c:spPr>
  <c:txPr>
    <a:bodyPr/>
    <a:lstStyle/>
    <a:p>
      <a:pPr>
        <a:defRPr lang="en-US"/>
      </a:pPr>
      <a:endParaRPr lang="en-US"/>
    </a:p>
  </c:txPr>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4"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twoCellAnchor editAs="oneCell">
    <xdr:from>
      <xdr:col>2</xdr:col>
      <xdr:colOff>0</xdr:colOff>
      <xdr:row>20</xdr:row>
      <xdr:rowOff>7560</xdr:rowOff>
    </xdr:from>
    <xdr:to>
      <xdr:col>6</xdr:col>
      <xdr:colOff>822600</xdr:colOff>
      <xdr:row>35</xdr:row>
      <xdr:rowOff>7200</xdr:rowOff>
    </xdr:to>
    <xdr:graphicFrame macro="">
      <xdr:nvGraphicFramePr>
        <xdr:cNvPr id="3" name="Chart 2">
          <a:extLst>
            <a:ext uri="{FF2B5EF4-FFF2-40B4-BE49-F238E27FC236}">
              <a16:creationId xmlns:a16="http://schemas.microsoft.com/office/drawing/2014/main" id="{8B46D844-C19B-4077-A615-9DA5B4E18D5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7</xdr:col>
      <xdr:colOff>15120</xdr:colOff>
      <xdr:row>20</xdr:row>
      <xdr:rowOff>7560</xdr:rowOff>
    </xdr:from>
    <xdr:to>
      <xdr:col>14</xdr:col>
      <xdr:colOff>312120</xdr:colOff>
      <xdr:row>35</xdr:row>
      <xdr:rowOff>7200</xdr:rowOff>
    </xdr:to>
    <xdr:graphicFrame macro="">
      <xdr:nvGraphicFramePr>
        <xdr:cNvPr id="4" name="Chart 3">
          <a:extLst>
            <a:ext uri="{FF2B5EF4-FFF2-40B4-BE49-F238E27FC236}">
              <a16:creationId xmlns:a16="http://schemas.microsoft.com/office/drawing/2014/main" id="{CA0C17B5-8E20-4DD9-90F0-75B4D528404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14</xdr:col>
      <xdr:colOff>342720</xdr:colOff>
      <xdr:row>20</xdr:row>
      <xdr:rowOff>0</xdr:rowOff>
    </xdr:from>
    <xdr:to>
      <xdr:col>21</xdr:col>
      <xdr:colOff>45360</xdr:colOff>
      <xdr:row>34</xdr:row>
      <xdr:rowOff>182520</xdr:rowOff>
    </xdr:to>
    <xdr:graphicFrame macro="">
      <xdr:nvGraphicFramePr>
        <xdr:cNvPr id="5" name="Chart 4">
          <a:extLst>
            <a:ext uri="{FF2B5EF4-FFF2-40B4-BE49-F238E27FC236}">
              <a16:creationId xmlns:a16="http://schemas.microsoft.com/office/drawing/2014/main" id="{8198CDC5-5B59-4DBD-8B0B-73ED43E2A57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editAs="oneCell">
    <xdr:from>
      <xdr:col>6</xdr:col>
      <xdr:colOff>243840</xdr:colOff>
      <xdr:row>6</xdr:row>
      <xdr:rowOff>45721</xdr:rowOff>
    </xdr:from>
    <xdr:to>
      <xdr:col>11</xdr:col>
      <xdr:colOff>586739</xdr:colOff>
      <xdr:row>25</xdr:row>
      <xdr:rowOff>144781</xdr:rowOff>
    </xdr:to>
    <xdr:pic>
      <xdr:nvPicPr>
        <xdr:cNvPr id="2" name="Picture 1">
          <a:extLst>
            <a:ext uri="{FF2B5EF4-FFF2-40B4-BE49-F238E27FC236}">
              <a16:creationId xmlns:a16="http://schemas.microsoft.com/office/drawing/2014/main" id="{91DB9A2B-6F2A-4030-8FB2-C47DBF363C62}"/>
            </a:ext>
          </a:extLst>
        </xdr:cNvPr>
        <xdr:cNvPicPr>
          <a:picLocks noChangeAspect="1"/>
        </xdr:cNvPicPr>
      </xdr:nvPicPr>
      <xdr:blipFill>
        <a:blip xmlns:r="http://schemas.openxmlformats.org/officeDocument/2006/relationships" r:embed="rId1"/>
        <a:stretch>
          <a:fillRect/>
        </a:stretch>
      </xdr:blipFill>
      <xdr:spPr>
        <a:xfrm>
          <a:off x="5516880" y="1508761"/>
          <a:ext cx="4800599" cy="3848100"/>
        </a:xfrm>
        <a:prstGeom prst="rect">
          <a:avLst/>
        </a:prstGeom>
      </xdr:spPr>
    </xdr:pic>
    <xdr:clientData/>
  </xdr:twoCellAnchor>
  <xdr:twoCellAnchor editAs="oneCell">
    <xdr:from>
      <xdr:col>11</xdr:col>
      <xdr:colOff>609600</xdr:colOff>
      <xdr:row>6</xdr:row>
      <xdr:rowOff>106680</xdr:rowOff>
    </xdr:from>
    <xdr:to>
      <xdr:col>17</xdr:col>
      <xdr:colOff>160020</xdr:colOff>
      <xdr:row>24</xdr:row>
      <xdr:rowOff>160019</xdr:rowOff>
    </xdr:to>
    <xdr:pic>
      <xdr:nvPicPr>
        <xdr:cNvPr id="3" name="Picture 2">
          <a:extLst>
            <a:ext uri="{FF2B5EF4-FFF2-40B4-BE49-F238E27FC236}">
              <a16:creationId xmlns:a16="http://schemas.microsoft.com/office/drawing/2014/main" id="{365363BE-16E7-43E3-9A76-62091F476701}"/>
            </a:ext>
          </a:extLst>
        </xdr:cNvPr>
        <xdr:cNvPicPr>
          <a:picLocks noChangeAspect="1"/>
        </xdr:cNvPicPr>
      </xdr:nvPicPr>
      <xdr:blipFill>
        <a:blip xmlns:r="http://schemas.openxmlformats.org/officeDocument/2006/relationships" r:embed="rId2"/>
        <a:stretch>
          <a:fillRect/>
        </a:stretch>
      </xdr:blipFill>
      <xdr:spPr>
        <a:xfrm>
          <a:off x="10340340" y="1569720"/>
          <a:ext cx="4899660" cy="3619499"/>
        </a:xfrm>
        <a:prstGeom prst="rect">
          <a:avLst/>
        </a:prstGeom>
      </xdr:spPr>
    </xdr:pic>
    <xdr:clientData/>
  </xdr:twoCellAnchor>
  <xdr:twoCellAnchor editAs="oneCell">
    <xdr:from>
      <xdr:col>17</xdr:col>
      <xdr:colOff>114301</xdr:colOff>
      <xdr:row>6</xdr:row>
      <xdr:rowOff>121920</xdr:rowOff>
    </xdr:from>
    <xdr:to>
      <xdr:col>26</xdr:col>
      <xdr:colOff>7621</xdr:colOff>
      <xdr:row>24</xdr:row>
      <xdr:rowOff>137160</xdr:rowOff>
    </xdr:to>
    <xdr:pic>
      <xdr:nvPicPr>
        <xdr:cNvPr id="4" name="Picture 3">
          <a:extLst>
            <a:ext uri="{FF2B5EF4-FFF2-40B4-BE49-F238E27FC236}">
              <a16:creationId xmlns:a16="http://schemas.microsoft.com/office/drawing/2014/main" id="{5D795A13-69B2-4857-A378-FB9CD6BEBE5E}"/>
            </a:ext>
          </a:extLst>
        </xdr:cNvPr>
        <xdr:cNvPicPr>
          <a:picLocks noChangeAspect="1"/>
        </xdr:cNvPicPr>
      </xdr:nvPicPr>
      <xdr:blipFill>
        <a:blip xmlns:r="http://schemas.openxmlformats.org/officeDocument/2006/relationships" r:embed="rId3"/>
        <a:stretch>
          <a:fillRect/>
        </a:stretch>
      </xdr:blipFill>
      <xdr:spPr>
        <a:xfrm>
          <a:off x="15194281" y="1584960"/>
          <a:ext cx="5539740" cy="3581400"/>
        </a:xfrm>
        <a:prstGeom prst="rect">
          <a:avLst/>
        </a:prstGeom>
      </xdr:spPr>
    </xdr:pic>
    <xdr:clientData/>
  </xdr:twoCellAnchor>
  <xdr:twoCellAnchor editAs="oneCell">
    <xdr:from>
      <xdr:col>8</xdr:col>
      <xdr:colOff>83820</xdr:colOff>
      <xdr:row>25</xdr:row>
      <xdr:rowOff>99060</xdr:rowOff>
    </xdr:from>
    <xdr:to>
      <xdr:col>16</xdr:col>
      <xdr:colOff>769620</xdr:colOff>
      <xdr:row>42</xdr:row>
      <xdr:rowOff>76200</xdr:rowOff>
    </xdr:to>
    <xdr:pic>
      <xdr:nvPicPr>
        <xdr:cNvPr id="5" name="Picture 4">
          <a:extLst>
            <a:ext uri="{FF2B5EF4-FFF2-40B4-BE49-F238E27FC236}">
              <a16:creationId xmlns:a16="http://schemas.microsoft.com/office/drawing/2014/main" id="{E430337F-945A-4C80-AE6A-BC596369722F}"/>
            </a:ext>
          </a:extLst>
        </xdr:cNvPr>
        <xdr:cNvPicPr>
          <a:picLocks noChangeAspect="1"/>
        </xdr:cNvPicPr>
      </xdr:nvPicPr>
      <xdr:blipFill>
        <a:blip xmlns:r="http://schemas.openxmlformats.org/officeDocument/2006/relationships" r:embed="rId4"/>
        <a:stretch>
          <a:fillRect/>
        </a:stretch>
      </xdr:blipFill>
      <xdr:spPr>
        <a:xfrm>
          <a:off x="7139940" y="5311140"/>
          <a:ext cx="7818120" cy="3093720"/>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Users/PRATHAM/Downloads/dmart_final.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boout the Company"/>
      <sheetName val="Promoter"/>
      <sheetName val="Public"/>
      <sheetName val="Consolidated Balance sheet"/>
      <sheetName val="Consolidated P&amp;l"/>
      <sheetName val="Consolidated Cash flow"/>
      <sheetName val="Beta"/>
      <sheetName val="Ratio analysis"/>
      <sheetName val="FCFF"/>
      <sheetName val="Fixed Asset Scheduled"/>
      <sheetName val="Change in working capital"/>
      <sheetName val="Assumptions"/>
      <sheetName val="wacc"/>
      <sheetName val="Forecasting"/>
      <sheetName val="Growth Scenario"/>
      <sheetName val="DCF valuation"/>
      <sheetName val="Relative Valuation"/>
      <sheetName val="Stock Analysi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row r="5">
          <cell r="J5">
            <v>44621</v>
          </cell>
          <cell r="K5">
            <v>2615.9899999999998</v>
          </cell>
          <cell r="O5">
            <v>44621</v>
          </cell>
          <cell r="P5">
            <v>23</v>
          </cell>
        </row>
        <row r="6">
          <cell r="J6">
            <v>44986</v>
          </cell>
          <cell r="K6">
            <v>3766.37</v>
          </cell>
          <cell r="L6">
            <v>0.43974938742120601</v>
          </cell>
          <cell r="O6">
            <v>44986</v>
          </cell>
          <cell r="P6">
            <v>37</v>
          </cell>
          <cell r="Q6">
            <v>0.60869565217391297</v>
          </cell>
        </row>
        <row r="7">
          <cell r="J7">
            <v>45352</v>
          </cell>
          <cell r="K7">
            <v>4250.22</v>
          </cell>
          <cell r="L7">
            <v>0.12846587032076001</v>
          </cell>
          <cell r="O7">
            <v>45352</v>
          </cell>
          <cell r="P7">
            <v>39</v>
          </cell>
          <cell r="Q7">
            <v>5.4054054054054099E-2</v>
          </cell>
        </row>
        <row r="8">
          <cell r="J8">
            <v>45717</v>
          </cell>
          <cell r="K8">
            <v>4611.6400000000003</v>
          </cell>
          <cell r="L8">
            <v>8.50355981572717E-2</v>
          </cell>
          <cell r="O8">
            <v>45717</v>
          </cell>
          <cell r="P8">
            <v>42</v>
          </cell>
          <cell r="Q8">
            <v>7.69230769230769E-2</v>
          </cell>
        </row>
        <row r="9">
          <cell r="J9">
            <v>46082</v>
          </cell>
          <cell r="K9">
            <v>5260.69</v>
          </cell>
          <cell r="L9">
            <v>0.140741688423208</v>
          </cell>
          <cell r="O9">
            <v>46082</v>
          </cell>
          <cell r="P9">
            <v>46</v>
          </cell>
          <cell r="Q9">
            <v>9.5238095238095205E-2</v>
          </cell>
        </row>
        <row r="10">
          <cell r="E10">
            <v>46447</v>
          </cell>
          <cell r="F10">
            <v>78218.918999999994</v>
          </cell>
          <cell r="G10">
            <v>0.136560272383006</v>
          </cell>
          <cell r="J10">
            <v>46447</v>
          </cell>
          <cell r="K10">
            <v>5941.3829999999998</v>
          </cell>
          <cell r="L10">
            <v>0.129392342069196</v>
          </cell>
          <cell r="O10">
            <v>46447</v>
          </cell>
          <cell r="P10">
            <v>52.7</v>
          </cell>
          <cell r="Q10">
            <v>0.145652173913044</v>
          </cell>
        </row>
        <row r="11">
          <cell r="E11">
            <v>46813</v>
          </cell>
          <cell r="F11">
            <v>87439.661999999997</v>
          </cell>
          <cell r="G11">
            <v>0.117883794839967</v>
          </cell>
          <cell r="J11">
            <v>46813</v>
          </cell>
          <cell r="K11">
            <v>6554.85</v>
          </cell>
          <cell r="L11">
            <v>0.10325323245446399</v>
          </cell>
          <cell r="O11">
            <v>46813</v>
          </cell>
          <cell r="P11">
            <v>57.8</v>
          </cell>
          <cell r="Q11">
            <v>9.6774193548386997E-2</v>
          </cell>
        </row>
        <row r="12">
          <cell r="E12">
            <v>47178</v>
          </cell>
          <cell r="F12">
            <v>96660.404999999999</v>
          </cell>
          <cell r="G12">
            <v>0.105452637728632</v>
          </cell>
          <cell r="J12">
            <v>47178</v>
          </cell>
          <cell r="K12">
            <v>7168.317</v>
          </cell>
          <cell r="L12">
            <v>9.3589784663264702E-2</v>
          </cell>
          <cell r="O12">
            <v>47178</v>
          </cell>
          <cell r="P12">
            <v>62.9</v>
          </cell>
          <cell r="Q12">
            <v>8.8235294117647106E-2</v>
          </cell>
        </row>
        <row r="13">
          <cell r="E13">
            <v>47543</v>
          </cell>
          <cell r="F13">
            <v>105881.148</v>
          </cell>
          <cell r="G13">
            <v>9.5393175726917398E-2</v>
          </cell>
          <cell r="J13">
            <v>47543</v>
          </cell>
          <cell r="K13">
            <v>7781.7839999999997</v>
          </cell>
          <cell r="L13">
            <v>8.5580339150737997E-2</v>
          </cell>
          <cell r="O13">
            <v>47543</v>
          </cell>
          <cell r="P13">
            <v>68</v>
          </cell>
          <cell r="Q13">
            <v>8.1081081081081099E-2</v>
          </cell>
        </row>
        <row r="14">
          <cell r="E14">
            <v>47908</v>
          </cell>
          <cell r="F14">
            <v>115101.891</v>
          </cell>
          <cell r="G14">
            <v>8.7085786036245103E-2</v>
          </cell>
          <cell r="J14">
            <v>47908</v>
          </cell>
          <cell r="K14">
            <v>8395.2510000000002</v>
          </cell>
          <cell r="L14">
            <v>7.8833722447191903E-2</v>
          </cell>
          <cell r="O14">
            <v>47908</v>
          </cell>
          <cell r="P14">
            <v>73.099999999999994</v>
          </cell>
          <cell r="Q14">
            <v>7.49999999999999E-2</v>
          </cell>
        </row>
      </sheetData>
      <sheetData sheetId="14"/>
      <sheetData sheetId="15"/>
      <sheetData sheetId="16"/>
      <sheetData sheetId="17"/>
    </sheetDataSet>
  </externalBook>
</externalLink>
</file>

<file path=xl/theme/theme1.xml><?xml version="1.0" encoding="utf-8"?>
<a:theme xmlns:a="http://schemas.openxmlformats.org/drawingml/2006/main" name="Office Theme">
  <a:themeElements>
    <a:clrScheme name="Office">
      <a:dk1>
        <a:srgbClr val="000000"/>
      </a:dk1>
      <a:lt1>
        <a:srgbClr val="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majorFont>
      <a:minorFont>
        <a:latin typeface="Calibri"/>
        <a:ea typeface=""/>
        <a:cs typeface=""/>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a:gradFill>
      </a:bgFillStyleLst>
    </a:fmtScheme>
  </a:themeElements>
  <a:objectDefaults/>
  <a:extraClrSchemeLst/>
</a:theme>
</file>

<file path=xl/worksheets/_rels/sheet14.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17.xml.rels><?xml version="1.0" encoding="UTF-8" standalone="yes"?>
<Relationships xmlns="http://schemas.openxmlformats.org/package/2006/relationships"><Relationship Id="rId3" Type="http://schemas.openxmlformats.org/officeDocument/2006/relationships/hyperlink" Target="https://www.screener.in/company/VMART/" TargetMode="External"/><Relationship Id="rId2" Type="http://schemas.openxmlformats.org/officeDocument/2006/relationships/hyperlink" Target="https://www.screener.in/company/VMM/consolidated/" TargetMode="External"/><Relationship Id="rId1" Type="http://schemas.openxmlformats.org/officeDocument/2006/relationships/hyperlink" Target="https://www.screener.in/company/DMART/consolidated/" TargetMode="External"/><Relationship Id="rId5" Type="http://schemas.openxmlformats.org/officeDocument/2006/relationships/hyperlink" Target="https://www.screener.in/company/EMIL/consolidated/" TargetMode="External"/><Relationship Id="rId4" Type="http://schemas.openxmlformats.org/officeDocument/2006/relationships/hyperlink" Target="https://www.screener.in/company/SHOPERSTOP/consolidated/" TargetMode="Externa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54"/>
  <sheetViews>
    <sheetView showGridLines="0" tabSelected="1" zoomScaleNormal="100" workbookViewId="0">
      <selection activeCell="A18" sqref="A18:B18"/>
    </sheetView>
  </sheetViews>
  <sheetFormatPr defaultColWidth="8.6640625" defaultRowHeight="14.4" x14ac:dyDescent="0.3"/>
  <cols>
    <col min="1" max="1" width="16.109375" style="1" customWidth="1"/>
    <col min="2" max="2" width="23.5546875" style="1" customWidth="1"/>
    <col min="4" max="4" width="33.21875" style="1" customWidth="1"/>
  </cols>
  <sheetData>
    <row r="1" spans="1:10" ht="23.4" x14ac:dyDescent="0.3">
      <c r="A1" s="325" t="s">
        <v>584</v>
      </c>
      <c r="B1" s="325"/>
      <c r="C1" s="325"/>
      <c r="D1" s="325"/>
      <c r="E1" s="325"/>
      <c r="F1" s="325"/>
      <c r="G1" s="325"/>
      <c r="H1" s="325"/>
      <c r="I1" s="325"/>
      <c r="J1" s="325"/>
    </row>
    <row r="3" spans="1:10" x14ac:dyDescent="0.3">
      <c r="A3" s="215" t="s">
        <v>0</v>
      </c>
      <c r="B3" s="215"/>
      <c r="C3" s="215"/>
      <c r="D3" s="215"/>
      <c r="E3" s="215"/>
      <c r="F3" s="215"/>
      <c r="G3" s="215"/>
      <c r="H3" s="215"/>
      <c r="I3" s="215"/>
      <c r="J3" s="215"/>
    </row>
    <row r="4" spans="1:10" x14ac:dyDescent="0.3">
      <c r="A4" s="215"/>
      <c r="B4" s="215"/>
      <c r="C4" s="215"/>
      <c r="D4" s="215"/>
      <c r="E4" s="215"/>
      <c r="F4" s="215"/>
      <c r="G4" s="215"/>
      <c r="H4" s="215"/>
      <c r="I4" s="215"/>
      <c r="J4" s="215"/>
    </row>
    <row r="5" spans="1:10" x14ac:dyDescent="0.3">
      <c r="A5" s="215"/>
      <c r="B5" s="215"/>
      <c r="C5" s="215"/>
      <c r="D5" s="215"/>
      <c r="E5" s="215"/>
      <c r="F5" s="215"/>
      <c r="G5" s="215"/>
      <c r="H5" s="215"/>
      <c r="I5" s="215"/>
      <c r="J5" s="215"/>
    </row>
    <row r="6" spans="1:10" x14ac:dyDescent="0.3">
      <c r="A6" s="215"/>
      <c r="B6" s="215"/>
      <c r="C6" s="215"/>
      <c r="D6" s="215"/>
      <c r="E6" s="215"/>
      <c r="F6" s="215"/>
      <c r="G6" s="215"/>
      <c r="H6" s="215"/>
      <c r="I6" s="215"/>
      <c r="J6" s="215"/>
    </row>
    <row r="7" spans="1:10" x14ac:dyDescent="0.3">
      <c r="A7" s="215"/>
      <c r="B7" s="215"/>
      <c r="C7" s="215"/>
      <c r="D7" s="215"/>
      <c r="E7" s="215"/>
      <c r="F7" s="215"/>
      <c r="G7" s="215"/>
      <c r="H7" s="215"/>
      <c r="I7" s="215"/>
      <c r="J7" s="215"/>
    </row>
    <row r="8" spans="1:10" x14ac:dyDescent="0.3">
      <c r="A8" s="215"/>
      <c r="B8" s="215"/>
      <c r="C8" s="215"/>
      <c r="D8" s="215"/>
      <c r="E8" s="215"/>
      <c r="F8" s="215"/>
      <c r="G8" s="215"/>
      <c r="H8" s="215"/>
      <c r="I8" s="215"/>
      <c r="J8" s="215"/>
    </row>
    <row r="9" spans="1:10" x14ac:dyDescent="0.3">
      <c r="A9" s="215"/>
      <c r="B9" s="215"/>
      <c r="C9" s="215"/>
      <c r="D9" s="215"/>
      <c r="E9" s="215"/>
      <c r="F9" s="215"/>
      <c r="G9" s="215"/>
      <c r="H9" s="215"/>
      <c r="I9" s="215"/>
      <c r="J9" s="215"/>
    </row>
    <row r="10" spans="1:10" x14ac:dyDescent="0.3">
      <c r="A10" s="215"/>
      <c r="B10" s="215"/>
      <c r="C10" s="215"/>
      <c r="D10" s="215"/>
      <c r="E10" s="215"/>
      <c r="F10" s="215"/>
      <c r="G10" s="215"/>
      <c r="H10" s="215"/>
      <c r="I10" s="215"/>
      <c r="J10" s="215"/>
    </row>
    <row r="11" spans="1:10" x14ac:dyDescent="0.3">
      <c r="A11" s="215"/>
      <c r="B11" s="215"/>
      <c r="C11" s="215"/>
      <c r="D11" s="215"/>
      <c r="E11" s="215"/>
      <c r="F11" s="215"/>
      <c r="G11" s="215"/>
      <c r="H11" s="215"/>
      <c r="I11" s="215"/>
      <c r="J11" s="215"/>
    </row>
    <row r="12" spans="1:10" x14ac:dyDescent="0.3">
      <c r="A12" s="215"/>
      <c r="B12" s="215"/>
      <c r="C12" s="215"/>
      <c r="D12" s="215"/>
      <c r="E12" s="215"/>
      <c r="F12" s="215"/>
      <c r="G12" s="215"/>
      <c r="H12" s="215"/>
      <c r="I12" s="215"/>
      <c r="J12" s="215"/>
    </row>
    <row r="13" spans="1:10" x14ac:dyDescent="0.3">
      <c r="A13" s="215"/>
      <c r="B13" s="215"/>
      <c r="C13" s="215"/>
      <c r="D13" s="215"/>
      <c r="E13" s="215"/>
      <c r="F13" s="215"/>
      <c r="G13" s="215"/>
      <c r="H13" s="215"/>
      <c r="I13" s="215"/>
      <c r="J13" s="215"/>
    </row>
    <row r="14" spans="1:10" x14ac:dyDescent="0.3">
      <c r="A14" s="215"/>
      <c r="B14" s="215"/>
      <c r="C14" s="215"/>
      <c r="D14" s="215"/>
      <c r="E14" s="215"/>
      <c r="F14" s="215"/>
      <c r="G14" s="215"/>
      <c r="H14" s="215"/>
      <c r="I14" s="215"/>
      <c r="J14" s="215"/>
    </row>
    <row r="15" spans="1:10" x14ac:dyDescent="0.3">
      <c r="A15" s="215"/>
      <c r="B15" s="215"/>
      <c r="C15" s="215"/>
      <c r="D15" s="215"/>
      <c r="E15" s="215"/>
      <c r="F15" s="215"/>
      <c r="G15" s="215"/>
      <c r="H15" s="215"/>
      <c r="I15" s="215"/>
      <c r="J15" s="215"/>
    </row>
    <row r="18" spans="1:4" ht="18" x14ac:dyDescent="0.3">
      <c r="A18" s="324" t="s">
        <v>1</v>
      </c>
      <c r="B18" s="324"/>
      <c r="C18" s="216"/>
      <c r="D18" s="216"/>
    </row>
    <row r="19" spans="1:4" x14ac:dyDescent="0.3">
      <c r="A19" s="217" t="s">
        <v>2</v>
      </c>
      <c r="B19" s="217" t="s">
        <v>3</v>
      </c>
      <c r="C19" s="217" t="s">
        <v>4</v>
      </c>
      <c r="D19" s="217" t="s">
        <v>5</v>
      </c>
    </row>
    <row r="20" spans="1:4" ht="55.2" x14ac:dyDescent="0.3">
      <c r="A20" s="3">
        <v>1</v>
      </c>
      <c r="B20" s="4" t="s">
        <v>6</v>
      </c>
      <c r="C20" s="4" t="s">
        <v>7</v>
      </c>
      <c r="D20" s="4" t="s">
        <v>8</v>
      </c>
    </row>
    <row r="21" spans="1:4" ht="55.2" x14ac:dyDescent="0.3">
      <c r="A21" s="3">
        <v>2</v>
      </c>
      <c r="B21" s="4" t="s">
        <v>9</v>
      </c>
      <c r="C21" s="4" t="s">
        <v>7</v>
      </c>
      <c r="D21" s="4" t="s">
        <v>10</v>
      </c>
    </row>
    <row r="22" spans="1:4" ht="41.4" x14ac:dyDescent="0.3">
      <c r="A22" s="3">
        <v>3</v>
      </c>
      <c r="B22" s="4" t="s">
        <v>11</v>
      </c>
      <c r="C22" s="4" t="s">
        <v>12</v>
      </c>
      <c r="D22" s="4" t="s">
        <v>13</v>
      </c>
    </row>
    <row r="23" spans="1:4" ht="41.4" x14ac:dyDescent="0.3">
      <c r="A23" s="3">
        <v>4</v>
      </c>
      <c r="B23" s="4" t="s">
        <v>14</v>
      </c>
      <c r="C23" s="4" t="s">
        <v>12</v>
      </c>
      <c r="D23" s="4" t="s">
        <v>15</v>
      </c>
    </row>
    <row r="24" spans="1:4" ht="55.2" x14ac:dyDescent="0.3">
      <c r="A24" s="3">
        <v>5</v>
      </c>
      <c r="B24" s="4" t="s">
        <v>16</v>
      </c>
      <c r="C24" s="4" t="s">
        <v>7</v>
      </c>
      <c r="D24" s="4" t="s">
        <v>17</v>
      </c>
    </row>
    <row r="25" spans="1:4" x14ac:dyDescent="0.3">
      <c r="A25" s="5" t="s">
        <v>18</v>
      </c>
      <c r="B25" s="5" t="s">
        <v>19</v>
      </c>
      <c r="C25" s="6"/>
      <c r="D25" s="6"/>
    </row>
    <row r="27" spans="1:4" ht="18" x14ac:dyDescent="0.3">
      <c r="A27" s="326" t="s">
        <v>20</v>
      </c>
      <c r="B27" s="326"/>
      <c r="C27" s="326"/>
      <c r="D27" s="326"/>
    </row>
    <row r="28" spans="1:4" x14ac:dyDescent="0.3">
      <c r="A28" s="195" t="s">
        <v>21</v>
      </c>
      <c r="B28" s="195"/>
    </row>
    <row r="29" spans="1:4" x14ac:dyDescent="0.3">
      <c r="A29" s="195" t="s">
        <v>22</v>
      </c>
      <c r="B29" s="195"/>
    </row>
    <row r="30" spans="1:4" x14ac:dyDescent="0.3">
      <c r="A30" s="195" t="s">
        <v>23</v>
      </c>
      <c r="B30" s="195"/>
    </row>
    <row r="32" spans="1:4" ht="18" x14ac:dyDescent="0.3">
      <c r="A32" s="324" t="s">
        <v>24</v>
      </c>
      <c r="B32" s="324"/>
      <c r="C32" s="324"/>
      <c r="D32" s="324"/>
    </row>
    <row r="33" spans="1:4" x14ac:dyDescent="0.3">
      <c r="A33" s="217" t="s">
        <v>25</v>
      </c>
      <c r="B33" s="217" t="s">
        <v>26</v>
      </c>
      <c r="C33" s="217" t="s">
        <v>27</v>
      </c>
      <c r="D33" s="217" t="s">
        <v>28</v>
      </c>
    </row>
    <row r="34" spans="1:4" ht="27.6" x14ac:dyDescent="0.3">
      <c r="A34" s="3" t="s">
        <v>29</v>
      </c>
      <c r="B34" s="3" t="s">
        <v>30</v>
      </c>
      <c r="C34" s="3">
        <v>415</v>
      </c>
      <c r="D34" s="4" t="s">
        <v>31</v>
      </c>
    </row>
    <row r="35" spans="1:4" ht="27.6" x14ac:dyDescent="0.3">
      <c r="A35" s="3" t="s">
        <v>29</v>
      </c>
      <c r="B35" s="3" t="s">
        <v>32</v>
      </c>
      <c r="C35" s="3" t="s">
        <v>33</v>
      </c>
      <c r="D35" s="4" t="s">
        <v>34</v>
      </c>
    </row>
    <row r="36" spans="1:4" ht="27.6" x14ac:dyDescent="0.3">
      <c r="A36" s="3" t="s">
        <v>29</v>
      </c>
      <c r="B36" s="3" t="s">
        <v>35</v>
      </c>
      <c r="C36" s="3">
        <v>75</v>
      </c>
      <c r="D36" s="4" t="s">
        <v>36</v>
      </c>
    </row>
    <row r="37" spans="1:4" ht="27.6" x14ac:dyDescent="0.3">
      <c r="A37" s="3" t="s">
        <v>29</v>
      </c>
      <c r="B37" s="3" t="s">
        <v>37</v>
      </c>
      <c r="C37" s="3">
        <v>10</v>
      </c>
      <c r="D37" s="4" t="s">
        <v>36</v>
      </c>
    </row>
    <row r="38" spans="1:4" ht="55.2" x14ac:dyDescent="0.3">
      <c r="A38" s="3" t="s">
        <v>29</v>
      </c>
      <c r="B38" s="3" t="s">
        <v>38</v>
      </c>
      <c r="C38" s="3">
        <v>11</v>
      </c>
      <c r="D38" s="4" t="s">
        <v>39</v>
      </c>
    </row>
    <row r="39" spans="1:4" ht="27.6" x14ac:dyDescent="0.3">
      <c r="A39" s="3" t="s">
        <v>29</v>
      </c>
      <c r="B39" s="3" t="s">
        <v>40</v>
      </c>
      <c r="C39" s="3" t="s">
        <v>41</v>
      </c>
      <c r="D39" s="4" t="s">
        <v>42</v>
      </c>
    </row>
    <row r="40" spans="1:4" ht="27.6" x14ac:dyDescent="0.3">
      <c r="A40" s="3" t="s">
        <v>29</v>
      </c>
      <c r="B40" s="3" t="s">
        <v>43</v>
      </c>
      <c r="C40" s="3" t="s">
        <v>44</v>
      </c>
      <c r="D40" s="4" t="s">
        <v>45</v>
      </c>
    </row>
    <row r="41" spans="1:4" ht="27.6" x14ac:dyDescent="0.3">
      <c r="A41" s="3" t="s">
        <v>29</v>
      </c>
      <c r="B41" s="3" t="s">
        <v>46</v>
      </c>
      <c r="C41" s="3" t="s">
        <v>47</v>
      </c>
      <c r="D41" s="4" t="s">
        <v>48</v>
      </c>
    </row>
    <row r="43" spans="1:4" ht="18" x14ac:dyDescent="0.3">
      <c r="A43" s="324" t="s">
        <v>49</v>
      </c>
      <c r="B43" s="324"/>
      <c r="C43" s="324"/>
      <c r="D43" s="324"/>
    </row>
    <row r="44" spans="1:4" x14ac:dyDescent="0.3">
      <c r="A44" s="218" t="s">
        <v>50</v>
      </c>
      <c r="B44" s="218"/>
      <c r="C44" s="218" t="s">
        <v>51</v>
      </c>
      <c r="D44" s="218"/>
    </row>
    <row r="45" spans="1:4" x14ac:dyDescent="0.3">
      <c r="A45" s="194" t="s">
        <v>52</v>
      </c>
      <c r="B45" s="194"/>
      <c r="C45" s="194" t="s">
        <v>53</v>
      </c>
      <c r="D45" s="194"/>
    </row>
    <row r="46" spans="1:4" x14ac:dyDescent="0.3">
      <c r="A46" s="194" t="s">
        <v>54</v>
      </c>
      <c r="B46" s="194"/>
      <c r="C46" s="194" t="s">
        <v>55</v>
      </c>
      <c r="D46" s="194"/>
    </row>
    <row r="47" spans="1:4" x14ac:dyDescent="0.3">
      <c r="A47" s="194" t="s">
        <v>56</v>
      </c>
      <c r="B47" s="194"/>
      <c r="C47" s="194" t="s">
        <v>57</v>
      </c>
      <c r="D47" s="194"/>
    </row>
    <row r="48" spans="1:4" x14ac:dyDescent="0.3">
      <c r="A48" s="194" t="s">
        <v>58</v>
      </c>
      <c r="B48" s="194"/>
      <c r="C48" s="194" t="s">
        <v>59</v>
      </c>
      <c r="D48" s="194"/>
    </row>
    <row r="49" spans="1:4" x14ac:dyDescent="0.3">
      <c r="A49" s="194" t="s">
        <v>60</v>
      </c>
      <c r="B49" s="194"/>
      <c r="C49" s="194" t="s">
        <v>61</v>
      </c>
      <c r="D49" s="194"/>
    </row>
    <row r="50" spans="1:4" x14ac:dyDescent="0.3">
      <c r="A50" s="194" t="s">
        <v>62</v>
      </c>
      <c r="B50" s="194"/>
      <c r="C50" s="194" t="s">
        <v>63</v>
      </c>
      <c r="D50" s="194"/>
    </row>
    <row r="51" spans="1:4" x14ac:dyDescent="0.3">
      <c r="A51" s="194" t="s">
        <v>64</v>
      </c>
      <c r="B51" s="194"/>
      <c r="C51" s="194" t="s">
        <v>63</v>
      </c>
      <c r="D51" s="194"/>
    </row>
    <row r="52" spans="1:4" x14ac:dyDescent="0.3">
      <c r="A52" s="194" t="s">
        <v>65</v>
      </c>
      <c r="B52" s="194"/>
      <c r="C52" s="194" t="s">
        <v>66</v>
      </c>
      <c r="D52" s="194"/>
    </row>
    <row r="53" spans="1:4" x14ac:dyDescent="0.3">
      <c r="A53" s="194" t="s">
        <v>67</v>
      </c>
      <c r="B53" s="194"/>
      <c r="C53" s="194" t="s">
        <v>68</v>
      </c>
      <c r="D53" s="194"/>
    </row>
    <row r="54" spans="1:4" x14ac:dyDescent="0.3">
      <c r="A54" s="194" t="s">
        <v>69</v>
      </c>
      <c r="B54" s="194"/>
      <c r="C54" s="194" t="s">
        <v>70</v>
      </c>
      <c r="D54" s="194"/>
    </row>
  </sheetData>
  <mergeCells count="31">
    <mergeCell ref="A1:J1"/>
    <mergeCell ref="A3:J15"/>
    <mergeCell ref="A18:B18"/>
    <mergeCell ref="A27:D27"/>
    <mergeCell ref="A28:B28"/>
    <mergeCell ref="A29:B29"/>
    <mergeCell ref="A30:B30"/>
    <mergeCell ref="A32:D32"/>
    <mergeCell ref="A43:D43"/>
    <mergeCell ref="A44:B44"/>
    <mergeCell ref="C44:D44"/>
    <mergeCell ref="A45:B45"/>
    <mergeCell ref="C45:D45"/>
    <mergeCell ref="A46:B46"/>
    <mergeCell ref="C46:D46"/>
    <mergeCell ref="A47:B47"/>
    <mergeCell ref="C47:D47"/>
    <mergeCell ref="A48:B48"/>
    <mergeCell ref="C48:D48"/>
    <mergeCell ref="A49:B49"/>
    <mergeCell ref="C49:D49"/>
    <mergeCell ref="A50:B50"/>
    <mergeCell ref="C50:D50"/>
    <mergeCell ref="A54:B54"/>
    <mergeCell ref="C54:D54"/>
    <mergeCell ref="A51:B51"/>
    <mergeCell ref="C51:D51"/>
    <mergeCell ref="A52:B52"/>
    <mergeCell ref="C52:D52"/>
    <mergeCell ref="A53:B53"/>
    <mergeCell ref="C53:D53"/>
  </mergeCells>
  <pageMargins left="0.7" right="0.7" top="0.75" bottom="0.75"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P61"/>
  <sheetViews>
    <sheetView showGridLines="0" zoomScaleNormal="100" workbookViewId="0">
      <selection activeCell="J16" sqref="J16"/>
    </sheetView>
  </sheetViews>
  <sheetFormatPr defaultColWidth="8.6640625" defaultRowHeight="14.4" x14ac:dyDescent="0.3"/>
  <cols>
    <col min="1" max="1" width="8" style="1" customWidth="1"/>
    <col min="2" max="2" width="52" style="1" customWidth="1"/>
    <col min="3" max="3" width="18" style="1" customWidth="1"/>
    <col min="4" max="6" width="14" style="1" customWidth="1"/>
    <col min="7" max="7" width="9.5546875" style="1" customWidth="1"/>
    <col min="8" max="8" width="5.109375" style="1" customWidth="1"/>
    <col min="10" max="10" width="9.5546875" style="1" customWidth="1"/>
    <col min="11" max="11" width="10.21875" style="1" customWidth="1"/>
    <col min="12" max="12" width="6.21875" style="1" customWidth="1"/>
    <col min="13" max="13" width="11" style="1" customWidth="1"/>
    <col min="14" max="14" width="6.33203125" style="1" customWidth="1"/>
    <col min="15" max="15" width="11" style="1" customWidth="1"/>
    <col min="16" max="16" width="9.5546875" style="1" customWidth="1"/>
  </cols>
  <sheetData>
    <row r="1" spans="1:16" ht="17.399999999999999" x14ac:dyDescent="0.3">
      <c r="A1" s="226" t="s">
        <v>71</v>
      </c>
      <c r="B1" s="226"/>
      <c r="C1" s="226"/>
      <c r="D1" s="226"/>
      <c r="E1" s="226"/>
      <c r="F1" s="226"/>
      <c r="G1" s="7"/>
      <c r="H1" s="7"/>
      <c r="I1" s="7"/>
      <c r="J1" s="7"/>
      <c r="K1" s="7"/>
      <c r="L1" s="7"/>
      <c r="M1" s="7"/>
      <c r="N1" s="7"/>
      <c r="O1" s="7"/>
      <c r="P1" s="7"/>
    </row>
    <row r="2" spans="1:16" x14ac:dyDescent="0.3">
      <c r="A2" s="232" t="s">
        <v>72</v>
      </c>
      <c r="B2" s="232"/>
      <c r="C2" s="232"/>
      <c r="D2" s="232"/>
      <c r="E2" s="232"/>
      <c r="F2" s="232"/>
      <c r="G2" s="7"/>
      <c r="H2" s="7"/>
      <c r="I2" s="7"/>
      <c r="J2" s="7"/>
      <c r="K2" s="7"/>
      <c r="L2" s="7"/>
      <c r="M2" s="7"/>
      <c r="N2" s="7"/>
      <c r="O2" s="7"/>
      <c r="P2" s="7"/>
    </row>
    <row r="3" spans="1:16" x14ac:dyDescent="0.3">
      <c r="A3" s="233"/>
      <c r="B3" s="233"/>
      <c r="C3" s="233"/>
      <c r="D3" s="233"/>
      <c r="E3" s="233"/>
      <c r="F3" s="233"/>
      <c r="G3" s="7"/>
      <c r="H3" s="7"/>
      <c r="I3" s="7"/>
      <c r="J3" s="7"/>
      <c r="K3" s="7"/>
      <c r="L3" s="7"/>
      <c r="M3" s="7"/>
      <c r="N3" s="7"/>
      <c r="O3" s="7"/>
      <c r="P3" s="7"/>
    </row>
    <row r="4" spans="1:16" ht="27.6" x14ac:dyDescent="0.3">
      <c r="A4" s="234" t="s">
        <v>73</v>
      </c>
      <c r="B4" s="234" t="s">
        <v>74</v>
      </c>
      <c r="C4" s="234" t="s">
        <v>75</v>
      </c>
      <c r="D4" s="235" t="s">
        <v>76</v>
      </c>
      <c r="E4" s="235" t="s">
        <v>77</v>
      </c>
      <c r="F4" s="234" t="s">
        <v>78</v>
      </c>
      <c r="G4" s="8"/>
      <c r="H4" s="7"/>
      <c r="I4" s="7"/>
      <c r="J4" s="8"/>
      <c r="K4" s="7"/>
      <c r="L4" s="8"/>
      <c r="M4" s="7"/>
      <c r="N4" s="9"/>
      <c r="O4" s="7"/>
      <c r="P4" s="8"/>
    </row>
    <row r="5" spans="1:16" x14ac:dyDescent="0.3">
      <c r="A5" s="236"/>
      <c r="B5" s="237" t="s">
        <v>79</v>
      </c>
      <c r="C5" s="236"/>
      <c r="D5" s="238"/>
      <c r="E5" s="239"/>
      <c r="F5" s="240"/>
      <c r="G5" s="8"/>
      <c r="H5" s="7"/>
      <c r="I5" s="7"/>
      <c r="J5" s="8"/>
      <c r="K5" s="7"/>
      <c r="L5" s="7"/>
      <c r="M5" s="7"/>
      <c r="N5" s="7"/>
      <c r="O5" s="7"/>
      <c r="P5" s="8"/>
    </row>
    <row r="6" spans="1:16" x14ac:dyDescent="0.3">
      <c r="A6" s="241">
        <v>1</v>
      </c>
      <c r="B6" s="242" t="s">
        <v>80</v>
      </c>
      <c r="C6" s="241" t="s">
        <v>81</v>
      </c>
      <c r="D6" s="243">
        <v>9</v>
      </c>
      <c r="E6" s="244">
        <v>242268786</v>
      </c>
      <c r="F6" s="245">
        <v>0.37159999999999999</v>
      </c>
      <c r="G6" s="8"/>
      <c r="H6" s="7"/>
      <c r="I6" s="7"/>
      <c r="J6" s="8"/>
      <c r="K6" s="7"/>
      <c r="L6" s="7"/>
      <c r="M6" s="7"/>
      <c r="N6" s="7"/>
      <c r="O6" s="7"/>
      <c r="P6" s="8"/>
    </row>
    <row r="7" spans="1:16" x14ac:dyDescent="0.3">
      <c r="A7" s="241">
        <v>2</v>
      </c>
      <c r="B7" s="242" t="s">
        <v>82</v>
      </c>
      <c r="C7" s="241" t="s">
        <v>83</v>
      </c>
      <c r="D7" s="243">
        <v>1</v>
      </c>
      <c r="E7" s="244">
        <v>149848238</v>
      </c>
      <c r="F7" s="245">
        <v>0.2298</v>
      </c>
      <c r="G7" s="8"/>
      <c r="H7" s="7"/>
      <c r="I7" s="7"/>
      <c r="J7" s="8"/>
      <c r="K7" s="7"/>
      <c r="L7" s="7"/>
      <c r="M7" s="7"/>
      <c r="N7" s="7"/>
      <c r="O7" s="7"/>
      <c r="P7" s="8"/>
    </row>
    <row r="8" spans="1:16" x14ac:dyDescent="0.3">
      <c r="A8" s="241">
        <v>3</v>
      </c>
      <c r="B8" s="242" t="s">
        <v>84</v>
      </c>
      <c r="C8" s="241" t="s">
        <v>83</v>
      </c>
      <c r="D8" s="243">
        <v>1</v>
      </c>
      <c r="E8" s="244">
        <v>36469012</v>
      </c>
      <c r="F8" s="245">
        <v>5.5899999999999998E-2</v>
      </c>
      <c r="G8" s="8"/>
      <c r="H8" s="7"/>
      <c r="I8" s="7"/>
      <c r="J8" s="8"/>
      <c r="K8" s="7"/>
      <c r="L8" s="7"/>
      <c r="M8" s="7"/>
      <c r="N8" s="7"/>
      <c r="O8" s="7"/>
      <c r="P8" s="8"/>
    </row>
    <row r="9" spans="1:16" x14ac:dyDescent="0.3">
      <c r="A9" s="241">
        <v>4</v>
      </c>
      <c r="B9" s="242" t="s">
        <v>85</v>
      </c>
      <c r="C9" s="241" t="s">
        <v>83</v>
      </c>
      <c r="D9" s="243">
        <v>1</v>
      </c>
      <c r="E9" s="244">
        <v>6500000</v>
      </c>
      <c r="F9" s="245">
        <v>0.01</v>
      </c>
      <c r="G9" s="8"/>
      <c r="H9" s="7"/>
      <c r="I9" s="7"/>
      <c r="J9" s="8"/>
      <c r="K9" s="7"/>
      <c r="L9" s="7"/>
      <c r="M9" s="7"/>
      <c r="N9" s="7"/>
      <c r="O9" s="7"/>
      <c r="P9" s="8"/>
    </row>
    <row r="10" spans="1:16" x14ac:dyDescent="0.3">
      <c r="A10" s="241">
        <v>5</v>
      </c>
      <c r="B10" s="242" t="s">
        <v>86</v>
      </c>
      <c r="C10" s="241" t="s">
        <v>83</v>
      </c>
      <c r="D10" s="243">
        <v>1</v>
      </c>
      <c r="E10" s="244">
        <v>1100000</v>
      </c>
      <c r="F10" s="245">
        <v>1.6999999999999999E-3</v>
      </c>
      <c r="G10" s="8"/>
      <c r="H10" s="7"/>
      <c r="I10" s="7"/>
      <c r="J10" s="8"/>
      <c r="K10" s="7"/>
      <c r="L10" s="7"/>
      <c r="M10" s="7"/>
      <c r="N10" s="7"/>
      <c r="O10" s="7"/>
      <c r="P10" s="8"/>
    </row>
    <row r="11" spans="1:16" x14ac:dyDescent="0.3">
      <c r="A11" s="241">
        <v>6</v>
      </c>
      <c r="B11" s="242" t="s">
        <v>87</v>
      </c>
      <c r="C11" s="241" t="s">
        <v>88</v>
      </c>
      <c r="D11" s="243">
        <v>1</v>
      </c>
      <c r="E11" s="244">
        <v>16114812</v>
      </c>
      <c r="F11" s="245">
        <v>2.47E-2</v>
      </c>
      <c r="G11" s="8"/>
      <c r="H11" s="7"/>
      <c r="I11" s="7"/>
      <c r="J11" s="8"/>
      <c r="K11" s="7"/>
      <c r="L11" s="7"/>
      <c r="M11" s="7"/>
      <c r="N11" s="7"/>
      <c r="O11" s="7"/>
      <c r="P11" s="8"/>
    </row>
    <row r="12" spans="1:16" x14ac:dyDescent="0.3">
      <c r="A12" s="241">
        <v>7</v>
      </c>
      <c r="B12" s="242" t="s">
        <v>89</v>
      </c>
      <c r="C12" s="241" t="s">
        <v>88</v>
      </c>
      <c r="D12" s="243">
        <v>1</v>
      </c>
      <c r="E12" s="244">
        <v>16064812</v>
      </c>
      <c r="F12" s="245">
        <v>2.46E-2</v>
      </c>
      <c r="G12" s="8"/>
      <c r="H12" s="7"/>
      <c r="I12" s="7"/>
      <c r="J12" s="8"/>
      <c r="K12" s="7"/>
      <c r="L12" s="8"/>
      <c r="M12" s="7"/>
      <c r="N12" s="9"/>
      <c r="O12" s="7"/>
      <c r="P12" s="8"/>
    </row>
    <row r="13" spans="1:16" x14ac:dyDescent="0.3">
      <c r="A13" s="241">
        <v>8</v>
      </c>
      <c r="B13" s="242" t="s">
        <v>90</v>
      </c>
      <c r="C13" s="241" t="s">
        <v>88</v>
      </c>
      <c r="D13" s="243">
        <v>1</v>
      </c>
      <c r="E13" s="244">
        <v>16064812</v>
      </c>
      <c r="F13" s="245">
        <v>2.46E-2</v>
      </c>
      <c r="G13" s="8"/>
      <c r="H13" s="7"/>
      <c r="I13" s="7"/>
      <c r="J13" s="8"/>
      <c r="K13" s="7"/>
      <c r="L13" s="7"/>
      <c r="M13" s="7"/>
      <c r="N13" s="7"/>
      <c r="O13" s="7"/>
      <c r="P13" s="8"/>
    </row>
    <row r="14" spans="1:16" x14ac:dyDescent="0.3">
      <c r="A14" s="241">
        <v>9</v>
      </c>
      <c r="B14" s="242" t="s">
        <v>91</v>
      </c>
      <c r="C14" s="241" t="s">
        <v>88</v>
      </c>
      <c r="D14" s="243">
        <v>1</v>
      </c>
      <c r="E14" s="244">
        <v>100000</v>
      </c>
      <c r="F14" s="245">
        <v>2.0000000000000001E-4</v>
      </c>
      <c r="G14" s="7"/>
      <c r="H14" s="7"/>
      <c r="I14" s="7"/>
      <c r="J14" s="7"/>
      <c r="K14" s="7"/>
      <c r="L14" s="7"/>
      <c r="M14" s="7"/>
      <c r="N14" s="7"/>
      <c r="O14" s="7"/>
      <c r="P14" s="7"/>
    </row>
    <row r="15" spans="1:16" x14ac:dyDescent="0.3">
      <c r="A15" s="241">
        <v>10</v>
      </c>
      <c r="B15" s="242" t="s">
        <v>92</v>
      </c>
      <c r="C15" s="241" t="s">
        <v>88</v>
      </c>
      <c r="D15" s="243">
        <v>1</v>
      </c>
      <c r="E15" s="244">
        <v>7100</v>
      </c>
      <c r="F15" s="245">
        <v>0</v>
      </c>
      <c r="G15" s="7"/>
      <c r="H15" s="7"/>
      <c r="I15" s="7"/>
      <c r="J15" s="7"/>
      <c r="K15" s="7"/>
      <c r="L15" s="7"/>
      <c r="M15" s="7"/>
      <c r="N15" s="7"/>
      <c r="O15" s="7"/>
      <c r="P15" s="7"/>
    </row>
    <row r="16" spans="1:16" x14ac:dyDescent="0.3">
      <c r="A16" s="241">
        <v>11</v>
      </c>
      <c r="B16" s="242" t="s">
        <v>93</v>
      </c>
      <c r="C16" s="241" t="s">
        <v>88</v>
      </c>
      <c r="D16" s="243">
        <v>0</v>
      </c>
      <c r="E16" s="244">
        <v>0</v>
      </c>
      <c r="F16" s="245">
        <v>0</v>
      </c>
      <c r="G16" s="7"/>
      <c r="H16" s="7"/>
      <c r="I16" s="7"/>
      <c r="J16" s="7"/>
      <c r="K16" s="7"/>
      <c r="L16" s="7"/>
      <c r="M16" s="7"/>
      <c r="N16" s="7"/>
      <c r="O16" s="7"/>
      <c r="P16" s="7"/>
    </row>
    <row r="17" spans="1:16" x14ac:dyDescent="0.3">
      <c r="A17" s="241">
        <v>12</v>
      </c>
      <c r="B17" s="242" t="s">
        <v>94</v>
      </c>
      <c r="C17" s="241" t="s">
        <v>88</v>
      </c>
      <c r="D17" s="243">
        <v>0</v>
      </c>
      <c r="E17" s="244">
        <v>0</v>
      </c>
      <c r="F17" s="245">
        <v>0</v>
      </c>
      <c r="G17" s="7"/>
      <c r="H17" s="7"/>
      <c r="I17" s="7"/>
      <c r="J17" s="7"/>
      <c r="K17" s="7"/>
      <c r="L17" s="7"/>
      <c r="M17" s="7"/>
      <c r="N17" s="7"/>
      <c r="O17" s="7"/>
      <c r="P17" s="7"/>
    </row>
    <row r="18" spans="1:16" x14ac:dyDescent="0.3">
      <c r="A18" s="241">
        <v>13</v>
      </c>
      <c r="B18" s="242" t="s">
        <v>95</v>
      </c>
      <c r="C18" s="241" t="s">
        <v>88</v>
      </c>
      <c r="D18" s="243">
        <v>0</v>
      </c>
      <c r="E18" s="244">
        <v>0</v>
      </c>
      <c r="F18" s="245">
        <v>0</v>
      </c>
      <c r="G18" s="7"/>
      <c r="H18" s="7"/>
      <c r="I18" s="7"/>
      <c r="J18" s="7"/>
      <c r="K18" s="7"/>
      <c r="L18" s="7"/>
      <c r="M18" s="7"/>
      <c r="N18" s="7"/>
      <c r="O18" s="7"/>
      <c r="P18" s="7"/>
    </row>
    <row r="19" spans="1:16" x14ac:dyDescent="0.3">
      <c r="A19" s="241">
        <v>14</v>
      </c>
      <c r="B19" s="242" t="s">
        <v>96</v>
      </c>
      <c r="C19" s="241" t="s">
        <v>88</v>
      </c>
      <c r="D19" s="243">
        <v>0</v>
      </c>
      <c r="E19" s="244">
        <v>0</v>
      </c>
      <c r="F19" s="245">
        <v>0</v>
      </c>
      <c r="G19" s="8"/>
      <c r="H19" s="7"/>
      <c r="I19" s="7"/>
      <c r="J19" s="8"/>
      <c r="K19" s="7"/>
      <c r="L19" s="7"/>
      <c r="M19" s="7"/>
      <c r="N19" s="7"/>
      <c r="O19" s="7"/>
      <c r="P19" s="8"/>
    </row>
    <row r="20" spans="1:16" x14ac:dyDescent="0.3">
      <c r="A20" s="241">
        <v>15</v>
      </c>
      <c r="B20" s="242" t="s">
        <v>97</v>
      </c>
      <c r="C20" s="241" t="s">
        <v>88</v>
      </c>
      <c r="D20" s="243">
        <v>0</v>
      </c>
      <c r="E20" s="244">
        <v>0</v>
      </c>
      <c r="F20" s="245">
        <v>0</v>
      </c>
      <c r="G20" s="8"/>
      <c r="H20" s="7"/>
      <c r="I20" s="7"/>
      <c r="J20" s="8"/>
      <c r="K20" s="7"/>
      <c r="L20" s="7"/>
      <c r="M20" s="7"/>
      <c r="N20" s="7"/>
      <c r="O20" s="7"/>
      <c r="P20" s="8"/>
    </row>
    <row r="21" spans="1:16" x14ac:dyDescent="0.3">
      <c r="A21" s="236"/>
      <c r="B21" s="237" t="s">
        <v>98</v>
      </c>
      <c r="C21" s="236"/>
      <c r="D21" s="246">
        <v>6</v>
      </c>
      <c r="E21" s="247">
        <v>243527470</v>
      </c>
      <c r="F21" s="248">
        <v>0.3735</v>
      </c>
      <c r="G21" s="8"/>
      <c r="H21" s="7"/>
      <c r="I21" s="7"/>
      <c r="J21" s="8"/>
      <c r="K21" s="7"/>
      <c r="L21" s="7"/>
      <c r="M21" s="7"/>
      <c r="N21" s="7"/>
      <c r="O21" s="7"/>
      <c r="P21" s="8"/>
    </row>
    <row r="22" spans="1:16" ht="27.6" x14ac:dyDescent="0.3">
      <c r="A22" s="241">
        <v>16</v>
      </c>
      <c r="B22" s="242" t="s">
        <v>99</v>
      </c>
      <c r="C22" s="241" t="s">
        <v>83</v>
      </c>
      <c r="D22" s="243">
        <v>1</v>
      </c>
      <c r="E22" s="244">
        <v>30955494</v>
      </c>
      <c r="F22" s="245">
        <v>4.7500000000000001E-2</v>
      </c>
      <c r="G22" s="8"/>
      <c r="H22" s="7"/>
      <c r="I22" s="7"/>
      <c r="J22" s="8"/>
      <c r="K22" s="7"/>
      <c r="L22" s="7"/>
      <c r="M22" s="7"/>
      <c r="N22" s="7"/>
      <c r="O22" s="7"/>
      <c r="P22" s="8"/>
    </row>
    <row r="23" spans="1:16" ht="27.6" x14ac:dyDescent="0.3">
      <c r="A23" s="241">
        <v>17</v>
      </c>
      <c r="B23" s="242" t="s">
        <v>100</v>
      </c>
      <c r="C23" s="241" t="s">
        <v>83</v>
      </c>
      <c r="D23" s="243">
        <v>1</v>
      </c>
      <c r="E23" s="244">
        <v>30955494</v>
      </c>
      <c r="F23" s="245">
        <v>4.7500000000000001E-2</v>
      </c>
      <c r="G23" s="8"/>
      <c r="H23" s="7"/>
      <c r="I23" s="7"/>
      <c r="J23" s="8"/>
      <c r="K23" s="7"/>
      <c r="L23" s="7"/>
      <c r="M23" s="7"/>
      <c r="N23" s="7"/>
      <c r="O23" s="7"/>
      <c r="P23" s="8"/>
    </row>
    <row r="24" spans="1:16" ht="27.6" x14ac:dyDescent="0.3">
      <c r="A24" s="241">
        <v>18</v>
      </c>
      <c r="B24" s="242" t="s">
        <v>101</v>
      </c>
      <c r="C24" s="241" t="s">
        <v>83</v>
      </c>
      <c r="D24" s="243">
        <v>1</v>
      </c>
      <c r="E24" s="244">
        <v>30955494</v>
      </c>
      <c r="F24" s="245">
        <v>4.7500000000000001E-2</v>
      </c>
      <c r="G24" s="8"/>
      <c r="H24" s="7"/>
      <c r="I24" s="7"/>
      <c r="J24" s="8"/>
      <c r="K24" s="7"/>
      <c r="L24" s="7"/>
      <c r="M24" s="7"/>
      <c r="N24" s="7"/>
      <c r="O24" s="7"/>
      <c r="P24" s="8"/>
    </row>
    <row r="25" spans="1:16" ht="27.6" x14ac:dyDescent="0.3">
      <c r="A25" s="241">
        <v>19</v>
      </c>
      <c r="B25" s="242" t="s">
        <v>102</v>
      </c>
      <c r="C25" s="241" t="s">
        <v>83</v>
      </c>
      <c r="D25" s="243">
        <v>1</v>
      </c>
      <c r="E25" s="244">
        <v>30955494</v>
      </c>
      <c r="F25" s="245">
        <v>4.7500000000000001E-2</v>
      </c>
      <c r="G25" s="8"/>
      <c r="H25" s="7"/>
      <c r="I25" s="7"/>
      <c r="J25" s="8"/>
      <c r="K25" s="7"/>
      <c r="L25" s="7"/>
      <c r="M25" s="7"/>
      <c r="N25" s="7"/>
      <c r="O25" s="7"/>
      <c r="P25" s="8"/>
    </row>
    <row r="26" spans="1:16" ht="27.6" x14ac:dyDescent="0.3">
      <c r="A26" s="241">
        <v>20</v>
      </c>
      <c r="B26" s="242" t="s">
        <v>103</v>
      </c>
      <c r="C26" s="241" t="s">
        <v>83</v>
      </c>
      <c r="D26" s="243">
        <v>1</v>
      </c>
      <c r="E26" s="244">
        <v>30955494</v>
      </c>
      <c r="F26" s="245">
        <v>4.7500000000000001E-2</v>
      </c>
      <c r="G26" s="7"/>
      <c r="H26" s="7"/>
      <c r="I26" s="7"/>
      <c r="J26" s="7"/>
      <c r="K26" s="7"/>
      <c r="L26" s="7"/>
      <c r="M26" s="7"/>
      <c r="N26" s="7"/>
      <c r="O26" s="7"/>
      <c r="P26" s="7"/>
    </row>
    <row r="27" spans="1:16" x14ac:dyDescent="0.3">
      <c r="A27" s="241">
        <v>21</v>
      </c>
      <c r="B27" s="242" t="s">
        <v>104</v>
      </c>
      <c r="C27" s="241" t="s">
        <v>83</v>
      </c>
      <c r="D27" s="243">
        <v>1</v>
      </c>
      <c r="E27" s="244">
        <v>88750000</v>
      </c>
      <c r="F27" s="245">
        <v>0.1361</v>
      </c>
      <c r="G27" s="7"/>
      <c r="H27" s="7"/>
      <c r="I27" s="7"/>
      <c r="J27" s="7"/>
      <c r="K27" s="7"/>
      <c r="L27" s="7"/>
      <c r="M27" s="7"/>
      <c r="N27" s="7"/>
      <c r="O27" s="7"/>
      <c r="P27" s="7"/>
    </row>
    <row r="28" spans="1:16" x14ac:dyDescent="0.3">
      <c r="A28" s="249"/>
      <c r="B28" s="250" t="s">
        <v>105</v>
      </c>
      <c r="C28" s="249"/>
      <c r="D28" s="251">
        <v>15</v>
      </c>
      <c r="E28" s="252">
        <v>485796256</v>
      </c>
      <c r="F28" s="253">
        <v>0.74509999999999998</v>
      </c>
      <c r="G28" s="7"/>
      <c r="H28" s="7"/>
      <c r="I28" s="7"/>
      <c r="J28" s="7"/>
      <c r="K28" s="7"/>
      <c r="L28" s="7"/>
      <c r="M28" s="7"/>
      <c r="N28" s="7"/>
      <c r="O28" s="7"/>
      <c r="P28" s="7"/>
    </row>
    <row r="29" spans="1:16" x14ac:dyDescent="0.3">
      <c r="A29" s="236"/>
      <c r="B29" s="237" t="s">
        <v>106</v>
      </c>
      <c r="C29" s="236"/>
      <c r="D29" s="246">
        <v>0</v>
      </c>
      <c r="E29" s="247">
        <v>0</v>
      </c>
      <c r="F29" s="248">
        <v>0</v>
      </c>
      <c r="G29" s="7"/>
      <c r="H29" s="7"/>
      <c r="I29" s="7"/>
      <c r="J29" s="7"/>
      <c r="K29" s="7"/>
      <c r="L29" s="7"/>
      <c r="M29" s="7"/>
      <c r="N29" s="7"/>
      <c r="O29" s="7"/>
      <c r="P29" s="7"/>
    </row>
    <row r="30" spans="1:16" x14ac:dyDescent="0.3">
      <c r="A30" s="249"/>
      <c r="B30" s="250" t="s">
        <v>107</v>
      </c>
      <c r="C30" s="249"/>
      <c r="D30" s="251">
        <v>15</v>
      </c>
      <c r="E30" s="252">
        <v>485796256</v>
      </c>
      <c r="F30" s="253">
        <v>0.74509999999999998</v>
      </c>
      <c r="G30" s="7"/>
      <c r="H30" s="7"/>
      <c r="I30" s="7"/>
      <c r="J30" s="7"/>
      <c r="K30" s="7"/>
      <c r="L30" s="7"/>
      <c r="M30" s="7"/>
      <c r="N30" s="7"/>
      <c r="O30" s="7"/>
      <c r="P30" s="7"/>
    </row>
    <row r="31" spans="1:16" x14ac:dyDescent="0.3">
      <c r="A31" s="233"/>
      <c r="B31" s="233"/>
      <c r="C31" s="233"/>
      <c r="D31" s="233"/>
      <c r="E31" s="233"/>
      <c r="F31" s="233"/>
      <c r="G31" s="7"/>
      <c r="H31" s="7"/>
      <c r="I31" s="7"/>
      <c r="J31" s="7"/>
      <c r="K31" s="7"/>
      <c r="L31" s="7"/>
      <c r="M31" s="7"/>
      <c r="N31" s="7"/>
      <c r="O31" s="7"/>
      <c r="P31" s="7"/>
    </row>
    <row r="32" spans="1:16" x14ac:dyDescent="0.3">
      <c r="A32" s="254" t="s">
        <v>108</v>
      </c>
      <c r="B32" s="233"/>
      <c r="C32" s="233"/>
      <c r="D32" s="233"/>
      <c r="E32" s="233"/>
      <c r="F32" s="233"/>
      <c r="G32" s="7"/>
      <c r="H32" s="7"/>
      <c r="I32" s="7"/>
      <c r="J32" s="7"/>
      <c r="K32" s="7"/>
      <c r="L32" s="7"/>
      <c r="M32" s="7"/>
      <c r="N32" s="7"/>
      <c r="O32" s="7"/>
      <c r="P32" s="7"/>
    </row>
    <row r="33" spans="1:16" x14ac:dyDescent="0.3">
      <c r="A33" s="16"/>
      <c r="B33" s="7"/>
      <c r="C33" s="7"/>
      <c r="D33" s="7"/>
      <c r="E33" s="7"/>
      <c r="F33" s="7"/>
      <c r="G33" s="7"/>
      <c r="H33" s="7"/>
      <c r="I33" s="7"/>
      <c r="J33" s="7"/>
      <c r="K33" s="7"/>
      <c r="L33" s="7"/>
      <c r="M33" s="7"/>
      <c r="N33" s="7"/>
      <c r="O33" s="7"/>
      <c r="P33" s="7"/>
    </row>
    <row r="34" spans="1:16" x14ac:dyDescent="0.3">
      <c r="A34" s="16"/>
      <c r="B34" s="7"/>
      <c r="C34" s="7"/>
      <c r="D34" s="7"/>
      <c r="E34" s="7"/>
      <c r="F34" s="7"/>
      <c r="G34" s="7"/>
      <c r="H34" s="7"/>
      <c r="I34" s="7"/>
      <c r="J34" s="7"/>
      <c r="K34" s="7"/>
      <c r="L34" s="7"/>
      <c r="M34" s="7"/>
      <c r="N34" s="7"/>
      <c r="O34" s="7"/>
      <c r="P34" s="7"/>
    </row>
    <row r="35" spans="1:16" x14ac:dyDescent="0.3">
      <c r="A35" s="16"/>
      <c r="B35" s="7"/>
      <c r="C35" s="7"/>
      <c r="D35" s="7"/>
      <c r="E35" s="7"/>
      <c r="F35" s="7"/>
      <c r="G35" s="7"/>
      <c r="H35" s="7"/>
      <c r="I35" s="7"/>
      <c r="J35" s="7"/>
      <c r="K35" s="7"/>
      <c r="L35" s="7"/>
      <c r="M35" s="7"/>
      <c r="N35" s="7"/>
      <c r="O35" s="7"/>
      <c r="P35" s="7"/>
    </row>
    <row r="36" spans="1:16" x14ac:dyDescent="0.3">
      <c r="A36" s="7"/>
      <c r="B36" s="7"/>
      <c r="C36" s="7"/>
      <c r="D36" s="7"/>
      <c r="E36" s="7"/>
      <c r="F36" s="7"/>
      <c r="G36" s="7"/>
      <c r="H36" s="7"/>
      <c r="I36" s="7"/>
      <c r="J36" s="7"/>
      <c r="K36" s="7"/>
      <c r="L36" s="7"/>
      <c r="M36" s="7"/>
      <c r="N36" s="7"/>
      <c r="O36" s="7"/>
      <c r="P36" s="7"/>
    </row>
    <row r="37" spans="1:16" x14ac:dyDescent="0.3">
      <c r="A37" s="7"/>
      <c r="B37" s="7"/>
      <c r="C37" s="7"/>
      <c r="D37" s="7"/>
      <c r="E37" s="7"/>
      <c r="F37" s="7"/>
      <c r="G37" s="7"/>
      <c r="H37" s="7"/>
      <c r="I37" s="7"/>
      <c r="J37" s="7"/>
      <c r="K37" s="7"/>
      <c r="L37" s="7"/>
      <c r="M37" s="7"/>
      <c r="N37" s="7"/>
      <c r="O37" s="7"/>
      <c r="P37" s="7"/>
    </row>
    <row r="38" spans="1:16" x14ac:dyDescent="0.3">
      <c r="A38" s="7"/>
      <c r="B38" s="7"/>
      <c r="C38" s="7"/>
      <c r="D38" s="7"/>
      <c r="E38" s="7"/>
      <c r="F38" s="7"/>
      <c r="G38" s="7"/>
      <c r="H38" s="7"/>
      <c r="I38" s="7"/>
      <c r="J38" s="7"/>
      <c r="K38" s="7"/>
      <c r="L38" s="7"/>
      <c r="M38" s="7"/>
      <c r="N38" s="7"/>
      <c r="O38" s="7"/>
      <c r="P38" s="7"/>
    </row>
    <row r="39" spans="1:16" x14ac:dyDescent="0.3">
      <c r="A39" s="7"/>
      <c r="B39" s="7"/>
      <c r="C39" s="7"/>
      <c r="D39" s="7"/>
      <c r="E39" s="7"/>
      <c r="F39" s="7"/>
      <c r="G39" s="7"/>
      <c r="H39" s="7"/>
      <c r="I39" s="7"/>
      <c r="J39" s="7"/>
      <c r="K39" s="7"/>
      <c r="L39" s="7"/>
      <c r="M39" s="7"/>
      <c r="N39" s="7"/>
      <c r="O39" s="7"/>
      <c r="P39" s="7"/>
    </row>
    <row r="40" spans="1:16" x14ac:dyDescent="0.3">
      <c r="A40" s="7"/>
      <c r="B40" s="7"/>
      <c r="C40" s="7"/>
      <c r="D40" s="7"/>
      <c r="E40" s="7"/>
      <c r="F40" s="7"/>
      <c r="G40" s="7"/>
      <c r="H40" s="7"/>
      <c r="I40" s="7"/>
      <c r="J40" s="7"/>
      <c r="K40" s="7"/>
      <c r="L40" s="7"/>
      <c r="M40" s="7"/>
      <c r="N40" s="7"/>
      <c r="O40" s="7"/>
      <c r="P40" s="7"/>
    </row>
    <row r="41" spans="1:16" x14ac:dyDescent="0.3">
      <c r="A41" s="7"/>
      <c r="B41" s="7"/>
      <c r="C41" s="7"/>
      <c r="D41" s="7"/>
      <c r="E41" s="7"/>
      <c r="F41" s="7"/>
      <c r="G41" s="7"/>
      <c r="H41" s="7"/>
      <c r="I41" s="7"/>
      <c r="J41" s="7"/>
      <c r="K41" s="7"/>
      <c r="L41" s="7"/>
      <c r="M41" s="7"/>
      <c r="N41" s="7"/>
      <c r="O41" s="7"/>
      <c r="P41" s="7"/>
    </row>
    <row r="42" spans="1:16" x14ac:dyDescent="0.3">
      <c r="A42" s="7"/>
      <c r="B42" s="7"/>
      <c r="C42" s="7"/>
      <c r="D42" s="7"/>
      <c r="E42" s="7"/>
      <c r="F42" s="7"/>
      <c r="G42" s="7"/>
      <c r="H42" s="7"/>
      <c r="I42" s="7"/>
      <c r="J42" s="7"/>
      <c r="K42" s="7"/>
      <c r="L42" s="7"/>
      <c r="M42" s="7"/>
      <c r="N42" s="7"/>
      <c r="O42" s="7"/>
      <c r="P42" s="7"/>
    </row>
    <row r="43" spans="1:16" x14ac:dyDescent="0.3">
      <c r="A43" s="7"/>
      <c r="B43" s="7"/>
      <c r="C43" s="7"/>
      <c r="D43" s="7"/>
      <c r="E43" s="7"/>
      <c r="F43" s="7"/>
      <c r="G43" s="7"/>
      <c r="H43" s="7"/>
      <c r="I43" s="7"/>
      <c r="J43" s="7"/>
      <c r="K43" s="7"/>
      <c r="L43" s="7"/>
      <c r="M43" s="7"/>
      <c r="N43" s="7"/>
      <c r="O43" s="7"/>
      <c r="P43" s="7"/>
    </row>
    <row r="44" spans="1:16" x14ac:dyDescent="0.3">
      <c r="A44" s="7"/>
      <c r="B44" s="7"/>
      <c r="C44" s="7"/>
      <c r="D44" s="7"/>
      <c r="E44" s="7"/>
      <c r="F44" s="7"/>
      <c r="G44" s="7"/>
      <c r="H44" s="7"/>
      <c r="I44" s="7"/>
      <c r="J44" s="7"/>
      <c r="K44" s="7"/>
      <c r="L44" s="7"/>
      <c r="M44" s="7"/>
      <c r="N44" s="7"/>
      <c r="O44" s="7"/>
      <c r="P44" s="7"/>
    </row>
    <row r="45" spans="1:16" x14ac:dyDescent="0.3">
      <c r="A45" s="7"/>
      <c r="B45" s="7"/>
      <c r="C45" s="7"/>
      <c r="D45" s="7"/>
      <c r="E45" s="7"/>
      <c r="F45" s="7"/>
      <c r="G45" s="7"/>
      <c r="H45" s="7"/>
      <c r="I45" s="7"/>
      <c r="J45" s="7"/>
      <c r="K45" s="7"/>
      <c r="L45" s="7"/>
      <c r="M45" s="7"/>
      <c r="N45" s="7"/>
      <c r="O45" s="7"/>
      <c r="P45" s="7"/>
    </row>
    <row r="46" spans="1:16" x14ac:dyDescent="0.3">
      <c r="A46" s="7"/>
      <c r="B46" s="7"/>
      <c r="C46" s="7"/>
      <c r="D46" s="7"/>
      <c r="E46" s="7"/>
      <c r="F46" s="7"/>
      <c r="G46" s="7"/>
      <c r="H46" s="7"/>
      <c r="I46" s="7"/>
      <c r="J46" s="7"/>
      <c r="K46" s="7"/>
      <c r="L46" s="7"/>
      <c r="M46" s="7"/>
      <c r="N46" s="7"/>
      <c r="O46" s="7"/>
      <c r="P46" s="7"/>
    </row>
    <row r="47" spans="1:16" x14ac:dyDescent="0.3">
      <c r="A47" s="7"/>
      <c r="B47" s="7"/>
      <c r="C47" s="7"/>
      <c r="D47" s="7"/>
      <c r="E47" s="7"/>
      <c r="F47" s="7"/>
      <c r="G47" s="7"/>
      <c r="H47" s="7"/>
      <c r="I47" s="7"/>
      <c r="J47" s="7"/>
      <c r="K47" s="7"/>
      <c r="L47" s="7"/>
      <c r="M47" s="7"/>
      <c r="N47" s="7"/>
      <c r="O47" s="7"/>
      <c r="P47" s="7"/>
    </row>
    <row r="48" spans="1:16" x14ac:dyDescent="0.3">
      <c r="A48" s="7"/>
      <c r="B48" s="7"/>
      <c r="C48" s="7"/>
      <c r="D48" s="7"/>
      <c r="E48" s="7"/>
      <c r="F48" s="7"/>
      <c r="G48" s="7"/>
      <c r="H48" s="7"/>
      <c r="I48" s="7"/>
      <c r="J48" s="7"/>
      <c r="K48" s="7"/>
      <c r="L48" s="7"/>
      <c r="M48" s="7"/>
      <c r="N48" s="7"/>
      <c r="O48" s="7"/>
      <c r="P48" s="7"/>
    </row>
    <row r="49" spans="1:16" x14ac:dyDescent="0.3">
      <c r="A49" s="7"/>
      <c r="B49" s="7"/>
      <c r="C49" s="7"/>
      <c r="D49" s="7"/>
      <c r="E49" s="7"/>
      <c r="F49" s="7"/>
      <c r="G49" s="7"/>
      <c r="H49" s="7"/>
      <c r="I49" s="7"/>
      <c r="J49" s="7"/>
      <c r="K49" s="7"/>
      <c r="L49" s="7"/>
      <c r="M49" s="7"/>
      <c r="N49" s="7"/>
      <c r="O49" s="7"/>
      <c r="P49" s="7"/>
    </row>
    <row r="50" spans="1:16" x14ac:dyDescent="0.3">
      <c r="A50" s="7"/>
      <c r="B50" s="7"/>
      <c r="C50" s="7"/>
      <c r="D50" s="7"/>
      <c r="E50" s="7"/>
      <c r="F50" s="7"/>
      <c r="G50" s="7"/>
      <c r="H50" s="7"/>
      <c r="I50" s="7"/>
      <c r="J50" s="7"/>
      <c r="K50" s="7"/>
      <c r="L50" s="7"/>
      <c r="M50" s="7"/>
      <c r="N50" s="7"/>
      <c r="O50" s="7"/>
      <c r="P50" s="7"/>
    </row>
    <row r="51" spans="1:16" x14ac:dyDescent="0.3">
      <c r="A51" s="7"/>
      <c r="B51" s="7"/>
      <c r="C51" s="7"/>
      <c r="D51" s="7"/>
      <c r="E51" s="7"/>
      <c r="F51" s="7"/>
      <c r="G51" s="7"/>
      <c r="H51" s="7"/>
      <c r="I51" s="7"/>
      <c r="J51" s="7"/>
      <c r="K51" s="7"/>
      <c r="L51" s="7"/>
      <c r="M51" s="7"/>
      <c r="N51" s="7"/>
      <c r="O51" s="7"/>
      <c r="P51" s="7"/>
    </row>
    <row r="52" spans="1:16" x14ac:dyDescent="0.3">
      <c r="A52" s="7"/>
      <c r="B52" s="7"/>
      <c r="C52" s="7"/>
      <c r="D52" s="7"/>
      <c r="E52" s="7"/>
      <c r="F52" s="7"/>
      <c r="G52" s="7"/>
      <c r="H52" s="7"/>
      <c r="I52" s="7"/>
      <c r="J52" s="7"/>
      <c r="K52" s="7"/>
      <c r="L52" s="7"/>
      <c r="M52" s="7"/>
      <c r="N52" s="7"/>
      <c r="O52" s="7"/>
      <c r="P52" s="7"/>
    </row>
    <row r="53" spans="1:16" x14ac:dyDescent="0.3">
      <c r="A53" s="7"/>
      <c r="B53" s="7"/>
      <c r="C53" s="7"/>
      <c r="D53" s="7"/>
      <c r="E53" s="7"/>
      <c r="F53" s="7"/>
      <c r="G53" s="7"/>
      <c r="H53" s="7"/>
      <c r="I53" s="7"/>
      <c r="J53" s="7"/>
      <c r="K53" s="7"/>
      <c r="L53" s="7"/>
      <c r="M53" s="7"/>
      <c r="N53" s="7"/>
      <c r="O53" s="7"/>
      <c r="P53" s="7"/>
    </row>
    <row r="54" spans="1:16" x14ac:dyDescent="0.3">
      <c r="A54" s="7"/>
      <c r="B54" s="7"/>
      <c r="C54" s="7"/>
      <c r="D54" s="7"/>
      <c r="E54" s="7"/>
      <c r="F54" s="7"/>
      <c r="G54" s="7"/>
      <c r="H54" s="7"/>
      <c r="I54" s="7"/>
      <c r="J54" s="7"/>
      <c r="K54" s="7"/>
      <c r="L54" s="7"/>
      <c r="M54" s="7"/>
      <c r="N54" s="7"/>
      <c r="O54" s="7"/>
      <c r="P54" s="7"/>
    </row>
    <row r="55" spans="1:16" x14ac:dyDescent="0.3">
      <c r="A55" s="7"/>
      <c r="B55" s="7"/>
      <c r="C55" s="7"/>
      <c r="D55" s="7"/>
      <c r="E55" s="7"/>
      <c r="F55" s="7"/>
      <c r="G55" s="7"/>
      <c r="H55" s="7"/>
      <c r="I55" s="7"/>
      <c r="J55" s="7"/>
      <c r="K55" s="7"/>
      <c r="L55" s="7"/>
      <c r="M55" s="7"/>
      <c r="N55" s="7"/>
      <c r="O55" s="7"/>
      <c r="P55" s="7"/>
    </row>
    <row r="56" spans="1:16" x14ac:dyDescent="0.3">
      <c r="A56" s="7"/>
      <c r="B56" s="7"/>
      <c r="C56" s="7"/>
      <c r="D56" s="7"/>
      <c r="E56" s="7"/>
      <c r="F56" s="7"/>
      <c r="G56" s="7"/>
      <c r="H56" s="7"/>
      <c r="I56" s="7"/>
      <c r="J56" s="7"/>
      <c r="K56" s="7"/>
      <c r="L56" s="7"/>
      <c r="M56" s="7"/>
      <c r="N56" s="7"/>
      <c r="O56" s="7"/>
      <c r="P56" s="7"/>
    </row>
    <row r="57" spans="1:16" x14ac:dyDescent="0.3">
      <c r="A57" s="7"/>
      <c r="B57" s="7"/>
      <c r="C57" s="7"/>
      <c r="D57" s="7"/>
      <c r="E57" s="7"/>
      <c r="F57" s="7"/>
      <c r="G57" s="7"/>
      <c r="H57" s="7"/>
      <c r="I57" s="7"/>
      <c r="J57" s="7"/>
      <c r="K57" s="7"/>
      <c r="L57" s="7"/>
      <c r="M57" s="7"/>
      <c r="N57" s="7"/>
      <c r="O57" s="7"/>
      <c r="P57" s="7"/>
    </row>
    <row r="58" spans="1:16" x14ac:dyDescent="0.3">
      <c r="A58" s="7"/>
      <c r="B58" s="7"/>
      <c r="C58" s="7"/>
      <c r="D58" s="7"/>
      <c r="E58" s="7"/>
      <c r="F58" s="7"/>
      <c r="G58" s="7"/>
      <c r="H58" s="7"/>
      <c r="I58" s="7"/>
      <c r="J58" s="7"/>
      <c r="K58" s="7"/>
      <c r="L58" s="7"/>
      <c r="M58" s="7"/>
      <c r="N58" s="7"/>
      <c r="O58" s="7"/>
      <c r="P58" s="7"/>
    </row>
    <row r="59" spans="1:16" x14ac:dyDescent="0.3">
      <c r="A59" s="7"/>
      <c r="B59" s="7"/>
      <c r="C59" s="7"/>
      <c r="D59" s="8"/>
      <c r="E59" s="8"/>
      <c r="F59" s="7"/>
      <c r="G59" s="8"/>
      <c r="H59" s="7"/>
      <c r="I59" s="7"/>
      <c r="J59" s="8"/>
      <c r="K59" s="7"/>
      <c r="L59" s="8"/>
      <c r="M59" s="7"/>
      <c r="N59" s="9"/>
      <c r="O59" s="7"/>
      <c r="P59" s="8"/>
    </row>
    <row r="60" spans="1:16" x14ac:dyDescent="0.3">
      <c r="A60" s="7"/>
      <c r="B60" s="7"/>
      <c r="C60" s="7"/>
      <c r="D60" s="7"/>
      <c r="E60" s="7"/>
      <c r="F60" s="7"/>
      <c r="G60" s="7"/>
      <c r="H60" s="7"/>
      <c r="I60" s="7"/>
      <c r="J60" s="7"/>
      <c r="K60" s="7"/>
      <c r="L60" s="7"/>
      <c r="M60" s="7"/>
      <c r="N60" s="7"/>
      <c r="O60" s="7"/>
      <c r="P60" s="7"/>
    </row>
    <row r="61" spans="1:16" x14ac:dyDescent="0.3">
      <c r="A61" s="7"/>
      <c r="B61" s="7"/>
      <c r="C61" s="7"/>
      <c r="D61" s="8"/>
      <c r="E61" s="8"/>
      <c r="F61" s="7"/>
      <c r="G61" s="8"/>
      <c r="H61" s="7"/>
      <c r="I61" s="7"/>
      <c r="J61" s="8"/>
      <c r="K61" s="7"/>
      <c r="L61" s="8"/>
      <c r="M61" s="7"/>
      <c r="N61" s="9"/>
      <c r="O61" s="7"/>
      <c r="P61" s="8"/>
    </row>
  </sheetData>
  <mergeCells count="2">
    <mergeCell ref="A1:F1"/>
    <mergeCell ref="A2:F2"/>
  </mergeCells>
  <pageMargins left="0.7" right="0.7" top="0.75" bottom="0.75" header="0.511811023622047" footer="0.511811023622047"/>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M54"/>
  <sheetViews>
    <sheetView showGridLines="0" zoomScaleNormal="100" workbookViewId="0">
      <selection activeCell="I38" sqref="I38"/>
    </sheetView>
  </sheetViews>
  <sheetFormatPr defaultColWidth="8.6640625" defaultRowHeight="14.4" x14ac:dyDescent="0.3"/>
  <cols>
    <col min="1" max="1" width="8" style="1" customWidth="1"/>
    <col min="2" max="2" width="52" style="1" customWidth="1"/>
    <col min="3" max="3" width="18" style="1" customWidth="1"/>
    <col min="4" max="4" width="14" style="1" customWidth="1"/>
    <col min="5" max="5" width="18" style="1" customWidth="1"/>
    <col min="6" max="6" width="14" style="1" customWidth="1"/>
    <col min="7" max="7" width="7.5546875" style="1" customWidth="1"/>
    <col min="9" max="9" width="11.88671875" style="1" customWidth="1"/>
    <col min="10" max="10" width="9" style="1" customWidth="1"/>
    <col min="11" max="13" width="8.109375" style="1" customWidth="1"/>
  </cols>
  <sheetData>
    <row r="1" spans="1:13" ht="21.75" customHeight="1" x14ac:dyDescent="0.3">
      <c r="A1" s="226" t="s">
        <v>71</v>
      </c>
      <c r="B1" s="226"/>
      <c r="C1" s="226"/>
      <c r="D1" s="226"/>
      <c r="E1" s="226"/>
      <c r="F1" s="226"/>
      <c r="G1" s="7"/>
      <c r="H1" s="7"/>
      <c r="I1" s="7"/>
      <c r="J1" s="7"/>
      <c r="K1" s="7"/>
      <c r="L1" s="7"/>
      <c r="M1" s="7"/>
    </row>
    <row r="2" spans="1:13" ht="18" customHeight="1" x14ac:dyDescent="0.3">
      <c r="A2" s="227" t="s">
        <v>109</v>
      </c>
      <c r="B2" s="227"/>
      <c r="C2" s="227"/>
      <c r="D2" s="227"/>
      <c r="E2" s="227"/>
      <c r="F2" s="227"/>
      <c r="G2" s="7"/>
      <c r="H2" s="7"/>
      <c r="I2" s="7"/>
      <c r="J2" s="7"/>
      <c r="K2" s="7"/>
      <c r="L2" s="7"/>
      <c r="M2" s="7"/>
    </row>
    <row r="3" spans="1:13" ht="30.75" customHeight="1" x14ac:dyDescent="0.3">
      <c r="A3" s="7"/>
      <c r="B3" s="7"/>
      <c r="C3" s="7"/>
      <c r="D3" s="7"/>
      <c r="E3" s="7"/>
      <c r="F3" s="7"/>
      <c r="G3" s="7"/>
      <c r="H3" s="7"/>
      <c r="I3" s="7"/>
      <c r="J3" s="7"/>
      <c r="K3" s="7"/>
      <c r="L3" s="7"/>
      <c r="M3" s="7"/>
    </row>
    <row r="4" spans="1:13" ht="31.5" customHeight="1" x14ac:dyDescent="0.3">
      <c r="A4" s="228" t="s">
        <v>73</v>
      </c>
      <c r="B4" s="228" t="s">
        <v>74</v>
      </c>
      <c r="C4" s="228" t="s">
        <v>75</v>
      </c>
      <c r="D4" s="228" t="s">
        <v>76</v>
      </c>
      <c r="E4" s="228" t="s">
        <v>77</v>
      </c>
      <c r="F4" s="228" t="s">
        <v>78</v>
      </c>
      <c r="G4" s="7"/>
      <c r="H4" s="7"/>
      <c r="I4" s="7"/>
      <c r="J4" s="7"/>
      <c r="K4" s="7"/>
      <c r="L4" s="7"/>
      <c r="M4" s="7"/>
    </row>
    <row r="5" spans="1:13" ht="30.75" customHeight="1" x14ac:dyDescent="0.3">
      <c r="A5" s="224"/>
      <c r="B5" s="225" t="s">
        <v>110</v>
      </c>
      <c r="C5" s="229"/>
      <c r="D5" s="229"/>
      <c r="E5" s="231"/>
      <c r="F5" s="230"/>
      <c r="G5" s="7"/>
      <c r="H5" s="8"/>
      <c r="I5" s="7"/>
      <c r="J5" s="8"/>
      <c r="K5" s="7"/>
      <c r="L5" s="7"/>
      <c r="M5" s="7"/>
    </row>
    <row r="6" spans="1:13" ht="30.75" customHeight="1" x14ac:dyDescent="0.3">
      <c r="A6" s="10">
        <v>1</v>
      </c>
      <c r="B6" s="11" t="s">
        <v>111</v>
      </c>
      <c r="C6" s="17"/>
      <c r="D6" s="12">
        <v>31</v>
      </c>
      <c r="E6" s="13">
        <v>44145863</v>
      </c>
      <c r="F6" s="14">
        <v>6.7699999999999996E-2</v>
      </c>
      <c r="G6" s="7"/>
      <c r="H6" s="8"/>
      <c r="I6" s="7"/>
      <c r="J6" s="8"/>
      <c r="K6" s="7"/>
      <c r="L6" s="7"/>
      <c r="M6" s="7"/>
    </row>
    <row r="7" spans="1:13" ht="46.5" customHeight="1" x14ac:dyDescent="0.3">
      <c r="A7" s="10">
        <v>2</v>
      </c>
      <c r="B7" s="11" t="s">
        <v>112</v>
      </c>
      <c r="C7" s="17"/>
      <c r="D7" s="12">
        <v>1</v>
      </c>
      <c r="E7" s="13">
        <v>7649262</v>
      </c>
      <c r="F7" s="14">
        <v>1.17E-2</v>
      </c>
      <c r="G7" s="7"/>
      <c r="H7" s="8"/>
      <c r="I7" s="7"/>
      <c r="J7" s="8"/>
      <c r="K7" s="7"/>
      <c r="L7" s="7"/>
      <c r="M7" s="7"/>
    </row>
    <row r="8" spans="1:13" ht="46.5" customHeight="1" x14ac:dyDescent="0.3">
      <c r="A8" s="10">
        <v>3</v>
      </c>
      <c r="B8" s="11" t="s">
        <v>113</v>
      </c>
      <c r="C8" s="10"/>
      <c r="D8" s="12">
        <v>1</v>
      </c>
      <c r="E8" s="13">
        <v>17233956</v>
      </c>
      <c r="F8" s="14">
        <v>2.64E-2</v>
      </c>
      <c r="G8" s="7"/>
      <c r="H8" s="7"/>
      <c r="I8" s="7"/>
      <c r="J8" s="7"/>
      <c r="K8" s="7"/>
      <c r="L8" s="7"/>
      <c r="M8" s="7"/>
    </row>
    <row r="9" spans="1:13" ht="46.5" customHeight="1" x14ac:dyDescent="0.3">
      <c r="A9" s="10">
        <v>4</v>
      </c>
      <c r="B9" s="11" t="s">
        <v>114</v>
      </c>
      <c r="C9" s="17"/>
      <c r="D9" s="12">
        <v>20</v>
      </c>
      <c r="E9" s="13">
        <v>440082</v>
      </c>
      <c r="F9" s="14">
        <v>6.9999999999999999E-4</v>
      </c>
      <c r="G9" s="7"/>
      <c r="H9" s="8"/>
      <c r="I9" s="7"/>
      <c r="J9" s="8"/>
      <c r="K9" s="7"/>
      <c r="L9" s="7"/>
      <c r="M9" s="7"/>
    </row>
    <row r="10" spans="1:13" ht="15" customHeight="1" x14ac:dyDescent="0.3">
      <c r="A10" s="10">
        <v>5</v>
      </c>
      <c r="B10" s="11" t="s">
        <v>115</v>
      </c>
      <c r="C10" s="17"/>
      <c r="D10" s="12">
        <v>2</v>
      </c>
      <c r="E10" s="13">
        <v>14980</v>
      </c>
      <c r="F10" s="14">
        <v>0</v>
      </c>
      <c r="G10" s="7"/>
      <c r="H10" s="8"/>
      <c r="I10" s="7"/>
      <c r="J10" s="8"/>
      <c r="K10" s="7"/>
      <c r="L10" s="7"/>
      <c r="M10" s="7"/>
    </row>
    <row r="11" spans="1:13" ht="62.25" customHeight="1" x14ac:dyDescent="0.3">
      <c r="A11" s="10">
        <v>6</v>
      </c>
      <c r="B11" s="11" t="s">
        <v>116</v>
      </c>
      <c r="C11" s="17"/>
      <c r="D11" s="12">
        <v>18</v>
      </c>
      <c r="E11" s="13">
        <v>3051484</v>
      </c>
      <c r="F11" s="14">
        <v>4.7000000000000002E-3</v>
      </c>
      <c r="G11" s="7"/>
      <c r="H11" s="8"/>
      <c r="I11" s="7"/>
      <c r="J11" s="8"/>
      <c r="K11" s="7"/>
      <c r="L11" s="7"/>
      <c r="M11" s="7"/>
    </row>
    <row r="12" spans="1:13" ht="62.25" customHeight="1" x14ac:dyDescent="0.3">
      <c r="A12" s="10">
        <v>7</v>
      </c>
      <c r="B12" s="11" t="s">
        <v>117</v>
      </c>
      <c r="C12" s="17"/>
      <c r="D12" s="12">
        <v>1</v>
      </c>
      <c r="E12" s="13">
        <v>9543229</v>
      </c>
      <c r="F12" s="14">
        <v>1.46E-2</v>
      </c>
      <c r="G12" s="7"/>
      <c r="H12" s="8"/>
      <c r="I12" s="7"/>
      <c r="J12" s="8"/>
      <c r="K12" s="7"/>
      <c r="L12" s="7"/>
      <c r="M12" s="7"/>
    </row>
    <row r="13" spans="1:13" ht="93" customHeight="1" x14ac:dyDescent="0.3">
      <c r="A13" s="10">
        <v>8</v>
      </c>
      <c r="B13" s="11" t="s">
        <v>118</v>
      </c>
      <c r="C13" s="17"/>
      <c r="D13" s="12">
        <v>1</v>
      </c>
      <c r="E13" s="13">
        <v>9543229</v>
      </c>
      <c r="F13" s="14">
        <v>1.46E-2</v>
      </c>
      <c r="G13" s="7"/>
      <c r="H13" s="8"/>
      <c r="I13" s="7"/>
      <c r="J13" s="8"/>
      <c r="K13" s="7"/>
      <c r="L13" s="7"/>
      <c r="M13" s="7"/>
    </row>
    <row r="14" spans="1:13" ht="78" customHeight="1" x14ac:dyDescent="0.3">
      <c r="A14" s="10">
        <v>9</v>
      </c>
      <c r="B14" s="11" t="s">
        <v>119</v>
      </c>
      <c r="C14" s="10"/>
      <c r="D14" s="12">
        <v>2</v>
      </c>
      <c r="E14" s="13">
        <v>480228</v>
      </c>
      <c r="F14" s="14">
        <v>6.9999999999999999E-4</v>
      </c>
      <c r="G14" s="7"/>
      <c r="H14" s="7"/>
      <c r="I14" s="7"/>
      <c r="J14" s="7"/>
      <c r="K14" s="7"/>
      <c r="L14" s="7"/>
      <c r="M14" s="7"/>
    </row>
    <row r="15" spans="1:13" ht="46.5" customHeight="1" x14ac:dyDescent="0.3">
      <c r="A15" s="10">
        <v>10</v>
      </c>
      <c r="B15" s="11" t="s">
        <v>120</v>
      </c>
      <c r="C15" s="17"/>
      <c r="D15" s="12">
        <v>3</v>
      </c>
      <c r="E15" s="13">
        <v>867</v>
      </c>
      <c r="F15" s="14">
        <v>0</v>
      </c>
      <c r="G15" s="7"/>
      <c r="H15" s="8"/>
      <c r="I15" s="7"/>
      <c r="J15" s="8"/>
      <c r="K15" s="7"/>
      <c r="L15" s="7"/>
      <c r="M15" s="7"/>
    </row>
    <row r="16" spans="1:13" ht="46.5" customHeight="1" x14ac:dyDescent="0.3">
      <c r="A16" s="219"/>
      <c r="B16" s="220" t="s">
        <v>121</v>
      </c>
      <c r="C16" s="219"/>
      <c r="D16" s="221">
        <v>77</v>
      </c>
      <c r="E16" s="222">
        <v>57676733</v>
      </c>
      <c r="F16" s="223">
        <v>8.8499999999999995E-2</v>
      </c>
      <c r="G16" s="7"/>
      <c r="H16" s="7"/>
      <c r="I16" s="7"/>
      <c r="J16" s="7"/>
      <c r="K16" s="7"/>
      <c r="L16" s="7"/>
      <c r="M16" s="7"/>
    </row>
    <row r="17" spans="1:13" ht="62.25" customHeight="1" x14ac:dyDescent="0.3">
      <c r="A17" s="224"/>
      <c r="B17" s="225" t="s">
        <v>122</v>
      </c>
      <c r="C17" s="224"/>
      <c r="D17" s="224"/>
      <c r="E17" s="231"/>
      <c r="F17" s="231"/>
      <c r="G17" s="7"/>
      <c r="H17" s="7"/>
      <c r="I17" s="7"/>
      <c r="J17" s="7"/>
      <c r="K17" s="7"/>
      <c r="L17" s="7"/>
      <c r="M17" s="7"/>
    </row>
    <row r="18" spans="1:13" ht="78" customHeight="1" x14ac:dyDescent="0.3">
      <c r="A18" s="10">
        <v>11</v>
      </c>
      <c r="B18" s="11" t="s">
        <v>123</v>
      </c>
      <c r="C18" s="10"/>
      <c r="D18" s="12">
        <v>577</v>
      </c>
      <c r="E18" s="13">
        <v>57161995</v>
      </c>
      <c r="F18" s="14">
        <v>8.77E-2</v>
      </c>
      <c r="G18" s="7"/>
      <c r="H18" s="7"/>
      <c r="I18" s="7"/>
      <c r="J18" s="7"/>
      <c r="K18" s="7"/>
      <c r="L18" s="7"/>
      <c r="M18" s="7"/>
    </row>
    <row r="19" spans="1:13" ht="30.75" customHeight="1" x14ac:dyDescent="0.3">
      <c r="A19" s="10">
        <v>12</v>
      </c>
      <c r="B19" s="11" t="s">
        <v>124</v>
      </c>
      <c r="C19" s="17"/>
      <c r="D19" s="12">
        <v>30</v>
      </c>
      <c r="E19" s="13">
        <v>1506574</v>
      </c>
      <c r="F19" s="14">
        <v>2.3E-3</v>
      </c>
      <c r="G19" s="7"/>
      <c r="H19" s="8"/>
      <c r="I19" s="7"/>
      <c r="J19" s="8"/>
      <c r="K19" s="7"/>
      <c r="L19" s="7"/>
      <c r="M19" s="7"/>
    </row>
    <row r="20" spans="1:13" ht="62.25" customHeight="1" x14ac:dyDescent="0.3">
      <c r="A20" s="219"/>
      <c r="B20" s="220" t="s">
        <v>125</v>
      </c>
      <c r="C20" s="219"/>
      <c r="D20" s="221">
        <v>607</v>
      </c>
      <c r="E20" s="222">
        <v>58668569</v>
      </c>
      <c r="F20" s="223">
        <v>0.09</v>
      </c>
      <c r="G20" s="7"/>
      <c r="H20" s="7"/>
      <c r="I20" s="7"/>
      <c r="J20" s="7"/>
      <c r="K20" s="7"/>
      <c r="L20" s="7"/>
      <c r="M20" s="7"/>
    </row>
    <row r="21" spans="1:13" ht="62.25" customHeight="1" x14ac:dyDescent="0.3">
      <c r="A21" s="224"/>
      <c r="B21" s="225" t="s">
        <v>126</v>
      </c>
      <c r="C21" s="224"/>
      <c r="D21" s="224"/>
      <c r="E21" s="231"/>
      <c r="F21" s="231"/>
      <c r="G21" s="7"/>
      <c r="H21" s="7"/>
      <c r="I21" s="7"/>
      <c r="J21" s="7"/>
      <c r="K21" s="7"/>
      <c r="L21" s="7"/>
      <c r="M21" s="7"/>
    </row>
    <row r="22" spans="1:13" ht="62.25" customHeight="1" x14ac:dyDescent="0.3">
      <c r="A22" s="10">
        <v>13</v>
      </c>
      <c r="B22" s="11" t="s">
        <v>127</v>
      </c>
      <c r="C22" s="10"/>
      <c r="D22" s="12">
        <v>3</v>
      </c>
      <c r="E22" s="13">
        <v>14847</v>
      </c>
      <c r="F22" s="14">
        <v>0</v>
      </c>
      <c r="G22" s="7"/>
      <c r="H22" s="7"/>
      <c r="I22" s="7"/>
      <c r="J22" s="7"/>
      <c r="K22" s="7"/>
      <c r="L22" s="7"/>
      <c r="M22" s="7"/>
    </row>
    <row r="23" spans="1:13" ht="46.5" customHeight="1" x14ac:dyDescent="0.3">
      <c r="A23" s="219"/>
      <c r="B23" s="220" t="s">
        <v>128</v>
      </c>
      <c r="C23" s="219"/>
      <c r="D23" s="221">
        <v>3</v>
      </c>
      <c r="E23" s="222">
        <v>14847</v>
      </c>
      <c r="F23" s="223">
        <v>0</v>
      </c>
      <c r="G23" s="7"/>
      <c r="H23" s="7"/>
      <c r="I23" s="7"/>
      <c r="J23" s="7"/>
      <c r="K23" s="7"/>
      <c r="L23" s="7"/>
      <c r="M23" s="7"/>
    </row>
    <row r="24" spans="1:13" ht="78" customHeight="1" x14ac:dyDescent="0.3">
      <c r="A24" s="224"/>
      <c r="B24" s="225" t="s">
        <v>129</v>
      </c>
      <c r="C24" s="229"/>
      <c r="D24" s="229"/>
      <c r="E24" s="231"/>
      <c r="F24" s="230"/>
      <c r="G24" s="7"/>
      <c r="H24" s="8"/>
      <c r="I24" s="7"/>
      <c r="J24" s="8"/>
      <c r="K24" s="7"/>
      <c r="L24" s="7"/>
      <c r="M24" s="7"/>
    </row>
    <row r="25" spans="1:13" ht="78" customHeight="1" x14ac:dyDescent="0.3">
      <c r="A25" s="10">
        <v>14</v>
      </c>
      <c r="B25" s="11" t="s">
        <v>130</v>
      </c>
      <c r="C25" s="17"/>
      <c r="D25" s="12">
        <v>12</v>
      </c>
      <c r="E25" s="13">
        <v>4196494</v>
      </c>
      <c r="F25" s="14">
        <v>6.4000000000000003E-3</v>
      </c>
      <c r="G25" s="7"/>
      <c r="H25" s="8"/>
      <c r="I25" s="7"/>
      <c r="J25" s="8"/>
      <c r="K25" s="7"/>
      <c r="L25" s="7"/>
      <c r="M25" s="7"/>
    </row>
    <row r="26" spans="1:13" ht="124.5" customHeight="1" x14ac:dyDescent="0.3">
      <c r="A26" s="10">
        <v>15</v>
      </c>
      <c r="B26" s="11" t="s">
        <v>131</v>
      </c>
      <c r="C26" s="10"/>
      <c r="D26" s="12">
        <v>2</v>
      </c>
      <c r="E26" s="13">
        <v>94372</v>
      </c>
      <c r="F26" s="14">
        <v>1E-4</v>
      </c>
      <c r="G26" s="7"/>
      <c r="H26" s="7"/>
      <c r="I26" s="7"/>
      <c r="J26" s="7"/>
      <c r="K26" s="7"/>
      <c r="L26" s="7"/>
      <c r="M26" s="7"/>
    </row>
    <row r="27" spans="1:13" ht="78" customHeight="1" x14ac:dyDescent="0.3">
      <c r="A27" s="10">
        <v>16</v>
      </c>
      <c r="B27" s="11" t="s">
        <v>132</v>
      </c>
      <c r="C27" s="10"/>
      <c r="D27" s="12">
        <v>3</v>
      </c>
      <c r="E27" s="13">
        <v>750000</v>
      </c>
      <c r="F27" s="14">
        <v>1.1999999999999999E-3</v>
      </c>
      <c r="G27" s="7"/>
      <c r="H27" s="7"/>
      <c r="I27" s="7"/>
      <c r="J27" s="7"/>
      <c r="K27" s="7"/>
      <c r="L27" s="7"/>
      <c r="M27" s="7"/>
    </row>
    <row r="28" spans="1:13" ht="30.75" customHeight="1" x14ac:dyDescent="0.3">
      <c r="A28" s="10">
        <v>17</v>
      </c>
      <c r="B28" s="11" t="s">
        <v>133</v>
      </c>
      <c r="C28" s="17"/>
      <c r="D28" s="12">
        <v>552567</v>
      </c>
      <c r="E28" s="13">
        <v>17765451</v>
      </c>
      <c r="F28" s="14">
        <v>2.7199999999999998E-2</v>
      </c>
      <c r="G28" s="7"/>
      <c r="H28" s="8"/>
      <c r="I28" s="7"/>
      <c r="J28" s="8"/>
      <c r="K28" s="7"/>
      <c r="L28" s="7"/>
      <c r="M28" s="7"/>
    </row>
    <row r="29" spans="1:13" ht="140.25" customHeight="1" x14ac:dyDescent="0.3">
      <c r="A29" s="10">
        <v>18</v>
      </c>
      <c r="B29" s="11" t="s">
        <v>134</v>
      </c>
      <c r="C29" s="10"/>
      <c r="D29" s="12">
        <v>169</v>
      </c>
      <c r="E29" s="13">
        <v>24047555</v>
      </c>
      <c r="F29" s="14">
        <v>3.6900000000000002E-2</v>
      </c>
      <c r="G29" s="7"/>
      <c r="H29" s="7"/>
      <c r="I29" s="7"/>
      <c r="J29" s="7"/>
      <c r="K29" s="7"/>
      <c r="L29" s="7"/>
      <c r="M29" s="7"/>
    </row>
    <row r="30" spans="1:13" ht="78" customHeight="1" x14ac:dyDescent="0.3">
      <c r="A30" s="10">
        <v>19</v>
      </c>
      <c r="B30" s="11" t="s">
        <v>135</v>
      </c>
      <c r="C30" s="17"/>
      <c r="D30" s="12">
        <v>1</v>
      </c>
      <c r="E30" s="13">
        <v>12542572</v>
      </c>
      <c r="F30" s="14">
        <v>1.9199999999999998E-2</v>
      </c>
      <c r="G30" s="7"/>
      <c r="H30" s="8"/>
      <c r="I30" s="7"/>
      <c r="J30" s="8"/>
      <c r="K30" s="7"/>
      <c r="L30" s="7"/>
      <c r="M30" s="7"/>
    </row>
    <row r="31" spans="1:13" ht="62.25" customHeight="1" x14ac:dyDescent="0.3">
      <c r="A31" s="10">
        <v>20</v>
      </c>
      <c r="B31" s="11" t="s">
        <v>136</v>
      </c>
      <c r="C31" s="10"/>
      <c r="D31" s="12">
        <v>11308</v>
      </c>
      <c r="E31" s="13">
        <v>706754</v>
      </c>
      <c r="F31" s="14">
        <v>1.1000000000000001E-3</v>
      </c>
      <c r="G31" s="7"/>
      <c r="H31" s="7"/>
      <c r="I31" s="7"/>
      <c r="J31" s="7"/>
      <c r="K31" s="7"/>
      <c r="L31" s="7"/>
      <c r="M31" s="7"/>
    </row>
    <row r="32" spans="1:13" ht="186.75" customHeight="1" x14ac:dyDescent="0.3">
      <c r="A32" s="10">
        <v>21</v>
      </c>
      <c r="B32" s="11" t="s">
        <v>137</v>
      </c>
      <c r="C32" s="10"/>
      <c r="D32" s="12">
        <v>1307</v>
      </c>
      <c r="E32" s="13">
        <v>896140</v>
      </c>
      <c r="F32" s="14">
        <v>1.4E-3</v>
      </c>
      <c r="G32" s="7"/>
      <c r="H32" s="7"/>
      <c r="I32" s="7"/>
      <c r="J32" s="7"/>
      <c r="K32" s="7"/>
      <c r="L32" s="7"/>
      <c r="M32" s="7"/>
    </row>
    <row r="33" spans="1:13" ht="30.75" customHeight="1" x14ac:dyDescent="0.3">
      <c r="A33" s="10">
        <v>22</v>
      </c>
      <c r="B33" s="11" t="s">
        <v>138</v>
      </c>
      <c r="C33" s="17"/>
      <c r="D33" s="12">
        <v>7694</v>
      </c>
      <c r="E33" s="13">
        <v>1345952</v>
      </c>
      <c r="F33" s="14">
        <v>2.0999999999999999E-3</v>
      </c>
      <c r="G33" s="7"/>
      <c r="H33" s="8"/>
      <c r="I33" s="7"/>
      <c r="J33" s="8"/>
      <c r="K33" s="7"/>
      <c r="L33" s="7"/>
      <c r="M33" s="7"/>
    </row>
    <row r="34" spans="1:13" ht="46.5" customHeight="1" x14ac:dyDescent="0.3">
      <c r="A34" s="10">
        <v>23</v>
      </c>
      <c r="B34" s="11" t="s">
        <v>139</v>
      </c>
      <c r="C34" s="10"/>
      <c r="D34" s="12">
        <v>14</v>
      </c>
      <c r="E34" s="13">
        <v>3956</v>
      </c>
      <c r="F34" s="14">
        <v>0</v>
      </c>
      <c r="G34" s="7"/>
      <c r="H34" s="7"/>
      <c r="I34" s="7"/>
      <c r="J34" s="7"/>
      <c r="K34" s="7"/>
      <c r="L34" s="7"/>
      <c r="M34" s="7"/>
    </row>
    <row r="35" spans="1:13" ht="93" customHeight="1" x14ac:dyDescent="0.3">
      <c r="A35" s="10">
        <v>24</v>
      </c>
      <c r="B35" s="11" t="s">
        <v>140</v>
      </c>
      <c r="C35" s="10"/>
      <c r="D35" s="12">
        <v>167</v>
      </c>
      <c r="E35" s="13">
        <v>52859</v>
      </c>
      <c r="F35" s="14">
        <v>1E-4</v>
      </c>
      <c r="G35" s="7"/>
      <c r="H35" s="7"/>
      <c r="I35" s="7"/>
      <c r="J35" s="7"/>
      <c r="K35" s="7"/>
      <c r="L35" s="7"/>
      <c r="M35" s="7"/>
    </row>
    <row r="36" spans="1:13" ht="186.75" customHeight="1" x14ac:dyDescent="0.3">
      <c r="A36" s="10">
        <v>25</v>
      </c>
      <c r="B36" s="11" t="s">
        <v>141</v>
      </c>
      <c r="C36" s="17"/>
      <c r="D36" s="12">
        <v>7468</v>
      </c>
      <c r="E36" s="13">
        <v>478130</v>
      </c>
      <c r="F36" s="14">
        <v>6.9999999999999999E-4</v>
      </c>
      <c r="G36" s="7"/>
      <c r="H36" s="8"/>
      <c r="I36" s="7"/>
      <c r="J36" s="8"/>
      <c r="K36" s="7"/>
      <c r="L36" s="7"/>
      <c r="M36" s="7"/>
    </row>
    <row r="37" spans="1:13" ht="78" customHeight="1" x14ac:dyDescent="0.3">
      <c r="A37" s="10">
        <v>26</v>
      </c>
      <c r="B37" s="11" t="s">
        <v>142</v>
      </c>
      <c r="C37" s="17"/>
      <c r="D37" s="12">
        <v>45</v>
      </c>
      <c r="E37" s="13">
        <v>811007</v>
      </c>
      <c r="F37" s="14">
        <v>1.1999999999999999E-3</v>
      </c>
      <c r="G37" s="7"/>
      <c r="H37" s="8"/>
      <c r="I37" s="7"/>
      <c r="J37" s="8"/>
      <c r="K37" s="7"/>
      <c r="L37" s="7"/>
      <c r="M37" s="7"/>
    </row>
    <row r="38" spans="1:13" ht="296.25" customHeight="1" x14ac:dyDescent="0.3">
      <c r="A38" s="219"/>
      <c r="B38" s="220" t="s">
        <v>143</v>
      </c>
      <c r="C38" s="255"/>
      <c r="D38" s="221">
        <v>573062</v>
      </c>
      <c r="E38" s="222">
        <v>49802718</v>
      </c>
      <c r="F38" s="223">
        <v>7.6399999999999996E-2</v>
      </c>
      <c r="G38" s="7"/>
      <c r="H38" s="8"/>
      <c r="I38" s="7"/>
      <c r="J38" s="8"/>
      <c r="K38" s="7"/>
      <c r="L38" s="7"/>
      <c r="M38" s="7"/>
    </row>
    <row r="39" spans="1:13" ht="264.75" customHeight="1" x14ac:dyDescent="0.3">
      <c r="A39" s="219"/>
      <c r="B39" s="220" t="s">
        <v>144</v>
      </c>
      <c r="C39" s="219"/>
      <c r="D39" s="221">
        <v>573749</v>
      </c>
      <c r="E39" s="222">
        <v>166162867</v>
      </c>
      <c r="F39" s="223">
        <v>0.25490000000000002</v>
      </c>
      <c r="G39" s="7"/>
      <c r="H39" s="7"/>
      <c r="I39" s="7"/>
      <c r="J39" s="7"/>
      <c r="K39" s="7"/>
      <c r="L39" s="7"/>
      <c r="M39" s="7"/>
    </row>
    <row r="40" spans="1:13" ht="93" customHeight="1" x14ac:dyDescent="0.3">
      <c r="A40" s="7"/>
      <c r="B40" s="7"/>
      <c r="C40" s="7"/>
      <c r="D40" s="7"/>
      <c r="E40" s="7"/>
      <c r="F40" s="7"/>
      <c r="G40" s="7"/>
      <c r="H40" s="7"/>
      <c r="I40" s="7"/>
      <c r="J40" s="7"/>
      <c r="K40" s="7"/>
      <c r="L40" s="7"/>
      <c r="M40" s="7"/>
    </row>
    <row r="41" spans="1:13" ht="124.5" customHeight="1" x14ac:dyDescent="0.3">
      <c r="A41" s="15" t="s">
        <v>108</v>
      </c>
      <c r="B41" s="8"/>
      <c r="C41" s="8"/>
      <c r="D41" s="8"/>
      <c r="E41" s="7"/>
      <c r="F41" s="8"/>
      <c r="G41" s="7"/>
      <c r="H41" s="8"/>
      <c r="I41" s="7"/>
      <c r="J41" s="8"/>
      <c r="K41" s="7"/>
      <c r="L41" s="7"/>
      <c r="M41" s="7"/>
    </row>
    <row r="42" spans="1:13" ht="140.25" customHeight="1" x14ac:dyDescent="0.3">
      <c r="A42" s="16" t="s">
        <v>145</v>
      </c>
      <c r="B42" s="7"/>
      <c r="C42" s="8"/>
      <c r="D42" s="8"/>
      <c r="E42" s="7"/>
      <c r="F42" s="8"/>
      <c r="G42" s="7"/>
      <c r="H42" s="8"/>
      <c r="I42" s="7"/>
      <c r="J42" s="8"/>
      <c r="K42" s="7"/>
      <c r="L42" s="7"/>
      <c r="M42" s="7"/>
    </row>
    <row r="43" spans="1:13" ht="46.5" customHeight="1" x14ac:dyDescent="0.3">
      <c r="A43" s="16" t="s">
        <v>146</v>
      </c>
      <c r="B43" s="7"/>
      <c r="C43" s="8"/>
      <c r="D43" s="8"/>
      <c r="E43" s="7"/>
      <c r="F43" s="8"/>
      <c r="G43" s="7"/>
      <c r="H43" s="8"/>
      <c r="I43" s="7"/>
      <c r="J43" s="8"/>
      <c r="K43" s="7"/>
      <c r="L43" s="7"/>
      <c r="M43" s="7"/>
    </row>
    <row r="44" spans="1:13" ht="62.25" customHeight="1" x14ac:dyDescent="0.3">
      <c r="A44" s="16" t="s">
        <v>147</v>
      </c>
      <c r="B44" s="8"/>
      <c r="C44" s="8"/>
      <c r="D44" s="8"/>
      <c r="E44" s="7"/>
      <c r="F44" s="8"/>
      <c r="G44" s="7"/>
      <c r="H44" s="8"/>
      <c r="I44" s="7"/>
      <c r="J44" s="8"/>
      <c r="K44" s="7"/>
      <c r="L44" s="7"/>
      <c r="M44" s="7"/>
    </row>
    <row r="45" spans="1:13" ht="30.75" customHeight="1" x14ac:dyDescent="0.3">
      <c r="A45" s="7"/>
      <c r="B45" s="7"/>
      <c r="C45" s="7"/>
      <c r="D45" s="7"/>
      <c r="E45" s="7"/>
      <c r="F45" s="7"/>
      <c r="G45" s="7"/>
      <c r="H45" s="7"/>
      <c r="I45" s="7"/>
      <c r="J45" s="7"/>
      <c r="K45" s="7"/>
      <c r="L45" s="7"/>
      <c r="M45" s="7"/>
    </row>
    <row r="46" spans="1:13" ht="46.5" customHeight="1" x14ac:dyDescent="0.3">
      <c r="A46" s="7"/>
      <c r="B46" s="7"/>
      <c r="C46" s="7"/>
      <c r="D46" s="7"/>
      <c r="E46" s="7"/>
      <c r="F46" s="7"/>
      <c r="G46" s="7"/>
      <c r="H46" s="7"/>
      <c r="I46" s="7"/>
      <c r="J46" s="7"/>
      <c r="K46" s="7"/>
      <c r="L46" s="7"/>
      <c r="M46" s="7"/>
    </row>
    <row r="47" spans="1:13" ht="46.5" customHeight="1" x14ac:dyDescent="0.3">
      <c r="A47" s="7"/>
      <c r="B47" s="8"/>
      <c r="C47" s="8"/>
      <c r="D47" s="8"/>
      <c r="E47" s="7"/>
      <c r="F47" s="8"/>
      <c r="G47" s="7"/>
      <c r="H47" s="8"/>
      <c r="I47" s="7"/>
      <c r="J47" s="8"/>
      <c r="K47" s="7"/>
      <c r="L47" s="7"/>
      <c r="M47" s="7"/>
    </row>
    <row r="48" spans="1:13" ht="46.5" customHeight="1" x14ac:dyDescent="0.3">
      <c r="A48" s="7"/>
      <c r="B48" s="8"/>
      <c r="C48" s="8"/>
      <c r="D48" s="8"/>
      <c r="E48" s="7"/>
      <c r="F48" s="8"/>
      <c r="G48" s="7"/>
      <c r="H48" s="8"/>
      <c r="I48" s="7"/>
      <c r="J48" s="8"/>
      <c r="K48" s="7"/>
      <c r="L48" s="7"/>
      <c r="M48" s="7"/>
    </row>
    <row r="49" spans="1:13" ht="15" customHeight="1" x14ac:dyDescent="0.3">
      <c r="A49" s="7"/>
      <c r="B49" s="7"/>
      <c r="C49" s="8"/>
      <c r="D49" s="8"/>
      <c r="E49" s="7"/>
      <c r="F49" s="8"/>
      <c r="G49" s="7"/>
      <c r="H49" s="8"/>
      <c r="I49" s="7"/>
      <c r="J49" s="8"/>
      <c r="K49" s="7"/>
      <c r="L49" s="7"/>
      <c r="M49" s="7"/>
    </row>
    <row r="50" spans="1:13" ht="15" customHeight="1" x14ac:dyDescent="0.3">
      <c r="A50" s="7"/>
      <c r="B50" s="7"/>
      <c r="C50" s="8"/>
      <c r="D50" s="8"/>
      <c r="E50" s="7"/>
      <c r="F50" s="8"/>
      <c r="G50" s="7"/>
      <c r="H50" s="8"/>
      <c r="I50" s="7"/>
      <c r="J50" s="8"/>
      <c r="K50" s="7"/>
      <c r="L50" s="7"/>
      <c r="M50" s="7"/>
    </row>
    <row r="51" spans="1:13" ht="15" customHeight="1" x14ac:dyDescent="0.3">
      <c r="A51" s="7"/>
      <c r="B51" s="8"/>
      <c r="C51" s="8"/>
      <c r="D51" s="8"/>
      <c r="E51" s="7"/>
      <c r="F51" s="8"/>
      <c r="G51" s="7"/>
      <c r="H51" s="8"/>
      <c r="I51" s="7"/>
      <c r="J51" s="8"/>
      <c r="K51" s="7"/>
      <c r="L51" s="7"/>
      <c r="M51" s="7"/>
    </row>
    <row r="52" spans="1:13" ht="30.75" customHeight="1" x14ac:dyDescent="0.3">
      <c r="A52" s="7"/>
      <c r="B52" s="7"/>
      <c r="C52" s="8"/>
      <c r="D52" s="8"/>
      <c r="E52" s="7"/>
      <c r="F52" s="8"/>
      <c r="G52" s="7"/>
      <c r="H52" s="8"/>
      <c r="I52" s="7"/>
      <c r="J52" s="8"/>
      <c r="K52" s="7"/>
      <c r="L52" s="7"/>
      <c r="M52" s="7"/>
    </row>
    <row r="53" spans="1:13" ht="30.75" customHeight="1" x14ac:dyDescent="0.3">
      <c r="A53" s="7"/>
      <c r="B53" s="8"/>
      <c r="C53" s="8"/>
      <c r="D53" s="8"/>
      <c r="E53" s="7"/>
      <c r="F53" s="8"/>
      <c r="G53" s="7"/>
      <c r="H53" s="8"/>
      <c r="I53" s="7"/>
      <c r="J53" s="8"/>
      <c r="K53" s="7"/>
      <c r="L53" s="7"/>
      <c r="M53" s="7"/>
    </row>
    <row r="54" spans="1:13" ht="30.75" customHeight="1" x14ac:dyDescent="0.3">
      <c r="A54" s="7"/>
      <c r="B54" s="8"/>
      <c r="C54" s="8"/>
      <c r="D54" s="8"/>
      <c r="E54" s="7"/>
      <c r="F54" s="8"/>
      <c r="G54" s="7"/>
      <c r="H54" s="8"/>
      <c r="I54" s="7"/>
      <c r="J54" s="8"/>
      <c r="K54" s="7"/>
      <c r="L54" s="7"/>
      <c r="M54" s="7"/>
    </row>
  </sheetData>
  <mergeCells count="2">
    <mergeCell ref="A1:F1"/>
    <mergeCell ref="A2:F2"/>
  </mergeCells>
  <pageMargins left="0.7" right="0.7" top="0.75" bottom="0.75" header="0.511811023622047" footer="0.511811023622047"/>
  <pageSetup paperSize="9" orientation="portrait"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F56"/>
  <sheetViews>
    <sheetView showGridLines="0" zoomScaleNormal="100" workbookViewId="0">
      <selection activeCell="A21" sqref="A21"/>
    </sheetView>
  </sheetViews>
  <sheetFormatPr defaultColWidth="8.6640625" defaultRowHeight="14.4" x14ac:dyDescent="0.3"/>
  <cols>
    <col min="1" max="1" width="45" style="1" customWidth="1"/>
    <col min="2" max="6" width="14" style="1" customWidth="1"/>
  </cols>
  <sheetData>
    <row r="1" spans="1:6" ht="14.25" customHeight="1" x14ac:dyDescent="0.3">
      <c r="A1" s="256" t="s">
        <v>148</v>
      </c>
      <c r="B1" s="256" t="s">
        <v>149</v>
      </c>
      <c r="C1" s="256" t="s">
        <v>150</v>
      </c>
      <c r="D1" s="256" t="s">
        <v>151</v>
      </c>
      <c r="E1" s="256" t="s">
        <v>152</v>
      </c>
      <c r="F1" s="256" t="s">
        <v>153</v>
      </c>
    </row>
    <row r="2" spans="1:6" ht="14.25" customHeight="1" x14ac:dyDescent="0.3">
      <c r="A2" s="256"/>
      <c r="B2" s="256" t="s">
        <v>154</v>
      </c>
      <c r="C2" s="256" t="s">
        <v>154</v>
      </c>
      <c r="D2" s="256" t="s">
        <v>154</v>
      </c>
      <c r="E2" s="256" t="s">
        <v>154</v>
      </c>
      <c r="F2" s="256" t="s">
        <v>154</v>
      </c>
    </row>
    <row r="3" spans="1:6" ht="14.25" customHeight="1" x14ac:dyDescent="0.3">
      <c r="A3" s="2"/>
      <c r="B3" s="2" t="s">
        <v>155</v>
      </c>
      <c r="C3" s="2" t="s">
        <v>155</v>
      </c>
      <c r="D3" s="2" t="s">
        <v>155</v>
      </c>
      <c r="E3" s="2" t="s">
        <v>155</v>
      </c>
      <c r="F3" s="2" t="s">
        <v>155</v>
      </c>
    </row>
    <row r="4" spans="1:6" ht="14.25" customHeight="1" x14ac:dyDescent="0.3">
      <c r="A4" s="18" t="s">
        <v>156</v>
      </c>
      <c r="B4" s="18"/>
      <c r="C4" s="18"/>
      <c r="D4" s="18"/>
      <c r="E4" s="18"/>
      <c r="F4" s="18"/>
    </row>
    <row r="5" spans="1:6" ht="14.25" customHeight="1" x14ac:dyDescent="0.3">
      <c r="A5" s="18" t="s">
        <v>157</v>
      </c>
      <c r="B5" s="18"/>
      <c r="C5" s="18"/>
      <c r="D5" s="18"/>
      <c r="E5" s="18"/>
      <c r="F5" s="18"/>
    </row>
    <row r="6" spans="1:6" ht="14.25" customHeight="1" x14ac:dyDescent="0.3">
      <c r="A6" s="2" t="s">
        <v>158</v>
      </c>
      <c r="B6" s="19">
        <v>647.77</v>
      </c>
      <c r="C6" s="19">
        <v>648.26</v>
      </c>
      <c r="D6" s="19">
        <v>650.73</v>
      </c>
      <c r="E6" s="19">
        <v>650.73</v>
      </c>
      <c r="F6" s="19">
        <v>651.96</v>
      </c>
    </row>
    <row r="7" spans="1:6" ht="14.25" customHeight="1" x14ac:dyDescent="0.3">
      <c r="A7" s="18" t="s">
        <v>159</v>
      </c>
      <c r="B7" s="20">
        <v>647.77</v>
      </c>
      <c r="C7" s="20">
        <v>648.26</v>
      </c>
      <c r="D7" s="20">
        <v>650.73</v>
      </c>
      <c r="E7" s="20">
        <v>650.73</v>
      </c>
      <c r="F7" s="20">
        <v>651.96</v>
      </c>
    </row>
    <row r="8" spans="1:6" ht="14.25" customHeight="1" x14ac:dyDescent="0.3">
      <c r="A8" s="2" t="s">
        <v>160</v>
      </c>
      <c r="B8" s="19">
        <v>12990.43</v>
      </c>
      <c r="C8" s="19">
        <v>15383.6</v>
      </c>
      <c r="D8" s="19">
        <v>18010.21</v>
      </c>
      <c r="E8" s="19">
        <v>20777.02</v>
      </c>
      <c r="F8" s="19">
        <v>23812.080000000002</v>
      </c>
    </row>
    <row r="9" spans="1:6" ht="14.25" customHeight="1" x14ac:dyDescent="0.3">
      <c r="A9" s="18" t="s">
        <v>161</v>
      </c>
      <c r="B9" s="20">
        <v>12990.43</v>
      </c>
      <c r="C9" s="20">
        <v>15383.6</v>
      </c>
      <c r="D9" s="20">
        <v>18010.21</v>
      </c>
      <c r="E9" s="20">
        <v>20777.02</v>
      </c>
      <c r="F9" s="20">
        <v>23812.080000000002</v>
      </c>
    </row>
    <row r="10" spans="1:6" ht="14.25" customHeight="1" x14ac:dyDescent="0.3">
      <c r="A10" s="2" t="s">
        <v>162</v>
      </c>
      <c r="B10" s="19">
        <v>39.44</v>
      </c>
      <c r="C10" s="19">
        <v>45.93</v>
      </c>
      <c r="D10" s="19">
        <v>36.880000000000003</v>
      </c>
      <c r="E10" s="19">
        <v>0</v>
      </c>
      <c r="F10" s="19">
        <v>0</v>
      </c>
    </row>
    <row r="11" spans="1:6" ht="14.25" customHeight="1" x14ac:dyDescent="0.3">
      <c r="A11" s="18" t="s">
        <v>163</v>
      </c>
      <c r="B11" s="20">
        <v>13677.64</v>
      </c>
      <c r="C11" s="20">
        <v>16077.79</v>
      </c>
      <c r="D11" s="20">
        <v>18697.82</v>
      </c>
      <c r="E11" s="20">
        <v>21427.75</v>
      </c>
      <c r="F11" s="20">
        <v>24464.04</v>
      </c>
    </row>
    <row r="12" spans="1:6" ht="14.25" customHeight="1" x14ac:dyDescent="0.3">
      <c r="A12" s="2" t="s">
        <v>164</v>
      </c>
      <c r="B12" s="19">
        <v>0</v>
      </c>
      <c r="C12" s="19">
        <v>0.91</v>
      </c>
      <c r="D12" s="19">
        <v>0</v>
      </c>
      <c r="E12" s="19">
        <v>0</v>
      </c>
      <c r="F12" s="19">
        <v>0</v>
      </c>
    </row>
    <row r="13" spans="1:6" ht="14.25" customHeight="1" x14ac:dyDescent="0.3">
      <c r="A13" s="2" t="s">
        <v>165</v>
      </c>
      <c r="B13" s="19">
        <v>0.25</v>
      </c>
      <c r="C13" s="19">
        <v>0.08</v>
      </c>
      <c r="D13" s="19">
        <v>-0.48</v>
      </c>
      <c r="E13" s="19">
        <v>-1.05</v>
      </c>
      <c r="F13" s="19">
        <v>-1.68</v>
      </c>
    </row>
    <row r="14" spans="1:6" ht="14.25" customHeight="1" x14ac:dyDescent="0.3">
      <c r="A14" s="2"/>
      <c r="B14" s="2"/>
      <c r="C14" s="2"/>
      <c r="D14" s="2"/>
      <c r="E14" s="2"/>
      <c r="F14" s="2"/>
    </row>
    <row r="15" spans="1:6" ht="14.25" customHeight="1" x14ac:dyDescent="0.3">
      <c r="A15" s="18" t="s">
        <v>166</v>
      </c>
      <c r="B15" s="18"/>
      <c r="C15" s="18"/>
      <c r="D15" s="18"/>
      <c r="E15" s="18"/>
      <c r="F15" s="18"/>
    </row>
    <row r="16" spans="1:6" ht="14.25" customHeight="1" x14ac:dyDescent="0.3">
      <c r="A16" s="2" t="s">
        <v>167</v>
      </c>
      <c r="B16" s="19">
        <v>0</v>
      </c>
      <c r="C16" s="19">
        <v>0</v>
      </c>
      <c r="D16" s="19">
        <v>0</v>
      </c>
      <c r="E16" s="19">
        <v>0</v>
      </c>
      <c r="F16" s="19">
        <v>1142.54</v>
      </c>
    </row>
    <row r="17" spans="1:6" ht="14.25" customHeight="1" x14ac:dyDescent="0.3">
      <c r="A17" s="2" t="s">
        <v>168</v>
      </c>
      <c r="B17" s="19">
        <v>64.03</v>
      </c>
      <c r="C17" s="19">
        <v>76.959999999999994</v>
      </c>
      <c r="D17" s="19">
        <v>91.93</v>
      </c>
      <c r="E17" s="19">
        <v>112.48</v>
      </c>
      <c r="F17" s="19">
        <v>121.86</v>
      </c>
    </row>
    <row r="18" spans="1:6" ht="14.25" customHeight="1" x14ac:dyDescent="0.3">
      <c r="A18" s="2" t="s">
        <v>169</v>
      </c>
      <c r="B18" s="19">
        <v>507.56</v>
      </c>
      <c r="C18" s="19">
        <v>477.13</v>
      </c>
      <c r="D18" s="19">
        <v>399.61</v>
      </c>
      <c r="E18" s="19">
        <v>556.28</v>
      </c>
      <c r="F18" s="19">
        <v>0.54</v>
      </c>
    </row>
    <row r="19" spans="1:6" ht="14.25" customHeight="1" x14ac:dyDescent="0.3">
      <c r="A19" s="2" t="s">
        <v>170</v>
      </c>
      <c r="B19" s="19">
        <v>4.87</v>
      </c>
      <c r="C19" s="19">
        <v>6.41</v>
      </c>
      <c r="D19" s="19">
        <v>9.18</v>
      </c>
      <c r="E19" s="19">
        <v>12.67</v>
      </c>
      <c r="F19" s="19">
        <v>14.7</v>
      </c>
    </row>
    <row r="20" spans="1:6" ht="14.25" customHeight="1" x14ac:dyDescent="0.3">
      <c r="A20" s="18" t="s">
        <v>171</v>
      </c>
      <c r="B20" s="20">
        <v>576.46</v>
      </c>
      <c r="C20" s="20">
        <v>560.5</v>
      </c>
      <c r="D20" s="20">
        <v>500.72</v>
      </c>
      <c r="E20" s="20">
        <v>681.43</v>
      </c>
      <c r="F20" s="20">
        <v>1279.6400000000001</v>
      </c>
    </row>
    <row r="21" spans="1:6" ht="14.25" customHeight="1" x14ac:dyDescent="0.3">
      <c r="A21" s="2"/>
      <c r="B21" s="2"/>
      <c r="C21" s="2"/>
      <c r="D21" s="2"/>
      <c r="E21" s="2"/>
      <c r="F21" s="2"/>
    </row>
    <row r="22" spans="1:6" ht="14.25" customHeight="1" x14ac:dyDescent="0.3">
      <c r="A22" s="18" t="s">
        <v>172</v>
      </c>
      <c r="B22" s="18"/>
      <c r="C22" s="18"/>
      <c r="D22" s="18"/>
      <c r="E22" s="18"/>
      <c r="F22" s="18"/>
    </row>
    <row r="23" spans="1:6" ht="14.25" customHeight="1" x14ac:dyDescent="0.3">
      <c r="A23" s="2" t="s">
        <v>173</v>
      </c>
      <c r="B23" s="19">
        <v>0</v>
      </c>
      <c r="C23" s="19">
        <v>0</v>
      </c>
      <c r="D23" s="19">
        <v>0</v>
      </c>
      <c r="E23" s="19">
        <v>0</v>
      </c>
      <c r="F23" s="19">
        <v>1282.45</v>
      </c>
    </row>
    <row r="24" spans="1:6" ht="14.25" customHeight="1" x14ac:dyDescent="0.3">
      <c r="A24" s="2" t="s">
        <v>174</v>
      </c>
      <c r="B24" s="19">
        <v>589.20000000000005</v>
      </c>
      <c r="C24" s="19">
        <v>753.79</v>
      </c>
      <c r="D24" s="19">
        <v>984.81</v>
      </c>
      <c r="E24" s="19">
        <v>1070.81</v>
      </c>
      <c r="F24" s="19">
        <v>1338.23</v>
      </c>
    </row>
    <row r="25" spans="1:6" ht="14.25" customHeight="1" x14ac:dyDescent="0.3">
      <c r="A25" s="2" t="s">
        <v>175</v>
      </c>
      <c r="B25" s="19">
        <v>592.65</v>
      </c>
      <c r="C25" s="19">
        <v>662.35</v>
      </c>
      <c r="D25" s="19">
        <v>933.29</v>
      </c>
      <c r="E25" s="19">
        <v>1092.21</v>
      </c>
      <c r="F25" s="19">
        <v>1050.1600000000001</v>
      </c>
    </row>
    <row r="26" spans="1:6" ht="14.25" customHeight="1" x14ac:dyDescent="0.3">
      <c r="A26" s="2" t="s">
        <v>176</v>
      </c>
      <c r="B26" s="19">
        <v>36.44</v>
      </c>
      <c r="C26" s="19">
        <v>50.87</v>
      </c>
      <c r="D26" s="19">
        <v>61.04</v>
      </c>
      <c r="E26" s="19">
        <v>49.14</v>
      </c>
      <c r="F26" s="19">
        <v>111.42</v>
      </c>
    </row>
    <row r="27" spans="1:6" ht="14.25" customHeight="1" x14ac:dyDescent="0.3">
      <c r="A27" s="18" t="s">
        <v>177</v>
      </c>
      <c r="B27" s="20">
        <v>1218.29</v>
      </c>
      <c r="C27" s="20">
        <v>1467.01</v>
      </c>
      <c r="D27" s="20">
        <v>1979.14</v>
      </c>
      <c r="E27" s="20">
        <v>2212.16</v>
      </c>
      <c r="F27" s="20">
        <v>3782.26</v>
      </c>
    </row>
    <row r="28" spans="1:6" ht="14.25" customHeight="1" x14ac:dyDescent="0.3">
      <c r="A28" s="18" t="s">
        <v>178</v>
      </c>
      <c r="B28" s="20">
        <v>15472.64</v>
      </c>
      <c r="C28" s="20">
        <v>18106.29</v>
      </c>
      <c r="D28" s="20">
        <v>21177.200000000001</v>
      </c>
      <c r="E28" s="20">
        <v>24320.29</v>
      </c>
      <c r="F28" s="20">
        <v>29524.26</v>
      </c>
    </row>
    <row r="29" spans="1:6" ht="14.25" customHeight="1" x14ac:dyDescent="0.3">
      <c r="A29" s="2"/>
      <c r="B29" s="2"/>
      <c r="C29" s="2"/>
      <c r="D29" s="2"/>
      <c r="E29" s="2"/>
      <c r="F29" s="2"/>
    </row>
    <row r="30" spans="1:6" ht="14.25" customHeight="1" x14ac:dyDescent="0.3">
      <c r="A30" s="18" t="s">
        <v>179</v>
      </c>
      <c r="B30" s="18"/>
      <c r="C30" s="18"/>
      <c r="D30" s="18"/>
      <c r="E30" s="18"/>
      <c r="F30" s="18"/>
    </row>
    <row r="31" spans="1:6" ht="14.25" customHeight="1" x14ac:dyDescent="0.3">
      <c r="A31" s="18" t="s">
        <v>180</v>
      </c>
      <c r="B31" s="18"/>
      <c r="C31" s="18"/>
      <c r="D31" s="18"/>
      <c r="E31" s="18"/>
      <c r="F31" s="18"/>
    </row>
    <row r="32" spans="1:6" ht="14.25" customHeight="1" x14ac:dyDescent="0.3">
      <c r="A32" s="2" t="s">
        <v>181</v>
      </c>
      <c r="B32" s="19">
        <v>9168.14</v>
      </c>
      <c r="C32" s="19">
        <v>11239.03</v>
      </c>
      <c r="D32" s="19">
        <v>13306.38</v>
      </c>
      <c r="E32" s="19">
        <v>16099.21</v>
      </c>
      <c r="F32" s="19">
        <v>17594.21</v>
      </c>
    </row>
    <row r="33" spans="1:6" ht="14.25" customHeight="1" x14ac:dyDescent="0.3">
      <c r="A33" s="2" t="s">
        <v>182</v>
      </c>
      <c r="B33" s="19">
        <v>13.61</v>
      </c>
      <c r="C33" s="19">
        <v>23.18</v>
      </c>
      <c r="D33" s="19">
        <v>30.35</v>
      </c>
      <c r="E33" s="19">
        <v>28.98</v>
      </c>
      <c r="F33" s="19">
        <v>2417.83</v>
      </c>
    </row>
    <row r="34" spans="1:6" ht="14.25" customHeight="1" x14ac:dyDescent="0.3">
      <c r="A34" s="2" t="s">
        <v>183</v>
      </c>
      <c r="B34" s="19">
        <v>1129.3399999999999</v>
      </c>
      <c r="C34" s="19">
        <v>829.16</v>
      </c>
      <c r="D34" s="19">
        <v>935.22</v>
      </c>
      <c r="E34" s="19">
        <v>1099.3499999999999</v>
      </c>
      <c r="F34" s="19">
        <v>1299.96</v>
      </c>
    </row>
    <row r="35" spans="1:6" ht="14.25" customHeight="1" x14ac:dyDescent="0.3">
      <c r="A35" s="18" t="s">
        <v>184</v>
      </c>
      <c r="B35" s="20">
        <v>10311.09</v>
      </c>
      <c r="C35" s="20">
        <v>12091.37</v>
      </c>
      <c r="D35" s="20">
        <v>14271.95</v>
      </c>
      <c r="E35" s="20">
        <v>17227.54</v>
      </c>
      <c r="F35" s="20">
        <v>21312</v>
      </c>
    </row>
    <row r="36" spans="1:6" ht="14.25" customHeight="1" x14ac:dyDescent="0.3">
      <c r="A36" s="2" t="s">
        <v>185</v>
      </c>
      <c r="B36" s="19">
        <v>0.01</v>
      </c>
      <c r="C36" s="19">
        <v>0.01</v>
      </c>
      <c r="D36" s="19">
        <v>0.01</v>
      </c>
      <c r="E36" s="19">
        <v>2.0099999999999998</v>
      </c>
      <c r="F36" s="19">
        <v>2.0099999999999998</v>
      </c>
    </row>
    <row r="37" spans="1:6" ht="14.25" customHeight="1" x14ac:dyDescent="0.3">
      <c r="A37" s="2" t="s">
        <v>186</v>
      </c>
      <c r="B37" s="19">
        <v>1.66</v>
      </c>
      <c r="C37" s="19">
        <v>1.77</v>
      </c>
      <c r="D37" s="19">
        <v>4.72</v>
      </c>
      <c r="E37" s="19">
        <v>7.51</v>
      </c>
      <c r="F37" s="19">
        <v>6.71</v>
      </c>
    </row>
    <row r="38" spans="1:6" ht="14.25" customHeight="1" x14ac:dyDescent="0.3">
      <c r="A38" s="2" t="s">
        <v>187</v>
      </c>
      <c r="B38" s="19">
        <v>1638.76</v>
      </c>
      <c r="C38" s="19">
        <v>486.48</v>
      </c>
      <c r="D38" s="19">
        <v>620.22</v>
      </c>
      <c r="E38" s="19">
        <v>612.76</v>
      </c>
      <c r="F38" s="19">
        <v>647.49</v>
      </c>
    </row>
    <row r="39" spans="1:6" ht="14.25" customHeight="1" x14ac:dyDescent="0.3">
      <c r="A39" s="18" t="s">
        <v>188</v>
      </c>
      <c r="B39" s="20">
        <v>12029.79</v>
      </c>
      <c r="C39" s="20">
        <v>12657.9</v>
      </c>
      <c r="D39" s="20">
        <v>14975.17</v>
      </c>
      <c r="E39" s="20">
        <v>17928.09</v>
      </c>
      <c r="F39" s="20">
        <v>22046.48</v>
      </c>
    </row>
    <row r="40" spans="1:6" ht="14.25" customHeight="1" x14ac:dyDescent="0.3">
      <c r="A40" s="2"/>
      <c r="B40" s="2"/>
      <c r="C40" s="2"/>
      <c r="D40" s="2"/>
      <c r="E40" s="2"/>
      <c r="F40" s="2"/>
    </row>
    <row r="41" spans="1:6" ht="14.25" customHeight="1" x14ac:dyDescent="0.3">
      <c r="A41" s="18" t="s">
        <v>189</v>
      </c>
      <c r="B41" s="18"/>
      <c r="C41" s="18"/>
      <c r="D41" s="18"/>
      <c r="E41" s="18"/>
      <c r="F41" s="18"/>
    </row>
    <row r="42" spans="1:6" ht="14.25" customHeight="1" x14ac:dyDescent="0.3">
      <c r="A42" s="2" t="s">
        <v>190</v>
      </c>
      <c r="B42" s="19">
        <v>5.93</v>
      </c>
      <c r="C42" s="19">
        <v>202.19</v>
      </c>
      <c r="D42" s="19">
        <v>106.66</v>
      </c>
      <c r="E42" s="19">
        <v>1.25</v>
      </c>
      <c r="F42" s="19">
        <v>2</v>
      </c>
    </row>
    <row r="43" spans="1:6" ht="14.25" customHeight="1" x14ac:dyDescent="0.3">
      <c r="A43" s="2" t="s">
        <v>191</v>
      </c>
      <c r="B43" s="19">
        <v>2742.66</v>
      </c>
      <c r="C43" s="19">
        <v>3243.48</v>
      </c>
      <c r="D43" s="19">
        <v>3927.31</v>
      </c>
      <c r="E43" s="19">
        <v>5044.37</v>
      </c>
      <c r="F43" s="19">
        <v>5900.64</v>
      </c>
    </row>
    <row r="44" spans="1:6" ht="14.25" customHeight="1" x14ac:dyDescent="0.3">
      <c r="A44" s="2" t="s">
        <v>192</v>
      </c>
      <c r="B44" s="19">
        <v>66.89</v>
      </c>
      <c r="C44" s="19">
        <v>62.16</v>
      </c>
      <c r="D44" s="19">
        <v>166.37</v>
      </c>
      <c r="E44" s="19">
        <v>153.79</v>
      </c>
      <c r="F44" s="19">
        <v>149.34</v>
      </c>
    </row>
    <row r="45" spans="1:6" ht="14.25" customHeight="1" x14ac:dyDescent="0.3">
      <c r="A45" s="2" t="s">
        <v>193</v>
      </c>
      <c r="B45" s="19">
        <v>298.58</v>
      </c>
      <c r="C45" s="19">
        <v>1408.33</v>
      </c>
      <c r="D45" s="19">
        <v>638.17999999999995</v>
      </c>
      <c r="E45" s="19">
        <v>358.2</v>
      </c>
      <c r="F45" s="19">
        <v>303.77999999999997</v>
      </c>
    </row>
    <row r="46" spans="1:6" ht="14.25" customHeight="1" x14ac:dyDescent="0.3">
      <c r="A46" s="2" t="s">
        <v>194</v>
      </c>
      <c r="B46" s="19">
        <v>328.79</v>
      </c>
      <c r="C46" s="19">
        <v>532.23</v>
      </c>
      <c r="D46" s="19">
        <v>1363.51</v>
      </c>
      <c r="E46" s="19">
        <v>834.59</v>
      </c>
      <c r="F46" s="19">
        <v>1122.02</v>
      </c>
    </row>
    <row r="47" spans="1:6" ht="14.25" customHeight="1" x14ac:dyDescent="0.3">
      <c r="A47" s="18" t="s">
        <v>195</v>
      </c>
      <c r="B47" s="20">
        <v>3442.85</v>
      </c>
      <c r="C47" s="20">
        <v>5448.39</v>
      </c>
      <c r="D47" s="20">
        <v>6202.03</v>
      </c>
      <c r="E47" s="20">
        <v>6392.2</v>
      </c>
      <c r="F47" s="20">
        <v>7477.78</v>
      </c>
    </row>
    <row r="48" spans="1:6" ht="14.25" customHeight="1" x14ac:dyDescent="0.3">
      <c r="A48" s="18" t="s">
        <v>196</v>
      </c>
      <c r="B48" s="20">
        <v>15472.64</v>
      </c>
      <c r="C48" s="20">
        <v>18106.29</v>
      </c>
      <c r="D48" s="20">
        <v>21177.200000000001</v>
      </c>
      <c r="E48" s="20">
        <v>24320.29</v>
      </c>
      <c r="F48" s="20">
        <v>29524.26</v>
      </c>
    </row>
    <row r="49" spans="1:6" ht="14.25" customHeight="1" x14ac:dyDescent="0.3">
      <c r="A49" s="2"/>
      <c r="B49" s="2"/>
      <c r="C49" s="2"/>
      <c r="D49" s="2"/>
      <c r="E49" s="2"/>
      <c r="F49" s="2"/>
    </row>
    <row r="50" spans="1:6" ht="14.25" customHeight="1" x14ac:dyDescent="0.3">
      <c r="A50" s="18" t="s">
        <v>197</v>
      </c>
      <c r="B50" s="18"/>
      <c r="C50" s="18"/>
      <c r="D50" s="18"/>
      <c r="E50" s="18"/>
      <c r="F50" s="18"/>
    </row>
    <row r="51" spans="1:6" ht="14.25" customHeight="1" x14ac:dyDescent="0.3">
      <c r="A51" s="18" t="s">
        <v>198</v>
      </c>
      <c r="B51" s="18"/>
      <c r="C51" s="18"/>
      <c r="D51" s="18"/>
      <c r="E51" s="18"/>
      <c r="F51" s="18"/>
    </row>
    <row r="52" spans="1:6" ht="14.25" customHeight="1" x14ac:dyDescent="0.3">
      <c r="A52" s="2" t="s">
        <v>199</v>
      </c>
      <c r="B52" s="19">
        <v>2732.23</v>
      </c>
      <c r="C52" s="19">
        <v>2125.4899999999998</v>
      </c>
      <c r="D52" s="19">
        <v>3796.23</v>
      </c>
      <c r="E52" s="19">
        <v>4729.53</v>
      </c>
      <c r="F52" s="19">
        <v>0</v>
      </c>
    </row>
    <row r="53" spans="1:6" ht="14.25" customHeight="1" x14ac:dyDescent="0.3">
      <c r="A53" s="18" t="s">
        <v>200</v>
      </c>
      <c r="B53" s="18"/>
      <c r="C53" s="18"/>
      <c r="D53" s="18"/>
      <c r="E53" s="18"/>
      <c r="F53" s="18"/>
    </row>
    <row r="54" spans="1:6" ht="14.25" customHeight="1" x14ac:dyDescent="0.3">
      <c r="A54" s="2" t="s">
        <v>201</v>
      </c>
      <c r="B54" s="19">
        <v>0</v>
      </c>
      <c r="C54" s="19">
        <v>0.01</v>
      </c>
      <c r="D54" s="19">
        <v>0.01</v>
      </c>
      <c r="E54" s="19">
        <v>2.0099999999999998</v>
      </c>
      <c r="F54" s="19">
        <v>0</v>
      </c>
    </row>
    <row r="55" spans="1:6" ht="14.25" customHeight="1" x14ac:dyDescent="0.3">
      <c r="A55" s="18" t="s">
        <v>202</v>
      </c>
      <c r="B55" s="18"/>
      <c r="C55" s="18"/>
      <c r="D55" s="18"/>
      <c r="E55" s="18"/>
      <c r="F55" s="18"/>
    </row>
    <row r="56" spans="1:6" ht="14.25" customHeight="1" x14ac:dyDescent="0.3">
      <c r="A56" s="2" t="s">
        <v>203</v>
      </c>
      <c r="B56" s="19">
        <v>5.93</v>
      </c>
      <c r="C56" s="19">
        <v>202.19</v>
      </c>
      <c r="D56" s="19">
        <v>106.66</v>
      </c>
      <c r="E56" s="19">
        <v>1.25</v>
      </c>
      <c r="F56" s="19">
        <v>0</v>
      </c>
    </row>
  </sheetData>
  <pageMargins left="0.7" right="0.7" top="0.75" bottom="0.75" header="0.511811023622047" footer="0.511811023622047"/>
  <pageSetup orientation="portrait" horizontalDpi="300" verticalDpi="30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F40"/>
  <sheetViews>
    <sheetView showGridLines="0" zoomScaleNormal="100" workbookViewId="0">
      <selection activeCell="A19" sqref="A19"/>
    </sheetView>
  </sheetViews>
  <sheetFormatPr defaultColWidth="8.6640625" defaultRowHeight="14.4" x14ac:dyDescent="0.3"/>
  <cols>
    <col min="1" max="1" width="55" style="1" customWidth="1"/>
    <col min="2" max="6" width="14" style="1" customWidth="1"/>
  </cols>
  <sheetData>
    <row r="1" spans="1:6" ht="14.25" customHeight="1" x14ac:dyDescent="0.3">
      <c r="A1" s="257" t="s">
        <v>148</v>
      </c>
      <c r="B1" s="257" t="s">
        <v>149</v>
      </c>
      <c r="C1" s="257" t="s">
        <v>150</v>
      </c>
      <c r="D1" s="257" t="s">
        <v>151</v>
      </c>
      <c r="E1" s="257" t="s">
        <v>152</v>
      </c>
      <c r="F1" s="257" t="s">
        <v>153</v>
      </c>
    </row>
    <row r="2" spans="1:6" ht="14.25" customHeight="1" x14ac:dyDescent="0.3">
      <c r="A2" s="257"/>
      <c r="B2" s="257" t="s">
        <v>154</v>
      </c>
      <c r="C2" s="257" t="s">
        <v>154</v>
      </c>
      <c r="D2" s="257" t="s">
        <v>154</v>
      </c>
      <c r="E2" s="257" t="s">
        <v>154</v>
      </c>
      <c r="F2" s="257" t="s">
        <v>154</v>
      </c>
    </row>
    <row r="3" spans="1:6" ht="14.25" customHeight="1" x14ac:dyDescent="0.3">
      <c r="A3" s="258"/>
      <c r="B3" s="258" t="s">
        <v>155</v>
      </c>
      <c r="C3" s="258" t="s">
        <v>155</v>
      </c>
      <c r="D3" s="258" t="s">
        <v>155</v>
      </c>
      <c r="E3" s="258" t="s">
        <v>155</v>
      </c>
      <c r="F3" s="258" t="s">
        <v>155</v>
      </c>
    </row>
    <row r="4" spans="1:6" ht="14.25" customHeight="1" x14ac:dyDescent="0.3">
      <c r="A4" s="18" t="s">
        <v>204</v>
      </c>
      <c r="B4" s="18"/>
      <c r="C4" s="18"/>
      <c r="D4" s="18"/>
      <c r="E4" s="18"/>
      <c r="F4" s="18"/>
    </row>
    <row r="5" spans="1:6" ht="14.25" customHeight="1" x14ac:dyDescent="0.3">
      <c r="A5" s="2" t="s">
        <v>205</v>
      </c>
      <c r="B5" s="19">
        <v>33794.9</v>
      </c>
      <c r="C5" s="19">
        <v>47016.17</v>
      </c>
      <c r="D5" s="19">
        <v>55774.38</v>
      </c>
      <c r="E5" s="19">
        <v>65224.12</v>
      </c>
      <c r="F5" s="19">
        <v>68820.740000000005</v>
      </c>
    </row>
    <row r="6" spans="1:6" ht="14.25" customHeight="1" x14ac:dyDescent="0.3">
      <c r="A6" s="2" t="s">
        <v>206</v>
      </c>
      <c r="B6" s="19">
        <v>2936.5</v>
      </c>
      <c r="C6" s="19">
        <v>4310.75</v>
      </c>
      <c r="D6" s="19">
        <v>5105.34</v>
      </c>
      <c r="E6" s="19">
        <v>6024.82</v>
      </c>
      <c r="F6" s="19">
        <v>0</v>
      </c>
    </row>
    <row r="7" spans="1:6" ht="14.25" customHeight="1" x14ac:dyDescent="0.3">
      <c r="A7" s="18" t="s">
        <v>207</v>
      </c>
      <c r="B7" s="20">
        <v>30858.400000000001</v>
      </c>
      <c r="C7" s="20">
        <v>42705.42</v>
      </c>
      <c r="D7" s="20">
        <v>50669.04</v>
      </c>
      <c r="E7" s="20">
        <v>59199.3</v>
      </c>
      <c r="F7" s="20">
        <v>68820.740000000005</v>
      </c>
    </row>
    <row r="8" spans="1:6" ht="14.25" customHeight="1" x14ac:dyDescent="0.3">
      <c r="A8" s="2" t="s">
        <v>208</v>
      </c>
      <c r="B8" s="19">
        <v>117.87</v>
      </c>
      <c r="C8" s="19">
        <v>134.13999999999999</v>
      </c>
      <c r="D8" s="19">
        <v>119.79</v>
      </c>
      <c r="E8" s="19">
        <v>158.75</v>
      </c>
      <c r="F8" s="19">
        <v>0</v>
      </c>
    </row>
    <row r="9" spans="1:6" ht="14.25" customHeight="1" x14ac:dyDescent="0.3">
      <c r="A9" s="18" t="s">
        <v>209</v>
      </c>
      <c r="B9" s="20">
        <v>30976.27</v>
      </c>
      <c r="C9" s="20">
        <v>42839.56</v>
      </c>
      <c r="D9" s="20">
        <v>50788.83</v>
      </c>
      <c r="E9" s="20">
        <v>59358.05</v>
      </c>
      <c r="F9" s="20">
        <v>68820.740000000005</v>
      </c>
    </row>
    <row r="10" spans="1:6" ht="14.25" customHeight="1" x14ac:dyDescent="0.3">
      <c r="A10" s="2" t="s">
        <v>210</v>
      </c>
      <c r="B10" s="19">
        <v>117.49</v>
      </c>
      <c r="C10" s="19">
        <v>129.34</v>
      </c>
      <c r="D10" s="19">
        <v>146.44999999999999</v>
      </c>
      <c r="E10" s="19">
        <v>124.31</v>
      </c>
      <c r="F10" s="19">
        <v>74.099999999999994</v>
      </c>
    </row>
    <row r="11" spans="1:6" ht="14.25" customHeight="1" x14ac:dyDescent="0.3">
      <c r="A11" s="18" t="s">
        <v>211</v>
      </c>
      <c r="B11" s="20">
        <v>31093.759999999998</v>
      </c>
      <c r="C11" s="20">
        <v>42968.9</v>
      </c>
      <c r="D11" s="20">
        <v>50935.28</v>
      </c>
      <c r="E11" s="20">
        <v>59482.36</v>
      </c>
      <c r="F11" s="20">
        <v>68894.84</v>
      </c>
    </row>
    <row r="12" spans="1:6" ht="14.25" customHeight="1" x14ac:dyDescent="0.3">
      <c r="A12" s="2"/>
      <c r="B12" s="2"/>
      <c r="C12" s="2"/>
      <c r="D12" s="2"/>
      <c r="E12" s="2"/>
      <c r="F12" s="2"/>
    </row>
    <row r="13" spans="1:6" ht="14.25" customHeight="1" x14ac:dyDescent="0.3">
      <c r="A13" s="18" t="s">
        <v>212</v>
      </c>
      <c r="B13" s="18"/>
      <c r="C13" s="18"/>
      <c r="D13" s="18"/>
      <c r="E13" s="18"/>
      <c r="F13" s="18"/>
    </row>
    <row r="14" spans="1:6" ht="14.25" customHeight="1" x14ac:dyDescent="0.3">
      <c r="A14" s="2" t="s">
        <v>213</v>
      </c>
      <c r="B14" s="19">
        <v>26891.77</v>
      </c>
      <c r="C14" s="19">
        <v>36884.769999999997</v>
      </c>
      <c r="D14" s="19">
        <v>43958.31</v>
      </c>
      <c r="E14" s="19">
        <v>51668.76</v>
      </c>
      <c r="F14" s="19">
        <v>59315.99</v>
      </c>
    </row>
    <row r="15" spans="1:6" ht="14.25" customHeight="1" x14ac:dyDescent="0.3">
      <c r="A15" s="2" t="s">
        <v>214</v>
      </c>
      <c r="B15" s="19">
        <v>-494.38</v>
      </c>
      <c r="C15" s="19">
        <v>-500.82</v>
      </c>
      <c r="D15" s="19">
        <v>-683.77</v>
      </c>
      <c r="E15" s="19">
        <v>-1117.06</v>
      </c>
      <c r="F15" s="19">
        <v>-856.26</v>
      </c>
    </row>
    <row r="16" spans="1:6" ht="14.25" customHeight="1" x14ac:dyDescent="0.3">
      <c r="A16" s="2" t="s">
        <v>215</v>
      </c>
      <c r="B16" s="19">
        <v>616.21</v>
      </c>
      <c r="C16" s="19">
        <v>746.97</v>
      </c>
      <c r="D16" s="19">
        <v>906.12</v>
      </c>
      <c r="E16" s="19">
        <v>1165.9000000000001</v>
      </c>
      <c r="F16" s="19">
        <v>1541.48</v>
      </c>
    </row>
    <row r="17" spans="1:6" ht="14.25" customHeight="1" x14ac:dyDescent="0.3">
      <c r="A17" s="2" t="s">
        <v>216</v>
      </c>
      <c r="B17" s="19">
        <v>53.79</v>
      </c>
      <c r="C17" s="19">
        <v>67.41</v>
      </c>
      <c r="D17" s="19">
        <v>58.13</v>
      </c>
      <c r="E17" s="19">
        <v>69.45</v>
      </c>
      <c r="F17" s="19">
        <v>142.05000000000001</v>
      </c>
    </row>
    <row r="18" spans="1:6" ht="14.25" customHeight="1" x14ac:dyDescent="0.3">
      <c r="A18" s="2" t="s">
        <v>217</v>
      </c>
      <c r="B18" s="19">
        <v>498.08</v>
      </c>
      <c r="C18" s="19">
        <v>638.87</v>
      </c>
      <c r="D18" s="19">
        <v>730.76</v>
      </c>
      <c r="E18" s="19">
        <v>869.52</v>
      </c>
      <c r="F18" s="19">
        <v>1037.02</v>
      </c>
    </row>
    <row r="19" spans="1:6" ht="14.25" customHeight="1" x14ac:dyDescent="0.3">
      <c r="A19" s="2" t="s">
        <v>218</v>
      </c>
      <c r="B19" s="19">
        <v>1464.17</v>
      </c>
      <c r="C19" s="19">
        <v>2071.61</v>
      </c>
      <c r="D19" s="19">
        <v>2504.4</v>
      </c>
      <c r="E19" s="19">
        <v>3153.12</v>
      </c>
      <c r="F19" s="19">
        <v>3632.94</v>
      </c>
    </row>
    <row r="20" spans="1:6" ht="14.25" customHeight="1" x14ac:dyDescent="0.3">
      <c r="A20" s="18" t="s">
        <v>219</v>
      </c>
      <c r="B20" s="20">
        <v>29029.64</v>
      </c>
      <c r="C20" s="20">
        <v>39908.81</v>
      </c>
      <c r="D20" s="20">
        <v>47473.95</v>
      </c>
      <c r="E20" s="20">
        <v>55809.69</v>
      </c>
      <c r="F20" s="20">
        <v>64813.22</v>
      </c>
    </row>
    <row r="21" spans="1:6" ht="14.25" customHeight="1" x14ac:dyDescent="0.3">
      <c r="A21" s="2"/>
      <c r="B21" s="2"/>
      <c r="C21" s="2"/>
      <c r="D21" s="2"/>
      <c r="E21" s="2"/>
      <c r="F21" s="2"/>
    </row>
    <row r="22" spans="1:6" ht="14.25" customHeight="1" x14ac:dyDescent="0.3">
      <c r="A22" s="18" t="s">
        <v>220</v>
      </c>
      <c r="B22" s="20">
        <v>2064.12</v>
      </c>
      <c r="C22" s="20">
        <v>3060.09</v>
      </c>
      <c r="D22" s="20">
        <v>3461.33</v>
      </c>
      <c r="E22" s="20">
        <v>3672.67</v>
      </c>
      <c r="F22" s="20">
        <v>4081.62</v>
      </c>
    </row>
    <row r="23" spans="1:6" ht="14.25" customHeight="1" x14ac:dyDescent="0.3">
      <c r="A23" s="18" t="s">
        <v>221</v>
      </c>
      <c r="B23" s="20">
        <v>2064.12</v>
      </c>
      <c r="C23" s="20">
        <v>3060.09</v>
      </c>
      <c r="D23" s="20">
        <v>3461.33</v>
      </c>
      <c r="E23" s="20">
        <v>3672.67</v>
      </c>
      <c r="F23" s="20">
        <v>4081.62</v>
      </c>
    </row>
    <row r="24" spans="1:6" ht="14.25" customHeight="1" x14ac:dyDescent="0.3">
      <c r="A24" s="2"/>
      <c r="B24" s="2"/>
      <c r="C24" s="2"/>
      <c r="D24" s="2"/>
      <c r="E24" s="2"/>
      <c r="F24" s="2"/>
    </row>
    <row r="25" spans="1:6" ht="14.25" customHeight="1" x14ac:dyDescent="0.3">
      <c r="A25" s="18" t="s">
        <v>222</v>
      </c>
      <c r="B25" s="18"/>
      <c r="C25" s="18"/>
      <c r="D25" s="18"/>
      <c r="E25" s="18"/>
      <c r="F25" s="18"/>
    </row>
    <row r="26" spans="1:6" ht="14.25" customHeight="1" x14ac:dyDescent="0.3">
      <c r="A26" s="2" t="s">
        <v>223</v>
      </c>
      <c r="B26" s="19">
        <v>546.33000000000004</v>
      </c>
      <c r="C26" s="19">
        <v>807.7</v>
      </c>
      <c r="D26" s="19">
        <v>913.09</v>
      </c>
      <c r="E26" s="19">
        <v>983.47</v>
      </c>
      <c r="F26" s="19">
        <v>1111.76</v>
      </c>
    </row>
    <row r="27" spans="1:6" ht="14.25" customHeight="1" x14ac:dyDescent="0.3">
      <c r="A27" s="2" t="s">
        <v>224</v>
      </c>
      <c r="B27" s="19">
        <v>12.1</v>
      </c>
      <c r="C27" s="19">
        <v>12.82</v>
      </c>
      <c r="D27" s="19">
        <v>12.02</v>
      </c>
      <c r="E27" s="19">
        <v>17.760000000000002</v>
      </c>
      <c r="F27" s="19">
        <v>0</v>
      </c>
    </row>
    <row r="28" spans="1:6" ht="14.25" customHeight="1" x14ac:dyDescent="0.3">
      <c r="A28" s="2" t="s">
        <v>225</v>
      </c>
      <c r="B28" s="19">
        <v>13.29</v>
      </c>
      <c r="C28" s="19">
        <v>-138.77000000000001</v>
      </c>
      <c r="D28" s="19">
        <v>0.61</v>
      </c>
      <c r="E28" s="19">
        <v>-36.01</v>
      </c>
      <c r="F28" s="19">
        <v>0</v>
      </c>
    </row>
    <row r="29" spans="1:6" ht="14.25" customHeight="1" x14ac:dyDescent="0.3">
      <c r="A29" s="18" t="s">
        <v>226</v>
      </c>
      <c r="B29" s="20">
        <v>571.72</v>
      </c>
      <c r="C29" s="20">
        <v>681.75</v>
      </c>
      <c r="D29" s="20">
        <v>925.72</v>
      </c>
      <c r="E29" s="20">
        <v>965.22</v>
      </c>
      <c r="F29" s="20">
        <v>1111.76</v>
      </c>
    </row>
    <row r="30" spans="1:6" ht="14.25" customHeight="1" x14ac:dyDescent="0.3">
      <c r="A30" s="2"/>
      <c r="B30" s="2"/>
      <c r="C30" s="2"/>
      <c r="D30" s="2"/>
      <c r="E30" s="2"/>
      <c r="F30" s="2"/>
    </row>
    <row r="31" spans="1:6" ht="14.25" customHeight="1" x14ac:dyDescent="0.3">
      <c r="A31" s="18" t="s">
        <v>227</v>
      </c>
      <c r="B31" s="20">
        <v>1492.4</v>
      </c>
      <c r="C31" s="20">
        <v>2378.34</v>
      </c>
      <c r="D31" s="20">
        <v>2535.61</v>
      </c>
      <c r="E31" s="20">
        <v>2707.45</v>
      </c>
      <c r="F31" s="20">
        <v>2969.86</v>
      </c>
    </row>
    <row r="32" spans="1:6" ht="14.25" customHeight="1" x14ac:dyDescent="0.3">
      <c r="A32" s="18" t="s">
        <v>228</v>
      </c>
      <c r="B32" s="20">
        <v>1492.4</v>
      </c>
      <c r="C32" s="20">
        <v>2378.34</v>
      </c>
      <c r="D32" s="20">
        <v>2535.61</v>
      </c>
      <c r="E32" s="20">
        <v>2707.45</v>
      </c>
      <c r="F32" s="20">
        <v>2969.86</v>
      </c>
    </row>
    <row r="33" spans="1:6" ht="14.25" customHeight="1" x14ac:dyDescent="0.3">
      <c r="A33" s="18" t="s">
        <v>229</v>
      </c>
      <c r="B33" s="20">
        <v>1492.4</v>
      </c>
      <c r="C33" s="20">
        <v>2378.34</v>
      </c>
      <c r="D33" s="20">
        <v>2535.61</v>
      </c>
      <c r="E33" s="20">
        <v>2707.45</v>
      </c>
      <c r="F33" s="20">
        <v>2969.86</v>
      </c>
    </row>
    <row r="34" spans="1:6" ht="14.25" customHeight="1" x14ac:dyDescent="0.3">
      <c r="A34" s="2" t="s">
        <v>165</v>
      </c>
      <c r="B34" s="19">
        <v>0.15</v>
      </c>
      <c r="C34" s="19">
        <v>0.17</v>
      </c>
      <c r="D34" s="19">
        <v>0.56000000000000005</v>
      </c>
      <c r="E34" s="19">
        <v>0.56999999999999995</v>
      </c>
      <c r="F34" s="19">
        <v>0.63</v>
      </c>
    </row>
    <row r="35" spans="1:6" ht="14.25" customHeight="1" x14ac:dyDescent="0.3">
      <c r="A35" s="18" t="s">
        <v>230</v>
      </c>
      <c r="B35" s="20">
        <v>1492.55</v>
      </c>
      <c r="C35" s="20">
        <v>2378.5100000000002</v>
      </c>
      <c r="D35" s="20">
        <v>2536.17</v>
      </c>
      <c r="E35" s="20">
        <v>2708.02</v>
      </c>
      <c r="F35" s="20">
        <v>2970.49</v>
      </c>
    </row>
    <row r="36" spans="1:6" ht="14.25" customHeight="1" x14ac:dyDescent="0.3">
      <c r="A36" s="2"/>
      <c r="B36" s="2"/>
      <c r="C36" s="2"/>
      <c r="D36" s="2"/>
      <c r="E36" s="2"/>
      <c r="F36" s="2"/>
    </row>
    <row r="37" spans="1:6" ht="14.25" customHeight="1" x14ac:dyDescent="0.3">
      <c r="A37" s="18" t="s">
        <v>197</v>
      </c>
      <c r="B37" s="18"/>
      <c r="C37" s="18"/>
      <c r="D37" s="18"/>
      <c r="E37" s="18"/>
      <c r="F37" s="18"/>
    </row>
    <row r="38" spans="1:6" ht="14.25" customHeight="1" x14ac:dyDescent="0.3">
      <c r="A38" s="18" t="s">
        <v>231</v>
      </c>
      <c r="B38" s="18"/>
      <c r="C38" s="18"/>
      <c r="D38" s="18"/>
      <c r="E38" s="18"/>
      <c r="F38" s="18"/>
    </row>
    <row r="39" spans="1:6" ht="14.25" customHeight="1" x14ac:dyDescent="0.3">
      <c r="A39" s="2" t="s">
        <v>232</v>
      </c>
      <c r="B39" s="19">
        <v>23</v>
      </c>
      <c r="C39" s="19">
        <v>37</v>
      </c>
      <c r="D39" s="19">
        <v>39</v>
      </c>
      <c r="E39" s="19">
        <v>42</v>
      </c>
      <c r="F39" s="19">
        <v>46</v>
      </c>
    </row>
    <row r="40" spans="1:6" ht="14.25" customHeight="1" x14ac:dyDescent="0.3">
      <c r="A40" s="2" t="s">
        <v>233</v>
      </c>
      <c r="B40" s="19">
        <v>23</v>
      </c>
      <c r="C40" s="19">
        <v>36</v>
      </c>
      <c r="D40" s="19">
        <v>39</v>
      </c>
      <c r="E40" s="19">
        <v>42</v>
      </c>
      <c r="F40" s="19">
        <v>46</v>
      </c>
    </row>
  </sheetData>
  <pageMargins left="0.7" right="0.7" top="0.75" bottom="0.75" header="0.511811023622047" footer="0.511811023622047"/>
  <pageSetup paperSize="9" orientation="portrait" horizontalDpi="300" verticalDpi="30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F10"/>
  <sheetViews>
    <sheetView showGridLines="0" zoomScaleNormal="100" workbookViewId="0">
      <selection activeCell="A20" sqref="A20"/>
    </sheetView>
  </sheetViews>
  <sheetFormatPr defaultColWidth="8.6640625" defaultRowHeight="14.4" x14ac:dyDescent="0.3"/>
  <cols>
    <col min="1" max="1" width="52" style="1" customWidth="1"/>
    <col min="2" max="6" width="14" style="1" customWidth="1"/>
  </cols>
  <sheetData>
    <row r="1" spans="1:6" ht="14.25" customHeight="1" x14ac:dyDescent="0.3">
      <c r="A1" s="256" t="s">
        <v>148</v>
      </c>
      <c r="B1" s="256" t="s">
        <v>234</v>
      </c>
      <c r="C1" s="256" t="s">
        <v>235</v>
      </c>
      <c r="D1" s="256" t="s">
        <v>236</v>
      </c>
      <c r="E1" s="256" t="s">
        <v>237</v>
      </c>
      <c r="F1" s="256" t="s">
        <v>238</v>
      </c>
    </row>
    <row r="2" spans="1:6" ht="14.25" customHeight="1" x14ac:dyDescent="0.3">
      <c r="A2" s="256"/>
      <c r="B2" s="256" t="s">
        <v>154</v>
      </c>
      <c r="C2" s="256" t="s">
        <v>154</v>
      </c>
      <c r="D2" s="256" t="s">
        <v>154</v>
      </c>
      <c r="E2" s="256" t="s">
        <v>154</v>
      </c>
      <c r="F2" s="256" t="s">
        <v>154</v>
      </c>
    </row>
    <row r="3" spans="1:6" ht="14.25" customHeight="1" x14ac:dyDescent="0.3">
      <c r="A3" s="2"/>
      <c r="B3" s="2" t="s">
        <v>155</v>
      </c>
      <c r="C3" s="2" t="s">
        <v>155</v>
      </c>
      <c r="D3" s="2" t="s">
        <v>155</v>
      </c>
      <c r="E3" s="2" t="s">
        <v>155</v>
      </c>
      <c r="F3" s="2" t="s">
        <v>155</v>
      </c>
    </row>
    <row r="4" spans="1:6" ht="14.25" customHeight="1" x14ac:dyDescent="0.3">
      <c r="A4" s="18" t="s">
        <v>239</v>
      </c>
      <c r="B4" s="20">
        <v>2064.12</v>
      </c>
      <c r="C4" s="20">
        <v>3060.09</v>
      </c>
      <c r="D4" s="20">
        <v>3461.33</v>
      </c>
      <c r="E4" s="20">
        <v>3672.67</v>
      </c>
      <c r="F4" s="20">
        <v>4081.62</v>
      </c>
    </row>
    <row r="5" spans="1:6" ht="14.25" customHeight="1" x14ac:dyDescent="0.3">
      <c r="A5" s="2" t="s">
        <v>240</v>
      </c>
      <c r="B5" s="19">
        <v>1372.35</v>
      </c>
      <c r="C5" s="19">
        <v>2630.27</v>
      </c>
      <c r="D5" s="19">
        <v>2745.84</v>
      </c>
      <c r="E5" s="19">
        <v>2462.9699999999998</v>
      </c>
      <c r="F5" s="19">
        <v>3466.74</v>
      </c>
    </row>
    <row r="6" spans="1:6" ht="14.25" customHeight="1" x14ac:dyDescent="0.3">
      <c r="A6" s="2" t="s">
        <v>241</v>
      </c>
      <c r="B6" s="19">
        <v>-1289.49</v>
      </c>
      <c r="C6" s="19">
        <v>-2313.1</v>
      </c>
      <c r="D6" s="19">
        <v>-2468.23</v>
      </c>
      <c r="E6" s="19">
        <v>-2185.31</v>
      </c>
      <c r="F6" s="19">
        <v>-4206.96</v>
      </c>
    </row>
    <row r="7" spans="1:6" ht="14.25" customHeight="1" x14ac:dyDescent="0.3">
      <c r="A7" s="2" t="s">
        <v>242</v>
      </c>
      <c r="B7" s="19">
        <v>-179.24</v>
      </c>
      <c r="C7" s="19">
        <v>-205.14</v>
      </c>
      <c r="D7" s="19">
        <v>-147.63999999999999</v>
      </c>
      <c r="E7" s="19">
        <v>-259.3</v>
      </c>
      <c r="F7" s="19">
        <v>288.18</v>
      </c>
    </row>
    <row r="8" spans="1:6" ht="14.25" customHeight="1" x14ac:dyDescent="0.3">
      <c r="A8" s="18" t="s">
        <v>243</v>
      </c>
      <c r="B8" s="20">
        <v>-96.38</v>
      </c>
      <c r="C8" s="20">
        <v>112.03</v>
      </c>
      <c r="D8" s="20">
        <v>129.97</v>
      </c>
      <c r="E8" s="20">
        <v>18.36</v>
      </c>
      <c r="F8" s="20">
        <v>-452.04</v>
      </c>
    </row>
    <row r="9" spans="1:6" ht="14.25" customHeight="1" x14ac:dyDescent="0.3">
      <c r="A9" s="2" t="s">
        <v>244</v>
      </c>
      <c r="B9" s="19">
        <v>191.5</v>
      </c>
      <c r="C9" s="19">
        <v>95.12</v>
      </c>
      <c r="D9" s="19">
        <v>207.15</v>
      </c>
      <c r="E9" s="19">
        <v>337.12</v>
      </c>
      <c r="F9" s="19">
        <v>355.48</v>
      </c>
    </row>
    <row r="10" spans="1:6" ht="14.25" customHeight="1" x14ac:dyDescent="0.3">
      <c r="A10" s="2" t="s">
        <v>245</v>
      </c>
      <c r="B10" s="19">
        <v>95.12</v>
      </c>
      <c r="C10" s="19">
        <v>207.15</v>
      </c>
      <c r="D10" s="19">
        <v>337.12</v>
      </c>
      <c r="E10" s="19">
        <v>355.48</v>
      </c>
      <c r="F10" s="19">
        <v>-96.56</v>
      </c>
    </row>
  </sheetData>
  <pageMargins left="0.7" right="0.7" top="0.75" bottom="0.75" header="0.511811023622047" footer="0.511811023622047"/>
  <pageSetup paperSize="9" orientation="portrait" horizontalDpi="300" verticalDpi="30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R1519"/>
  <sheetViews>
    <sheetView showGridLines="0" zoomScaleNormal="100" workbookViewId="0">
      <selection sqref="A1:H1519"/>
    </sheetView>
  </sheetViews>
  <sheetFormatPr defaultColWidth="8.6640625" defaultRowHeight="14.4" x14ac:dyDescent="0.3"/>
  <cols>
    <col min="1" max="1" width="10.33203125" style="1" customWidth="1"/>
    <col min="2" max="2" width="13.33203125" style="1" customWidth="1"/>
    <col min="3" max="3" width="12.77734375" style="1" customWidth="1"/>
    <col min="6" max="6" width="9.44140625" style="1" customWidth="1"/>
    <col min="10" max="10" width="17.44140625" style="1" customWidth="1"/>
    <col min="11" max="11" width="12" style="1" customWidth="1"/>
    <col min="12" max="12" width="13.44140625" style="1" customWidth="1"/>
    <col min="15" max="15" width="12.6640625" style="1" customWidth="1"/>
    <col min="16" max="16" width="12" style="1" customWidth="1"/>
    <col min="17" max="17" width="12.6640625" style="1" customWidth="1"/>
    <col min="18" max="18" width="12.109375" style="1" customWidth="1"/>
  </cols>
  <sheetData>
    <row r="1" spans="1:15" ht="14.25" customHeight="1" x14ac:dyDescent="0.3">
      <c r="A1" s="21" t="s">
        <v>246</v>
      </c>
      <c r="B1" s="21" t="s">
        <v>247</v>
      </c>
      <c r="C1" s="21" t="s">
        <v>248</v>
      </c>
      <c r="D1" s="259"/>
      <c r="E1" s="2" t="s">
        <v>249</v>
      </c>
      <c r="F1" s="2" t="s">
        <v>250</v>
      </c>
      <c r="G1" s="260" t="s">
        <v>251</v>
      </c>
      <c r="H1" s="260" t="s">
        <v>252</v>
      </c>
    </row>
    <row r="2" spans="1:15" ht="14.25" customHeight="1" x14ac:dyDescent="0.3">
      <c r="A2" s="261">
        <v>43922</v>
      </c>
      <c r="B2" s="262">
        <v>8253.7998046875</v>
      </c>
      <c r="C2" s="262">
        <v>2082.69995117188</v>
      </c>
      <c r="D2" s="259"/>
      <c r="E2" s="259"/>
      <c r="F2" s="2"/>
      <c r="G2" s="259"/>
      <c r="H2" s="259"/>
    </row>
    <row r="3" spans="1:15" ht="14.25" customHeight="1" x14ac:dyDescent="0.3">
      <c r="A3" s="261">
        <v>43924</v>
      </c>
      <c r="B3" s="262">
        <v>8083.7998046875</v>
      </c>
      <c r="C3" s="262">
        <v>2066.94995117188</v>
      </c>
      <c r="D3" s="259"/>
      <c r="E3" s="263">
        <f t="shared" ref="E3:E66" si="0">(B3-B2)/B2</f>
        <v>-2.0596574186770748E-2</v>
      </c>
      <c r="F3" s="263">
        <f t="shared" ref="F3:F66" si="1">(C3-C2)/C2</f>
        <v>-7.5622991161726841E-3</v>
      </c>
      <c r="G3" s="2">
        <f>SLOPE(F3:F1519,E3:E1519)</f>
        <v>0.64597458600801705</v>
      </c>
      <c r="H3" s="2">
        <f>_xlfn.COVARIANCE.S(F3:F1519,E3:E1519)/_xlfn.VAR.S(E3:E1519)</f>
        <v>0.64597458600801694</v>
      </c>
      <c r="J3" s="1" t="s">
        <v>253</v>
      </c>
    </row>
    <row r="4" spans="1:15" ht="15" customHeight="1" x14ac:dyDescent="0.3">
      <c r="A4" s="261">
        <v>43928</v>
      </c>
      <c r="B4" s="262">
        <v>8792.2001953125</v>
      </c>
      <c r="C4" s="262">
        <v>2170.25</v>
      </c>
      <c r="D4" s="259"/>
      <c r="E4" s="263">
        <f t="shared" si="0"/>
        <v>8.7632104671150374E-2</v>
      </c>
      <c r="F4" s="263">
        <f t="shared" si="1"/>
        <v>4.9977044083507151E-2</v>
      </c>
      <c r="G4" s="259"/>
      <c r="H4" s="259"/>
    </row>
    <row r="5" spans="1:15" ht="14.25" customHeight="1" x14ac:dyDescent="0.3">
      <c r="A5" s="261">
        <v>43929</v>
      </c>
      <c r="B5" s="262">
        <v>8748.75</v>
      </c>
      <c r="C5" s="262">
        <v>2278.75</v>
      </c>
      <c r="D5" s="259"/>
      <c r="E5" s="263">
        <f t="shared" si="0"/>
        <v>-4.9419024075071866E-3</v>
      </c>
      <c r="F5" s="263">
        <f t="shared" si="1"/>
        <v>4.9994240294896901E-2</v>
      </c>
      <c r="G5" s="259"/>
      <c r="H5" s="2">
        <f>0.67*H3+0.33</f>
        <v>0.76280297262537133</v>
      </c>
      <c r="J5" s="196" t="s">
        <v>254</v>
      </c>
      <c r="K5" s="196"/>
    </row>
    <row r="6" spans="1:15" ht="14.25" customHeight="1" x14ac:dyDescent="0.3">
      <c r="A6" s="261">
        <v>43930</v>
      </c>
      <c r="B6" s="262">
        <v>9111.900390625</v>
      </c>
      <c r="C6" s="262">
        <v>2392.64990234375</v>
      </c>
      <c r="D6" s="259"/>
      <c r="E6" s="263">
        <f t="shared" si="0"/>
        <v>4.1508831618802686E-2</v>
      </c>
      <c r="F6" s="263">
        <f t="shared" si="1"/>
        <v>4.9983500754251231E-2</v>
      </c>
      <c r="G6" s="259"/>
      <c r="H6" s="259"/>
      <c r="J6" s="1" t="s">
        <v>255</v>
      </c>
      <c r="K6" s="1">
        <v>0.34312357710028002</v>
      </c>
    </row>
    <row r="7" spans="1:15" ht="14.25" customHeight="1" x14ac:dyDescent="0.3">
      <c r="A7" s="261">
        <v>43934</v>
      </c>
      <c r="B7" s="262">
        <v>8993.849609375</v>
      </c>
      <c r="C7" s="262">
        <v>2273.05004882813</v>
      </c>
      <c r="D7" s="259"/>
      <c r="E7" s="263">
        <f t="shared" si="0"/>
        <v>-1.2955670737079107E-2</v>
      </c>
      <c r="F7" s="263">
        <f t="shared" si="1"/>
        <v>-4.9986357552128491E-2</v>
      </c>
      <c r="G7" s="259"/>
      <c r="H7" s="259"/>
      <c r="J7" s="1" t="s">
        <v>256</v>
      </c>
      <c r="K7" s="1">
        <v>0.117733789162092</v>
      </c>
    </row>
    <row r="8" spans="1:15" ht="14.25" customHeight="1" x14ac:dyDescent="0.3">
      <c r="A8" s="261">
        <v>43936</v>
      </c>
      <c r="B8" s="262">
        <v>8925.2998046875</v>
      </c>
      <c r="C8" s="262">
        <v>2180.89990234375</v>
      </c>
      <c r="D8" s="259"/>
      <c r="E8" s="263">
        <f t="shared" si="0"/>
        <v>-7.6218535626885646E-3</v>
      </c>
      <c r="F8" s="263">
        <f t="shared" si="1"/>
        <v>-4.054030685857004E-2</v>
      </c>
      <c r="G8" s="259"/>
      <c r="H8" s="259"/>
      <c r="J8" s="1" t="s">
        <v>257</v>
      </c>
      <c r="K8" s="1">
        <v>0.11715143522754499</v>
      </c>
    </row>
    <row r="9" spans="1:15" ht="14.25" customHeight="1" x14ac:dyDescent="0.3">
      <c r="A9" s="261">
        <v>43937</v>
      </c>
      <c r="B9" s="262">
        <v>8992.7998046875</v>
      </c>
      <c r="C9" s="262">
        <v>2137.85009765625</v>
      </c>
      <c r="D9" s="259"/>
      <c r="E9" s="263">
        <f t="shared" si="0"/>
        <v>7.5627711647903986E-3</v>
      </c>
      <c r="F9" s="263">
        <f t="shared" si="1"/>
        <v>-1.9739468391573416E-2</v>
      </c>
      <c r="G9" s="259"/>
      <c r="H9" s="259"/>
      <c r="J9" s="1" t="s">
        <v>258</v>
      </c>
      <c r="K9" s="1">
        <v>1.7364407711058599E-2</v>
      </c>
    </row>
    <row r="10" spans="1:15" ht="15" customHeight="1" x14ac:dyDescent="0.3">
      <c r="A10" s="261">
        <v>43938</v>
      </c>
      <c r="B10" s="262">
        <v>9266.75</v>
      </c>
      <c r="C10" s="262">
        <v>2212.10009765625</v>
      </c>
      <c r="D10" s="259"/>
      <c r="E10" s="263">
        <f t="shared" si="0"/>
        <v>3.0463281876874804E-2</v>
      </c>
      <c r="F10" s="263">
        <f t="shared" si="1"/>
        <v>3.473115354598582E-2</v>
      </c>
      <c r="G10" s="259"/>
      <c r="H10" s="259"/>
      <c r="J10" s="24" t="s">
        <v>259</v>
      </c>
      <c r="K10" s="24">
        <v>1517</v>
      </c>
    </row>
    <row r="11" spans="1:15" ht="14.25" customHeight="1" x14ac:dyDescent="0.3">
      <c r="A11" s="261">
        <v>43941</v>
      </c>
      <c r="B11" s="262">
        <v>9261.849609375</v>
      </c>
      <c r="C11" s="262">
        <v>2256.25</v>
      </c>
      <c r="D11" s="259"/>
      <c r="E11" s="263">
        <f t="shared" si="0"/>
        <v>-5.2881437666927461E-4</v>
      </c>
      <c r="F11" s="263">
        <f t="shared" si="1"/>
        <v>1.9958365532611936E-2</v>
      </c>
      <c r="G11" s="259"/>
      <c r="H11" s="259"/>
    </row>
    <row r="12" spans="1:15" ht="15" customHeight="1" x14ac:dyDescent="0.3">
      <c r="A12" s="261">
        <v>43942</v>
      </c>
      <c r="B12" s="262">
        <v>8981.4501953125</v>
      </c>
      <c r="C12" s="262">
        <v>2238.19995117188</v>
      </c>
      <c r="D12" s="259"/>
      <c r="E12" s="263">
        <f t="shared" si="0"/>
        <v>-3.0274667144095602E-2</v>
      </c>
      <c r="F12" s="263">
        <f t="shared" si="1"/>
        <v>-8.0000216412720211E-3</v>
      </c>
      <c r="G12" s="259"/>
      <c r="H12" s="259"/>
      <c r="J12" s="1" t="s">
        <v>260</v>
      </c>
    </row>
    <row r="13" spans="1:15" ht="14.25" customHeight="1" x14ac:dyDescent="0.3">
      <c r="A13" s="261">
        <v>43943</v>
      </c>
      <c r="B13" s="262">
        <v>9187.2998046875</v>
      </c>
      <c r="C13" s="262">
        <v>2290.05004882813</v>
      </c>
      <c r="D13" s="259"/>
      <c r="E13" s="263">
        <f t="shared" si="0"/>
        <v>2.2919417788725787E-2</v>
      </c>
      <c r="F13" s="263">
        <f t="shared" si="1"/>
        <v>2.3165981050576937E-2</v>
      </c>
      <c r="G13" s="259"/>
      <c r="H13" s="259"/>
      <c r="J13" s="23"/>
      <c r="K13" s="23" t="s">
        <v>261</v>
      </c>
      <c r="L13" s="23" t="s">
        <v>262</v>
      </c>
      <c r="M13" s="23" t="s">
        <v>263</v>
      </c>
      <c r="N13" s="23" t="s">
        <v>264</v>
      </c>
      <c r="O13" s="23" t="s">
        <v>265</v>
      </c>
    </row>
    <row r="14" spans="1:15" ht="14.25" customHeight="1" x14ac:dyDescent="0.3">
      <c r="A14" s="261">
        <v>43944</v>
      </c>
      <c r="B14" s="262">
        <v>9313.900390625</v>
      </c>
      <c r="C14" s="262">
        <v>2303.5</v>
      </c>
      <c r="D14" s="259"/>
      <c r="E14" s="263">
        <f t="shared" si="0"/>
        <v>1.3779955877014752E-2</v>
      </c>
      <c r="F14" s="263">
        <f t="shared" si="1"/>
        <v>5.8732127617702676E-3</v>
      </c>
      <c r="G14" s="259"/>
      <c r="H14" s="259"/>
      <c r="J14" s="1" t="s">
        <v>266</v>
      </c>
      <c r="K14" s="1">
        <v>1</v>
      </c>
      <c r="L14" s="1">
        <v>6.0958469761798098E-2</v>
      </c>
      <c r="M14" s="1">
        <v>6.0958469761798098E-2</v>
      </c>
      <c r="N14" s="1">
        <v>202.168788047737</v>
      </c>
      <c r="O14" s="1">
        <v>3.6798024883126697E-43</v>
      </c>
    </row>
    <row r="15" spans="1:15" ht="14.25" customHeight="1" x14ac:dyDescent="0.3">
      <c r="A15" s="261">
        <v>43945</v>
      </c>
      <c r="B15" s="262">
        <v>9154.400390625</v>
      </c>
      <c r="C15" s="262">
        <v>2310.5</v>
      </c>
      <c r="D15" s="259"/>
      <c r="E15" s="263">
        <f t="shared" si="0"/>
        <v>-1.7124941572334865E-2</v>
      </c>
      <c r="F15" s="263">
        <f t="shared" si="1"/>
        <v>3.0388539179509442E-3</v>
      </c>
      <c r="G15" s="259"/>
      <c r="H15" s="259"/>
      <c r="J15" s="1" t="s">
        <v>267</v>
      </c>
      <c r="K15" s="1">
        <v>1515</v>
      </c>
      <c r="L15" s="1">
        <v>0.45680682256114402</v>
      </c>
      <c r="M15" s="1">
        <v>3.0152265515587099E-4</v>
      </c>
    </row>
    <row r="16" spans="1:15" ht="15" customHeight="1" x14ac:dyDescent="0.3">
      <c r="A16" s="261">
        <v>43948</v>
      </c>
      <c r="B16" s="262">
        <v>9282.2998046875</v>
      </c>
      <c r="C16" s="262">
        <v>2323.94995117188</v>
      </c>
      <c r="D16" s="259"/>
      <c r="E16" s="263">
        <f t="shared" si="0"/>
        <v>1.3971358975458566E-2</v>
      </c>
      <c r="F16" s="263">
        <f t="shared" si="1"/>
        <v>5.8212296783726478E-3</v>
      </c>
      <c r="G16" s="259"/>
      <c r="H16" s="259"/>
      <c r="J16" s="24" t="s">
        <v>268</v>
      </c>
      <c r="K16" s="24">
        <v>1516</v>
      </c>
      <c r="L16" s="24">
        <v>0.51776529232294199</v>
      </c>
      <c r="M16" s="24"/>
      <c r="N16" s="24"/>
      <c r="O16" s="24"/>
    </row>
    <row r="17" spans="1:18" ht="15" customHeight="1" x14ac:dyDescent="0.3">
      <c r="A17" s="261">
        <v>43949</v>
      </c>
      <c r="B17" s="262">
        <v>9380.900390625</v>
      </c>
      <c r="C17" s="262">
        <v>2305.80004882813</v>
      </c>
      <c r="D17" s="259"/>
      <c r="E17" s="263">
        <f t="shared" si="0"/>
        <v>1.0622430648890199E-2</v>
      </c>
      <c r="F17" s="263">
        <f t="shared" si="1"/>
        <v>-7.8099368424856533E-3</v>
      </c>
      <c r="G17" s="259"/>
      <c r="H17" s="259"/>
    </row>
    <row r="18" spans="1:18" ht="14.25" customHeight="1" x14ac:dyDescent="0.3">
      <c r="A18" s="261">
        <v>43950</v>
      </c>
      <c r="B18" s="262">
        <v>9553.349609375</v>
      </c>
      <c r="C18" s="262">
        <v>2344.35009765625</v>
      </c>
      <c r="D18" s="259"/>
      <c r="E18" s="263">
        <f t="shared" si="0"/>
        <v>1.838301352419654E-2</v>
      </c>
      <c r="F18" s="263">
        <f t="shared" si="1"/>
        <v>1.6718730163837136E-2</v>
      </c>
      <c r="G18" s="259"/>
      <c r="H18" s="259"/>
      <c r="J18" s="23"/>
      <c r="K18" s="23" t="s">
        <v>269</v>
      </c>
      <c r="L18" s="23" t="s">
        <v>258</v>
      </c>
      <c r="M18" s="23" t="s">
        <v>270</v>
      </c>
      <c r="N18" s="23" t="s">
        <v>271</v>
      </c>
      <c r="O18" s="23" t="s">
        <v>272</v>
      </c>
      <c r="P18" s="23" t="s">
        <v>273</v>
      </c>
      <c r="Q18" s="23" t="s">
        <v>274</v>
      </c>
      <c r="R18" s="23" t="s">
        <v>275</v>
      </c>
    </row>
    <row r="19" spans="1:18" ht="14.25" customHeight="1" x14ac:dyDescent="0.3">
      <c r="A19" s="261">
        <v>43951</v>
      </c>
      <c r="B19" s="262">
        <v>9859.900390625</v>
      </c>
      <c r="C19" s="262">
        <v>2383.64990234375</v>
      </c>
      <c r="D19" s="259"/>
      <c r="E19" s="263">
        <f t="shared" si="0"/>
        <v>3.2088303452139151E-2</v>
      </c>
      <c r="F19" s="263">
        <f t="shared" si="1"/>
        <v>1.6763624480315351E-2</v>
      </c>
      <c r="G19" s="259"/>
      <c r="H19" s="259"/>
      <c r="J19" s="1" t="s">
        <v>276</v>
      </c>
      <c r="K19" s="1">
        <v>1.2946393478311901E-4</v>
      </c>
      <c r="L19" s="1">
        <v>4.47137905436195E-4</v>
      </c>
      <c r="M19" s="1">
        <v>0.28953916277087699</v>
      </c>
      <c r="N19" s="1">
        <v>0.77220843326146205</v>
      </c>
      <c r="O19" s="1">
        <v>-7.4761095957264195E-4</v>
      </c>
      <c r="P19" s="1">
        <v>1.0065388291388799E-3</v>
      </c>
      <c r="Q19" s="1">
        <v>-7.4761095957264195E-4</v>
      </c>
      <c r="R19" s="1">
        <v>1.0065388291388799E-3</v>
      </c>
    </row>
    <row r="20" spans="1:18" ht="15" customHeight="1" x14ac:dyDescent="0.3">
      <c r="A20" s="261">
        <v>43955</v>
      </c>
      <c r="B20" s="262">
        <v>9293.5</v>
      </c>
      <c r="C20" s="262">
        <v>2281.30004882813</v>
      </c>
      <c r="D20" s="259"/>
      <c r="E20" s="263">
        <f t="shared" si="0"/>
        <v>-5.7444839013134998E-2</v>
      </c>
      <c r="F20" s="263">
        <f t="shared" si="1"/>
        <v>-4.2938291153823964E-2</v>
      </c>
      <c r="G20" s="259"/>
      <c r="H20" s="259"/>
      <c r="J20" s="24" t="s">
        <v>277</v>
      </c>
      <c r="K20" s="24">
        <v>0.64597458600802105</v>
      </c>
      <c r="L20" s="24">
        <v>4.5431636247600701E-2</v>
      </c>
      <c r="M20" s="24">
        <v>14.218607106455201</v>
      </c>
      <c r="N20" s="24">
        <v>3.6798024883126697E-43</v>
      </c>
      <c r="O20" s="24">
        <v>0.55685901992018905</v>
      </c>
      <c r="P20" s="24">
        <v>0.73509015209585205</v>
      </c>
      <c r="Q20" s="24">
        <v>0.55685901992018905</v>
      </c>
      <c r="R20" s="24">
        <v>0.73509015209585205</v>
      </c>
    </row>
    <row r="21" spans="1:18" ht="14.25" customHeight="1" x14ac:dyDescent="0.3">
      <c r="A21" s="261">
        <v>43956</v>
      </c>
      <c r="B21" s="262">
        <v>9205.599609375</v>
      </c>
      <c r="C21" s="262">
        <v>2198.94995117188</v>
      </c>
      <c r="D21" s="259"/>
      <c r="E21" s="263">
        <f t="shared" si="0"/>
        <v>-9.4582655216011186E-3</v>
      </c>
      <c r="F21" s="263">
        <f t="shared" si="1"/>
        <v>-3.6097880986129829E-2</v>
      </c>
      <c r="G21" s="259"/>
      <c r="H21" s="259"/>
    </row>
    <row r="22" spans="1:18" ht="14.25" customHeight="1" x14ac:dyDescent="0.3">
      <c r="A22" s="261">
        <v>43957</v>
      </c>
      <c r="B22" s="262">
        <v>9270.900390625</v>
      </c>
      <c r="C22" s="262">
        <v>2175.60009765625</v>
      </c>
      <c r="D22" s="259"/>
      <c r="E22" s="263">
        <f t="shared" si="0"/>
        <v>7.0935934671216378E-3</v>
      </c>
      <c r="F22" s="263">
        <f t="shared" si="1"/>
        <v>-1.0618638001827297E-2</v>
      </c>
      <c r="G22" s="259"/>
      <c r="H22" s="259"/>
    </row>
    <row r="23" spans="1:18" ht="14.25" customHeight="1" x14ac:dyDescent="0.3">
      <c r="A23" s="261">
        <v>43958</v>
      </c>
      <c r="B23" s="262">
        <v>9199.0498046875</v>
      </c>
      <c r="C23" s="262">
        <v>2182.10009765625</v>
      </c>
      <c r="D23" s="259"/>
      <c r="E23" s="263">
        <f t="shared" si="0"/>
        <v>-7.7501195040513404E-3</v>
      </c>
      <c r="F23" s="263">
        <f t="shared" si="1"/>
        <v>2.9876814250019471E-3</v>
      </c>
      <c r="G23" s="259"/>
      <c r="H23" s="259"/>
    </row>
    <row r="24" spans="1:18" ht="14.25" customHeight="1" x14ac:dyDescent="0.3">
      <c r="A24" s="261">
        <v>43959</v>
      </c>
      <c r="B24" s="262">
        <v>9251.5</v>
      </c>
      <c r="C24" s="262">
        <v>2255</v>
      </c>
      <c r="D24" s="259"/>
      <c r="E24" s="263">
        <f t="shared" si="0"/>
        <v>5.7016970693835461E-3</v>
      </c>
      <c r="F24" s="263">
        <f t="shared" si="1"/>
        <v>3.3408138527673562E-2</v>
      </c>
      <c r="G24" s="259"/>
      <c r="H24" s="259"/>
    </row>
    <row r="25" spans="1:18" ht="14.25" customHeight="1" x14ac:dyDescent="0.3">
      <c r="A25" s="261">
        <v>43962</v>
      </c>
      <c r="B25" s="262">
        <v>9239.2001953125</v>
      </c>
      <c r="C25" s="262">
        <v>2313.55004882813</v>
      </c>
      <c r="D25" s="259"/>
      <c r="E25" s="263">
        <f t="shared" si="0"/>
        <v>-1.3294930214019349E-3</v>
      </c>
      <c r="F25" s="263">
        <f t="shared" si="1"/>
        <v>2.5964544934869181E-2</v>
      </c>
      <c r="G25" s="259"/>
      <c r="H25" s="259"/>
    </row>
    <row r="26" spans="1:18" ht="14.25" customHeight="1" x14ac:dyDescent="0.3">
      <c r="A26" s="261">
        <v>43963</v>
      </c>
      <c r="B26" s="262">
        <v>9196.5498046875</v>
      </c>
      <c r="C26" s="262">
        <v>2303.35009765625</v>
      </c>
      <c r="D26" s="259"/>
      <c r="E26" s="263">
        <f t="shared" si="0"/>
        <v>-4.6162427183511663E-3</v>
      </c>
      <c r="F26" s="263">
        <f t="shared" si="1"/>
        <v>-4.4087877748944871E-3</v>
      </c>
      <c r="G26" s="259"/>
      <c r="H26" s="259"/>
    </row>
    <row r="27" spans="1:18" ht="14.25" customHeight="1" x14ac:dyDescent="0.3">
      <c r="A27" s="261">
        <v>43964</v>
      </c>
      <c r="B27" s="262">
        <v>9383.5498046875</v>
      </c>
      <c r="C27" s="262">
        <v>2352.14990234375</v>
      </c>
      <c r="D27" s="259"/>
      <c r="E27" s="263">
        <f t="shared" si="0"/>
        <v>2.0333712530397619E-2</v>
      </c>
      <c r="F27" s="263">
        <f t="shared" si="1"/>
        <v>2.118644696572863E-2</v>
      </c>
      <c r="G27" s="259"/>
      <c r="H27" s="259"/>
    </row>
    <row r="28" spans="1:18" ht="14.25" customHeight="1" x14ac:dyDescent="0.3">
      <c r="A28" s="261">
        <v>43965</v>
      </c>
      <c r="B28" s="262">
        <v>9142.75</v>
      </c>
      <c r="C28" s="262">
        <v>2324.39990234375</v>
      </c>
      <c r="D28" s="259"/>
      <c r="E28" s="263">
        <f t="shared" si="0"/>
        <v>-2.5661909373274686E-2</v>
      </c>
      <c r="F28" s="263">
        <f t="shared" si="1"/>
        <v>-1.1797717472151371E-2</v>
      </c>
      <c r="G28" s="259"/>
      <c r="H28" s="259"/>
    </row>
    <row r="29" spans="1:18" ht="14.25" customHeight="1" x14ac:dyDescent="0.3">
      <c r="A29" s="261">
        <v>43966</v>
      </c>
      <c r="B29" s="262">
        <v>9136.849609375</v>
      </c>
      <c r="C29" s="262">
        <v>2333.80004882813</v>
      </c>
      <c r="D29" s="259"/>
      <c r="E29" s="263">
        <f t="shared" si="0"/>
        <v>-6.453627874545405E-4</v>
      </c>
      <c r="F29" s="263">
        <f t="shared" si="1"/>
        <v>4.0441175698302176E-3</v>
      </c>
      <c r="G29" s="259"/>
      <c r="H29" s="259"/>
    </row>
    <row r="30" spans="1:18" ht="14.25" customHeight="1" x14ac:dyDescent="0.3">
      <c r="A30" s="261">
        <v>43969</v>
      </c>
      <c r="B30" s="262">
        <v>8823.25</v>
      </c>
      <c r="C30" s="262">
        <v>2306.55004882813</v>
      </c>
      <c r="D30" s="259"/>
      <c r="E30" s="263">
        <f t="shared" si="0"/>
        <v>-3.4322509703259917E-2</v>
      </c>
      <c r="F30" s="263">
        <f t="shared" si="1"/>
        <v>-1.167623593704312E-2</v>
      </c>
      <c r="G30" s="259"/>
      <c r="H30" s="259"/>
    </row>
    <row r="31" spans="1:18" ht="14.25" customHeight="1" x14ac:dyDescent="0.3">
      <c r="A31" s="261">
        <v>43970</v>
      </c>
      <c r="B31" s="262">
        <v>8879.099609375</v>
      </c>
      <c r="C31" s="262">
        <v>2337.5</v>
      </c>
      <c r="D31" s="259"/>
      <c r="E31" s="263">
        <f t="shared" si="0"/>
        <v>6.3298228402232735E-3</v>
      </c>
      <c r="F31" s="263">
        <f t="shared" si="1"/>
        <v>1.3418287276096388E-2</v>
      </c>
      <c r="G31" s="259"/>
      <c r="H31" s="259"/>
    </row>
    <row r="32" spans="1:18" ht="14.25" customHeight="1" x14ac:dyDescent="0.3">
      <c r="A32" s="261">
        <v>43971</v>
      </c>
      <c r="B32" s="262">
        <v>9066.5498046875</v>
      </c>
      <c r="C32" s="262">
        <v>2454.35009765625</v>
      </c>
      <c r="D32" s="259"/>
      <c r="E32" s="263">
        <f t="shared" si="0"/>
        <v>2.1111396826157987E-2</v>
      </c>
      <c r="F32" s="263">
        <f t="shared" si="1"/>
        <v>4.9989346590909089E-2</v>
      </c>
      <c r="G32" s="259"/>
      <c r="H32" s="259"/>
    </row>
    <row r="33" spans="1:8" ht="14.25" customHeight="1" x14ac:dyDescent="0.3">
      <c r="A33" s="261">
        <v>43972</v>
      </c>
      <c r="B33" s="262">
        <v>9106.25</v>
      </c>
      <c r="C33" s="262">
        <v>2470.25</v>
      </c>
      <c r="D33" s="259"/>
      <c r="E33" s="263">
        <f t="shared" si="0"/>
        <v>4.378754451001261E-3</v>
      </c>
      <c r="F33" s="263">
        <f t="shared" si="1"/>
        <v>6.4782535950895538E-3</v>
      </c>
      <c r="G33" s="259"/>
      <c r="H33" s="259"/>
    </row>
    <row r="34" spans="1:8" ht="14.25" customHeight="1" x14ac:dyDescent="0.3">
      <c r="A34" s="261">
        <v>43973</v>
      </c>
      <c r="B34" s="262">
        <v>9039.25</v>
      </c>
      <c r="C34" s="262">
        <v>2398.30004882813</v>
      </c>
      <c r="D34" s="259"/>
      <c r="E34" s="263">
        <f t="shared" si="0"/>
        <v>-7.3575840768702813E-3</v>
      </c>
      <c r="F34" s="263">
        <f t="shared" si="1"/>
        <v>-2.9126586852290252E-2</v>
      </c>
      <c r="G34" s="259"/>
      <c r="H34" s="259"/>
    </row>
    <row r="35" spans="1:8" ht="14.25" customHeight="1" x14ac:dyDescent="0.3">
      <c r="A35" s="261">
        <v>43977</v>
      </c>
      <c r="B35" s="262">
        <v>9029.0498046875</v>
      </c>
      <c r="C35" s="262">
        <v>2283.25</v>
      </c>
      <c r="D35" s="259"/>
      <c r="E35" s="263">
        <f t="shared" si="0"/>
        <v>-1.1284338094974694E-3</v>
      </c>
      <c r="F35" s="263">
        <f t="shared" si="1"/>
        <v>-4.7971499180991285E-2</v>
      </c>
      <c r="G35" s="259"/>
      <c r="H35" s="259"/>
    </row>
    <row r="36" spans="1:8" ht="14.25" customHeight="1" x14ac:dyDescent="0.3">
      <c r="A36" s="261">
        <v>43978</v>
      </c>
      <c r="B36" s="262">
        <v>9314.9501953125</v>
      </c>
      <c r="C36" s="262">
        <v>2200.19995117188</v>
      </c>
      <c r="D36" s="259"/>
      <c r="E36" s="263">
        <f t="shared" si="0"/>
        <v>3.1664504771761547E-2</v>
      </c>
      <c r="F36" s="263">
        <f t="shared" si="1"/>
        <v>-3.6373611662376001E-2</v>
      </c>
      <c r="G36" s="259"/>
      <c r="H36" s="259"/>
    </row>
    <row r="37" spans="1:8" ht="14.25" customHeight="1" x14ac:dyDescent="0.3">
      <c r="A37" s="261">
        <v>43979</v>
      </c>
      <c r="B37" s="262">
        <v>9490.099609375</v>
      </c>
      <c r="C37" s="262">
        <v>2308.44995117188</v>
      </c>
      <c r="D37" s="259"/>
      <c r="E37" s="263">
        <f t="shared" si="0"/>
        <v>1.8803043536468854E-2</v>
      </c>
      <c r="F37" s="263">
        <f t="shared" si="1"/>
        <v>4.9200073812538457E-2</v>
      </c>
      <c r="G37" s="259"/>
      <c r="H37" s="259"/>
    </row>
    <row r="38" spans="1:8" ht="14.25" customHeight="1" x14ac:dyDescent="0.3">
      <c r="A38" s="261">
        <v>43980</v>
      </c>
      <c r="B38" s="262">
        <v>9580.2998046875</v>
      </c>
      <c r="C38" s="262">
        <v>2269.35009765625</v>
      </c>
      <c r="D38" s="259"/>
      <c r="E38" s="263">
        <f t="shared" si="0"/>
        <v>9.5046626511057671E-3</v>
      </c>
      <c r="F38" s="263">
        <f t="shared" si="1"/>
        <v>-1.6937709000700248E-2</v>
      </c>
      <c r="G38" s="259"/>
      <c r="H38" s="259"/>
    </row>
    <row r="39" spans="1:8" ht="14.25" customHeight="1" x14ac:dyDescent="0.3">
      <c r="A39" s="261">
        <v>43983</v>
      </c>
      <c r="B39" s="262">
        <v>9826.150390625</v>
      </c>
      <c r="C39" s="262">
        <v>2305.5</v>
      </c>
      <c r="D39" s="259"/>
      <c r="E39" s="263">
        <f t="shared" si="0"/>
        <v>2.5662097319460599E-2</v>
      </c>
      <c r="F39" s="263">
        <f t="shared" si="1"/>
        <v>1.5929627773645445E-2</v>
      </c>
      <c r="G39" s="259"/>
      <c r="H39" s="259"/>
    </row>
    <row r="40" spans="1:8" ht="14.25" customHeight="1" x14ac:dyDescent="0.3">
      <c r="A40" s="261">
        <v>43984</v>
      </c>
      <c r="B40" s="262">
        <v>9979.099609375</v>
      </c>
      <c r="C40" s="262">
        <v>2381.69995117188</v>
      </c>
      <c r="D40" s="259"/>
      <c r="E40" s="263">
        <f t="shared" si="0"/>
        <v>1.556552797074293E-2</v>
      </c>
      <c r="F40" s="263">
        <f t="shared" si="1"/>
        <v>3.305137764991542E-2</v>
      </c>
      <c r="G40" s="259"/>
      <c r="H40" s="259"/>
    </row>
    <row r="41" spans="1:8" ht="14.25" customHeight="1" x14ac:dyDescent="0.3">
      <c r="A41" s="261">
        <v>43985</v>
      </c>
      <c r="B41" s="262">
        <v>10061.5498046875</v>
      </c>
      <c r="C41" s="262">
        <v>2349.30004882813</v>
      </c>
      <c r="D41" s="259"/>
      <c r="E41" s="263">
        <f t="shared" si="0"/>
        <v>8.262288035990847E-3</v>
      </c>
      <c r="F41" s="263">
        <f t="shared" si="1"/>
        <v>-1.3603687705417348E-2</v>
      </c>
      <c r="G41" s="259"/>
      <c r="H41" s="259"/>
    </row>
    <row r="42" spans="1:8" ht="14.25" customHeight="1" x14ac:dyDescent="0.3">
      <c r="A42" s="261">
        <v>43986</v>
      </c>
      <c r="B42" s="262">
        <v>10029.099609375</v>
      </c>
      <c r="C42" s="262">
        <v>2414.19995117188</v>
      </c>
      <c r="D42" s="259"/>
      <c r="E42" s="263">
        <f t="shared" si="0"/>
        <v>-3.2251686810099594E-3</v>
      </c>
      <c r="F42" s="263">
        <f t="shared" si="1"/>
        <v>2.7625207932091583E-2</v>
      </c>
      <c r="G42" s="259"/>
      <c r="H42" s="259"/>
    </row>
    <row r="43" spans="1:8" ht="14.25" customHeight="1" x14ac:dyDescent="0.3">
      <c r="A43" s="261">
        <v>43987</v>
      </c>
      <c r="B43" s="262">
        <v>10142.150390625</v>
      </c>
      <c r="C43" s="262">
        <v>2499</v>
      </c>
      <c r="D43" s="259"/>
      <c r="E43" s="263">
        <f t="shared" si="0"/>
        <v>1.1272276241460641E-2</v>
      </c>
      <c r="F43" s="263">
        <f t="shared" si="1"/>
        <v>3.512552835027484E-2</v>
      </c>
      <c r="G43" s="259"/>
      <c r="H43" s="259"/>
    </row>
    <row r="44" spans="1:8" ht="14.25" customHeight="1" x14ac:dyDescent="0.3">
      <c r="A44" s="261">
        <v>43990</v>
      </c>
      <c r="B44" s="262">
        <v>10167.4501953125</v>
      </c>
      <c r="C44" s="262">
        <v>2459.5</v>
      </c>
      <c r="D44" s="259"/>
      <c r="E44" s="263">
        <f t="shared" si="0"/>
        <v>2.4945207587225419E-3</v>
      </c>
      <c r="F44" s="263">
        <f t="shared" si="1"/>
        <v>-1.5806322529011603E-2</v>
      </c>
      <c r="G44" s="259"/>
      <c r="H44" s="259"/>
    </row>
    <row r="45" spans="1:8" ht="14.25" customHeight="1" x14ac:dyDescent="0.3">
      <c r="A45" s="261">
        <v>43991</v>
      </c>
      <c r="B45" s="262">
        <v>10046.650390625</v>
      </c>
      <c r="C45" s="262">
        <v>2390.10009765625</v>
      </c>
      <c r="D45" s="259"/>
      <c r="E45" s="263">
        <f t="shared" si="0"/>
        <v>-1.1881032349997872E-2</v>
      </c>
      <c r="F45" s="263">
        <f t="shared" si="1"/>
        <v>-2.821707759453141E-2</v>
      </c>
      <c r="G45" s="259"/>
      <c r="H45" s="259"/>
    </row>
    <row r="46" spans="1:8" ht="14.25" customHeight="1" x14ac:dyDescent="0.3">
      <c r="A46" s="261">
        <v>43992</v>
      </c>
      <c r="B46" s="262">
        <v>10116.150390625</v>
      </c>
      <c r="C46" s="262">
        <v>2388.35009765625</v>
      </c>
      <c r="D46" s="259"/>
      <c r="E46" s="263">
        <f t="shared" si="0"/>
        <v>6.9177285262014996E-3</v>
      </c>
      <c r="F46" s="263">
        <f t="shared" si="1"/>
        <v>-7.3218690786886419E-4</v>
      </c>
      <c r="G46" s="259"/>
      <c r="H46" s="259"/>
    </row>
    <row r="47" spans="1:8" ht="14.25" customHeight="1" x14ac:dyDescent="0.3">
      <c r="A47" s="261">
        <v>43993</v>
      </c>
      <c r="B47" s="262">
        <v>9902</v>
      </c>
      <c r="C47" s="262">
        <v>2406.5</v>
      </c>
      <c r="D47" s="259"/>
      <c r="E47" s="263">
        <f t="shared" si="0"/>
        <v>-2.1169158460066079E-2</v>
      </c>
      <c r="F47" s="263">
        <f t="shared" si="1"/>
        <v>7.5993475000005108E-3</v>
      </c>
      <c r="G47" s="259"/>
      <c r="H47" s="259"/>
    </row>
    <row r="48" spans="1:8" ht="14.25" customHeight="1" x14ac:dyDescent="0.3">
      <c r="A48" s="261">
        <v>43994</v>
      </c>
      <c r="B48" s="262">
        <v>9972.900390625</v>
      </c>
      <c r="C48" s="262">
        <v>2397.80004882813</v>
      </c>
      <c r="D48" s="259"/>
      <c r="E48" s="263">
        <f t="shared" si="0"/>
        <v>7.1602091117955969E-3</v>
      </c>
      <c r="F48" s="263">
        <f t="shared" si="1"/>
        <v>-3.6151885193725316E-3</v>
      </c>
      <c r="G48" s="259"/>
      <c r="H48" s="259"/>
    </row>
    <row r="49" spans="1:8" ht="14.25" customHeight="1" x14ac:dyDescent="0.3">
      <c r="A49" s="261">
        <v>43997</v>
      </c>
      <c r="B49" s="262">
        <v>9813.7001953125</v>
      </c>
      <c r="C49" s="262">
        <v>2365.30004882813</v>
      </c>
      <c r="D49" s="259"/>
      <c r="E49" s="263">
        <f t="shared" si="0"/>
        <v>-1.5963279394844428E-2</v>
      </c>
      <c r="F49" s="263">
        <f t="shared" si="1"/>
        <v>-1.3554090974301061E-2</v>
      </c>
      <c r="G49" s="259"/>
      <c r="H49" s="259"/>
    </row>
    <row r="50" spans="1:8" ht="14.25" customHeight="1" x14ac:dyDescent="0.3">
      <c r="A50" s="261">
        <v>43998</v>
      </c>
      <c r="B50" s="262">
        <v>9914</v>
      </c>
      <c r="C50" s="262">
        <v>2403.55004882813</v>
      </c>
      <c r="D50" s="259"/>
      <c r="E50" s="263">
        <f t="shared" si="0"/>
        <v>1.0220386061458048E-2</v>
      </c>
      <c r="F50" s="263">
        <f t="shared" si="1"/>
        <v>1.6171309859377321E-2</v>
      </c>
      <c r="G50" s="259"/>
      <c r="H50" s="259"/>
    </row>
    <row r="51" spans="1:8" ht="14.25" customHeight="1" x14ac:dyDescent="0.3">
      <c r="A51" s="261">
        <v>43999</v>
      </c>
      <c r="B51" s="262">
        <v>9881.150390625</v>
      </c>
      <c r="C51" s="262">
        <v>2340.39990234375</v>
      </c>
      <c r="D51" s="259"/>
      <c r="E51" s="263">
        <f t="shared" si="0"/>
        <v>-3.3134566648174301E-3</v>
      </c>
      <c r="F51" s="263">
        <f t="shared" si="1"/>
        <v>-2.6273697323327783E-2</v>
      </c>
      <c r="G51" s="259"/>
      <c r="H51" s="259"/>
    </row>
    <row r="52" spans="1:8" ht="14.25" customHeight="1" x14ac:dyDescent="0.3">
      <c r="A52" s="261">
        <v>44000</v>
      </c>
      <c r="B52" s="262">
        <v>10091.650390625</v>
      </c>
      <c r="C52" s="262">
        <v>2350.85009765625</v>
      </c>
      <c r="D52" s="259"/>
      <c r="E52" s="263">
        <f t="shared" si="0"/>
        <v>2.1303187551898549E-2</v>
      </c>
      <c r="F52" s="263">
        <f t="shared" si="1"/>
        <v>4.4651323485507093E-3</v>
      </c>
      <c r="G52" s="259"/>
      <c r="H52" s="259"/>
    </row>
    <row r="53" spans="1:8" ht="14.25" customHeight="1" x14ac:dyDescent="0.3">
      <c r="A53" s="261">
        <v>44001</v>
      </c>
      <c r="B53" s="262">
        <v>10244.400390625</v>
      </c>
      <c r="C53" s="262">
        <v>2363.14990234375</v>
      </c>
      <c r="D53" s="259"/>
      <c r="E53" s="263">
        <f t="shared" si="0"/>
        <v>1.5136275444292302E-2</v>
      </c>
      <c r="F53" s="263">
        <f t="shared" si="1"/>
        <v>5.2320667743820234E-3</v>
      </c>
      <c r="G53" s="259"/>
      <c r="H53" s="259"/>
    </row>
    <row r="54" spans="1:8" ht="14.25" customHeight="1" x14ac:dyDescent="0.3">
      <c r="A54" s="261">
        <v>44004</v>
      </c>
      <c r="B54" s="262">
        <v>10311.2001953125</v>
      </c>
      <c r="C54" s="262">
        <v>2350.39990234375</v>
      </c>
      <c r="D54" s="259"/>
      <c r="E54" s="263">
        <f t="shared" si="0"/>
        <v>6.5206163504338216E-3</v>
      </c>
      <c r="F54" s="263">
        <f t="shared" si="1"/>
        <v>-5.3953411873511152E-3</v>
      </c>
      <c r="G54" s="259"/>
      <c r="H54" s="259"/>
    </row>
    <row r="55" spans="1:8" ht="14.25" customHeight="1" x14ac:dyDescent="0.3">
      <c r="A55" s="261">
        <v>44005</v>
      </c>
      <c r="B55" s="262">
        <v>10471</v>
      </c>
      <c r="C55" s="262">
        <v>2359.89990234375</v>
      </c>
      <c r="D55" s="259"/>
      <c r="E55" s="263">
        <f t="shared" si="0"/>
        <v>1.5497691991291706E-2</v>
      </c>
      <c r="F55" s="263">
        <f t="shared" si="1"/>
        <v>4.0418653823661574E-3</v>
      </c>
      <c r="G55" s="259"/>
      <c r="H55" s="259"/>
    </row>
    <row r="56" spans="1:8" ht="14.25" customHeight="1" x14ac:dyDescent="0.3">
      <c r="A56" s="261">
        <v>44006</v>
      </c>
      <c r="B56" s="262">
        <v>10305.2998046875</v>
      </c>
      <c r="C56" s="262">
        <v>2358.35009765625</v>
      </c>
      <c r="D56" s="259"/>
      <c r="E56" s="263">
        <f t="shared" si="0"/>
        <v>-1.5824677233549803E-2</v>
      </c>
      <c r="F56" s="263">
        <f t="shared" si="1"/>
        <v>-6.5672475597833681E-4</v>
      </c>
      <c r="G56" s="259"/>
      <c r="H56" s="259"/>
    </row>
    <row r="57" spans="1:8" ht="14.25" customHeight="1" x14ac:dyDescent="0.3">
      <c r="A57" s="261">
        <v>44007</v>
      </c>
      <c r="B57" s="262">
        <v>10288.900390625</v>
      </c>
      <c r="C57" s="262">
        <v>2305.55004882813</v>
      </c>
      <c r="D57" s="259"/>
      <c r="E57" s="263">
        <f t="shared" si="0"/>
        <v>-1.5913572989929427E-3</v>
      </c>
      <c r="F57" s="263">
        <f t="shared" si="1"/>
        <v>-2.238855413392319E-2</v>
      </c>
      <c r="G57" s="259"/>
      <c r="H57" s="259"/>
    </row>
    <row r="58" spans="1:8" ht="14.25" customHeight="1" x14ac:dyDescent="0.3">
      <c r="A58" s="261">
        <v>44008</v>
      </c>
      <c r="B58" s="262">
        <v>10383</v>
      </c>
      <c r="C58" s="262">
        <v>2294.39990234375</v>
      </c>
      <c r="D58" s="259"/>
      <c r="E58" s="263">
        <f t="shared" si="0"/>
        <v>9.1457401473865295E-3</v>
      </c>
      <c r="F58" s="263">
        <f t="shared" si="1"/>
        <v>-4.8362196648246364E-3</v>
      </c>
      <c r="G58" s="259"/>
      <c r="H58" s="259"/>
    </row>
    <row r="59" spans="1:8" ht="14.25" customHeight="1" x14ac:dyDescent="0.3">
      <c r="A59" s="261">
        <v>44011</v>
      </c>
      <c r="B59" s="262">
        <v>10312.400390625</v>
      </c>
      <c r="C59" s="262">
        <v>2290.94995117188</v>
      </c>
      <c r="D59" s="259"/>
      <c r="E59" s="263">
        <f t="shared" si="0"/>
        <v>-6.7995386087835886E-3</v>
      </c>
      <c r="F59" s="263">
        <f t="shared" si="1"/>
        <v>-1.5036398704279239E-3</v>
      </c>
      <c r="G59" s="259"/>
      <c r="H59" s="259"/>
    </row>
    <row r="60" spans="1:8" ht="14.25" customHeight="1" x14ac:dyDescent="0.3">
      <c r="A60" s="261">
        <v>44012</v>
      </c>
      <c r="B60" s="262">
        <v>10302.099609375</v>
      </c>
      <c r="C60" s="262">
        <v>2317.14990234375</v>
      </c>
      <c r="D60" s="259"/>
      <c r="E60" s="263">
        <f t="shared" si="0"/>
        <v>-9.9887328457149869E-4</v>
      </c>
      <c r="F60" s="263">
        <f t="shared" si="1"/>
        <v>1.1436282647060031E-2</v>
      </c>
      <c r="G60" s="259"/>
      <c r="H60" s="259"/>
    </row>
    <row r="61" spans="1:8" ht="14.25" customHeight="1" x14ac:dyDescent="0.3">
      <c r="A61" s="261">
        <v>44013</v>
      </c>
      <c r="B61" s="262">
        <v>10430.0498046875</v>
      </c>
      <c r="C61" s="262">
        <v>2289.35009765625</v>
      </c>
      <c r="D61" s="259"/>
      <c r="E61" s="263">
        <f t="shared" si="0"/>
        <v>1.2419817334717306E-2</v>
      </c>
      <c r="F61" s="263">
        <f t="shared" si="1"/>
        <v>-1.1997413140764464E-2</v>
      </c>
      <c r="G61" s="259"/>
      <c r="H61" s="259"/>
    </row>
    <row r="62" spans="1:8" ht="14.25" customHeight="1" x14ac:dyDescent="0.3">
      <c r="A62" s="261">
        <v>44014</v>
      </c>
      <c r="B62" s="262">
        <v>10551.7001953125</v>
      </c>
      <c r="C62" s="262">
        <v>2295.5</v>
      </c>
      <c r="D62" s="259"/>
      <c r="E62" s="263">
        <f t="shared" si="0"/>
        <v>1.1663452514898594E-2</v>
      </c>
      <c r="F62" s="263">
        <f t="shared" si="1"/>
        <v>2.6863092499683806E-3</v>
      </c>
      <c r="G62" s="259"/>
      <c r="H62" s="259"/>
    </row>
    <row r="63" spans="1:8" ht="14.25" customHeight="1" x14ac:dyDescent="0.3">
      <c r="A63" s="261">
        <v>44015</v>
      </c>
      <c r="B63" s="262">
        <v>10607.349609375</v>
      </c>
      <c r="C63" s="262">
        <v>2290.14990234375</v>
      </c>
      <c r="D63" s="259"/>
      <c r="E63" s="263">
        <f t="shared" si="0"/>
        <v>5.2739760448483703E-3</v>
      </c>
      <c r="F63" s="263">
        <f t="shared" si="1"/>
        <v>-2.3306894603572206E-3</v>
      </c>
      <c r="G63" s="259"/>
      <c r="H63" s="259"/>
    </row>
    <row r="64" spans="1:8" ht="14.25" customHeight="1" x14ac:dyDescent="0.3">
      <c r="A64" s="261">
        <v>44018</v>
      </c>
      <c r="B64" s="262">
        <v>10763.650390625</v>
      </c>
      <c r="C64" s="262">
        <v>2323</v>
      </c>
      <c r="D64" s="259"/>
      <c r="E64" s="263">
        <f t="shared" si="0"/>
        <v>1.4735139974255027E-2</v>
      </c>
      <c r="F64" s="263">
        <f t="shared" si="1"/>
        <v>1.4344081853607513E-2</v>
      </c>
      <c r="G64" s="259"/>
      <c r="H64" s="259"/>
    </row>
    <row r="65" spans="1:8" ht="14.25" customHeight="1" x14ac:dyDescent="0.3">
      <c r="A65" s="261">
        <v>44019</v>
      </c>
      <c r="B65" s="262">
        <v>10799.650390625</v>
      </c>
      <c r="C65" s="262">
        <v>2361.69995117188</v>
      </c>
      <c r="D65" s="259"/>
      <c r="E65" s="263">
        <f t="shared" si="0"/>
        <v>3.3445902359812369E-3</v>
      </c>
      <c r="F65" s="263">
        <f t="shared" si="1"/>
        <v>1.6659471016736978E-2</v>
      </c>
      <c r="G65" s="259"/>
      <c r="H65" s="259"/>
    </row>
    <row r="66" spans="1:8" ht="14.25" customHeight="1" x14ac:dyDescent="0.3">
      <c r="A66" s="261">
        <v>44020</v>
      </c>
      <c r="B66" s="262">
        <v>10705.75</v>
      </c>
      <c r="C66" s="262">
        <v>2319.55004882813</v>
      </c>
      <c r="D66" s="259"/>
      <c r="E66" s="263">
        <f t="shared" si="0"/>
        <v>-8.6947620736420681E-3</v>
      </c>
      <c r="F66" s="263">
        <f t="shared" si="1"/>
        <v>-1.7847272394969201E-2</v>
      </c>
      <c r="G66" s="259"/>
      <c r="H66" s="259"/>
    </row>
    <row r="67" spans="1:8" ht="14.25" customHeight="1" x14ac:dyDescent="0.3">
      <c r="A67" s="261">
        <v>44021</v>
      </c>
      <c r="B67" s="262">
        <v>10813.4501953125</v>
      </c>
      <c r="C67" s="262">
        <v>2320.35009765625</v>
      </c>
      <c r="D67" s="259"/>
      <c r="E67" s="263">
        <f t="shared" ref="E67:E130" si="2">(B67-B66)/B66</f>
        <v>1.0060032721901781E-2</v>
      </c>
      <c r="F67" s="263">
        <f t="shared" ref="F67:F130" si="3">(C67-C66)/C66</f>
        <v>3.4491552726969351E-4</v>
      </c>
      <c r="G67" s="259"/>
      <c r="H67" s="259"/>
    </row>
    <row r="68" spans="1:8" ht="14.25" customHeight="1" x14ac:dyDescent="0.3">
      <c r="A68" s="261">
        <v>44022</v>
      </c>
      <c r="B68" s="262">
        <v>10768.0498046875</v>
      </c>
      <c r="C68" s="262">
        <v>2322.69995117188</v>
      </c>
      <c r="D68" s="259"/>
      <c r="E68" s="263">
        <f t="shared" si="2"/>
        <v>-4.198511095439319E-3</v>
      </c>
      <c r="F68" s="263">
        <f t="shared" si="3"/>
        <v>1.0127150717486784E-3</v>
      </c>
      <c r="G68" s="259"/>
      <c r="H68" s="259"/>
    </row>
    <row r="69" spans="1:8" ht="14.25" customHeight="1" x14ac:dyDescent="0.3">
      <c r="A69" s="261">
        <v>44025</v>
      </c>
      <c r="B69" s="262">
        <v>10802.7001953125</v>
      </c>
      <c r="C69" s="262">
        <v>2233.94995117188</v>
      </c>
      <c r="D69" s="259"/>
      <c r="E69" s="263">
        <f t="shared" si="2"/>
        <v>3.2178891492418752E-3</v>
      </c>
      <c r="F69" s="263">
        <f t="shared" si="3"/>
        <v>-3.8209842797483441E-2</v>
      </c>
      <c r="G69" s="259"/>
      <c r="H69" s="259"/>
    </row>
    <row r="70" spans="1:8" ht="14.25" customHeight="1" x14ac:dyDescent="0.3">
      <c r="A70" s="261">
        <v>44026</v>
      </c>
      <c r="B70" s="262">
        <v>10607.349609375</v>
      </c>
      <c r="C70" s="262">
        <v>2154.85009765625</v>
      </c>
      <c r="D70" s="259"/>
      <c r="E70" s="263">
        <f t="shared" si="2"/>
        <v>-1.8083496015400519E-2</v>
      </c>
      <c r="F70" s="263">
        <f t="shared" si="3"/>
        <v>-3.5408068777071748E-2</v>
      </c>
      <c r="G70" s="259"/>
      <c r="H70" s="259"/>
    </row>
    <row r="71" spans="1:8" ht="14.25" customHeight="1" x14ac:dyDescent="0.3">
      <c r="A71" s="261">
        <v>44027</v>
      </c>
      <c r="B71" s="262">
        <v>10618.2001953125</v>
      </c>
      <c r="C71" s="262">
        <v>2146.35009765625</v>
      </c>
      <c r="D71" s="259"/>
      <c r="E71" s="263">
        <f t="shared" si="2"/>
        <v>1.0229309240368605E-3</v>
      </c>
      <c r="F71" s="263">
        <f t="shared" si="3"/>
        <v>-3.9445899319145829E-3</v>
      </c>
      <c r="G71" s="259"/>
      <c r="H71" s="259"/>
    </row>
    <row r="72" spans="1:8" ht="14.25" customHeight="1" x14ac:dyDescent="0.3">
      <c r="A72" s="261">
        <v>44028</v>
      </c>
      <c r="B72" s="262">
        <v>10739.9501953125</v>
      </c>
      <c r="C72" s="262">
        <v>2007.05004882813</v>
      </c>
      <c r="D72" s="259"/>
      <c r="E72" s="263">
        <f t="shared" si="2"/>
        <v>1.1466161662100478E-2</v>
      </c>
      <c r="F72" s="263">
        <f t="shared" si="3"/>
        <v>-6.4900898031607923E-2</v>
      </c>
      <c r="G72" s="259"/>
      <c r="H72" s="259"/>
    </row>
    <row r="73" spans="1:8" ht="14.25" customHeight="1" x14ac:dyDescent="0.3">
      <c r="A73" s="261">
        <v>44029</v>
      </c>
      <c r="B73" s="262">
        <v>10901.7001953125</v>
      </c>
      <c r="C73" s="262">
        <v>1989.75</v>
      </c>
      <c r="D73" s="259"/>
      <c r="E73" s="263">
        <f t="shared" si="2"/>
        <v>1.5060591255869745E-2</v>
      </c>
      <c r="F73" s="263">
        <f t="shared" si="3"/>
        <v>-8.6196399727207097E-3</v>
      </c>
      <c r="G73" s="259"/>
      <c r="H73" s="259"/>
    </row>
    <row r="74" spans="1:8" ht="14.25" customHeight="1" x14ac:dyDescent="0.3">
      <c r="A74" s="261">
        <v>44032</v>
      </c>
      <c r="B74" s="262">
        <v>11022.2001953125</v>
      </c>
      <c r="C74" s="262">
        <v>2019</v>
      </c>
      <c r="D74" s="259"/>
      <c r="E74" s="263">
        <f t="shared" si="2"/>
        <v>1.1053321760931606E-2</v>
      </c>
      <c r="F74" s="263">
        <f t="shared" si="3"/>
        <v>1.4700339238597813E-2</v>
      </c>
      <c r="G74" s="259"/>
      <c r="H74" s="259"/>
    </row>
    <row r="75" spans="1:8" ht="14.25" customHeight="1" x14ac:dyDescent="0.3">
      <c r="A75" s="261">
        <v>44033</v>
      </c>
      <c r="B75" s="262">
        <v>11162.25</v>
      </c>
      <c r="C75" s="262">
        <v>2040.80004882813</v>
      </c>
      <c r="D75" s="259"/>
      <c r="E75" s="263">
        <f t="shared" si="2"/>
        <v>1.2706156865764434E-2</v>
      </c>
      <c r="F75" s="263">
        <f t="shared" si="3"/>
        <v>1.0797448651872215E-2</v>
      </c>
      <c r="G75" s="259"/>
      <c r="H75" s="259"/>
    </row>
    <row r="76" spans="1:8" ht="14.25" customHeight="1" x14ac:dyDescent="0.3">
      <c r="A76" s="261">
        <v>44034</v>
      </c>
      <c r="B76" s="262">
        <v>11132.599609375</v>
      </c>
      <c r="C76" s="262">
        <v>2110</v>
      </c>
      <c r="D76" s="259"/>
      <c r="E76" s="263">
        <f t="shared" si="2"/>
        <v>-2.6563094918139263E-3</v>
      </c>
      <c r="F76" s="263">
        <f t="shared" si="3"/>
        <v>3.3908246528907157E-2</v>
      </c>
      <c r="G76" s="259"/>
      <c r="H76" s="259"/>
    </row>
    <row r="77" spans="1:8" ht="14.25" customHeight="1" x14ac:dyDescent="0.3">
      <c r="A77" s="261">
        <v>44035</v>
      </c>
      <c r="B77" s="262">
        <v>11215.4501953125</v>
      </c>
      <c r="C77" s="262">
        <v>2100.35009765625</v>
      </c>
      <c r="D77" s="259"/>
      <c r="E77" s="263">
        <f t="shared" si="2"/>
        <v>7.4421598588464239E-3</v>
      </c>
      <c r="F77" s="263">
        <f t="shared" si="3"/>
        <v>-4.5734134330568717E-3</v>
      </c>
      <c r="G77" s="259"/>
      <c r="H77" s="259"/>
    </row>
    <row r="78" spans="1:8" ht="14.25" customHeight="1" x14ac:dyDescent="0.3">
      <c r="A78" s="261">
        <v>44036</v>
      </c>
      <c r="B78" s="262">
        <v>11194.150390625</v>
      </c>
      <c r="C78" s="262">
        <v>2031.40002441406</v>
      </c>
      <c r="D78" s="259"/>
      <c r="E78" s="263">
        <f t="shared" si="2"/>
        <v>-1.8991484351116158E-3</v>
      </c>
      <c r="F78" s="263">
        <f t="shared" si="3"/>
        <v>-3.2827895368077148E-2</v>
      </c>
      <c r="G78" s="259"/>
      <c r="H78" s="259"/>
    </row>
    <row r="79" spans="1:8" ht="14.25" customHeight="1" x14ac:dyDescent="0.3">
      <c r="A79" s="261">
        <v>44039</v>
      </c>
      <c r="B79" s="262">
        <v>11131.7998046875</v>
      </c>
      <c r="C79" s="262">
        <v>2026.09997558594</v>
      </c>
      <c r="D79" s="259"/>
      <c r="E79" s="263">
        <f t="shared" si="2"/>
        <v>-5.5699256988469672E-3</v>
      </c>
      <c r="F79" s="263">
        <f t="shared" si="3"/>
        <v>-2.6090621071291715E-3</v>
      </c>
      <c r="G79" s="259"/>
      <c r="H79" s="259"/>
    </row>
    <row r="80" spans="1:8" ht="14.25" customHeight="1" x14ac:dyDescent="0.3">
      <c r="A80" s="261">
        <v>44040</v>
      </c>
      <c r="B80" s="262">
        <v>11300.5498046875</v>
      </c>
      <c r="C80" s="262">
        <v>2051.39990234375</v>
      </c>
      <c r="D80" s="259"/>
      <c r="E80" s="263">
        <f t="shared" si="2"/>
        <v>1.515927369884436E-2</v>
      </c>
      <c r="F80" s="263">
        <f t="shared" si="3"/>
        <v>1.2487008075943223E-2</v>
      </c>
      <c r="G80" s="259"/>
      <c r="H80" s="259"/>
    </row>
    <row r="81" spans="1:8" ht="14.25" customHeight="1" x14ac:dyDescent="0.3">
      <c r="A81" s="261">
        <v>44041</v>
      </c>
      <c r="B81" s="262">
        <v>11202.849609375</v>
      </c>
      <c r="C81" s="262">
        <v>2049.69995117188</v>
      </c>
      <c r="D81" s="259"/>
      <c r="E81" s="263">
        <f t="shared" si="2"/>
        <v>-8.6456143286031701E-3</v>
      </c>
      <c r="F81" s="263">
        <f t="shared" si="3"/>
        <v>-8.2867858671913867E-4</v>
      </c>
      <c r="G81" s="259"/>
      <c r="H81" s="259"/>
    </row>
    <row r="82" spans="1:8" ht="14.25" customHeight="1" x14ac:dyDescent="0.3">
      <c r="A82" s="261">
        <v>44042</v>
      </c>
      <c r="B82" s="262">
        <v>11102.150390625</v>
      </c>
      <c r="C82" s="262">
        <v>2040.19995117188</v>
      </c>
      <c r="D82" s="259"/>
      <c r="E82" s="263">
        <f t="shared" si="2"/>
        <v>-8.988714680747906E-3</v>
      </c>
      <c r="F82" s="263">
        <f t="shared" si="3"/>
        <v>-4.6348247188904611E-3</v>
      </c>
      <c r="G82" s="259"/>
      <c r="H82" s="259"/>
    </row>
    <row r="83" spans="1:8" ht="14.25" customHeight="1" x14ac:dyDescent="0.3">
      <c r="A83" s="261">
        <v>44043</v>
      </c>
      <c r="B83" s="262">
        <v>11073.4501953125</v>
      </c>
      <c r="C83" s="262">
        <v>2063.44995117188</v>
      </c>
      <c r="D83" s="259"/>
      <c r="E83" s="263">
        <f t="shared" si="2"/>
        <v>-2.5851023723057593E-3</v>
      </c>
      <c r="F83" s="263">
        <f t="shared" si="3"/>
        <v>1.1395941847094606E-2</v>
      </c>
      <c r="G83" s="259"/>
      <c r="H83" s="259"/>
    </row>
    <row r="84" spans="1:8" ht="14.25" customHeight="1" x14ac:dyDescent="0.3">
      <c r="A84" s="261">
        <v>44046</v>
      </c>
      <c r="B84" s="262">
        <v>10891.599609375</v>
      </c>
      <c r="C84" s="262">
        <v>2093.14990234375</v>
      </c>
      <c r="D84" s="259"/>
      <c r="E84" s="263">
        <f t="shared" si="2"/>
        <v>-1.6422215545294015E-2</v>
      </c>
      <c r="F84" s="263">
        <f t="shared" si="3"/>
        <v>1.4393347003644417E-2</v>
      </c>
      <c r="G84" s="259"/>
      <c r="H84" s="259"/>
    </row>
    <row r="85" spans="1:8" ht="14.25" customHeight="1" x14ac:dyDescent="0.3">
      <c r="A85" s="261">
        <v>44047</v>
      </c>
      <c r="B85" s="262">
        <v>11095.25</v>
      </c>
      <c r="C85" s="262">
        <v>2165.10009765625</v>
      </c>
      <c r="D85" s="259"/>
      <c r="E85" s="263">
        <f t="shared" si="2"/>
        <v>1.8697932161379389E-2</v>
      </c>
      <c r="F85" s="263">
        <f t="shared" si="3"/>
        <v>3.437412448670573E-2</v>
      </c>
      <c r="G85" s="259"/>
      <c r="H85" s="259"/>
    </row>
    <row r="86" spans="1:8" ht="14.25" customHeight="1" x14ac:dyDescent="0.3">
      <c r="A86" s="261">
        <v>44048</v>
      </c>
      <c r="B86" s="262">
        <v>11101.650390625</v>
      </c>
      <c r="C86" s="262">
        <v>2163.44995117188</v>
      </c>
      <c r="D86" s="259"/>
      <c r="E86" s="263">
        <f t="shared" si="2"/>
        <v>5.7685862193280904E-4</v>
      </c>
      <c r="F86" s="263">
        <f t="shared" si="3"/>
        <v>-7.6215713359225452E-4</v>
      </c>
      <c r="G86" s="259"/>
      <c r="H86" s="259"/>
    </row>
    <row r="87" spans="1:8" ht="14.25" customHeight="1" x14ac:dyDescent="0.3">
      <c r="A87" s="261">
        <v>44049</v>
      </c>
      <c r="B87" s="262">
        <v>11200.150390625</v>
      </c>
      <c r="C87" s="262">
        <v>2150.55004882813</v>
      </c>
      <c r="D87" s="259"/>
      <c r="E87" s="263">
        <f t="shared" si="2"/>
        <v>8.872554668374371E-3</v>
      </c>
      <c r="F87" s="263">
        <f t="shared" si="3"/>
        <v>-5.9626534631700102E-3</v>
      </c>
      <c r="G87" s="259"/>
      <c r="H87" s="259"/>
    </row>
    <row r="88" spans="1:8" ht="14.25" customHeight="1" x14ac:dyDescent="0.3">
      <c r="A88" s="261">
        <v>44050</v>
      </c>
      <c r="B88" s="262">
        <v>11214.0498046875</v>
      </c>
      <c r="C88" s="262">
        <v>2138.39990234375</v>
      </c>
      <c r="D88" s="259"/>
      <c r="E88" s="263">
        <f t="shared" si="2"/>
        <v>1.2410024488719721E-3</v>
      </c>
      <c r="F88" s="263">
        <f t="shared" si="3"/>
        <v>-5.6497855006912377E-3</v>
      </c>
      <c r="G88" s="259"/>
      <c r="H88" s="259"/>
    </row>
    <row r="89" spans="1:8" ht="14.25" customHeight="1" x14ac:dyDescent="0.3">
      <c r="A89" s="261">
        <v>44053</v>
      </c>
      <c r="B89" s="262">
        <v>11270.150390625</v>
      </c>
      <c r="C89" s="262">
        <v>2116.5</v>
      </c>
      <c r="D89" s="259"/>
      <c r="E89" s="263">
        <f t="shared" si="2"/>
        <v>5.0027052594371233E-3</v>
      </c>
      <c r="F89" s="263">
        <f t="shared" si="3"/>
        <v>-1.0241256707759411E-2</v>
      </c>
      <c r="G89" s="259"/>
      <c r="H89" s="259"/>
    </row>
    <row r="90" spans="1:8" ht="14.25" customHeight="1" x14ac:dyDescent="0.3">
      <c r="A90" s="261">
        <v>44054</v>
      </c>
      <c r="B90" s="262">
        <v>11322.5</v>
      </c>
      <c r="C90" s="262">
        <v>2131.94995117188</v>
      </c>
      <c r="D90" s="259"/>
      <c r="E90" s="263">
        <f t="shared" si="2"/>
        <v>4.6449787767292505E-3</v>
      </c>
      <c r="F90" s="263">
        <f t="shared" si="3"/>
        <v>7.2997643146137502E-3</v>
      </c>
      <c r="G90" s="259"/>
      <c r="H90" s="259"/>
    </row>
    <row r="91" spans="1:8" ht="14.25" customHeight="1" x14ac:dyDescent="0.3">
      <c r="A91" s="261">
        <v>44055</v>
      </c>
      <c r="B91" s="262">
        <v>11308.400390625</v>
      </c>
      <c r="C91" s="262">
        <v>2169.19995117188</v>
      </c>
      <c r="D91" s="259"/>
      <c r="E91" s="263">
        <f t="shared" si="2"/>
        <v>-1.2452735151247515E-3</v>
      </c>
      <c r="F91" s="263">
        <f t="shared" si="3"/>
        <v>1.7472267573413063E-2</v>
      </c>
      <c r="G91" s="259"/>
      <c r="H91" s="259"/>
    </row>
    <row r="92" spans="1:8" ht="14.25" customHeight="1" x14ac:dyDescent="0.3">
      <c r="A92" s="261">
        <v>44056</v>
      </c>
      <c r="B92" s="262">
        <v>11300.4501953125</v>
      </c>
      <c r="C92" s="262">
        <v>2207.10009765625</v>
      </c>
      <c r="D92" s="259"/>
      <c r="E92" s="263">
        <f t="shared" si="2"/>
        <v>-7.0303447330101151E-4</v>
      </c>
      <c r="F92" s="263">
        <f t="shared" si="3"/>
        <v>1.7471946956247611E-2</v>
      </c>
      <c r="G92" s="259"/>
      <c r="H92" s="259"/>
    </row>
    <row r="93" spans="1:8" ht="14.25" customHeight="1" x14ac:dyDescent="0.3">
      <c r="A93" s="261">
        <v>44057</v>
      </c>
      <c r="B93" s="262">
        <v>11178.400390625</v>
      </c>
      <c r="C93" s="262">
        <v>2178</v>
      </c>
      <c r="D93" s="259"/>
      <c r="E93" s="263">
        <f t="shared" si="2"/>
        <v>-1.0800437378868946E-2</v>
      </c>
      <c r="F93" s="263">
        <f t="shared" si="3"/>
        <v>-1.3184765696468318E-2</v>
      </c>
      <c r="G93" s="259"/>
      <c r="H93" s="259"/>
    </row>
    <row r="94" spans="1:8" ht="14.25" customHeight="1" x14ac:dyDescent="0.3">
      <c r="A94" s="261">
        <v>44060</v>
      </c>
      <c r="B94" s="262">
        <v>11247.099609375</v>
      </c>
      <c r="C94" s="262">
        <v>2189.75</v>
      </c>
      <c r="D94" s="259"/>
      <c r="E94" s="263">
        <f t="shared" si="2"/>
        <v>6.1457110453492112E-3</v>
      </c>
      <c r="F94" s="263">
        <f t="shared" si="3"/>
        <v>5.3948576675849399E-3</v>
      </c>
      <c r="G94" s="259"/>
      <c r="H94" s="259"/>
    </row>
    <row r="95" spans="1:8" ht="14.25" customHeight="1" x14ac:dyDescent="0.3">
      <c r="A95" s="261">
        <v>44061</v>
      </c>
      <c r="B95" s="262">
        <v>11385.349609375</v>
      </c>
      <c r="C95" s="262">
        <v>2259.44995117188</v>
      </c>
      <c r="D95" s="259"/>
      <c r="E95" s="263">
        <f t="shared" si="2"/>
        <v>1.2292057935075276E-2</v>
      </c>
      <c r="F95" s="263">
        <f t="shared" si="3"/>
        <v>3.1830095294841876E-2</v>
      </c>
      <c r="G95" s="259"/>
      <c r="H95" s="259"/>
    </row>
    <row r="96" spans="1:8" ht="14.25" customHeight="1" x14ac:dyDescent="0.3">
      <c r="A96" s="261">
        <v>44062</v>
      </c>
      <c r="B96" s="262">
        <v>11408.400390625</v>
      </c>
      <c r="C96" s="262">
        <v>2266.60009765625</v>
      </c>
      <c r="D96" s="259"/>
      <c r="E96" s="263">
        <f t="shared" si="2"/>
        <v>2.0246002135076617E-3</v>
      </c>
      <c r="F96" s="263">
        <f t="shared" si="3"/>
        <v>3.1645518329191237E-3</v>
      </c>
      <c r="G96" s="259"/>
      <c r="H96" s="259"/>
    </row>
    <row r="97" spans="1:8" ht="14.25" customHeight="1" x14ac:dyDescent="0.3">
      <c r="A97" s="261">
        <v>44063</v>
      </c>
      <c r="B97" s="262">
        <v>11312.2001953125</v>
      </c>
      <c r="C97" s="262">
        <v>2285.89990234375</v>
      </c>
      <c r="D97" s="259"/>
      <c r="E97" s="263">
        <f t="shared" si="2"/>
        <v>-8.432399987605076E-3</v>
      </c>
      <c r="F97" s="263">
        <f t="shared" si="3"/>
        <v>8.514869785568582E-3</v>
      </c>
      <c r="G97" s="259"/>
      <c r="H97" s="259"/>
    </row>
    <row r="98" spans="1:8" ht="14.25" customHeight="1" x14ac:dyDescent="0.3">
      <c r="A98" s="261">
        <v>44064</v>
      </c>
      <c r="B98" s="262">
        <v>11371.599609375</v>
      </c>
      <c r="C98" s="262">
        <v>2259.44995117188</v>
      </c>
      <c r="D98" s="259"/>
      <c r="E98" s="263">
        <f t="shared" si="2"/>
        <v>5.2509160938571144E-3</v>
      </c>
      <c r="F98" s="263">
        <f t="shared" si="3"/>
        <v>-1.1570913995293787E-2</v>
      </c>
      <c r="G98" s="259"/>
      <c r="H98" s="259"/>
    </row>
    <row r="99" spans="1:8" ht="14.25" customHeight="1" x14ac:dyDescent="0.3">
      <c r="A99" s="261">
        <v>44067</v>
      </c>
      <c r="B99" s="262">
        <v>11466.4501953125</v>
      </c>
      <c r="C99" s="262">
        <v>2250.30004882813</v>
      </c>
      <c r="D99" s="259"/>
      <c r="E99" s="263">
        <f t="shared" si="2"/>
        <v>8.341006471886599E-3</v>
      </c>
      <c r="F99" s="263">
        <f t="shared" si="3"/>
        <v>-4.0496149689017618E-3</v>
      </c>
      <c r="G99" s="259"/>
      <c r="H99" s="259"/>
    </row>
    <row r="100" spans="1:8" ht="14.25" customHeight="1" x14ac:dyDescent="0.3">
      <c r="A100" s="261">
        <v>44068</v>
      </c>
      <c r="B100" s="262">
        <v>11472.25</v>
      </c>
      <c r="C100" s="262">
        <v>2341.14990234375</v>
      </c>
      <c r="D100" s="259"/>
      <c r="E100" s="263">
        <f t="shared" si="2"/>
        <v>5.0580646919575584E-4</v>
      </c>
      <c r="F100" s="263">
        <f t="shared" si="3"/>
        <v>4.0372328820297149E-2</v>
      </c>
      <c r="G100" s="259"/>
      <c r="H100" s="259"/>
    </row>
    <row r="101" spans="1:8" ht="14.25" customHeight="1" x14ac:dyDescent="0.3">
      <c r="A101" s="261">
        <v>44069</v>
      </c>
      <c r="B101" s="262">
        <v>11549.599609375</v>
      </c>
      <c r="C101" s="262">
        <v>2410.10009765625</v>
      </c>
      <c r="D101" s="259"/>
      <c r="E101" s="263">
        <f t="shared" si="2"/>
        <v>6.7423225064830354E-3</v>
      </c>
      <c r="F101" s="263">
        <f t="shared" si="3"/>
        <v>2.9451422672026779E-2</v>
      </c>
      <c r="G101" s="259"/>
      <c r="H101" s="259"/>
    </row>
    <row r="102" spans="1:8" ht="14.25" customHeight="1" x14ac:dyDescent="0.3">
      <c r="A102" s="261">
        <v>44070</v>
      </c>
      <c r="B102" s="262">
        <v>11559.25</v>
      </c>
      <c r="C102" s="262">
        <v>2380.85009765625</v>
      </c>
      <c r="D102" s="259"/>
      <c r="E102" s="263">
        <f t="shared" si="2"/>
        <v>8.3556062126747827E-4</v>
      </c>
      <c r="F102" s="263">
        <f t="shared" si="3"/>
        <v>-1.2136425382682134E-2</v>
      </c>
      <c r="G102" s="259"/>
      <c r="H102" s="259"/>
    </row>
    <row r="103" spans="1:8" ht="14.25" customHeight="1" x14ac:dyDescent="0.3">
      <c r="A103" s="261">
        <v>44071</v>
      </c>
      <c r="B103" s="262">
        <v>11647.599609375</v>
      </c>
      <c r="C103" s="262">
        <v>2319.39990234375</v>
      </c>
      <c r="D103" s="259"/>
      <c r="E103" s="263">
        <f t="shared" si="2"/>
        <v>7.6431956549949179E-3</v>
      </c>
      <c r="F103" s="263">
        <f t="shared" si="3"/>
        <v>-2.5810190810833758E-2</v>
      </c>
      <c r="G103" s="259"/>
      <c r="H103" s="259"/>
    </row>
    <row r="104" spans="1:8" ht="14.25" customHeight="1" x14ac:dyDescent="0.3">
      <c r="A104" s="261">
        <v>44074</v>
      </c>
      <c r="B104" s="262">
        <v>11387.5</v>
      </c>
      <c r="C104" s="262">
        <v>2251.25</v>
      </c>
      <c r="D104" s="259"/>
      <c r="E104" s="263">
        <f t="shared" si="2"/>
        <v>-2.2330747801946185E-2</v>
      </c>
      <c r="F104" s="263">
        <f t="shared" si="3"/>
        <v>-2.9382558081029766E-2</v>
      </c>
      <c r="G104" s="259"/>
      <c r="H104" s="259"/>
    </row>
    <row r="105" spans="1:8" ht="14.25" customHeight="1" x14ac:dyDescent="0.3">
      <c r="A105" s="261">
        <v>44075</v>
      </c>
      <c r="B105" s="262">
        <v>11470.25</v>
      </c>
      <c r="C105" s="262">
        <v>2241.60009765625</v>
      </c>
      <c r="D105" s="259"/>
      <c r="E105" s="263">
        <f t="shared" si="2"/>
        <v>7.2667398463227223E-3</v>
      </c>
      <c r="F105" s="263">
        <f t="shared" si="3"/>
        <v>-4.2864641171571349E-3</v>
      </c>
      <c r="G105" s="259"/>
      <c r="H105" s="259"/>
    </row>
    <row r="106" spans="1:8" ht="14.25" customHeight="1" x14ac:dyDescent="0.3">
      <c r="A106" s="261">
        <v>44076</v>
      </c>
      <c r="B106" s="262">
        <v>11535</v>
      </c>
      <c r="C106" s="262">
        <v>2218.44995117188</v>
      </c>
      <c r="D106" s="259"/>
      <c r="E106" s="263">
        <f t="shared" si="2"/>
        <v>5.6450382511279177E-3</v>
      </c>
      <c r="F106" s="263">
        <f t="shared" si="3"/>
        <v>-1.0327509580578221E-2</v>
      </c>
      <c r="G106" s="259"/>
      <c r="H106" s="259"/>
    </row>
    <row r="107" spans="1:8" ht="14.25" customHeight="1" x14ac:dyDescent="0.3">
      <c r="A107" s="261">
        <v>44077</v>
      </c>
      <c r="B107" s="262">
        <v>11527.4501953125</v>
      </c>
      <c r="C107" s="262">
        <v>2278.39990234375</v>
      </c>
      <c r="D107" s="259"/>
      <c r="E107" s="263">
        <f t="shared" si="2"/>
        <v>-6.5451276007802341E-4</v>
      </c>
      <c r="F107" s="263">
        <f t="shared" si="3"/>
        <v>2.7023350759029688E-2</v>
      </c>
      <c r="G107" s="259"/>
      <c r="H107" s="259"/>
    </row>
    <row r="108" spans="1:8" ht="14.25" customHeight="1" x14ac:dyDescent="0.3">
      <c r="A108" s="261">
        <v>44078</v>
      </c>
      <c r="B108" s="262">
        <v>11333.849609375</v>
      </c>
      <c r="C108" s="262">
        <v>2251.44995117188</v>
      </c>
      <c r="D108" s="259"/>
      <c r="E108" s="263">
        <f t="shared" si="2"/>
        <v>-1.6794744948559863E-2</v>
      </c>
      <c r="F108" s="263">
        <f t="shared" si="3"/>
        <v>-1.1828455199698287E-2</v>
      </c>
      <c r="G108" s="259"/>
      <c r="H108" s="259"/>
    </row>
    <row r="109" spans="1:8" ht="14.25" customHeight="1" x14ac:dyDescent="0.3">
      <c r="A109" s="261">
        <v>44081</v>
      </c>
      <c r="B109" s="262">
        <v>11355.0498046875</v>
      </c>
      <c r="C109" s="262">
        <v>2261.39990234375</v>
      </c>
      <c r="D109" s="259"/>
      <c r="E109" s="263">
        <f t="shared" si="2"/>
        <v>1.870520259503344E-3</v>
      </c>
      <c r="F109" s="263">
        <f t="shared" si="3"/>
        <v>4.4193525895128366E-3</v>
      </c>
      <c r="G109" s="259"/>
      <c r="H109" s="259"/>
    </row>
    <row r="110" spans="1:8" ht="14.25" customHeight="1" x14ac:dyDescent="0.3">
      <c r="A110" s="261">
        <v>44082</v>
      </c>
      <c r="B110" s="262">
        <v>11317.349609375</v>
      </c>
      <c r="C110" s="262">
        <v>2246.60009765625</v>
      </c>
      <c r="D110" s="259"/>
      <c r="E110" s="263">
        <f t="shared" si="2"/>
        <v>-3.3201259317186711E-3</v>
      </c>
      <c r="F110" s="263">
        <f t="shared" si="3"/>
        <v>-6.5445322926569746E-3</v>
      </c>
      <c r="G110" s="259"/>
      <c r="H110" s="259"/>
    </row>
    <row r="111" spans="1:8" ht="14.25" customHeight="1" x14ac:dyDescent="0.3">
      <c r="A111" s="261">
        <v>44083</v>
      </c>
      <c r="B111" s="262">
        <v>11278</v>
      </c>
      <c r="C111" s="262">
        <v>2222.69995117188</v>
      </c>
      <c r="D111" s="259"/>
      <c r="E111" s="263">
        <f t="shared" si="2"/>
        <v>-3.4769279675166877E-3</v>
      </c>
      <c r="F111" s="263">
        <f t="shared" si="3"/>
        <v>-1.0638362612600106E-2</v>
      </c>
      <c r="G111" s="259"/>
      <c r="H111" s="259"/>
    </row>
    <row r="112" spans="1:8" ht="14.25" customHeight="1" x14ac:dyDescent="0.3">
      <c r="A112" s="261">
        <v>44084</v>
      </c>
      <c r="B112" s="262">
        <v>11449.25</v>
      </c>
      <c r="C112" s="262">
        <v>2237.75</v>
      </c>
      <c r="D112" s="259"/>
      <c r="E112" s="263">
        <f t="shared" si="2"/>
        <v>1.5184429863450966E-2</v>
      </c>
      <c r="F112" s="263">
        <f t="shared" si="3"/>
        <v>6.7710663421687309E-3</v>
      </c>
      <c r="G112" s="259"/>
      <c r="H112" s="259"/>
    </row>
    <row r="113" spans="1:8" ht="14.25" customHeight="1" x14ac:dyDescent="0.3">
      <c r="A113" s="261">
        <v>44085</v>
      </c>
      <c r="B113" s="262">
        <v>11464.4501953125</v>
      </c>
      <c r="C113" s="262">
        <v>2239.35009765625</v>
      </c>
      <c r="D113" s="259"/>
      <c r="E113" s="263">
        <f t="shared" si="2"/>
        <v>1.3276149365678974E-3</v>
      </c>
      <c r="F113" s="263">
        <f t="shared" si="3"/>
        <v>7.1504755055301085E-4</v>
      </c>
      <c r="G113" s="259"/>
      <c r="H113" s="259"/>
    </row>
    <row r="114" spans="1:8" ht="14.25" customHeight="1" x14ac:dyDescent="0.3">
      <c r="A114" s="261">
        <v>44088</v>
      </c>
      <c r="B114" s="262">
        <v>11440.0498046875</v>
      </c>
      <c r="C114" s="262">
        <v>2162.69995117188</v>
      </c>
      <c r="D114" s="259"/>
      <c r="E114" s="263">
        <f t="shared" si="2"/>
        <v>-2.1283524468514552E-3</v>
      </c>
      <c r="F114" s="263">
        <f t="shared" si="3"/>
        <v>-3.4228746351271121E-2</v>
      </c>
      <c r="G114" s="259"/>
      <c r="H114" s="259"/>
    </row>
    <row r="115" spans="1:8" ht="14.25" customHeight="1" x14ac:dyDescent="0.3">
      <c r="A115" s="261">
        <v>44089</v>
      </c>
      <c r="B115" s="262">
        <v>11521.7998046875</v>
      </c>
      <c r="C115" s="262">
        <v>2136.14990234375</v>
      </c>
      <c r="D115" s="259"/>
      <c r="E115" s="263">
        <f t="shared" si="2"/>
        <v>7.1459479106903336E-3</v>
      </c>
      <c r="F115" s="263">
        <f t="shared" si="3"/>
        <v>-1.227634411964711E-2</v>
      </c>
      <c r="G115" s="259"/>
      <c r="H115" s="259"/>
    </row>
    <row r="116" spans="1:8" ht="14.25" customHeight="1" x14ac:dyDescent="0.3">
      <c r="A116" s="261">
        <v>44090</v>
      </c>
      <c r="B116" s="262">
        <v>11604.5498046875</v>
      </c>
      <c r="C116" s="262">
        <v>2135.94995117188</v>
      </c>
      <c r="D116" s="259"/>
      <c r="E116" s="263">
        <f t="shared" si="2"/>
        <v>7.1820376506050903E-3</v>
      </c>
      <c r="F116" s="263">
        <f t="shared" si="3"/>
        <v>-9.3603530187939767E-5</v>
      </c>
      <c r="G116" s="259"/>
      <c r="H116" s="259"/>
    </row>
    <row r="117" spans="1:8" ht="14.25" customHeight="1" x14ac:dyDescent="0.3">
      <c r="A117" s="261">
        <v>44091</v>
      </c>
      <c r="B117" s="262">
        <v>11516.099609375</v>
      </c>
      <c r="C117" s="262">
        <v>2139.05004882813</v>
      </c>
      <c r="D117" s="259"/>
      <c r="E117" s="263">
        <f t="shared" si="2"/>
        <v>-7.6220272911209138E-3</v>
      </c>
      <c r="F117" s="263">
        <f t="shared" si="3"/>
        <v>1.4513905883183941E-3</v>
      </c>
      <c r="G117" s="259"/>
      <c r="H117" s="259"/>
    </row>
    <row r="118" spans="1:8" ht="14.25" customHeight="1" x14ac:dyDescent="0.3">
      <c r="A118" s="261">
        <v>44092</v>
      </c>
      <c r="B118" s="262">
        <v>11504.9501953125</v>
      </c>
      <c r="C118" s="262">
        <v>2149.05004882813</v>
      </c>
      <c r="D118" s="259"/>
      <c r="E118" s="263">
        <f t="shared" si="2"/>
        <v>-9.6815887676271147E-4</v>
      </c>
      <c r="F118" s="263">
        <f t="shared" si="3"/>
        <v>4.6749724278206863E-3</v>
      </c>
      <c r="G118" s="259"/>
      <c r="H118" s="259"/>
    </row>
    <row r="119" spans="1:8" ht="14.25" customHeight="1" x14ac:dyDescent="0.3">
      <c r="A119" s="261">
        <v>44095</v>
      </c>
      <c r="B119" s="262">
        <v>11250.5498046875</v>
      </c>
      <c r="C119" s="262">
        <v>2097.44995117188</v>
      </c>
      <c r="D119" s="259"/>
      <c r="E119" s="263">
        <f t="shared" si="2"/>
        <v>-2.2112254838673809E-2</v>
      </c>
      <c r="F119" s="263">
        <f t="shared" si="3"/>
        <v>-2.4010654235059516E-2</v>
      </c>
      <c r="G119" s="259"/>
      <c r="H119" s="259"/>
    </row>
    <row r="120" spans="1:8" ht="14.25" customHeight="1" x14ac:dyDescent="0.3">
      <c r="A120" s="261">
        <v>44096</v>
      </c>
      <c r="B120" s="262">
        <v>11153.650390625</v>
      </c>
      <c r="C120" s="262">
        <v>2049.30004882813</v>
      </c>
      <c r="D120" s="259"/>
      <c r="E120" s="263">
        <f t="shared" si="2"/>
        <v>-8.6128603263573144E-3</v>
      </c>
      <c r="F120" s="263">
        <f t="shared" si="3"/>
        <v>-2.2956401089259771E-2</v>
      </c>
      <c r="G120" s="259"/>
      <c r="H120" s="259"/>
    </row>
    <row r="121" spans="1:8" ht="14.25" customHeight="1" x14ac:dyDescent="0.3">
      <c r="A121" s="261">
        <v>44097</v>
      </c>
      <c r="B121" s="262">
        <v>11131.849609375</v>
      </c>
      <c r="C121" s="262">
        <v>2055.30004882813</v>
      </c>
      <c r="D121" s="259"/>
      <c r="E121" s="263">
        <f t="shared" si="2"/>
        <v>-1.9545871070447262E-3</v>
      </c>
      <c r="F121" s="263">
        <f t="shared" si="3"/>
        <v>2.9278289450249293E-3</v>
      </c>
      <c r="G121" s="259"/>
      <c r="H121" s="259"/>
    </row>
    <row r="122" spans="1:8" ht="14.25" customHeight="1" x14ac:dyDescent="0.3">
      <c r="A122" s="261">
        <v>44098</v>
      </c>
      <c r="B122" s="262">
        <v>10805.5498046875</v>
      </c>
      <c r="C122" s="262">
        <v>2047.34997558594</v>
      </c>
      <c r="D122" s="259"/>
      <c r="E122" s="263">
        <f t="shared" si="2"/>
        <v>-2.9312272096516417E-2</v>
      </c>
      <c r="F122" s="263">
        <f t="shared" si="3"/>
        <v>-3.8680840039501253E-3</v>
      </c>
      <c r="G122" s="259"/>
      <c r="H122" s="259"/>
    </row>
    <row r="123" spans="1:8" ht="14.25" customHeight="1" x14ac:dyDescent="0.3">
      <c r="A123" s="261">
        <v>44099</v>
      </c>
      <c r="B123" s="262">
        <v>11050.25</v>
      </c>
      <c r="C123" s="262">
        <v>2102.69995117188</v>
      </c>
      <c r="D123" s="259"/>
      <c r="E123" s="263">
        <f t="shared" si="2"/>
        <v>2.264578848235449E-2</v>
      </c>
      <c r="F123" s="263">
        <f t="shared" si="3"/>
        <v>2.703493601288131E-2</v>
      </c>
      <c r="G123" s="259"/>
      <c r="H123" s="259"/>
    </row>
    <row r="124" spans="1:8" ht="14.25" customHeight="1" x14ac:dyDescent="0.3">
      <c r="A124" s="261">
        <v>44102</v>
      </c>
      <c r="B124" s="262">
        <v>11227.5498046875</v>
      </c>
      <c r="C124" s="262">
        <v>2108.39990234375</v>
      </c>
      <c r="D124" s="259"/>
      <c r="E124" s="263">
        <f t="shared" si="2"/>
        <v>1.6044868187371327E-2</v>
      </c>
      <c r="F124" s="263">
        <f t="shared" si="3"/>
        <v>2.7107772408009483E-3</v>
      </c>
      <c r="G124" s="259"/>
      <c r="H124" s="259"/>
    </row>
    <row r="125" spans="1:8" ht="14.25" customHeight="1" x14ac:dyDescent="0.3">
      <c r="A125" s="261">
        <v>44103</v>
      </c>
      <c r="B125" s="262">
        <v>11222.400390625</v>
      </c>
      <c r="C125" s="262">
        <v>2133.25</v>
      </c>
      <c r="D125" s="259"/>
      <c r="E125" s="263">
        <f t="shared" si="2"/>
        <v>-4.5864094589454597E-4</v>
      </c>
      <c r="F125" s="263">
        <f t="shared" si="3"/>
        <v>1.1786235442634014E-2</v>
      </c>
      <c r="G125" s="259"/>
      <c r="H125" s="259"/>
    </row>
    <row r="126" spans="1:8" ht="14.25" customHeight="1" x14ac:dyDescent="0.3">
      <c r="A126" s="261">
        <v>44104</v>
      </c>
      <c r="B126" s="262">
        <v>11247.5498046875</v>
      </c>
      <c r="C126" s="262">
        <v>2203.14990234375</v>
      </c>
      <c r="D126" s="259"/>
      <c r="E126" s="263">
        <f t="shared" si="2"/>
        <v>2.2410013176422921E-3</v>
      </c>
      <c r="F126" s="263">
        <f t="shared" si="3"/>
        <v>3.2766859179069498E-2</v>
      </c>
      <c r="G126" s="259"/>
      <c r="H126" s="259"/>
    </row>
    <row r="127" spans="1:8" ht="14.25" customHeight="1" x14ac:dyDescent="0.3">
      <c r="A127" s="261">
        <v>44105</v>
      </c>
      <c r="B127" s="262">
        <v>11416.9501953125</v>
      </c>
      <c r="C127" s="262">
        <v>2184.80004882813</v>
      </c>
      <c r="D127" s="259"/>
      <c r="E127" s="263">
        <f t="shared" si="2"/>
        <v>1.5061092732783554E-2</v>
      </c>
      <c r="F127" s="263">
        <f t="shared" si="3"/>
        <v>-8.3289173814723623E-3</v>
      </c>
      <c r="G127" s="259"/>
      <c r="H127" s="259"/>
    </row>
    <row r="128" spans="1:8" ht="14.25" customHeight="1" x14ac:dyDescent="0.3">
      <c r="A128" s="261">
        <v>44109</v>
      </c>
      <c r="B128" s="262">
        <v>11503.349609375</v>
      </c>
      <c r="C128" s="262">
        <v>2110.44995117188</v>
      </c>
      <c r="D128" s="259"/>
      <c r="E128" s="263">
        <f t="shared" si="2"/>
        <v>7.5676439490796176E-3</v>
      </c>
      <c r="F128" s="263">
        <f t="shared" si="3"/>
        <v>-3.4030618818472406E-2</v>
      </c>
      <c r="G128" s="259"/>
      <c r="H128" s="259"/>
    </row>
    <row r="129" spans="1:8" ht="14.25" customHeight="1" x14ac:dyDescent="0.3">
      <c r="A129" s="261">
        <v>44110</v>
      </c>
      <c r="B129" s="262">
        <v>11662.400390625</v>
      </c>
      <c r="C129" s="262">
        <v>2083.05004882813</v>
      </c>
      <c r="D129" s="259"/>
      <c r="E129" s="263">
        <f t="shared" si="2"/>
        <v>1.3826475474619739E-2</v>
      </c>
      <c r="F129" s="263">
        <f t="shared" si="3"/>
        <v>-1.2982967129135435E-2</v>
      </c>
      <c r="G129" s="259"/>
      <c r="H129" s="259"/>
    </row>
    <row r="130" spans="1:8" ht="14.25" customHeight="1" x14ac:dyDescent="0.3">
      <c r="A130" s="261">
        <v>44111</v>
      </c>
      <c r="B130" s="262">
        <v>11738.849609375</v>
      </c>
      <c r="C130" s="262">
        <v>2066.10009765625</v>
      </c>
      <c r="D130" s="259"/>
      <c r="E130" s="263">
        <f t="shared" si="2"/>
        <v>6.5551872847252682E-3</v>
      </c>
      <c r="F130" s="263">
        <f t="shared" si="3"/>
        <v>-8.1370830150795485E-3</v>
      </c>
      <c r="G130" s="259"/>
      <c r="H130" s="259"/>
    </row>
    <row r="131" spans="1:8" ht="14.25" customHeight="1" x14ac:dyDescent="0.3">
      <c r="A131" s="261">
        <v>44112</v>
      </c>
      <c r="B131" s="262">
        <v>11834.599609375</v>
      </c>
      <c r="C131" s="262">
        <v>2065.35009765625</v>
      </c>
      <c r="D131" s="259"/>
      <c r="E131" s="263">
        <f t="shared" ref="E131:E194" si="4">(B131-B130)/B130</f>
        <v>8.1566766068398352E-3</v>
      </c>
      <c r="F131" s="263">
        <f t="shared" ref="F131:F194" si="5">(C131-C130)/C130</f>
        <v>-3.6300274166328517E-4</v>
      </c>
      <c r="G131" s="259"/>
      <c r="H131" s="259"/>
    </row>
    <row r="132" spans="1:8" ht="14.25" customHeight="1" x14ac:dyDescent="0.3">
      <c r="A132" s="261">
        <v>44113</v>
      </c>
      <c r="B132" s="262">
        <v>11914.2001953125</v>
      </c>
      <c r="C132" s="262">
        <v>2057.60009765625</v>
      </c>
      <c r="D132" s="259"/>
      <c r="E132" s="263">
        <f t="shared" si="4"/>
        <v>6.7260903253915667E-3</v>
      </c>
      <c r="F132" s="263">
        <f t="shared" si="5"/>
        <v>-3.7523904585448566E-3</v>
      </c>
      <c r="G132" s="259"/>
      <c r="H132" s="259"/>
    </row>
    <row r="133" spans="1:8" ht="14.25" customHeight="1" x14ac:dyDescent="0.3">
      <c r="A133" s="261">
        <v>44116</v>
      </c>
      <c r="B133" s="262">
        <v>11930.9501953125</v>
      </c>
      <c r="C133" s="262">
        <v>2002.59997558594</v>
      </c>
      <c r="D133" s="259"/>
      <c r="E133" s="263">
        <f t="shared" si="4"/>
        <v>1.4058853909967107E-3</v>
      </c>
      <c r="F133" s="263">
        <f t="shared" si="5"/>
        <v>-2.6730229130995365E-2</v>
      </c>
      <c r="G133" s="259"/>
      <c r="H133" s="259"/>
    </row>
    <row r="134" spans="1:8" ht="14.25" customHeight="1" x14ac:dyDescent="0.3">
      <c r="A134" s="261">
        <v>44117</v>
      </c>
      <c r="B134" s="262">
        <v>11934.5</v>
      </c>
      <c r="C134" s="262">
        <v>1977.44995117188</v>
      </c>
      <c r="D134" s="259"/>
      <c r="E134" s="263">
        <f t="shared" si="4"/>
        <v>2.9752908438882491E-4</v>
      </c>
      <c r="F134" s="263">
        <f t="shared" si="5"/>
        <v>-1.2558686068445278E-2</v>
      </c>
      <c r="G134" s="259"/>
      <c r="H134" s="259"/>
    </row>
    <row r="135" spans="1:8" ht="14.25" customHeight="1" x14ac:dyDescent="0.3">
      <c r="A135" s="261">
        <v>44118</v>
      </c>
      <c r="B135" s="262">
        <v>11971.0498046875</v>
      </c>
      <c r="C135" s="262">
        <v>1974.55004882813</v>
      </c>
      <c r="D135" s="259"/>
      <c r="E135" s="263">
        <f t="shared" si="4"/>
        <v>3.0625333853533873E-3</v>
      </c>
      <c r="F135" s="263">
        <f t="shared" si="5"/>
        <v>-1.4664858354728294E-3</v>
      </c>
      <c r="G135" s="259"/>
      <c r="H135" s="259"/>
    </row>
    <row r="136" spans="1:8" ht="14.25" customHeight="1" x14ac:dyDescent="0.3">
      <c r="A136" s="261">
        <v>44119</v>
      </c>
      <c r="B136" s="262">
        <v>11680.349609375</v>
      </c>
      <c r="C136" s="262">
        <v>1977.69995117188</v>
      </c>
      <c r="D136" s="259"/>
      <c r="E136" s="263">
        <f t="shared" si="4"/>
        <v>-2.4283600858353342E-2</v>
      </c>
      <c r="F136" s="263">
        <f t="shared" si="5"/>
        <v>1.5952506980612755E-3</v>
      </c>
      <c r="G136" s="259"/>
      <c r="H136" s="259"/>
    </row>
    <row r="137" spans="1:8" ht="14.25" customHeight="1" x14ac:dyDescent="0.3">
      <c r="A137" s="261">
        <v>44120</v>
      </c>
      <c r="B137" s="262">
        <v>11762.4501953125</v>
      </c>
      <c r="C137" s="262">
        <v>1984.19995117188</v>
      </c>
      <c r="D137" s="259"/>
      <c r="E137" s="263">
        <f t="shared" si="4"/>
        <v>7.0289493622351512E-3</v>
      </c>
      <c r="F137" s="263">
        <f t="shared" si="5"/>
        <v>3.2866461852054177E-3</v>
      </c>
      <c r="G137" s="259"/>
      <c r="H137" s="259"/>
    </row>
    <row r="138" spans="1:8" ht="14.25" customHeight="1" x14ac:dyDescent="0.3">
      <c r="A138" s="261">
        <v>44123</v>
      </c>
      <c r="B138" s="262">
        <v>11873.0498046875</v>
      </c>
      <c r="C138" s="262">
        <v>2094.30004882813</v>
      </c>
      <c r="D138" s="259"/>
      <c r="E138" s="263">
        <f t="shared" si="4"/>
        <v>9.4027696218493221E-3</v>
      </c>
      <c r="F138" s="263">
        <f t="shared" si="5"/>
        <v>5.5488408610848035E-2</v>
      </c>
      <c r="G138" s="259"/>
      <c r="H138" s="259"/>
    </row>
    <row r="139" spans="1:8" ht="14.25" customHeight="1" x14ac:dyDescent="0.3">
      <c r="A139" s="261">
        <v>44124</v>
      </c>
      <c r="B139" s="262">
        <v>11896.7998046875</v>
      </c>
      <c r="C139" s="262">
        <v>2143.05004882813</v>
      </c>
      <c r="D139" s="259"/>
      <c r="E139" s="263">
        <f t="shared" si="4"/>
        <v>2.000328507897226E-3</v>
      </c>
      <c r="F139" s="263">
        <f t="shared" si="5"/>
        <v>2.3277466868836756E-2</v>
      </c>
      <c r="G139" s="259"/>
      <c r="H139" s="259"/>
    </row>
    <row r="140" spans="1:8" ht="14.25" customHeight="1" x14ac:dyDescent="0.3">
      <c r="A140" s="261">
        <v>44125</v>
      </c>
      <c r="B140" s="262">
        <v>11937.650390625</v>
      </c>
      <c r="C140" s="262">
        <v>2081.35009765625</v>
      </c>
      <c r="D140" s="259"/>
      <c r="E140" s="263">
        <f t="shared" si="4"/>
        <v>3.4337457642520234E-3</v>
      </c>
      <c r="F140" s="263">
        <f t="shared" si="5"/>
        <v>-2.8790718726153401E-2</v>
      </c>
      <c r="G140" s="259"/>
      <c r="H140" s="259"/>
    </row>
    <row r="141" spans="1:8" ht="14.25" customHeight="1" x14ac:dyDescent="0.3">
      <c r="A141" s="261">
        <v>44126</v>
      </c>
      <c r="B141" s="262">
        <v>11896.4501953125</v>
      </c>
      <c r="C141" s="262">
        <v>2100.30004882813</v>
      </c>
      <c r="D141" s="259"/>
      <c r="E141" s="263">
        <f t="shared" si="4"/>
        <v>-3.4512817819539903E-3</v>
      </c>
      <c r="F141" s="263">
        <f t="shared" si="5"/>
        <v>9.1046437565784882E-3</v>
      </c>
      <c r="G141" s="259"/>
      <c r="H141" s="259"/>
    </row>
    <row r="142" spans="1:8" ht="14.25" customHeight="1" x14ac:dyDescent="0.3">
      <c r="A142" s="261">
        <v>44127</v>
      </c>
      <c r="B142" s="262">
        <v>11930.349609375</v>
      </c>
      <c r="C142" s="262">
        <v>2116.55004882813</v>
      </c>
      <c r="D142" s="259"/>
      <c r="E142" s="263">
        <f t="shared" si="4"/>
        <v>2.8495402835256875E-3</v>
      </c>
      <c r="F142" s="263">
        <f t="shared" si="5"/>
        <v>7.736989773945273E-3</v>
      </c>
      <c r="G142" s="259"/>
      <c r="H142" s="259"/>
    </row>
    <row r="143" spans="1:8" ht="14.25" customHeight="1" x14ac:dyDescent="0.3">
      <c r="A143" s="261">
        <v>44130</v>
      </c>
      <c r="B143" s="262">
        <v>11767.75</v>
      </c>
      <c r="C143" s="262">
        <v>2144.25</v>
      </c>
      <c r="D143" s="259"/>
      <c r="E143" s="263">
        <f t="shared" si="4"/>
        <v>-1.3629073304543183E-2</v>
      </c>
      <c r="F143" s="263">
        <f t="shared" si="5"/>
        <v>1.3087312150830843E-2</v>
      </c>
      <c r="G143" s="259"/>
      <c r="H143" s="259"/>
    </row>
    <row r="144" spans="1:8" ht="14.25" customHeight="1" x14ac:dyDescent="0.3">
      <c r="A144" s="261">
        <v>44131</v>
      </c>
      <c r="B144" s="262">
        <v>11889.400390625</v>
      </c>
      <c r="C144" s="262">
        <v>2176.19995117188</v>
      </c>
      <c r="D144" s="259"/>
      <c r="E144" s="263">
        <f t="shared" si="4"/>
        <v>1.0337608346965222E-2</v>
      </c>
      <c r="F144" s="263">
        <f t="shared" si="5"/>
        <v>1.4900292023728577E-2</v>
      </c>
      <c r="G144" s="259"/>
      <c r="H144" s="259"/>
    </row>
    <row r="145" spans="1:8" ht="14.25" customHeight="1" x14ac:dyDescent="0.3">
      <c r="A145" s="261">
        <v>44132</v>
      </c>
      <c r="B145" s="262">
        <v>11729.599609375</v>
      </c>
      <c r="C145" s="262">
        <v>2240.19995117188</v>
      </c>
      <c r="D145" s="259"/>
      <c r="E145" s="263">
        <f t="shared" si="4"/>
        <v>-1.3440608945763632E-2</v>
      </c>
      <c r="F145" s="263">
        <f t="shared" si="5"/>
        <v>2.9409062326987052E-2</v>
      </c>
      <c r="G145" s="259"/>
      <c r="H145" s="259"/>
    </row>
    <row r="146" spans="1:8" ht="14.25" customHeight="1" x14ac:dyDescent="0.3">
      <c r="A146" s="261">
        <v>44133</v>
      </c>
      <c r="B146" s="262">
        <v>11670.7998046875</v>
      </c>
      <c r="C146" s="262">
        <v>2267.10009765625</v>
      </c>
      <c r="D146" s="259"/>
      <c r="E146" s="263">
        <f t="shared" si="4"/>
        <v>-5.012942184360979E-3</v>
      </c>
      <c r="F146" s="263">
        <f t="shared" si="5"/>
        <v>1.2007922092087429E-2</v>
      </c>
      <c r="G146" s="259"/>
      <c r="H146" s="259"/>
    </row>
    <row r="147" spans="1:8" ht="14.25" customHeight="1" x14ac:dyDescent="0.3">
      <c r="A147" s="261">
        <v>44134</v>
      </c>
      <c r="B147" s="262">
        <v>11642.400390625</v>
      </c>
      <c r="C147" s="262">
        <v>2239.89990234375</v>
      </c>
      <c r="D147" s="259"/>
      <c r="E147" s="263">
        <f t="shared" si="4"/>
        <v>-2.4333734223676395E-3</v>
      </c>
      <c r="F147" s="263">
        <f t="shared" si="5"/>
        <v>-1.1997791954850085E-2</v>
      </c>
      <c r="G147" s="259"/>
      <c r="H147" s="259"/>
    </row>
    <row r="148" spans="1:8" ht="14.25" customHeight="1" x14ac:dyDescent="0.3">
      <c r="A148" s="261">
        <v>44137</v>
      </c>
      <c r="B148" s="262">
        <v>11669.150390625</v>
      </c>
      <c r="C148" s="262">
        <v>2205.75</v>
      </c>
      <c r="D148" s="259"/>
      <c r="E148" s="263">
        <f t="shared" si="4"/>
        <v>2.2976361491175257E-3</v>
      </c>
      <c r="F148" s="263">
        <f t="shared" si="5"/>
        <v>-1.5246173415167695E-2</v>
      </c>
      <c r="G148" s="259"/>
      <c r="H148" s="259"/>
    </row>
    <row r="149" spans="1:8" ht="14.25" customHeight="1" x14ac:dyDescent="0.3">
      <c r="A149" s="261">
        <v>44138</v>
      </c>
      <c r="B149" s="262">
        <v>11813.5</v>
      </c>
      <c r="C149" s="262">
        <v>2209.05004882813</v>
      </c>
      <c r="D149" s="259"/>
      <c r="E149" s="263">
        <f t="shared" si="4"/>
        <v>1.2370190163199074E-2</v>
      </c>
      <c r="F149" s="263">
        <f t="shared" si="5"/>
        <v>1.4961119021330623E-3</v>
      </c>
      <c r="G149" s="259"/>
      <c r="H149" s="259"/>
    </row>
    <row r="150" spans="1:8" ht="14.25" customHeight="1" x14ac:dyDescent="0.3">
      <c r="A150" s="261">
        <v>44139</v>
      </c>
      <c r="B150" s="262">
        <v>11908.5</v>
      </c>
      <c r="C150" s="262">
        <v>2290.80004882813</v>
      </c>
      <c r="D150" s="259"/>
      <c r="E150" s="263">
        <f t="shared" si="4"/>
        <v>8.041647267956151E-3</v>
      </c>
      <c r="F150" s="263">
        <f t="shared" si="5"/>
        <v>3.7006857333706504E-2</v>
      </c>
      <c r="G150" s="259"/>
      <c r="H150" s="259"/>
    </row>
    <row r="151" spans="1:8" ht="14.25" customHeight="1" x14ac:dyDescent="0.3">
      <c r="A151" s="261">
        <v>44140</v>
      </c>
      <c r="B151" s="262">
        <v>12120.2998046875</v>
      </c>
      <c r="C151" s="262">
        <v>2281.94995117188</v>
      </c>
      <c r="D151" s="259"/>
      <c r="E151" s="263">
        <f t="shared" si="4"/>
        <v>1.7785598915690475E-2</v>
      </c>
      <c r="F151" s="263">
        <f t="shared" si="5"/>
        <v>-3.8633217511835267E-3</v>
      </c>
      <c r="G151" s="259"/>
      <c r="H151" s="259"/>
    </row>
    <row r="152" spans="1:8" ht="14.25" customHeight="1" x14ac:dyDescent="0.3">
      <c r="A152" s="261">
        <v>44141</v>
      </c>
      <c r="B152" s="262">
        <v>12263.5498046875</v>
      </c>
      <c r="C152" s="262">
        <v>2294.60009765625</v>
      </c>
      <c r="D152" s="259"/>
      <c r="E152" s="263">
        <f t="shared" si="4"/>
        <v>1.1819014571289595E-2</v>
      </c>
      <c r="F152" s="263">
        <f t="shared" si="5"/>
        <v>5.5435687701536141E-3</v>
      </c>
      <c r="G152" s="259"/>
      <c r="H152" s="259"/>
    </row>
    <row r="153" spans="1:8" ht="14.25" customHeight="1" x14ac:dyDescent="0.3">
      <c r="A153" s="261">
        <v>44144</v>
      </c>
      <c r="B153" s="262">
        <v>12461.0498046875</v>
      </c>
      <c r="C153" s="262">
        <v>2325.85009765625</v>
      </c>
      <c r="D153" s="259"/>
      <c r="E153" s="263">
        <f t="shared" si="4"/>
        <v>1.6104635537461554E-2</v>
      </c>
      <c r="F153" s="263">
        <f t="shared" si="5"/>
        <v>1.3618930824556039E-2</v>
      </c>
      <c r="G153" s="259"/>
      <c r="H153" s="259"/>
    </row>
    <row r="154" spans="1:8" ht="14.25" customHeight="1" x14ac:dyDescent="0.3">
      <c r="A154" s="261">
        <v>44145</v>
      </c>
      <c r="B154" s="262">
        <v>12631.099609375</v>
      </c>
      <c r="C154" s="262">
        <v>2362.39990234375</v>
      </c>
      <c r="D154" s="259"/>
      <c r="E154" s="263">
        <f t="shared" si="4"/>
        <v>1.3646507104363872E-2</v>
      </c>
      <c r="F154" s="263">
        <f t="shared" si="5"/>
        <v>1.5714600319397667E-2</v>
      </c>
      <c r="G154" s="259"/>
      <c r="H154" s="259"/>
    </row>
    <row r="155" spans="1:8" ht="14.25" customHeight="1" x14ac:dyDescent="0.3">
      <c r="A155" s="261">
        <v>44146</v>
      </c>
      <c r="B155" s="262">
        <v>12749.150390625</v>
      </c>
      <c r="C155" s="262">
        <v>2398.19995117188</v>
      </c>
      <c r="D155" s="259"/>
      <c r="E155" s="263">
        <f t="shared" si="4"/>
        <v>9.3460415087203378E-3</v>
      </c>
      <c r="F155" s="263">
        <f t="shared" si="5"/>
        <v>1.5154101891306622E-2</v>
      </c>
      <c r="G155" s="259"/>
      <c r="H155" s="259"/>
    </row>
    <row r="156" spans="1:8" ht="14.25" customHeight="1" x14ac:dyDescent="0.3">
      <c r="A156" s="261">
        <v>44147</v>
      </c>
      <c r="B156" s="262">
        <v>12690.7998046875</v>
      </c>
      <c r="C156" s="262">
        <v>2400.30004882813</v>
      </c>
      <c r="D156" s="259"/>
      <c r="E156" s="263">
        <f t="shared" si="4"/>
        <v>-4.5768215253314216E-3</v>
      </c>
      <c r="F156" s="263">
        <f t="shared" si="5"/>
        <v>8.7569748103104902E-4</v>
      </c>
      <c r="G156" s="259"/>
      <c r="H156" s="259"/>
    </row>
    <row r="157" spans="1:8" ht="14.25" customHeight="1" x14ac:dyDescent="0.3">
      <c r="A157" s="261">
        <v>44148</v>
      </c>
      <c r="B157" s="262">
        <v>12719.9501953125</v>
      </c>
      <c r="C157" s="262">
        <v>2383.05004882813</v>
      </c>
      <c r="D157" s="259"/>
      <c r="E157" s="263">
        <f t="shared" si="4"/>
        <v>2.2969703307614193E-3</v>
      </c>
      <c r="F157" s="263">
        <f t="shared" si="5"/>
        <v>-7.1866015285971278E-3</v>
      </c>
      <c r="G157" s="259"/>
      <c r="H157" s="259"/>
    </row>
    <row r="158" spans="1:8" ht="14.25" customHeight="1" x14ac:dyDescent="0.3">
      <c r="A158" s="261">
        <v>44152</v>
      </c>
      <c r="B158" s="262">
        <v>12874.2001953125</v>
      </c>
      <c r="C158" s="262">
        <v>2432.14990234375</v>
      </c>
      <c r="D158" s="259"/>
      <c r="E158" s="263">
        <f t="shared" si="4"/>
        <v>1.2126619808373427E-2</v>
      </c>
      <c r="F158" s="263">
        <f t="shared" si="5"/>
        <v>2.0603786118451418E-2</v>
      </c>
      <c r="G158" s="259"/>
      <c r="H158" s="259"/>
    </row>
    <row r="159" spans="1:8" ht="14.25" customHeight="1" x14ac:dyDescent="0.3">
      <c r="A159" s="261">
        <v>44153</v>
      </c>
      <c r="B159" s="262">
        <v>12938.25</v>
      </c>
      <c r="C159" s="262">
        <v>2375.05004882813</v>
      </c>
      <c r="D159" s="259"/>
      <c r="E159" s="263">
        <f t="shared" si="4"/>
        <v>4.9750511655722541E-3</v>
      </c>
      <c r="F159" s="263">
        <f t="shared" si="5"/>
        <v>-2.3477111119094889E-2</v>
      </c>
      <c r="G159" s="259"/>
      <c r="H159" s="259"/>
    </row>
    <row r="160" spans="1:8" ht="14.25" customHeight="1" x14ac:dyDescent="0.3">
      <c r="A160" s="261">
        <v>44154</v>
      </c>
      <c r="B160" s="262">
        <v>12771.7001953125</v>
      </c>
      <c r="C160" s="262">
        <v>2392.19995117188</v>
      </c>
      <c r="D160" s="259"/>
      <c r="E160" s="263">
        <f t="shared" si="4"/>
        <v>-1.2872668613413716E-2</v>
      </c>
      <c r="F160" s="263">
        <f t="shared" si="5"/>
        <v>7.2208593466112046E-3</v>
      </c>
      <c r="G160" s="259"/>
      <c r="H160" s="259"/>
    </row>
    <row r="161" spans="1:8" ht="14.25" customHeight="1" x14ac:dyDescent="0.3">
      <c r="A161" s="261">
        <v>44155</v>
      </c>
      <c r="B161" s="262">
        <v>12859.0498046875</v>
      </c>
      <c r="C161" s="262">
        <v>2382.60009765625</v>
      </c>
      <c r="D161" s="259"/>
      <c r="E161" s="263">
        <f t="shared" si="4"/>
        <v>6.83930941371919E-3</v>
      </c>
      <c r="F161" s="263">
        <f t="shared" si="5"/>
        <v>-4.0129812355055314E-3</v>
      </c>
      <c r="G161" s="259"/>
      <c r="H161" s="259"/>
    </row>
    <row r="162" spans="1:8" ht="14.25" customHeight="1" x14ac:dyDescent="0.3">
      <c r="A162" s="261">
        <v>44158</v>
      </c>
      <c r="B162" s="262">
        <v>12926.4501953125</v>
      </c>
      <c r="C162" s="262">
        <v>2360.39990234375</v>
      </c>
      <c r="D162" s="259"/>
      <c r="E162" s="263">
        <f t="shared" si="4"/>
        <v>5.241475198302023E-3</v>
      </c>
      <c r="F162" s="263">
        <f t="shared" si="5"/>
        <v>-9.3176338464596737E-3</v>
      </c>
      <c r="G162" s="259"/>
      <c r="H162" s="259"/>
    </row>
    <row r="163" spans="1:8" ht="14.25" customHeight="1" x14ac:dyDescent="0.3">
      <c r="A163" s="261">
        <v>44159</v>
      </c>
      <c r="B163" s="262">
        <v>13055.150390625</v>
      </c>
      <c r="C163" s="262">
        <v>2380.25</v>
      </c>
      <c r="D163" s="259"/>
      <c r="E163" s="263">
        <f t="shared" si="4"/>
        <v>9.9563448098976444E-3</v>
      </c>
      <c r="F163" s="263">
        <f t="shared" si="5"/>
        <v>8.4096333153292884E-3</v>
      </c>
      <c r="G163" s="259"/>
      <c r="H163" s="259"/>
    </row>
    <row r="164" spans="1:8" ht="14.25" customHeight="1" x14ac:dyDescent="0.3">
      <c r="A164" s="261">
        <v>44160</v>
      </c>
      <c r="B164" s="262">
        <v>12858.400390625</v>
      </c>
      <c r="C164" s="262">
        <v>2360.80004882813</v>
      </c>
      <c r="D164" s="259"/>
      <c r="E164" s="263">
        <f t="shared" si="4"/>
        <v>-1.507068046809232E-2</v>
      </c>
      <c r="F164" s="263">
        <f t="shared" si="5"/>
        <v>-8.1713900522508136E-3</v>
      </c>
      <c r="G164" s="259"/>
      <c r="H164" s="259"/>
    </row>
    <row r="165" spans="1:8" ht="14.25" customHeight="1" x14ac:dyDescent="0.3">
      <c r="A165" s="261">
        <v>44161</v>
      </c>
      <c r="B165" s="262">
        <v>12987</v>
      </c>
      <c r="C165" s="262">
        <v>2373.05004882813</v>
      </c>
      <c r="D165" s="259"/>
      <c r="E165" s="263">
        <f t="shared" si="4"/>
        <v>1.0001213639976662E-2</v>
      </c>
      <c r="F165" s="263">
        <f t="shared" si="5"/>
        <v>5.1889189031831557E-3</v>
      </c>
      <c r="G165" s="259"/>
      <c r="H165" s="259"/>
    </row>
    <row r="166" spans="1:8" ht="14.25" customHeight="1" x14ac:dyDescent="0.3">
      <c r="A166" s="261">
        <v>44162</v>
      </c>
      <c r="B166" s="262">
        <v>12968.9501953125</v>
      </c>
      <c r="C166" s="262">
        <v>2289.19995117188</v>
      </c>
      <c r="D166" s="259"/>
      <c r="E166" s="263">
        <f t="shared" si="4"/>
        <v>-1.3898363507738507E-3</v>
      </c>
      <c r="F166" s="263">
        <f t="shared" si="5"/>
        <v>-3.5334314882089074E-2</v>
      </c>
      <c r="G166" s="259"/>
      <c r="H166" s="259"/>
    </row>
    <row r="167" spans="1:8" ht="14.25" customHeight="1" x14ac:dyDescent="0.3">
      <c r="A167" s="261">
        <v>44166</v>
      </c>
      <c r="B167" s="262">
        <v>13109.0498046875</v>
      </c>
      <c r="C167" s="262">
        <v>2426.69995117188</v>
      </c>
      <c r="D167" s="259"/>
      <c r="E167" s="263">
        <f t="shared" si="4"/>
        <v>1.0802694687318455E-2</v>
      </c>
      <c r="F167" s="263">
        <f t="shared" si="5"/>
        <v>6.0064652687770427E-2</v>
      </c>
      <c r="G167" s="259"/>
      <c r="H167" s="259"/>
    </row>
    <row r="168" spans="1:8" ht="14.25" customHeight="1" x14ac:dyDescent="0.3">
      <c r="A168" s="261">
        <v>44167</v>
      </c>
      <c r="B168" s="262">
        <v>13113.75</v>
      </c>
      <c r="C168" s="262">
        <v>2456</v>
      </c>
      <c r="D168" s="259"/>
      <c r="E168" s="263">
        <f t="shared" si="4"/>
        <v>3.5854584295036521E-4</v>
      </c>
      <c r="F168" s="263">
        <f t="shared" si="5"/>
        <v>1.207403033653612E-2</v>
      </c>
      <c r="G168" s="259"/>
      <c r="H168" s="259"/>
    </row>
    <row r="169" spans="1:8" ht="14.25" customHeight="1" x14ac:dyDescent="0.3">
      <c r="A169" s="261">
        <v>44168</v>
      </c>
      <c r="B169" s="262">
        <v>13133.900390625</v>
      </c>
      <c r="C169" s="262">
        <v>2470.85009765625</v>
      </c>
      <c r="D169" s="259"/>
      <c r="E169" s="263">
        <f t="shared" si="4"/>
        <v>1.5365849299399485E-3</v>
      </c>
      <c r="F169" s="263">
        <f t="shared" si="5"/>
        <v>6.0464567004275245E-3</v>
      </c>
      <c r="G169" s="259"/>
      <c r="H169" s="259"/>
    </row>
    <row r="170" spans="1:8" ht="14.25" customHeight="1" x14ac:dyDescent="0.3">
      <c r="A170" s="261">
        <v>44169</v>
      </c>
      <c r="B170" s="262">
        <v>13258.5498046875</v>
      </c>
      <c r="C170" s="262">
        <v>2441.89990234375</v>
      </c>
      <c r="D170" s="259"/>
      <c r="E170" s="263">
        <f t="shared" si="4"/>
        <v>9.4906623588736031E-3</v>
      </c>
      <c r="F170" s="263">
        <f t="shared" si="5"/>
        <v>-1.1716694323124256E-2</v>
      </c>
      <c r="G170" s="259"/>
      <c r="H170" s="259"/>
    </row>
    <row r="171" spans="1:8" ht="14.25" customHeight="1" x14ac:dyDescent="0.3">
      <c r="A171" s="261">
        <v>44172</v>
      </c>
      <c r="B171" s="262">
        <v>13355.75</v>
      </c>
      <c r="C171" s="262">
        <v>2526.44995117188</v>
      </c>
      <c r="D171" s="259"/>
      <c r="E171" s="263">
        <f t="shared" si="4"/>
        <v>7.3311332494399436E-3</v>
      </c>
      <c r="F171" s="263">
        <f t="shared" si="5"/>
        <v>3.4624698885887324E-2</v>
      </c>
      <c r="G171" s="259"/>
      <c r="H171" s="259"/>
    </row>
    <row r="172" spans="1:8" ht="14.25" customHeight="1" x14ac:dyDescent="0.3">
      <c r="A172" s="261">
        <v>44173</v>
      </c>
      <c r="B172" s="262">
        <v>13392.9501953125</v>
      </c>
      <c r="C172" s="262">
        <v>2652.10009765625</v>
      </c>
      <c r="D172" s="259"/>
      <c r="E172" s="263">
        <f t="shared" si="4"/>
        <v>2.7853318093330587E-3</v>
      </c>
      <c r="F172" s="263">
        <f t="shared" si="5"/>
        <v>4.9733875165857873E-2</v>
      </c>
      <c r="G172" s="259"/>
      <c r="H172" s="259"/>
    </row>
    <row r="173" spans="1:8" ht="14.25" customHeight="1" x14ac:dyDescent="0.3">
      <c r="A173" s="261">
        <v>44174</v>
      </c>
      <c r="B173" s="262">
        <v>13529.099609375</v>
      </c>
      <c r="C173" s="262">
        <v>2625.30004882813</v>
      </c>
      <c r="D173" s="259"/>
      <c r="E173" s="263">
        <f t="shared" si="4"/>
        <v>1.0165752285866931E-2</v>
      </c>
      <c r="F173" s="263">
        <f t="shared" si="5"/>
        <v>-1.0105217692124102E-2</v>
      </c>
      <c r="G173" s="259"/>
      <c r="H173" s="259"/>
    </row>
    <row r="174" spans="1:8" ht="14.25" customHeight="1" x14ac:dyDescent="0.3">
      <c r="A174" s="261">
        <v>44175</v>
      </c>
      <c r="B174" s="262">
        <v>13478.2998046875</v>
      </c>
      <c r="C174" s="262">
        <v>2622.05004882813</v>
      </c>
      <c r="D174" s="259"/>
      <c r="E174" s="263">
        <f t="shared" si="4"/>
        <v>-3.7548548058806688E-3</v>
      </c>
      <c r="F174" s="263">
        <f t="shared" si="5"/>
        <v>-1.2379537346410064E-3</v>
      </c>
      <c r="G174" s="259"/>
      <c r="H174" s="259"/>
    </row>
    <row r="175" spans="1:8" ht="14.25" customHeight="1" x14ac:dyDescent="0.3">
      <c r="A175" s="261">
        <v>44176</v>
      </c>
      <c r="B175" s="262">
        <v>13513.849609375</v>
      </c>
      <c r="C175" s="262">
        <v>2685.10009765625</v>
      </c>
      <c r="D175" s="259"/>
      <c r="E175" s="263">
        <f t="shared" si="4"/>
        <v>2.6375585350265351E-3</v>
      </c>
      <c r="F175" s="263">
        <f t="shared" si="5"/>
        <v>2.4046088996775211E-2</v>
      </c>
      <c r="G175" s="259"/>
      <c r="H175" s="259"/>
    </row>
    <row r="176" spans="1:8" ht="14.25" customHeight="1" x14ac:dyDescent="0.3">
      <c r="A176" s="261">
        <v>44179</v>
      </c>
      <c r="B176" s="262">
        <v>13558.150390625</v>
      </c>
      <c r="C176" s="262">
        <v>2671.94995117188</v>
      </c>
      <c r="D176" s="259"/>
      <c r="E176" s="263">
        <f t="shared" si="4"/>
        <v>3.2781762806703943E-3</v>
      </c>
      <c r="F176" s="263">
        <f t="shared" si="5"/>
        <v>-4.8974511214119722E-3</v>
      </c>
      <c r="G176" s="259"/>
      <c r="H176" s="259"/>
    </row>
    <row r="177" spans="1:8" ht="14.25" customHeight="1" x14ac:dyDescent="0.3">
      <c r="A177" s="261">
        <v>44180</v>
      </c>
      <c r="B177" s="262">
        <v>13567.849609375</v>
      </c>
      <c r="C177" s="262">
        <v>2640.05004882813</v>
      </c>
      <c r="D177" s="259"/>
      <c r="E177" s="263">
        <f t="shared" si="4"/>
        <v>7.1537919779284052E-4</v>
      </c>
      <c r="F177" s="263">
        <f t="shared" si="5"/>
        <v>-1.1938809830535616E-2</v>
      </c>
      <c r="G177" s="259"/>
      <c r="H177" s="259"/>
    </row>
    <row r="178" spans="1:8" ht="14.25" customHeight="1" x14ac:dyDescent="0.3">
      <c r="A178" s="261">
        <v>44181</v>
      </c>
      <c r="B178" s="262">
        <v>13682.7001953125</v>
      </c>
      <c r="C178" s="262">
        <v>2627.05004882813</v>
      </c>
      <c r="D178" s="259"/>
      <c r="E178" s="263">
        <f t="shared" si="4"/>
        <v>8.4649070592691042E-3</v>
      </c>
      <c r="F178" s="263">
        <f t="shared" si="5"/>
        <v>-4.9241490727687008E-3</v>
      </c>
      <c r="G178" s="259"/>
      <c r="H178" s="259"/>
    </row>
    <row r="179" spans="1:8" ht="14.25" customHeight="1" x14ac:dyDescent="0.3">
      <c r="A179" s="261">
        <v>44182</v>
      </c>
      <c r="B179" s="262">
        <v>13740.7001953125</v>
      </c>
      <c r="C179" s="262">
        <v>2556.05004882813</v>
      </c>
      <c r="D179" s="259"/>
      <c r="E179" s="263">
        <f t="shared" si="4"/>
        <v>4.2389293905504104E-3</v>
      </c>
      <c r="F179" s="263">
        <f t="shared" si="5"/>
        <v>-2.7026512125900137E-2</v>
      </c>
      <c r="G179" s="259"/>
      <c r="H179" s="259"/>
    </row>
    <row r="180" spans="1:8" ht="14.25" customHeight="1" x14ac:dyDescent="0.3">
      <c r="A180" s="261">
        <v>44183</v>
      </c>
      <c r="B180" s="262">
        <v>13760.5498046875</v>
      </c>
      <c r="C180" s="262">
        <v>2637.05004882813</v>
      </c>
      <c r="D180" s="259"/>
      <c r="E180" s="263">
        <f t="shared" si="4"/>
        <v>1.4445849987885983E-3</v>
      </c>
      <c r="F180" s="263">
        <f t="shared" si="5"/>
        <v>3.1689520335149934E-2</v>
      </c>
      <c r="G180" s="259"/>
      <c r="H180" s="259"/>
    </row>
    <row r="181" spans="1:8" ht="14.25" customHeight="1" x14ac:dyDescent="0.3">
      <c r="A181" s="261">
        <v>44186</v>
      </c>
      <c r="B181" s="262">
        <v>13328.400390625</v>
      </c>
      <c r="C181" s="262">
        <v>2682.39990234375</v>
      </c>
      <c r="D181" s="259"/>
      <c r="E181" s="263">
        <f t="shared" si="4"/>
        <v>-3.1404952577933277E-2</v>
      </c>
      <c r="F181" s="263">
        <f t="shared" si="5"/>
        <v>1.7197191056640304E-2</v>
      </c>
      <c r="G181" s="259"/>
      <c r="H181" s="259"/>
    </row>
    <row r="182" spans="1:8" ht="14.25" customHeight="1" x14ac:dyDescent="0.3">
      <c r="A182" s="261">
        <v>44187</v>
      </c>
      <c r="B182" s="262">
        <v>13466.2998046875</v>
      </c>
      <c r="C182" s="262">
        <v>2625.75</v>
      </c>
      <c r="D182" s="259"/>
      <c r="E182" s="263">
        <f t="shared" si="4"/>
        <v>1.034628387660806E-2</v>
      </c>
      <c r="F182" s="263">
        <f t="shared" si="5"/>
        <v>-2.1119111395080235E-2</v>
      </c>
      <c r="G182" s="259"/>
      <c r="H182" s="259"/>
    </row>
    <row r="183" spans="1:8" ht="14.25" customHeight="1" x14ac:dyDescent="0.3">
      <c r="A183" s="261">
        <v>44188</v>
      </c>
      <c r="B183" s="262">
        <v>13601.099609375</v>
      </c>
      <c r="C183" s="262">
        <v>2661.85009765625</v>
      </c>
      <c r="D183" s="259"/>
      <c r="E183" s="263">
        <f t="shared" si="4"/>
        <v>1.0010159185716136E-2</v>
      </c>
      <c r="F183" s="263">
        <f t="shared" si="5"/>
        <v>1.3748490014757688E-2</v>
      </c>
      <c r="G183" s="259"/>
      <c r="H183" s="259"/>
    </row>
    <row r="184" spans="1:8" ht="14.25" customHeight="1" x14ac:dyDescent="0.3">
      <c r="A184" s="261">
        <v>44189</v>
      </c>
      <c r="B184" s="262">
        <v>13749.25</v>
      </c>
      <c r="C184" s="262">
        <v>2673.10009765625</v>
      </c>
      <c r="D184" s="259"/>
      <c r="E184" s="263">
        <f t="shared" si="4"/>
        <v>1.0892530374741357E-2</v>
      </c>
      <c r="F184" s="263">
        <f t="shared" si="5"/>
        <v>4.2263837508752225E-3</v>
      </c>
      <c r="G184" s="259"/>
      <c r="H184" s="259"/>
    </row>
    <row r="185" spans="1:8" ht="14.25" customHeight="1" x14ac:dyDescent="0.3">
      <c r="A185" s="261">
        <v>44193</v>
      </c>
      <c r="B185" s="262">
        <v>13873.2001953125</v>
      </c>
      <c r="C185" s="262">
        <v>2678</v>
      </c>
      <c r="D185" s="259"/>
      <c r="E185" s="263">
        <f t="shared" si="4"/>
        <v>9.0150513891666811E-3</v>
      </c>
      <c r="F185" s="263">
        <f t="shared" si="5"/>
        <v>1.8330411001242304E-3</v>
      </c>
      <c r="G185" s="259"/>
      <c r="H185" s="259"/>
    </row>
    <row r="186" spans="1:8" ht="14.25" customHeight="1" x14ac:dyDescent="0.3">
      <c r="A186" s="261">
        <v>44194</v>
      </c>
      <c r="B186" s="262">
        <v>13932.599609375</v>
      </c>
      <c r="C186" s="262">
        <v>2665.69995117188</v>
      </c>
      <c r="D186" s="259"/>
      <c r="E186" s="263">
        <f t="shared" si="4"/>
        <v>4.281594241144878E-3</v>
      </c>
      <c r="F186" s="263">
        <f t="shared" si="5"/>
        <v>-4.5929980687527995E-3</v>
      </c>
      <c r="G186" s="259"/>
      <c r="H186" s="259"/>
    </row>
    <row r="187" spans="1:8" ht="14.25" customHeight="1" x14ac:dyDescent="0.3">
      <c r="A187" s="261">
        <v>44195</v>
      </c>
      <c r="B187" s="262">
        <v>13981.9501953125</v>
      </c>
      <c r="C187" s="262">
        <v>2680.30004882813</v>
      </c>
      <c r="D187" s="259"/>
      <c r="E187" s="263">
        <f t="shared" si="4"/>
        <v>3.542094606974341E-3</v>
      </c>
      <c r="F187" s="263">
        <f t="shared" si="5"/>
        <v>5.4770221419074517E-3</v>
      </c>
      <c r="G187" s="259"/>
      <c r="H187" s="259"/>
    </row>
    <row r="188" spans="1:8" ht="14.25" customHeight="1" x14ac:dyDescent="0.3">
      <c r="A188" s="261">
        <v>44196</v>
      </c>
      <c r="B188" s="262">
        <v>13981.75</v>
      </c>
      <c r="C188" s="262">
        <v>2763.60009765625</v>
      </c>
      <c r="D188" s="259"/>
      <c r="E188" s="263">
        <f t="shared" si="4"/>
        <v>-1.4318125133010144E-5</v>
      </c>
      <c r="F188" s="263">
        <f t="shared" si="5"/>
        <v>3.1078628254526994E-2</v>
      </c>
      <c r="G188" s="259"/>
      <c r="H188" s="259"/>
    </row>
    <row r="189" spans="1:8" ht="14.25" customHeight="1" x14ac:dyDescent="0.3">
      <c r="A189" s="261">
        <v>44197</v>
      </c>
      <c r="B189" s="262">
        <v>14018.5</v>
      </c>
      <c r="C189" s="262">
        <v>2789.10009765625</v>
      </c>
      <c r="D189" s="259"/>
      <c r="E189" s="263">
        <f t="shared" si="4"/>
        <v>2.6284263414808589E-3</v>
      </c>
      <c r="F189" s="263">
        <f t="shared" si="5"/>
        <v>9.2270947673022598E-3</v>
      </c>
      <c r="G189" s="259"/>
      <c r="H189" s="259"/>
    </row>
    <row r="190" spans="1:8" ht="14.25" customHeight="1" x14ac:dyDescent="0.3">
      <c r="A190" s="261">
        <v>44200</v>
      </c>
      <c r="B190" s="262">
        <v>14132.900390625</v>
      </c>
      <c r="C190" s="262">
        <v>2898.44995117188</v>
      </c>
      <c r="D190" s="259"/>
      <c r="E190" s="263">
        <f t="shared" si="4"/>
        <v>8.1606727271106034E-3</v>
      </c>
      <c r="F190" s="263">
        <f t="shared" si="5"/>
        <v>3.9206141653904569E-2</v>
      </c>
      <c r="G190" s="259"/>
      <c r="H190" s="259"/>
    </row>
    <row r="191" spans="1:8" ht="14.25" customHeight="1" x14ac:dyDescent="0.3">
      <c r="A191" s="261">
        <v>44201</v>
      </c>
      <c r="B191" s="262">
        <v>14199.5</v>
      </c>
      <c r="C191" s="262">
        <v>2991.14990234375</v>
      </c>
      <c r="D191" s="259"/>
      <c r="E191" s="263">
        <f t="shared" si="4"/>
        <v>4.7123808655142414E-3</v>
      </c>
      <c r="F191" s="263">
        <f t="shared" si="5"/>
        <v>3.1982595088243713E-2</v>
      </c>
      <c r="G191" s="259"/>
      <c r="H191" s="259"/>
    </row>
    <row r="192" spans="1:8" ht="14.25" customHeight="1" x14ac:dyDescent="0.3">
      <c r="A192" s="261">
        <v>44202</v>
      </c>
      <c r="B192" s="262">
        <v>14146.25</v>
      </c>
      <c r="C192" s="262">
        <v>2914.94995117188</v>
      </c>
      <c r="D192" s="259"/>
      <c r="E192" s="263">
        <f t="shared" si="4"/>
        <v>-3.7501320469030598E-3</v>
      </c>
      <c r="F192" s="263">
        <f t="shared" si="5"/>
        <v>-2.5475136205030263E-2</v>
      </c>
      <c r="G192" s="259"/>
      <c r="H192" s="259"/>
    </row>
    <row r="193" spans="1:8" ht="14.25" customHeight="1" x14ac:dyDescent="0.3">
      <c r="A193" s="261">
        <v>44203</v>
      </c>
      <c r="B193" s="262">
        <v>14137.349609375</v>
      </c>
      <c r="C193" s="262">
        <v>2921.44995117188</v>
      </c>
      <c r="D193" s="259"/>
      <c r="E193" s="263">
        <f t="shared" si="4"/>
        <v>-6.2916961208800914E-4</v>
      </c>
      <c r="F193" s="263">
        <f t="shared" si="5"/>
        <v>2.2298839118616233E-3</v>
      </c>
      <c r="G193" s="259"/>
      <c r="H193" s="259"/>
    </row>
    <row r="194" spans="1:8" ht="14.25" customHeight="1" x14ac:dyDescent="0.3">
      <c r="A194" s="261">
        <v>44204</v>
      </c>
      <c r="B194" s="262">
        <v>14347.25</v>
      </c>
      <c r="C194" s="262">
        <v>2967.5</v>
      </c>
      <c r="D194" s="259"/>
      <c r="E194" s="263">
        <f t="shared" si="4"/>
        <v>1.4847223590326102E-2</v>
      </c>
      <c r="F194" s="263">
        <f t="shared" si="5"/>
        <v>1.5762737543954145E-2</v>
      </c>
      <c r="G194" s="259"/>
      <c r="H194" s="259"/>
    </row>
    <row r="195" spans="1:8" ht="14.25" customHeight="1" x14ac:dyDescent="0.3">
      <c r="A195" s="261">
        <v>44207</v>
      </c>
      <c r="B195" s="262">
        <v>14484.75</v>
      </c>
      <c r="C195" s="262">
        <v>2984.85009765625</v>
      </c>
      <c r="D195" s="259"/>
      <c r="E195" s="263">
        <f t="shared" ref="E195:E258" si="6">(B195-B194)/B194</f>
        <v>9.5837181341372046E-3</v>
      </c>
      <c r="F195" s="263">
        <f t="shared" ref="F195:F258" si="7">(C195-C194)/C194</f>
        <v>5.8467051916596463E-3</v>
      </c>
      <c r="G195" s="259"/>
      <c r="H195" s="259"/>
    </row>
    <row r="196" spans="1:8" ht="14.25" customHeight="1" x14ac:dyDescent="0.3">
      <c r="A196" s="261">
        <v>44208</v>
      </c>
      <c r="B196" s="262">
        <v>14563.4501953125</v>
      </c>
      <c r="C196" s="262">
        <v>2998.19995117188</v>
      </c>
      <c r="D196" s="259"/>
      <c r="E196" s="263">
        <f t="shared" si="6"/>
        <v>5.4333140242323824E-3</v>
      </c>
      <c r="F196" s="263">
        <f t="shared" si="7"/>
        <v>4.4725373398525146E-3</v>
      </c>
      <c r="G196" s="259"/>
      <c r="H196" s="259"/>
    </row>
    <row r="197" spans="1:8" ht="14.25" customHeight="1" x14ac:dyDescent="0.3">
      <c r="A197" s="261">
        <v>44209</v>
      </c>
      <c r="B197" s="262">
        <v>14564.849609375</v>
      </c>
      <c r="C197" s="262">
        <v>2926.10009765625</v>
      </c>
      <c r="D197" s="259"/>
      <c r="E197" s="263">
        <f t="shared" si="6"/>
        <v>9.6090833128981056E-5</v>
      </c>
      <c r="F197" s="263">
        <f t="shared" si="7"/>
        <v>-2.4047713524726382E-2</v>
      </c>
      <c r="G197" s="259"/>
      <c r="H197" s="259"/>
    </row>
    <row r="198" spans="1:8" ht="14.25" customHeight="1" x14ac:dyDescent="0.3">
      <c r="A198" s="261">
        <v>44210</v>
      </c>
      <c r="B198" s="262">
        <v>14595.599609375</v>
      </c>
      <c r="C198" s="262">
        <v>2895.55004882813</v>
      </c>
      <c r="D198" s="259"/>
      <c r="E198" s="263">
        <f t="shared" si="6"/>
        <v>2.1112473403231747E-3</v>
      </c>
      <c r="F198" s="263">
        <f t="shared" si="7"/>
        <v>-1.0440534434413232E-2</v>
      </c>
      <c r="G198" s="259"/>
      <c r="H198" s="259"/>
    </row>
    <row r="199" spans="1:8" ht="14.25" customHeight="1" x14ac:dyDescent="0.3">
      <c r="A199" s="261">
        <v>44211</v>
      </c>
      <c r="B199" s="262">
        <v>14433.7001953125</v>
      </c>
      <c r="C199" s="262">
        <v>2820.94995117188</v>
      </c>
      <c r="D199" s="259"/>
      <c r="E199" s="263">
        <f t="shared" si="6"/>
        <v>-1.1092344158201577E-2</v>
      </c>
      <c r="F199" s="263">
        <f t="shared" si="7"/>
        <v>-2.5763705133137558E-2</v>
      </c>
      <c r="G199" s="259"/>
      <c r="H199" s="259"/>
    </row>
    <row r="200" spans="1:8" ht="14.25" customHeight="1" x14ac:dyDescent="0.3">
      <c r="A200" s="261">
        <v>44214</v>
      </c>
      <c r="B200" s="262">
        <v>14281.2998046875</v>
      </c>
      <c r="C200" s="262">
        <v>2744.89990234375</v>
      </c>
      <c r="D200" s="259"/>
      <c r="E200" s="263">
        <f t="shared" si="6"/>
        <v>-1.0558650142566607E-2</v>
      </c>
      <c r="F200" s="263">
        <f t="shared" si="7"/>
        <v>-2.6959020948435213E-2</v>
      </c>
      <c r="G200" s="259"/>
      <c r="H200" s="259"/>
    </row>
    <row r="201" spans="1:8" ht="14.25" customHeight="1" x14ac:dyDescent="0.3">
      <c r="A201" s="261">
        <v>44215</v>
      </c>
      <c r="B201" s="262">
        <v>14521.150390625</v>
      </c>
      <c r="C201" s="262">
        <v>2778.39990234375</v>
      </c>
      <c r="D201" s="259"/>
      <c r="E201" s="263">
        <f t="shared" si="6"/>
        <v>1.6794730817062932E-2</v>
      </c>
      <c r="F201" s="263">
        <f t="shared" si="7"/>
        <v>1.2204452326802815E-2</v>
      </c>
      <c r="G201" s="259"/>
      <c r="H201" s="259"/>
    </row>
    <row r="202" spans="1:8" ht="14.25" customHeight="1" x14ac:dyDescent="0.3">
      <c r="A202" s="261">
        <v>44216</v>
      </c>
      <c r="B202" s="262">
        <v>14644.7001953125</v>
      </c>
      <c r="C202" s="262">
        <v>2764.94995117188</v>
      </c>
      <c r="D202" s="259"/>
      <c r="E202" s="263">
        <f t="shared" si="6"/>
        <v>8.5082656238630369E-3</v>
      </c>
      <c r="F202" s="263">
        <f t="shared" si="7"/>
        <v>-4.8408982308573156E-3</v>
      </c>
      <c r="G202" s="259"/>
      <c r="H202" s="259"/>
    </row>
    <row r="203" spans="1:8" ht="14.25" customHeight="1" x14ac:dyDescent="0.3">
      <c r="A203" s="261">
        <v>44217</v>
      </c>
      <c r="B203" s="262">
        <v>14590.349609375</v>
      </c>
      <c r="C203" s="262">
        <v>2719.14990234375</v>
      </c>
      <c r="D203" s="259"/>
      <c r="E203" s="263">
        <f t="shared" si="6"/>
        <v>-3.7112802046228729E-3</v>
      </c>
      <c r="F203" s="263">
        <f t="shared" si="7"/>
        <v>-1.6564512789361118E-2</v>
      </c>
      <c r="G203" s="259"/>
      <c r="H203" s="259"/>
    </row>
    <row r="204" spans="1:8" ht="14.25" customHeight="1" x14ac:dyDescent="0.3">
      <c r="A204" s="261">
        <v>44218</v>
      </c>
      <c r="B204" s="262">
        <v>14371.900390625</v>
      </c>
      <c r="C204" s="262">
        <v>2862.75</v>
      </c>
      <c r="D204" s="259"/>
      <c r="E204" s="263">
        <f t="shared" si="6"/>
        <v>-1.4972171647596155E-2</v>
      </c>
      <c r="F204" s="263">
        <f t="shared" si="7"/>
        <v>5.2810658777022561E-2</v>
      </c>
      <c r="G204" s="259"/>
      <c r="H204" s="259"/>
    </row>
    <row r="205" spans="1:8" ht="14.25" customHeight="1" x14ac:dyDescent="0.3">
      <c r="A205" s="261">
        <v>44221</v>
      </c>
      <c r="B205" s="262">
        <v>14238.900390625</v>
      </c>
      <c r="C205" s="262">
        <v>2837</v>
      </c>
      <c r="D205" s="259"/>
      <c r="E205" s="263">
        <f t="shared" si="6"/>
        <v>-9.2541693433081298E-3</v>
      </c>
      <c r="F205" s="263">
        <f t="shared" si="7"/>
        <v>-8.9948476115623097E-3</v>
      </c>
      <c r="G205" s="259"/>
      <c r="H205" s="259"/>
    </row>
    <row r="206" spans="1:8" ht="14.25" customHeight="1" x14ac:dyDescent="0.3">
      <c r="A206" s="261">
        <v>44223</v>
      </c>
      <c r="B206" s="262">
        <v>13967.5</v>
      </c>
      <c r="C206" s="262">
        <v>2811.75</v>
      </c>
      <c r="D206" s="259"/>
      <c r="E206" s="263">
        <f t="shared" si="6"/>
        <v>-1.9060488041878015E-2</v>
      </c>
      <c r="F206" s="263">
        <f t="shared" si="7"/>
        <v>-8.9002467395135707E-3</v>
      </c>
      <c r="G206" s="259"/>
      <c r="H206" s="259"/>
    </row>
    <row r="207" spans="1:8" ht="14.25" customHeight="1" x14ac:dyDescent="0.3">
      <c r="A207" s="261">
        <v>44224</v>
      </c>
      <c r="B207" s="262">
        <v>13817.5498046875</v>
      </c>
      <c r="C207" s="262">
        <v>2794.44995117188</v>
      </c>
      <c r="D207" s="259"/>
      <c r="E207" s="263">
        <f t="shared" si="6"/>
        <v>-1.0735650281904421E-2</v>
      </c>
      <c r="F207" s="263">
        <f t="shared" si="7"/>
        <v>-6.1527692106766244E-3</v>
      </c>
      <c r="G207" s="259"/>
      <c r="H207" s="259"/>
    </row>
    <row r="208" spans="1:8" ht="14.25" customHeight="1" x14ac:dyDescent="0.3">
      <c r="A208" s="261">
        <v>44225</v>
      </c>
      <c r="B208" s="262">
        <v>13634.599609375</v>
      </c>
      <c r="C208" s="262">
        <v>2651.5</v>
      </c>
      <c r="D208" s="259"/>
      <c r="E208" s="263">
        <f t="shared" si="6"/>
        <v>-1.3240422354072899E-2</v>
      </c>
      <c r="F208" s="263">
        <f t="shared" si="7"/>
        <v>-5.1154951303362055E-2</v>
      </c>
      <c r="G208" s="259"/>
      <c r="H208" s="259"/>
    </row>
    <row r="209" spans="1:8" ht="14.25" customHeight="1" x14ac:dyDescent="0.3">
      <c r="A209" s="261">
        <v>44228</v>
      </c>
      <c r="B209" s="262">
        <v>14281.2001953125</v>
      </c>
      <c r="C209" s="262">
        <v>2812</v>
      </c>
      <c r="D209" s="259"/>
      <c r="E209" s="263">
        <f t="shared" si="6"/>
        <v>4.7423511101338432E-2</v>
      </c>
      <c r="F209" s="263">
        <f t="shared" si="7"/>
        <v>6.0531774467282667E-2</v>
      </c>
      <c r="G209" s="259"/>
      <c r="H209" s="259"/>
    </row>
    <row r="210" spans="1:8" ht="14.25" customHeight="1" x14ac:dyDescent="0.3">
      <c r="A210" s="261">
        <v>44229</v>
      </c>
      <c r="B210" s="262">
        <v>14647.849609375</v>
      </c>
      <c r="C210" s="262">
        <v>2869.10009765625</v>
      </c>
      <c r="D210" s="259"/>
      <c r="E210" s="263">
        <f t="shared" si="6"/>
        <v>2.5673571481957438E-2</v>
      </c>
      <c r="F210" s="263">
        <f t="shared" si="7"/>
        <v>2.030586687633357E-2</v>
      </c>
      <c r="G210" s="259"/>
      <c r="H210" s="259"/>
    </row>
    <row r="211" spans="1:8" ht="14.25" customHeight="1" x14ac:dyDescent="0.3">
      <c r="A211" s="261">
        <v>44230</v>
      </c>
      <c r="B211" s="262">
        <v>14789.9501953125</v>
      </c>
      <c r="C211" s="262">
        <v>2877</v>
      </c>
      <c r="D211" s="259"/>
      <c r="E211" s="263">
        <f t="shared" si="6"/>
        <v>9.7011226717232252E-3</v>
      </c>
      <c r="F211" s="263">
        <f t="shared" si="7"/>
        <v>2.7534425690492223E-3</v>
      </c>
      <c r="G211" s="259"/>
      <c r="H211" s="259"/>
    </row>
    <row r="212" spans="1:8" ht="14.25" customHeight="1" x14ac:dyDescent="0.3">
      <c r="A212" s="261">
        <v>44231</v>
      </c>
      <c r="B212" s="262">
        <v>14895.650390625</v>
      </c>
      <c r="C212" s="262">
        <v>2959.85009765625</v>
      </c>
      <c r="D212" s="259"/>
      <c r="E212" s="263">
        <f t="shared" si="6"/>
        <v>7.146758029381358E-3</v>
      </c>
      <c r="F212" s="263">
        <f t="shared" si="7"/>
        <v>2.8797392303180396E-2</v>
      </c>
      <c r="G212" s="259"/>
      <c r="H212" s="259"/>
    </row>
    <row r="213" spans="1:8" ht="14.25" customHeight="1" x14ac:dyDescent="0.3">
      <c r="A213" s="261">
        <v>44232</v>
      </c>
      <c r="B213" s="262">
        <v>14924.25</v>
      </c>
      <c r="C213" s="262">
        <v>2946.05004882813</v>
      </c>
      <c r="D213" s="259"/>
      <c r="E213" s="263">
        <f t="shared" si="6"/>
        <v>1.919997356610892E-3</v>
      </c>
      <c r="F213" s="263">
        <f t="shared" si="7"/>
        <v>-4.6624147753453905E-3</v>
      </c>
      <c r="G213" s="259"/>
      <c r="H213" s="259"/>
    </row>
    <row r="214" spans="1:8" ht="14.25" customHeight="1" x14ac:dyDescent="0.3">
      <c r="A214" s="261">
        <v>44235</v>
      </c>
      <c r="B214" s="262">
        <v>15115.7998046875</v>
      </c>
      <c r="C214" s="262">
        <v>2984.39990234375</v>
      </c>
      <c r="D214" s="259"/>
      <c r="E214" s="263">
        <f t="shared" si="6"/>
        <v>1.2834802732968156E-2</v>
      </c>
      <c r="F214" s="263">
        <f t="shared" si="7"/>
        <v>1.3017380180243263E-2</v>
      </c>
      <c r="G214" s="259"/>
      <c r="H214" s="259"/>
    </row>
    <row r="215" spans="1:8" ht="14.25" customHeight="1" x14ac:dyDescent="0.3">
      <c r="A215" s="261">
        <v>44236</v>
      </c>
      <c r="B215" s="262">
        <v>15109.2998046875</v>
      </c>
      <c r="C215" s="262">
        <v>2925</v>
      </c>
      <c r="D215" s="259"/>
      <c r="E215" s="263">
        <f t="shared" si="6"/>
        <v>-4.3001363368045607E-4</v>
      </c>
      <c r="F215" s="263">
        <f t="shared" si="7"/>
        <v>-1.9903466119638072E-2</v>
      </c>
      <c r="G215" s="259"/>
      <c r="H215" s="259"/>
    </row>
    <row r="216" spans="1:8" ht="14.25" customHeight="1" x14ac:dyDescent="0.3">
      <c r="A216" s="261">
        <v>44237</v>
      </c>
      <c r="B216" s="262">
        <v>15106.5</v>
      </c>
      <c r="C216" s="262">
        <v>2967.69995117188</v>
      </c>
      <c r="D216" s="259"/>
      <c r="E216" s="263">
        <f t="shared" si="6"/>
        <v>-1.8530340410820298E-4</v>
      </c>
      <c r="F216" s="263">
        <f t="shared" si="7"/>
        <v>1.4598273904916239E-2</v>
      </c>
      <c r="G216" s="259"/>
      <c r="H216" s="259"/>
    </row>
    <row r="217" spans="1:8" ht="14.25" customHeight="1" x14ac:dyDescent="0.3">
      <c r="A217" s="261">
        <v>44238</v>
      </c>
      <c r="B217" s="262">
        <v>15173.2998046875</v>
      </c>
      <c r="C217" s="262">
        <v>2951.89990234375</v>
      </c>
      <c r="D217" s="259"/>
      <c r="E217" s="263">
        <f t="shared" si="6"/>
        <v>4.4219246475027309E-3</v>
      </c>
      <c r="F217" s="263">
        <f t="shared" si="7"/>
        <v>-5.3240048145335268E-3</v>
      </c>
      <c r="G217" s="259"/>
      <c r="H217" s="259"/>
    </row>
    <row r="218" spans="1:8" ht="14.25" customHeight="1" x14ac:dyDescent="0.3">
      <c r="A218" s="261">
        <v>44239</v>
      </c>
      <c r="B218" s="262">
        <v>15163.2998046875</v>
      </c>
      <c r="C218" s="262">
        <v>2928.89990234375</v>
      </c>
      <c r="D218" s="259"/>
      <c r="E218" s="263">
        <f t="shared" si="6"/>
        <v>-6.590524229219205E-4</v>
      </c>
      <c r="F218" s="263">
        <f t="shared" si="7"/>
        <v>-7.79159211385808E-3</v>
      </c>
      <c r="G218" s="259"/>
      <c r="H218" s="259"/>
    </row>
    <row r="219" spans="1:8" ht="14.25" customHeight="1" x14ac:dyDescent="0.3">
      <c r="A219" s="261">
        <v>44242</v>
      </c>
      <c r="B219" s="262">
        <v>15314.7001953125</v>
      </c>
      <c r="C219" s="262">
        <v>3044.55004882813</v>
      </c>
      <c r="D219" s="259"/>
      <c r="E219" s="263">
        <f t="shared" si="6"/>
        <v>9.984659841533761E-3</v>
      </c>
      <c r="F219" s="263">
        <f t="shared" si="7"/>
        <v>3.9485865116740591E-2</v>
      </c>
      <c r="G219" s="259"/>
      <c r="H219" s="259"/>
    </row>
    <row r="220" spans="1:8" ht="14.25" customHeight="1" x14ac:dyDescent="0.3">
      <c r="A220" s="261">
        <v>44243</v>
      </c>
      <c r="B220" s="262">
        <v>15313.4501953125</v>
      </c>
      <c r="C220" s="262">
        <v>3130.85009765625</v>
      </c>
      <c r="D220" s="259"/>
      <c r="E220" s="263">
        <f t="shared" si="6"/>
        <v>-8.1620925258634719E-5</v>
      </c>
      <c r="F220" s="263">
        <f t="shared" si="7"/>
        <v>2.8345748121742169E-2</v>
      </c>
      <c r="G220" s="259"/>
      <c r="H220" s="259"/>
    </row>
    <row r="221" spans="1:8" ht="14.25" customHeight="1" x14ac:dyDescent="0.3">
      <c r="A221" s="261">
        <v>44244</v>
      </c>
      <c r="B221" s="262">
        <v>15208.900390625</v>
      </c>
      <c r="C221" s="262">
        <v>3190.25</v>
      </c>
      <c r="D221" s="259"/>
      <c r="E221" s="263">
        <f t="shared" si="6"/>
        <v>-6.8273186874309392E-3</v>
      </c>
      <c r="F221" s="263">
        <f t="shared" si="7"/>
        <v>1.8972451727477045E-2</v>
      </c>
      <c r="G221" s="259"/>
      <c r="H221" s="259"/>
    </row>
    <row r="222" spans="1:8" ht="14.25" customHeight="1" x14ac:dyDescent="0.3">
      <c r="A222" s="261">
        <v>44245</v>
      </c>
      <c r="B222" s="262">
        <v>15118.9501953125</v>
      </c>
      <c r="C222" s="262">
        <v>3127.75</v>
      </c>
      <c r="D222" s="259"/>
      <c r="E222" s="263">
        <f t="shared" si="6"/>
        <v>-5.9143128695843573E-3</v>
      </c>
      <c r="F222" s="263">
        <f t="shared" si="7"/>
        <v>-1.9590941148812789E-2</v>
      </c>
      <c r="G222" s="259"/>
      <c r="H222" s="259"/>
    </row>
    <row r="223" spans="1:8" ht="14.25" customHeight="1" x14ac:dyDescent="0.3">
      <c r="A223" s="261">
        <v>44246</v>
      </c>
      <c r="B223" s="262">
        <v>14981.75</v>
      </c>
      <c r="C223" s="262">
        <v>3101.64990234375</v>
      </c>
      <c r="D223" s="259"/>
      <c r="E223" s="263">
        <f t="shared" si="6"/>
        <v>-9.0747170630297962E-3</v>
      </c>
      <c r="F223" s="263">
        <f t="shared" si="7"/>
        <v>-8.3446879246263286E-3</v>
      </c>
      <c r="G223" s="259"/>
      <c r="H223" s="259"/>
    </row>
    <row r="224" spans="1:8" ht="14.25" customHeight="1" x14ac:dyDescent="0.3">
      <c r="A224" s="261">
        <v>44249</v>
      </c>
      <c r="B224" s="262">
        <v>14675.7001953125</v>
      </c>
      <c r="C224" s="262">
        <v>2992.60009765625</v>
      </c>
      <c r="D224" s="259"/>
      <c r="E224" s="263">
        <f t="shared" si="6"/>
        <v>-2.0428174591586429E-2</v>
      </c>
      <c r="F224" s="263">
        <f t="shared" si="7"/>
        <v>-3.5158643986575318E-2</v>
      </c>
      <c r="G224" s="259"/>
      <c r="H224" s="259"/>
    </row>
    <row r="225" spans="1:8" ht="14.25" customHeight="1" x14ac:dyDescent="0.3">
      <c r="A225" s="261">
        <v>44250</v>
      </c>
      <c r="B225" s="262">
        <v>14707.7998046875</v>
      </c>
      <c r="C225" s="262">
        <v>3151.94995117188</v>
      </c>
      <c r="D225" s="259"/>
      <c r="E225" s="263">
        <f t="shared" si="6"/>
        <v>2.1872625461000351E-3</v>
      </c>
      <c r="F225" s="263">
        <f t="shared" si="7"/>
        <v>5.3247961075865068E-2</v>
      </c>
      <c r="G225" s="259"/>
      <c r="H225" s="259"/>
    </row>
    <row r="226" spans="1:8" ht="14.25" customHeight="1" x14ac:dyDescent="0.3">
      <c r="A226" s="261">
        <v>44251</v>
      </c>
      <c r="B226" s="262">
        <v>14982</v>
      </c>
      <c r="C226" s="262">
        <v>3139.69995117188</v>
      </c>
      <c r="D226" s="259"/>
      <c r="E226" s="263">
        <f t="shared" si="6"/>
        <v>1.8643182457862263E-2</v>
      </c>
      <c r="F226" s="263">
        <f t="shared" si="7"/>
        <v>-3.8864830310663748E-3</v>
      </c>
      <c r="G226" s="259"/>
      <c r="H226" s="259"/>
    </row>
    <row r="227" spans="1:8" ht="14.25" customHeight="1" x14ac:dyDescent="0.3">
      <c r="A227" s="261">
        <v>44252</v>
      </c>
      <c r="B227" s="262">
        <v>15097.349609375</v>
      </c>
      <c r="C227" s="262">
        <v>3089.19995117188</v>
      </c>
      <c r="D227" s="259"/>
      <c r="E227" s="263">
        <f t="shared" si="6"/>
        <v>7.6992130139500736E-3</v>
      </c>
      <c r="F227" s="263">
        <f t="shared" si="7"/>
        <v>-1.6084339518224054E-2</v>
      </c>
      <c r="G227" s="259"/>
      <c r="H227" s="259"/>
    </row>
    <row r="228" spans="1:8" ht="14.25" customHeight="1" x14ac:dyDescent="0.3">
      <c r="A228" s="261">
        <v>44253</v>
      </c>
      <c r="B228" s="262">
        <v>14529.150390625</v>
      </c>
      <c r="C228" s="262">
        <v>2994.19995117188</v>
      </c>
      <c r="D228" s="259"/>
      <c r="E228" s="263">
        <f t="shared" si="6"/>
        <v>-3.7635693247586012E-2</v>
      </c>
      <c r="F228" s="263">
        <f t="shared" si="7"/>
        <v>-3.0752298815737711E-2</v>
      </c>
      <c r="G228" s="259"/>
      <c r="H228" s="259"/>
    </row>
    <row r="229" spans="1:8" ht="14.25" customHeight="1" x14ac:dyDescent="0.3">
      <c r="A229" s="261">
        <v>44256</v>
      </c>
      <c r="B229" s="262">
        <v>14761.5498046875</v>
      </c>
      <c r="C229" s="262">
        <v>2908.44995117188</v>
      </c>
      <c r="D229" s="259"/>
      <c r="E229" s="263">
        <f t="shared" si="6"/>
        <v>1.5995389118723471E-2</v>
      </c>
      <c r="F229" s="263">
        <f t="shared" si="7"/>
        <v>-2.8638701956574034E-2</v>
      </c>
      <c r="G229" s="259"/>
      <c r="H229" s="259"/>
    </row>
    <row r="230" spans="1:8" ht="14.25" customHeight="1" x14ac:dyDescent="0.3">
      <c r="A230" s="261">
        <v>44257</v>
      </c>
      <c r="B230" s="262">
        <v>14919.099609375</v>
      </c>
      <c r="C230" s="262">
        <v>3073.5</v>
      </c>
      <c r="D230" s="259"/>
      <c r="E230" s="263">
        <f t="shared" si="6"/>
        <v>1.0672985341787783E-2</v>
      </c>
      <c r="F230" s="263">
        <f t="shared" si="7"/>
        <v>5.6748457631742161E-2</v>
      </c>
      <c r="G230" s="259"/>
      <c r="H230" s="259"/>
    </row>
    <row r="231" spans="1:8" ht="14.25" customHeight="1" x14ac:dyDescent="0.3">
      <c r="A231" s="261">
        <v>44258</v>
      </c>
      <c r="B231" s="262">
        <v>15245.599609375</v>
      </c>
      <c r="C231" s="262">
        <v>3167.69995117188</v>
      </c>
      <c r="D231" s="259"/>
      <c r="E231" s="263">
        <f t="shared" si="6"/>
        <v>2.1884698711632098E-2</v>
      </c>
      <c r="F231" s="263">
        <f t="shared" si="7"/>
        <v>3.0649081233733531E-2</v>
      </c>
      <c r="G231" s="259"/>
      <c r="H231" s="259"/>
    </row>
    <row r="232" spans="1:8" ht="14.25" customHeight="1" x14ac:dyDescent="0.3">
      <c r="A232" s="261">
        <v>44259</v>
      </c>
      <c r="B232" s="262">
        <v>15080.75</v>
      </c>
      <c r="C232" s="262">
        <v>3178.69995117188</v>
      </c>
      <c r="D232" s="259"/>
      <c r="E232" s="263">
        <f t="shared" si="6"/>
        <v>-1.0812930524138177E-2</v>
      </c>
      <c r="F232" s="263">
        <f t="shared" si="7"/>
        <v>3.4725511158121484E-3</v>
      </c>
      <c r="G232" s="259"/>
      <c r="H232" s="259"/>
    </row>
    <row r="233" spans="1:8" ht="14.25" customHeight="1" x14ac:dyDescent="0.3">
      <c r="A233" s="261">
        <v>44260</v>
      </c>
      <c r="B233" s="262">
        <v>14938.099609375</v>
      </c>
      <c r="C233" s="262">
        <v>3286.10009765625</v>
      </c>
      <c r="D233" s="259"/>
      <c r="E233" s="263">
        <f t="shared" si="6"/>
        <v>-9.4591045289524733E-3</v>
      </c>
      <c r="F233" s="263">
        <f t="shared" si="7"/>
        <v>3.378744396581853E-2</v>
      </c>
      <c r="G233" s="259"/>
      <c r="H233" s="259"/>
    </row>
    <row r="234" spans="1:8" ht="14.25" customHeight="1" x14ac:dyDescent="0.3">
      <c r="A234" s="261">
        <v>44263</v>
      </c>
      <c r="B234" s="262">
        <v>14956.2001953125</v>
      </c>
      <c r="C234" s="262">
        <v>3191.14990234375</v>
      </c>
      <c r="D234" s="259"/>
      <c r="E234" s="263">
        <f t="shared" si="6"/>
        <v>1.2117060677611399E-3</v>
      </c>
      <c r="F234" s="263">
        <f t="shared" si="7"/>
        <v>-2.8894492708917013E-2</v>
      </c>
      <c r="G234" s="259"/>
      <c r="H234" s="259"/>
    </row>
    <row r="235" spans="1:8" ht="14.25" customHeight="1" x14ac:dyDescent="0.3">
      <c r="A235" s="261">
        <v>44264</v>
      </c>
      <c r="B235" s="262">
        <v>15098.400390625</v>
      </c>
      <c r="C235" s="262">
        <v>3151.85009765625</v>
      </c>
      <c r="D235" s="259"/>
      <c r="E235" s="263">
        <f t="shared" si="6"/>
        <v>9.5077756017914027E-3</v>
      </c>
      <c r="F235" s="263">
        <f t="shared" si="7"/>
        <v>-1.2315248700362253E-2</v>
      </c>
      <c r="G235" s="259"/>
      <c r="H235" s="259"/>
    </row>
    <row r="236" spans="1:8" ht="14.25" customHeight="1" x14ac:dyDescent="0.3">
      <c r="A236" s="261">
        <v>44265</v>
      </c>
      <c r="B236" s="262">
        <v>15174.7998046875</v>
      </c>
      <c r="C236" s="262">
        <v>3155.19995117188</v>
      </c>
      <c r="D236" s="259"/>
      <c r="E236" s="263">
        <f t="shared" si="6"/>
        <v>5.0600998838220262E-3</v>
      </c>
      <c r="F236" s="263">
        <f t="shared" si="7"/>
        <v>1.0628213309132276E-3</v>
      </c>
      <c r="G236" s="259"/>
      <c r="H236" s="259"/>
    </row>
    <row r="237" spans="1:8" ht="14.25" customHeight="1" x14ac:dyDescent="0.3">
      <c r="A237" s="261">
        <v>44267</v>
      </c>
      <c r="B237" s="262">
        <v>15030.9501953125</v>
      </c>
      <c r="C237" s="262">
        <v>3129.35009765625</v>
      </c>
      <c r="D237" s="259"/>
      <c r="E237" s="263">
        <f t="shared" si="6"/>
        <v>-9.4795062357636382E-3</v>
      </c>
      <c r="F237" s="263">
        <f t="shared" si="7"/>
        <v>-8.1927782440631217E-3</v>
      </c>
      <c r="G237" s="259"/>
      <c r="H237" s="259"/>
    </row>
    <row r="238" spans="1:8" ht="14.25" customHeight="1" x14ac:dyDescent="0.3">
      <c r="A238" s="261">
        <v>44270</v>
      </c>
      <c r="B238" s="262">
        <v>14929.5</v>
      </c>
      <c r="C238" s="262">
        <v>3108.75</v>
      </c>
      <c r="D238" s="259"/>
      <c r="E238" s="263">
        <f t="shared" si="6"/>
        <v>-6.7494199630930788E-3</v>
      </c>
      <c r="F238" s="263">
        <f t="shared" si="7"/>
        <v>-6.5828676924574838E-3</v>
      </c>
      <c r="G238" s="259"/>
      <c r="H238" s="259"/>
    </row>
    <row r="239" spans="1:8" ht="14.25" customHeight="1" x14ac:dyDescent="0.3">
      <c r="A239" s="261">
        <v>44271</v>
      </c>
      <c r="B239" s="262">
        <v>14910.4501953125</v>
      </c>
      <c r="C239" s="262">
        <v>3071</v>
      </c>
      <c r="D239" s="259"/>
      <c r="E239" s="263">
        <f t="shared" si="6"/>
        <v>-1.2759841044576174E-3</v>
      </c>
      <c r="F239" s="263">
        <f t="shared" si="7"/>
        <v>-1.214314435062324E-2</v>
      </c>
      <c r="G239" s="259"/>
      <c r="H239" s="259"/>
    </row>
    <row r="240" spans="1:8" ht="14.25" customHeight="1" x14ac:dyDescent="0.3">
      <c r="A240" s="261">
        <v>44272</v>
      </c>
      <c r="B240" s="262">
        <v>14721.2998046875</v>
      </c>
      <c r="C240" s="262">
        <v>3014.85009765625</v>
      </c>
      <c r="D240" s="259"/>
      <c r="E240" s="263">
        <f t="shared" si="6"/>
        <v>-1.2685759862868828E-2</v>
      </c>
      <c r="F240" s="263">
        <f t="shared" si="7"/>
        <v>-1.8283914797704331E-2</v>
      </c>
      <c r="G240" s="259"/>
      <c r="H240" s="259"/>
    </row>
    <row r="241" spans="1:8" ht="14.25" customHeight="1" x14ac:dyDescent="0.3">
      <c r="A241" s="261">
        <v>44273</v>
      </c>
      <c r="B241" s="262">
        <v>14557.849609375</v>
      </c>
      <c r="C241" s="262">
        <v>3034.60009765625</v>
      </c>
      <c r="D241" s="259"/>
      <c r="E241" s="263">
        <f t="shared" si="6"/>
        <v>-1.1102973071742945E-2</v>
      </c>
      <c r="F241" s="263">
        <f t="shared" si="7"/>
        <v>6.5509061347208226E-3</v>
      </c>
      <c r="G241" s="259"/>
      <c r="H241" s="259"/>
    </row>
    <row r="242" spans="1:8" ht="14.25" customHeight="1" x14ac:dyDescent="0.3">
      <c r="A242" s="261">
        <v>44274</v>
      </c>
      <c r="B242" s="262">
        <v>14744</v>
      </c>
      <c r="C242" s="262">
        <v>2960.30004882813</v>
      </c>
      <c r="D242" s="259"/>
      <c r="E242" s="263">
        <f t="shared" si="6"/>
        <v>1.2786942826028538E-2</v>
      </c>
      <c r="F242" s="263">
        <f t="shared" si="7"/>
        <v>-2.4484296591667901E-2</v>
      </c>
      <c r="G242" s="259"/>
      <c r="H242" s="259"/>
    </row>
    <row r="243" spans="1:8" ht="14.25" customHeight="1" x14ac:dyDescent="0.3">
      <c r="A243" s="261">
        <v>44277</v>
      </c>
      <c r="B243" s="262">
        <v>14736.400390625</v>
      </c>
      <c r="C243" s="262">
        <v>2880.10009765625</v>
      </c>
      <c r="D243" s="259"/>
      <c r="E243" s="263">
        <f t="shared" si="6"/>
        <v>-5.1543742369777532E-4</v>
      </c>
      <c r="F243" s="263">
        <f t="shared" si="7"/>
        <v>-2.7091831857932139E-2</v>
      </c>
      <c r="G243" s="259"/>
      <c r="H243" s="259"/>
    </row>
    <row r="244" spans="1:8" ht="14.25" customHeight="1" x14ac:dyDescent="0.3">
      <c r="A244" s="261">
        <v>44278</v>
      </c>
      <c r="B244" s="262">
        <v>14814.75</v>
      </c>
      <c r="C244" s="262">
        <v>2933.64990234375</v>
      </c>
      <c r="D244" s="259"/>
      <c r="E244" s="263">
        <f t="shared" si="6"/>
        <v>5.3167399974314239E-3</v>
      </c>
      <c r="F244" s="263">
        <f t="shared" si="7"/>
        <v>1.8593035961172819E-2</v>
      </c>
      <c r="G244" s="259"/>
      <c r="H244" s="259"/>
    </row>
    <row r="245" spans="1:8" ht="14.25" customHeight="1" x14ac:dyDescent="0.3">
      <c r="A245" s="261">
        <v>44279</v>
      </c>
      <c r="B245" s="262">
        <v>14549.400390625</v>
      </c>
      <c r="C245" s="262">
        <v>2855.60009765625</v>
      </c>
      <c r="D245" s="259"/>
      <c r="E245" s="263">
        <f t="shared" si="6"/>
        <v>-1.7911176994211849E-2</v>
      </c>
      <c r="F245" s="263">
        <f t="shared" si="7"/>
        <v>-2.6605016714893109E-2</v>
      </c>
      <c r="G245" s="259"/>
      <c r="H245" s="259"/>
    </row>
    <row r="246" spans="1:8" ht="14.25" customHeight="1" x14ac:dyDescent="0.3">
      <c r="A246" s="261">
        <v>44280</v>
      </c>
      <c r="B246" s="262">
        <v>14324.900390625</v>
      </c>
      <c r="C246" s="262">
        <v>2796</v>
      </c>
      <c r="D246" s="259"/>
      <c r="E246" s="263">
        <f t="shared" si="6"/>
        <v>-1.5430189146808966E-2</v>
      </c>
      <c r="F246" s="263">
        <f t="shared" si="7"/>
        <v>-2.08713039704569E-2</v>
      </c>
      <c r="G246" s="259"/>
      <c r="H246" s="259"/>
    </row>
    <row r="247" spans="1:8" ht="14.25" customHeight="1" x14ac:dyDescent="0.3">
      <c r="A247" s="261">
        <v>44281</v>
      </c>
      <c r="B247" s="262">
        <v>14507.2998046875</v>
      </c>
      <c r="C247" s="262">
        <v>2855.19995117188</v>
      </c>
      <c r="D247" s="259"/>
      <c r="E247" s="263">
        <f t="shared" si="6"/>
        <v>1.2733031929623202E-2</v>
      </c>
      <c r="F247" s="263">
        <f t="shared" si="7"/>
        <v>2.117308697134478E-2</v>
      </c>
      <c r="G247" s="259"/>
      <c r="H247" s="259"/>
    </row>
    <row r="248" spans="1:8" ht="14.25" customHeight="1" x14ac:dyDescent="0.3">
      <c r="A248" s="261">
        <v>44285</v>
      </c>
      <c r="B248" s="262">
        <v>14845.099609375</v>
      </c>
      <c r="C248" s="262">
        <v>2837.55004882813</v>
      </c>
      <c r="D248" s="259"/>
      <c r="E248" s="263">
        <f t="shared" si="6"/>
        <v>2.3284815867550514E-2</v>
      </c>
      <c r="F248" s="263">
        <f t="shared" si="7"/>
        <v>-6.1816694611898631E-3</v>
      </c>
      <c r="G248" s="259"/>
      <c r="H248" s="259"/>
    </row>
    <row r="249" spans="1:8" ht="14.25" customHeight="1" x14ac:dyDescent="0.3">
      <c r="A249" s="261">
        <v>44286</v>
      </c>
      <c r="B249" s="262">
        <v>14690.7001953125</v>
      </c>
      <c r="C249" s="262">
        <v>2859.05004882813</v>
      </c>
      <c r="D249" s="259"/>
      <c r="E249" s="263">
        <f t="shared" si="6"/>
        <v>-1.0400699094332345E-2</v>
      </c>
      <c r="F249" s="263">
        <f t="shared" si="7"/>
        <v>7.5769588659340865E-3</v>
      </c>
      <c r="G249" s="259"/>
      <c r="H249" s="259"/>
    </row>
    <row r="250" spans="1:8" ht="14.25" customHeight="1" x14ac:dyDescent="0.3">
      <c r="A250" s="261">
        <v>44287</v>
      </c>
      <c r="B250" s="262">
        <v>14867.349609375</v>
      </c>
      <c r="C250" s="262">
        <v>2912.69995117188</v>
      </c>
      <c r="D250" s="259"/>
      <c r="E250" s="263">
        <f t="shared" si="6"/>
        <v>1.2024574166918552E-2</v>
      </c>
      <c r="F250" s="263">
        <f t="shared" si="7"/>
        <v>1.8764939902237831E-2</v>
      </c>
      <c r="G250" s="259"/>
      <c r="H250" s="259"/>
    </row>
    <row r="251" spans="1:8" ht="14.25" customHeight="1" x14ac:dyDescent="0.3">
      <c r="A251" s="261">
        <v>44291</v>
      </c>
      <c r="B251" s="262">
        <v>14637.7998046875</v>
      </c>
      <c r="C251" s="262">
        <v>2846.94995117188</v>
      </c>
      <c r="D251" s="259"/>
      <c r="E251" s="263">
        <f t="shared" si="6"/>
        <v>-1.5439860548026079E-2</v>
      </c>
      <c r="F251" s="263">
        <f t="shared" si="7"/>
        <v>-2.2573557559042941E-2</v>
      </c>
      <c r="G251" s="259"/>
      <c r="H251" s="259"/>
    </row>
    <row r="252" spans="1:8" ht="14.25" customHeight="1" x14ac:dyDescent="0.3">
      <c r="A252" s="261">
        <v>44292</v>
      </c>
      <c r="B252" s="262">
        <v>14683.5</v>
      </c>
      <c r="C252" s="262">
        <v>2843.64990234375</v>
      </c>
      <c r="D252" s="259"/>
      <c r="E252" s="263">
        <f t="shared" si="6"/>
        <v>3.1220672452334885E-3</v>
      </c>
      <c r="F252" s="263">
        <f t="shared" si="7"/>
        <v>-1.1591523857915433E-3</v>
      </c>
      <c r="G252" s="259"/>
      <c r="H252" s="259"/>
    </row>
    <row r="253" spans="1:8" ht="14.25" customHeight="1" x14ac:dyDescent="0.3">
      <c r="A253" s="261">
        <v>44293</v>
      </c>
      <c r="B253" s="262">
        <v>14819.0498046875</v>
      </c>
      <c r="C253" s="262">
        <v>2890.64990234375</v>
      </c>
      <c r="D253" s="259"/>
      <c r="E253" s="263">
        <f t="shared" si="6"/>
        <v>9.231436965811966E-3</v>
      </c>
      <c r="F253" s="263">
        <f t="shared" si="7"/>
        <v>1.6528054301361911E-2</v>
      </c>
      <c r="G253" s="259"/>
      <c r="H253" s="259"/>
    </row>
    <row r="254" spans="1:8" ht="14.25" customHeight="1" x14ac:dyDescent="0.3">
      <c r="A254" s="261">
        <v>44294</v>
      </c>
      <c r="B254" s="262">
        <v>14873.7998046875</v>
      </c>
      <c r="C254" s="262">
        <v>2936.5</v>
      </c>
      <c r="D254" s="259"/>
      <c r="E254" s="263">
        <f t="shared" si="6"/>
        <v>3.6945688638337464E-3</v>
      </c>
      <c r="F254" s="263">
        <f t="shared" si="7"/>
        <v>1.5861518760564731E-2</v>
      </c>
      <c r="G254" s="259"/>
      <c r="H254" s="259"/>
    </row>
    <row r="255" spans="1:8" ht="14.25" customHeight="1" x14ac:dyDescent="0.3">
      <c r="A255" s="261">
        <v>44295</v>
      </c>
      <c r="B255" s="262">
        <v>14834.849609375</v>
      </c>
      <c r="C255" s="262">
        <v>2947.75</v>
      </c>
      <c r="D255" s="259"/>
      <c r="E255" s="263">
        <f t="shared" si="6"/>
        <v>-2.6187118170183242E-3</v>
      </c>
      <c r="F255" s="263">
        <f t="shared" si="7"/>
        <v>3.8310914353822576E-3</v>
      </c>
      <c r="G255" s="259"/>
      <c r="H255" s="259"/>
    </row>
    <row r="256" spans="1:8" ht="14.25" customHeight="1" x14ac:dyDescent="0.3">
      <c r="A256" s="261">
        <v>44298</v>
      </c>
      <c r="B256" s="262">
        <v>14310.7998046875</v>
      </c>
      <c r="C256" s="262">
        <v>2814.89990234375</v>
      </c>
      <c r="D256" s="259"/>
      <c r="E256" s="263">
        <f t="shared" si="6"/>
        <v>-3.5325589304007678E-2</v>
      </c>
      <c r="F256" s="263">
        <f t="shared" si="7"/>
        <v>-4.5068305540242555E-2</v>
      </c>
      <c r="G256" s="259"/>
      <c r="H256" s="259"/>
    </row>
    <row r="257" spans="1:8" ht="14.25" customHeight="1" x14ac:dyDescent="0.3">
      <c r="A257" s="261">
        <v>44299</v>
      </c>
      <c r="B257" s="262">
        <v>14504.7998046875</v>
      </c>
      <c r="C257" s="262">
        <v>2832.69995117188</v>
      </c>
      <c r="D257" s="259"/>
      <c r="E257" s="263">
        <f t="shared" si="6"/>
        <v>1.3556195506030022E-2</v>
      </c>
      <c r="F257" s="263">
        <f t="shared" si="7"/>
        <v>6.3235104073538365E-3</v>
      </c>
      <c r="G257" s="259"/>
      <c r="H257" s="259"/>
    </row>
    <row r="258" spans="1:8" ht="14.25" customHeight="1" x14ac:dyDescent="0.3">
      <c r="A258" s="261">
        <v>44301</v>
      </c>
      <c r="B258" s="262">
        <v>14581.4501953125</v>
      </c>
      <c r="C258" s="262">
        <v>2928.89990234375</v>
      </c>
      <c r="D258" s="259"/>
      <c r="E258" s="263">
        <f t="shared" si="6"/>
        <v>5.2844845607747703E-3</v>
      </c>
      <c r="F258" s="263">
        <f t="shared" si="7"/>
        <v>3.3960515702368105E-2</v>
      </c>
      <c r="G258" s="259"/>
      <c r="H258" s="259"/>
    </row>
    <row r="259" spans="1:8" ht="14.25" customHeight="1" x14ac:dyDescent="0.3">
      <c r="A259" s="261">
        <v>44302</v>
      </c>
      <c r="B259" s="262">
        <v>14617.849609375</v>
      </c>
      <c r="C259" s="262">
        <v>2919.89990234375</v>
      </c>
      <c r="D259" s="259"/>
      <c r="E259" s="263">
        <f t="shared" ref="E259:E322" si="8">(B259-B258)/B258</f>
        <v>2.4962821650072447E-3</v>
      </c>
      <c r="F259" s="263">
        <f t="shared" ref="F259:F322" si="9">(C259-C258)/C258</f>
        <v>-3.0728260780773231E-3</v>
      </c>
      <c r="G259" s="259"/>
      <c r="H259" s="259"/>
    </row>
    <row r="260" spans="1:8" ht="14.25" customHeight="1" x14ac:dyDescent="0.3">
      <c r="A260" s="261">
        <v>44305</v>
      </c>
      <c r="B260" s="262">
        <v>14359.4501953125</v>
      </c>
      <c r="C260" s="262">
        <v>2850.75</v>
      </c>
      <c r="D260" s="259"/>
      <c r="E260" s="263">
        <f t="shared" si="8"/>
        <v>-1.7676978554819603E-2</v>
      </c>
      <c r="F260" s="263">
        <f t="shared" si="9"/>
        <v>-2.3682285234587885E-2</v>
      </c>
      <c r="G260" s="259"/>
      <c r="H260" s="259"/>
    </row>
    <row r="261" spans="1:8" ht="14.25" customHeight="1" x14ac:dyDescent="0.3">
      <c r="A261" s="261">
        <v>44306</v>
      </c>
      <c r="B261" s="262">
        <v>14296.400390625</v>
      </c>
      <c r="C261" s="262">
        <v>2778.25</v>
      </c>
      <c r="D261" s="259"/>
      <c r="E261" s="263">
        <f t="shared" si="8"/>
        <v>-4.390823034999069E-3</v>
      </c>
      <c r="F261" s="263">
        <f t="shared" si="9"/>
        <v>-2.5431903884942559E-2</v>
      </c>
      <c r="G261" s="259"/>
      <c r="H261" s="259"/>
    </row>
    <row r="262" spans="1:8" ht="14.25" customHeight="1" x14ac:dyDescent="0.3">
      <c r="A262" s="261">
        <v>44308</v>
      </c>
      <c r="B262" s="262">
        <v>14406.150390625</v>
      </c>
      <c r="C262" s="262">
        <v>2717.60009765625</v>
      </c>
      <c r="D262" s="259"/>
      <c r="E262" s="263">
        <f t="shared" si="8"/>
        <v>7.6767575754222439E-3</v>
      </c>
      <c r="F262" s="263">
        <f t="shared" si="9"/>
        <v>-2.1830253700620895E-2</v>
      </c>
      <c r="G262" s="259"/>
      <c r="H262" s="259"/>
    </row>
    <row r="263" spans="1:8" ht="14.25" customHeight="1" x14ac:dyDescent="0.3">
      <c r="A263" s="261">
        <v>44309</v>
      </c>
      <c r="B263" s="262">
        <v>14341.349609375</v>
      </c>
      <c r="C263" s="262">
        <v>2713.69995117188</v>
      </c>
      <c r="D263" s="259"/>
      <c r="E263" s="263">
        <f t="shared" si="8"/>
        <v>-4.4981330537941623E-3</v>
      </c>
      <c r="F263" s="263">
        <f t="shared" si="9"/>
        <v>-1.4351436356414675E-3</v>
      </c>
      <c r="G263" s="259"/>
      <c r="H263" s="259"/>
    </row>
    <row r="264" spans="1:8" ht="14.25" customHeight="1" x14ac:dyDescent="0.3">
      <c r="A264" s="261">
        <v>44312</v>
      </c>
      <c r="B264" s="262">
        <v>14485</v>
      </c>
      <c r="C264" s="262">
        <v>2808.25</v>
      </c>
      <c r="D264" s="259"/>
      <c r="E264" s="263">
        <f t="shared" si="8"/>
        <v>1.001651828716979E-2</v>
      </c>
      <c r="F264" s="263">
        <f t="shared" si="9"/>
        <v>3.4841747624784251E-2</v>
      </c>
      <c r="G264" s="259"/>
      <c r="H264" s="259"/>
    </row>
    <row r="265" spans="1:8" ht="14.25" customHeight="1" x14ac:dyDescent="0.3">
      <c r="A265" s="261">
        <v>44313</v>
      </c>
      <c r="B265" s="262">
        <v>14653.0498046875</v>
      </c>
      <c r="C265" s="262">
        <v>2826.94995117188</v>
      </c>
      <c r="D265" s="259"/>
      <c r="E265" s="263">
        <f t="shared" si="8"/>
        <v>1.1601643402657923E-2</v>
      </c>
      <c r="F265" s="263">
        <f t="shared" si="9"/>
        <v>6.6589339168094015E-3</v>
      </c>
      <c r="G265" s="259"/>
      <c r="H265" s="259"/>
    </row>
    <row r="266" spans="1:8" ht="14.25" customHeight="1" x14ac:dyDescent="0.3">
      <c r="A266" s="261">
        <v>44314</v>
      </c>
      <c r="B266" s="262">
        <v>14864.5498046875</v>
      </c>
      <c r="C266" s="262">
        <v>2936.80004882813</v>
      </c>
      <c r="D266" s="259"/>
      <c r="E266" s="263">
        <f t="shared" si="8"/>
        <v>1.4433855260107101E-2</v>
      </c>
      <c r="F266" s="263">
        <f t="shared" si="9"/>
        <v>3.8858168539811923E-2</v>
      </c>
      <c r="G266" s="259"/>
      <c r="H266" s="259"/>
    </row>
    <row r="267" spans="1:8" ht="14.25" customHeight="1" x14ac:dyDescent="0.3">
      <c r="A267" s="261">
        <v>44315</v>
      </c>
      <c r="B267" s="262">
        <v>14894.900390625</v>
      </c>
      <c r="C267" s="262">
        <v>2906.35009765625</v>
      </c>
      <c r="D267" s="259"/>
      <c r="E267" s="263">
        <f t="shared" si="8"/>
        <v>2.0418099664161384E-3</v>
      </c>
      <c r="F267" s="263">
        <f t="shared" si="9"/>
        <v>-1.036841142250404E-2</v>
      </c>
      <c r="G267" s="259"/>
      <c r="H267" s="259"/>
    </row>
    <row r="268" spans="1:8" ht="14.25" customHeight="1" x14ac:dyDescent="0.3">
      <c r="A268" s="261">
        <v>44316</v>
      </c>
      <c r="B268" s="262">
        <v>14631.099609375</v>
      </c>
      <c r="C268" s="262">
        <v>2852.89990234375</v>
      </c>
      <c r="D268" s="259"/>
      <c r="E268" s="263">
        <f t="shared" si="8"/>
        <v>-1.7710812045177479E-2</v>
      </c>
      <c r="F268" s="263">
        <f t="shared" si="9"/>
        <v>-1.8390831632983072E-2</v>
      </c>
      <c r="G268" s="259"/>
      <c r="H268" s="259"/>
    </row>
    <row r="269" spans="1:8" ht="14.25" customHeight="1" x14ac:dyDescent="0.3">
      <c r="A269" s="261">
        <v>44319</v>
      </c>
      <c r="B269" s="262">
        <v>14634.150390625</v>
      </c>
      <c r="C269" s="262">
        <v>2898.64990234375</v>
      </c>
      <c r="D269" s="259"/>
      <c r="E269" s="263">
        <f t="shared" si="8"/>
        <v>2.0851346320171222E-4</v>
      </c>
      <c r="F269" s="263">
        <f t="shared" si="9"/>
        <v>1.6036314475111758E-2</v>
      </c>
      <c r="G269" s="259"/>
      <c r="H269" s="259"/>
    </row>
    <row r="270" spans="1:8" ht="14.25" customHeight="1" x14ac:dyDescent="0.3">
      <c r="A270" s="261">
        <v>44320</v>
      </c>
      <c r="B270" s="262">
        <v>14496.5</v>
      </c>
      <c r="C270" s="262">
        <v>2858.39990234375</v>
      </c>
      <c r="D270" s="259"/>
      <c r="E270" s="263">
        <f t="shared" si="8"/>
        <v>-9.4061074234403283E-3</v>
      </c>
      <c r="F270" s="263">
        <f t="shared" si="9"/>
        <v>-1.388577488004164E-2</v>
      </c>
      <c r="G270" s="259"/>
      <c r="H270" s="259"/>
    </row>
    <row r="271" spans="1:8" ht="14.25" customHeight="1" x14ac:dyDescent="0.3">
      <c r="A271" s="261">
        <v>44321</v>
      </c>
      <c r="B271" s="262">
        <v>14617.849609375</v>
      </c>
      <c r="C271" s="262">
        <v>2874.39990234375</v>
      </c>
      <c r="D271" s="259"/>
      <c r="E271" s="263">
        <f t="shared" si="8"/>
        <v>8.3709591539337085E-3</v>
      </c>
      <c r="F271" s="263">
        <f t="shared" si="9"/>
        <v>5.5975372749211098E-3</v>
      </c>
      <c r="G271" s="259"/>
      <c r="H271" s="259"/>
    </row>
    <row r="272" spans="1:8" ht="14.25" customHeight="1" x14ac:dyDescent="0.3">
      <c r="A272" s="261">
        <v>44322</v>
      </c>
      <c r="B272" s="262">
        <v>14724.7998046875</v>
      </c>
      <c r="C272" s="262">
        <v>2878.14990234375</v>
      </c>
      <c r="D272" s="259"/>
      <c r="E272" s="263">
        <f t="shared" si="8"/>
        <v>7.3164109749705355E-3</v>
      </c>
      <c r="F272" s="263">
        <f t="shared" si="9"/>
        <v>1.3046201389522371E-3</v>
      </c>
      <c r="G272" s="259"/>
      <c r="H272" s="259"/>
    </row>
    <row r="273" spans="1:8" ht="14.25" customHeight="1" x14ac:dyDescent="0.3">
      <c r="A273" s="261">
        <v>44323</v>
      </c>
      <c r="B273" s="262">
        <v>14823.150390625</v>
      </c>
      <c r="C273" s="262">
        <v>2895.5</v>
      </c>
      <c r="D273" s="259"/>
      <c r="E273" s="263">
        <f t="shared" si="8"/>
        <v>6.6792477481555316E-3</v>
      </c>
      <c r="F273" s="263">
        <f t="shared" si="9"/>
        <v>6.0282119573137512E-3</v>
      </c>
      <c r="G273" s="259"/>
      <c r="H273" s="259"/>
    </row>
    <row r="274" spans="1:8" ht="14.25" customHeight="1" x14ac:dyDescent="0.3">
      <c r="A274" s="261">
        <v>44326</v>
      </c>
      <c r="B274" s="262">
        <v>14942.349609375</v>
      </c>
      <c r="C274" s="262">
        <v>2852.44995117188</v>
      </c>
      <c r="D274" s="259"/>
      <c r="E274" s="263">
        <f t="shared" si="8"/>
        <v>8.041422748121637E-3</v>
      </c>
      <c r="F274" s="263">
        <f t="shared" si="9"/>
        <v>-1.4867915326582628E-2</v>
      </c>
      <c r="G274" s="259"/>
      <c r="H274" s="259"/>
    </row>
    <row r="275" spans="1:8" ht="14.25" customHeight="1" x14ac:dyDescent="0.3">
      <c r="A275" s="261">
        <v>44327</v>
      </c>
      <c r="B275" s="262">
        <v>14850.75</v>
      </c>
      <c r="C275" s="262">
        <v>2850.55004882813</v>
      </c>
      <c r="D275" s="259"/>
      <c r="E275" s="263">
        <f t="shared" si="8"/>
        <v>-6.1302011912189071E-3</v>
      </c>
      <c r="F275" s="263">
        <f t="shared" si="9"/>
        <v>-6.6605983497430269E-4</v>
      </c>
      <c r="G275" s="259"/>
      <c r="H275" s="259"/>
    </row>
    <row r="276" spans="1:8" ht="14.25" customHeight="1" x14ac:dyDescent="0.3">
      <c r="A276" s="261">
        <v>44328</v>
      </c>
      <c r="B276" s="262">
        <v>14696.5</v>
      </c>
      <c r="C276" s="262">
        <v>2856.14990234375</v>
      </c>
      <c r="D276" s="259"/>
      <c r="E276" s="263">
        <f t="shared" si="8"/>
        <v>-1.0386680807366631E-2</v>
      </c>
      <c r="F276" s="263">
        <f t="shared" si="9"/>
        <v>1.9644817385059124E-3</v>
      </c>
      <c r="G276" s="259"/>
      <c r="H276" s="259"/>
    </row>
    <row r="277" spans="1:8" ht="14.25" customHeight="1" x14ac:dyDescent="0.3">
      <c r="A277" s="261">
        <v>44330</v>
      </c>
      <c r="B277" s="262">
        <v>14677.7998046875</v>
      </c>
      <c r="C277" s="262">
        <v>2844.64990234375</v>
      </c>
      <c r="D277" s="259"/>
      <c r="E277" s="263">
        <f t="shared" si="8"/>
        <v>-1.2724250884564353E-3</v>
      </c>
      <c r="F277" s="263">
        <f t="shared" si="9"/>
        <v>-4.0263993113817753E-3</v>
      </c>
      <c r="G277" s="259"/>
      <c r="H277" s="259"/>
    </row>
    <row r="278" spans="1:8" ht="14.25" customHeight="1" x14ac:dyDescent="0.3">
      <c r="A278" s="261">
        <v>44333</v>
      </c>
      <c r="B278" s="262">
        <v>14923.150390625</v>
      </c>
      <c r="C278" s="262">
        <v>2898.69995117188</v>
      </c>
      <c r="D278" s="259"/>
      <c r="E278" s="263">
        <f t="shared" si="8"/>
        <v>1.6715760481972569E-2</v>
      </c>
      <c r="F278" s="263">
        <f t="shared" si="9"/>
        <v>1.9000597853393964E-2</v>
      </c>
      <c r="G278" s="259"/>
      <c r="H278" s="259"/>
    </row>
    <row r="279" spans="1:8" ht="14.25" customHeight="1" x14ac:dyDescent="0.3">
      <c r="A279" s="261">
        <v>44334</v>
      </c>
      <c r="B279" s="262">
        <v>15108.099609375</v>
      </c>
      <c r="C279" s="262">
        <v>3056.30004882813</v>
      </c>
      <c r="D279" s="259"/>
      <c r="E279" s="263">
        <f t="shared" si="8"/>
        <v>1.239344333527514E-2</v>
      </c>
      <c r="F279" s="263">
        <f t="shared" si="9"/>
        <v>5.4369234591712667E-2</v>
      </c>
      <c r="G279" s="259"/>
      <c r="H279" s="259"/>
    </row>
    <row r="280" spans="1:8" ht="14.25" customHeight="1" x14ac:dyDescent="0.3">
      <c r="A280" s="261">
        <v>44335</v>
      </c>
      <c r="B280" s="262">
        <v>15030.150390625</v>
      </c>
      <c r="C280" s="262">
        <v>3027.89990234375</v>
      </c>
      <c r="D280" s="259"/>
      <c r="E280" s="263">
        <f t="shared" si="8"/>
        <v>-5.1594324081388979E-3</v>
      </c>
      <c r="F280" s="263">
        <f t="shared" si="9"/>
        <v>-9.2923292970758554E-3</v>
      </c>
      <c r="G280" s="259"/>
      <c r="H280" s="259"/>
    </row>
    <row r="281" spans="1:8" ht="14.25" customHeight="1" x14ac:dyDescent="0.3">
      <c r="A281" s="261">
        <v>44336</v>
      </c>
      <c r="B281" s="262">
        <v>14906.0498046875</v>
      </c>
      <c r="C281" s="262">
        <v>3026.60009765625</v>
      </c>
      <c r="D281" s="259"/>
      <c r="E281" s="263">
        <f t="shared" si="8"/>
        <v>-8.2567760609306533E-3</v>
      </c>
      <c r="F281" s="263">
        <f t="shared" si="9"/>
        <v>-4.2927597655849999E-4</v>
      </c>
      <c r="G281" s="259"/>
      <c r="H281" s="259"/>
    </row>
    <row r="282" spans="1:8" ht="14.25" customHeight="1" x14ac:dyDescent="0.3">
      <c r="A282" s="261">
        <v>44337</v>
      </c>
      <c r="B282" s="262">
        <v>15175.2998046875</v>
      </c>
      <c r="C282" s="262">
        <v>3034.14990234375</v>
      </c>
      <c r="D282" s="259"/>
      <c r="E282" s="263">
        <f t="shared" si="8"/>
        <v>1.8063135674974671E-2</v>
      </c>
      <c r="F282" s="263">
        <f t="shared" si="9"/>
        <v>2.4944837255990462E-3</v>
      </c>
      <c r="G282" s="259"/>
      <c r="H282" s="259"/>
    </row>
    <row r="283" spans="1:8" ht="14.25" customHeight="1" x14ac:dyDescent="0.3">
      <c r="A283" s="261">
        <v>44340</v>
      </c>
      <c r="B283" s="262">
        <v>15197.7001953125</v>
      </c>
      <c r="C283" s="262">
        <v>3040.44995117188</v>
      </c>
      <c r="D283" s="259"/>
      <c r="E283" s="263">
        <f t="shared" si="8"/>
        <v>1.4761086049898495E-3</v>
      </c>
      <c r="F283" s="263">
        <f t="shared" si="9"/>
        <v>2.0763802155139028E-3</v>
      </c>
      <c r="G283" s="259"/>
      <c r="H283" s="259"/>
    </row>
    <row r="284" spans="1:8" ht="14.25" customHeight="1" x14ac:dyDescent="0.3">
      <c r="A284" s="261">
        <v>44341</v>
      </c>
      <c r="B284" s="262">
        <v>15208.4501953125</v>
      </c>
      <c r="C284" s="262">
        <v>3103.85009765625</v>
      </c>
      <c r="D284" s="259"/>
      <c r="E284" s="263">
        <f t="shared" si="8"/>
        <v>7.0734386531165255E-4</v>
      </c>
      <c r="F284" s="263">
        <f t="shared" si="9"/>
        <v>2.0852225000425904E-2</v>
      </c>
      <c r="G284" s="259"/>
      <c r="H284" s="259"/>
    </row>
    <row r="285" spans="1:8" ht="14.25" customHeight="1" x14ac:dyDescent="0.3">
      <c r="A285" s="261">
        <v>44342</v>
      </c>
      <c r="B285" s="262">
        <v>15301.4501953125</v>
      </c>
      <c r="C285" s="262">
        <v>3096.19995117188</v>
      </c>
      <c r="D285" s="259"/>
      <c r="E285" s="263">
        <f t="shared" si="8"/>
        <v>6.1150215048647203E-3</v>
      </c>
      <c r="F285" s="263">
        <f t="shared" si="9"/>
        <v>-2.4647280776048767E-3</v>
      </c>
      <c r="G285" s="259"/>
      <c r="H285" s="259"/>
    </row>
    <row r="286" spans="1:8" ht="14.25" customHeight="1" x14ac:dyDescent="0.3">
      <c r="A286" s="261">
        <v>44343</v>
      </c>
      <c r="B286" s="262">
        <v>15337.849609375</v>
      </c>
      <c r="C286" s="262">
        <v>3025.5</v>
      </c>
      <c r="D286" s="259"/>
      <c r="E286" s="263">
        <f t="shared" si="8"/>
        <v>2.3788211965458492E-3</v>
      </c>
      <c r="F286" s="263">
        <f t="shared" si="9"/>
        <v>-2.2834426809263658E-2</v>
      </c>
      <c r="G286" s="259"/>
      <c r="H286" s="259"/>
    </row>
    <row r="287" spans="1:8" ht="14.25" customHeight="1" x14ac:dyDescent="0.3">
      <c r="A287" s="261">
        <v>44344</v>
      </c>
      <c r="B287" s="262">
        <v>15435.650390625</v>
      </c>
      <c r="C287" s="262">
        <v>3022.10009765625</v>
      </c>
      <c r="D287" s="259"/>
      <c r="E287" s="263">
        <f t="shared" si="8"/>
        <v>6.3764337075140533E-3</v>
      </c>
      <c r="F287" s="263">
        <f t="shared" si="9"/>
        <v>-1.1237489154685176E-3</v>
      </c>
      <c r="G287" s="259"/>
      <c r="H287" s="259"/>
    </row>
    <row r="288" spans="1:8" ht="14.25" customHeight="1" x14ac:dyDescent="0.3">
      <c r="A288" s="261">
        <v>44347</v>
      </c>
      <c r="B288" s="262">
        <v>15582.7998046875</v>
      </c>
      <c r="C288" s="262">
        <v>3069.39990234375</v>
      </c>
      <c r="D288" s="259"/>
      <c r="E288" s="263">
        <f t="shared" si="8"/>
        <v>9.5330880357249285E-3</v>
      </c>
      <c r="F288" s="263">
        <f t="shared" si="9"/>
        <v>1.5651303120033232E-2</v>
      </c>
      <c r="G288" s="259"/>
      <c r="H288" s="259"/>
    </row>
    <row r="289" spans="1:8" ht="14.25" customHeight="1" x14ac:dyDescent="0.3">
      <c r="A289" s="261">
        <v>44348</v>
      </c>
      <c r="B289" s="262">
        <v>15574.849609375</v>
      </c>
      <c r="C289" s="262">
        <v>3044.80004882813</v>
      </c>
      <c r="D289" s="259"/>
      <c r="E289" s="263">
        <f t="shared" si="8"/>
        <v>-5.1019042868717874E-4</v>
      </c>
      <c r="F289" s="263">
        <f t="shared" si="9"/>
        <v>-8.0145482173358713E-3</v>
      </c>
      <c r="G289" s="259"/>
      <c r="H289" s="259"/>
    </row>
    <row r="290" spans="1:8" ht="14.25" customHeight="1" x14ac:dyDescent="0.3">
      <c r="A290" s="261">
        <v>44349</v>
      </c>
      <c r="B290" s="262">
        <v>15576.2001953125</v>
      </c>
      <c r="C290" s="262">
        <v>3066.19995117188</v>
      </c>
      <c r="D290" s="259"/>
      <c r="E290" s="263">
        <f t="shared" si="8"/>
        <v>8.6715825280716621E-5</v>
      </c>
      <c r="F290" s="263">
        <f t="shared" si="9"/>
        <v>7.0283440621942668E-3</v>
      </c>
      <c r="G290" s="259"/>
      <c r="H290" s="259"/>
    </row>
    <row r="291" spans="1:8" ht="14.25" customHeight="1" x14ac:dyDescent="0.3">
      <c r="A291" s="261">
        <v>44350</v>
      </c>
      <c r="B291" s="262">
        <v>15690.349609375</v>
      </c>
      <c r="C291" s="262">
        <v>3192.69995117188</v>
      </c>
      <c r="D291" s="259"/>
      <c r="E291" s="263">
        <f t="shared" si="8"/>
        <v>7.3284506253875779E-3</v>
      </c>
      <c r="F291" s="263">
        <f t="shared" si="9"/>
        <v>4.1256278786271777E-2</v>
      </c>
      <c r="G291" s="259"/>
      <c r="H291" s="259"/>
    </row>
    <row r="292" spans="1:8" ht="14.25" customHeight="1" x14ac:dyDescent="0.3">
      <c r="A292" s="261">
        <v>44351</v>
      </c>
      <c r="B292" s="262">
        <v>15670.25</v>
      </c>
      <c r="C292" s="262">
        <v>3197</v>
      </c>
      <c r="D292" s="259"/>
      <c r="E292" s="263">
        <f t="shared" si="8"/>
        <v>-1.2810173052479636E-3</v>
      </c>
      <c r="F292" s="263">
        <f t="shared" si="9"/>
        <v>1.3468377529625563E-3</v>
      </c>
      <c r="G292" s="259"/>
      <c r="H292" s="259"/>
    </row>
    <row r="293" spans="1:8" ht="14.25" customHeight="1" x14ac:dyDescent="0.3">
      <c r="A293" s="261">
        <v>44354</v>
      </c>
      <c r="B293" s="262">
        <v>15751.650390625</v>
      </c>
      <c r="C293" s="262">
        <v>3188.94995117188</v>
      </c>
      <c r="D293" s="259"/>
      <c r="E293" s="263">
        <f t="shared" si="8"/>
        <v>5.1945814919991708E-3</v>
      </c>
      <c r="F293" s="263">
        <f t="shared" si="9"/>
        <v>-2.5180008846168275E-3</v>
      </c>
      <c r="G293" s="259"/>
      <c r="H293" s="259"/>
    </row>
    <row r="294" spans="1:8" ht="14.25" customHeight="1" x14ac:dyDescent="0.3">
      <c r="A294" s="261">
        <v>44355</v>
      </c>
      <c r="B294" s="262">
        <v>15740.099609375</v>
      </c>
      <c r="C294" s="262">
        <v>3179.80004882813</v>
      </c>
      <c r="D294" s="259"/>
      <c r="E294" s="263">
        <f t="shared" si="8"/>
        <v>-7.3330609577741419E-4</v>
      </c>
      <c r="F294" s="263">
        <f t="shared" si="9"/>
        <v>-2.8692524134433595E-3</v>
      </c>
      <c r="G294" s="259"/>
      <c r="H294" s="259"/>
    </row>
    <row r="295" spans="1:8" ht="14.25" customHeight="1" x14ac:dyDescent="0.3">
      <c r="A295" s="261">
        <v>44356</v>
      </c>
      <c r="B295" s="262">
        <v>15635.349609375</v>
      </c>
      <c r="C295" s="262">
        <v>3194.69995117188</v>
      </c>
      <c r="D295" s="259"/>
      <c r="E295" s="263">
        <f t="shared" si="8"/>
        <v>-6.6549769442125761E-3</v>
      </c>
      <c r="F295" s="263">
        <f t="shared" si="9"/>
        <v>4.685798514042148E-3</v>
      </c>
      <c r="G295" s="259"/>
      <c r="H295" s="259"/>
    </row>
    <row r="296" spans="1:8" ht="14.25" customHeight="1" x14ac:dyDescent="0.3">
      <c r="A296" s="261">
        <v>44357</v>
      </c>
      <c r="B296" s="262">
        <v>15737.75</v>
      </c>
      <c r="C296" s="262">
        <v>3194.5</v>
      </c>
      <c r="D296" s="259"/>
      <c r="E296" s="263">
        <f t="shared" si="8"/>
        <v>6.5492869160789623E-3</v>
      </c>
      <c r="F296" s="263">
        <f t="shared" si="9"/>
        <v>-6.2588404211999976E-5</v>
      </c>
      <c r="G296" s="259"/>
      <c r="H296" s="259"/>
    </row>
    <row r="297" spans="1:8" ht="14.25" customHeight="1" x14ac:dyDescent="0.3">
      <c r="A297" s="261">
        <v>44358</v>
      </c>
      <c r="B297" s="262">
        <v>15799.349609375</v>
      </c>
      <c r="C297" s="262">
        <v>3175.55004882813</v>
      </c>
      <c r="D297" s="259"/>
      <c r="E297" s="263">
        <f t="shared" si="8"/>
        <v>3.9141306333497486E-3</v>
      </c>
      <c r="F297" s="263">
        <f t="shared" si="9"/>
        <v>-5.9320554615338861E-3</v>
      </c>
      <c r="G297" s="259"/>
      <c r="H297" s="259"/>
    </row>
    <row r="298" spans="1:8" ht="14.25" customHeight="1" x14ac:dyDescent="0.3">
      <c r="A298" s="261">
        <v>44361</v>
      </c>
      <c r="B298" s="262">
        <v>15811.849609375</v>
      </c>
      <c r="C298" s="262">
        <v>3274.10009765625</v>
      </c>
      <c r="D298" s="259"/>
      <c r="E298" s="263">
        <f t="shared" si="8"/>
        <v>7.9117180827385227E-4</v>
      </c>
      <c r="F298" s="263">
        <f t="shared" si="9"/>
        <v>3.1034009010340688E-2</v>
      </c>
      <c r="G298" s="259"/>
      <c r="H298" s="259"/>
    </row>
    <row r="299" spans="1:8" ht="14.25" customHeight="1" x14ac:dyDescent="0.3">
      <c r="A299" s="261">
        <v>44362</v>
      </c>
      <c r="B299" s="262">
        <v>15869.25</v>
      </c>
      <c r="C299" s="262">
        <v>3359.5</v>
      </c>
      <c r="D299" s="259"/>
      <c r="E299" s="263">
        <f t="shared" si="8"/>
        <v>3.630213545097643E-3</v>
      </c>
      <c r="F299" s="263">
        <f t="shared" si="9"/>
        <v>2.6083473258769072E-2</v>
      </c>
      <c r="G299" s="259"/>
      <c r="H299" s="259"/>
    </row>
    <row r="300" spans="1:8" ht="14.25" customHeight="1" x14ac:dyDescent="0.3">
      <c r="A300" s="261">
        <v>44363</v>
      </c>
      <c r="B300" s="262">
        <v>15767.5498046875</v>
      </c>
      <c r="C300" s="262">
        <v>3310.39990234375</v>
      </c>
      <c r="D300" s="259"/>
      <c r="E300" s="263">
        <f t="shared" si="8"/>
        <v>-6.4086327528081041E-3</v>
      </c>
      <c r="F300" s="263">
        <f t="shared" si="9"/>
        <v>-1.461529919816937E-2</v>
      </c>
      <c r="G300" s="259"/>
      <c r="H300" s="259"/>
    </row>
    <row r="301" spans="1:8" ht="14.25" customHeight="1" x14ac:dyDescent="0.3">
      <c r="A301" s="261">
        <v>44364</v>
      </c>
      <c r="B301" s="262">
        <v>15691.400390625</v>
      </c>
      <c r="C301" s="262">
        <v>3285.55004882813</v>
      </c>
      <c r="D301" s="259"/>
      <c r="E301" s="263">
        <f t="shared" si="8"/>
        <v>-4.829502047290931E-3</v>
      </c>
      <c r="F301" s="263">
        <f t="shared" si="9"/>
        <v>-7.5066016942624972E-3</v>
      </c>
      <c r="G301" s="259"/>
      <c r="H301" s="259"/>
    </row>
    <row r="302" spans="1:8" ht="14.25" customHeight="1" x14ac:dyDescent="0.3">
      <c r="A302" s="261">
        <v>44365</v>
      </c>
      <c r="B302" s="262">
        <v>15683.349609375</v>
      </c>
      <c r="C302" s="262">
        <v>3317.69995117188</v>
      </c>
      <c r="D302" s="259"/>
      <c r="E302" s="263">
        <f t="shared" si="8"/>
        <v>-5.1306964640390079E-4</v>
      </c>
      <c r="F302" s="263">
        <f t="shared" si="9"/>
        <v>9.785242003912566E-3</v>
      </c>
      <c r="G302" s="259"/>
      <c r="H302" s="259"/>
    </row>
    <row r="303" spans="1:8" ht="14.25" customHeight="1" x14ac:dyDescent="0.3">
      <c r="A303" s="261">
        <v>44368</v>
      </c>
      <c r="B303" s="262">
        <v>15746.5</v>
      </c>
      <c r="C303" s="262">
        <v>3311</v>
      </c>
      <c r="D303" s="259"/>
      <c r="E303" s="263">
        <f t="shared" si="8"/>
        <v>4.0265882096545708E-3</v>
      </c>
      <c r="F303" s="263">
        <f t="shared" si="9"/>
        <v>-2.0194566327534956E-3</v>
      </c>
      <c r="G303" s="259"/>
      <c r="H303" s="259"/>
    </row>
    <row r="304" spans="1:8" ht="14.25" customHeight="1" x14ac:dyDescent="0.3">
      <c r="A304" s="261">
        <v>44369</v>
      </c>
      <c r="B304" s="262">
        <v>15772.75</v>
      </c>
      <c r="C304" s="262">
        <v>3373.80004882813</v>
      </c>
      <c r="D304" s="259"/>
      <c r="E304" s="263">
        <f t="shared" si="8"/>
        <v>1.6670371193598578E-3</v>
      </c>
      <c r="F304" s="263">
        <f t="shared" si="9"/>
        <v>1.8967094179441257E-2</v>
      </c>
      <c r="G304" s="259"/>
      <c r="H304" s="259"/>
    </row>
    <row r="305" spans="1:8" ht="14.25" customHeight="1" x14ac:dyDescent="0.3">
      <c r="A305" s="261">
        <v>44370</v>
      </c>
      <c r="B305" s="262">
        <v>15686.9501953125</v>
      </c>
      <c r="C305" s="262">
        <v>3310.89990234375</v>
      </c>
      <c r="D305" s="259"/>
      <c r="E305" s="263">
        <f t="shared" si="8"/>
        <v>-5.4397492312691191E-3</v>
      </c>
      <c r="F305" s="263">
        <f t="shared" si="9"/>
        <v>-1.8643709044413585E-2</v>
      </c>
      <c r="G305" s="259"/>
      <c r="H305" s="259"/>
    </row>
    <row r="306" spans="1:8" ht="14.25" customHeight="1" x14ac:dyDescent="0.3">
      <c r="A306" s="261">
        <v>44371</v>
      </c>
      <c r="B306" s="262">
        <v>15790.4501953125</v>
      </c>
      <c r="C306" s="262">
        <v>3323.80004882813</v>
      </c>
      <c r="D306" s="259"/>
      <c r="E306" s="263">
        <f t="shared" si="8"/>
        <v>6.5978407983297719E-3</v>
      </c>
      <c r="F306" s="263">
        <f t="shared" si="9"/>
        <v>3.8962659291657017E-3</v>
      </c>
      <c r="G306" s="259"/>
      <c r="H306" s="259"/>
    </row>
    <row r="307" spans="1:8" ht="14.25" customHeight="1" x14ac:dyDescent="0.3">
      <c r="A307" s="261">
        <v>44372</v>
      </c>
      <c r="B307" s="262">
        <v>15860.349609375</v>
      </c>
      <c r="C307" s="262">
        <v>3315.35009765625</v>
      </c>
      <c r="D307" s="259"/>
      <c r="E307" s="263">
        <f t="shared" si="8"/>
        <v>4.4266891189239247E-3</v>
      </c>
      <c r="F307" s="263">
        <f t="shared" si="9"/>
        <v>-2.5422561669614261E-3</v>
      </c>
      <c r="G307" s="259"/>
      <c r="H307" s="259"/>
    </row>
    <row r="308" spans="1:8" ht="14.25" customHeight="1" x14ac:dyDescent="0.3">
      <c r="A308" s="261">
        <v>44375</v>
      </c>
      <c r="B308" s="262">
        <v>15814.7001953125</v>
      </c>
      <c r="C308" s="262">
        <v>3332.19995117188</v>
      </c>
      <c r="D308" s="259"/>
      <c r="E308" s="263">
        <f t="shared" si="8"/>
        <v>-2.8782098242977434E-3</v>
      </c>
      <c r="F308" s="263">
        <f t="shared" si="9"/>
        <v>5.082375320646172E-3</v>
      </c>
      <c r="G308" s="259"/>
      <c r="H308" s="259"/>
    </row>
    <row r="309" spans="1:8" ht="14.25" customHeight="1" x14ac:dyDescent="0.3">
      <c r="A309" s="261">
        <v>44376</v>
      </c>
      <c r="B309" s="262">
        <v>15748.4501953125</v>
      </c>
      <c r="C309" s="262">
        <v>3270.85009765625</v>
      </c>
      <c r="D309" s="259"/>
      <c r="E309" s="263">
        <f t="shared" si="8"/>
        <v>-4.1891404314851697E-3</v>
      </c>
      <c r="F309" s="263">
        <f t="shared" si="9"/>
        <v>-1.8411216137871399E-2</v>
      </c>
      <c r="G309" s="259"/>
      <c r="H309" s="259"/>
    </row>
    <row r="310" spans="1:8" ht="14.25" customHeight="1" x14ac:dyDescent="0.3">
      <c r="A310" s="261">
        <v>44377</v>
      </c>
      <c r="B310" s="262">
        <v>15721.5</v>
      </c>
      <c r="C310" s="262">
        <v>3344.10009765625</v>
      </c>
      <c r="D310" s="259"/>
      <c r="E310" s="263">
        <f t="shared" si="8"/>
        <v>-1.7112919035373831E-3</v>
      </c>
      <c r="F310" s="263">
        <f t="shared" si="9"/>
        <v>2.2394789676386511E-2</v>
      </c>
      <c r="G310" s="259"/>
      <c r="H310" s="259"/>
    </row>
    <row r="311" spans="1:8" ht="14.25" customHeight="1" x14ac:dyDescent="0.3">
      <c r="A311" s="261">
        <v>44378</v>
      </c>
      <c r="B311" s="262">
        <v>15680</v>
      </c>
      <c r="C311" s="262">
        <v>3315.64990234375</v>
      </c>
      <c r="D311" s="259"/>
      <c r="E311" s="263">
        <f t="shared" si="8"/>
        <v>-2.6396972299080877E-3</v>
      </c>
      <c r="F311" s="263">
        <f t="shared" si="9"/>
        <v>-8.5075788647713136E-3</v>
      </c>
      <c r="G311" s="259"/>
      <c r="H311" s="259"/>
    </row>
    <row r="312" spans="1:8" ht="14.25" customHeight="1" x14ac:dyDescent="0.3">
      <c r="A312" s="261">
        <v>44379</v>
      </c>
      <c r="B312" s="262">
        <v>15722.2001953125</v>
      </c>
      <c r="C312" s="262">
        <v>3314.30004882813</v>
      </c>
      <c r="D312" s="259"/>
      <c r="E312" s="263">
        <f t="shared" si="8"/>
        <v>2.6913389867665818E-3</v>
      </c>
      <c r="F312" s="263">
        <f t="shared" si="9"/>
        <v>-4.0711581601719169E-4</v>
      </c>
      <c r="G312" s="259"/>
      <c r="H312" s="259"/>
    </row>
    <row r="313" spans="1:8" ht="14.25" customHeight="1" x14ac:dyDescent="0.3">
      <c r="A313" s="261">
        <v>44382</v>
      </c>
      <c r="B313" s="262">
        <v>15834.349609375</v>
      </c>
      <c r="C313" s="262">
        <v>3360.64990234375</v>
      </c>
      <c r="D313" s="259"/>
      <c r="E313" s="263">
        <f t="shared" si="8"/>
        <v>7.1331882732250679E-3</v>
      </c>
      <c r="F313" s="263">
        <f t="shared" si="9"/>
        <v>1.3984809109847606E-2</v>
      </c>
      <c r="G313" s="259"/>
      <c r="H313" s="259"/>
    </row>
    <row r="314" spans="1:8" ht="14.25" customHeight="1" x14ac:dyDescent="0.3">
      <c r="A314" s="261">
        <v>44383</v>
      </c>
      <c r="B314" s="262">
        <v>15818.25</v>
      </c>
      <c r="C314" s="262">
        <v>3364.60009765625</v>
      </c>
      <c r="D314" s="259"/>
      <c r="E314" s="263">
        <f t="shared" si="8"/>
        <v>-1.016752173102705E-3</v>
      </c>
      <c r="F314" s="263">
        <f t="shared" si="9"/>
        <v>1.175426012017823E-3</v>
      </c>
      <c r="G314" s="259"/>
      <c r="H314" s="259"/>
    </row>
    <row r="315" spans="1:8" ht="14.25" customHeight="1" x14ac:dyDescent="0.3">
      <c r="A315" s="261">
        <v>44384</v>
      </c>
      <c r="B315" s="262">
        <v>15879.650390625</v>
      </c>
      <c r="C315" s="262">
        <v>3396.39990234375</v>
      </c>
      <c r="D315" s="259"/>
      <c r="E315" s="263">
        <f t="shared" si="8"/>
        <v>3.8816171589777632E-3</v>
      </c>
      <c r="F315" s="263">
        <f t="shared" si="9"/>
        <v>9.4512880474715132E-3</v>
      </c>
      <c r="G315" s="259"/>
      <c r="H315" s="259"/>
    </row>
    <row r="316" spans="1:8" ht="14.25" customHeight="1" x14ac:dyDescent="0.3">
      <c r="A316" s="261">
        <v>44385</v>
      </c>
      <c r="B316" s="262">
        <v>15727.900390625</v>
      </c>
      <c r="C316" s="262">
        <v>3389.19995117188</v>
      </c>
      <c r="D316" s="259"/>
      <c r="E316" s="263">
        <f t="shared" si="8"/>
        <v>-9.5562557277451086E-3</v>
      </c>
      <c r="F316" s="263">
        <f t="shared" si="9"/>
        <v>-2.1198773344980769E-3</v>
      </c>
      <c r="G316" s="259"/>
      <c r="H316" s="259"/>
    </row>
    <row r="317" spans="1:8" ht="14.25" customHeight="1" x14ac:dyDescent="0.3">
      <c r="A317" s="261">
        <v>44386</v>
      </c>
      <c r="B317" s="262">
        <v>15689.7998046875</v>
      </c>
      <c r="C317" s="262">
        <v>3377.60009765625</v>
      </c>
      <c r="D317" s="259"/>
      <c r="E317" s="263">
        <f t="shared" si="8"/>
        <v>-2.4224839292732799E-3</v>
      </c>
      <c r="F317" s="263">
        <f t="shared" si="9"/>
        <v>-3.4225934387905124E-3</v>
      </c>
      <c r="G317" s="259"/>
      <c r="H317" s="259"/>
    </row>
    <row r="318" spans="1:8" ht="14.25" customHeight="1" x14ac:dyDescent="0.3">
      <c r="A318" s="261">
        <v>44389</v>
      </c>
      <c r="B318" s="262">
        <v>15692.599609375</v>
      </c>
      <c r="C318" s="262">
        <v>3349.05004882813</v>
      </c>
      <c r="D318" s="259"/>
      <c r="E318" s="263">
        <f t="shared" si="8"/>
        <v>1.7844744498674405E-4</v>
      </c>
      <c r="F318" s="263">
        <f t="shared" si="9"/>
        <v>-8.4527617250873353E-3</v>
      </c>
      <c r="G318" s="259"/>
      <c r="H318" s="259"/>
    </row>
    <row r="319" spans="1:8" ht="14.25" customHeight="1" x14ac:dyDescent="0.3">
      <c r="A319" s="261">
        <v>44390</v>
      </c>
      <c r="B319" s="262">
        <v>15812.349609375</v>
      </c>
      <c r="C319" s="262">
        <v>3355</v>
      </c>
      <c r="D319" s="259"/>
      <c r="E319" s="263">
        <f t="shared" si="8"/>
        <v>7.6309854951285136E-3</v>
      </c>
      <c r="F319" s="263">
        <f t="shared" si="9"/>
        <v>1.7766086159124294E-3</v>
      </c>
      <c r="G319" s="259"/>
      <c r="H319" s="259"/>
    </row>
    <row r="320" spans="1:8" ht="14.25" customHeight="1" x14ac:dyDescent="0.3">
      <c r="A320" s="261">
        <v>44391</v>
      </c>
      <c r="B320" s="262">
        <v>15853.9501953125</v>
      </c>
      <c r="C320" s="262">
        <v>3330.05004882813</v>
      </c>
      <c r="D320" s="259"/>
      <c r="E320" s="263">
        <f t="shared" si="8"/>
        <v>2.6308921169334244E-3</v>
      </c>
      <c r="F320" s="263">
        <f t="shared" si="9"/>
        <v>-7.436647145117734E-3</v>
      </c>
      <c r="G320" s="259"/>
      <c r="H320" s="259"/>
    </row>
    <row r="321" spans="1:8" ht="14.25" customHeight="1" x14ac:dyDescent="0.3">
      <c r="A321" s="261">
        <v>44392</v>
      </c>
      <c r="B321" s="262">
        <v>15924.2001953125</v>
      </c>
      <c r="C321" s="262">
        <v>3328.5</v>
      </c>
      <c r="D321" s="259"/>
      <c r="E321" s="263">
        <f t="shared" si="8"/>
        <v>4.4310723280038215E-3</v>
      </c>
      <c r="F321" s="263">
        <f t="shared" si="9"/>
        <v>-4.6547313265621223E-4</v>
      </c>
      <c r="G321" s="259"/>
      <c r="H321" s="259"/>
    </row>
    <row r="322" spans="1:8" ht="14.25" customHeight="1" x14ac:dyDescent="0.3">
      <c r="A322" s="261">
        <v>44393</v>
      </c>
      <c r="B322" s="262">
        <v>15923.400390625</v>
      </c>
      <c r="C322" s="262">
        <v>3349.19995117188</v>
      </c>
      <c r="D322" s="259"/>
      <c r="E322" s="263">
        <f t="shared" si="8"/>
        <v>-5.0225736783655429E-5</v>
      </c>
      <c r="F322" s="263">
        <f t="shared" si="9"/>
        <v>6.219002905777378E-3</v>
      </c>
      <c r="G322" s="259"/>
      <c r="H322" s="259"/>
    </row>
    <row r="323" spans="1:8" ht="14.25" customHeight="1" x14ac:dyDescent="0.3">
      <c r="A323" s="261">
        <v>44396</v>
      </c>
      <c r="B323" s="262">
        <v>15752.400390625</v>
      </c>
      <c r="C323" s="262">
        <v>3331.60009765625</v>
      </c>
      <c r="D323" s="259"/>
      <c r="E323" s="263">
        <f t="shared" ref="E323:E386" si="10">(B323-B322)/B322</f>
        <v>-1.0738912280361756E-2</v>
      </c>
      <c r="F323" s="263">
        <f t="shared" ref="F323:F386" si="11">(C323-C322)/C322</f>
        <v>-5.2549426048665261E-3</v>
      </c>
      <c r="G323" s="259"/>
      <c r="H323" s="259"/>
    </row>
    <row r="324" spans="1:8" ht="14.25" customHeight="1" x14ac:dyDescent="0.3">
      <c r="A324" s="261">
        <v>44397</v>
      </c>
      <c r="B324" s="262">
        <v>15632.099609375</v>
      </c>
      <c r="C324" s="262">
        <v>3397.30004882813</v>
      </c>
      <c r="D324" s="259"/>
      <c r="E324" s="263">
        <f t="shared" si="10"/>
        <v>-7.6369809214344685E-3</v>
      </c>
      <c r="F324" s="263">
        <f t="shared" si="11"/>
        <v>1.9720239298257711E-2</v>
      </c>
      <c r="G324" s="259"/>
      <c r="H324" s="259"/>
    </row>
    <row r="325" spans="1:8" ht="14.25" customHeight="1" x14ac:dyDescent="0.3">
      <c r="A325" s="261">
        <v>44399</v>
      </c>
      <c r="B325" s="262">
        <v>15824.0498046875</v>
      </c>
      <c r="C325" s="262">
        <v>3397.35009765625</v>
      </c>
      <c r="D325" s="259"/>
      <c r="E325" s="263">
        <f t="shared" si="10"/>
        <v>1.2279233123449532E-2</v>
      </c>
      <c r="F325" s="263">
        <f t="shared" si="11"/>
        <v>1.4731942248451591E-5</v>
      </c>
      <c r="G325" s="259"/>
      <c r="H325" s="259"/>
    </row>
    <row r="326" spans="1:8" ht="14.25" customHeight="1" x14ac:dyDescent="0.3">
      <c r="A326" s="261">
        <v>44400</v>
      </c>
      <c r="B326" s="262">
        <v>15856.0498046875</v>
      </c>
      <c r="C326" s="262">
        <v>3413.19995117188</v>
      </c>
      <c r="D326" s="259"/>
      <c r="E326" s="263">
        <f t="shared" si="10"/>
        <v>2.0222383267853947E-3</v>
      </c>
      <c r="F326" s="263">
        <f t="shared" si="11"/>
        <v>4.6653577229395444E-3</v>
      </c>
      <c r="G326" s="259"/>
      <c r="H326" s="259"/>
    </row>
    <row r="327" spans="1:8" ht="14.25" customHeight="1" x14ac:dyDescent="0.3">
      <c r="A327" s="261">
        <v>44403</v>
      </c>
      <c r="B327" s="262">
        <v>15824.4501953125</v>
      </c>
      <c r="C327" s="262">
        <v>3483.55004882813</v>
      </c>
      <c r="D327" s="259"/>
      <c r="E327" s="263">
        <f t="shared" si="10"/>
        <v>-1.9929055322251985E-3</v>
      </c>
      <c r="F327" s="263">
        <f t="shared" si="11"/>
        <v>2.0611185592012023E-2</v>
      </c>
      <c r="G327" s="259"/>
      <c r="H327" s="259"/>
    </row>
    <row r="328" spans="1:8" ht="14.25" customHeight="1" x14ac:dyDescent="0.3">
      <c r="A328" s="261">
        <v>44404</v>
      </c>
      <c r="B328" s="262">
        <v>15746.4501953125</v>
      </c>
      <c r="C328" s="262">
        <v>3499.39990234375</v>
      </c>
      <c r="D328" s="259"/>
      <c r="E328" s="263">
        <f t="shared" si="10"/>
        <v>-4.9290812026508866E-3</v>
      </c>
      <c r="F328" s="263">
        <f t="shared" si="11"/>
        <v>4.5499141087270746E-3</v>
      </c>
      <c r="G328" s="259"/>
      <c r="H328" s="259"/>
    </row>
    <row r="329" spans="1:8" ht="14.25" customHeight="1" x14ac:dyDescent="0.3">
      <c r="A329" s="261">
        <v>44405</v>
      </c>
      <c r="B329" s="262">
        <v>15709.400390625</v>
      </c>
      <c r="C329" s="262">
        <v>3488.5</v>
      </c>
      <c r="D329" s="259"/>
      <c r="E329" s="263">
        <f t="shared" si="10"/>
        <v>-2.3528988583426387E-3</v>
      </c>
      <c r="F329" s="263">
        <f t="shared" si="11"/>
        <v>-3.1147918637277512E-3</v>
      </c>
      <c r="G329" s="259"/>
      <c r="H329" s="259"/>
    </row>
    <row r="330" spans="1:8" ht="14.25" customHeight="1" x14ac:dyDescent="0.3">
      <c r="A330" s="261">
        <v>44406</v>
      </c>
      <c r="B330" s="262">
        <v>15778.4501953125</v>
      </c>
      <c r="C330" s="262">
        <v>3502.60009765625</v>
      </c>
      <c r="D330" s="259"/>
      <c r="E330" s="263">
        <f t="shared" si="10"/>
        <v>4.3954449546468556E-3</v>
      </c>
      <c r="F330" s="263">
        <f t="shared" si="11"/>
        <v>4.0418797925326072E-3</v>
      </c>
      <c r="G330" s="259"/>
      <c r="H330" s="259"/>
    </row>
    <row r="331" spans="1:8" ht="14.25" customHeight="1" x14ac:dyDescent="0.3">
      <c r="A331" s="261">
        <v>44407</v>
      </c>
      <c r="B331" s="262">
        <v>15763.0498046875</v>
      </c>
      <c r="C331" s="262">
        <v>3500.80004882813</v>
      </c>
      <c r="D331" s="259"/>
      <c r="E331" s="263">
        <f t="shared" si="10"/>
        <v>-9.7603949908687388E-4</v>
      </c>
      <c r="F331" s="263">
        <f t="shared" si="11"/>
        <v>-5.1391788326748825E-4</v>
      </c>
      <c r="G331" s="259"/>
      <c r="H331" s="259"/>
    </row>
    <row r="332" spans="1:8" ht="14.25" customHeight="1" x14ac:dyDescent="0.3">
      <c r="A332" s="261">
        <v>44410</v>
      </c>
      <c r="B332" s="262">
        <v>15885.150390625</v>
      </c>
      <c r="C332" s="262">
        <v>3502.39990234375</v>
      </c>
      <c r="D332" s="259"/>
      <c r="E332" s="263">
        <f t="shared" si="10"/>
        <v>7.7460001364197065E-3</v>
      </c>
      <c r="F332" s="263">
        <f t="shared" si="11"/>
        <v>4.5699654173494953E-4</v>
      </c>
      <c r="G332" s="259"/>
      <c r="H332" s="259"/>
    </row>
    <row r="333" spans="1:8" ht="14.25" customHeight="1" x14ac:dyDescent="0.3">
      <c r="A333" s="261">
        <v>44411</v>
      </c>
      <c r="B333" s="262">
        <v>16130.75</v>
      </c>
      <c r="C333" s="262">
        <v>3566.25</v>
      </c>
      <c r="D333" s="259"/>
      <c r="E333" s="263">
        <f t="shared" si="10"/>
        <v>1.5460955882416225E-2</v>
      </c>
      <c r="F333" s="263">
        <f t="shared" si="11"/>
        <v>1.8230384718067899E-2</v>
      </c>
      <c r="G333" s="259"/>
      <c r="H333" s="259"/>
    </row>
    <row r="334" spans="1:8" ht="14.25" customHeight="1" x14ac:dyDescent="0.3">
      <c r="A334" s="261">
        <v>44412</v>
      </c>
      <c r="B334" s="262">
        <v>16258.7998046875</v>
      </c>
      <c r="C334" s="262">
        <v>3593.05004882813</v>
      </c>
      <c r="D334" s="259"/>
      <c r="E334" s="263">
        <f t="shared" si="10"/>
        <v>7.9382424678021788E-3</v>
      </c>
      <c r="F334" s="263">
        <f t="shared" si="11"/>
        <v>7.5149102917995095E-3</v>
      </c>
      <c r="G334" s="259"/>
      <c r="H334" s="259"/>
    </row>
    <row r="335" spans="1:8" ht="14.25" customHeight="1" x14ac:dyDescent="0.3">
      <c r="A335" s="261">
        <v>44413</v>
      </c>
      <c r="B335" s="262">
        <v>16294.599609375</v>
      </c>
      <c r="C335" s="262">
        <v>3564.14990234375</v>
      </c>
      <c r="D335" s="259"/>
      <c r="E335" s="263">
        <f t="shared" si="10"/>
        <v>2.2018725316476757E-3</v>
      </c>
      <c r="F335" s="263">
        <f t="shared" si="11"/>
        <v>-8.0433464860323219E-3</v>
      </c>
      <c r="G335" s="259"/>
      <c r="H335" s="259"/>
    </row>
    <row r="336" spans="1:8" ht="14.25" customHeight="1" x14ac:dyDescent="0.3">
      <c r="A336" s="261">
        <v>44414</v>
      </c>
      <c r="B336" s="262">
        <v>16238.2001953125</v>
      </c>
      <c r="C336" s="262">
        <v>3529.19995117188</v>
      </c>
      <c r="D336" s="259"/>
      <c r="E336" s="263">
        <f t="shared" si="10"/>
        <v>-3.4612335015615195E-3</v>
      </c>
      <c r="F336" s="263">
        <f t="shared" si="11"/>
        <v>-9.8059711654908937E-3</v>
      </c>
      <c r="G336" s="259"/>
      <c r="H336" s="259"/>
    </row>
    <row r="337" spans="1:8" ht="14.25" customHeight="1" x14ac:dyDescent="0.3">
      <c r="A337" s="261">
        <v>44417</v>
      </c>
      <c r="B337" s="262">
        <v>16258.25</v>
      </c>
      <c r="C337" s="262">
        <v>3523</v>
      </c>
      <c r="D337" s="259"/>
      <c r="E337" s="263">
        <f t="shared" si="10"/>
        <v>1.2347307242392418E-3</v>
      </c>
      <c r="F337" s="263">
        <f t="shared" si="11"/>
        <v>-1.7567582618324849E-3</v>
      </c>
      <c r="G337" s="259"/>
      <c r="H337" s="259"/>
    </row>
    <row r="338" spans="1:8" ht="14.25" customHeight="1" x14ac:dyDescent="0.3">
      <c r="A338" s="261">
        <v>44418</v>
      </c>
      <c r="B338" s="262">
        <v>16280.099609375</v>
      </c>
      <c r="C338" s="262">
        <v>3551.64990234375</v>
      </c>
      <c r="D338" s="259"/>
      <c r="E338" s="263">
        <f t="shared" si="10"/>
        <v>1.3439090538649608E-3</v>
      </c>
      <c r="F338" s="263">
        <f t="shared" si="11"/>
        <v>8.1322459108004539E-3</v>
      </c>
      <c r="G338" s="259"/>
      <c r="H338" s="259"/>
    </row>
    <row r="339" spans="1:8" ht="14.25" customHeight="1" x14ac:dyDescent="0.3">
      <c r="A339" s="261">
        <v>44419</v>
      </c>
      <c r="B339" s="262">
        <v>16282.25</v>
      </c>
      <c r="C339" s="262">
        <v>3563.94995117188</v>
      </c>
      <c r="D339" s="259"/>
      <c r="E339" s="263">
        <f t="shared" si="10"/>
        <v>1.3208706805219322E-4</v>
      </c>
      <c r="F339" s="263">
        <f t="shared" si="11"/>
        <v>3.4631929290139616E-3</v>
      </c>
      <c r="G339" s="259"/>
      <c r="H339" s="259"/>
    </row>
    <row r="340" spans="1:8" ht="14.25" customHeight="1" x14ac:dyDescent="0.3">
      <c r="A340" s="261">
        <v>44420</v>
      </c>
      <c r="B340" s="262">
        <v>16364.400390625</v>
      </c>
      <c r="C340" s="262">
        <v>3561</v>
      </c>
      <c r="D340" s="259"/>
      <c r="E340" s="263">
        <f t="shared" si="10"/>
        <v>5.0453954843464512E-3</v>
      </c>
      <c r="F340" s="263">
        <f t="shared" si="11"/>
        <v>-8.2771958425230244E-4</v>
      </c>
      <c r="G340" s="259"/>
      <c r="H340" s="259"/>
    </row>
    <row r="341" spans="1:8" ht="14.25" customHeight="1" x14ac:dyDescent="0.3">
      <c r="A341" s="261">
        <v>44421</v>
      </c>
      <c r="B341" s="262">
        <v>16529.099609375</v>
      </c>
      <c r="C341" s="262">
        <v>3594.55004882813</v>
      </c>
      <c r="D341" s="259"/>
      <c r="E341" s="263">
        <f t="shared" si="10"/>
        <v>1.0064482340847301E-2</v>
      </c>
      <c r="F341" s="263">
        <f t="shared" si="11"/>
        <v>9.4215245234849764E-3</v>
      </c>
      <c r="G341" s="259"/>
      <c r="H341" s="259"/>
    </row>
    <row r="342" spans="1:8" ht="14.25" customHeight="1" x14ac:dyDescent="0.3">
      <c r="A342" s="261">
        <v>44424</v>
      </c>
      <c r="B342" s="262">
        <v>16563.05078125</v>
      </c>
      <c r="C342" s="262">
        <v>3633.5</v>
      </c>
      <c r="D342" s="259"/>
      <c r="E342" s="263">
        <f t="shared" si="10"/>
        <v>2.0540242770237479E-3</v>
      </c>
      <c r="F342" s="263">
        <f t="shared" si="11"/>
        <v>1.0835834984289115E-2</v>
      </c>
      <c r="G342" s="259"/>
      <c r="H342" s="259"/>
    </row>
    <row r="343" spans="1:8" ht="14.25" customHeight="1" x14ac:dyDescent="0.3">
      <c r="A343" s="261">
        <v>44425</v>
      </c>
      <c r="B343" s="262">
        <v>16614.599609375</v>
      </c>
      <c r="C343" s="262">
        <v>3634.35009765625</v>
      </c>
      <c r="D343" s="259"/>
      <c r="E343" s="263">
        <f t="shared" si="10"/>
        <v>3.1122785775284361E-3</v>
      </c>
      <c r="F343" s="263">
        <f t="shared" si="11"/>
        <v>2.3396109983486995E-4</v>
      </c>
      <c r="G343" s="259"/>
      <c r="H343" s="259"/>
    </row>
    <row r="344" spans="1:8" ht="14.25" customHeight="1" x14ac:dyDescent="0.3">
      <c r="A344" s="261">
        <v>44426</v>
      </c>
      <c r="B344" s="262">
        <v>16568.849609375</v>
      </c>
      <c r="C344" s="262">
        <v>3650.60009765625</v>
      </c>
      <c r="D344" s="259"/>
      <c r="E344" s="263">
        <f t="shared" si="10"/>
        <v>-2.7536023181795473E-3</v>
      </c>
      <c r="F344" s="263">
        <f t="shared" si="11"/>
        <v>4.4712258212216364E-3</v>
      </c>
      <c r="G344" s="259"/>
      <c r="H344" s="259"/>
    </row>
    <row r="345" spans="1:8" ht="14.25" customHeight="1" x14ac:dyDescent="0.3">
      <c r="A345" s="261">
        <v>44428</v>
      </c>
      <c r="B345" s="262">
        <v>16450.5</v>
      </c>
      <c r="C345" s="262">
        <v>3643.10009765625</v>
      </c>
      <c r="D345" s="259"/>
      <c r="E345" s="263">
        <f t="shared" si="10"/>
        <v>-7.142898400624949E-3</v>
      </c>
      <c r="F345" s="263">
        <f t="shared" si="11"/>
        <v>-2.0544567466634139E-3</v>
      </c>
      <c r="G345" s="259"/>
      <c r="H345" s="259"/>
    </row>
    <row r="346" spans="1:8" ht="14.25" customHeight="1" x14ac:dyDescent="0.3">
      <c r="A346" s="261">
        <v>44431</v>
      </c>
      <c r="B346" s="262">
        <v>16496.44921875</v>
      </c>
      <c r="C346" s="262">
        <v>3673.75</v>
      </c>
      <c r="D346" s="259"/>
      <c r="E346" s="263">
        <f t="shared" si="10"/>
        <v>2.7931806783988329E-3</v>
      </c>
      <c r="F346" s="263">
        <f t="shared" si="11"/>
        <v>8.4131375812232807E-3</v>
      </c>
      <c r="G346" s="259"/>
      <c r="H346" s="259"/>
    </row>
    <row r="347" spans="1:8" ht="14.25" customHeight="1" x14ac:dyDescent="0.3">
      <c r="A347" s="261">
        <v>44432</v>
      </c>
      <c r="B347" s="262">
        <v>16624.599609375</v>
      </c>
      <c r="C347" s="262">
        <v>3708.55004882813</v>
      </c>
      <c r="D347" s="259"/>
      <c r="E347" s="263">
        <f t="shared" si="10"/>
        <v>7.7683620836017982E-3</v>
      </c>
      <c r="F347" s="263">
        <f t="shared" si="11"/>
        <v>9.4726230222878533E-3</v>
      </c>
      <c r="G347" s="259"/>
      <c r="H347" s="259"/>
    </row>
    <row r="348" spans="1:8" ht="14.25" customHeight="1" x14ac:dyDescent="0.3">
      <c r="A348" s="261">
        <v>44433</v>
      </c>
      <c r="B348" s="262">
        <v>16634.650390625</v>
      </c>
      <c r="C348" s="262">
        <v>3789.69995117188</v>
      </c>
      <c r="D348" s="259"/>
      <c r="E348" s="263">
        <f t="shared" si="10"/>
        <v>6.0457283099510741E-4</v>
      </c>
      <c r="F348" s="263">
        <f t="shared" si="11"/>
        <v>2.1881840955440976E-2</v>
      </c>
      <c r="G348" s="259"/>
      <c r="H348" s="259"/>
    </row>
    <row r="349" spans="1:8" ht="14.25" customHeight="1" x14ac:dyDescent="0.3">
      <c r="A349" s="261">
        <v>44434</v>
      </c>
      <c r="B349" s="262">
        <v>16636.900390625</v>
      </c>
      <c r="C349" s="262">
        <v>3847.80004882813</v>
      </c>
      <c r="D349" s="259"/>
      <c r="E349" s="263">
        <f t="shared" si="10"/>
        <v>1.3525983096513173E-4</v>
      </c>
      <c r="F349" s="263">
        <f t="shared" si="11"/>
        <v>1.5331054807725304E-2</v>
      </c>
      <c r="G349" s="259"/>
      <c r="H349" s="259"/>
    </row>
    <row r="350" spans="1:8" ht="14.25" customHeight="1" x14ac:dyDescent="0.3">
      <c r="A350" s="261">
        <v>44435</v>
      </c>
      <c r="B350" s="262">
        <v>16705.19921875</v>
      </c>
      <c r="C350" s="262">
        <v>3833.05004882813</v>
      </c>
      <c r="D350" s="259"/>
      <c r="E350" s="263">
        <f t="shared" si="10"/>
        <v>4.1052615884799564E-3</v>
      </c>
      <c r="F350" s="263">
        <f t="shared" si="11"/>
        <v>-3.8333592735652153E-3</v>
      </c>
      <c r="G350" s="259"/>
      <c r="H350" s="259"/>
    </row>
    <row r="351" spans="1:8" ht="14.25" customHeight="1" x14ac:dyDescent="0.3">
      <c r="A351" s="261">
        <v>44438</v>
      </c>
      <c r="B351" s="262">
        <v>16931.05078125</v>
      </c>
      <c r="C351" s="262">
        <v>3888.35009765625</v>
      </c>
      <c r="D351" s="259"/>
      <c r="E351" s="263">
        <f t="shared" si="10"/>
        <v>1.3519836521704158E-2</v>
      </c>
      <c r="F351" s="263">
        <f t="shared" si="11"/>
        <v>1.4427165866260149E-2</v>
      </c>
      <c r="G351" s="259"/>
      <c r="H351" s="259"/>
    </row>
    <row r="352" spans="1:8" ht="14.25" customHeight="1" x14ac:dyDescent="0.3">
      <c r="A352" s="261">
        <v>44439</v>
      </c>
      <c r="B352" s="262">
        <v>17132.19921875</v>
      </c>
      <c r="C352" s="262">
        <v>3954.80004882813</v>
      </c>
      <c r="D352" s="259"/>
      <c r="E352" s="263">
        <f t="shared" si="10"/>
        <v>1.1880446175423345E-2</v>
      </c>
      <c r="F352" s="263">
        <f t="shared" si="11"/>
        <v>1.7089497988345626E-2</v>
      </c>
      <c r="G352" s="259"/>
      <c r="H352" s="259"/>
    </row>
    <row r="353" spans="1:8" ht="14.25" customHeight="1" x14ac:dyDescent="0.3">
      <c r="A353" s="261">
        <v>44440</v>
      </c>
      <c r="B353" s="262">
        <v>17076.25</v>
      </c>
      <c r="C353" s="262">
        <v>3968.60009765625</v>
      </c>
      <c r="D353" s="259"/>
      <c r="E353" s="263">
        <f t="shared" si="10"/>
        <v>-3.2657347743637881E-3</v>
      </c>
      <c r="F353" s="263">
        <f t="shared" si="11"/>
        <v>3.4894428688522876E-3</v>
      </c>
      <c r="G353" s="259"/>
      <c r="H353" s="259"/>
    </row>
    <row r="354" spans="1:8" ht="14.25" customHeight="1" x14ac:dyDescent="0.3">
      <c r="A354" s="261">
        <v>44441</v>
      </c>
      <c r="B354" s="262">
        <v>17234.150390625</v>
      </c>
      <c r="C354" s="262">
        <v>3917.64990234375</v>
      </c>
      <c r="D354" s="259"/>
      <c r="E354" s="263">
        <f t="shared" si="10"/>
        <v>9.2467837273991649E-3</v>
      </c>
      <c r="F354" s="263">
        <f t="shared" si="11"/>
        <v>-1.2838329400483016E-2</v>
      </c>
      <c r="G354" s="259"/>
      <c r="H354" s="259"/>
    </row>
    <row r="355" spans="1:8" ht="14.25" customHeight="1" x14ac:dyDescent="0.3">
      <c r="A355" s="261">
        <v>44442</v>
      </c>
      <c r="B355" s="262">
        <v>17323.599609375</v>
      </c>
      <c r="C355" s="262">
        <v>3938.89990234375</v>
      </c>
      <c r="D355" s="259"/>
      <c r="E355" s="263">
        <f t="shared" si="10"/>
        <v>5.1902308336974016E-3</v>
      </c>
      <c r="F355" s="263">
        <f t="shared" si="11"/>
        <v>5.4241702371840578E-3</v>
      </c>
      <c r="G355" s="259"/>
      <c r="H355" s="259"/>
    </row>
    <row r="356" spans="1:8" ht="14.25" customHeight="1" x14ac:dyDescent="0.3">
      <c r="A356" s="261">
        <v>44445</v>
      </c>
      <c r="B356" s="262">
        <v>17377.80078125</v>
      </c>
      <c r="C356" s="262">
        <v>3921.30004882813</v>
      </c>
      <c r="D356" s="259"/>
      <c r="E356" s="263">
        <f t="shared" si="10"/>
        <v>3.1287476677576867E-3</v>
      </c>
      <c r="F356" s="263">
        <f t="shared" si="11"/>
        <v>-4.4682154794407486E-3</v>
      </c>
      <c r="G356" s="259"/>
      <c r="H356" s="259"/>
    </row>
    <row r="357" spans="1:8" ht="14.25" customHeight="1" x14ac:dyDescent="0.3">
      <c r="A357" s="261">
        <v>44446</v>
      </c>
      <c r="B357" s="262">
        <v>17362.099609375</v>
      </c>
      <c r="C357" s="262">
        <v>3937.55004882813</v>
      </c>
      <c r="D357" s="259"/>
      <c r="E357" s="263">
        <f t="shared" si="10"/>
        <v>-9.0351892466974189E-4</v>
      </c>
      <c r="F357" s="263">
        <f t="shared" si="11"/>
        <v>4.1440338147182253E-3</v>
      </c>
      <c r="G357" s="259"/>
      <c r="H357" s="259"/>
    </row>
    <row r="358" spans="1:8" ht="14.25" customHeight="1" x14ac:dyDescent="0.3">
      <c r="A358" s="261">
        <v>44447</v>
      </c>
      <c r="B358" s="262">
        <v>17353.5</v>
      </c>
      <c r="C358" s="262">
        <v>3932.94995117188</v>
      </c>
      <c r="D358" s="259"/>
      <c r="E358" s="263">
        <f t="shared" si="10"/>
        <v>-4.9530929832682655E-4</v>
      </c>
      <c r="F358" s="263">
        <f t="shared" si="11"/>
        <v>-1.1682639202564684E-3</v>
      </c>
      <c r="G358" s="259"/>
      <c r="H358" s="259"/>
    </row>
    <row r="359" spans="1:8" ht="14.25" customHeight="1" x14ac:dyDescent="0.3">
      <c r="A359" s="261">
        <v>44448</v>
      </c>
      <c r="B359" s="262">
        <v>17369.25</v>
      </c>
      <c r="C359" s="262">
        <v>3950.5</v>
      </c>
      <c r="D359" s="259"/>
      <c r="E359" s="263">
        <f t="shared" si="10"/>
        <v>9.0759789091537728E-4</v>
      </c>
      <c r="F359" s="263">
        <f t="shared" si="11"/>
        <v>4.4623117624191235E-3</v>
      </c>
      <c r="G359" s="259"/>
      <c r="H359" s="259"/>
    </row>
    <row r="360" spans="1:8" ht="14.25" customHeight="1" x14ac:dyDescent="0.3">
      <c r="A360" s="261">
        <v>44452</v>
      </c>
      <c r="B360" s="262">
        <v>17355.30078125</v>
      </c>
      <c r="C360" s="262">
        <v>3961.85009765625</v>
      </c>
      <c r="D360" s="259"/>
      <c r="E360" s="263">
        <f t="shared" si="10"/>
        <v>-8.0309850741972161E-4</v>
      </c>
      <c r="F360" s="263">
        <f t="shared" si="11"/>
        <v>2.8730787637640805E-3</v>
      </c>
      <c r="G360" s="259"/>
      <c r="H360" s="259"/>
    </row>
    <row r="361" spans="1:8" ht="14.25" customHeight="1" x14ac:dyDescent="0.3">
      <c r="A361" s="261">
        <v>44453</v>
      </c>
      <c r="B361" s="262">
        <v>17380</v>
      </c>
      <c r="C361" s="262">
        <v>3979.69995117188</v>
      </c>
      <c r="D361" s="259"/>
      <c r="E361" s="263">
        <f t="shared" si="10"/>
        <v>1.4231512931590379E-3</v>
      </c>
      <c r="F361" s="263">
        <f t="shared" si="11"/>
        <v>4.5054338442006205E-3</v>
      </c>
      <c r="G361" s="259"/>
      <c r="H361" s="259"/>
    </row>
    <row r="362" spans="1:8" ht="14.25" customHeight="1" x14ac:dyDescent="0.3">
      <c r="A362" s="261">
        <v>44454</v>
      </c>
      <c r="B362" s="262">
        <v>17519.44921875</v>
      </c>
      <c r="C362" s="262">
        <v>3982.60009765625</v>
      </c>
      <c r="D362" s="259"/>
      <c r="E362" s="263">
        <f t="shared" si="10"/>
        <v>8.0235453826237053E-3</v>
      </c>
      <c r="F362" s="263">
        <f t="shared" si="11"/>
        <v>7.2873495990973089E-4</v>
      </c>
      <c r="G362" s="259"/>
      <c r="H362" s="259"/>
    </row>
    <row r="363" spans="1:8" ht="14.25" customHeight="1" x14ac:dyDescent="0.3">
      <c r="A363" s="261">
        <v>44455</v>
      </c>
      <c r="B363" s="262">
        <v>17629.5</v>
      </c>
      <c r="C363" s="262">
        <v>4084.5</v>
      </c>
      <c r="D363" s="259"/>
      <c r="E363" s="263">
        <f t="shared" si="10"/>
        <v>6.2816347635072543E-3</v>
      </c>
      <c r="F363" s="263">
        <f t="shared" si="11"/>
        <v>2.5586275258647696E-2</v>
      </c>
      <c r="G363" s="259"/>
      <c r="H363" s="259"/>
    </row>
    <row r="364" spans="1:8" ht="14.25" customHeight="1" x14ac:dyDescent="0.3">
      <c r="A364" s="261">
        <v>44456</v>
      </c>
      <c r="B364" s="262">
        <v>17585.150390625</v>
      </c>
      <c r="C364" s="262">
        <v>4239.64990234375</v>
      </c>
      <c r="D364" s="259"/>
      <c r="E364" s="263">
        <f t="shared" si="10"/>
        <v>-2.5156476006126098E-3</v>
      </c>
      <c r="F364" s="263">
        <f t="shared" si="11"/>
        <v>3.798504158250704E-2</v>
      </c>
      <c r="G364" s="259"/>
      <c r="H364" s="259"/>
    </row>
    <row r="365" spans="1:8" ht="14.25" customHeight="1" x14ac:dyDescent="0.3">
      <c r="A365" s="261">
        <v>44459</v>
      </c>
      <c r="B365" s="262">
        <v>17396.900390625</v>
      </c>
      <c r="C365" s="262">
        <v>4355.89990234375</v>
      </c>
      <c r="D365" s="259"/>
      <c r="E365" s="263">
        <f t="shared" si="10"/>
        <v>-1.0705054879733066E-2</v>
      </c>
      <c r="F365" s="263">
        <f t="shared" si="11"/>
        <v>2.74197168817489E-2</v>
      </c>
      <c r="G365" s="259"/>
      <c r="H365" s="259"/>
    </row>
    <row r="366" spans="1:8" ht="14.25" customHeight="1" x14ac:dyDescent="0.3">
      <c r="A366" s="261">
        <v>44460</v>
      </c>
      <c r="B366" s="262">
        <v>17562</v>
      </c>
      <c r="C366" s="262">
        <v>4361.9501953125</v>
      </c>
      <c r="D366" s="259"/>
      <c r="E366" s="263">
        <f t="shared" si="10"/>
        <v>9.4901738624640509E-3</v>
      </c>
      <c r="F366" s="263">
        <f t="shared" si="11"/>
        <v>1.3889880631771541E-3</v>
      </c>
      <c r="G366" s="259"/>
      <c r="H366" s="259"/>
    </row>
    <row r="367" spans="1:8" ht="14.25" customHeight="1" x14ac:dyDescent="0.3">
      <c r="A367" s="261">
        <v>44461</v>
      </c>
      <c r="B367" s="262">
        <v>17546.650390625</v>
      </c>
      <c r="C367" s="262">
        <v>4378.64990234375</v>
      </c>
      <c r="D367" s="259"/>
      <c r="E367" s="263">
        <f t="shared" si="10"/>
        <v>-8.7402399356565307E-4</v>
      </c>
      <c r="F367" s="263">
        <f t="shared" si="11"/>
        <v>3.8284955773213716E-3</v>
      </c>
      <c r="G367" s="259"/>
      <c r="H367" s="259"/>
    </row>
    <row r="368" spans="1:8" ht="14.25" customHeight="1" x14ac:dyDescent="0.3">
      <c r="A368" s="261">
        <v>44462</v>
      </c>
      <c r="B368" s="262">
        <v>17822.94921875</v>
      </c>
      <c r="C368" s="262">
        <v>4409.89990234375</v>
      </c>
      <c r="D368" s="259"/>
      <c r="E368" s="263">
        <f t="shared" si="10"/>
        <v>1.5746528367181906E-2</v>
      </c>
      <c r="F368" s="263">
        <f t="shared" si="11"/>
        <v>7.1369030858742287E-3</v>
      </c>
      <c r="G368" s="259"/>
      <c r="H368" s="259"/>
    </row>
    <row r="369" spans="1:8" ht="14.25" customHeight="1" x14ac:dyDescent="0.3">
      <c r="A369" s="261">
        <v>44463</v>
      </c>
      <c r="B369" s="262">
        <v>17853.19921875</v>
      </c>
      <c r="C369" s="262">
        <v>4422.35009765625</v>
      </c>
      <c r="D369" s="259"/>
      <c r="E369" s="263">
        <f t="shared" si="10"/>
        <v>1.6972499684943592E-3</v>
      </c>
      <c r="F369" s="263">
        <f t="shared" si="11"/>
        <v>2.8232376217616722E-3</v>
      </c>
      <c r="G369" s="259"/>
      <c r="H369" s="259"/>
    </row>
    <row r="370" spans="1:8" ht="14.25" customHeight="1" x14ac:dyDescent="0.3">
      <c r="A370" s="261">
        <v>44466</v>
      </c>
      <c r="B370" s="262">
        <v>17855.099609375</v>
      </c>
      <c r="C370" s="262">
        <v>4385.75</v>
      </c>
      <c r="D370" s="259"/>
      <c r="E370" s="263">
        <f t="shared" si="10"/>
        <v>1.0644538279750718E-4</v>
      </c>
      <c r="F370" s="263">
        <f t="shared" si="11"/>
        <v>-8.2761646744447612E-3</v>
      </c>
      <c r="G370" s="259"/>
      <c r="H370" s="259"/>
    </row>
    <row r="371" spans="1:8" ht="14.25" customHeight="1" x14ac:dyDescent="0.3">
      <c r="A371" s="261">
        <v>44467</v>
      </c>
      <c r="B371" s="262">
        <v>17748.599609375</v>
      </c>
      <c r="C371" s="262">
        <v>4315.75</v>
      </c>
      <c r="D371" s="259"/>
      <c r="E371" s="263">
        <f t="shared" si="10"/>
        <v>-5.9646824901543032E-3</v>
      </c>
      <c r="F371" s="263">
        <f t="shared" si="11"/>
        <v>-1.5960782078321838E-2</v>
      </c>
      <c r="G371" s="259"/>
      <c r="H371" s="259"/>
    </row>
    <row r="372" spans="1:8" ht="14.25" customHeight="1" x14ac:dyDescent="0.3">
      <c r="A372" s="261">
        <v>44468</v>
      </c>
      <c r="B372" s="262">
        <v>17711.30078125</v>
      </c>
      <c r="C372" s="262">
        <v>4251.2001953125</v>
      </c>
      <c r="D372" s="259"/>
      <c r="E372" s="263">
        <f t="shared" si="10"/>
        <v>-2.1015082285871364E-3</v>
      </c>
      <c r="F372" s="263">
        <f t="shared" si="11"/>
        <v>-1.4956798861727395E-2</v>
      </c>
      <c r="G372" s="259"/>
      <c r="H372" s="259"/>
    </row>
    <row r="373" spans="1:8" ht="14.25" customHeight="1" x14ac:dyDescent="0.3">
      <c r="A373" s="261">
        <v>44469</v>
      </c>
      <c r="B373" s="262">
        <v>17618.150390625</v>
      </c>
      <c r="C373" s="262">
        <v>4250.2001953125</v>
      </c>
      <c r="D373" s="259"/>
      <c r="E373" s="263">
        <f t="shared" si="10"/>
        <v>-5.2593760207388773E-3</v>
      </c>
      <c r="F373" s="263">
        <f t="shared" si="11"/>
        <v>-2.3522768960695614E-4</v>
      </c>
      <c r="G373" s="259"/>
      <c r="H373" s="259"/>
    </row>
    <row r="374" spans="1:8" ht="14.25" customHeight="1" x14ac:dyDescent="0.3">
      <c r="A374" s="261">
        <v>44470</v>
      </c>
      <c r="B374" s="262">
        <v>17532.05078125</v>
      </c>
      <c r="C374" s="262">
        <v>4235.60009765625</v>
      </c>
      <c r="D374" s="259"/>
      <c r="E374" s="263">
        <f t="shared" si="10"/>
        <v>-4.8869834497959255E-3</v>
      </c>
      <c r="F374" s="263">
        <f t="shared" si="11"/>
        <v>-3.4351552833563675E-3</v>
      </c>
      <c r="G374" s="259"/>
      <c r="H374" s="259"/>
    </row>
    <row r="375" spans="1:8" ht="14.25" customHeight="1" x14ac:dyDescent="0.3">
      <c r="A375" s="261">
        <v>44473</v>
      </c>
      <c r="B375" s="262">
        <v>17691.25</v>
      </c>
      <c r="C375" s="262">
        <v>4257.35009765625</v>
      </c>
      <c r="D375" s="259"/>
      <c r="E375" s="263">
        <f t="shared" si="10"/>
        <v>9.080467581137671E-3</v>
      </c>
      <c r="F375" s="263">
        <f t="shared" si="11"/>
        <v>5.1350456838536911E-3</v>
      </c>
      <c r="G375" s="259"/>
      <c r="H375" s="259"/>
    </row>
    <row r="376" spans="1:8" ht="14.25" customHeight="1" x14ac:dyDescent="0.3">
      <c r="A376" s="261">
        <v>44474</v>
      </c>
      <c r="B376" s="262">
        <v>17822.30078125</v>
      </c>
      <c r="C376" s="262">
        <v>4257.2998046875</v>
      </c>
      <c r="D376" s="259"/>
      <c r="E376" s="263">
        <f t="shared" si="10"/>
        <v>7.4076609199463014E-3</v>
      </c>
      <c r="F376" s="263">
        <f t="shared" si="11"/>
        <v>-1.1813209530897449E-5</v>
      </c>
      <c r="G376" s="259"/>
      <c r="H376" s="259"/>
    </row>
    <row r="377" spans="1:8" ht="14.25" customHeight="1" x14ac:dyDescent="0.3">
      <c r="A377" s="261">
        <v>44475</v>
      </c>
      <c r="B377" s="262">
        <v>17646</v>
      </c>
      <c r="C377" s="262">
        <v>4218.5498046875</v>
      </c>
      <c r="D377" s="259"/>
      <c r="E377" s="263">
        <f t="shared" si="10"/>
        <v>-9.8921448702895716E-3</v>
      </c>
      <c r="F377" s="263">
        <f t="shared" si="11"/>
        <v>-9.1020134305162901E-3</v>
      </c>
      <c r="G377" s="259"/>
      <c r="H377" s="259"/>
    </row>
    <row r="378" spans="1:8" ht="14.25" customHeight="1" x14ac:dyDescent="0.3">
      <c r="A378" s="261">
        <v>44476</v>
      </c>
      <c r="B378" s="262">
        <v>17790.349609375</v>
      </c>
      <c r="C378" s="262">
        <v>4311.7001953125</v>
      </c>
      <c r="D378" s="259"/>
      <c r="E378" s="263">
        <f t="shared" si="10"/>
        <v>8.1803020160376282E-3</v>
      </c>
      <c r="F378" s="263">
        <f t="shared" si="11"/>
        <v>2.2081140424487736E-2</v>
      </c>
      <c r="G378" s="259"/>
      <c r="H378" s="259"/>
    </row>
    <row r="379" spans="1:8" ht="14.25" customHeight="1" x14ac:dyDescent="0.3">
      <c r="A379" s="261">
        <v>44477</v>
      </c>
      <c r="B379" s="262">
        <v>17895.19921875</v>
      </c>
      <c r="C379" s="262">
        <v>4407.9501953125</v>
      </c>
      <c r="D379" s="259"/>
      <c r="E379" s="263">
        <f t="shared" si="10"/>
        <v>5.8936227604963589E-3</v>
      </c>
      <c r="F379" s="263">
        <f t="shared" si="11"/>
        <v>2.2322980643375661E-2</v>
      </c>
      <c r="G379" s="259"/>
      <c r="H379" s="259"/>
    </row>
    <row r="380" spans="1:8" ht="14.25" customHeight="1" x14ac:dyDescent="0.3">
      <c r="A380" s="261">
        <v>44480</v>
      </c>
      <c r="B380" s="262">
        <v>17945.94921875</v>
      </c>
      <c r="C380" s="262">
        <v>4719.4501953125</v>
      </c>
      <c r="D380" s="259"/>
      <c r="E380" s="263">
        <f t="shared" si="10"/>
        <v>2.8359561343595336E-3</v>
      </c>
      <c r="F380" s="263">
        <f t="shared" si="11"/>
        <v>7.0667767601198209E-2</v>
      </c>
      <c r="G380" s="259"/>
      <c r="H380" s="259"/>
    </row>
    <row r="381" spans="1:8" ht="14.25" customHeight="1" x14ac:dyDescent="0.3">
      <c r="A381" s="261">
        <v>44481</v>
      </c>
      <c r="B381" s="262">
        <v>17991.94921875</v>
      </c>
      <c r="C381" s="262">
        <v>4739</v>
      </c>
      <c r="D381" s="259"/>
      <c r="E381" s="263">
        <f t="shared" si="10"/>
        <v>2.5632525445875558E-3</v>
      </c>
      <c r="F381" s="263">
        <f t="shared" si="11"/>
        <v>4.1423902951486713E-3</v>
      </c>
      <c r="G381" s="259"/>
      <c r="H381" s="259"/>
    </row>
    <row r="382" spans="1:8" ht="14.25" customHeight="1" x14ac:dyDescent="0.3">
      <c r="A382" s="261">
        <v>44482</v>
      </c>
      <c r="B382" s="262">
        <v>18161.75</v>
      </c>
      <c r="C382" s="262">
        <v>5117.14990234375</v>
      </c>
      <c r="D382" s="259"/>
      <c r="E382" s="263">
        <f t="shared" si="10"/>
        <v>9.4375978492116375E-3</v>
      </c>
      <c r="F382" s="263">
        <f t="shared" si="11"/>
        <v>7.979529486046634E-2</v>
      </c>
      <c r="G382" s="259"/>
      <c r="H382" s="259"/>
    </row>
    <row r="383" spans="1:8" ht="14.25" customHeight="1" x14ac:dyDescent="0.3">
      <c r="A383" s="261">
        <v>44483</v>
      </c>
      <c r="B383" s="262">
        <v>18338.55078125</v>
      </c>
      <c r="C383" s="262">
        <v>5323.75</v>
      </c>
      <c r="D383" s="259"/>
      <c r="E383" s="263">
        <f t="shared" si="10"/>
        <v>9.7347877407188178E-3</v>
      </c>
      <c r="F383" s="263">
        <f t="shared" si="11"/>
        <v>4.0374056183428063E-2</v>
      </c>
      <c r="G383" s="259"/>
      <c r="H383" s="259"/>
    </row>
    <row r="384" spans="1:8" ht="14.25" customHeight="1" x14ac:dyDescent="0.3">
      <c r="A384" s="261">
        <v>44487</v>
      </c>
      <c r="B384" s="262">
        <v>18477.05078125</v>
      </c>
      <c r="C384" s="262">
        <v>4897.7998046875</v>
      </c>
      <c r="D384" s="259"/>
      <c r="E384" s="263">
        <f t="shared" si="10"/>
        <v>7.5523961327198996E-3</v>
      </c>
      <c r="F384" s="263">
        <f t="shared" si="11"/>
        <v>-8.0009428563042967E-2</v>
      </c>
      <c r="G384" s="259"/>
      <c r="H384" s="259"/>
    </row>
    <row r="385" spans="1:8" ht="14.25" customHeight="1" x14ac:dyDescent="0.3">
      <c r="A385" s="261">
        <v>44488</v>
      </c>
      <c r="B385" s="262">
        <v>18418.75</v>
      </c>
      <c r="C385" s="262">
        <v>4754.5498046875</v>
      </c>
      <c r="D385" s="259"/>
      <c r="E385" s="263">
        <f t="shared" si="10"/>
        <v>-3.1553077349964326E-3</v>
      </c>
      <c r="F385" s="263">
        <f t="shared" si="11"/>
        <v>-2.9247826720663596E-2</v>
      </c>
      <c r="G385" s="259"/>
      <c r="H385" s="259"/>
    </row>
    <row r="386" spans="1:8" ht="14.25" customHeight="1" x14ac:dyDescent="0.3">
      <c r="A386" s="261">
        <v>44489</v>
      </c>
      <c r="B386" s="262">
        <v>18266.599609375</v>
      </c>
      <c r="C386" s="262">
        <v>4596.39990234375</v>
      </c>
      <c r="D386" s="259"/>
      <c r="E386" s="263">
        <f t="shared" si="10"/>
        <v>-8.2606252120800815E-3</v>
      </c>
      <c r="F386" s="263">
        <f t="shared" si="11"/>
        <v>-3.3262855336551607E-2</v>
      </c>
      <c r="G386" s="259"/>
      <c r="H386" s="259"/>
    </row>
    <row r="387" spans="1:8" ht="14.25" customHeight="1" x14ac:dyDescent="0.3">
      <c r="A387" s="261">
        <v>44490</v>
      </c>
      <c r="B387" s="262">
        <v>18178.099609375</v>
      </c>
      <c r="C387" s="262">
        <v>4521.25</v>
      </c>
      <c r="D387" s="259"/>
      <c r="E387" s="263">
        <f t="shared" ref="E387:E450" si="12">(B387-B386)/B386</f>
        <v>-4.8449082967023036E-3</v>
      </c>
      <c r="F387" s="263">
        <f t="shared" ref="F387:F450" si="13">(C387-C386)/C386</f>
        <v>-1.6349731080933648E-2</v>
      </c>
      <c r="G387" s="259"/>
      <c r="H387" s="259"/>
    </row>
    <row r="388" spans="1:8" ht="14.25" customHeight="1" x14ac:dyDescent="0.3">
      <c r="A388" s="261">
        <v>44491</v>
      </c>
      <c r="B388" s="262">
        <v>18114.900390625</v>
      </c>
      <c r="C388" s="262">
        <v>4521.4501953125</v>
      </c>
      <c r="D388" s="259"/>
      <c r="E388" s="263">
        <f t="shared" si="12"/>
        <v>-3.4766680845673349E-3</v>
      </c>
      <c r="F388" s="263">
        <f t="shared" si="13"/>
        <v>4.4278753110312413E-5</v>
      </c>
      <c r="G388" s="259"/>
      <c r="H388" s="259"/>
    </row>
    <row r="389" spans="1:8" ht="14.25" customHeight="1" x14ac:dyDescent="0.3">
      <c r="A389" s="261">
        <v>44494</v>
      </c>
      <c r="B389" s="262">
        <v>18125.400390625</v>
      </c>
      <c r="C389" s="262">
        <v>4400.60009765625</v>
      </c>
      <c r="D389" s="259"/>
      <c r="E389" s="263">
        <f t="shared" si="12"/>
        <v>5.7963332801068358E-4</v>
      </c>
      <c r="F389" s="263">
        <f t="shared" si="13"/>
        <v>-2.6728171811233995E-2</v>
      </c>
      <c r="G389" s="259"/>
      <c r="H389" s="259"/>
    </row>
    <row r="390" spans="1:8" ht="14.25" customHeight="1" x14ac:dyDescent="0.3">
      <c r="A390" s="261">
        <v>44495</v>
      </c>
      <c r="B390" s="262">
        <v>18268.400390625</v>
      </c>
      <c r="C390" s="262">
        <v>4568.5</v>
      </c>
      <c r="D390" s="259"/>
      <c r="E390" s="263">
        <f t="shared" si="12"/>
        <v>7.8894808897001737E-3</v>
      </c>
      <c r="F390" s="263">
        <f t="shared" si="13"/>
        <v>3.8153865067896787E-2</v>
      </c>
      <c r="G390" s="259"/>
      <c r="H390" s="259"/>
    </row>
    <row r="391" spans="1:8" ht="14.25" customHeight="1" x14ac:dyDescent="0.3">
      <c r="A391" s="261">
        <v>44496</v>
      </c>
      <c r="B391" s="262">
        <v>18210.94921875</v>
      </c>
      <c r="C391" s="262">
        <v>4733</v>
      </c>
      <c r="D391" s="259"/>
      <c r="E391" s="263">
        <f t="shared" si="12"/>
        <v>-3.144838663842887E-3</v>
      </c>
      <c r="F391" s="263">
        <f t="shared" si="13"/>
        <v>3.6007442267702749E-2</v>
      </c>
      <c r="G391" s="259"/>
      <c r="H391" s="259"/>
    </row>
    <row r="392" spans="1:8" ht="14.25" customHeight="1" x14ac:dyDescent="0.3">
      <c r="A392" s="261">
        <v>44497</v>
      </c>
      <c r="B392" s="262">
        <v>17857.25</v>
      </c>
      <c r="C392" s="262">
        <v>4675.64990234375</v>
      </c>
      <c r="D392" s="259"/>
      <c r="E392" s="263">
        <f t="shared" si="12"/>
        <v>-1.942233842406365E-2</v>
      </c>
      <c r="F392" s="263">
        <f t="shared" si="13"/>
        <v>-1.2117071129568984E-2</v>
      </c>
      <c r="G392" s="259"/>
      <c r="H392" s="259"/>
    </row>
    <row r="393" spans="1:8" ht="14.25" customHeight="1" x14ac:dyDescent="0.3">
      <c r="A393" s="261">
        <v>44498</v>
      </c>
      <c r="B393" s="262">
        <v>17671.650390625</v>
      </c>
      <c r="C393" s="262">
        <v>4635.4501953125</v>
      </c>
      <c r="D393" s="259"/>
      <c r="E393" s="263">
        <f t="shared" si="12"/>
        <v>-1.0393515763905417E-2</v>
      </c>
      <c r="F393" s="263">
        <f t="shared" si="13"/>
        <v>-8.5976725954394501E-3</v>
      </c>
      <c r="G393" s="259"/>
      <c r="H393" s="259"/>
    </row>
    <row r="394" spans="1:8" ht="14.25" customHeight="1" x14ac:dyDescent="0.3">
      <c r="A394" s="261">
        <v>44501</v>
      </c>
      <c r="B394" s="262">
        <v>17929.650390625</v>
      </c>
      <c r="C394" s="262">
        <v>4564.75</v>
      </c>
      <c r="D394" s="259"/>
      <c r="E394" s="263">
        <f t="shared" si="12"/>
        <v>1.4599655057507915E-2</v>
      </c>
      <c r="F394" s="263">
        <f t="shared" si="13"/>
        <v>-1.5252066645866254E-2</v>
      </c>
      <c r="G394" s="259"/>
      <c r="H394" s="259"/>
    </row>
    <row r="395" spans="1:8" ht="14.25" customHeight="1" x14ac:dyDescent="0.3">
      <c r="A395" s="261">
        <v>44502</v>
      </c>
      <c r="B395" s="262">
        <v>17888.94921875</v>
      </c>
      <c r="C395" s="262">
        <v>4597.0498046875</v>
      </c>
      <c r="D395" s="259"/>
      <c r="E395" s="263">
        <f t="shared" si="12"/>
        <v>-2.2700482713417379E-3</v>
      </c>
      <c r="F395" s="263">
        <f t="shared" si="13"/>
        <v>7.0759197519031708E-3</v>
      </c>
      <c r="G395" s="259"/>
      <c r="H395" s="259"/>
    </row>
    <row r="396" spans="1:8" ht="14.25" customHeight="1" x14ac:dyDescent="0.3">
      <c r="A396" s="261">
        <v>44503</v>
      </c>
      <c r="B396" s="262">
        <v>17829.19921875</v>
      </c>
      <c r="C396" s="262">
        <v>4741.2998046875</v>
      </c>
      <c r="D396" s="259"/>
      <c r="E396" s="263">
        <f t="shared" si="12"/>
        <v>-3.3400508475575552E-3</v>
      </c>
      <c r="F396" s="263">
        <f t="shared" si="13"/>
        <v>3.137882035842026E-2</v>
      </c>
      <c r="G396" s="259"/>
      <c r="H396" s="259"/>
    </row>
    <row r="397" spans="1:8" ht="14.25" customHeight="1" x14ac:dyDescent="0.3">
      <c r="A397" s="261">
        <v>44504</v>
      </c>
      <c r="B397" s="262">
        <v>17916.80078125</v>
      </c>
      <c r="C397" s="262">
        <v>4783.7001953125</v>
      </c>
      <c r="D397" s="259"/>
      <c r="E397" s="263">
        <f t="shared" si="12"/>
        <v>4.9133761659847404E-3</v>
      </c>
      <c r="F397" s="263">
        <f t="shared" si="13"/>
        <v>8.9427777975737213E-3</v>
      </c>
      <c r="G397" s="259"/>
      <c r="H397" s="259"/>
    </row>
    <row r="398" spans="1:8" ht="14.25" customHeight="1" x14ac:dyDescent="0.3">
      <c r="A398" s="261">
        <v>44508</v>
      </c>
      <c r="B398" s="262">
        <v>18068.55078125</v>
      </c>
      <c r="C398" s="262">
        <v>4748.5</v>
      </c>
      <c r="D398" s="259"/>
      <c r="E398" s="263">
        <f t="shared" si="12"/>
        <v>8.4697040421863115E-3</v>
      </c>
      <c r="F398" s="263">
        <f t="shared" si="13"/>
        <v>-7.3583614932625418E-3</v>
      </c>
      <c r="G398" s="259"/>
      <c r="H398" s="259"/>
    </row>
    <row r="399" spans="1:8" ht="14.25" customHeight="1" x14ac:dyDescent="0.3">
      <c r="A399" s="261">
        <v>44509</v>
      </c>
      <c r="B399" s="262">
        <v>18044.25</v>
      </c>
      <c r="C399" s="262">
        <v>4757.14990234375</v>
      </c>
      <c r="D399" s="259"/>
      <c r="E399" s="263">
        <f t="shared" si="12"/>
        <v>-1.3449214352717915E-3</v>
      </c>
      <c r="F399" s="263">
        <f t="shared" si="13"/>
        <v>1.8216073167842477E-3</v>
      </c>
      <c r="G399" s="259"/>
      <c r="H399" s="259"/>
    </row>
    <row r="400" spans="1:8" ht="14.25" customHeight="1" x14ac:dyDescent="0.3">
      <c r="A400" s="261">
        <v>44510</v>
      </c>
      <c r="B400" s="262">
        <v>18017.19921875</v>
      </c>
      <c r="C400" s="262">
        <v>4960.2998046875</v>
      </c>
      <c r="D400" s="259"/>
      <c r="E400" s="263">
        <f t="shared" si="12"/>
        <v>-1.499135805034845E-3</v>
      </c>
      <c r="F400" s="263">
        <f t="shared" si="13"/>
        <v>4.270412043220715E-2</v>
      </c>
      <c r="G400" s="259"/>
      <c r="H400" s="259"/>
    </row>
    <row r="401" spans="1:8" ht="14.25" customHeight="1" x14ac:dyDescent="0.3">
      <c r="A401" s="261">
        <v>44511</v>
      </c>
      <c r="B401" s="262">
        <v>17873.599609375</v>
      </c>
      <c r="C401" s="262">
        <v>4997.75</v>
      </c>
      <c r="D401" s="259"/>
      <c r="E401" s="263">
        <f t="shared" si="12"/>
        <v>-7.970140510271978E-3</v>
      </c>
      <c r="F401" s="263">
        <f t="shared" si="13"/>
        <v>7.5499862482323026E-3</v>
      </c>
      <c r="G401" s="259"/>
      <c r="H401" s="259"/>
    </row>
    <row r="402" spans="1:8" ht="14.25" customHeight="1" x14ac:dyDescent="0.3">
      <c r="A402" s="261">
        <v>44512</v>
      </c>
      <c r="B402" s="262">
        <v>18102.75</v>
      </c>
      <c r="C402" s="262">
        <v>5078.5498046875</v>
      </c>
      <c r="D402" s="259"/>
      <c r="E402" s="263">
        <f t="shared" si="12"/>
        <v>1.2820606684330492E-2</v>
      </c>
      <c r="F402" s="263">
        <f t="shared" si="13"/>
        <v>1.6167236193787203E-2</v>
      </c>
      <c r="G402" s="259"/>
      <c r="H402" s="259"/>
    </row>
    <row r="403" spans="1:8" ht="14.25" customHeight="1" x14ac:dyDescent="0.3">
      <c r="A403" s="261">
        <v>44515</v>
      </c>
      <c r="B403" s="262">
        <v>18109.44921875</v>
      </c>
      <c r="C403" s="262">
        <v>5023.2998046875</v>
      </c>
      <c r="D403" s="259"/>
      <c r="E403" s="263">
        <f t="shared" si="12"/>
        <v>3.7006635732140142E-4</v>
      </c>
      <c r="F403" s="263">
        <f t="shared" si="13"/>
        <v>-1.0879089922285347E-2</v>
      </c>
      <c r="G403" s="259"/>
      <c r="H403" s="259"/>
    </row>
    <row r="404" spans="1:8" ht="14.25" customHeight="1" x14ac:dyDescent="0.3">
      <c r="A404" s="261">
        <v>44516</v>
      </c>
      <c r="B404" s="262">
        <v>17999.19921875</v>
      </c>
      <c r="C404" s="262">
        <v>5081.5</v>
      </c>
      <c r="D404" s="259"/>
      <c r="E404" s="263">
        <f t="shared" si="12"/>
        <v>-6.0879819517564533E-3</v>
      </c>
      <c r="F404" s="263">
        <f t="shared" si="13"/>
        <v>1.1586048528935182E-2</v>
      </c>
      <c r="G404" s="259"/>
      <c r="H404" s="259"/>
    </row>
    <row r="405" spans="1:8" ht="14.25" customHeight="1" x14ac:dyDescent="0.3">
      <c r="A405" s="261">
        <v>44517</v>
      </c>
      <c r="B405" s="262">
        <v>17898.650390625</v>
      </c>
      <c r="C405" s="262">
        <v>5126.39990234375</v>
      </c>
      <c r="D405" s="259"/>
      <c r="E405" s="263">
        <f t="shared" si="12"/>
        <v>-5.5862945291619958E-3</v>
      </c>
      <c r="F405" s="263">
        <f t="shared" si="13"/>
        <v>8.8359544118370558E-3</v>
      </c>
      <c r="G405" s="259"/>
      <c r="H405" s="259"/>
    </row>
    <row r="406" spans="1:8" ht="14.25" customHeight="1" x14ac:dyDescent="0.3">
      <c r="A406" s="261">
        <v>44518</v>
      </c>
      <c r="B406" s="262">
        <v>17764.80078125</v>
      </c>
      <c r="C406" s="262">
        <v>5080.89990234375</v>
      </c>
      <c r="D406" s="259"/>
      <c r="E406" s="263">
        <f t="shared" si="12"/>
        <v>-7.4781956434608098E-3</v>
      </c>
      <c r="F406" s="263">
        <f t="shared" si="13"/>
        <v>-8.875624388803096E-3</v>
      </c>
      <c r="G406" s="259"/>
      <c r="H406" s="259"/>
    </row>
    <row r="407" spans="1:8" ht="14.25" customHeight="1" x14ac:dyDescent="0.3">
      <c r="A407" s="261">
        <v>44522</v>
      </c>
      <c r="B407" s="262">
        <v>17416.55078125</v>
      </c>
      <c r="C407" s="262">
        <v>4828.2998046875</v>
      </c>
      <c r="D407" s="259"/>
      <c r="E407" s="263">
        <f t="shared" si="12"/>
        <v>-1.96033721001568E-2</v>
      </c>
      <c r="F407" s="263">
        <f t="shared" si="13"/>
        <v>-4.9715621742465153E-2</v>
      </c>
      <c r="G407" s="259"/>
      <c r="H407" s="259"/>
    </row>
    <row r="408" spans="1:8" ht="14.25" customHeight="1" x14ac:dyDescent="0.3">
      <c r="A408" s="261">
        <v>44523</v>
      </c>
      <c r="B408" s="262">
        <v>17503.349609375</v>
      </c>
      <c r="C408" s="262">
        <v>4843.2998046875</v>
      </c>
      <c r="D408" s="259"/>
      <c r="E408" s="263">
        <f t="shared" si="12"/>
        <v>4.9836979327987458E-3</v>
      </c>
      <c r="F408" s="263">
        <f t="shared" si="13"/>
        <v>3.1066836374653911E-3</v>
      </c>
      <c r="G408" s="259"/>
      <c r="H408" s="259"/>
    </row>
    <row r="409" spans="1:8" ht="14.25" customHeight="1" x14ac:dyDescent="0.3">
      <c r="A409" s="261">
        <v>44524</v>
      </c>
      <c r="B409" s="262">
        <v>17415.05078125</v>
      </c>
      <c r="C409" s="262">
        <v>4882.60009765625</v>
      </c>
      <c r="D409" s="259"/>
      <c r="E409" s="263">
        <f t="shared" si="12"/>
        <v>-5.0446817378146927E-3</v>
      </c>
      <c r="F409" s="263">
        <f t="shared" si="13"/>
        <v>8.1143630486623861E-3</v>
      </c>
      <c r="G409" s="259"/>
      <c r="H409" s="259"/>
    </row>
    <row r="410" spans="1:8" ht="14.25" customHeight="1" x14ac:dyDescent="0.3">
      <c r="A410" s="261">
        <v>44525</v>
      </c>
      <c r="B410" s="262">
        <v>17536.25</v>
      </c>
      <c r="C410" s="262">
        <v>4894.5</v>
      </c>
      <c r="D410" s="259"/>
      <c r="E410" s="263">
        <f t="shared" si="12"/>
        <v>6.9594525030320176E-3</v>
      </c>
      <c r="F410" s="263">
        <f t="shared" si="13"/>
        <v>2.4372060184618032E-3</v>
      </c>
      <c r="G410" s="259"/>
      <c r="H410" s="259"/>
    </row>
    <row r="411" spans="1:8" ht="14.25" customHeight="1" x14ac:dyDescent="0.3">
      <c r="A411" s="261">
        <v>44526</v>
      </c>
      <c r="B411" s="262">
        <v>17026.44921875</v>
      </c>
      <c r="C411" s="262">
        <v>4718.75</v>
      </c>
      <c r="D411" s="259"/>
      <c r="E411" s="263">
        <f t="shared" si="12"/>
        <v>-2.9071254187753939E-2</v>
      </c>
      <c r="F411" s="263">
        <f t="shared" si="13"/>
        <v>-3.5907651445500052E-2</v>
      </c>
      <c r="G411" s="259"/>
      <c r="H411" s="259"/>
    </row>
    <row r="412" spans="1:8" ht="14.25" customHeight="1" x14ac:dyDescent="0.3">
      <c r="A412" s="261">
        <v>44529</v>
      </c>
      <c r="B412" s="262">
        <v>17053.94921875</v>
      </c>
      <c r="C412" s="262">
        <v>4673.35009765625</v>
      </c>
      <c r="D412" s="259"/>
      <c r="E412" s="263">
        <f t="shared" si="12"/>
        <v>1.615134174289037E-3</v>
      </c>
      <c r="F412" s="263">
        <f t="shared" si="13"/>
        <v>-9.6211713576158948E-3</v>
      </c>
      <c r="G412" s="259"/>
      <c r="H412" s="259"/>
    </row>
    <row r="413" spans="1:8" ht="14.25" customHeight="1" x14ac:dyDescent="0.3">
      <c r="A413" s="261">
        <v>44530</v>
      </c>
      <c r="B413" s="262">
        <v>16983.19921875</v>
      </c>
      <c r="C413" s="262">
        <v>4710.89990234375</v>
      </c>
      <c r="D413" s="259"/>
      <c r="E413" s="263">
        <f t="shared" si="12"/>
        <v>-4.1485991949720222E-3</v>
      </c>
      <c r="F413" s="263">
        <f t="shared" si="13"/>
        <v>8.034879455389346E-3</v>
      </c>
      <c r="G413" s="259"/>
      <c r="H413" s="259"/>
    </row>
    <row r="414" spans="1:8" ht="14.25" customHeight="1" x14ac:dyDescent="0.3">
      <c r="A414" s="261">
        <v>44531</v>
      </c>
      <c r="B414" s="262">
        <v>17166.900390625</v>
      </c>
      <c r="C414" s="262">
        <v>4693.7001953125</v>
      </c>
      <c r="D414" s="259"/>
      <c r="E414" s="263">
        <f t="shared" si="12"/>
        <v>1.0816641170421411E-2</v>
      </c>
      <c r="F414" s="263">
        <f t="shared" si="13"/>
        <v>-3.6510448932894676E-3</v>
      </c>
      <c r="G414" s="259"/>
      <c r="H414" s="259"/>
    </row>
    <row r="415" spans="1:8" ht="14.25" customHeight="1" x14ac:dyDescent="0.3">
      <c r="A415" s="261">
        <v>44532</v>
      </c>
      <c r="B415" s="262">
        <v>17401.650390625</v>
      </c>
      <c r="C415" s="262">
        <v>4782.9501953125</v>
      </c>
      <c r="D415" s="259"/>
      <c r="E415" s="263">
        <f t="shared" si="12"/>
        <v>1.3674571102433792E-2</v>
      </c>
      <c r="F415" s="263">
        <f t="shared" si="13"/>
        <v>1.9014848900901705E-2</v>
      </c>
      <c r="G415" s="259"/>
      <c r="H415" s="259"/>
    </row>
    <row r="416" spans="1:8" ht="14.25" customHeight="1" x14ac:dyDescent="0.3">
      <c r="A416" s="261">
        <v>44533</v>
      </c>
      <c r="B416" s="262">
        <v>17196.69921875</v>
      </c>
      <c r="C416" s="262">
        <v>4799.0498046875</v>
      </c>
      <c r="D416" s="259"/>
      <c r="E416" s="263">
        <f t="shared" si="12"/>
        <v>-1.1777685867394267E-2</v>
      </c>
      <c r="F416" s="263">
        <f t="shared" si="13"/>
        <v>3.3660416097952097E-3</v>
      </c>
      <c r="G416" s="259"/>
      <c r="H416" s="259"/>
    </row>
    <row r="417" spans="1:8" ht="14.25" customHeight="1" x14ac:dyDescent="0.3">
      <c r="A417" s="261">
        <v>44536</v>
      </c>
      <c r="B417" s="262">
        <v>16912.25</v>
      </c>
      <c r="C417" s="262">
        <v>4593.4501953125</v>
      </c>
      <c r="D417" s="259"/>
      <c r="E417" s="263">
        <f t="shared" si="12"/>
        <v>-1.6540919575999662E-2</v>
      </c>
      <c r="F417" s="263">
        <f t="shared" si="13"/>
        <v>-4.2841732789307453E-2</v>
      </c>
      <c r="G417" s="259"/>
      <c r="H417" s="259"/>
    </row>
    <row r="418" spans="1:8" ht="14.25" customHeight="1" x14ac:dyDescent="0.3">
      <c r="A418" s="261">
        <v>44537</v>
      </c>
      <c r="B418" s="262">
        <v>17176.69921875</v>
      </c>
      <c r="C418" s="262">
        <v>4660.64990234375</v>
      </c>
      <c r="D418" s="259"/>
      <c r="E418" s="263">
        <f t="shared" si="12"/>
        <v>1.5636548581649395E-2</v>
      </c>
      <c r="F418" s="263">
        <f t="shared" si="13"/>
        <v>1.4629462424524731E-2</v>
      </c>
      <c r="G418" s="259"/>
      <c r="H418" s="259"/>
    </row>
    <row r="419" spans="1:8" ht="14.25" customHeight="1" x14ac:dyDescent="0.3">
      <c r="A419" s="261">
        <v>44538</v>
      </c>
      <c r="B419" s="262">
        <v>17469.75</v>
      </c>
      <c r="C419" s="262">
        <v>4814.60009765625</v>
      </c>
      <c r="D419" s="259"/>
      <c r="E419" s="263">
        <f t="shared" si="12"/>
        <v>1.7060948527881727E-2</v>
      </c>
      <c r="F419" s="263">
        <f t="shared" si="13"/>
        <v>3.3031915835403436E-2</v>
      </c>
      <c r="G419" s="259"/>
      <c r="H419" s="259"/>
    </row>
    <row r="420" spans="1:8" ht="14.25" customHeight="1" x14ac:dyDescent="0.3">
      <c r="A420" s="261">
        <v>44539</v>
      </c>
      <c r="B420" s="262">
        <v>17516.849609375</v>
      </c>
      <c r="C420" s="262">
        <v>4821.2001953125</v>
      </c>
      <c r="D420" s="259"/>
      <c r="E420" s="263">
        <f t="shared" si="12"/>
        <v>2.6960665936833668E-3</v>
      </c>
      <c r="F420" s="263">
        <f t="shared" si="13"/>
        <v>1.370850646445783E-3</v>
      </c>
      <c r="G420" s="259"/>
      <c r="H420" s="259"/>
    </row>
    <row r="421" spans="1:8" ht="14.25" customHeight="1" x14ac:dyDescent="0.3">
      <c r="A421" s="261">
        <v>44540</v>
      </c>
      <c r="B421" s="262">
        <v>17511.30078125</v>
      </c>
      <c r="C421" s="262">
        <v>4796.60009765625</v>
      </c>
      <c r="D421" s="259"/>
      <c r="E421" s="263">
        <f t="shared" si="12"/>
        <v>-3.1677089480920548E-4</v>
      </c>
      <c r="F421" s="263">
        <f t="shared" si="13"/>
        <v>-5.1024841656996311E-3</v>
      </c>
      <c r="G421" s="259"/>
      <c r="H421" s="259"/>
    </row>
    <row r="422" spans="1:8" ht="14.25" customHeight="1" x14ac:dyDescent="0.3">
      <c r="A422" s="261">
        <v>44543</v>
      </c>
      <c r="B422" s="262">
        <v>17368.25</v>
      </c>
      <c r="C422" s="262">
        <v>4765.7998046875</v>
      </c>
      <c r="D422" s="259"/>
      <c r="E422" s="263">
        <f t="shared" si="12"/>
        <v>-8.1690551168631508E-3</v>
      </c>
      <c r="F422" s="263">
        <f t="shared" si="13"/>
        <v>-6.4212759749973456E-3</v>
      </c>
      <c r="G422" s="259"/>
      <c r="H422" s="259"/>
    </row>
    <row r="423" spans="1:8" ht="14.25" customHeight="1" x14ac:dyDescent="0.3">
      <c r="A423" s="261">
        <v>44544</v>
      </c>
      <c r="B423" s="262">
        <v>17324.900390625</v>
      </c>
      <c r="C423" s="262">
        <v>4814.39990234375</v>
      </c>
      <c r="D423" s="259"/>
      <c r="E423" s="263">
        <f t="shared" si="12"/>
        <v>-2.4959111813222402E-3</v>
      </c>
      <c r="F423" s="263">
        <f t="shared" si="13"/>
        <v>1.019767922447107E-2</v>
      </c>
      <c r="G423" s="259"/>
      <c r="H423" s="259"/>
    </row>
    <row r="424" spans="1:8" ht="14.25" customHeight="1" x14ac:dyDescent="0.3">
      <c r="A424" s="261">
        <v>44545</v>
      </c>
      <c r="B424" s="262">
        <v>17221.400390625</v>
      </c>
      <c r="C424" s="262">
        <v>4749.4501953125</v>
      </c>
      <c r="D424" s="259"/>
      <c r="E424" s="263">
        <f t="shared" si="12"/>
        <v>-5.9740603216401067E-3</v>
      </c>
      <c r="F424" s="263">
        <f t="shared" si="13"/>
        <v>-1.3490717088048944E-2</v>
      </c>
      <c r="G424" s="259"/>
      <c r="H424" s="259"/>
    </row>
    <row r="425" spans="1:8" ht="14.25" customHeight="1" x14ac:dyDescent="0.3">
      <c r="A425" s="261">
        <v>44546</v>
      </c>
      <c r="B425" s="262">
        <v>17248.400390625</v>
      </c>
      <c r="C425" s="262">
        <v>4742.10009765625</v>
      </c>
      <c r="D425" s="259"/>
      <c r="E425" s="263">
        <f t="shared" si="12"/>
        <v>1.5678167505296654E-3</v>
      </c>
      <c r="F425" s="263">
        <f t="shared" si="13"/>
        <v>-1.5475681087264007E-3</v>
      </c>
      <c r="G425" s="259"/>
      <c r="H425" s="259"/>
    </row>
    <row r="426" spans="1:8" ht="14.25" customHeight="1" x14ac:dyDescent="0.3">
      <c r="A426" s="261">
        <v>44547</v>
      </c>
      <c r="B426" s="262">
        <v>16985.19921875</v>
      </c>
      <c r="C426" s="262">
        <v>4697.7998046875</v>
      </c>
      <c r="D426" s="259"/>
      <c r="E426" s="263">
        <f t="shared" si="12"/>
        <v>-1.525945397337004E-2</v>
      </c>
      <c r="F426" s="263">
        <f t="shared" si="13"/>
        <v>-9.3419143536521108E-3</v>
      </c>
      <c r="G426" s="259"/>
      <c r="H426" s="259"/>
    </row>
    <row r="427" spans="1:8" ht="14.25" customHeight="1" x14ac:dyDescent="0.3">
      <c r="A427" s="261">
        <v>44550</v>
      </c>
      <c r="B427" s="262">
        <v>16614.19921875</v>
      </c>
      <c r="C427" s="262">
        <v>4618.9501953125</v>
      </c>
      <c r="D427" s="259"/>
      <c r="E427" s="263">
        <f t="shared" si="12"/>
        <v>-2.1842546279377886E-2</v>
      </c>
      <c r="F427" s="263">
        <f t="shared" si="13"/>
        <v>-1.6784369844011503E-2</v>
      </c>
      <c r="G427" s="259"/>
      <c r="H427" s="259"/>
    </row>
    <row r="428" spans="1:8" ht="14.25" customHeight="1" x14ac:dyDescent="0.3">
      <c r="A428" s="261">
        <v>44551</v>
      </c>
      <c r="B428" s="262">
        <v>16770.849609375</v>
      </c>
      <c r="C428" s="262">
        <v>4587.39990234375</v>
      </c>
      <c r="D428" s="259"/>
      <c r="E428" s="263">
        <f t="shared" si="12"/>
        <v>9.4287054442089378E-3</v>
      </c>
      <c r="F428" s="263">
        <f t="shared" si="13"/>
        <v>-6.8306198669924028E-3</v>
      </c>
      <c r="G428" s="259"/>
      <c r="H428" s="259"/>
    </row>
    <row r="429" spans="1:8" ht="14.25" customHeight="1" x14ac:dyDescent="0.3">
      <c r="A429" s="261">
        <v>44552</v>
      </c>
      <c r="B429" s="262">
        <v>16955.44921875</v>
      </c>
      <c r="C429" s="262">
        <v>4655.85009765625</v>
      </c>
      <c r="D429" s="259"/>
      <c r="E429" s="263">
        <f t="shared" si="12"/>
        <v>1.1007170994593368E-2</v>
      </c>
      <c r="F429" s="263">
        <f t="shared" si="13"/>
        <v>1.4921349080015476E-2</v>
      </c>
      <c r="G429" s="259"/>
      <c r="H429" s="259"/>
    </row>
    <row r="430" spans="1:8" ht="14.25" customHeight="1" x14ac:dyDescent="0.3">
      <c r="A430" s="261">
        <v>44553</v>
      </c>
      <c r="B430" s="262">
        <v>17072.599609375</v>
      </c>
      <c r="C430" s="262">
        <v>4647.89990234375</v>
      </c>
      <c r="D430" s="259"/>
      <c r="E430" s="263">
        <f t="shared" si="12"/>
        <v>6.9093062126275315E-3</v>
      </c>
      <c r="F430" s="263">
        <f t="shared" si="13"/>
        <v>-1.7075711515072446E-3</v>
      </c>
      <c r="G430" s="259"/>
      <c r="H430" s="259"/>
    </row>
    <row r="431" spans="1:8" ht="14.25" customHeight="1" x14ac:dyDescent="0.3">
      <c r="A431" s="261">
        <v>44554</v>
      </c>
      <c r="B431" s="262">
        <v>17003.75</v>
      </c>
      <c r="C431" s="262">
        <v>4628.89990234375</v>
      </c>
      <c r="D431" s="259"/>
      <c r="E431" s="263">
        <f t="shared" si="12"/>
        <v>-4.0327548791803756E-3</v>
      </c>
      <c r="F431" s="263">
        <f t="shared" si="13"/>
        <v>-4.0878677250383681E-3</v>
      </c>
      <c r="G431" s="259"/>
      <c r="H431" s="259"/>
    </row>
    <row r="432" spans="1:8" ht="14.25" customHeight="1" x14ac:dyDescent="0.3">
      <c r="A432" s="261">
        <v>44557</v>
      </c>
      <c r="B432" s="262">
        <v>17086.25</v>
      </c>
      <c r="C432" s="262">
        <v>4668.64990234375</v>
      </c>
      <c r="D432" s="259"/>
      <c r="E432" s="263">
        <f t="shared" si="12"/>
        <v>4.8518709108284937E-3</v>
      </c>
      <c r="F432" s="263">
        <f t="shared" si="13"/>
        <v>8.5873535480586634E-3</v>
      </c>
      <c r="G432" s="259"/>
      <c r="H432" s="259"/>
    </row>
    <row r="433" spans="1:8" ht="14.25" customHeight="1" x14ac:dyDescent="0.3">
      <c r="A433" s="261">
        <v>44558</v>
      </c>
      <c r="B433" s="262">
        <v>17233.25</v>
      </c>
      <c r="C433" s="262">
        <v>4721.9501953125</v>
      </c>
      <c r="D433" s="259"/>
      <c r="E433" s="263">
        <f t="shared" si="12"/>
        <v>8.6034091740434561E-3</v>
      </c>
      <c r="F433" s="263">
        <f t="shared" si="13"/>
        <v>1.1416639517559937E-2</v>
      </c>
      <c r="G433" s="259"/>
      <c r="H433" s="259"/>
    </row>
    <row r="434" spans="1:8" ht="14.25" customHeight="1" x14ac:dyDescent="0.3">
      <c r="A434" s="261">
        <v>44559</v>
      </c>
      <c r="B434" s="262">
        <v>17213.599609375</v>
      </c>
      <c r="C434" s="262">
        <v>4683.9501953125</v>
      </c>
      <c r="D434" s="259"/>
      <c r="E434" s="263">
        <f t="shared" si="12"/>
        <v>-1.1402602889762524E-3</v>
      </c>
      <c r="F434" s="263">
        <f t="shared" si="13"/>
        <v>-8.047522406679079E-3</v>
      </c>
      <c r="G434" s="259"/>
      <c r="H434" s="259"/>
    </row>
    <row r="435" spans="1:8" ht="14.25" customHeight="1" x14ac:dyDescent="0.3">
      <c r="A435" s="261">
        <v>44560</v>
      </c>
      <c r="B435" s="262">
        <v>17203.94921875</v>
      </c>
      <c r="C435" s="262">
        <v>4639.35009765625</v>
      </c>
      <c r="D435" s="259"/>
      <c r="E435" s="263">
        <f t="shared" si="12"/>
        <v>-5.606259494814862E-4</v>
      </c>
      <c r="F435" s="263">
        <f t="shared" si="13"/>
        <v>-9.5218983542745394E-3</v>
      </c>
      <c r="G435" s="259"/>
      <c r="H435" s="259"/>
    </row>
    <row r="436" spans="1:8" ht="14.25" customHeight="1" x14ac:dyDescent="0.3">
      <c r="A436" s="261">
        <v>44561</v>
      </c>
      <c r="B436" s="262">
        <v>17354.05078125</v>
      </c>
      <c r="C436" s="262">
        <v>4671.4501953125</v>
      </c>
      <c r="D436" s="259"/>
      <c r="E436" s="263">
        <f t="shared" si="12"/>
        <v>8.7248317576065267E-3</v>
      </c>
      <c r="F436" s="263">
        <f t="shared" si="13"/>
        <v>6.9190936188382561E-3</v>
      </c>
      <c r="G436" s="259"/>
      <c r="H436" s="259"/>
    </row>
    <row r="437" spans="1:8" ht="14.25" customHeight="1" x14ac:dyDescent="0.3">
      <c r="A437" s="261">
        <v>44564</v>
      </c>
      <c r="B437" s="262">
        <v>17625.69921875</v>
      </c>
      <c r="C437" s="262">
        <v>4711.5</v>
      </c>
      <c r="D437" s="259"/>
      <c r="E437" s="263">
        <f t="shared" si="12"/>
        <v>1.565331581220793E-2</v>
      </c>
      <c r="F437" s="263">
        <f t="shared" si="13"/>
        <v>8.5733129998233539E-3</v>
      </c>
      <c r="G437" s="259"/>
      <c r="H437" s="259"/>
    </row>
    <row r="438" spans="1:8" ht="14.25" customHeight="1" x14ac:dyDescent="0.3">
      <c r="A438" s="261">
        <v>44565</v>
      </c>
      <c r="B438" s="262">
        <v>17805.25</v>
      </c>
      <c r="C438" s="262">
        <v>4726.9501953125</v>
      </c>
      <c r="D438" s="259"/>
      <c r="E438" s="263">
        <f t="shared" si="12"/>
        <v>1.0186874235264159E-2</v>
      </c>
      <c r="F438" s="263">
        <f t="shared" si="13"/>
        <v>3.2792518969542608E-3</v>
      </c>
      <c r="G438" s="259"/>
      <c r="H438" s="259"/>
    </row>
    <row r="439" spans="1:8" ht="14.25" customHeight="1" x14ac:dyDescent="0.3">
      <c r="A439" s="261">
        <v>44566</v>
      </c>
      <c r="B439" s="262">
        <v>17925.25</v>
      </c>
      <c r="C439" s="262">
        <v>4687.39990234375</v>
      </c>
      <c r="D439" s="259"/>
      <c r="E439" s="263">
        <f t="shared" si="12"/>
        <v>6.7395852346920151E-3</v>
      </c>
      <c r="F439" s="263">
        <f t="shared" si="13"/>
        <v>-8.3669789895332962E-3</v>
      </c>
      <c r="G439" s="259"/>
      <c r="H439" s="259"/>
    </row>
    <row r="440" spans="1:8" ht="14.25" customHeight="1" x14ac:dyDescent="0.3">
      <c r="A440" s="261">
        <v>44567</v>
      </c>
      <c r="B440" s="262">
        <v>17745.900390625</v>
      </c>
      <c r="C440" s="262">
        <v>4705.64990234375</v>
      </c>
      <c r="D440" s="259"/>
      <c r="E440" s="263">
        <f t="shared" si="12"/>
        <v>-1.0005417462796892E-2</v>
      </c>
      <c r="F440" s="263">
        <f t="shared" si="13"/>
        <v>3.8934164739976218E-3</v>
      </c>
      <c r="G440" s="259"/>
      <c r="H440" s="259"/>
    </row>
    <row r="441" spans="1:8" ht="14.25" customHeight="1" x14ac:dyDescent="0.3">
      <c r="A441" s="261">
        <v>44568</v>
      </c>
      <c r="B441" s="262">
        <v>17812.69921875</v>
      </c>
      <c r="C441" s="262">
        <v>4731.35009765625</v>
      </c>
      <c r="D441" s="259"/>
      <c r="E441" s="263">
        <f t="shared" si="12"/>
        <v>3.7641836511315718E-3</v>
      </c>
      <c r="F441" s="263">
        <f t="shared" si="13"/>
        <v>5.4615612818326043E-3</v>
      </c>
      <c r="G441" s="259"/>
      <c r="H441" s="259"/>
    </row>
    <row r="442" spans="1:8" ht="14.25" customHeight="1" x14ac:dyDescent="0.3">
      <c r="A442" s="261">
        <v>44571</v>
      </c>
      <c r="B442" s="262">
        <v>18003.30078125</v>
      </c>
      <c r="C442" s="262">
        <v>4633.5498046875</v>
      </c>
      <c r="D442" s="259"/>
      <c r="E442" s="263">
        <f t="shared" si="12"/>
        <v>1.0700318921871708E-2</v>
      </c>
      <c r="F442" s="263">
        <f t="shared" si="13"/>
        <v>-2.0670694611501471E-2</v>
      </c>
      <c r="G442" s="259"/>
      <c r="H442" s="259"/>
    </row>
    <row r="443" spans="1:8" ht="14.25" customHeight="1" x14ac:dyDescent="0.3">
      <c r="A443" s="261">
        <v>44572</v>
      </c>
      <c r="B443" s="262">
        <v>18055.75</v>
      </c>
      <c r="C443" s="262">
        <v>4504.89990234375</v>
      </c>
      <c r="D443" s="259"/>
      <c r="E443" s="263">
        <f t="shared" si="12"/>
        <v>2.9133112526023332E-3</v>
      </c>
      <c r="F443" s="263">
        <f t="shared" si="13"/>
        <v>-2.7764868786691831E-2</v>
      </c>
      <c r="G443" s="259"/>
      <c r="H443" s="259"/>
    </row>
    <row r="444" spans="1:8" ht="14.25" customHeight="1" x14ac:dyDescent="0.3">
      <c r="A444" s="261">
        <v>44573</v>
      </c>
      <c r="B444" s="262">
        <v>18212.349609375</v>
      </c>
      <c r="C444" s="262">
        <v>4276.10009765625</v>
      </c>
      <c r="D444" s="259"/>
      <c r="E444" s="263">
        <f t="shared" si="12"/>
        <v>8.6731157318305808E-3</v>
      </c>
      <c r="F444" s="263">
        <f t="shared" si="13"/>
        <v>-5.0789098458872091E-2</v>
      </c>
      <c r="G444" s="259"/>
      <c r="H444" s="259"/>
    </row>
    <row r="445" spans="1:8" ht="14.25" customHeight="1" x14ac:dyDescent="0.3">
      <c r="A445" s="261">
        <v>44574</v>
      </c>
      <c r="B445" s="262">
        <v>18257.80078125</v>
      </c>
      <c r="C445" s="262">
        <v>4254.60009765625</v>
      </c>
      <c r="D445" s="259"/>
      <c r="E445" s="263">
        <f t="shared" si="12"/>
        <v>2.495623730592319E-3</v>
      </c>
      <c r="F445" s="263">
        <f t="shared" si="13"/>
        <v>-5.027945910757386E-3</v>
      </c>
      <c r="G445" s="259"/>
      <c r="H445" s="259"/>
    </row>
    <row r="446" spans="1:8" ht="14.25" customHeight="1" x14ac:dyDescent="0.3">
      <c r="A446" s="261">
        <v>44575</v>
      </c>
      <c r="B446" s="262">
        <v>18255.75</v>
      </c>
      <c r="C446" s="262">
        <v>4322.7001953125</v>
      </c>
      <c r="D446" s="259"/>
      <c r="E446" s="263">
        <f t="shared" si="12"/>
        <v>-1.1232356375068276E-4</v>
      </c>
      <c r="F446" s="263">
        <f t="shared" si="13"/>
        <v>1.6006227634358536E-2</v>
      </c>
      <c r="G446" s="259"/>
      <c r="H446" s="259"/>
    </row>
    <row r="447" spans="1:8" ht="14.25" customHeight="1" x14ac:dyDescent="0.3">
      <c r="A447" s="261">
        <v>44578</v>
      </c>
      <c r="B447" s="262">
        <v>18308.099609375</v>
      </c>
      <c r="C447" s="262">
        <v>4400.5</v>
      </c>
      <c r="D447" s="259"/>
      <c r="E447" s="263">
        <f t="shared" si="12"/>
        <v>2.867568266162716E-3</v>
      </c>
      <c r="F447" s="263">
        <f t="shared" si="13"/>
        <v>1.7997964506505783E-2</v>
      </c>
      <c r="G447" s="259"/>
      <c r="H447" s="259"/>
    </row>
    <row r="448" spans="1:8" ht="14.25" customHeight="1" x14ac:dyDescent="0.3">
      <c r="A448" s="261">
        <v>44579</v>
      </c>
      <c r="B448" s="262">
        <v>18113.05078125</v>
      </c>
      <c r="C448" s="262">
        <v>4441.14990234375</v>
      </c>
      <c r="D448" s="259"/>
      <c r="E448" s="263">
        <f t="shared" si="12"/>
        <v>-1.0653690567923372E-2</v>
      </c>
      <c r="F448" s="263">
        <f t="shared" si="13"/>
        <v>9.2375644458016128E-3</v>
      </c>
      <c r="G448" s="259"/>
      <c r="H448" s="259"/>
    </row>
    <row r="449" spans="1:8" ht="14.25" customHeight="1" x14ac:dyDescent="0.3">
      <c r="A449" s="261">
        <v>44580</v>
      </c>
      <c r="B449" s="262">
        <v>17938.400390625</v>
      </c>
      <c r="C449" s="262">
        <v>4483.39990234375</v>
      </c>
      <c r="D449" s="259"/>
      <c r="E449" s="263">
        <f t="shared" si="12"/>
        <v>-9.642240433941256E-3</v>
      </c>
      <c r="F449" s="263">
        <f t="shared" si="13"/>
        <v>9.5133019440985771E-3</v>
      </c>
      <c r="G449" s="259"/>
      <c r="H449" s="259"/>
    </row>
    <row r="450" spans="1:8" ht="14.25" customHeight="1" x14ac:dyDescent="0.3">
      <c r="A450" s="261">
        <v>44581</v>
      </c>
      <c r="B450" s="262">
        <v>17757</v>
      </c>
      <c r="C450" s="262">
        <v>4483.5498046875</v>
      </c>
      <c r="D450" s="259"/>
      <c r="E450" s="263">
        <f t="shared" si="12"/>
        <v>-1.0112406160797024E-2</v>
      </c>
      <c r="F450" s="263">
        <f t="shared" si="13"/>
        <v>3.3434970561434145E-5</v>
      </c>
      <c r="G450" s="259"/>
      <c r="H450" s="259"/>
    </row>
    <row r="451" spans="1:8" ht="14.25" customHeight="1" x14ac:dyDescent="0.3">
      <c r="A451" s="261">
        <v>44582</v>
      </c>
      <c r="B451" s="262">
        <v>17617.150390625</v>
      </c>
      <c r="C451" s="262">
        <v>4299.7998046875</v>
      </c>
      <c r="D451" s="259"/>
      <c r="E451" s="263">
        <f t="shared" ref="E451:E514" si="14">(B451-B450)/B450</f>
        <v>-7.875745304668582E-3</v>
      </c>
      <c r="F451" s="263">
        <f t="shared" ref="F451:F514" si="15">(C451-C450)/C450</f>
        <v>-4.0983151298529454E-2</v>
      </c>
      <c r="G451" s="259"/>
      <c r="H451" s="259"/>
    </row>
    <row r="452" spans="1:8" ht="14.25" customHeight="1" x14ac:dyDescent="0.3">
      <c r="A452" s="261">
        <v>44585</v>
      </c>
      <c r="B452" s="262">
        <v>17149.099609375</v>
      </c>
      <c r="C452" s="262">
        <v>4035.30004882813</v>
      </c>
      <c r="D452" s="259"/>
      <c r="E452" s="263">
        <f t="shared" si="14"/>
        <v>-2.6567905187383431E-2</v>
      </c>
      <c r="F452" s="263">
        <f t="shared" si="15"/>
        <v>-6.1514435060679121E-2</v>
      </c>
      <c r="G452" s="259"/>
      <c r="H452" s="259"/>
    </row>
    <row r="453" spans="1:8" ht="14.25" customHeight="1" x14ac:dyDescent="0.3">
      <c r="A453" s="261">
        <v>44586</v>
      </c>
      <c r="B453" s="262">
        <v>17277.94921875</v>
      </c>
      <c r="C453" s="262">
        <v>4095.44995117188</v>
      </c>
      <c r="D453" s="259"/>
      <c r="E453" s="263">
        <f t="shared" si="14"/>
        <v>7.5134912216942877E-3</v>
      </c>
      <c r="F453" s="263">
        <f t="shared" si="15"/>
        <v>1.4905930566728938E-2</v>
      </c>
      <c r="G453" s="259"/>
      <c r="H453" s="259"/>
    </row>
    <row r="454" spans="1:8" ht="14.25" customHeight="1" x14ac:dyDescent="0.3">
      <c r="A454" s="261">
        <v>44588</v>
      </c>
      <c r="B454" s="262">
        <v>17110.150390625</v>
      </c>
      <c r="C454" s="262">
        <v>4063.30004882813</v>
      </c>
      <c r="D454" s="259"/>
      <c r="E454" s="263">
        <f t="shared" si="14"/>
        <v>-9.7117329146276816E-3</v>
      </c>
      <c r="F454" s="263">
        <f t="shared" si="15"/>
        <v>-7.8501514429569728E-3</v>
      </c>
      <c r="G454" s="259"/>
      <c r="H454" s="259"/>
    </row>
    <row r="455" spans="1:8" ht="14.25" customHeight="1" x14ac:dyDescent="0.3">
      <c r="A455" s="261">
        <v>44589</v>
      </c>
      <c r="B455" s="262">
        <v>17101.94921875</v>
      </c>
      <c r="C455" s="262">
        <v>4076</v>
      </c>
      <c r="D455" s="259"/>
      <c r="E455" s="263">
        <f t="shared" si="14"/>
        <v>-4.7931617710932507E-4</v>
      </c>
      <c r="F455" s="263">
        <f t="shared" si="15"/>
        <v>3.1255263010992033E-3</v>
      </c>
      <c r="G455" s="259"/>
      <c r="H455" s="259"/>
    </row>
    <row r="456" spans="1:8" ht="14.25" customHeight="1" x14ac:dyDescent="0.3">
      <c r="A456" s="261">
        <v>44592</v>
      </c>
      <c r="B456" s="262">
        <v>17339.849609375</v>
      </c>
      <c r="C456" s="262">
        <v>4114.35009765625</v>
      </c>
      <c r="D456" s="259"/>
      <c r="E456" s="263">
        <f t="shared" si="14"/>
        <v>1.3910717870929826E-2</v>
      </c>
      <c r="F456" s="263">
        <f t="shared" si="15"/>
        <v>9.4087580118375862E-3</v>
      </c>
      <c r="G456" s="259"/>
      <c r="H456" s="259"/>
    </row>
    <row r="457" spans="1:8" ht="14.25" customHeight="1" x14ac:dyDescent="0.3">
      <c r="A457" s="261">
        <v>44593</v>
      </c>
      <c r="B457" s="262">
        <v>17576.849609375</v>
      </c>
      <c r="C457" s="262">
        <v>4225.60009765625</v>
      </c>
      <c r="D457" s="259"/>
      <c r="E457" s="263">
        <f t="shared" si="14"/>
        <v>1.366793861187026E-2</v>
      </c>
      <c r="F457" s="263">
        <f t="shared" si="15"/>
        <v>2.7039507421445209E-2</v>
      </c>
      <c r="G457" s="259"/>
      <c r="H457" s="259"/>
    </row>
    <row r="458" spans="1:8" ht="14.25" customHeight="1" x14ac:dyDescent="0.3">
      <c r="A458" s="261">
        <v>44594</v>
      </c>
      <c r="B458" s="262">
        <v>17780</v>
      </c>
      <c r="C458" s="262">
        <v>4236.64990234375</v>
      </c>
      <c r="D458" s="259"/>
      <c r="E458" s="263">
        <f t="shared" si="14"/>
        <v>1.1557838585399586E-2</v>
      </c>
      <c r="F458" s="263">
        <f t="shared" si="15"/>
        <v>2.6149669708756466E-3</v>
      </c>
      <c r="G458" s="259"/>
      <c r="H458" s="259"/>
    </row>
    <row r="459" spans="1:8" ht="14.25" customHeight="1" x14ac:dyDescent="0.3">
      <c r="A459" s="261">
        <v>44595</v>
      </c>
      <c r="B459" s="262">
        <v>17560.19921875</v>
      </c>
      <c r="C459" s="262">
        <v>4140</v>
      </c>
      <c r="D459" s="259"/>
      <c r="E459" s="263">
        <f t="shared" si="14"/>
        <v>-1.2362248664229471E-2</v>
      </c>
      <c r="F459" s="263">
        <f t="shared" si="15"/>
        <v>-2.2812813088540187E-2</v>
      </c>
      <c r="G459" s="259"/>
      <c r="H459" s="259"/>
    </row>
    <row r="460" spans="1:8" ht="14.25" customHeight="1" x14ac:dyDescent="0.3">
      <c r="A460" s="261">
        <v>44596</v>
      </c>
      <c r="B460" s="262">
        <v>17516.30078125</v>
      </c>
      <c r="C460" s="262">
        <v>4081.89990234375</v>
      </c>
      <c r="D460" s="259"/>
      <c r="E460" s="263">
        <f t="shared" si="14"/>
        <v>-2.4998826581151311E-3</v>
      </c>
      <c r="F460" s="263">
        <f t="shared" si="15"/>
        <v>-1.4033840013586957E-2</v>
      </c>
      <c r="G460" s="259"/>
      <c r="H460" s="259"/>
    </row>
    <row r="461" spans="1:8" ht="14.25" customHeight="1" x14ac:dyDescent="0.3">
      <c r="A461" s="261">
        <v>44599</v>
      </c>
      <c r="B461" s="262">
        <v>17213.599609375</v>
      </c>
      <c r="C461" s="262">
        <v>4073.55004882813</v>
      </c>
      <c r="D461" s="259"/>
      <c r="E461" s="263">
        <f t="shared" si="14"/>
        <v>-1.7281112927623445E-2</v>
      </c>
      <c r="F461" s="263">
        <f t="shared" si="15"/>
        <v>-2.0455801747675559E-3</v>
      </c>
      <c r="G461" s="259"/>
      <c r="H461" s="259"/>
    </row>
    <row r="462" spans="1:8" ht="14.25" customHeight="1" x14ac:dyDescent="0.3">
      <c r="A462" s="261">
        <v>44600</v>
      </c>
      <c r="B462" s="262">
        <v>17266.75</v>
      </c>
      <c r="C462" s="262">
        <v>4015</v>
      </c>
      <c r="D462" s="259"/>
      <c r="E462" s="263">
        <f t="shared" si="14"/>
        <v>3.0876976246184346E-3</v>
      </c>
      <c r="F462" s="263">
        <f t="shared" si="15"/>
        <v>-1.4373224368502248E-2</v>
      </c>
      <c r="G462" s="259"/>
      <c r="H462" s="259"/>
    </row>
    <row r="463" spans="1:8" ht="14.25" customHeight="1" x14ac:dyDescent="0.3">
      <c r="A463" s="261">
        <v>44601</v>
      </c>
      <c r="B463" s="262">
        <v>17463.80078125</v>
      </c>
      <c r="C463" s="262">
        <v>4002.10009765625</v>
      </c>
      <c r="D463" s="259"/>
      <c r="E463" s="263">
        <f t="shared" si="14"/>
        <v>1.1412152330345897E-2</v>
      </c>
      <c r="F463" s="263">
        <f t="shared" si="15"/>
        <v>-3.2129271092777084E-3</v>
      </c>
      <c r="G463" s="259"/>
      <c r="H463" s="259"/>
    </row>
    <row r="464" spans="1:8" ht="14.25" customHeight="1" x14ac:dyDescent="0.3">
      <c r="A464" s="261">
        <v>44602</v>
      </c>
      <c r="B464" s="262">
        <v>17605.849609375</v>
      </c>
      <c r="C464" s="262">
        <v>4162.7001953125</v>
      </c>
      <c r="D464" s="259"/>
      <c r="E464" s="263">
        <f t="shared" si="14"/>
        <v>8.1339010851240717E-3</v>
      </c>
      <c r="F464" s="263">
        <f t="shared" si="15"/>
        <v>4.0128955732592057E-2</v>
      </c>
      <c r="G464" s="259"/>
      <c r="H464" s="259"/>
    </row>
    <row r="465" spans="1:8" ht="14.25" customHeight="1" x14ac:dyDescent="0.3">
      <c r="A465" s="261">
        <v>44603</v>
      </c>
      <c r="B465" s="262">
        <v>17374.75</v>
      </c>
      <c r="C465" s="262">
        <v>4142.25</v>
      </c>
      <c r="D465" s="259"/>
      <c r="E465" s="263">
        <f t="shared" si="14"/>
        <v>-1.3126296912813624E-2</v>
      </c>
      <c r="F465" s="263">
        <f t="shared" si="15"/>
        <v>-4.9127235575428642E-3</v>
      </c>
      <c r="G465" s="259"/>
      <c r="H465" s="259"/>
    </row>
    <row r="466" spans="1:8" ht="14.25" customHeight="1" x14ac:dyDescent="0.3">
      <c r="A466" s="261">
        <v>44606</v>
      </c>
      <c r="B466" s="262">
        <v>16842.80078125</v>
      </c>
      <c r="C466" s="262">
        <v>3979.75</v>
      </c>
      <c r="D466" s="259"/>
      <c r="E466" s="263">
        <f t="shared" si="14"/>
        <v>-3.0616222895293456E-2</v>
      </c>
      <c r="F466" s="263">
        <f t="shared" si="15"/>
        <v>-3.9229887138632388E-2</v>
      </c>
      <c r="G466" s="259"/>
      <c r="H466" s="259"/>
    </row>
    <row r="467" spans="1:8" ht="14.25" customHeight="1" x14ac:dyDescent="0.3">
      <c r="A467" s="261">
        <v>44607</v>
      </c>
      <c r="B467" s="262">
        <v>17352.44921875</v>
      </c>
      <c r="C467" s="262">
        <v>4081.75</v>
      </c>
      <c r="D467" s="259"/>
      <c r="E467" s="263">
        <f t="shared" si="14"/>
        <v>3.0259126383977576E-2</v>
      </c>
      <c r="F467" s="263">
        <f t="shared" si="15"/>
        <v>2.5629750612475657E-2</v>
      </c>
      <c r="G467" s="259"/>
      <c r="H467" s="259"/>
    </row>
    <row r="468" spans="1:8" ht="14.25" customHeight="1" x14ac:dyDescent="0.3">
      <c r="A468" s="261">
        <v>44608</v>
      </c>
      <c r="B468" s="262">
        <v>17322.19921875</v>
      </c>
      <c r="C468" s="262">
        <v>4051.14990234375</v>
      </c>
      <c r="D468" s="259"/>
      <c r="E468" s="263">
        <f t="shared" si="14"/>
        <v>-1.7432697608654399E-3</v>
      </c>
      <c r="F468" s="263">
        <f t="shared" si="15"/>
        <v>-7.4968083925399647E-3</v>
      </c>
      <c r="G468" s="259"/>
      <c r="H468" s="259"/>
    </row>
    <row r="469" spans="1:8" ht="14.25" customHeight="1" x14ac:dyDescent="0.3">
      <c r="A469" s="261">
        <v>44609</v>
      </c>
      <c r="B469" s="262">
        <v>17304.599609375</v>
      </c>
      <c r="C469" s="262">
        <v>4115.39990234375</v>
      </c>
      <c r="D469" s="259"/>
      <c r="E469" s="263">
        <f t="shared" si="14"/>
        <v>-1.0160147191904897E-3</v>
      </c>
      <c r="F469" s="263">
        <f t="shared" si="15"/>
        <v>1.5859694543228046E-2</v>
      </c>
      <c r="G469" s="259"/>
      <c r="H469" s="259"/>
    </row>
    <row r="470" spans="1:8" ht="14.25" customHeight="1" x14ac:dyDescent="0.3">
      <c r="A470" s="261">
        <v>44610</v>
      </c>
      <c r="B470" s="262">
        <v>17276.30078125</v>
      </c>
      <c r="C470" s="262">
        <v>4073.10009765625</v>
      </c>
      <c r="D470" s="259"/>
      <c r="E470" s="263">
        <f t="shared" si="14"/>
        <v>-1.6353356196504385E-3</v>
      </c>
      <c r="F470" s="263">
        <f t="shared" si="15"/>
        <v>-1.0278419033690979E-2</v>
      </c>
      <c r="G470" s="259"/>
      <c r="H470" s="259"/>
    </row>
    <row r="471" spans="1:8" ht="14.25" customHeight="1" x14ac:dyDescent="0.3">
      <c r="A471" s="261">
        <v>44613</v>
      </c>
      <c r="B471" s="262">
        <v>17206.650390625</v>
      </c>
      <c r="C471" s="262">
        <v>4096.60009765625</v>
      </c>
      <c r="D471" s="259"/>
      <c r="E471" s="263">
        <f t="shared" si="14"/>
        <v>-4.0315569581071253E-3</v>
      </c>
      <c r="F471" s="263">
        <f t="shared" si="15"/>
        <v>5.7695611294999623E-3</v>
      </c>
      <c r="G471" s="259"/>
      <c r="H471" s="259"/>
    </row>
    <row r="472" spans="1:8" ht="14.25" customHeight="1" x14ac:dyDescent="0.3">
      <c r="A472" s="261">
        <v>44614</v>
      </c>
      <c r="B472" s="262">
        <v>17092.19921875</v>
      </c>
      <c r="C472" s="262">
        <v>4157.10009765625</v>
      </c>
      <c r="D472" s="259"/>
      <c r="E472" s="263">
        <f t="shared" si="14"/>
        <v>-6.6515660675803834E-3</v>
      </c>
      <c r="F472" s="263">
        <f t="shared" si="15"/>
        <v>1.4768344128735756E-2</v>
      </c>
      <c r="G472" s="259"/>
      <c r="H472" s="259"/>
    </row>
    <row r="473" spans="1:8" ht="14.25" customHeight="1" x14ac:dyDescent="0.3">
      <c r="A473" s="261">
        <v>44615</v>
      </c>
      <c r="B473" s="262">
        <v>17063.25</v>
      </c>
      <c r="C473" s="262">
        <v>4193.4501953125</v>
      </c>
      <c r="D473" s="259"/>
      <c r="E473" s="263">
        <f t="shared" si="14"/>
        <v>-1.6937094155936908E-3</v>
      </c>
      <c r="F473" s="263">
        <f t="shared" si="15"/>
        <v>8.7440996854379286E-3</v>
      </c>
      <c r="G473" s="259"/>
      <c r="H473" s="259"/>
    </row>
    <row r="474" spans="1:8" ht="14.25" customHeight="1" x14ac:dyDescent="0.3">
      <c r="A474" s="261">
        <v>44616</v>
      </c>
      <c r="B474" s="262">
        <v>16247.9501953125</v>
      </c>
      <c r="C474" s="262">
        <v>4014.64990234375</v>
      </c>
      <c r="D474" s="259"/>
      <c r="E474" s="263">
        <f t="shared" si="14"/>
        <v>-4.7781038470836444E-2</v>
      </c>
      <c r="F474" s="263">
        <f t="shared" si="15"/>
        <v>-4.263799130573092E-2</v>
      </c>
      <c r="G474" s="259"/>
      <c r="H474" s="259"/>
    </row>
    <row r="475" spans="1:8" ht="14.25" customHeight="1" x14ac:dyDescent="0.3">
      <c r="A475" s="261">
        <v>44617</v>
      </c>
      <c r="B475" s="262">
        <v>16658.400390625</v>
      </c>
      <c r="C475" s="262">
        <v>4190.75</v>
      </c>
      <c r="D475" s="259"/>
      <c r="E475" s="263">
        <f t="shared" si="14"/>
        <v>2.5261660109649649E-2</v>
      </c>
      <c r="F475" s="263">
        <f t="shared" si="15"/>
        <v>4.3864372221708019E-2</v>
      </c>
      <c r="G475" s="259"/>
      <c r="H475" s="259"/>
    </row>
    <row r="476" spans="1:8" ht="14.25" customHeight="1" x14ac:dyDescent="0.3">
      <c r="A476" s="261">
        <v>44620</v>
      </c>
      <c r="B476" s="262">
        <v>16793.900390625</v>
      </c>
      <c r="C476" s="262">
        <v>4340.35009765625</v>
      </c>
      <c r="D476" s="259"/>
      <c r="E476" s="263">
        <f t="shared" si="14"/>
        <v>8.1340342903665937E-3</v>
      </c>
      <c r="F476" s="263">
        <f t="shared" si="15"/>
        <v>3.5697690784764063E-2</v>
      </c>
      <c r="G476" s="259"/>
      <c r="H476" s="259"/>
    </row>
    <row r="477" spans="1:8" ht="14.25" customHeight="1" x14ac:dyDescent="0.3">
      <c r="A477" s="261">
        <v>44622</v>
      </c>
      <c r="B477" s="262">
        <v>16605.94921875</v>
      </c>
      <c r="C477" s="262">
        <v>4295.14990234375</v>
      </c>
      <c r="D477" s="259"/>
      <c r="E477" s="263">
        <f t="shared" si="14"/>
        <v>-1.1191633122935609E-2</v>
      </c>
      <c r="F477" s="263">
        <f t="shared" si="15"/>
        <v>-1.0413951477533505E-2</v>
      </c>
      <c r="G477" s="259"/>
      <c r="H477" s="259"/>
    </row>
    <row r="478" spans="1:8" ht="14.25" customHeight="1" x14ac:dyDescent="0.3">
      <c r="A478" s="261">
        <v>44623</v>
      </c>
      <c r="B478" s="262">
        <v>16498.05078125</v>
      </c>
      <c r="C478" s="262">
        <v>4276.5</v>
      </c>
      <c r="D478" s="259"/>
      <c r="E478" s="263">
        <f t="shared" si="14"/>
        <v>-6.4975772284170561E-3</v>
      </c>
      <c r="F478" s="263">
        <f t="shared" si="15"/>
        <v>-4.3420841571962928E-3</v>
      </c>
      <c r="G478" s="259"/>
      <c r="H478" s="259"/>
    </row>
    <row r="479" spans="1:8" ht="14.25" customHeight="1" x14ac:dyDescent="0.3">
      <c r="A479" s="261">
        <v>44624</v>
      </c>
      <c r="B479" s="262">
        <v>16245.349609375</v>
      </c>
      <c r="C479" s="262">
        <v>4110.2001953125</v>
      </c>
      <c r="D479" s="259"/>
      <c r="E479" s="263">
        <f t="shared" si="14"/>
        <v>-1.5317032007332306E-2</v>
      </c>
      <c r="F479" s="263">
        <f t="shared" si="15"/>
        <v>-3.8886894583771779E-2</v>
      </c>
      <c r="G479" s="259"/>
      <c r="H479" s="259"/>
    </row>
    <row r="480" spans="1:8" ht="14.25" customHeight="1" x14ac:dyDescent="0.3">
      <c r="A480" s="261">
        <v>44627</v>
      </c>
      <c r="B480" s="262">
        <v>15863.150390625</v>
      </c>
      <c r="C480" s="262">
        <v>3991.64990234375</v>
      </c>
      <c r="D480" s="259"/>
      <c r="E480" s="263">
        <f t="shared" si="14"/>
        <v>-2.3526684739947814E-2</v>
      </c>
      <c r="F480" s="263">
        <f t="shared" si="15"/>
        <v>-2.8842948599912804E-2</v>
      </c>
      <c r="G480" s="259"/>
      <c r="H480" s="259"/>
    </row>
    <row r="481" spans="1:8" ht="14.25" customHeight="1" x14ac:dyDescent="0.3">
      <c r="A481" s="261">
        <v>44628</v>
      </c>
      <c r="B481" s="262">
        <v>16013.4501953125</v>
      </c>
      <c r="C481" s="262">
        <v>4124</v>
      </c>
      <c r="D481" s="259"/>
      <c r="E481" s="263">
        <f t="shared" si="14"/>
        <v>9.4747765094836418E-3</v>
      </c>
      <c r="F481" s="263">
        <f t="shared" si="15"/>
        <v>3.3156739918132325E-2</v>
      </c>
      <c r="G481" s="259"/>
      <c r="H481" s="259"/>
    </row>
    <row r="482" spans="1:8" ht="14.25" customHeight="1" x14ac:dyDescent="0.3">
      <c r="A482" s="261">
        <v>44629</v>
      </c>
      <c r="B482" s="262">
        <v>16345.349609375</v>
      </c>
      <c r="C482" s="262">
        <v>4096.7001953125</v>
      </c>
      <c r="D482" s="259"/>
      <c r="E482" s="263">
        <f t="shared" si="14"/>
        <v>2.0726290088294307E-2</v>
      </c>
      <c r="F482" s="263">
        <f t="shared" si="15"/>
        <v>-6.6197392549709024E-3</v>
      </c>
      <c r="G482" s="259"/>
      <c r="H482" s="259"/>
    </row>
    <row r="483" spans="1:8" ht="14.25" customHeight="1" x14ac:dyDescent="0.3">
      <c r="A483" s="261">
        <v>44630</v>
      </c>
      <c r="B483" s="262">
        <v>16594.900390625</v>
      </c>
      <c r="C483" s="262">
        <v>4168.60009765625</v>
      </c>
      <c r="D483" s="259"/>
      <c r="E483" s="263">
        <f t="shared" si="14"/>
        <v>1.5267387190474546E-2</v>
      </c>
      <c r="F483" s="263">
        <f t="shared" si="15"/>
        <v>1.755068687379634E-2</v>
      </c>
      <c r="G483" s="259"/>
      <c r="H483" s="259"/>
    </row>
    <row r="484" spans="1:8" ht="14.25" customHeight="1" x14ac:dyDescent="0.3">
      <c r="A484" s="261">
        <v>44631</v>
      </c>
      <c r="B484" s="262">
        <v>16630.44921875</v>
      </c>
      <c r="C484" s="262">
        <v>4198.9501953125</v>
      </c>
      <c r="D484" s="259"/>
      <c r="E484" s="263">
        <f t="shared" si="14"/>
        <v>2.14215375134657E-3</v>
      </c>
      <c r="F484" s="263">
        <f t="shared" si="15"/>
        <v>7.280645047557815E-3</v>
      </c>
      <c r="G484" s="259"/>
      <c r="H484" s="259"/>
    </row>
    <row r="485" spans="1:8" ht="14.25" customHeight="1" x14ac:dyDescent="0.3">
      <c r="A485" s="261">
        <v>44634</v>
      </c>
      <c r="B485" s="262">
        <v>16871.30078125</v>
      </c>
      <c r="C485" s="262">
        <v>4168.25</v>
      </c>
      <c r="D485" s="259"/>
      <c r="E485" s="263">
        <f t="shared" si="14"/>
        <v>1.4482565042708041E-2</v>
      </c>
      <c r="F485" s="263">
        <f t="shared" si="15"/>
        <v>-7.3113978219537298E-3</v>
      </c>
      <c r="G485" s="259"/>
      <c r="H485" s="259"/>
    </row>
    <row r="486" spans="1:8" ht="14.25" customHeight="1" x14ac:dyDescent="0.3">
      <c r="A486" s="261">
        <v>44635</v>
      </c>
      <c r="B486" s="262">
        <v>16663</v>
      </c>
      <c r="C486" s="262">
        <v>4231.0498046875</v>
      </c>
      <c r="D486" s="259"/>
      <c r="E486" s="263">
        <f t="shared" si="14"/>
        <v>-1.2346456503312184E-2</v>
      </c>
      <c r="F486" s="263">
        <f t="shared" si="15"/>
        <v>1.5066227958375818E-2</v>
      </c>
      <c r="G486" s="259"/>
      <c r="H486" s="259"/>
    </row>
    <row r="487" spans="1:8" ht="14.25" customHeight="1" x14ac:dyDescent="0.3">
      <c r="A487" s="261">
        <v>44636</v>
      </c>
      <c r="B487" s="262">
        <v>16975.349609375</v>
      </c>
      <c r="C487" s="262">
        <v>4169.5498046875</v>
      </c>
      <c r="D487" s="259"/>
      <c r="E487" s="263">
        <f t="shared" si="14"/>
        <v>1.8745100484606612E-2</v>
      </c>
      <c r="F487" s="263">
        <f t="shared" si="15"/>
        <v>-1.4535399685407936E-2</v>
      </c>
      <c r="G487" s="259"/>
      <c r="H487" s="259"/>
    </row>
    <row r="488" spans="1:8" ht="14.25" customHeight="1" x14ac:dyDescent="0.3">
      <c r="A488" s="261">
        <v>44637</v>
      </c>
      <c r="B488" s="262">
        <v>17287.05078125</v>
      </c>
      <c r="C488" s="262">
        <v>4192.75</v>
      </c>
      <c r="D488" s="259"/>
      <c r="E488" s="263">
        <f t="shared" si="14"/>
        <v>1.8361988356508215E-2</v>
      </c>
      <c r="F488" s="263">
        <f t="shared" si="15"/>
        <v>5.5641967116972267E-3</v>
      </c>
      <c r="G488" s="259"/>
      <c r="H488" s="259"/>
    </row>
    <row r="489" spans="1:8" ht="14.25" customHeight="1" x14ac:dyDescent="0.3">
      <c r="A489" s="261">
        <v>44641</v>
      </c>
      <c r="B489" s="262">
        <v>17117.599609375</v>
      </c>
      <c r="C489" s="262">
        <v>4095.19995117188</v>
      </c>
      <c r="D489" s="259"/>
      <c r="E489" s="263">
        <f t="shared" si="14"/>
        <v>-9.80220247046369E-3</v>
      </c>
      <c r="F489" s="263">
        <f t="shared" si="15"/>
        <v>-2.3266364278366227E-2</v>
      </c>
      <c r="G489" s="259"/>
      <c r="H489" s="259"/>
    </row>
    <row r="490" spans="1:8" ht="14.25" customHeight="1" x14ac:dyDescent="0.3">
      <c r="A490" s="261">
        <v>44642</v>
      </c>
      <c r="B490" s="262">
        <v>17315.5</v>
      </c>
      <c r="C490" s="262">
        <v>4054</v>
      </c>
      <c r="D490" s="259"/>
      <c r="E490" s="263">
        <f t="shared" si="14"/>
        <v>1.1561223252155842E-2</v>
      </c>
      <c r="F490" s="263">
        <f t="shared" si="15"/>
        <v>-1.0060546899569641E-2</v>
      </c>
      <c r="G490" s="259"/>
      <c r="H490" s="259"/>
    </row>
    <row r="491" spans="1:8" ht="14.25" customHeight="1" x14ac:dyDescent="0.3">
      <c r="A491" s="261">
        <v>44643</v>
      </c>
      <c r="B491" s="262">
        <v>17245.650390625</v>
      </c>
      <c r="C491" s="262">
        <v>4091.35009765625</v>
      </c>
      <c r="D491" s="259"/>
      <c r="E491" s="263">
        <f t="shared" si="14"/>
        <v>-4.0339354552279749E-3</v>
      </c>
      <c r="F491" s="263">
        <f t="shared" si="15"/>
        <v>9.2131469305007391E-3</v>
      </c>
      <c r="G491" s="259"/>
      <c r="H491" s="259"/>
    </row>
    <row r="492" spans="1:8" ht="14.25" customHeight="1" x14ac:dyDescent="0.3">
      <c r="A492" s="261">
        <v>44644</v>
      </c>
      <c r="B492" s="262">
        <v>17222.75</v>
      </c>
      <c r="C492" s="262">
        <v>4042.85009765625</v>
      </c>
      <c r="D492" s="259"/>
      <c r="E492" s="263">
        <f t="shared" si="14"/>
        <v>-1.3278937068937106E-3</v>
      </c>
      <c r="F492" s="263">
        <f t="shared" si="15"/>
        <v>-1.1854277644874112E-2</v>
      </c>
      <c r="G492" s="259"/>
      <c r="H492" s="259"/>
    </row>
    <row r="493" spans="1:8" ht="14.25" customHeight="1" x14ac:dyDescent="0.3">
      <c r="A493" s="261">
        <v>44645</v>
      </c>
      <c r="B493" s="262">
        <v>17153</v>
      </c>
      <c r="C493" s="262">
        <v>4001.30004882813</v>
      </c>
      <c r="D493" s="259"/>
      <c r="E493" s="263">
        <f t="shared" si="14"/>
        <v>-4.0498758909001172E-3</v>
      </c>
      <c r="F493" s="263">
        <f t="shared" si="15"/>
        <v>-1.027741514636115E-2</v>
      </c>
      <c r="G493" s="259"/>
      <c r="H493" s="259"/>
    </row>
    <row r="494" spans="1:8" ht="14.25" customHeight="1" x14ac:dyDescent="0.3">
      <c r="A494" s="261">
        <v>44648</v>
      </c>
      <c r="B494" s="262">
        <v>17222</v>
      </c>
      <c r="C494" s="262">
        <v>4010.05004882813</v>
      </c>
      <c r="D494" s="259"/>
      <c r="E494" s="263">
        <f t="shared" si="14"/>
        <v>4.022619949862998E-3</v>
      </c>
      <c r="F494" s="263">
        <f t="shared" si="15"/>
        <v>2.1867892667940844E-3</v>
      </c>
      <c r="G494" s="259"/>
      <c r="H494" s="259"/>
    </row>
    <row r="495" spans="1:8" ht="14.25" customHeight="1" x14ac:dyDescent="0.3">
      <c r="A495" s="261">
        <v>44649</v>
      </c>
      <c r="B495" s="262">
        <v>17325.30078125</v>
      </c>
      <c r="C495" s="262">
        <v>4006.10009765625</v>
      </c>
      <c r="D495" s="259"/>
      <c r="E495" s="263">
        <f t="shared" si="14"/>
        <v>5.9981872749970966E-3</v>
      </c>
      <c r="F495" s="263">
        <f t="shared" si="15"/>
        <v>-9.8501293594435539E-4</v>
      </c>
      <c r="G495" s="259"/>
      <c r="H495" s="259"/>
    </row>
    <row r="496" spans="1:8" ht="14.25" customHeight="1" x14ac:dyDescent="0.3">
      <c r="A496" s="261">
        <v>44650</v>
      </c>
      <c r="B496" s="262">
        <v>17498.25</v>
      </c>
      <c r="C496" s="262">
        <v>3973.39990234375</v>
      </c>
      <c r="D496" s="259"/>
      <c r="E496" s="263">
        <f t="shared" si="14"/>
        <v>9.9824655821947536E-3</v>
      </c>
      <c r="F496" s="263">
        <f t="shared" si="15"/>
        <v>-8.1626006628319394E-3</v>
      </c>
      <c r="G496" s="259"/>
      <c r="H496" s="259"/>
    </row>
    <row r="497" spans="1:8" ht="14.25" customHeight="1" x14ac:dyDescent="0.3">
      <c r="A497" s="261">
        <v>44651</v>
      </c>
      <c r="B497" s="262">
        <v>17464.75</v>
      </c>
      <c r="C497" s="262">
        <v>4003.35009765625</v>
      </c>
      <c r="D497" s="259"/>
      <c r="E497" s="263">
        <f t="shared" si="14"/>
        <v>-1.9144771620019144E-3</v>
      </c>
      <c r="F497" s="263">
        <f t="shared" si="15"/>
        <v>7.5376745478937506E-3</v>
      </c>
      <c r="G497" s="259"/>
      <c r="H497" s="259"/>
    </row>
    <row r="498" spans="1:8" ht="14.25" customHeight="1" x14ac:dyDescent="0.3">
      <c r="A498" s="261">
        <v>44652</v>
      </c>
      <c r="B498" s="262">
        <v>17670.44921875</v>
      </c>
      <c r="C498" s="262">
        <v>4082.19995117188</v>
      </c>
      <c r="D498" s="259"/>
      <c r="E498" s="263">
        <f t="shared" si="14"/>
        <v>1.1777965258592307E-2</v>
      </c>
      <c r="F498" s="263">
        <f t="shared" si="15"/>
        <v>1.9695967525246525E-2</v>
      </c>
      <c r="G498" s="259"/>
      <c r="H498" s="259"/>
    </row>
    <row r="499" spans="1:8" ht="14.25" customHeight="1" x14ac:dyDescent="0.3">
      <c r="A499" s="261">
        <v>44655</v>
      </c>
      <c r="B499" s="262">
        <v>18053.400390625</v>
      </c>
      <c r="C499" s="262">
        <v>4106.64990234375</v>
      </c>
      <c r="D499" s="259"/>
      <c r="E499" s="263">
        <f t="shared" si="14"/>
        <v>2.1671841339984326E-2</v>
      </c>
      <c r="F499" s="263">
        <f t="shared" si="15"/>
        <v>5.9894055813829337E-3</v>
      </c>
      <c r="G499" s="259"/>
      <c r="H499" s="259"/>
    </row>
    <row r="500" spans="1:8" ht="14.25" customHeight="1" x14ac:dyDescent="0.3">
      <c r="A500" s="261">
        <v>44656</v>
      </c>
      <c r="B500" s="262">
        <v>17957.400390625</v>
      </c>
      <c r="C500" s="262">
        <v>4109.7001953125</v>
      </c>
      <c r="D500" s="259"/>
      <c r="E500" s="263">
        <f t="shared" si="14"/>
        <v>-5.3175577964720763E-3</v>
      </c>
      <c r="F500" s="263">
        <f t="shared" si="15"/>
        <v>7.4276917713612131E-4</v>
      </c>
      <c r="G500" s="259"/>
      <c r="H500" s="259"/>
    </row>
    <row r="501" spans="1:8" ht="14.25" customHeight="1" x14ac:dyDescent="0.3">
      <c r="A501" s="261">
        <v>44657</v>
      </c>
      <c r="B501" s="262">
        <v>17807.650390625</v>
      </c>
      <c r="C501" s="262">
        <v>4101.89990234375</v>
      </c>
      <c r="D501" s="259"/>
      <c r="E501" s="263">
        <f t="shared" si="14"/>
        <v>-8.3391803235717699E-3</v>
      </c>
      <c r="F501" s="263">
        <f t="shared" si="15"/>
        <v>-1.898019952318412E-3</v>
      </c>
      <c r="G501" s="259"/>
      <c r="H501" s="259"/>
    </row>
    <row r="502" spans="1:8" ht="14.25" customHeight="1" x14ac:dyDescent="0.3">
      <c r="A502" s="261">
        <v>44658</v>
      </c>
      <c r="B502" s="262">
        <v>17639.55078125</v>
      </c>
      <c r="C502" s="262">
        <v>4159.7001953125</v>
      </c>
      <c r="D502" s="259"/>
      <c r="E502" s="263">
        <f t="shared" si="14"/>
        <v>-9.4397411049521492E-3</v>
      </c>
      <c r="F502" s="263">
        <f t="shared" si="15"/>
        <v>1.4091102743810003E-2</v>
      </c>
      <c r="G502" s="259"/>
      <c r="H502" s="259"/>
    </row>
    <row r="503" spans="1:8" ht="14.25" customHeight="1" x14ac:dyDescent="0.3">
      <c r="A503" s="261">
        <v>44659</v>
      </c>
      <c r="B503" s="262">
        <v>17784.349609375</v>
      </c>
      <c r="C503" s="262">
        <v>4146.25</v>
      </c>
      <c r="D503" s="259"/>
      <c r="E503" s="263">
        <f t="shared" si="14"/>
        <v>8.2087593907954979E-3</v>
      </c>
      <c r="F503" s="263">
        <f t="shared" si="15"/>
        <v>-3.2334530569430968E-3</v>
      </c>
      <c r="G503" s="259"/>
      <c r="H503" s="259"/>
    </row>
    <row r="504" spans="1:8" ht="14.25" customHeight="1" x14ac:dyDescent="0.3">
      <c r="A504" s="261">
        <v>44662</v>
      </c>
      <c r="B504" s="262">
        <v>17674.94921875</v>
      </c>
      <c r="C504" s="262">
        <v>4171.60009765625</v>
      </c>
      <c r="D504" s="259"/>
      <c r="E504" s="263">
        <f t="shared" si="14"/>
        <v>-6.1514979759130298E-3</v>
      </c>
      <c r="F504" s="263">
        <f t="shared" si="15"/>
        <v>6.1139819490503471E-3</v>
      </c>
      <c r="G504" s="259"/>
      <c r="H504" s="259"/>
    </row>
    <row r="505" spans="1:8" ht="14.25" customHeight="1" x14ac:dyDescent="0.3">
      <c r="A505" s="261">
        <v>44663</v>
      </c>
      <c r="B505" s="262">
        <v>17530.30078125</v>
      </c>
      <c r="C505" s="262">
        <v>4088.69995117188</v>
      </c>
      <c r="D505" s="259"/>
      <c r="E505" s="263">
        <f t="shared" si="14"/>
        <v>-8.1838106412522836E-3</v>
      </c>
      <c r="F505" s="263">
        <f t="shared" si="15"/>
        <v>-1.9872505643804685E-2</v>
      </c>
      <c r="G505" s="259"/>
      <c r="H505" s="259"/>
    </row>
    <row r="506" spans="1:8" ht="14.25" customHeight="1" x14ac:dyDescent="0.3">
      <c r="A506" s="261">
        <v>44664</v>
      </c>
      <c r="B506" s="262">
        <v>17475.650390625</v>
      </c>
      <c r="C506" s="262">
        <v>4090.89990234375</v>
      </c>
      <c r="D506" s="259"/>
      <c r="E506" s="263">
        <f t="shared" si="14"/>
        <v>-3.1174816283501979E-3</v>
      </c>
      <c r="F506" s="263">
        <f t="shared" si="15"/>
        <v>5.380563988901803E-4</v>
      </c>
      <c r="G506" s="259"/>
      <c r="H506" s="259"/>
    </row>
    <row r="507" spans="1:8" ht="14.25" customHeight="1" x14ac:dyDescent="0.3">
      <c r="A507" s="261">
        <v>44669</v>
      </c>
      <c r="B507" s="262">
        <v>17173.650390625</v>
      </c>
      <c r="C507" s="262">
        <v>4056</v>
      </c>
      <c r="D507" s="259"/>
      <c r="E507" s="263">
        <f t="shared" si="14"/>
        <v>-1.7281188010147601E-2</v>
      </c>
      <c r="F507" s="263">
        <f t="shared" si="15"/>
        <v>-8.5311064012481026E-3</v>
      </c>
      <c r="G507" s="259"/>
      <c r="H507" s="259"/>
    </row>
    <row r="508" spans="1:8" ht="14.25" customHeight="1" x14ac:dyDescent="0.3">
      <c r="A508" s="261">
        <v>44670</v>
      </c>
      <c r="B508" s="262">
        <v>16958.650390625</v>
      </c>
      <c r="C508" s="262">
        <v>4008.89990234375</v>
      </c>
      <c r="D508" s="259"/>
      <c r="E508" s="263">
        <f t="shared" si="14"/>
        <v>-1.2519178806467803E-2</v>
      </c>
      <c r="F508" s="263">
        <f t="shared" si="15"/>
        <v>-1.1612450112487672E-2</v>
      </c>
      <c r="G508" s="259"/>
      <c r="H508" s="259"/>
    </row>
    <row r="509" spans="1:8" ht="14.25" customHeight="1" x14ac:dyDescent="0.3">
      <c r="A509" s="261">
        <v>44671</v>
      </c>
      <c r="B509" s="262">
        <v>17136.55078125</v>
      </c>
      <c r="C509" s="262">
        <v>4054.80004882813</v>
      </c>
      <c r="D509" s="259"/>
      <c r="E509" s="263">
        <f t="shared" si="14"/>
        <v>1.0490244596547968E-2</v>
      </c>
      <c r="F509" s="263">
        <f t="shared" si="15"/>
        <v>1.1449561626007448E-2</v>
      </c>
      <c r="G509" s="259"/>
      <c r="H509" s="259"/>
    </row>
    <row r="510" spans="1:8" ht="14.25" customHeight="1" x14ac:dyDescent="0.3">
      <c r="A510" s="261">
        <v>44672</v>
      </c>
      <c r="B510" s="262">
        <v>17392.599609375</v>
      </c>
      <c r="C510" s="262">
        <v>4030.25</v>
      </c>
      <c r="D510" s="259"/>
      <c r="E510" s="263">
        <f t="shared" si="14"/>
        <v>1.4941678252146078E-2</v>
      </c>
      <c r="F510" s="263">
        <f t="shared" si="15"/>
        <v>-6.0545645981298548E-3</v>
      </c>
      <c r="G510" s="259"/>
      <c r="H510" s="259"/>
    </row>
    <row r="511" spans="1:8" ht="14.25" customHeight="1" x14ac:dyDescent="0.3">
      <c r="A511" s="261">
        <v>44673</v>
      </c>
      <c r="B511" s="262">
        <v>17171.94921875</v>
      </c>
      <c r="C511" s="262">
        <v>4028.85009765625</v>
      </c>
      <c r="D511" s="259"/>
      <c r="E511" s="263">
        <f t="shared" si="14"/>
        <v>-1.2686452605168035E-2</v>
      </c>
      <c r="F511" s="263">
        <f t="shared" si="15"/>
        <v>-3.4734876093294462E-4</v>
      </c>
      <c r="G511" s="259"/>
      <c r="H511" s="259"/>
    </row>
    <row r="512" spans="1:8" ht="14.25" customHeight="1" x14ac:dyDescent="0.3">
      <c r="A512" s="261">
        <v>44676</v>
      </c>
      <c r="B512" s="262">
        <v>16953.94921875</v>
      </c>
      <c r="C512" s="262">
        <v>3989.19995117188</v>
      </c>
      <c r="D512" s="259"/>
      <c r="E512" s="263">
        <f t="shared" si="14"/>
        <v>-1.2695122564301929E-2</v>
      </c>
      <c r="F512" s="263">
        <f t="shared" si="15"/>
        <v>-9.8415541713592521E-3</v>
      </c>
      <c r="G512" s="259"/>
      <c r="H512" s="259"/>
    </row>
    <row r="513" spans="1:8" ht="14.25" customHeight="1" x14ac:dyDescent="0.3">
      <c r="A513" s="261">
        <v>44677</v>
      </c>
      <c r="B513" s="262">
        <v>17200.80078125</v>
      </c>
      <c r="C513" s="262">
        <v>4044.25</v>
      </c>
      <c r="D513" s="259"/>
      <c r="E513" s="263">
        <f t="shared" si="14"/>
        <v>1.4560121616207138E-2</v>
      </c>
      <c r="F513" s="263">
        <f t="shared" si="15"/>
        <v>1.3799771759234159E-2</v>
      </c>
      <c r="G513" s="259"/>
      <c r="H513" s="259"/>
    </row>
    <row r="514" spans="1:8" ht="14.25" customHeight="1" x14ac:dyDescent="0.3">
      <c r="A514" s="261">
        <v>44678</v>
      </c>
      <c r="B514" s="262">
        <v>17038.400390625</v>
      </c>
      <c r="C514" s="262">
        <v>3977.69995117188</v>
      </c>
      <c r="D514" s="259"/>
      <c r="E514" s="263">
        <f t="shared" si="14"/>
        <v>-9.4414436101153531E-3</v>
      </c>
      <c r="F514" s="263">
        <f t="shared" si="15"/>
        <v>-1.645547353109229E-2</v>
      </c>
      <c r="G514" s="259"/>
      <c r="H514" s="259"/>
    </row>
    <row r="515" spans="1:8" ht="14.25" customHeight="1" x14ac:dyDescent="0.3">
      <c r="A515" s="261">
        <v>44679</v>
      </c>
      <c r="B515" s="262">
        <v>17245.05078125</v>
      </c>
      <c r="C515" s="262">
        <v>4024.55004882813</v>
      </c>
      <c r="D515" s="259"/>
      <c r="E515" s="263">
        <f t="shared" ref="E515:E578" si="16">(B515-B514)/B514</f>
        <v>1.2128508890934666E-2</v>
      </c>
      <c r="F515" s="263">
        <f t="shared" ref="F515:F578" si="17">(C515-C514)/C514</f>
        <v>1.1778187955692177E-2</v>
      </c>
      <c r="G515" s="259"/>
      <c r="H515" s="259"/>
    </row>
    <row r="516" spans="1:8" ht="14.25" customHeight="1" x14ac:dyDescent="0.3">
      <c r="A516" s="261">
        <v>44680</v>
      </c>
      <c r="B516" s="262">
        <v>17102.55078125</v>
      </c>
      <c r="C516" s="262">
        <v>3944.25</v>
      </c>
      <c r="D516" s="259"/>
      <c r="E516" s="263">
        <f t="shared" si="16"/>
        <v>-8.2632403816946566E-3</v>
      </c>
      <c r="F516" s="263">
        <f t="shared" si="17"/>
        <v>-1.9952553168399979E-2</v>
      </c>
      <c r="G516" s="259"/>
      <c r="H516" s="259"/>
    </row>
    <row r="517" spans="1:8" ht="14.25" customHeight="1" x14ac:dyDescent="0.3">
      <c r="A517" s="261">
        <v>44683</v>
      </c>
      <c r="B517" s="262">
        <v>17069.099609375</v>
      </c>
      <c r="C517" s="262">
        <v>3983.35009765625</v>
      </c>
      <c r="D517" s="259"/>
      <c r="E517" s="263">
        <f t="shared" si="16"/>
        <v>-1.9559171203674158E-3</v>
      </c>
      <c r="F517" s="263">
        <f t="shared" si="17"/>
        <v>9.9131894926158329E-3</v>
      </c>
      <c r="G517" s="259"/>
      <c r="H517" s="259"/>
    </row>
    <row r="518" spans="1:8" ht="14.25" customHeight="1" x14ac:dyDescent="0.3">
      <c r="A518" s="261">
        <v>44685</v>
      </c>
      <c r="B518" s="262">
        <v>16677.599609375</v>
      </c>
      <c r="C518" s="262">
        <v>3867.14990234375</v>
      </c>
      <c r="D518" s="259"/>
      <c r="E518" s="263">
        <f t="shared" si="16"/>
        <v>-2.2936183451936345E-2</v>
      </c>
      <c r="F518" s="263">
        <f t="shared" si="17"/>
        <v>-2.917147437802935E-2</v>
      </c>
      <c r="G518" s="259"/>
      <c r="H518" s="259"/>
    </row>
    <row r="519" spans="1:8" ht="14.25" customHeight="1" x14ac:dyDescent="0.3">
      <c r="A519" s="261">
        <v>44686</v>
      </c>
      <c r="B519" s="262">
        <v>16682.650390625</v>
      </c>
      <c r="C519" s="262">
        <v>3943.80004882813</v>
      </c>
      <c r="D519" s="259"/>
      <c r="E519" s="263">
        <f t="shared" si="16"/>
        <v>3.0284821366983761E-4</v>
      </c>
      <c r="F519" s="263">
        <f t="shared" si="17"/>
        <v>1.9820836641973698E-2</v>
      </c>
      <c r="G519" s="259"/>
      <c r="H519" s="259"/>
    </row>
    <row r="520" spans="1:8" ht="14.25" customHeight="1" x14ac:dyDescent="0.3">
      <c r="A520" s="261">
        <v>44687</v>
      </c>
      <c r="B520" s="262">
        <v>16411.25</v>
      </c>
      <c r="C520" s="262">
        <v>3666.19995117188</v>
      </c>
      <c r="D520" s="259"/>
      <c r="E520" s="263">
        <f t="shared" si="16"/>
        <v>-1.6268421639856246E-2</v>
      </c>
      <c r="F520" s="263">
        <f t="shared" si="17"/>
        <v>-7.038898884813817E-2</v>
      </c>
      <c r="G520" s="259"/>
      <c r="H520" s="259"/>
    </row>
    <row r="521" spans="1:8" ht="14.25" customHeight="1" x14ac:dyDescent="0.3">
      <c r="A521" s="261">
        <v>44690</v>
      </c>
      <c r="B521" s="262">
        <v>16301.849609375</v>
      </c>
      <c r="C521" s="262">
        <v>3520.30004882813</v>
      </c>
      <c r="D521" s="259"/>
      <c r="E521" s="263">
        <f t="shared" si="16"/>
        <v>-6.6661826871810496E-3</v>
      </c>
      <c r="F521" s="263">
        <f t="shared" si="17"/>
        <v>-3.979594792616642E-2</v>
      </c>
      <c r="G521" s="259"/>
      <c r="H521" s="259"/>
    </row>
    <row r="522" spans="1:8" ht="14.25" customHeight="1" x14ac:dyDescent="0.3">
      <c r="A522" s="261">
        <v>44691</v>
      </c>
      <c r="B522" s="262">
        <v>16240.0498046875</v>
      </c>
      <c r="C522" s="262">
        <v>3414.94995117188</v>
      </c>
      <c r="D522" s="259"/>
      <c r="E522" s="263">
        <f t="shared" si="16"/>
        <v>-3.7909688880922855E-3</v>
      </c>
      <c r="F522" s="263">
        <f t="shared" si="17"/>
        <v>-2.9926454050790332E-2</v>
      </c>
      <c r="G522" s="259"/>
      <c r="H522" s="259"/>
    </row>
    <row r="523" spans="1:8" ht="14.25" customHeight="1" x14ac:dyDescent="0.3">
      <c r="A523" s="261">
        <v>44692</v>
      </c>
      <c r="B523" s="262">
        <v>16167.099609375</v>
      </c>
      <c r="C523" s="262">
        <v>3339.69995117188</v>
      </c>
      <c r="D523" s="259"/>
      <c r="E523" s="263">
        <f t="shared" si="16"/>
        <v>-4.4919933245182401E-3</v>
      </c>
      <c r="F523" s="263">
        <f t="shared" si="17"/>
        <v>-2.2035462034861474E-2</v>
      </c>
      <c r="G523" s="259"/>
      <c r="H523" s="259"/>
    </row>
    <row r="524" spans="1:8" ht="14.25" customHeight="1" x14ac:dyDescent="0.3">
      <c r="A524" s="261">
        <v>44693</v>
      </c>
      <c r="B524" s="262">
        <v>15808</v>
      </c>
      <c r="C524" s="262">
        <v>3270.44995117188</v>
      </c>
      <c r="D524" s="259"/>
      <c r="E524" s="263">
        <f t="shared" si="16"/>
        <v>-2.2211752141785831E-2</v>
      </c>
      <c r="F524" s="263">
        <f t="shared" si="17"/>
        <v>-2.0735395697958018E-2</v>
      </c>
      <c r="G524" s="259"/>
      <c r="H524" s="259"/>
    </row>
    <row r="525" spans="1:8" ht="14.25" customHeight="1" x14ac:dyDescent="0.3">
      <c r="A525" s="261">
        <v>44694</v>
      </c>
      <c r="B525" s="262">
        <v>15782.150390625</v>
      </c>
      <c r="C525" s="262">
        <v>3230.60009765625</v>
      </c>
      <c r="D525" s="259"/>
      <c r="E525" s="263">
        <f t="shared" si="16"/>
        <v>-1.6352232651189271E-3</v>
      </c>
      <c r="F525" s="263">
        <f t="shared" si="17"/>
        <v>-1.2184822917516549E-2</v>
      </c>
      <c r="G525" s="259"/>
      <c r="H525" s="259"/>
    </row>
    <row r="526" spans="1:8" ht="14.25" customHeight="1" x14ac:dyDescent="0.3">
      <c r="A526" s="261">
        <v>44697</v>
      </c>
      <c r="B526" s="262">
        <v>15842.2998046875</v>
      </c>
      <c r="C526" s="262">
        <v>3561.10009765625</v>
      </c>
      <c r="D526" s="259"/>
      <c r="E526" s="263">
        <f t="shared" si="16"/>
        <v>3.8112305721171107E-3</v>
      </c>
      <c r="F526" s="263">
        <f t="shared" si="17"/>
        <v>0.102302974682559</v>
      </c>
      <c r="G526" s="259"/>
      <c r="H526" s="259"/>
    </row>
    <row r="527" spans="1:8" ht="14.25" customHeight="1" x14ac:dyDescent="0.3">
      <c r="A527" s="261">
        <v>44698</v>
      </c>
      <c r="B527" s="262">
        <v>16259.2998046875</v>
      </c>
      <c r="C527" s="262">
        <v>3657</v>
      </c>
      <c r="D527" s="259"/>
      <c r="E527" s="263">
        <f t="shared" si="16"/>
        <v>2.6321935902047247E-2</v>
      </c>
      <c r="F527" s="263">
        <f t="shared" si="17"/>
        <v>2.6929853054921665E-2</v>
      </c>
      <c r="G527" s="259"/>
      <c r="H527" s="259"/>
    </row>
    <row r="528" spans="1:8" ht="14.25" customHeight="1" x14ac:dyDescent="0.3">
      <c r="A528" s="261">
        <v>44699</v>
      </c>
      <c r="B528" s="262">
        <v>16240.2998046875</v>
      </c>
      <c r="C528" s="262">
        <v>3664.05004882813</v>
      </c>
      <c r="D528" s="259"/>
      <c r="E528" s="263">
        <f t="shared" si="16"/>
        <v>-1.1685620062508698E-3</v>
      </c>
      <c r="F528" s="263">
        <f t="shared" si="17"/>
        <v>1.9278230320289862E-3</v>
      </c>
      <c r="G528" s="259"/>
      <c r="H528" s="259"/>
    </row>
    <row r="529" spans="1:8" ht="14.25" customHeight="1" x14ac:dyDescent="0.3">
      <c r="A529" s="261">
        <v>44700</v>
      </c>
      <c r="B529" s="262">
        <v>15809.400390625</v>
      </c>
      <c r="C529" s="262">
        <v>3614.85009765625</v>
      </c>
      <c r="D529" s="259"/>
      <c r="E529" s="263">
        <f t="shared" si="16"/>
        <v>-2.6532725334179351E-2</v>
      </c>
      <c r="F529" s="263">
        <f t="shared" si="17"/>
        <v>-1.3427750853898838E-2</v>
      </c>
      <c r="G529" s="259"/>
      <c r="H529" s="259"/>
    </row>
    <row r="530" spans="1:8" ht="14.25" customHeight="1" x14ac:dyDescent="0.3">
      <c r="A530" s="261">
        <v>44701</v>
      </c>
      <c r="B530" s="262">
        <v>16266.150390625</v>
      </c>
      <c r="C530" s="262">
        <v>3630.39990234375</v>
      </c>
      <c r="D530" s="259"/>
      <c r="E530" s="263">
        <f t="shared" si="16"/>
        <v>2.8891038794289343E-2</v>
      </c>
      <c r="F530" s="263">
        <f t="shared" si="17"/>
        <v>4.3016457854177636E-3</v>
      </c>
      <c r="G530" s="259"/>
      <c r="H530" s="259"/>
    </row>
    <row r="531" spans="1:8" ht="14.25" customHeight="1" x14ac:dyDescent="0.3">
      <c r="A531" s="261">
        <v>44704</v>
      </c>
      <c r="B531" s="262">
        <v>16214.7001953125</v>
      </c>
      <c r="C531" s="262">
        <v>3574.10009765625</v>
      </c>
      <c r="D531" s="259"/>
      <c r="E531" s="263">
        <f t="shared" si="16"/>
        <v>-3.1630222318707523E-3</v>
      </c>
      <c r="F531" s="263">
        <f t="shared" si="17"/>
        <v>-1.5507879628123999E-2</v>
      </c>
      <c r="G531" s="259"/>
      <c r="H531" s="259"/>
    </row>
    <row r="532" spans="1:8" ht="14.25" customHeight="1" x14ac:dyDescent="0.3">
      <c r="A532" s="261">
        <v>44705</v>
      </c>
      <c r="B532" s="262">
        <v>16125.150390625</v>
      </c>
      <c r="C532" s="262">
        <v>3656.75</v>
      </c>
      <c r="D532" s="259"/>
      <c r="E532" s="263">
        <f t="shared" si="16"/>
        <v>-5.5227542667355585E-3</v>
      </c>
      <c r="F532" s="263">
        <f t="shared" si="17"/>
        <v>2.3124674767208801E-2</v>
      </c>
      <c r="G532" s="259"/>
      <c r="H532" s="259"/>
    </row>
    <row r="533" spans="1:8" ht="14.25" customHeight="1" x14ac:dyDescent="0.3">
      <c r="A533" s="261">
        <v>44706</v>
      </c>
      <c r="B533" s="262">
        <v>16025.7998046875</v>
      </c>
      <c r="C533" s="262">
        <v>3586.44995117188</v>
      </c>
      <c r="D533" s="259"/>
      <c r="E533" s="263">
        <f t="shared" si="16"/>
        <v>-6.1612191843656494E-3</v>
      </c>
      <c r="F533" s="263">
        <f t="shared" si="17"/>
        <v>-1.9224734758493196E-2</v>
      </c>
      <c r="G533" s="259"/>
      <c r="H533" s="259"/>
    </row>
    <row r="534" spans="1:8" ht="14.25" customHeight="1" x14ac:dyDescent="0.3">
      <c r="A534" s="261">
        <v>44707</v>
      </c>
      <c r="B534" s="262">
        <v>16170.150390625</v>
      </c>
      <c r="C534" s="262">
        <v>3577.44995117188</v>
      </c>
      <c r="D534" s="259"/>
      <c r="E534" s="263">
        <f t="shared" si="16"/>
        <v>9.0073873189953288E-3</v>
      </c>
      <c r="F534" s="263">
        <f t="shared" si="17"/>
        <v>-2.5094453073461211E-3</v>
      </c>
      <c r="G534" s="259"/>
      <c r="H534" s="259"/>
    </row>
    <row r="535" spans="1:8" ht="14.25" customHeight="1" x14ac:dyDescent="0.3">
      <c r="A535" s="261">
        <v>44708</v>
      </c>
      <c r="B535" s="262">
        <v>16352.4501953125</v>
      </c>
      <c r="C535" s="262">
        <v>3613.85009765625</v>
      </c>
      <c r="D535" s="259"/>
      <c r="E535" s="263">
        <f t="shared" si="16"/>
        <v>1.1273847198922301E-2</v>
      </c>
      <c r="F535" s="263">
        <f t="shared" si="17"/>
        <v>1.0174886296437565E-2</v>
      </c>
      <c r="G535" s="259"/>
      <c r="H535" s="259"/>
    </row>
    <row r="536" spans="1:8" ht="14.25" customHeight="1" x14ac:dyDescent="0.3">
      <c r="A536" s="261">
        <v>44711</v>
      </c>
      <c r="B536" s="262">
        <v>16661.400390625</v>
      </c>
      <c r="C536" s="262">
        <v>3796.39990234375</v>
      </c>
      <c r="D536" s="259"/>
      <c r="E536" s="263">
        <f t="shared" si="16"/>
        <v>1.8893205092962884E-2</v>
      </c>
      <c r="F536" s="263">
        <f t="shared" si="17"/>
        <v>5.0513939359546775E-2</v>
      </c>
      <c r="G536" s="259"/>
      <c r="H536" s="259"/>
    </row>
    <row r="537" spans="1:8" ht="14.25" customHeight="1" x14ac:dyDescent="0.3">
      <c r="A537" s="261">
        <v>44712</v>
      </c>
      <c r="B537" s="262">
        <v>16584.55078125</v>
      </c>
      <c r="C537" s="262">
        <v>3972.80004882813</v>
      </c>
      <c r="D537" s="259"/>
      <c r="E537" s="263">
        <f t="shared" si="16"/>
        <v>-4.6124339835348759E-3</v>
      </c>
      <c r="F537" s="263">
        <f t="shared" si="17"/>
        <v>4.6465111953953378E-2</v>
      </c>
      <c r="G537" s="259"/>
      <c r="H537" s="259"/>
    </row>
    <row r="538" spans="1:8" ht="14.25" customHeight="1" x14ac:dyDescent="0.3">
      <c r="A538" s="261">
        <v>44713</v>
      </c>
      <c r="B538" s="262">
        <v>16522.75</v>
      </c>
      <c r="C538" s="262">
        <v>3874.05004882813</v>
      </c>
      <c r="D538" s="259"/>
      <c r="E538" s="263">
        <f t="shared" si="16"/>
        <v>-3.7264067061659654E-3</v>
      </c>
      <c r="F538" s="263">
        <f t="shared" si="17"/>
        <v>-2.4856524060184858E-2</v>
      </c>
      <c r="G538" s="259"/>
      <c r="H538" s="259"/>
    </row>
    <row r="539" spans="1:8" ht="14.25" customHeight="1" x14ac:dyDescent="0.3">
      <c r="A539" s="261">
        <v>44714</v>
      </c>
      <c r="B539" s="262">
        <v>16628</v>
      </c>
      <c r="C539" s="262">
        <v>3856.89990234375</v>
      </c>
      <c r="D539" s="259"/>
      <c r="E539" s="263">
        <f t="shared" si="16"/>
        <v>6.3700049931155528E-3</v>
      </c>
      <c r="F539" s="263">
        <f t="shared" si="17"/>
        <v>-4.4269295100015007E-3</v>
      </c>
      <c r="G539" s="259"/>
      <c r="H539" s="259"/>
    </row>
    <row r="540" spans="1:8" ht="14.25" customHeight="1" x14ac:dyDescent="0.3">
      <c r="A540" s="261">
        <v>44715</v>
      </c>
      <c r="B540" s="262">
        <v>16584.30078125</v>
      </c>
      <c r="C540" s="262">
        <v>3820.10009765625</v>
      </c>
      <c r="D540" s="259"/>
      <c r="E540" s="263">
        <f t="shared" si="16"/>
        <v>-2.6280502014674042E-3</v>
      </c>
      <c r="F540" s="263">
        <f t="shared" si="17"/>
        <v>-9.5412910936935637E-3</v>
      </c>
      <c r="G540" s="259"/>
      <c r="H540" s="259"/>
    </row>
    <row r="541" spans="1:8" ht="14.25" customHeight="1" x14ac:dyDescent="0.3">
      <c r="A541" s="261">
        <v>44718</v>
      </c>
      <c r="B541" s="262">
        <v>16569.55078125</v>
      </c>
      <c r="C541" s="262">
        <v>3734.75</v>
      </c>
      <c r="D541" s="259"/>
      <c r="E541" s="263">
        <f t="shared" si="16"/>
        <v>-8.893953501299351E-4</v>
      </c>
      <c r="F541" s="263">
        <f t="shared" si="17"/>
        <v>-2.2342372051615857E-2</v>
      </c>
      <c r="G541" s="259"/>
      <c r="H541" s="259"/>
    </row>
    <row r="542" spans="1:8" ht="14.25" customHeight="1" x14ac:dyDescent="0.3">
      <c r="A542" s="261">
        <v>44719</v>
      </c>
      <c r="B542" s="262">
        <v>16416.349609375</v>
      </c>
      <c r="C542" s="262">
        <v>3726.69995117188</v>
      </c>
      <c r="D542" s="259"/>
      <c r="E542" s="263">
        <f t="shared" si="16"/>
        <v>-9.2459460064760173E-3</v>
      </c>
      <c r="F542" s="263">
        <f t="shared" si="17"/>
        <v>-2.1554451645009699E-3</v>
      </c>
      <c r="G542" s="259"/>
      <c r="H542" s="259"/>
    </row>
    <row r="543" spans="1:8" ht="14.25" customHeight="1" x14ac:dyDescent="0.3">
      <c r="A543" s="261">
        <v>44720</v>
      </c>
      <c r="B543" s="262">
        <v>16356.25</v>
      </c>
      <c r="C543" s="262">
        <v>3739.39990234375</v>
      </c>
      <c r="D543" s="259"/>
      <c r="E543" s="263">
        <f t="shared" si="16"/>
        <v>-3.6609606157923498E-3</v>
      </c>
      <c r="F543" s="263">
        <f t="shared" si="17"/>
        <v>3.4078276593951257E-3</v>
      </c>
      <c r="G543" s="259"/>
      <c r="H543" s="259"/>
    </row>
    <row r="544" spans="1:8" ht="14.25" customHeight="1" x14ac:dyDescent="0.3">
      <c r="A544" s="261">
        <v>44721</v>
      </c>
      <c r="B544" s="262">
        <v>16478.099609375</v>
      </c>
      <c r="C544" s="262">
        <v>3830.35009765625</v>
      </c>
      <c r="D544" s="259"/>
      <c r="E544" s="263">
        <f t="shared" si="16"/>
        <v>7.4497277416889565E-3</v>
      </c>
      <c r="F544" s="263">
        <f t="shared" si="17"/>
        <v>2.4322136622909732E-2</v>
      </c>
      <c r="G544" s="259"/>
      <c r="H544" s="259"/>
    </row>
    <row r="545" spans="1:8" ht="14.25" customHeight="1" x14ac:dyDescent="0.3">
      <c r="A545" s="261">
        <v>44722</v>
      </c>
      <c r="B545" s="262">
        <v>16201.7998046875</v>
      </c>
      <c r="C545" s="262">
        <v>3755.64990234375</v>
      </c>
      <c r="D545" s="259"/>
      <c r="E545" s="263">
        <f t="shared" si="16"/>
        <v>-1.6767698414100061E-2</v>
      </c>
      <c r="F545" s="263">
        <f t="shared" si="17"/>
        <v>-1.9502184763269616E-2</v>
      </c>
      <c r="G545" s="259"/>
      <c r="H545" s="259"/>
    </row>
    <row r="546" spans="1:8" ht="14.25" customHeight="1" x14ac:dyDescent="0.3">
      <c r="A546" s="261">
        <v>44725</v>
      </c>
      <c r="B546" s="262">
        <v>15774.400390625</v>
      </c>
      <c r="C546" s="262">
        <v>3661.60009765625</v>
      </c>
      <c r="D546" s="259"/>
      <c r="E546" s="263">
        <f t="shared" si="16"/>
        <v>-2.6379749115209097E-2</v>
      </c>
      <c r="F546" s="263">
        <f t="shared" si="17"/>
        <v>-2.5042218293245943E-2</v>
      </c>
      <c r="G546" s="259"/>
      <c r="H546" s="259"/>
    </row>
    <row r="547" spans="1:8" ht="14.25" customHeight="1" x14ac:dyDescent="0.3">
      <c r="A547" s="261">
        <v>44726</v>
      </c>
      <c r="B547" s="262">
        <v>15732.099609375</v>
      </c>
      <c r="C547" s="262">
        <v>3648.30004882813</v>
      </c>
      <c r="D547" s="259"/>
      <c r="E547" s="263">
        <f t="shared" si="16"/>
        <v>-2.6816094559854137E-3</v>
      </c>
      <c r="F547" s="263">
        <f t="shared" si="17"/>
        <v>-3.6323051325657363E-3</v>
      </c>
      <c r="G547" s="259"/>
      <c r="H547" s="259"/>
    </row>
    <row r="548" spans="1:8" ht="14.25" customHeight="1" x14ac:dyDescent="0.3">
      <c r="A548" s="261">
        <v>44727</v>
      </c>
      <c r="B548" s="262">
        <v>15692.150390625</v>
      </c>
      <c r="C548" s="262">
        <v>3662.89990234375</v>
      </c>
      <c r="D548" s="259"/>
      <c r="E548" s="263">
        <f t="shared" si="16"/>
        <v>-2.5393443813560425E-3</v>
      </c>
      <c r="F548" s="263">
        <f t="shared" si="17"/>
        <v>4.0018236768408384E-3</v>
      </c>
      <c r="G548" s="259"/>
      <c r="H548" s="259"/>
    </row>
    <row r="549" spans="1:8" ht="14.25" customHeight="1" x14ac:dyDescent="0.3">
      <c r="A549" s="261">
        <v>44728</v>
      </c>
      <c r="B549" s="262">
        <v>15360.599609375</v>
      </c>
      <c r="C549" s="262">
        <v>3682.60009765625</v>
      </c>
      <c r="D549" s="259"/>
      <c r="E549" s="263">
        <f t="shared" si="16"/>
        <v>-2.1128447854290206E-2</v>
      </c>
      <c r="F549" s="263">
        <f t="shared" si="17"/>
        <v>5.3783056697494233E-3</v>
      </c>
      <c r="G549" s="259"/>
      <c r="H549" s="259"/>
    </row>
    <row r="550" spans="1:8" ht="14.25" customHeight="1" x14ac:dyDescent="0.3">
      <c r="A550" s="261">
        <v>44729</v>
      </c>
      <c r="B550" s="262">
        <v>15293.5</v>
      </c>
      <c r="C550" s="262">
        <v>3460.55004882813</v>
      </c>
      <c r="D550" s="259"/>
      <c r="E550" s="263">
        <f t="shared" si="16"/>
        <v>-4.3682936266398898E-3</v>
      </c>
      <c r="F550" s="263">
        <f t="shared" si="17"/>
        <v>-6.0297084380528117E-2</v>
      </c>
      <c r="G550" s="259"/>
      <c r="H550" s="259"/>
    </row>
    <row r="551" spans="1:8" ht="14.25" customHeight="1" x14ac:dyDescent="0.3">
      <c r="A551" s="261">
        <v>44732</v>
      </c>
      <c r="B551" s="262">
        <v>15350.150390625</v>
      </c>
      <c r="C551" s="262">
        <v>3479.10009765625</v>
      </c>
      <c r="D551" s="259"/>
      <c r="E551" s="263">
        <f t="shared" si="16"/>
        <v>3.7042135956452085E-3</v>
      </c>
      <c r="F551" s="263">
        <f t="shared" si="17"/>
        <v>5.3604336207770577E-3</v>
      </c>
      <c r="G551" s="259"/>
      <c r="H551" s="259"/>
    </row>
    <row r="552" spans="1:8" ht="14.25" customHeight="1" x14ac:dyDescent="0.3">
      <c r="A552" s="261">
        <v>44733</v>
      </c>
      <c r="B552" s="262">
        <v>15638.7998046875</v>
      </c>
      <c r="C552" s="262">
        <v>3519.55004882813</v>
      </c>
      <c r="D552" s="259"/>
      <c r="E552" s="263">
        <f t="shared" si="16"/>
        <v>1.8804337854487124E-2</v>
      </c>
      <c r="F552" s="263">
        <f t="shared" si="17"/>
        <v>1.1626555728916722E-2</v>
      </c>
      <c r="G552" s="259"/>
      <c r="H552" s="259"/>
    </row>
    <row r="553" spans="1:8" ht="14.25" customHeight="1" x14ac:dyDescent="0.3">
      <c r="A553" s="261">
        <v>44734</v>
      </c>
      <c r="B553" s="262">
        <v>15413.2998046875</v>
      </c>
      <c r="C553" s="262">
        <v>3486.35009765625</v>
      </c>
      <c r="D553" s="259"/>
      <c r="E553" s="263">
        <f t="shared" si="16"/>
        <v>-1.4419265085317462E-2</v>
      </c>
      <c r="F553" s="263">
        <f t="shared" si="17"/>
        <v>-9.4330101039291261E-3</v>
      </c>
      <c r="G553" s="259"/>
      <c r="H553" s="259"/>
    </row>
    <row r="554" spans="1:8" ht="14.25" customHeight="1" x14ac:dyDescent="0.3">
      <c r="A554" s="261">
        <v>44735</v>
      </c>
      <c r="B554" s="262">
        <v>15556.650390625</v>
      </c>
      <c r="C554" s="262">
        <v>3440.44995117188</v>
      </c>
      <c r="D554" s="259"/>
      <c r="E554" s="263">
        <f t="shared" si="16"/>
        <v>9.3004475196092756E-3</v>
      </c>
      <c r="F554" s="263">
        <f t="shared" si="17"/>
        <v>-1.316567332558685E-2</v>
      </c>
      <c r="G554" s="259"/>
      <c r="H554" s="259"/>
    </row>
    <row r="555" spans="1:8" ht="14.25" customHeight="1" x14ac:dyDescent="0.3">
      <c r="A555" s="261">
        <v>44736</v>
      </c>
      <c r="B555" s="262">
        <v>15699.25</v>
      </c>
      <c r="C555" s="262">
        <v>3412</v>
      </c>
      <c r="D555" s="259"/>
      <c r="E555" s="263">
        <f t="shared" si="16"/>
        <v>9.1664725885294493E-3</v>
      </c>
      <c r="F555" s="263">
        <f t="shared" si="17"/>
        <v>-8.2692530266831616E-3</v>
      </c>
      <c r="G555" s="259"/>
      <c r="H555" s="259"/>
    </row>
    <row r="556" spans="1:8" ht="14.25" customHeight="1" x14ac:dyDescent="0.3">
      <c r="A556" s="261">
        <v>44739</v>
      </c>
      <c r="B556" s="262">
        <v>15832.0498046875</v>
      </c>
      <c r="C556" s="262">
        <v>3408.60009765625</v>
      </c>
      <c r="D556" s="259"/>
      <c r="E556" s="263">
        <f t="shared" si="16"/>
        <v>8.4589903777250505E-3</v>
      </c>
      <c r="F556" s="263">
        <f t="shared" si="17"/>
        <v>-9.9645437976260257E-4</v>
      </c>
      <c r="G556" s="259"/>
      <c r="H556" s="259"/>
    </row>
    <row r="557" spans="1:8" ht="14.25" customHeight="1" x14ac:dyDescent="0.3">
      <c r="A557" s="261">
        <v>44740</v>
      </c>
      <c r="B557" s="262">
        <v>15850.2001953125</v>
      </c>
      <c r="C557" s="262">
        <v>3479.94995117188</v>
      </c>
      <c r="D557" s="259"/>
      <c r="E557" s="263">
        <f t="shared" si="16"/>
        <v>1.14643339611186E-3</v>
      </c>
      <c r="F557" s="263">
        <f t="shared" si="17"/>
        <v>2.0932304016739921E-2</v>
      </c>
      <c r="G557" s="259"/>
      <c r="H557" s="259"/>
    </row>
    <row r="558" spans="1:8" ht="14.25" customHeight="1" x14ac:dyDescent="0.3">
      <c r="A558" s="261">
        <v>44741</v>
      </c>
      <c r="B558" s="262">
        <v>15799.099609375</v>
      </c>
      <c r="C558" s="262">
        <v>3445.25</v>
      </c>
      <c r="D558" s="259"/>
      <c r="E558" s="263">
        <f t="shared" si="16"/>
        <v>-3.2239710103227821E-3</v>
      </c>
      <c r="F558" s="263">
        <f t="shared" si="17"/>
        <v>-9.9713937438079322E-3</v>
      </c>
      <c r="G558" s="259"/>
      <c r="H558" s="259"/>
    </row>
    <row r="559" spans="1:8" ht="14.25" customHeight="1" x14ac:dyDescent="0.3">
      <c r="A559" s="261">
        <v>44742</v>
      </c>
      <c r="B559" s="262">
        <v>15780.25</v>
      </c>
      <c r="C559" s="262">
        <v>3406.10009765625</v>
      </c>
      <c r="D559" s="259"/>
      <c r="E559" s="263">
        <f t="shared" si="16"/>
        <v>-1.1930812414028243E-3</v>
      </c>
      <c r="F559" s="263">
        <f t="shared" si="17"/>
        <v>-1.1363443101008635E-2</v>
      </c>
      <c r="G559" s="259"/>
      <c r="H559" s="259"/>
    </row>
    <row r="560" spans="1:8" ht="14.25" customHeight="1" x14ac:dyDescent="0.3">
      <c r="A560" s="261">
        <v>44743</v>
      </c>
      <c r="B560" s="262">
        <v>15752.0498046875</v>
      </c>
      <c r="C560" s="262">
        <v>3388.75</v>
      </c>
      <c r="D560" s="259"/>
      <c r="E560" s="263">
        <f t="shared" si="16"/>
        <v>-1.7870563085185596E-3</v>
      </c>
      <c r="F560" s="263">
        <f t="shared" si="17"/>
        <v>-5.0938308208231071E-3</v>
      </c>
      <c r="G560" s="259"/>
      <c r="H560" s="259"/>
    </row>
    <row r="561" spans="1:8" ht="14.25" customHeight="1" x14ac:dyDescent="0.3">
      <c r="A561" s="261">
        <v>44746</v>
      </c>
      <c r="B561" s="262">
        <v>15835.349609375</v>
      </c>
      <c r="C561" s="262">
        <v>3495.5</v>
      </c>
      <c r="D561" s="259"/>
      <c r="E561" s="263">
        <f t="shared" si="16"/>
        <v>5.288188249805534E-3</v>
      </c>
      <c r="F561" s="263">
        <f t="shared" si="17"/>
        <v>3.1501291036517887E-2</v>
      </c>
      <c r="G561" s="259"/>
      <c r="H561" s="259"/>
    </row>
    <row r="562" spans="1:8" ht="14.25" customHeight="1" x14ac:dyDescent="0.3">
      <c r="A562" s="261">
        <v>44747</v>
      </c>
      <c r="B562" s="262">
        <v>15810.849609375</v>
      </c>
      <c r="C562" s="262">
        <v>3639.05004882813</v>
      </c>
      <c r="D562" s="259"/>
      <c r="E562" s="263">
        <f t="shared" si="16"/>
        <v>-1.5471713984448608E-3</v>
      </c>
      <c r="F562" s="263">
        <f t="shared" si="17"/>
        <v>4.1067100222609072E-2</v>
      </c>
      <c r="G562" s="259"/>
      <c r="H562" s="259"/>
    </row>
    <row r="563" spans="1:8" ht="14.25" customHeight="1" x14ac:dyDescent="0.3">
      <c r="A563" s="261">
        <v>44748</v>
      </c>
      <c r="B563" s="262">
        <v>15989.7998046875</v>
      </c>
      <c r="C563" s="262">
        <v>3792</v>
      </c>
      <c r="D563" s="259"/>
      <c r="E563" s="263">
        <f t="shared" si="16"/>
        <v>1.1318189707300232E-2</v>
      </c>
      <c r="F563" s="263">
        <f t="shared" si="17"/>
        <v>4.2030186207832977E-2</v>
      </c>
      <c r="G563" s="259"/>
      <c r="H563" s="259"/>
    </row>
    <row r="564" spans="1:8" ht="14.25" customHeight="1" x14ac:dyDescent="0.3">
      <c r="A564" s="261">
        <v>44749</v>
      </c>
      <c r="B564" s="262">
        <v>16132.900390625</v>
      </c>
      <c r="C564" s="262">
        <v>3850.94995117188</v>
      </c>
      <c r="D564" s="259"/>
      <c r="E564" s="263">
        <f t="shared" si="16"/>
        <v>8.9494920315105666E-3</v>
      </c>
      <c r="F564" s="263">
        <f t="shared" si="17"/>
        <v>1.5545873199335444E-2</v>
      </c>
      <c r="G564" s="259"/>
      <c r="H564" s="259"/>
    </row>
    <row r="565" spans="1:8" ht="14.25" customHeight="1" x14ac:dyDescent="0.3">
      <c r="A565" s="261">
        <v>44750</v>
      </c>
      <c r="B565" s="262">
        <v>16220.599609375</v>
      </c>
      <c r="C565" s="262">
        <v>3941.69995117188</v>
      </c>
      <c r="D565" s="259"/>
      <c r="E565" s="263">
        <f t="shared" si="16"/>
        <v>5.436047866567313E-3</v>
      </c>
      <c r="F565" s="263">
        <f t="shared" si="17"/>
        <v>2.3565613978541563E-2</v>
      </c>
      <c r="G565" s="259"/>
      <c r="H565" s="259"/>
    </row>
    <row r="566" spans="1:8" ht="14.25" customHeight="1" x14ac:dyDescent="0.3">
      <c r="A566" s="261">
        <v>44753</v>
      </c>
      <c r="B566" s="262">
        <v>16216</v>
      </c>
      <c r="C566" s="262">
        <v>3986.85009765625</v>
      </c>
      <c r="D566" s="259"/>
      <c r="E566" s="263">
        <f t="shared" si="16"/>
        <v>-2.8356592763325282E-4</v>
      </c>
      <c r="F566" s="263">
        <f t="shared" si="17"/>
        <v>1.1454485892805391E-2</v>
      </c>
      <c r="G566" s="259"/>
      <c r="H566" s="259"/>
    </row>
    <row r="567" spans="1:8" ht="14.25" customHeight="1" x14ac:dyDescent="0.3">
      <c r="A567" s="261">
        <v>44754</v>
      </c>
      <c r="B567" s="262">
        <v>16058.2998046875</v>
      </c>
      <c r="C567" s="262">
        <v>3878.39990234375</v>
      </c>
      <c r="D567" s="259"/>
      <c r="E567" s="263">
        <f t="shared" si="16"/>
        <v>-9.7249750439380861E-3</v>
      </c>
      <c r="F567" s="263">
        <f t="shared" si="17"/>
        <v>-2.7201974655694888E-2</v>
      </c>
      <c r="G567" s="259"/>
      <c r="H567" s="259"/>
    </row>
    <row r="568" spans="1:8" ht="14.25" customHeight="1" x14ac:dyDescent="0.3">
      <c r="A568" s="261">
        <v>44755</v>
      </c>
      <c r="B568" s="262">
        <v>15966.650390625</v>
      </c>
      <c r="C568" s="262">
        <v>3883.35009765625</v>
      </c>
      <c r="D568" s="259"/>
      <c r="E568" s="263">
        <f t="shared" si="16"/>
        <v>-5.707292501522924E-3</v>
      </c>
      <c r="F568" s="263">
        <f t="shared" si="17"/>
        <v>1.2763498961281829E-3</v>
      </c>
      <c r="G568" s="259"/>
      <c r="H568" s="259"/>
    </row>
    <row r="569" spans="1:8" ht="14.25" customHeight="1" x14ac:dyDescent="0.3">
      <c r="A569" s="261">
        <v>44756</v>
      </c>
      <c r="B569" s="262">
        <v>15938.650390625</v>
      </c>
      <c r="C569" s="262">
        <v>3924.85009765625</v>
      </c>
      <c r="D569" s="259"/>
      <c r="E569" s="263">
        <f t="shared" si="16"/>
        <v>-1.7536552323109999E-3</v>
      </c>
      <c r="F569" s="263">
        <f t="shared" si="17"/>
        <v>1.068664914478013E-2</v>
      </c>
      <c r="G569" s="259"/>
      <c r="H569" s="259"/>
    </row>
    <row r="570" spans="1:8" ht="14.25" customHeight="1" x14ac:dyDescent="0.3">
      <c r="A570" s="261">
        <v>44757</v>
      </c>
      <c r="B570" s="262">
        <v>16049.2001953125</v>
      </c>
      <c r="C570" s="262">
        <v>3926.80004882813</v>
      </c>
      <c r="D570" s="259"/>
      <c r="E570" s="263">
        <f t="shared" si="16"/>
        <v>6.9359576863875878E-3</v>
      </c>
      <c r="F570" s="263">
        <f t="shared" si="17"/>
        <v>4.9682182079881937E-4</v>
      </c>
      <c r="G570" s="259"/>
      <c r="H570" s="259"/>
    </row>
    <row r="571" spans="1:8" ht="14.25" customHeight="1" x14ac:dyDescent="0.3">
      <c r="A571" s="261">
        <v>44760</v>
      </c>
      <c r="B571" s="262">
        <v>16278.5</v>
      </c>
      <c r="C571" s="262">
        <v>3945.75</v>
      </c>
      <c r="D571" s="259"/>
      <c r="E571" s="263">
        <f t="shared" si="16"/>
        <v>1.4287304158276481E-2</v>
      </c>
      <c r="F571" s="263">
        <f t="shared" si="17"/>
        <v>4.8257998717111169E-3</v>
      </c>
      <c r="G571" s="259"/>
      <c r="H571" s="259"/>
    </row>
    <row r="572" spans="1:8" ht="14.25" customHeight="1" x14ac:dyDescent="0.3">
      <c r="A572" s="261">
        <v>44761</v>
      </c>
      <c r="B572" s="262">
        <v>16340.5498046875</v>
      </c>
      <c r="C572" s="262">
        <v>3931.30004882813</v>
      </c>
      <c r="D572" s="259"/>
      <c r="E572" s="263">
        <f t="shared" si="16"/>
        <v>3.8117642711244892E-3</v>
      </c>
      <c r="F572" s="263">
        <f t="shared" si="17"/>
        <v>-3.6621557807438379E-3</v>
      </c>
      <c r="G572" s="259"/>
      <c r="H572" s="259"/>
    </row>
    <row r="573" spans="1:8" ht="14.25" customHeight="1" x14ac:dyDescent="0.3">
      <c r="A573" s="261">
        <v>44762</v>
      </c>
      <c r="B573" s="262">
        <v>16520.849609375</v>
      </c>
      <c r="C573" s="262">
        <v>3915.44995117188</v>
      </c>
      <c r="D573" s="259"/>
      <c r="E573" s="263">
        <f t="shared" si="16"/>
        <v>1.1033888506969248E-2</v>
      </c>
      <c r="F573" s="263">
        <f t="shared" si="17"/>
        <v>-4.0317700148516291E-3</v>
      </c>
      <c r="G573" s="259"/>
      <c r="H573" s="259"/>
    </row>
    <row r="574" spans="1:8" ht="14.25" customHeight="1" x14ac:dyDescent="0.3">
      <c r="A574" s="261">
        <v>44763</v>
      </c>
      <c r="B574" s="262">
        <v>16605.25</v>
      </c>
      <c r="C574" s="262">
        <v>4035.35009765625</v>
      </c>
      <c r="D574" s="259"/>
      <c r="E574" s="263">
        <f t="shared" si="16"/>
        <v>5.1087197462959628E-3</v>
      </c>
      <c r="F574" s="263">
        <f t="shared" si="17"/>
        <v>3.0622316203654784E-2</v>
      </c>
      <c r="G574" s="259"/>
      <c r="H574" s="259"/>
    </row>
    <row r="575" spans="1:8" ht="14.25" customHeight="1" x14ac:dyDescent="0.3">
      <c r="A575" s="261">
        <v>44764</v>
      </c>
      <c r="B575" s="262">
        <v>16719.44921875</v>
      </c>
      <c r="C575" s="262">
        <v>3963.39990234375</v>
      </c>
      <c r="D575" s="259"/>
      <c r="E575" s="263">
        <f t="shared" si="16"/>
        <v>6.8772959606148657E-3</v>
      </c>
      <c r="F575" s="263">
        <f t="shared" si="17"/>
        <v>-1.7829975980098729E-2</v>
      </c>
      <c r="G575" s="259"/>
      <c r="H575" s="259"/>
    </row>
    <row r="576" spans="1:8" ht="14.25" customHeight="1" x14ac:dyDescent="0.3">
      <c r="A576" s="261">
        <v>44767</v>
      </c>
      <c r="B576" s="262">
        <v>16631</v>
      </c>
      <c r="C576" s="262">
        <v>4040.05004882813</v>
      </c>
      <c r="D576" s="259"/>
      <c r="E576" s="263">
        <f t="shared" si="16"/>
        <v>-5.2901993117577557E-3</v>
      </c>
      <c r="F576" s="263">
        <f t="shared" si="17"/>
        <v>1.9339493458394915E-2</v>
      </c>
      <c r="G576" s="259"/>
      <c r="H576" s="259"/>
    </row>
    <row r="577" spans="1:8" ht="14.25" customHeight="1" x14ac:dyDescent="0.3">
      <c r="A577" s="261">
        <v>44768</v>
      </c>
      <c r="B577" s="262">
        <v>16483.849609375</v>
      </c>
      <c r="C577" s="262">
        <v>3932.39990234375</v>
      </c>
      <c r="D577" s="259"/>
      <c r="E577" s="263">
        <f t="shared" si="16"/>
        <v>-8.8479580677650171E-3</v>
      </c>
      <c r="F577" s="263">
        <f t="shared" si="17"/>
        <v>-2.6645745766343997E-2</v>
      </c>
      <c r="G577" s="259"/>
      <c r="H577" s="259"/>
    </row>
    <row r="578" spans="1:8" ht="14.25" customHeight="1" x14ac:dyDescent="0.3">
      <c r="A578" s="261">
        <v>44769</v>
      </c>
      <c r="B578" s="262">
        <v>16641.80078125</v>
      </c>
      <c r="C578" s="262">
        <v>4000.94995117188</v>
      </c>
      <c r="D578" s="259"/>
      <c r="E578" s="263">
        <f t="shared" si="16"/>
        <v>9.5821774414374099E-3</v>
      </c>
      <c r="F578" s="263">
        <f t="shared" si="17"/>
        <v>1.7432115382586974E-2</v>
      </c>
      <c r="G578" s="259"/>
      <c r="H578" s="259"/>
    </row>
    <row r="579" spans="1:8" ht="14.25" customHeight="1" x14ac:dyDescent="0.3">
      <c r="A579" s="261">
        <v>44770</v>
      </c>
      <c r="B579" s="262">
        <v>16929.599609375</v>
      </c>
      <c r="C579" s="262">
        <v>4147.7998046875</v>
      </c>
      <c r="D579" s="259"/>
      <c r="E579" s="263">
        <f t="shared" ref="E579:E642" si="18">(B579-B578)/B578</f>
        <v>1.7293731123692903E-2</v>
      </c>
      <c r="F579" s="263">
        <f t="shared" ref="F579:F642" si="19">(C579-C578)/C578</f>
        <v>3.6703746687110544E-2</v>
      </c>
      <c r="G579" s="259"/>
      <c r="H579" s="259"/>
    </row>
    <row r="580" spans="1:8" ht="14.25" customHeight="1" x14ac:dyDescent="0.3">
      <c r="A580" s="261">
        <v>44771</v>
      </c>
      <c r="B580" s="262">
        <v>17158.25</v>
      </c>
      <c r="C580" s="262">
        <v>4243.85009765625</v>
      </c>
      <c r="D580" s="259"/>
      <c r="E580" s="263">
        <f t="shared" si="18"/>
        <v>1.3505953826479256E-2</v>
      </c>
      <c r="F580" s="263">
        <f t="shared" si="19"/>
        <v>2.3156925958721996E-2</v>
      </c>
      <c r="G580" s="259"/>
      <c r="H580" s="259"/>
    </row>
    <row r="581" spans="1:8" ht="14.25" customHeight="1" x14ac:dyDescent="0.3">
      <c r="A581" s="261">
        <v>44774</v>
      </c>
      <c r="B581" s="262">
        <v>17340.05078125</v>
      </c>
      <c r="C581" s="262">
        <v>4307.64990234375</v>
      </c>
      <c r="D581" s="259"/>
      <c r="E581" s="263">
        <f t="shared" si="18"/>
        <v>1.059553166843938E-2</v>
      </c>
      <c r="F581" s="263">
        <f t="shared" si="19"/>
        <v>1.5033472723915179E-2</v>
      </c>
      <c r="G581" s="259"/>
      <c r="H581" s="259"/>
    </row>
    <row r="582" spans="1:8" ht="14.25" customHeight="1" x14ac:dyDescent="0.3">
      <c r="A582" s="261">
        <v>44775</v>
      </c>
      <c r="B582" s="262">
        <v>17345.44921875</v>
      </c>
      <c r="C582" s="262">
        <v>4259.10009765625</v>
      </c>
      <c r="D582" s="259"/>
      <c r="E582" s="263">
        <f t="shared" si="18"/>
        <v>3.1132766380577117E-4</v>
      </c>
      <c r="F582" s="263">
        <f t="shared" si="19"/>
        <v>-1.1270601322796574E-2</v>
      </c>
      <c r="G582" s="259"/>
      <c r="H582" s="259"/>
    </row>
    <row r="583" spans="1:8" ht="14.25" customHeight="1" x14ac:dyDescent="0.3">
      <c r="A583" s="261">
        <v>44776</v>
      </c>
      <c r="B583" s="262">
        <v>17388.150390625</v>
      </c>
      <c r="C583" s="262">
        <v>4253.14990234375</v>
      </c>
      <c r="D583" s="259"/>
      <c r="E583" s="263">
        <f t="shared" si="18"/>
        <v>2.4618083588657416E-3</v>
      </c>
      <c r="F583" s="263">
        <f t="shared" si="19"/>
        <v>-1.3970545833788567E-3</v>
      </c>
      <c r="G583" s="259"/>
      <c r="H583" s="259"/>
    </row>
    <row r="584" spans="1:8" ht="14.25" customHeight="1" x14ac:dyDescent="0.3">
      <c r="A584" s="261">
        <v>44777</v>
      </c>
      <c r="B584" s="262">
        <v>17382</v>
      </c>
      <c r="C584" s="262">
        <v>4239.10009765625</v>
      </c>
      <c r="D584" s="259"/>
      <c r="E584" s="263">
        <f t="shared" si="18"/>
        <v>-3.537116074356043E-4</v>
      </c>
      <c r="F584" s="263">
        <f t="shared" si="19"/>
        <v>-3.3033880794461731E-3</v>
      </c>
      <c r="G584" s="259"/>
      <c r="H584" s="259"/>
    </row>
    <row r="585" spans="1:8" ht="14.25" customHeight="1" x14ac:dyDescent="0.3">
      <c r="A585" s="261">
        <v>44778</v>
      </c>
      <c r="B585" s="262">
        <v>17397.5</v>
      </c>
      <c r="C585" s="262">
        <v>4232.25</v>
      </c>
      <c r="D585" s="259"/>
      <c r="E585" s="263">
        <f t="shared" si="18"/>
        <v>8.9172707398458174E-4</v>
      </c>
      <c r="F585" s="263">
        <f t="shared" si="19"/>
        <v>-1.615932037093755E-3</v>
      </c>
      <c r="G585" s="259"/>
      <c r="H585" s="259"/>
    </row>
    <row r="586" spans="1:8" ht="14.25" customHeight="1" x14ac:dyDescent="0.3">
      <c r="A586" s="261">
        <v>44781</v>
      </c>
      <c r="B586" s="262">
        <v>17525.099609375</v>
      </c>
      <c r="C586" s="262">
        <v>4250.0498046875</v>
      </c>
      <c r="D586" s="259"/>
      <c r="E586" s="263">
        <f t="shared" si="18"/>
        <v>7.3343646716482252E-3</v>
      </c>
      <c r="F586" s="263">
        <f t="shared" si="19"/>
        <v>4.2057545484080576E-3</v>
      </c>
      <c r="G586" s="259"/>
      <c r="H586" s="259"/>
    </row>
    <row r="587" spans="1:8" ht="14.25" customHeight="1" x14ac:dyDescent="0.3">
      <c r="A587" s="261">
        <v>44783</v>
      </c>
      <c r="B587" s="262">
        <v>17534.75</v>
      </c>
      <c r="C587" s="262">
        <v>4250.7001953125</v>
      </c>
      <c r="D587" s="259"/>
      <c r="E587" s="263">
        <f t="shared" si="18"/>
        <v>5.5066109979982946E-4</v>
      </c>
      <c r="F587" s="263">
        <f t="shared" si="19"/>
        <v>1.53031294899807E-4</v>
      </c>
      <c r="G587" s="259"/>
      <c r="H587" s="259"/>
    </row>
    <row r="588" spans="1:8" ht="14.25" customHeight="1" x14ac:dyDescent="0.3">
      <c r="A588" s="261">
        <v>44784</v>
      </c>
      <c r="B588" s="262">
        <v>17659</v>
      </c>
      <c r="C588" s="262">
        <v>4274.85009765625</v>
      </c>
      <c r="D588" s="259"/>
      <c r="E588" s="263">
        <f t="shared" si="18"/>
        <v>7.0859293688247619E-3</v>
      </c>
      <c r="F588" s="263">
        <f t="shared" si="19"/>
        <v>5.6813939431394232E-3</v>
      </c>
      <c r="G588" s="259"/>
      <c r="H588" s="259"/>
    </row>
    <row r="589" spans="1:8" ht="14.25" customHeight="1" x14ac:dyDescent="0.3">
      <c r="A589" s="261">
        <v>44785</v>
      </c>
      <c r="B589" s="262">
        <v>17698.150390625</v>
      </c>
      <c r="C589" s="262">
        <v>4336.7001953125</v>
      </c>
      <c r="D589" s="259"/>
      <c r="E589" s="263">
        <f t="shared" si="18"/>
        <v>2.2170219505634522E-3</v>
      </c>
      <c r="F589" s="263">
        <f t="shared" si="19"/>
        <v>1.4468366432348174E-2</v>
      </c>
      <c r="G589" s="259"/>
      <c r="H589" s="259"/>
    </row>
    <row r="590" spans="1:8" ht="14.25" customHeight="1" x14ac:dyDescent="0.3">
      <c r="A590" s="261">
        <v>44789</v>
      </c>
      <c r="B590" s="262">
        <v>17825.25</v>
      </c>
      <c r="C590" s="262">
        <v>4402.10009765625</v>
      </c>
      <c r="D590" s="259"/>
      <c r="E590" s="263">
        <f t="shared" si="18"/>
        <v>7.18151934353133E-3</v>
      </c>
      <c r="F590" s="263">
        <f t="shared" si="19"/>
        <v>1.5080568035217229E-2</v>
      </c>
      <c r="G590" s="259"/>
      <c r="H590" s="259"/>
    </row>
    <row r="591" spans="1:8" ht="14.25" customHeight="1" x14ac:dyDescent="0.3">
      <c r="A591" s="261">
        <v>44790</v>
      </c>
      <c r="B591" s="262">
        <v>17944.25</v>
      </c>
      <c r="C591" s="262">
        <v>4398.64990234375</v>
      </c>
      <c r="D591" s="259"/>
      <c r="E591" s="263">
        <f t="shared" si="18"/>
        <v>6.675923198833116E-3</v>
      </c>
      <c r="F591" s="263">
        <f t="shared" si="19"/>
        <v>-7.8376121304850387E-4</v>
      </c>
      <c r="G591" s="259"/>
      <c r="H591" s="259"/>
    </row>
    <row r="592" spans="1:8" ht="14.25" customHeight="1" x14ac:dyDescent="0.3">
      <c r="A592" s="261">
        <v>44791</v>
      </c>
      <c r="B592" s="262">
        <v>17956.5</v>
      </c>
      <c r="C592" s="262">
        <v>4460.9501953125</v>
      </c>
      <c r="D592" s="259"/>
      <c r="E592" s="263">
        <f t="shared" si="18"/>
        <v>6.8266993605193866E-4</v>
      </c>
      <c r="F592" s="263">
        <f t="shared" si="19"/>
        <v>1.4163503427620891E-2</v>
      </c>
      <c r="G592" s="259"/>
      <c r="H592" s="259"/>
    </row>
    <row r="593" spans="1:8" ht="14.25" customHeight="1" x14ac:dyDescent="0.3">
      <c r="A593" s="261">
        <v>44792</v>
      </c>
      <c r="B593" s="262">
        <v>17758.44921875</v>
      </c>
      <c r="C593" s="262">
        <v>4382</v>
      </c>
      <c r="D593" s="259"/>
      <c r="E593" s="263">
        <f t="shared" si="18"/>
        <v>-1.1029475746944004E-2</v>
      </c>
      <c r="F593" s="263">
        <f t="shared" si="19"/>
        <v>-1.7698066971350564E-2</v>
      </c>
      <c r="G593" s="259"/>
      <c r="H593" s="259"/>
    </row>
    <row r="594" spans="1:8" ht="14.25" customHeight="1" x14ac:dyDescent="0.3">
      <c r="A594" s="261">
        <v>44795</v>
      </c>
      <c r="B594" s="262">
        <v>17490.69921875</v>
      </c>
      <c r="C594" s="262">
        <v>4250.75</v>
      </c>
      <c r="D594" s="259"/>
      <c r="E594" s="263">
        <f t="shared" si="18"/>
        <v>-1.5077330047338822E-2</v>
      </c>
      <c r="F594" s="263">
        <f t="shared" si="19"/>
        <v>-2.9952076677316294E-2</v>
      </c>
      <c r="G594" s="259"/>
      <c r="H594" s="259"/>
    </row>
    <row r="595" spans="1:8" ht="14.25" customHeight="1" x14ac:dyDescent="0.3">
      <c r="A595" s="261">
        <v>44796</v>
      </c>
      <c r="B595" s="262">
        <v>17577.5</v>
      </c>
      <c r="C595" s="262">
        <v>4256.9501953125</v>
      </c>
      <c r="D595" s="259"/>
      <c r="E595" s="263">
        <f t="shared" si="18"/>
        <v>4.9626821755044369E-3</v>
      </c>
      <c r="F595" s="263">
        <f t="shared" si="19"/>
        <v>1.4586120831617949E-3</v>
      </c>
      <c r="G595" s="259"/>
      <c r="H595" s="259"/>
    </row>
    <row r="596" spans="1:8" ht="14.25" customHeight="1" x14ac:dyDescent="0.3">
      <c r="A596" s="261">
        <v>44797</v>
      </c>
      <c r="B596" s="262">
        <v>17604.94921875</v>
      </c>
      <c r="C596" s="262">
        <v>4304.25</v>
      </c>
      <c r="D596" s="259"/>
      <c r="E596" s="263">
        <f t="shared" si="18"/>
        <v>1.5616110795050491E-3</v>
      </c>
      <c r="F596" s="263">
        <f t="shared" si="19"/>
        <v>1.1111195226005633E-2</v>
      </c>
      <c r="G596" s="259"/>
      <c r="H596" s="259"/>
    </row>
    <row r="597" spans="1:8" ht="14.25" customHeight="1" x14ac:dyDescent="0.3">
      <c r="A597" s="261">
        <v>44798</v>
      </c>
      <c r="B597" s="262">
        <v>17522.44921875</v>
      </c>
      <c r="C597" s="262">
        <v>4341.25</v>
      </c>
      <c r="D597" s="259"/>
      <c r="E597" s="263">
        <f t="shared" si="18"/>
        <v>-4.686182219266732E-3</v>
      </c>
      <c r="F597" s="263">
        <f t="shared" si="19"/>
        <v>8.5961549631178493E-3</v>
      </c>
      <c r="G597" s="259"/>
      <c r="H597" s="259"/>
    </row>
    <row r="598" spans="1:8" ht="14.25" customHeight="1" x14ac:dyDescent="0.3">
      <c r="A598" s="261">
        <v>44799</v>
      </c>
      <c r="B598" s="262">
        <v>17558.900390625</v>
      </c>
      <c r="C598" s="262">
        <v>4409.64990234375</v>
      </c>
      <c r="D598" s="259"/>
      <c r="E598" s="263">
        <f t="shared" si="18"/>
        <v>2.0802555293466174E-3</v>
      </c>
      <c r="F598" s="263">
        <f t="shared" si="19"/>
        <v>1.5755808198963432E-2</v>
      </c>
      <c r="G598" s="259"/>
      <c r="H598" s="259"/>
    </row>
    <row r="599" spans="1:8" ht="14.25" customHeight="1" x14ac:dyDescent="0.3">
      <c r="A599" s="261">
        <v>44802</v>
      </c>
      <c r="B599" s="262">
        <v>17312.900390625</v>
      </c>
      <c r="C599" s="262">
        <v>4431.5498046875</v>
      </c>
      <c r="D599" s="259"/>
      <c r="E599" s="263">
        <f t="shared" si="18"/>
        <v>-1.400998892455382E-2</v>
      </c>
      <c r="F599" s="263">
        <f t="shared" si="19"/>
        <v>4.9663585156976059E-3</v>
      </c>
      <c r="G599" s="259"/>
      <c r="H599" s="259"/>
    </row>
    <row r="600" spans="1:8" ht="14.25" customHeight="1" x14ac:dyDescent="0.3">
      <c r="A600" s="261">
        <v>44803</v>
      </c>
      <c r="B600" s="262">
        <v>17759.30078125</v>
      </c>
      <c r="C600" s="262">
        <v>4531.35009765625</v>
      </c>
      <c r="D600" s="259"/>
      <c r="E600" s="263">
        <f t="shared" si="18"/>
        <v>2.5784263789025638E-2</v>
      </c>
      <c r="F600" s="263">
        <f t="shared" si="19"/>
        <v>2.2520404230408422E-2</v>
      </c>
      <c r="G600" s="259"/>
      <c r="H600" s="259"/>
    </row>
    <row r="601" spans="1:8" ht="14.25" customHeight="1" x14ac:dyDescent="0.3">
      <c r="A601" s="261">
        <v>44805</v>
      </c>
      <c r="B601" s="262">
        <v>17542.80078125</v>
      </c>
      <c r="C601" s="262">
        <v>4565.85009765625</v>
      </c>
      <c r="D601" s="259"/>
      <c r="E601" s="263">
        <f t="shared" si="18"/>
        <v>-1.2190795272107639E-2</v>
      </c>
      <c r="F601" s="263">
        <f t="shared" si="19"/>
        <v>7.6136249145358319E-3</v>
      </c>
      <c r="G601" s="259"/>
      <c r="H601" s="259"/>
    </row>
    <row r="602" spans="1:8" ht="14.25" customHeight="1" x14ac:dyDescent="0.3">
      <c r="A602" s="261">
        <v>44806</v>
      </c>
      <c r="B602" s="262">
        <v>17539.44921875</v>
      </c>
      <c r="C602" s="262">
        <v>4576.7998046875</v>
      </c>
      <c r="D602" s="259"/>
      <c r="E602" s="263">
        <f t="shared" si="18"/>
        <v>-1.9105059344812252E-4</v>
      </c>
      <c r="F602" s="263">
        <f t="shared" si="19"/>
        <v>2.3981748846443125E-3</v>
      </c>
      <c r="G602" s="259"/>
      <c r="H602" s="259"/>
    </row>
    <row r="603" spans="1:8" ht="14.25" customHeight="1" x14ac:dyDescent="0.3">
      <c r="A603" s="261">
        <v>44809</v>
      </c>
      <c r="B603" s="262">
        <v>17665.80078125</v>
      </c>
      <c r="C603" s="262">
        <v>4577.4501953125</v>
      </c>
      <c r="D603" s="259"/>
      <c r="E603" s="263">
        <f t="shared" si="18"/>
        <v>7.2038500710117975E-3</v>
      </c>
      <c r="F603" s="263">
        <f t="shared" si="19"/>
        <v>1.4210598076277626E-4</v>
      </c>
      <c r="G603" s="259"/>
      <c r="H603" s="259"/>
    </row>
    <row r="604" spans="1:8" ht="14.25" customHeight="1" x14ac:dyDescent="0.3">
      <c r="A604" s="261">
        <v>44810</v>
      </c>
      <c r="B604" s="262">
        <v>17655.599609375</v>
      </c>
      <c r="C604" s="262">
        <v>4557.10009765625</v>
      </c>
      <c r="D604" s="259"/>
      <c r="E604" s="263">
        <f t="shared" si="18"/>
        <v>-5.7745312546642362E-4</v>
      </c>
      <c r="F604" s="263">
        <f t="shared" si="19"/>
        <v>-4.4457278152560458E-3</v>
      </c>
      <c r="G604" s="259"/>
      <c r="H604" s="259"/>
    </row>
    <row r="605" spans="1:8" ht="14.25" customHeight="1" x14ac:dyDescent="0.3">
      <c r="A605" s="261">
        <v>44811</v>
      </c>
      <c r="B605" s="262">
        <v>17624.400390625</v>
      </c>
      <c r="C605" s="262">
        <v>4426.2998046875</v>
      </c>
      <c r="D605" s="259"/>
      <c r="E605" s="263">
        <f t="shared" si="18"/>
        <v>-1.7671004916442166E-3</v>
      </c>
      <c r="F605" s="263">
        <f t="shared" si="19"/>
        <v>-2.8702527959836025E-2</v>
      </c>
      <c r="G605" s="259"/>
      <c r="H605" s="259"/>
    </row>
    <row r="606" spans="1:8" ht="14.25" customHeight="1" x14ac:dyDescent="0.3">
      <c r="A606" s="261">
        <v>44812</v>
      </c>
      <c r="B606" s="262">
        <v>17798.75</v>
      </c>
      <c r="C606" s="262">
        <v>4406.0498046875</v>
      </c>
      <c r="D606" s="259"/>
      <c r="E606" s="263">
        <f t="shared" si="18"/>
        <v>9.8925129655895866E-3</v>
      </c>
      <c r="F606" s="263">
        <f t="shared" si="19"/>
        <v>-4.5749273419200005E-3</v>
      </c>
      <c r="G606" s="259"/>
      <c r="H606" s="259"/>
    </row>
    <row r="607" spans="1:8" ht="14.25" customHeight="1" x14ac:dyDescent="0.3">
      <c r="A607" s="261">
        <v>44813</v>
      </c>
      <c r="B607" s="262">
        <v>17833.349609375</v>
      </c>
      <c r="C607" s="262">
        <v>4386.10009765625</v>
      </c>
      <c r="D607" s="259"/>
      <c r="E607" s="263">
        <f t="shared" si="18"/>
        <v>1.943934791769085E-3</v>
      </c>
      <c r="F607" s="263">
        <f t="shared" si="19"/>
        <v>-4.5277988029154698E-3</v>
      </c>
      <c r="G607" s="259"/>
      <c r="H607" s="259"/>
    </row>
    <row r="608" spans="1:8" ht="14.25" customHeight="1" x14ac:dyDescent="0.3">
      <c r="A608" s="261">
        <v>44816</v>
      </c>
      <c r="B608" s="262">
        <v>17936.349609375</v>
      </c>
      <c r="C608" s="262">
        <v>4443.9501953125</v>
      </c>
      <c r="D608" s="259"/>
      <c r="E608" s="263">
        <f t="shared" si="18"/>
        <v>5.77569566324505E-3</v>
      </c>
      <c r="F608" s="263">
        <f t="shared" si="19"/>
        <v>1.3189415737949687E-2</v>
      </c>
      <c r="G608" s="259"/>
      <c r="H608" s="259"/>
    </row>
    <row r="609" spans="1:8" ht="14.25" customHeight="1" x14ac:dyDescent="0.3">
      <c r="A609" s="261">
        <v>44817</v>
      </c>
      <c r="B609" s="262">
        <v>18070.05078125</v>
      </c>
      <c r="C609" s="262">
        <v>4493.25</v>
      </c>
      <c r="D609" s="259"/>
      <c r="E609" s="263">
        <f t="shared" si="18"/>
        <v>7.4542019299800475E-3</v>
      </c>
      <c r="F609" s="263">
        <f t="shared" si="19"/>
        <v>1.109368974015543E-2</v>
      </c>
      <c r="G609" s="259"/>
      <c r="H609" s="259"/>
    </row>
    <row r="610" spans="1:8" ht="14.25" customHeight="1" x14ac:dyDescent="0.3">
      <c r="A610" s="261">
        <v>44818</v>
      </c>
      <c r="B610" s="262">
        <v>18003.75</v>
      </c>
      <c r="C610" s="262">
        <v>4478.25</v>
      </c>
      <c r="D610" s="259"/>
      <c r="E610" s="263">
        <f t="shared" si="18"/>
        <v>-3.6690976717561625E-3</v>
      </c>
      <c r="F610" s="263">
        <f t="shared" si="19"/>
        <v>-3.3383408446002335E-3</v>
      </c>
      <c r="G610" s="259"/>
      <c r="H610" s="259"/>
    </row>
    <row r="611" spans="1:8" ht="14.25" customHeight="1" x14ac:dyDescent="0.3">
      <c r="A611" s="261">
        <v>44819</v>
      </c>
      <c r="B611" s="262">
        <v>17877.400390625</v>
      </c>
      <c r="C611" s="262">
        <v>4525.85009765625</v>
      </c>
      <c r="D611" s="259"/>
      <c r="E611" s="263">
        <f t="shared" si="18"/>
        <v>-7.0179606679164064E-3</v>
      </c>
      <c r="F611" s="263">
        <f t="shared" si="19"/>
        <v>1.062917381929325E-2</v>
      </c>
      <c r="G611" s="259"/>
      <c r="H611" s="259"/>
    </row>
    <row r="612" spans="1:8" ht="14.25" customHeight="1" x14ac:dyDescent="0.3">
      <c r="A612" s="261">
        <v>44820</v>
      </c>
      <c r="B612" s="262">
        <v>17530.849609375</v>
      </c>
      <c r="C612" s="262">
        <v>4327.5498046875</v>
      </c>
      <c r="D612" s="259"/>
      <c r="E612" s="263">
        <f t="shared" si="18"/>
        <v>-1.9384853148544628E-2</v>
      </c>
      <c r="F612" s="263">
        <f t="shared" si="19"/>
        <v>-4.3815037769686961E-2</v>
      </c>
      <c r="G612" s="259"/>
      <c r="H612" s="259"/>
    </row>
    <row r="613" spans="1:8" ht="14.25" customHeight="1" x14ac:dyDescent="0.3">
      <c r="A613" s="261">
        <v>44823</v>
      </c>
      <c r="B613" s="262">
        <v>17622.25</v>
      </c>
      <c r="C613" s="262">
        <v>4348</v>
      </c>
      <c r="D613" s="259"/>
      <c r="E613" s="263">
        <f t="shared" si="18"/>
        <v>5.2136885924867933E-3</v>
      </c>
      <c r="F613" s="263">
        <f t="shared" si="19"/>
        <v>4.7255828899643929E-3</v>
      </c>
      <c r="G613" s="259"/>
      <c r="H613" s="259"/>
    </row>
    <row r="614" spans="1:8" ht="14.25" customHeight="1" x14ac:dyDescent="0.3">
      <c r="A614" s="261">
        <v>44824</v>
      </c>
      <c r="B614" s="262">
        <v>17816.25</v>
      </c>
      <c r="C614" s="262">
        <v>4349.2998046875</v>
      </c>
      <c r="D614" s="259"/>
      <c r="E614" s="263">
        <f t="shared" si="18"/>
        <v>1.1008809885230319E-2</v>
      </c>
      <c r="F614" s="263">
        <f t="shared" si="19"/>
        <v>2.9894312040018399E-4</v>
      </c>
      <c r="G614" s="259"/>
      <c r="H614" s="259"/>
    </row>
    <row r="615" spans="1:8" ht="14.25" customHeight="1" x14ac:dyDescent="0.3">
      <c r="A615" s="261">
        <v>44825</v>
      </c>
      <c r="B615" s="262">
        <v>17718.349609375</v>
      </c>
      <c r="C615" s="262">
        <v>4308.7001953125</v>
      </c>
      <c r="D615" s="259"/>
      <c r="E615" s="263">
        <f t="shared" si="18"/>
        <v>-5.4950054374517648E-3</v>
      </c>
      <c r="F615" s="263">
        <f t="shared" si="19"/>
        <v>-9.3347460966575306E-3</v>
      </c>
      <c r="G615" s="259"/>
      <c r="H615" s="259"/>
    </row>
    <row r="616" spans="1:8" ht="14.25" customHeight="1" x14ac:dyDescent="0.3">
      <c r="A616" s="261">
        <v>44826</v>
      </c>
      <c r="B616" s="262">
        <v>17629.80078125</v>
      </c>
      <c r="C616" s="262">
        <v>4431.7001953125</v>
      </c>
      <c r="D616" s="259"/>
      <c r="E616" s="263">
        <f t="shared" si="18"/>
        <v>-4.9975776569025207E-3</v>
      </c>
      <c r="F616" s="263">
        <f t="shared" si="19"/>
        <v>2.8546892200532671E-2</v>
      </c>
      <c r="G616" s="259"/>
      <c r="H616" s="259"/>
    </row>
    <row r="617" spans="1:8" ht="14.25" customHeight="1" x14ac:dyDescent="0.3">
      <c r="A617" s="261">
        <v>44827</v>
      </c>
      <c r="B617" s="262">
        <v>17327.349609375</v>
      </c>
      <c r="C617" s="262">
        <v>4367</v>
      </c>
      <c r="D617" s="259"/>
      <c r="E617" s="263">
        <f t="shared" si="18"/>
        <v>-1.7155677232420515E-2</v>
      </c>
      <c r="F617" s="263">
        <f t="shared" si="19"/>
        <v>-1.4599407103606585E-2</v>
      </c>
      <c r="G617" s="259"/>
      <c r="H617" s="259"/>
    </row>
    <row r="618" spans="1:8" ht="14.25" customHeight="1" x14ac:dyDescent="0.3">
      <c r="A618" s="261">
        <v>44830</v>
      </c>
      <c r="B618" s="262">
        <v>17016.30078125</v>
      </c>
      <c r="C618" s="262">
        <v>4375.2998046875</v>
      </c>
      <c r="D618" s="259"/>
      <c r="E618" s="263">
        <f t="shared" si="18"/>
        <v>-1.7951321762256493E-2</v>
      </c>
      <c r="F618" s="263">
        <f t="shared" si="19"/>
        <v>1.9005735487749027E-3</v>
      </c>
      <c r="G618" s="259"/>
      <c r="H618" s="259"/>
    </row>
    <row r="619" spans="1:8" ht="14.25" customHeight="1" x14ac:dyDescent="0.3">
      <c r="A619" s="261">
        <v>44831</v>
      </c>
      <c r="B619" s="262">
        <v>17007.400390625</v>
      </c>
      <c r="C619" s="262">
        <v>4283.2001953125</v>
      </c>
      <c r="D619" s="259"/>
      <c r="E619" s="263">
        <f t="shared" si="18"/>
        <v>-5.2305085220444639E-4</v>
      </c>
      <c r="F619" s="263">
        <f t="shared" si="19"/>
        <v>-2.1049896803946692E-2</v>
      </c>
      <c r="G619" s="259"/>
      <c r="H619" s="259"/>
    </row>
    <row r="620" spans="1:8" ht="14.25" customHeight="1" x14ac:dyDescent="0.3">
      <c r="A620" s="261">
        <v>44832</v>
      </c>
      <c r="B620" s="262">
        <v>16858.599609375</v>
      </c>
      <c r="C620" s="262">
        <v>4318.14990234375</v>
      </c>
      <c r="D620" s="259"/>
      <c r="E620" s="263">
        <f t="shared" si="18"/>
        <v>-8.7491784653946029E-3</v>
      </c>
      <c r="F620" s="263">
        <f t="shared" si="19"/>
        <v>8.1597183035008909E-3</v>
      </c>
      <c r="G620" s="259"/>
      <c r="H620" s="259"/>
    </row>
    <row r="621" spans="1:8" ht="14.25" customHeight="1" x14ac:dyDescent="0.3">
      <c r="A621" s="261">
        <v>44833</v>
      </c>
      <c r="B621" s="262">
        <v>16818.099609375</v>
      </c>
      <c r="C621" s="262">
        <v>4240.5498046875</v>
      </c>
      <c r="D621" s="259"/>
      <c r="E621" s="263">
        <f t="shared" si="18"/>
        <v>-2.4023347691037229E-3</v>
      </c>
      <c r="F621" s="263">
        <f t="shared" si="19"/>
        <v>-1.7970681752880142E-2</v>
      </c>
      <c r="G621" s="259"/>
      <c r="H621" s="259"/>
    </row>
    <row r="622" spans="1:8" ht="14.25" customHeight="1" x14ac:dyDescent="0.3">
      <c r="A622" s="261">
        <v>44834</v>
      </c>
      <c r="B622" s="262">
        <v>17094.349609375</v>
      </c>
      <c r="C622" s="262">
        <v>4386.5498046875</v>
      </c>
      <c r="D622" s="259"/>
      <c r="E622" s="263">
        <f t="shared" si="18"/>
        <v>1.6425755966269134E-2</v>
      </c>
      <c r="F622" s="263">
        <f t="shared" si="19"/>
        <v>3.4429497759609316E-2</v>
      </c>
      <c r="G622" s="259"/>
      <c r="H622" s="259"/>
    </row>
    <row r="623" spans="1:8" ht="14.25" customHeight="1" x14ac:dyDescent="0.3">
      <c r="A623" s="261">
        <v>44837</v>
      </c>
      <c r="B623" s="262">
        <v>16887.349609375</v>
      </c>
      <c r="C623" s="262">
        <v>4443.75</v>
      </c>
      <c r="D623" s="259"/>
      <c r="E623" s="263">
        <f t="shared" si="18"/>
        <v>-1.2109264448790473E-2</v>
      </c>
      <c r="F623" s="263">
        <f t="shared" si="19"/>
        <v>1.3039905588527786E-2</v>
      </c>
      <c r="G623" s="259"/>
      <c r="H623" s="259"/>
    </row>
    <row r="624" spans="1:8" ht="14.25" customHeight="1" x14ac:dyDescent="0.3">
      <c r="A624" s="261">
        <v>44838</v>
      </c>
      <c r="B624" s="262">
        <v>17274.30078125</v>
      </c>
      <c r="C624" s="262">
        <v>4479.5498046875</v>
      </c>
      <c r="D624" s="259"/>
      <c r="E624" s="263">
        <f t="shared" si="18"/>
        <v>2.2913670932719031E-2</v>
      </c>
      <c r="F624" s="263">
        <f t="shared" si="19"/>
        <v>8.0562148382559776E-3</v>
      </c>
      <c r="G624" s="259"/>
      <c r="H624" s="259"/>
    </row>
    <row r="625" spans="1:8" ht="14.25" customHeight="1" x14ac:dyDescent="0.3">
      <c r="A625" s="261">
        <v>44840</v>
      </c>
      <c r="B625" s="262">
        <v>17331.80078125</v>
      </c>
      <c r="C625" s="262">
        <v>4413.85009765625</v>
      </c>
      <c r="D625" s="259"/>
      <c r="E625" s="263">
        <f t="shared" si="18"/>
        <v>3.3286441360574244E-3</v>
      </c>
      <c r="F625" s="263">
        <f t="shared" si="19"/>
        <v>-1.4666587022316479E-2</v>
      </c>
      <c r="G625" s="259"/>
      <c r="H625" s="259"/>
    </row>
    <row r="626" spans="1:8" ht="14.25" customHeight="1" x14ac:dyDescent="0.3">
      <c r="A626" s="261">
        <v>44841</v>
      </c>
      <c r="B626" s="262">
        <v>17314.650390625</v>
      </c>
      <c r="C626" s="262">
        <v>4471.4501953125</v>
      </c>
      <c r="D626" s="259"/>
      <c r="E626" s="263">
        <f t="shared" si="18"/>
        <v>-9.8953310400115763E-4</v>
      </c>
      <c r="F626" s="263">
        <f t="shared" si="19"/>
        <v>1.3049853615743678E-2</v>
      </c>
      <c r="G626" s="259"/>
      <c r="H626" s="259"/>
    </row>
    <row r="627" spans="1:8" ht="14.25" customHeight="1" x14ac:dyDescent="0.3">
      <c r="A627" s="261">
        <v>44844</v>
      </c>
      <c r="B627" s="262">
        <v>17241</v>
      </c>
      <c r="C627" s="262">
        <v>4471.75</v>
      </c>
      <c r="D627" s="259"/>
      <c r="E627" s="263">
        <f t="shared" si="18"/>
        <v>-4.253645841147213E-3</v>
      </c>
      <c r="F627" s="263">
        <f t="shared" si="19"/>
        <v>6.7048647397278526E-5</v>
      </c>
      <c r="G627" s="259"/>
      <c r="H627" s="259"/>
    </row>
    <row r="628" spans="1:8" ht="14.25" customHeight="1" x14ac:dyDescent="0.3">
      <c r="A628" s="261">
        <v>44845</v>
      </c>
      <c r="B628" s="262">
        <v>16983.55078125</v>
      </c>
      <c r="C628" s="262">
        <v>4381.10009765625</v>
      </c>
      <c r="D628" s="259"/>
      <c r="E628" s="263">
        <f t="shared" si="18"/>
        <v>-1.4932383199930399E-2</v>
      </c>
      <c r="F628" s="263">
        <f t="shared" si="19"/>
        <v>-2.0271683869570078E-2</v>
      </c>
      <c r="G628" s="259"/>
      <c r="H628" s="259"/>
    </row>
    <row r="629" spans="1:8" ht="14.25" customHeight="1" x14ac:dyDescent="0.3">
      <c r="A629" s="261">
        <v>44846</v>
      </c>
      <c r="B629" s="262">
        <v>17123.599609375</v>
      </c>
      <c r="C629" s="262">
        <v>4352.89990234375</v>
      </c>
      <c r="D629" s="259"/>
      <c r="E629" s="263">
        <f t="shared" si="18"/>
        <v>8.2461453396197471E-3</v>
      </c>
      <c r="F629" s="263">
        <f t="shared" si="19"/>
        <v>-6.4367840688201146E-3</v>
      </c>
      <c r="G629" s="259"/>
      <c r="H629" s="259"/>
    </row>
    <row r="630" spans="1:8" ht="14.25" customHeight="1" x14ac:dyDescent="0.3">
      <c r="A630" s="261">
        <v>44847</v>
      </c>
      <c r="B630" s="262">
        <v>17014.349609375</v>
      </c>
      <c r="C630" s="262">
        <v>4309.9501953125</v>
      </c>
      <c r="D630" s="259"/>
      <c r="E630" s="263">
        <f t="shared" si="18"/>
        <v>-6.3800837728176449E-3</v>
      </c>
      <c r="F630" s="263">
        <f t="shared" si="19"/>
        <v>-9.8669181453321288E-3</v>
      </c>
      <c r="G630" s="259"/>
      <c r="H630" s="259"/>
    </row>
    <row r="631" spans="1:8" ht="14.25" customHeight="1" x14ac:dyDescent="0.3">
      <c r="A631" s="261">
        <v>44848</v>
      </c>
      <c r="B631" s="262">
        <v>17185.69921875</v>
      </c>
      <c r="C631" s="262">
        <v>4306.14990234375</v>
      </c>
      <c r="D631" s="259"/>
      <c r="E631" s="263">
        <f t="shared" si="18"/>
        <v>1.0070888003887344E-2</v>
      </c>
      <c r="F631" s="263">
        <f t="shared" si="19"/>
        <v>-8.8174869697640521E-4</v>
      </c>
      <c r="G631" s="259"/>
      <c r="H631" s="259"/>
    </row>
    <row r="632" spans="1:8" ht="14.25" customHeight="1" x14ac:dyDescent="0.3">
      <c r="A632" s="261">
        <v>44851</v>
      </c>
      <c r="B632" s="262">
        <v>17311.80078125</v>
      </c>
      <c r="C632" s="262">
        <v>4153.4501953125</v>
      </c>
      <c r="D632" s="259"/>
      <c r="E632" s="263">
        <f t="shared" si="18"/>
        <v>7.3375869608156676E-3</v>
      </c>
      <c r="F632" s="263">
        <f t="shared" si="19"/>
        <v>-3.5460843327385944E-2</v>
      </c>
      <c r="G632" s="259"/>
      <c r="H632" s="259"/>
    </row>
    <row r="633" spans="1:8" ht="14.25" customHeight="1" x14ac:dyDescent="0.3">
      <c r="A633" s="261">
        <v>44852</v>
      </c>
      <c r="B633" s="262">
        <v>17486.94921875</v>
      </c>
      <c r="C633" s="262">
        <v>4139.35009765625</v>
      </c>
      <c r="D633" s="259"/>
      <c r="E633" s="263">
        <f t="shared" si="18"/>
        <v>1.0117285874136163E-2</v>
      </c>
      <c r="F633" s="263">
        <f t="shared" si="19"/>
        <v>-3.3947915571885478E-3</v>
      </c>
      <c r="G633" s="259"/>
      <c r="H633" s="259"/>
    </row>
    <row r="634" spans="1:8" ht="14.25" customHeight="1" x14ac:dyDescent="0.3">
      <c r="A634" s="261">
        <v>44853</v>
      </c>
      <c r="B634" s="262">
        <v>17512.25</v>
      </c>
      <c r="C634" s="262">
        <v>4167.85009765625</v>
      </c>
      <c r="D634" s="259"/>
      <c r="E634" s="263">
        <f t="shared" si="18"/>
        <v>1.4468379208691124E-3</v>
      </c>
      <c r="F634" s="263">
        <f t="shared" si="19"/>
        <v>6.8851388086591282E-3</v>
      </c>
      <c r="G634" s="259"/>
      <c r="H634" s="259"/>
    </row>
    <row r="635" spans="1:8" ht="14.25" customHeight="1" x14ac:dyDescent="0.3">
      <c r="A635" s="261">
        <v>44854</v>
      </c>
      <c r="B635" s="262">
        <v>17563.94921875</v>
      </c>
      <c r="C635" s="262">
        <v>4226.25</v>
      </c>
      <c r="D635" s="259"/>
      <c r="E635" s="263">
        <f t="shared" si="18"/>
        <v>2.9521745492441004E-3</v>
      </c>
      <c r="F635" s="263">
        <f t="shared" si="19"/>
        <v>1.4011996826994957E-2</v>
      </c>
      <c r="G635" s="259"/>
      <c r="H635" s="259"/>
    </row>
    <row r="636" spans="1:8" ht="14.25" customHeight="1" x14ac:dyDescent="0.3">
      <c r="A636" s="261">
        <v>44855</v>
      </c>
      <c r="B636" s="262">
        <v>17576.30078125</v>
      </c>
      <c r="C636" s="262">
        <v>4215.5498046875</v>
      </c>
      <c r="D636" s="259"/>
      <c r="E636" s="263">
        <f t="shared" si="18"/>
        <v>7.0323378564624668E-4</v>
      </c>
      <c r="F636" s="263">
        <f t="shared" si="19"/>
        <v>-2.5318415409642117E-3</v>
      </c>
      <c r="G636" s="259"/>
      <c r="H636" s="259"/>
    </row>
    <row r="637" spans="1:8" ht="14.25" customHeight="1" x14ac:dyDescent="0.3">
      <c r="A637" s="261">
        <v>44858</v>
      </c>
      <c r="B637" s="262">
        <v>17730.75</v>
      </c>
      <c r="C637" s="262">
        <v>4229.9501953125</v>
      </c>
      <c r="D637" s="259"/>
      <c r="E637" s="263">
        <f t="shared" si="18"/>
        <v>8.7873563767617655E-3</v>
      </c>
      <c r="F637" s="263">
        <f t="shared" si="19"/>
        <v>3.4160171963779004E-3</v>
      </c>
      <c r="G637" s="259"/>
      <c r="H637" s="259"/>
    </row>
    <row r="638" spans="1:8" ht="14.25" customHeight="1" x14ac:dyDescent="0.3">
      <c r="A638" s="261">
        <v>44859</v>
      </c>
      <c r="B638" s="262">
        <v>17656.349609375</v>
      </c>
      <c r="C638" s="262">
        <v>4235.60009765625</v>
      </c>
      <c r="D638" s="259"/>
      <c r="E638" s="263">
        <f t="shared" si="18"/>
        <v>-4.1961220267050185E-3</v>
      </c>
      <c r="F638" s="263">
        <f t="shared" si="19"/>
        <v>1.335690039568562E-3</v>
      </c>
      <c r="G638" s="259"/>
      <c r="H638" s="259"/>
    </row>
    <row r="639" spans="1:8" ht="14.25" customHeight="1" x14ac:dyDescent="0.3">
      <c r="A639" s="261">
        <v>44861</v>
      </c>
      <c r="B639" s="262">
        <v>17736.94921875</v>
      </c>
      <c r="C639" s="262">
        <v>4271.39990234375</v>
      </c>
      <c r="D639" s="259"/>
      <c r="E639" s="263">
        <f t="shared" si="18"/>
        <v>4.5649078749666347E-3</v>
      </c>
      <c r="F639" s="263">
        <f t="shared" si="19"/>
        <v>8.4521210364759541E-3</v>
      </c>
      <c r="G639" s="259"/>
      <c r="H639" s="259"/>
    </row>
    <row r="640" spans="1:8" ht="14.25" customHeight="1" x14ac:dyDescent="0.3">
      <c r="A640" s="261">
        <v>44862</v>
      </c>
      <c r="B640" s="262">
        <v>17786.80078125</v>
      </c>
      <c r="C640" s="262">
        <v>4307.35009765625</v>
      </c>
      <c r="D640" s="259"/>
      <c r="E640" s="263">
        <f t="shared" si="18"/>
        <v>2.8106052447453111E-3</v>
      </c>
      <c r="F640" s="263">
        <f t="shared" si="19"/>
        <v>8.4164901752172283E-3</v>
      </c>
      <c r="G640" s="259"/>
      <c r="H640" s="259"/>
    </row>
    <row r="641" spans="1:8" ht="14.25" customHeight="1" x14ac:dyDescent="0.3">
      <c r="A641" s="261">
        <v>44865</v>
      </c>
      <c r="B641" s="262">
        <v>18012.19921875</v>
      </c>
      <c r="C641" s="262">
        <v>4320.89990234375</v>
      </c>
      <c r="D641" s="259"/>
      <c r="E641" s="263">
        <f t="shared" si="18"/>
        <v>1.2672230395564126E-2</v>
      </c>
      <c r="F641" s="263">
        <f t="shared" si="19"/>
        <v>3.1457402765734852E-3</v>
      </c>
      <c r="G641" s="259"/>
      <c r="H641" s="259"/>
    </row>
    <row r="642" spans="1:8" ht="14.25" customHeight="1" x14ac:dyDescent="0.3">
      <c r="A642" s="261">
        <v>44866</v>
      </c>
      <c r="B642" s="262">
        <v>18145.400390625</v>
      </c>
      <c r="C642" s="262">
        <v>4247.5</v>
      </c>
      <c r="D642" s="259"/>
      <c r="E642" s="263">
        <f t="shared" si="18"/>
        <v>7.3950532223928962E-3</v>
      </c>
      <c r="F642" s="263">
        <f t="shared" si="19"/>
        <v>-1.6987179523398888E-2</v>
      </c>
      <c r="G642" s="259"/>
      <c r="H642" s="259"/>
    </row>
    <row r="643" spans="1:8" ht="14.25" customHeight="1" x14ac:dyDescent="0.3">
      <c r="A643" s="261">
        <v>44867</v>
      </c>
      <c r="B643" s="262">
        <v>18082.849609375</v>
      </c>
      <c r="C643" s="262">
        <v>4193.64990234375</v>
      </c>
      <c r="D643" s="259"/>
      <c r="E643" s="263">
        <f t="shared" ref="E643:E706" si="20">(B643-B642)/B642</f>
        <v>-3.4471976315450983E-3</v>
      </c>
      <c r="F643" s="263">
        <f t="shared" ref="F643:F706" si="21">(C643-C642)/C642</f>
        <v>-1.2678068900824013E-2</v>
      </c>
      <c r="G643" s="259"/>
      <c r="H643" s="259"/>
    </row>
    <row r="644" spans="1:8" ht="14.25" customHeight="1" x14ac:dyDescent="0.3">
      <c r="A644" s="261">
        <v>44868</v>
      </c>
      <c r="B644" s="262">
        <v>18052.69921875</v>
      </c>
      <c r="C644" s="262">
        <v>4194.2001953125</v>
      </c>
      <c r="D644" s="259"/>
      <c r="E644" s="263">
        <f t="shared" si="20"/>
        <v>-1.6673473084335456E-3</v>
      </c>
      <c r="F644" s="263">
        <f t="shared" si="21"/>
        <v>1.3122053141404385E-4</v>
      </c>
      <c r="G644" s="259"/>
      <c r="H644" s="259"/>
    </row>
    <row r="645" spans="1:8" ht="14.25" customHeight="1" x14ac:dyDescent="0.3">
      <c r="A645" s="261">
        <v>44869</v>
      </c>
      <c r="B645" s="262">
        <v>18117.150390625</v>
      </c>
      <c r="C645" s="262">
        <v>4167.35009765625</v>
      </c>
      <c r="D645" s="259"/>
      <c r="E645" s="263">
        <f t="shared" si="20"/>
        <v>3.5701681556882833E-3</v>
      </c>
      <c r="F645" s="263">
        <f t="shared" si="21"/>
        <v>-6.4017205679066215E-3</v>
      </c>
      <c r="G645" s="259"/>
      <c r="H645" s="259"/>
    </row>
    <row r="646" spans="1:8" ht="14.25" customHeight="1" x14ac:dyDescent="0.3">
      <c r="A646" s="261">
        <v>44872</v>
      </c>
      <c r="B646" s="262">
        <v>18202.80078125</v>
      </c>
      <c r="C646" s="262">
        <v>4173.5</v>
      </c>
      <c r="D646" s="259"/>
      <c r="E646" s="263">
        <f t="shared" si="20"/>
        <v>4.7275862251119315E-3</v>
      </c>
      <c r="F646" s="263">
        <f t="shared" si="21"/>
        <v>1.4757345074532502E-3</v>
      </c>
      <c r="G646" s="259"/>
      <c r="H646" s="259"/>
    </row>
    <row r="647" spans="1:8" ht="14.25" customHeight="1" x14ac:dyDescent="0.3">
      <c r="A647" s="261">
        <v>44874</v>
      </c>
      <c r="B647" s="262">
        <v>18157</v>
      </c>
      <c r="C647" s="262">
        <v>4158.7001953125</v>
      </c>
      <c r="D647" s="259"/>
      <c r="E647" s="263">
        <f t="shared" si="20"/>
        <v>-2.5161392359563488E-3</v>
      </c>
      <c r="F647" s="263">
        <f t="shared" si="21"/>
        <v>-3.5461374595663112E-3</v>
      </c>
      <c r="G647" s="259"/>
      <c r="H647" s="259"/>
    </row>
    <row r="648" spans="1:8" ht="14.25" customHeight="1" x14ac:dyDescent="0.3">
      <c r="A648" s="261">
        <v>44875</v>
      </c>
      <c r="B648" s="262">
        <v>18028.19921875</v>
      </c>
      <c r="C648" s="262">
        <v>4138.85009765625</v>
      </c>
      <c r="D648" s="259"/>
      <c r="E648" s="263">
        <f t="shared" si="20"/>
        <v>-7.093725904609792E-3</v>
      </c>
      <c r="F648" s="263">
        <f t="shared" si="21"/>
        <v>-4.7731494755558811E-3</v>
      </c>
      <c r="G648" s="259"/>
      <c r="H648" s="259"/>
    </row>
    <row r="649" spans="1:8" ht="14.25" customHeight="1" x14ac:dyDescent="0.3">
      <c r="A649" s="261">
        <v>44876</v>
      </c>
      <c r="B649" s="262">
        <v>18349.69921875</v>
      </c>
      <c r="C649" s="262">
        <v>4128.35009765625</v>
      </c>
      <c r="D649" s="259"/>
      <c r="E649" s="263">
        <f t="shared" si="20"/>
        <v>1.7833173247033349E-2</v>
      </c>
      <c r="F649" s="263">
        <f t="shared" si="21"/>
        <v>-2.5369365288068647E-3</v>
      </c>
      <c r="G649" s="259"/>
      <c r="H649" s="259"/>
    </row>
    <row r="650" spans="1:8" ht="14.25" customHeight="1" x14ac:dyDescent="0.3">
      <c r="A650" s="261">
        <v>44879</v>
      </c>
      <c r="B650" s="262">
        <v>18329.150390625</v>
      </c>
      <c r="C650" s="262">
        <v>4098.35009765625</v>
      </c>
      <c r="D650" s="259"/>
      <c r="E650" s="263">
        <f t="shared" si="20"/>
        <v>-1.1198455015547556E-3</v>
      </c>
      <c r="F650" s="263">
        <f t="shared" si="21"/>
        <v>-7.2668255575106437E-3</v>
      </c>
      <c r="G650" s="259"/>
      <c r="H650" s="259"/>
    </row>
    <row r="651" spans="1:8" ht="14.25" customHeight="1" x14ac:dyDescent="0.3">
      <c r="A651" s="261">
        <v>44880</v>
      </c>
      <c r="B651" s="262">
        <v>18403.400390625</v>
      </c>
      <c r="C651" s="262">
        <v>4053.80004882813</v>
      </c>
      <c r="D651" s="259"/>
      <c r="E651" s="263">
        <f t="shared" si="20"/>
        <v>4.0509242609508738E-3</v>
      </c>
      <c r="F651" s="263">
        <f t="shared" si="21"/>
        <v>-1.087023991766763E-2</v>
      </c>
      <c r="G651" s="259"/>
      <c r="H651" s="259"/>
    </row>
    <row r="652" spans="1:8" ht="14.25" customHeight="1" x14ac:dyDescent="0.3">
      <c r="A652" s="261">
        <v>44881</v>
      </c>
      <c r="B652" s="262">
        <v>18409.650390625</v>
      </c>
      <c r="C652" s="262">
        <v>4011.69995117188</v>
      </c>
      <c r="D652" s="259"/>
      <c r="E652" s="263">
        <f t="shared" si="20"/>
        <v>3.3961115159912808E-4</v>
      </c>
      <c r="F652" s="263">
        <f t="shared" si="21"/>
        <v>-1.0385341444854999E-2</v>
      </c>
      <c r="G652" s="259"/>
      <c r="H652" s="259"/>
    </row>
    <row r="653" spans="1:8" ht="14.25" customHeight="1" x14ac:dyDescent="0.3">
      <c r="A653" s="261">
        <v>44882</v>
      </c>
      <c r="B653" s="262">
        <v>18343.900390625</v>
      </c>
      <c r="C653" s="262">
        <v>3949.19995117188</v>
      </c>
      <c r="D653" s="259"/>
      <c r="E653" s="263">
        <f t="shared" si="20"/>
        <v>-3.5714963948192506E-3</v>
      </c>
      <c r="F653" s="263">
        <f t="shared" si="21"/>
        <v>-1.5579430356386145E-2</v>
      </c>
      <c r="G653" s="259"/>
      <c r="H653" s="259"/>
    </row>
    <row r="654" spans="1:8" ht="14.25" customHeight="1" x14ac:dyDescent="0.3">
      <c r="A654" s="261">
        <v>44883</v>
      </c>
      <c r="B654" s="262">
        <v>18307.650390625</v>
      </c>
      <c r="C654" s="262">
        <v>3910.60009765625</v>
      </c>
      <c r="D654" s="259"/>
      <c r="E654" s="263">
        <f t="shared" si="20"/>
        <v>-1.9761337135545203E-3</v>
      </c>
      <c r="F654" s="263">
        <f t="shared" si="21"/>
        <v>-9.774094498349201E-3</v>
      </c>
      <c r="G654" s="259"/>
      <c r="H654" s="259"/>
    </row>
    <row r="655" spans="1:8" ht="14.25" customHeight="1" x14ac:dyDescent="0.3">
      <c r="A655" s="261">
        <v>44886</v>
      </c>
      <c r="B655" s="262">
        <v>18159.94921875</v>
      </c>
      <c r="C655" s="262">
        <v>3882.30004882813</v>
      </c>
      <c r="D655" s="259"/>
      <c r="E655" s="263">
        <f t="shared" si="20"/>
        <v>-8.0677295405769262E-3</v>
      </c>
      <c r="F655" s="263">
        <f t="shared" si="21"/>
        <v>-7.2367534704152279E-3</v>
      </c>
      <c r="G655" s="259"/>
      <c r="H655" s="259"/>
    </row>
    <row r="656" spans="1:8" ht="14.25" customHeight="1" x14ac:dyDescent="0.3">
      <c r="A656" s="261">
        <v>44887</v>
      </c>
      <c r="B656" s="262">
        <v>18244.19921875</v>
      </c>
      <c r="C656" s="262">
        <v>3955.19995117188</v>
      </c>
      <c r="D656" s="259"/>
      <c r="E656" s="263">
        <f t="shared" si="20"/>
        <v>4.6393301536885668E-3</v>
      </c>
      <c r="F656" s="263">
        <f t="shared" si="21"/>
        <v>1.8777503394091035E-2</v>
      </c>
      <c r="G656" s="259"/>
      <c r="H656" s="259"/>
    </row>
    <row r="657" spans="1:8" ht="14.25" customHeight="1" x14ac:dyDescent="0.3">
      <c r="A657" s="261">
        <v>44888</v>
      </c>
      <c r="B657" s="262">
        <v>18267.25</v>
      </c>
      <c r="C657" s="262">
        <v>3954.75</v>
      </c>
      <c r="D657" s="259"/>
      <c r="E657" s="263">
        <f t="shared" si="20"/>
        <v>1.2634580983039343E-3</v>
      </c>
      <c r="F657" s="263">
        <f t="shared" si="21"/>
        <v>-1.1376192795175549E-4</v>
      </c>
      <c r="G657" s="259"/>
      <c r="H657" s="259"/>
    </row>
    <row r="658" spans="1:8" ht="14.25" customHeight="1" x14ac:dyDescent="0.3">
      <c r="A658" s="261">
        <v>44889</v>
      </c>
      <c r="B658" s="262">
        <v>18484.099609375</v>
      </c>
      <c r="C658" s="262">
        <v>3968.05004882813</v>
      </c>
      <c r="D658" s="259"/>
      <c r="E658" s="263">
        <f t="shared" si="20"/>
        <v>1.1870949889830161E-2</v>
      </c>
      <c r="F658" s="263">
        <f t="shared" si="21"/>
        <v>3.3630567869346994E-3</v>
      </c>
      <c r="G658" s="259"/>
      <c r="H658" s="259"/>
    </row>
    <row r="659" spans="1:8" ht="14.25" customHeight="1" x14ac:dyDescent="0.3">
      <c r="A659" s="261">
        <v>44890</v>
      </c>
      <c r="B659" s="262">
        <v>18512.75</v>
      </c>
      <c r="C659" s="262">
        <v>3904.44995117188</v>
      </c>
      <c r="D659" s="259"/>
      <c r="E659" s="263">
        <f t="shared" si="20"/>
        <v>1.5500019600883741E-3</v>
      </c>
      <c r="F659" s="263">
        <f t="shared" si="21"/>
        <v>-1.6028048253835102E-2</v>
      </c>
      <c r="G659" s="259"/>
      <c r="H659" s="259"/>
    </row>
    <row r="660" spans="1:8" ht="14.25" customHeight="1" x14ac:dyDescent="0.3">
      <c r="A660" s="261">
        <v>44893</v>
      </c>
      <c r="B660" s="262">
        <v>18562.75</v>
      </c>
      <c r="C660" s="262">
        <v>3907.69995117188</v>
      </c>
      <c r="D660" s="259"/>
      <c r="E660" s="263">
        <f t="shared" si="20"/>
        <v>2.7008413120687092E-3</v>
      </c>
      <c r="F660" s="263">
        <f t="shared" si="21"/>
        <v>8.3238357275511917E-4</v>
      </c>
      <c r="G660" s="259"/>
      <c r="H660" s="259"/>
    </row>
    <row r="661" spans="1:8" ht="14.25" customHeight="1" x14ac:dyDescent="0.3">
      <c r="A661" s="261">
        <v>44894</v>
      </c>
      <c r="B661" s="262">
        <v>18618.05078125</v>
      </c>
      <c r="C661" s="262">
        <v>3965.10009765625</v>
      </c>
      <c r="D661" s="259"/>
      <c r="E661" s="263">
        <f t="shared" si="20"/>
        <v>2.9791265437502526E-3</v>
      </c>
      <c r="F661" s="263">
        <f t="shared" si="21"/>
        <v>1.4688985132329893E-2</v>
      </c>
      <c r="G661" s="259"/>
      <c r="H661" s="259"/>
    </row>
    <row r="662" spans="1:8" ht="14.25" customHeight="1" x14ac:dyDescent="0.3">
      <c r="A662" s="261">
        <v>44895</v>
      </c>
      <c r="B662" s="262">
        <v>18758.349609375</v>
      </c>
      <c r="C662" s="262">
        <v>4025.5</v>
      </c>
      <c r="D662" s="259"/>
      <c r="E662" s="263">
        <f t="shared" si="20"/>
        <v>7.5356346254191742E-3</v>
      </c>
      <c r="F662" s="263">
        <f t="shared" si="21"/>
        <v>1.5232882110454682E-2</v>
      </c>
      <c r="G662" s="259"/>
      <c r="H662" s="259"/>
    </row>
    <row r="663" spans="1:8" ht="14.25" customHeight="1" x14ac:dyDescent="0.3">
      <c r="A663" s="261">
        <v>44896</v>
      </c>
      <c r="B663" s="262">
        <v>18812.5</v>
      </c>
      <c r="C663" s="262">
        <v>4044.14990234375</v>
      </c>
      <c r="D663" s="259"/>
      <c r="E663" s="263">
        <f t="shared" si="20"/>
        <v>2.8867353340049093E-3</v>
      </c>
      <c r="F663" s="263">
        <f t="shared" si="21"/>
        <v>4.6329405896783004E-3</v>
      </c>
      <c r="G663" s="259"/>
      <c r="H663" s="259"/>
    </row>
    <row r="664" spans="1:8" ht="14.25" customHeight="1" x14ac:dyDescent="0.3">
      <c r="A664" s="261">
        <v>44897</v>
      </c>
      <c r="B664" s="262">
        <v>18696.099609375</v>
      </c>
      <c r="C664" s="262">
        <v>4005.75</v>
      </c>
      <c r="D664" s="259"/>
      <c r="E664" s="263">
        <f t="shared" si="20"/>
        <v>-6.1873961794019936E-3</v>
      </c>
      <c r="F664" s="263">
        <f t="shared" si="21"/>
        <v>-9.4951728474495199E-3</v>
      </c>
      <c r="G664" s="259"/>
      <c r="H664" s="259"/>
    </row>
    <row r="665" spans="1:8" ht="14.25" customHeight="1" x14ac:dyDescent="0.3">
      <c r="A665" s="261">
        <v>44900</v>
      </c>
      <c r="B665" s="262">
        <v>18701.05078125</v>
      </c>
      <c r="C665" s="262">
        <v>4028.14990234375</v>
      </c>
      <c r="D665" s="259"/>
      <c r="E665" s="263">
        <f t="shared" si="20"/>
        <v>2.6482378562624241E-4</v>
      </c>
      <c r="F665" s="263">
        <f t="shared" si="21"/>
        <v>5.5919371762466457E-3</v>
      </c>
      <c r="G665" s="259"/>
      <c r="H665" s="259"/>
    </row>
    <row r="666" spans="1:8" ht="14.25" customHeight="1" x14ac:dyDescent="0.3">
      <c r="A666" s="261">
        <v>44901</v>
      </c>
      <c r="B666" s="262">
        <v>18642.75</v>
      </c>
      <c r="C666" s="262">
        <v>4063.39990234375</v>
      </c>
      <c r="D666" s="259"/>
      <c r="E666" s="263">
        <f t="shared" si="20"/>
        <v>-3.1175136590962781E-3</v>
      </c>
      <c r="F666" s="263">
        <f t="shared" si="21"/>
        <v>8.7509156447951562E-3</v>
      </c>
      <c r="G666" s="259"/>
      <c r="H666" s="259"/>
    </row>
    <row r="667" spans="1:8" ht="14.25" customHeight="1" x14ac:dyDescent="0.3">
      <c r="A667" s="261">
        <v>44902</v>
      </c>
      <c r="B667" s="262">
        <v>18560.5</v>
      </c>
      <c r="C667" s="262">
        <v>4083.14990234375</v>
      </c>
      <c r="D667" s="259"/>
      <c r="E667" s="263">
        <f t="shared" si="20"/>
        <v>-4.4119027503989484E-3</v>
      </c>
      <c r="F667" s="263">
        <f t="shared" si="21"/>
        <v>4.8604617991471364E-3</v>
      </c>
      <c r="G667" s="259"/>
      <c r="H667" s="259"/>
    </row>
    <row r="668" spans="1:8" ht="14.25" customHeight="1" x14ac:dyDescent="0.3">
      <c r="A668" s="261">
        <v>44903</v>
      </c>
      <c r="B668" s="262">
        <v>18609.349609375</v>
      </c>
      <c r="C668" s="262">
        <v>4037.19995117188</v>
      </c>
      <c r="D668" s="259"/>
      <c r="E668" s="263">
        <f t="shared" si="20"/>
        <v>2.6319123609277765E-3</v>
      </c>
      <c r="F668" s="263">
        <f t="shared" si="21"/>
        <v>-1.1253554797362321E-2</v>
      </c>
      <c r="G668" s="259"/>
      <c r="H668" s="259"/>
    </row>
    <row r="669" spans="1:8" ht="14.25" customHeight="1" x14ac:dyDescent="0.3">
      <c r="A669" s="261">
        <v>44904</v>
      </c>
      <c r="B669" s="262">
        <v>18496.599609375</v>
      </c>
      <c r="C669" s="262">
        <v>4002.39990234375</v>
      </c>
      <c r="D669" s="259"/>
      <c r="E669" s="263">
        <f t="shared" si="20"/>
        <v>-6.058782405979353E-3</v>
      </c>
      <c r="F669" s="263">
        <f t="shared" si="21"/>
        <v>-8.6198477283812944E-3</v>
      </c>
      <c r="G669" s="259"/>
      <c r="H669" s="259"/>
    </row>
    <row r="670" spans="1:8" ht="14.25" customHeight="1" x14ac:dyDescent="0.3">
      <c r="A670" s="261">
        <v>44907</v>
      </c>
      <c r="B670" s="262">
        <v>18497.150390625</v>
      </c>
      <c r="C670" s="262">
        <v>4057.35009765625</v>
      </c>
      <c r="D670" s="259"/>
      <c r="E670" s="263">
        <f t="shared" si="20"/>
        <v>2.9777432697458433E-5</v>
      </c>
      <c r="F670" s="263">
        <f t="shared" si="21"/>
        <v>1.3729311576367451E-2</v>
      </c>
      <c r="G670" s="259"/>
      <c r="H670" s="259"/>
    </row>
    <row r="671" spans="1:8" ht="14.25" customHeight="1" x14ac:dyDescent="0.3">
      <c r="A671" s="261">
        <v>44908</v>
      </c>
      <c r="B671" s="262">
        <v>18608</v>
      </c>
      <c r="C671" s="262">
        <v>4108.9501953125</v>
      </c>
      <c r="D671" s="259"/>
      <c r="E671" s="263">
        <f t="shared" si="20"/>
        <v>5.9927938646799584E-3</v>
      </c>
      <c r="F671" s="263">
        <f t="shared" si="21"/>
        <v>1.2717684304851354E-2</v>
      </c>
      <c r="G671" s="259"/>
      <c r="H671" s="259"/>
    </row>
    <row r="672" spans="1:8" ht="14.25" customHeight="1" x14ac:dyDescent="0.3">
      <c r="A672" s="261">
        <v>44909</v>
      </c>
      <c r="B672" s="262">
        <v>18660.30078125</v>
      </c>
      <c r="C672" s="262">
        <v>4201.10009765625</v>
      </c>
      <c r="D672" s="259"/>
      <c r="E672" s="263">
        <f t="shared" si="20"/>
        <v>2.8106610731943251E-3</v>
      </c>
      <c r="F672" s="263">
        <f t="shared" si="21"/>
        <v>2.2426629178634198E-2</v>
      </c>
      <c r="G672" s="259"/>
      <c r="H672" s="259"/>
    </row>
    <row r="673" spans="1:8" ht="14.25" customHeight="1" x14ac:dyDescent="0.3">
      <c r="A673" s="261">
        <v>44910</v>
      </c>
      <c r="B673" s="262">
        <v>18414.900390625</v>
      </c>
      <c r="C673" s="262">
        <v>4182</v>
      </c>
      <c r="D673" s="259"/>
      <c r="E673" s="263">
        <f t="shared" si="20"/>
        <v>-1.3150934355333651E-2</v>
      </c>
      <c r="F673" s="263">
        <f t="shared" si="21"/>
        <v>-4.5464514561092571E-3</v>
      </c>
      <c r="G673" s="259"/>
      <c r="H673" s="259"/>
    </row>
    <row r="674" spans="1:8" ht="14.25" customHeight="1" x14ac:dyDescent="0.3">
      <c r="A674" s="261">
        <v>44911</v>
      </c>
      <c r="B674" s="262">
        <v>18269</v>
      </c>
      <c r="C674" s="262">
        <v>3990</v>
      </c>
      <c r="D674" s="259"/>
      <c r="E674" s="263">
        <f t="shared" si="20"/>
        <v>-7.9229530179418008E-3</v>
      </c>
      <c r="F674" s="263">
        <f t="shared" si="21"/>
        <v>-4.5911047345767578E-2</v>
      </c>
      <c r="G674" s="259"/>
      <c r="H674" s="259"/>
    </row>
    <row r="675" spans="1:8" ht="14.25" customHeight="1" x14ac:dyDescent="0.3">
      <c r="A675" s="261">
        <v>44914</v>
      </c>
      <c r="B675" s="262">
        <v>18420.44921875</v>
      </c>
      <c r="C675" s="262">
        <v>4090.19995117188</v>
      </c>
      <c r="D675" s="259"/>
      <c r="E675" s="263">
        <f t="shared" si="20"/>
        <v>8.2899566889265974E-3</v>
      </c>
      <c r="F675" s="263">
        <f t="shared" si="21"/>
        <v>2.5112769717263159E-2</v>
      </c>
      <c r="G675" s="259"/>
      <c r="H675" s="259"/>
    </row>
    <row r="676" spans="1:8" ht="14.25" customHeight="1" x14ac:dyDescent="0.3">
      <c r="A676" s="261">
        <v>44915</v>
      </c>
      <c r="B676" s="262">
        <v>18385.30078125</v>
      </c>
      <c r="C676" s="262">
        <v>4089.55004882813</v>
      </c>
      <c r="D676" s="259"/>
      <c r="E676" s="263">
        <f t="shared" si="20"/>
        <v>-1.9081205394395452E-3</v>
      </c>
      <c r="F676" s="263">
        <f t="shared" si="21"/>
        <v>-1.5889256063479171E-4</v>
      </c>
      <c r="G676" s="259"/>
      <c r="H676" s="259"/>
    </row>
    <row r="677" spans="1:8" ht="14.25" customHeight="1" x14ac:dyDescent="0.3">
      <c r="A677" s="261">
        <v>44916</v>
      </c>
      <c r="B677" s="262">
        <v>18199.099609375</v>
      </c>
      <c r="C677" s="262">
        <v>3993.19995117188</v>
      </c>
      <c r="D677" s="259"/>
      <c r="E677" s="263">
        <f t="shared" si="20"/>
        <v>-1.012771964355866E-2</v>
      </c>
      <c r="F677" s="263">
        <f t="shared" si="21"/>
        <v>-2.3560072992347737E-2</v>
      </c>
      <c r="G677" s="259"/>
      <c r="H677" s="259"/>
    </row>
    <row r="678" spans="1:8" ht="14.25" customHeight="1" x14ac:dyDescent="0.3">
      <c r="A678" s="261">
        <v>44917</v>
      </c>
      <c r="B678" s="262">
        <v>18127.349609375</v>
      </c>
      <c r="C678" s="262">
        <v>3921.55004882813</v>
      </c>
      <c r="D678" s="259"/>
      <c r="E678" s="263">
        <f t="shared" si="20"/>
        <v>-3.9425027358517802E-3</v>
      </c>
      <c r="F678" s="263">
        <f t="shared" si="21"/>
        <v>-1.7942978869045358E-2</v>
      </c>
      <c r="G678" s="259"/>
      <c r="H678" s="259"/>
    </row>
    <row r="679" spans="1:8" ht="14.25" customHeight="1" x14ac:dyDescent="0.3">
      <c r="A679" s="261">
        <v>44918</v>
      </c>
      <c r="B679" s="262">
        <v>17806.80078125</v>
      </c>
      <c r="C679" s="262">
        <v>3875.60009765625</v>
      </c>
      <c r="D679" s="259"/>
      <c r="E679" s="263">
        <f t="shared" si="20"/>
        <v>-1.7683160254117921E-2</v>
      </c>
      <c r="F679" s="263">
        <f t="shared" si="21"/>
        <v>-1.1717293060077391E-2</v>
      </c>
      <c r="G679" s="259"/>
      <c r="H679" s="259"/>
    </row>
    <row r="680" spans="1:8" ht="14.25" customHeight="1" x14ac:dyDescent="0.3">
      <c r="A680" s="261">
        <v>44921</v>
      </c>
      <c r="B680" s="262">
        <v>18014.599609375</v>
      </c>
      <c r="C680" s="262">
        <v>4036.60009765625</v>
      </c>
      <c r="D680" s="259"/>
      <c r="E680" s="263">
        <f t="shared" si="20"/>
        <v>1.1669632893506936E-2</v>
      </c>
      <c r="F680" s="263">
        <f t="shared" si="21"/>
        <v>4.1541953747334243E-2</v>
      </c>
      <c r="G680" s="259"/>
      <c r="H680" s="259"/>
    </row>
    <row r="681" spans="1:8" ht="14.25" customHeight="1" x14ac:dyDescent="0.3">
      <c r="A681" s="261">
        <v>44922</v>
      </c>
      <c r="B681" s="262">
        <v>18132.30078125</v>
      </c>
      <c r="C681" s="262">
        <v>4074.60009765625</v>
      </c>
      <c r="D681" s="259"/>
      <c r="E681" s="263">
        <f t="shared" si="20"/>
        <v>6.533654614990554E-3</v>
      </c>
      <c r="F681" s="263">
        <f t="shared" si="21"/>
        <v>9.4138629244110011E-3</v>
      </c>
      <c r="G681" s="259"/>
      <c r="H681" s="259"/>
    </row>
    <row r="682" spans="1:8" ht="14.25" customHeight="1" x14ac:dyDescent="0.3">
      <c r="A682" s="261">
        <v>44923</v>
      </c>
      <c r="B682" s="262">
        <v>18122.5</v>
      </c>
      <c r="C682" s="262">
        <v>4017.75</v>
      </c>
      <c r="D682" s="259"/>
      <c r="E682" s="263">
        <f t="shared" si="20"/>
        <v>-5.405150382313676E-4</v>
      </c>
      <c r="F682" s="263">
        <f t="shared" si="21"/>
        <v>-1.395231342799769E-2</v>
      </c>
      <c r="G682" s="259"/>
      <c r="H682" s="259"/>
    </row>
    <row r="683" spans="1:8" ht="14.25" customHeight="1" x14ac:dyDescent="0.3">
      <c r="A683" s="261">
        <v>44924</v>
      </c>
      <c r="B683" s="262">
        <v>18191</v>
      </c>
      <c r="C683" s="262">
        <v>4178.2998046875</v>
      </c>
      <c r="D683" s="259"/>
      <c r="E683" s="263">
        <f t="shared" si="20"/>
        <v>3.7798317009242652E-3</v>
      </c>
      <c r="F683" s="263">
        <f t="shared" si="21"/>
        <v>3.9960128103416093E-2</v>
      </c>
      <c r="G683" s="259"/>
      <c r="H683" s="259"/>
    </row>
    <row r="684" spans="1:8" ht="14.25" customHeight="1" x14ac:dyDescent="0.3">
      <c r="A684" s="261">
        <v>44925</v>
      </c>
      <c r="B684" s="262">
        <v>18105.30078125</v>
      </c>
      <c r="C684" s="262">
        <v>4068.75</v>
      </c>
      <c r="D684" s="259"/>
      <c r="E684" s="263">
        <f t="shared" si="20"/>
        <v>-4.7110779368918698E-3</v>
      </c>
      <c r="F684" s="263">
        <f t="shared" si="21"/>
        <v>-2.621875159953807E-2</v>
      </c>
      <c r="G684" s="259"/>
      <c r="H684" s="259"/>
    </row>
    <row r="685" spans="1:8" ht="14.25" customHeight="1" x14ac:dyDescent="0.3">
      <c r="A685" s="261">
        <v>44928</v>
      </c>
      <c r="B685" s="262">
        <v>18197.44921875</v>
      </c>
      <c r="C685" s="262">
        <v>4072.75</v>
      </c>
      <c r="D685" s="259"/>
      <c r="E685" s="263">
        <f t="shared" si="20"/>
        <v>5.0895833553579895E-3</v>
      </c>
      <c r="F685" s="263">
        <f t="shared" si="21"/>
        <v>9.8310291858678955E-4</v>
      </c>
      <c r="G685" s="259"/>
      <c r="H685" s="259"/>
    </row>
    <row r="686" spans="1:8" ht="14.25" customHeight="1" x14ac:dyDescent="0.3">
      <c r="A686" s="261">
        <v>44929</v>
      </c>
      <c r="B686" s="262">
        <v>18232.55078125</v>
      </c>
      <c r="C686" s="262">
        <v>4060.89990234375</v>
      </c>
      <c r="D686" s="259"/>
      <c r="E686" s="263">
        <f t="shared" si="20"/>
        <v>1.928927624858137E-3</v>
      </c>
      <c r="F686" s="263">
        <f t="shared" si="21"/>
        <v>-2.9096059557424344E-3</v>
      </c>
      <c r="G686" s="259"/>
      <c r="H686" s="259"/>
    </row>
    <row r="687" spans="1:8" ht="14.25" customHeight="1" x14ac:dyDescent="0.3">
      <c r="A687" s="261">
        <v>44930</v>
      </c>
      <c r="B687" s="262">
        <v>18042.94921875</v>
      </c>
      <c r="C687" s="262">
        <v>3924.19995117188</v>
      </c>
      <c r="D687" s="259"/>
      <c r="E687" s="263">
        <f t="shared" si="20"/>
        <v>-1.0399069487028801E-2</v>
      </c>
      <c r="F687" s="263">
        <f t="shared" si="21"/>
        <v>-3.3662477396444457E-2</v>
      </c>
      <c r="G687" s="259"/>
      <c r="H687" s="259"/>
    </row>
    <row r="688" spans="1:8" ht="14.25" customHeight="1" x14ac:dyDescent="0.3">
      <c r="A688" s="261">
        <v>44931</v>
      </c>
      <c r="B688" s="262">
        <v>17992.150390625</v>
      </c>
      <c r="C688" s="262">
        <v>3857.80004882813</v>
      </c>
      <c r="D688" s="259"/>
      <c r="E688" s="263">
        <f t="shared" si="20"/>
        <v>-2.8154392892826255E-3</v>
      </c>
      <c r="F688" s="263">
        <f t="shared" si="21"/>
        <v>-1.6920621571263478E-2</v>
      </c>
      <c r="G688" s="259"/>
      <c r="H688" s="259"/>
    </row>
    <row r="689" spans="1:8" ht="14.25" customHeight="1" x14ac:dyDescent="0.3">
      <c r="A689" s="261">
        <v>44932</v>
      </c>
      <c r="B689" s="262">
        <v>17859.44921875</v>
      </c>
      <c r="C689" s="262">
        <v>3842.5</v>
      </c>
      <c r="D689" s="259"/>
      <c r="E689" s="263">
        <f t="shared" si="20"/>
        <v>-7.3755037054462009E-3</v>
      </c>
      <c r="F689" s="263">
        <f t="shared" si="21"/>
        <v>-3.9660035861054134E-3</v>
      </c>
      <c r="G689" s="259"/>
      <c r="H689" s="259"/>
    </row>
    <row r="690" spans="1:8" ht="14.25" customHeight="1" x14ac:dyDescent="0.3">
      <c r="A690" s="261">
        <v>44935</v>
      </c>
      <c r="B690" s="262">
        <v>18101.19921875</v>
      </c>
      <c r="C690" s="262">
        <v>3879.55004882813</v>
      </c>
      <c r="D690" s="259"/>
      <c r="E690" s="263">
        <f t="shared" si="20"/>
        <v>1.3536251708490276E-2</v>
      </c>
      <c r="F690" s="263">
        <f t="shared" si="21"/>
        <v>9.6421727594352639E-3</v>
      </c>
      <c r="G690" s="259"/>
      <c r="H690" s="259"/>
    </row>
    <row r="691" spans="1:8" ht="14.25" customHeight="1" x14ac:dyDescent="0.3">
      <c r="A691" s="261">
        <v>44936</v>
      </c>
      <c r="B691" s="262">
        <v>17914.150390625</v>
      </c>
      <c r="C691" s="262">
        <v>3877.39990234375</v>
      </c>
      <c r="D691" s="259"/>
      <c r="E691" s="263">
        <f t="shared" si="20"/>
        <v>-1.0333504750958532E-2</v>
      </c>
      <c r="F691" s="263">
        <f t="shared" si="21"/>
        <v>-5.5422573682983747E-4</v>
      </c>
      <c r="G691" s="259"/>
      <c r="H691" s="259"/>
    </row>
    <row r="692" spans="1:8" ht="14.25" customHeight="1" x14ac:dyDescent="0.3">
      <c r="A692" s="261">
        <v>44937</v>
      </c>
      <c r="B692" s="262">
        <v>17895.69921875</v>
      </c>
      <c r="C692" s="262">
        <v>3872.89990234375</v>
      </c>
      <c r="D692" s="259"/>
      <c r="E692" s="263">
        <f t="shared" si="20"/>
        <v>-1.0299775022909285E-3</v>
      </c>
      <c r="F692" s="263">
        <f t="shared" si="21"/>
        <v>-1.160571546226096E-3</v>
      </c>
      <c r="G692" s="259"/>
      <c r="H692" s="259"/>
    </row>
    <row r="693" spans="1:8" ht="14.25" customHeight="1" x14ac:dyDescent="0.3">
      <c r="A693" s="261">
        <v>44938</v>
      </c>
      <c r="B693" s="262">
        <v>17858.19921875</v>
      </c>
      <c r="C693" s="262">
        <v>3911.80004882813</v>
      </c>
      <c r="D693" s="259"/>
      <c r="E693" s="263">
        <f t="shared" si="20"/>
        <v>-2.0954755408891671E-3</v>
      </c>
      <c r="F693" s="263">
        <f t="shared" si="21"/>
        <v>1.0044191036499273E-2</v>
      </c>
      <c r="G693" s="259"/>
      <c r="H693" s="259"/>
    </row>
    <row r="694" spans="1:8" ht="14.25" customHeight="1" x14ac:dyDescent="0.3">
      <c r="A694" s="261">
        <v>44939</v>
      </c>
      <c r="B694" s="262">
        <v>17956.599609375</v>
      </c>
      <c r="C694" s="262">
        <v>3863.69995117188</v>
      </c>
      <c r="D694" s="259"/>
      <c r="E694" s="263">
        <f t="shared" si="20"/>
        <v>5.5100959183883276E-3</v>
      </c>
      <c r="F694" s="263">
        <f t="shared" si="21"/>
        <v>-1.2296154470027038E-2</v>
      </c>
      <c r="G694" s="259"/>
      <c r="H694" s="259"/>
    </row>
    <row r="695" spans="1:8" ht="14.25" customHeight="1" x14ac:dyDescent="0.3">
      <c r="A695" s="261">
        <v>44942</v>
      </c>
      <c r="B695" s="262">
        <v>17894.849609375</v>
      </c>
      <c r="C695" s="262">
        <v>3678.35009765625</v>
      </c>
      <c r="D695" s="259"/>
      <c r="E695" s="263">
        <f t="shared" si="20"/>
        <v>-3.4388470725693972E-3</v>
      </c>
      <c r="F695" s="263">
        <f t="shared" si="21"/>
        <v>-4.797211374020191E-2</v>
      </c>
      <c r="G695" s="259"/>
      <c r="H695" s="259"/>
    </row>
    <row r="696" spans="1:8" ht="14.25" customHeight="1" x14ac:dyDescent="0.3">
      <c r="A696" s="261">
        <v>44943</v>
      </c>
      <c r="B696" s="262">
        <v>18053.30078125</v>
      </c>
      <c r="C696" s="262">
        <v>3689.80004882813</v>
      </c>
      <c r="D696" s="259"/>
      <c r="E696" s="263">
        <f t="shared" si="20"/>
        <v>8.854568511824118E-3</v>
      </c>
      <c r="F696" s="263">
        <f t="shared" si="21"/>
        <v>3.1127953750719967E-3</v>
      </c>
      <c r="G696" s="259"/>
      <c r="H696" s="259"/>
    </row>
    <row r="697" spans="1:8" ht="14.25" customHeight="1" x14ac:dyDescent="0.3">
      <c r="A697" s="261">
        <v>44944</v>
      </c>
      <c r="B697" s="262">
        <v>18165.349609375</v>
      </c>
      <c r="C697" s="262">
        <v>3648.60009765625</v>
      </c>
      <c r="D697" s="259"/>
      <c r="E697" s="263">
        <f t="shared" si="20"/>
        <v>6.2065563235601173E-3</v>
      </c>
      <c r="F697" s="263">
        <f t="shared" si="21"/>
        <v>-1.1165903470830348E-2</v>
      </c>
      <c r="G697" s="259"/>
      <c r="H697" s="259"/>
    </row>
    <row r="698" spans="1:8" ht="14.25" customHeight="1" x14ac:dyDescent="0.3">
      <c r="A698" s="261">
        <v>44945</v>
      </c>
      <c r="B698" s="262">
        <v>18107.849609375</v>
      </c>
      <c r="C698" s="262">
        <v>3565.10009765625</v>
      </c>
      <c r="D698" s="259"/>
      <c r="E698" s="263">
        <f t="shared" si="20"/>
        <v>-3.1653670992560848E-3</v>
      </c>
      <c r="F698" s="263">
        <f t="shared" si="21"/>
        <v>-2.2885489712516829E-2</v>
      </c>
      <c r="G698" s="259"/>
      <c r="H698" s="259"/>
    </row>
    <row r="699" spans="1:8" ht="14.25" customHeight="1" x14ac:dyDescent="0.3">
      <c r="A699" s="261">
        <v>44946</v>
      </c>
      <c r="B699" s="262">
        <v>18027.650390625</v>
      </c>
      <c r="C699" s="262">
        <v>3513.75</v>
      </c>
      <c r="D699" s="259"/>
      <c r="E699" s="263">
        <f t="shared" si="20"/>
        <v>-4.4289753051891022E-3</v>
      </c>
      <c r="F699" s="263">
        <f t="shared" si="21"/>
        <v>-1.4403550040574828E-2</v>
      </c>
      <c r="G699" s="259"/>
      <c r="H699" s="259"/>
    </row>
    <row r="700" spans="1:8" ht="14.25" customHeight="1" x14ac:dyDescent="0.3">
      <c r="A700" s="261">
        <v>44949</v>
      </c>
      <c r="B700" s="262">
        <v>18118.55078125</v>
      </c>
      <c r="C700" s="262">
        <v>3434</v>
      </c>
      <c r="D700" s="259"/>
      <c r="E700" s="263">
        <f t="shared" si="20"/>
        <v>5.042276095628709E-3</v>
      </c>
      <c r="F700" s="263">
        <f t="shared" si="21"/>
        <v>-2.2696549270722163E-2</v>
      </c>
      <c r="G700" s="259"/>
      <c r="H700" s="259"/>
    </row>
    <row r="701" spans="1:8" ht="14.25" customHeight="1" x14ac:dyDescent="0.3">
      <c r="A701" s="261">
        <v>44950</v>
      </c>
      <c r="B701" s="262">
        <v>18118.30078125</v>
      </c>
      <c r="C701" s="262">
        <v>3513.5</v>
      </c>
      <c r="D701" s="259"/>
      <c r="E701" s="263">
        <f t="shared" si="20"/>
        <v>-1.3798013043003017E-5</v>
      </c>
      <c r="F701" s="263">
        <f t="shared" si="21"/>
        <v>2.3150844496214327E-2</v>
      </c>
      <c r="G701" s="259"/>
      <c r="H701" s="259"/>
    </row>
    <row r="702" spans="1:8" ht="14.25" customHeight="1" x14ac:dyDescent="0.3">
      <c r="A702" s="261">
        <v>44951</v>
      </c>
      <c r="B702" s="262">
        <v>17891.94921875</v>
      </c>
      <c r="C702" s="262">
        <v>3515.10009765625</v>
      </c>
      <c r="D702" s="259"/>
      <c r="E702" s="263">
        <f t="shared" si="20"/>
        <v>-1.2492979625012262E-2</v>
      </c>
      <c r="F702" s="263">
        <f t="shared" si="21"/>
        <v>4.554141614486979E-4</v>
      </c>
      <c r="G702" s="259"/>
      <c r="H702" s="259"/>
    </row>
    <row r="703" spans="1:8" ht="14.25" customHeight="1" x14ac:dyDescent="0.3">
      <c r="A703" s="261">
        <v>44953</v>
      </c>
      <c r="B703" s="262">
        <v>17604.349609375</v>
      </c>
      <c r="C703" s="262">
        <v>3562.35009765625</v>
      </c>
      <c r="D703" s="259"/>
      <c r="E703" s="263">
        <f t="shared" si="20"/>
        <v>-1.6074246906178778E-2</v>
      </c>
      <c r="F703" s="263">
        <f t="shared" si="21"/>
        <v>1.3442006966317888E-2</v>
      </c>
      <c r="G703" s="259"/>
      <c r="H703" s="259"/>
    </row>
    <row r="704" spans="1:8" ht="14.25" customHeight="1" x14ac:dyDescent="0.3">
      <c r="A704" s="261">
        <v>44956</v>
      </c>
      <c r="B704" s="262">
        <v>17648.94921875</v>
      </c>
      <c r="C704" s="262">
        <v>3546.30004882813</v>
      </c>
      <c r="D704" s="259"/>
      <c r="E704" s="263">
        <f t="shared" si="20"/>
        <v>2.5334426073456854E-3</v>
      </c>
      <c r="F704" s="263">
        <f t="shared" si="21"/>
        <v>-4.5054664443788623E-3</v>
      </c>
      <c r="G704" s="259"/>
      <c r="H704" s="259"/>
    </row>
    <row r="705" spans="1:8" ht="14.25" customHeight="1" x14ac:dyDescent="0.3">
      <c r="A705" s="261">
        <v>44957</v>
      </c>
      <c r="B705" s="262">
        <v>17662.150390625</v>
      </c>
      <c r="C705" s="262">
        <v>3502.30004882813</v>
      </c>
      <c r="D705" s="259"/>
      <c r="E705" s="263">
        <f t="shared" si="20"/>
        <v>7.4798628016761802E-4</v>
      </c>
      <c r="F705" s="263">
        <f t="shared" si="21"/>
        <v>-1.2407297576114503E-2</v>
      </c>
      <c r="G705" s="259"/>
      <c r="H705" s="259"/>
    </row>
    <row r="706" spans="1:8" ht="14.25" customHeight="1" x14ac:dyDescent="0.3">
      <c r="A706" s="261">
        <v>44958</v>
      </c>
      <c r="B706" s="262">
        <v>17616.30078125</v>
      </c>
      <c r="C706" s="262">
        <v>3551.35009765625</v>
      </c>
      <c r="D706" s="259"/>
      <c r="E706" s="263">
        <f t="shared" si="20"/>
        <v>-2.5959245256645981E-3</v>
      </c>
      <c r="F706" s="263">
        <f t="shared" si="21"/>
        <v>1.4005096120914069E-2</v>
      </c>
      <c r="G706" s="259"/>
      <c r="H706" s="259"/>
    </row>
    <row r="707" spans="1:8" ht="14.25" customHeight="1" x14ac:dyDescent="0.3">
      <c r="A707" s="261">
        <v>44959</v>
      </c>
      <c r="B707" s="262">
        <v>17610.400390625</v>
      </c>
      <c r="C707" s="262">
        <v>3502.89990234375</v>
      </c>
      <c r="D707" s="259"/>
      <c r="E707" s="263">
        <f t="shared" ref="E707:E770" si="22">(B707-B706)/B706</f>
        <v>-3.3493925304000889E-4</v>
      </c>
      <c r="F707" s="263">
        <f t="shared" ref="F707:F770" si="23">(C707-C706)/C706</f>
        <v>-1.3642753876751044E-2</v>
      </c>
      <c r="G707" s="259"/>
      <c r="H707" s="259"/>
    </row>
    <row r="708" spans="1:8" ht="14.25" customHeight="1" x14ac:dyDescent="0.3">
      <c r="A708" s="261">
        <v>44960</v>
      </c>
      <c r="B708" s="262">
        <v>17854.05078125</v>
      </c>
      <c r="C708" s="262">
        <v>3470.35009765625</v>
      </c>
      <c r="D708" s="259"/>
      <c r="E708" s="263">
        <f t="shared" si="22"/>
        <v>1.3835596307890234E-2</v>
      </c>
      <c r="F708" s="263">
        <f t="shared" si="23"/>
        <v>-9.2922451668462757E-3</v>
      </c>
      <c r="G708" s="259"/>
      <c r="H708" s="259"/>
    </row>
    <row r="709" spans="1:8" ht="14.25" customHeight="1" x14ac:dyDescent="0.3">
      <c r="A709" s="261">
        <v>44963</v>
      </c>
      <c r="B709" s="262">
        <v>17764.599609375</v>
      </c>
      <c r="C709" s="262">
        <v>3441.5</v>
      </c>
      <c r="D709" s="259"/>
      <c r="E709" s="263">
        <f t="shared" si="22"/>
        <v>-5.0101331608701366E-3</v>
      </c>
      <c r="F709" s="263">
        <f t="shared" si="23"/>
        <v>-8.3133104281710134E-3</v>
      </c>
      <c r="G709" s="259"/>
      <c r="H709" s="259"/>
    </row>
    <row r="710" spans="1:8" ht="14.25" customHeight="1" x14ac:dyDescent="0.3">
      <c r="A710" s="261">
        <v>44964</v>
      </c>
      <c r="B710" s="262">
        <v>17721.5</v>
      </c>
      <c r="C710" s="262">
        <v>3440.89990234375</v>
      </c>
      <c r="D710" s="259"/>
      <c r="E710" s="263">
        <f t="shared" si="22"/>
        <v>-2.4261514654264895E-3</v>
      </c>
      <c r="F710" s="263">
        <f t="shared" si="23"/>
        <v>-1.7437095924742119E-4</v>
      </c>
      <c r="G710" s="259"/>
      <c r="H710" s="259"/>
    </row>
    <row r="711" spans="1:8" ht="14.25" customHeight="1" x14ac:dyDescent="0.3">
      <c r="A711" s="261">
        <v>44965</v>
      </c>
      <c r="B711" s="262">
        <v>17871.69921875</v>
      </c>
      <c r="C711" s="262">
        <v>3458.60009765625</v>
      </c>
      <c r="D711" s="259"/>
      <c r="E711" s="263">
        <f t="shared" si="22"/>
        <v>8.4755364246818839E-3</v>
      </c>
      <c r="F711" s="263">
        <f t="shared" si="23"/>
        <v>5.1440599304977191E-3</v>
      </c>
      <c r="G711" s="259"/>
      <c r="H711" s="259"/>
    </row>
    <row r="712" spans="1:8" ht="14.25" customHeight="1" x14ac:dyDescent="0.3">
      <c r="A712" s="261">
        <v>44966</v>
      </c>
      <c r="B712" s="262">
        <v>17893.44921875</v>
      </c>
      <c r="C712" s="262">
        <v>3482.05004882813</v>
      </c>
      <c r="D712" s="259"/>
      <c r="E712" s="263">
        <f t="shared" si="22"/>
        <v>1.2170079483645908E-3</v>
      </c>
      <c r="F712" s="263">
        <f t="shared" si="23"/>
        <v>6.7801857716279666E-3</v>
      </c>
      <c r="G712" s="259"/>
      <c r="H712" s="259"/>
    </row>
    <row r="713" spans="1:8" ht="14.25" customHeight="1" x14ac:dyDescent="0.3">
      <c r="A713" s="261">
        <v>44967</v>
      </c>
      <c r="B713" s="262">
        <v>17856.5</v>
      </c>
      <c r="C713" s="262">
        <v>3498.85009765625</v>
      </c>
      <c r="D713" s="259"/>
      <c r="E713" s="263">
        <f t="shared" si="22"/>
        <v>-2.0649578680046795E-3</v>
      </c>
      <c r="F713" s="263">
        <f t="shared" si="23"/>
        <v>4.8247579996083013E-3</v>
      </c>
      <c r="G713" s="259"/>
      <c r="H713" s="259"/>
    </row>
    <row r="714" spans="1:8" ht="14.25" customHeight="1" x14ac:dyDescent="0.3">
      <c r="A714" s="261">
        <v>44970</v>
      </c>
      <c r="B714" s="262">
        <v>17770.900390625</v>
      </c>
      <c r="C714" s="262">
        <v>3495.19995117188</v>
      </c>
      <c r="D714" s="259"/>
      <c r="E714" s="263">
        <f t="shared" si="22"/>
        <v>-4.7937507000252013E-3</v>
      </c>
      <c r="F714" s="263">
        <f t="shared" si="23"/>
        <v>-1.043241745856759E-3</v>
      </c>
      <c r="G714" s="259"/>
      <c r="H714" s="259"/>
    </row>
    <row r="715" spans="1:8" ht="14.25" customHeight="1" x14ac:dyDescent="0.3">
      <c r="A715" s="261">
        <v>44971</v>
      </c>
      <c r="B715" s="262">
        <v>17929.849609375</v>
      </c>
      <c r="C715" s="262">
        <v>3482.69995117188</v>
      </c>
      <c r="D715" s="259"/>
      <c r="E715" s="263">
        <f t="shared" si="22"/>
        <v>8.944353704995911E-3</v>
      </c>
      <c r="F715" s="263">
        <f t="shared" si="23"/>
        <v>-3.5763333069997803E-3</v>
      </c>
      <c r="G715" s="259"/>
      <c r="H715" s="259"/>
    </row>
    <row r="716" spans="1:8" ht="14.25" customHeight="1" x14ac:dyDescent="0.3">
      <c r="A716" s="261">
        <v>44972</v>
      </c>
      <c r="B716" s="262">
        <v>18015.849609375</v>
      </c>
      <c r="C716" s="262">
        <v>3545.60009765625</v>
      </c>
      <c r="D716" s="259"/>
      <c r="E716" s="263">
        <f t="shared" si="22"/>
        <v>4.796470794436172E-3</v>
      </c>
      <c r="F716" s="263">
        <f t="shared" si="23"/>
        <v>1.8060742345376316E-2</v>
      </c>
      <c r="G716" s="259"/>
      <c r="H716" s="259"/>
    </row>
    <row r="717" spans="1:8" ht="14.25" customHeight="1" x14ac:dyDescent="0.3">
      <c r="A717" s="261">
        <v>44973</v>
      </c>
      <c r="B717" s="262">
        <v>18035.849609375</v>
      </c>
      <c r="C717" s="262">
        <v>3541.69995117188</v>
      </c>
      <c r="D717" s="259"/>
      <c r="E717" s="263">
        <f t="shared" si="22"/>
        <v>1.110133600892877E-3</v>
      </c>
      <c r="F717" s="263">
        <f t="shared" si="23"/>
        <v>-1.0999961577584888E-3</v>
      </c>
      <c r="G717" s="259"/>
      <c r="H717" s="259"/>
    </row>
    <row r="718" spans="1:8" ht="14.25" customHeight="1" x14ac:dyDescent="0.3">
      <c r="A718" s="261">
        <v>44974</v>
      </c>
      <c r="B718" s="262">
        <v>17944.19921875</v>
      </c>
      <c r="C718" s="262">
        <v>3545</v>
      </c>
      <c r="D718" s="259"/>
      <c r="E718" s="263">
        <f t="shared" si="22"/>
        <v>-5.0815676893513411E-3</v>
      </c>
      <c r="F718" s="263">
        <f t="shared" si="23"/>
        <v>9.3176973589422093E-4</v>
      </c>
      <c r="G718" s="259"/>
      <c r="H718" s="259"/>
    </row>
    <row r="719" spans="1:8" ht="14.25" customHeight="1" x14ac:dyDescent="0.3">
      <c r="A719" s="261">
        <v>44977</v>
      </c>
      <c r="B719" s="262">
        <v>17844.599609375</v>
      </c>
      <c r="C719" s="262">
        <v>3552.85009765625</v>
      </c>
      <c r="D719" s="259"/>
      <c r="E719" s="263">
        <f t="shared" si="22"/>
        <v>-5.5505184801408012E-3</v>
      </c>
      <c r="F719" s="263">
        <f t="shared" si="23"/>
        <v>2.2144140074047956E-3</v>
      </c>
      <c r="G719" s="259"/>
      <c r="H719" s="259"/>
    </row>
    <row r="720" spans="1:8" ht="14.25" customHeight="1" x14ac:dyDescent="0.3">
      <c r="A720" s="261">
        <v>44978</v>
      </c>
      <c r="B720" s="262">
        <v>17826.69921875</v>
      </c>
      <c r="C720" s="262">
        <v>3525.60009765625</v>
      </c>
      <c r="D720" s="259"/>
      <c r="E720" s="263">
        <f t="shared" si="22"/>
        <v>-1.0031264929920697E-3</v>
      </c>
      <c r="F720" s="263">
        <f t="shared" si="23"/>
        <v>-7.6698986028080176E-3</v>
      </c>
      <c r="G720" s="259"/>
      <c r="H720" s="259"/>
    </row>
    <row r="721" spans="1:8" ht="14.25" customHeight="1" x14ac:dyDescent="0.3">
      <c r="A721" s="261">
        <v>44979</v>
      </c>
      <c r="B721" s="262">
        <v>17554.30078125</v>
      </c>
      <c r="C721" s="262">
        <v>3500.14990234375</v>
      </c>
      <c r="D721" s="259"/>
      <c r="E721" s="263">
        <f t="shared" si="22"/>
        <v>-1.5280363131582609E-2</v>
      </c>
      <c r="F721" s="263">
        <f t="shared" si="23"/>
        <v>-7.2186846515629472E-3</v>
      </c>
      <c r="G721" s="259"/>
      <c r="H721" s="259"/>
    </row>
    <row r="722" spans="1:8" ht="14.25" customHeight="1" x14ac:dyDescent="0.3">
      <c r="A722" s="261">
        <v>44980</v>
      </c>
      <c r="B722" s="262">
        <v>17511.25</v>
      </c>
      <c r="C722" s="262">
        <v>3478.75</v>
      </c>
      <c r="D722" s="259"/>
      <c r="E722" s="263">
        <f t="shared" si="22"/>
        <v>-2.4524349779846064E-3</v>
      </c>
      <c r="F722" s="263">
        <f t="shared" si="23"/>
        <v>-6.1139959546933466E-3</v>
      </c>
      <c r="G722" s="259"/>
      <c r="H722" s="259"/>
    </row>
    <row r="723" spans="1:8" ht="14.25" customHeight="1" x14ac:dyDescent="0.3">
      <c r="A723" s="261">
        <v>44981</v>
      </c>
      <c r="B723" s="262">
        <v>17465.80078125</v>
      </c>
      <c r="C723" s="262">
        <v>3499.19995117188</v>
      </c>
      <c r="D723" s="259"/>
      <c r="E723" s="263">
        <f t="shared" si="22"/>
        <v>-2.5954297237490184E-3</v>
      </c>
      <c r="F723" s="263">
        <f t="shared" si="23"/>
        <v>5.8785342930305429E-3</v>
      </c>
      <c r="G723" s="259"/>
      <c r="H723" s="259"/>
    </row>
    <row r="724" spans="1:8" ht="14.25" customHeight="1" x14ac:dyDescent="0.3">
      <c r="A724" s="261">
        <v>44984</v>
      </c>
      <c r="B724" s="262">
        <v>17392.69921875</v>
      </c>
      <c r="C724" s="262">
        <v>3491.30004882813</v>
      </c>
      <c r="D724" s="259"/>
      <c r="E724" s="263">
        <f t="shared" si="22"/>
        <v>-4.1854114458053631E-3</v>
      </c>
      <c r="F724" s="263">
        <f t="shared" si="23"/>
        <v>-2.257631016799805E-3</v>
      </c>
      <c r="G724" s="259"/>
      <c r="H724" s="259"/>
    </row>
    <row r="725" spans="1:8" ht="14.25" customHeight="1" x14ac:dyDescent="0.3">
      <c r="A725" s="261">
        <v>44985</v>
      </c>
      <c r="B725" s="262">
        <v>17303.94921875</v>
      </c>
      <c r="C725" s="262">
        <v>3416.94995117188</v>
      </c>
      <c r="D725" s="259"/>
      <c r="E725" s="263">
        <f t="shared" si="22"/>
        <v>-5.1027157362857215E-3</v>
      </c>
      <c r="F725" s="263">
        <f t="shared" si="23"/>
        <v>-2.129582007172541E-2</v>
      </c>
      <c r="G725" s="259"/>
      <c r="H725" s="259"/>
    </row>
    <row r="726" spans="1:8" ht="14.25" customHeight="1" x14ac:dyDescent="0.3">
      <c r="A726" s="261">
        <v>44986</v>
      </c>
      <c r="B726" s="262">
        <v>17450.900390625</v>
      </c>
      <c r="C726" s="262">
        <v>3439.35009765625</v>
      </c>
      <c r="D726" s="259"/>
      <c r="E726" s="263">
        <f t="shared" si="22"/>
        <v>8.4923487706360379E-3</v>
      </c>
      <c r="F726" s="263">
        <f t="shared" si="23"/>
        <v>6.5555968932725006E-3</v>
      </c>
      <c r="G726" s="259"/>
      <c r="H726" s="259"/>
    </row>
    <row r="727" spans="1:8" ht="14.25" customHeight="1" x14ac:dyDescent="0.3">
      <c r="A727" s="261">
        <v>44987</v>
      </c>
      <c r="B727" s="262">
        <v>17321.900390625</v>
      </c>
      <c r="C727" s="262">
        <v>3443.19995117188</v>
      </c>
      <c r="D727" s="259"/>
      <c r="E727" s="263">
        <f t="shared" si="22"/>
        <v>-7.3921687198043708E-3</v>
      </c>
      <c r="F727" s="263">
        <f t="shared" si="23"/>
        <v>1.1193549380894637E-3</v>
      </c>
      <c r="G727" s="259"/>
      <c r="H727" s="259"/>
    </row>
    <row r="728" spans="1:8" ht="14.25" customHeight="1" x14ac:dyDescent="0.3">
      <c r="A728" s="261">
        <v>44988</v>
      </c>
      <c r="B728" s="262">
        <v>17594.349609375</v>
      </c>
      <c r="C728" s="262">
        <v>3463.25</v>
      </c>
      <c r="D728" s="259"/>
      <c r="E728" s="263">
        <f t="shared" si="22"/>
        <v>1.5728598629827915E-2</v>
      </c>
      <c r="F728" s="263">
        <f t="shared" si="23"/>
        <v>5.8230858249449149E-3</v>
      </c>
      <c r="G728" s="259"/>
      <c r="H728" s="259"/>
    </row>
    <row r="729" spans="1:8" ht="14.25" customHeight="1" x14ac:dyDescent="0.3">
      <c r="A729" s="261">
        <v>44991</v>
      </c>
      <c r="B729" s="262">
        <v>17711.44921875</v>
      </c>
      <c r="C729" s="262">
        <v>3437.14990234375</v>
      </c>
      <c r="D729" s="259"/>
      <c r="E729" s="263">
        <f t="shared" si="22"/>
        <v>6.6555236183669141E-3</v>
      </c>
      <c r="F729" s="263">
        <f t="shared" si="23"/>
        <v>-7.5363019291850141E-3</v>
      </c>
      <c r="G729" s="259"/>
      <c r="H729" s="259"/>
    </row>
    <row r="730" spans="1:8" ht="14.25" customHeight="1" x14ac:dyDescent="0.3">
      <c r="A730" s="261">
        <v>44993</v>
      </c>
      <c r="B730" s="262">
        <v>17754.400390625</v>
      </c>
      <c r="C730" s="262">
        <v>3389.69995117188</v>
      </c>
      <c r="D730" s="259"/>
      <c r="E730" s="263">
        <f t="shared" si="22"/>
        <v>2.4250512391459354E-3</v>
      </c>
      <c r="F730" s="263">
        <f t="shared" si="23"/>
        <v>-1.3805028154144357E-2</v>
      </c>
      <c r="G730" s="259"/>
      <c r="H730" s="259"/>
    </row>
    <row r="731" spans="1:8" ht="14.25" customHeight="1" x14ac:dyDescent="0.3">
      <c r="A731" s="261">
        <v>44994</v>
      </c>
      <c r="B731" s="262">
        <v>17589.599609375</v>
      </c>
      <c r="C731" s="262">
        <v>3397.85009765625</v>
      </c>
      <c r="D731" s="259"/>
      <c r="E731" s="263">
        <f t="shared" si="22"/>
        <v>-9.2822498999752812E-3</v>
      </c>
      <c r="F731" s="263">
        <f t="shared" si="23"/>
        <v>2.4043858163765633E-3</v>
      </c>
      <c r="G731" s="259"/>
      <c r="H731" s="259"/>
    </row>
    <row r="732" spans="1:8" ht="14.25" customHeight="1" x14ac:dyDescent="0.3">
      <c r="A732" s="261">
        <v>44995</v>
      </c>
      <c r="B732" s="262">
        <v>17412.900390625</v>
      </c>
      <c r="C732" s="262">
        <v>3391.85009765625</v>
      </c>
      <c r="D732" s="259"/>
      <c r="E732" s="263">
        <f t="shared" si="22"/>
        <v>-1.0045664635585105E-2</v>
      </c>
      <c r="F732" s="263">
        <f t="shared" si="23"/>
        <v>-1.7658224546570334E-3</v>
      </c>
      <c r="G732" s="259"/>
      <c r="H732" s="259"/>
    </row>
    <row r="733" spans="1:8" ht="14.25" customHeight="1" x14ac:dyDescent="0.3">
      <c r="A733" s="261">
        <v>44998</v>
      </c>
      <c r="B733" s="262">
        <v>17154.30078125</v>
      </c>
      <c r="C733" s="262">
        <v>3351.75</v>
      </c>
      <c r="D733" s="259"/>
      <c r="E733" s="263">
        <f t="shared" si="22"/>
        <v>-1.4851035931626214E-2</v>
      </c>
      <c r="F733" s="263">
        <f t="shared" si="23"/>
        <v>-1.1822485222433312E-2</v>
      </c>
      <c r="G733" s="259"/>
      <c r="H733" s="259"/>
    </row>
    <row r="734" spans="1:8" ht="14.25" customHeight="1" x14ac:dyDescent="0.3">
      <c r="A734" s="261">
        <v>44999</v>
      </c>
      <c r="B734" s="262">
        <v>17043.30078125</v>
      </c>
      <c r="C734" s="262">
        <v>3350.94995117188</v>
      </c>
      <c r="D734" s="259"/>
      <c r="E734" s="263">
        <f t="shared" si="22"/>
        <v>-6.470680525861203E-3</v>
      </c>
      <c r="F734" s="263">
        <f t="shared" si="23"/>
        <v>-2.3869585384351391E-4</v>
      </c>
      <c r="G734" s="259"/>
      <c r="H734" s="259"/>
    </row>
    <row r="735" spans="1:8" ht="14.25" customHeight="1" x14ac:dyDescent="0.3">
      <c r="A735" s="261">
        <v>45000</v>
      </c>
      <c r="B735" s="262">
        <v>16972.150390625</v>
      </c>
      <c r="C735" s="262">
        <v>3337.25</v>
      </c>
      <c r="D735" s="259"/>
      <c r="E735" s="263">
        <f t="shared" si="22"/>
        <v>-4.1746837386848982E-3</v>
      </c>
      <c r="F735" s="263">
        <f t="shared" si="23"/>
        <v>-4.0883783319678986E-3</v>
      </c>
      <c r="G735" s="259"/>
      <c r="H735" s="259"/>
    </row>
    <row r="736" spans="1:8" ht="14.25" customHeight="1" x14ac:dyDescent="0.3">
      <c r="A736" s="261">
        <v>45001</v>
      </c>
      <c r="B736" s="262">
        <v>16985.599609375</v>
      </c>
      <c r="C736" s="262">
        <v>3382.14990234375</v>
      </c>
      <c r="D736" s="259"/>
      <c r="E736" s="263">
        <f t="shared" si="22"/>
        <v>7.9242868113100259E-4</v>
      </c>
      <c r="F736" s="263">
        <f t="shared" si="23"/>
        <v>1.3454162062701325E-2</v>
      </c>
      <c r="G736" s="259"/>
      <c r="H736" s="259"/>
    </row>
    <row r="737" spans="1:8" ht="14.25" customHeight="1" x14ac:dyDescent="0.3">
      <c r="A737" s="261">
        <v>45002</v>
      </c>
      <c r="B737" s="262">
        <v>17100.05078125</v>
      </c>
      <c r="C737" s="262">
        <v>3311.30004882813</v>
      </c>
      <c r="D737" s="259"/>
      <c r="E737" s="263">
        <f t="shared" si="22"/>
        <v>6.7381296219787279E-3</v>
      </c>
      <c r="F737" s="263">
        <f t="shared" si="23"/>
        <v>-2.0948170708377747E-2</v>
      </c>
      <c r="G737" s="259"/>
      <c r="H737" s="259"/>
    </row>
    <row r="738" spans="1:8" ht="14.25" customHeight="1" x14ac:dyDescent="0.3">
      <c r="A738" s="261">
        <v>45005</v>
      </c>
      <c r="B738" s="262">
        <v>16988.400390625</v>
      </c>
      <c r="C738" s="262">
        <v>3366.10009765625</v>
      </c>
      <c r="D738" s="259"/>
      <c r="E738" s="263">
        <f t="shared" si="22"/>
        <v>-6.5292432199922654E-3</v>
      </c>
      <c r="F738" s="263">
        <f t="shared" si="23"/>
        <v>1.654940597953778E-2</v>
      </c>
      <c r="G738" s="259"/>
      <c r="H738" s="259"/>
    </row>
    <row r="739" spans="1:8" ht="14.25" customHeight="1" x14ac:dyDescent="0.3">
      <c r="A739" s="261">
        <v>45006</v>
      </c>
      <c r="B739" s="262">
        <v>17107.5</v>
      </c>
      <c r="C739" s="262">
        <v>3357.60009765625</v>
      </c>
      <c r="D739" s="259"/>
      <c r="E739" s="263">
        <f t="shared" si="22"/>
        <v>7.0106429467441077E-3</v>
      </c>
      <c r="F739" s="263">
        <f t="shared" si="23"/>
        <v>-2.52517743186496E-3</v>
      </c>
      <c r="G739" s="259"/>
      <c r="H739" s="259"/>
    </row>
    <row r="740" spans="1:8" ht="14.25" customHeight="1" x14ac:dyDescent="0.3">
      <c r="A740" s="261">
        <v>45007</v>
      </c>
      <c r="B740" s="262">
        <v>17151.900390625</v>
      </c>
      <c r="C740" s="262">
        <v>3361.39990234375</v>
      </c>
      <c r="D740" s="259"/>
      <c r="E740" s="263">
        <f t="shared" si="22"/>
        <v>2.5953757489405233E-3</v>
      </c>
      <c r="F740" s="263">
        <f t="shared" si="23"/>
        <v>1.1317025783244489E-3</v>
      </c>
      <c r="G740" s="259"/>
      <c r="H740" s="259"/>
    </row>
    <row r="741" spans="1:8" ht="14.25" customHeight="1" x14ac:dyDescent="0.3">
      <c r="A741" s="261">
        <v>45008</v>
      </c>
      <c r="B741" s="262">
        <v>17076.900390625</v>
      </c>
      <c r="C741" s="262">
        <v>3373.5</v>
      </c>
      <c r="D741" s="259"/>
      <c r="E741" s="263">
        <f t="shared" si="22"/>
        <v>-4.3726933046436068E-3</v>
      </c>
      <c r="F741" s="263">
        <f t="shared" si="23"/>
        <v>3.5997197619400049E-3</v>
      </c>
      <c r="G741" s="259"/>
      <c r="H741" s="259"/>
    </row>
    <row r="742" spans="1:8" ht="14.25" customHeight="1" x14ac:dyDescent="0.3">
      <c r="A742" s="261">
        <v>45009</v>
      </c>
      <c r="B742" s="262">
        <v>16945.05078125</v>
      </c>
      <c r="C742" s="262">
        <v>3358.39990234375</v>
      </c>
      <c r="D742" s="259"/>
      <c r="E742" s="263">
        <f t="shared" si="22"/>
        <v>-7.7209333285906939E-3</v>
      </c>
      <c r="F742" s="263">
        <f t="shared" si="23"/>
        <v>-4.4760923836519931E-3</v>
      </c>
      <c r="G742" s="259"/>
      <c r="H742" s="259"/>
    </row>
    <row r="743" spans="1:8" ht="14.25" customHeight="1" x14ac:dyDescent="0.3">
      <c r="A743" s="261">
        <v>45012</v>
      </c>
      <c r="B743" s="262">
        <v>16985.69921875</v>
      </c>
      <c r="C743" s="262">
        <v>3306.80004882813</v>
      </c>
      <c r="D743" s="259"/>
      <c r="E743" s="263">
        <f t="shared" si="22"/>
        <v>2.3988383407489234E-3</v>
      </c>
      <c r="F743" s="263">
        <f t="shared" si="23"/>
        <v>-1.5364416095775149E-2</v>
      </c>
      <c r="G743" s="259"/>
      <c r="H743" s="259"/>
    </row>
    <row r="744" spans="1:8" ht="14.25" customHeight="1" x14ac:dyDescent="0.3">
      <c r="A744" s="261">
        <v>45013</v>
      </c>
      <c r="B744" s="262">
        <v>16951.69921875</v>
      </c>
      <c r="C744" s="262">
        <v>3316.44995117188</v>
      </c>
      <c r="D744" s="259"/>
      <c r="E744" s="263">
        <f t="shared" si="22"/>
        <v>-2.0016838613548761E-3</v>
      </c>
      <c r="F744" s="263">
        <f t="shared" si="23"/>
        <v>2.9181995286257935E-3</v>
      </c>
      <c r="G744" s="259"/>
      <c r="H744" s="259"/>
    </row>
    <row r="745" spans="1:8" ht="14.25" customHeight="1" x14ac:dyDescent="0.3">
      <c r="A745" s="261">
        <v>45014</v>
      </c>
      <c r="B745" s="262">
        <v>17080.69921875</v>
      </c>
      <c r="C745" s="262">
        <v>3325.44995117188</v>
      </c>
      <c r="D745" s="259"/>
      <c r="E745" s="263">
        <f t="shared" si="22"/>
        <v>7.6098565893214518E-3</v>
      </c>
      <c r="F745" s="263">
        <f t="shared" si="23"/>
        <v>2.7137451589823681E-3</v>
      </c>
      <c r="G745" s="259"/>
      <c r="H745" s="259"/>
    </row>
    <row r="746" spans="1:8" ht="14.25" customHeight="1" x14ac:dyDescent="0.3">
      <c r="A746" s="261">
        <v>45016</v>
      </c>
      <c r="B746" s="262">
        <v>17359.75</v>
      </c>
      <c r="C746" s="262">
        <v>3401.05004882813</v>
      </c>
      <c r="D746" s="259"/>
      <c r="E746" s="263">
        <f t="shared" si="22"/>
        <v>1.6337198944623856E-2</v>
      </c>
      <c r="F746" s="263">
        <f t="shared" si="23"/>
        <v>2.2733795055195079E-2</v>
      </c>
      <c r="G746" s="259"/>
      <c r="H746" s="259"/>
    </row>
    <row r="747" spans="1:8" ht="14.25" customHeight="1" x14ac:dyDescent="0.3">
      <c r="A747" s="261">
        <v>45019</v>
      </c>
      <c r="B747" s="262">
        <v>17398.05078125</v>
      </c>
      <c r="C747" s="262">
        <v>3553.75</v>
      </c>
      <c r="D747" s="259"/>
      <c r="E747" s="263">
        <f t="shared" si="22"/>
        <v>2.2062979737611428E-3</v>
      </c>
      <c r="F747" s="263">
        <f t="shared" si="23"/>
        <v>4.4897884176824887E-2</v>
      </c>
      <c r="G747" s="259"/>
      <c r="H747" s="259"/>
    </row>
    <row r="748" spans="1:8" ht="14.25" customHeight="1" x14ac:dyDescent="0.3">
      <c r="A748" s="261">
        <v>45021</v>
      </c>
      <c r="B748" s="262">
        <v>17557.05078125</v>
      </c>
      <c r="C748" s="262">
        <v>3654.85009765625</v>
      </c>
      <c r="D748" s="259"/>
      <c r="E748" s="263">
        <f t="shared" si="22"/>
        <v>9.1389548173612303E-3</v>
      </c>
      <c r="F748" s="263">
        <f t="shared" si="23"/>
        <v>2.8448849147027788E-2</v>
      </c>
      <c r="G748" s="259"/>
      <c r="H748" s="259"/>
    </row>
    <row r="749" spans="1:8" ht="14.25" customHeight="1" x14ac:dyDescent="0.3">
      <c r="A749" s="261">
        <v>45022</v>
      </c>
      <c r="B749" s="262">
        <v>17599.150390625</v>
      </c>
      <c r="C749" s="262">
        <v>3496.10009765625</v>
      </c>
      <c r="D749" s="259"/>
      <c r="E749" s="263">
        <f t="shared" si="22"/>
        <v>2.3978747854372074E-3</v>
      </c>
      <c r="F749" s="263">
        <f t="shared" si="23"/>
        <v>-4.3435433946197081E-2</v>
      </c>
      <c r="G749" s="259"/>
      <c r="H749" s="259"/>
    </row>
    <row r="750" spans="1:8" ht="14.25" customHeight="1" x14ac:dyDescent="0.3">
      <c r="A750" s="261">
        <v>45026</v>
      </c>
      <c r="B750" s="262">
        <v>17624.05078125</v>
      </c>
      <c r="C750" s="262">
        <v>3450.69995117188</v>
      </c>
      <c r="D750" s="259"/>
      <c r="E750" s="263">
        <f t="shared" si="22"/>
        <v>1.4148632219350965E-3</v>
      </c>
      <c r="F750" s="263">
        <f t="shared" si="23"/>
        <v>-1.2985940109325186E-2</v>
      </c>
      <c r="G750" s="259"/>
      <c r="H750" s="259"/>
    </row>
    <row r="751" spans="1:8" ht="14.25" customHeight="1" x14ac:dyDescent="0.3">
      <c r="A751" s="261">
        <v>45027</v>
      </c>
      <c r="B751" s="262">
        <v>17722.30078125</v>
      </c>
      <c r="C751" s="262">
        <v>3454.19995117188</v>
      </c>
      <c r="D751" s="259"/>
      <c r="E751" s="263">
        <f t="shared" si="22"/>
        <v>5.574768321964148E-3</v>
      </c>
      <c r="F751" s="263">
        <f t="shared" si="23"/>
        <v>1.0142869706221132E-3</v>
      </c>
      <c r="G751" s="259"/>
      <c r="H751" s="259"/>
    </row>
    <row r="752" spans="1:8" ht="14.25" customHeight="1" x14ac:dyDescent="0.3">
      <c r="A752" s="261">
        <v>45028</v>
      </c>
      <c r="B752" s="262">
        <v>17812.400390625</v>
      </c>
      <c r="C752" s="262">
        <v>3473.10009765625</v>
      </c>
      <c r="D752" s="259"/>
      <c r="E752" s="263">
        <f t="shared" si="22"/>
        <v>5.0839679614468796E-3</v>
      </c>
      <c r="F752" s="263">
        <f t="shared" si="23"/>
        <v>5.4716422765155471E-3</v>
      </c>
      <c r="G752" s="259"/>
      <c r="H752" s="259"/>
    </row>
    <row r="753" spans="1:8" ht="14.25" customHeight="1" x14ac:dyDescent="0.3">
      <c r="A753" s="261">
        <v>45029</v>
      </c>
      <c r="B753" s="262">
        <v>17828</v>
      </c>
      <c r="C753" s="262">
        <v>3501.05004882813</v>
      </c>
      <c r="D753" s="259"/>
      <c r="E753" s="263">
        <f t="shared" si="22"/>
        <v>8.7577244127132723E-4</v>
      </c>
      <c r="F753" s="263">
        <f t="shared" si="23"/>
        <v>8.0475512901978987E-3</v>
      </c>
      <c r="G753" s="259"/>
      <c r="H753" s="259"/>
    </row>
    <row r="754" spans="1:8" ht="14.25" customHeight="1" x14ac:dyDescent="0.3">
      <c r="A754" s="261">
        <v>45033</v>
      </c>
      <c r="B754" s="262">
        <v>17706.849609375</v>
      </c>
      <c r="C754" s="262">
        <v>3497.10009765625</v>
      </c>
      <c r="D754" s="259"/>
      <c r="E754" s="263">
        <f t="shared" si="22"/>
        <v>-6.7955121508301549E-3</v>
      </c>
      <c r="F754" s="263">
        <f t="shared" si="23"/>
        <v>-1.1282189962414642E-3</v>
      </c>
      <c r="G754" s="259"/>
      <c r="H754" s="259"/>
    </row>
    <row r="755" spans="1:8" ht="14.25" customHeight="1" x14ac:dyDescent="0.3">
      <c r="A755" s="261">
        <v>45034</v>
      </c>
      <c r="B755" s="262">
        <v>17660.150390625</v>
      </c>
      <c r="C755" s="262">
        <v>3506.80004882813</v>
      </c>
      <c r="D755" s="259"/>
      <c r="E755" s="263">
        <f t="shared" si="22"/>
        <v>-2.6373533282439362E-3</v>
      </c>
      <c r="F755" s="263">
        <f t="shared" si="23"/>
        <v>2.7737127622915031E-3</v>
      </c>
      <c r="G755" s="259"/>
      <c r="H755" s="259"/>
    </row>
    <row r="756" spans="1:8" ht="14.25" customHeight="1" x14ac:dyDescent="0.3">
      <c r="A756" s="261">
        <v>45035</v>
      </c>
      <c r="B756" s="262">
        <v>17618.75</v>
      </c>
      <c r="C756" s="262">
        <v>3476.19995117188</v>
      </c>
      <c r="D756" s="259"/>
      <c r="E756" s="263">
        <f t="shared" si="22"/>
        <v>-2.3442830162407708E-3</v>
      </c>
      <c r="F756" s="263">
        <f t="shared" si="23"/>
        <v>-8.7259316842075614E-3</v>
      </c>
      <c r="G756" s="259"/>
      <c r="H756" s="259"/>
    </row>
    <row r="757" spans="1:8" ht="14.25" customHeight="1" x14ac:dyDescent="0.3">
      <c r="A757" s="261">
        <v>45036</v>
      </c>
      <c r="B757" s="262">
        <v>17624.44921875</v>
      </c>
      <c r="C757" s="262">
        <v>3482.19995117188</v>
      </c>
      <c r="D757" s="259"/>
      <c r="E757" s="263">
        <f t="shared" si="22"/>
        <v>3.2347463639588507E-4</v>
      </c>
      <c r="F757" s="263">
        <f t="shared" si="23"/>
        <v>1.7260226926754626E-3</v>
      </c>
      <c r="G757" s="259"/>
      <c r="H757" s="259"/>
    </row>
    <row r="758" spans="1:8" ht="14.25" customHeight="1" x14ac:dyDescent="0.3">
      <c r="A758" s="261">
        <v>45037</v>
      </c>
      <c r="B758" s="262">
        <v>17624.05078125</v>
      </c>
      <c r="C758" s="262">
        <v>3455.89990234375</v>
      </c>
      <c r="D758" s="259"/>
      <c r="E758" s="263">
        <f t="shared" si="22"/>
        <v>-2.2607089450268724E-5</v>
      </c>
      <c r="F758" s="263">
        <f t="shared" si="23"/>
        <v>-7.5527106992460706E-3</v>
      </c>
      <c r="G758" s="259"/>
      <c r="H758" s="259"/>
    </row>
    <row r="759" spans="1:8" ht="14.25" customHeight="1" x14ac:dyDescent="0.3">
      <c r="A759" s="261">
        <v>45040</v>
      </c>
      <c r="B759" s="262">
        <v>17743.400390625</v>
      </c>
      <c r="C759" s="262">
        <v>3467.19995117188</v>
      </c>
      <c r="D759" s="259"/>
      <c r="E759" s="263">
        <f t="shared" si="22"/>
        <v>6.7719737565653465E-3</v>
      </c>
      <c r="F759" s="263">
        <f t="shared" si="23"/>
        <v>3.2697847586576349E-3</v>
      </c>
      <c r="G759" s="259"/>
      <c r="H759" s="259"/>
    </row>
    <row r="760" spans="1:8" ht="14.25" customHeight="1" x14ac:dyDescent="0.3">
      <c r="A760" s="261">
        <v>45041</v>
      </c>
      <c r="B760" s="262">
        <v>17769.25</v>
      </c>
      <c r="C760" s="262">
        <v>3465.85009765625</v>
      </c>
      <c r="D760" s="259"/>
      <c r="E760" s="263">
        <f t="shared" si="22"/>
        <v>1.4568576938982925E-3</v>
      </c>
      <c r="F760" s="263">
        <f t="shared" si="23"/>
        <v>-3.8932093177198066E-4</v>
      </c>
      <c r="G760" s="259"/>
      <c r="H760" s="259"/>
    </row>
    <row r="761" spans="1:8" ht="14.25" customHeight="1" x14ac:dyDescent="0.3">
      <c r="A761" s="261">
        <v>45042</v>
      </c>
      <c r="B761" s="262">
        <v>17813.599609375</v>
      </c>
      <c r="C761" s="262">
        <v>3461.60009765625</v>
      </c>
      <c r="D761" s="259"/>
      <c r="E761" s="263">
        <f t="shared" si="22"/>
        <v>2.495862761512163E-3</v>
      </c>
      <c r="F761" s="263">
        <f t="shared" si="23"/>
        <v>-1.2262503802094684E-3</v>
      </c>
      <c r="G761" s="259"/>
      <c r="H761" s="259"/>
    </row>
    <row r="762" spans="1:8" ht="14.25" customHeight="1" x14ac:dyDescent="0.3">
      <c r="A762" s="261">
        <v>45043</v>
      </c>
      <c r="B762" s="262">
        <v>17915.05078125</v>
      </c>
      <c r="C762" s="262">
        <v>3500.80004882813</v>
      </c>
      <c r="D762" s="259"/>
      <c r="E762" s="263">
        <f t="shared" si="22"/>
        <v>5.6951528101938445E-3</v>
      </c>
      <c r="F762" s="263">
        <f t="shared" si="23"/>
        <v>1.132422869944485E-2</v>
      </c>
      <c r="G762" s="259"/>
      <c r="H762" s="259"/>
    </row>
    <row r="763" spans="1:8" ht="14.25" customHeight="1" x14ac:dyDescent="0.3">
      <c r="A763" s="261">
        <v>45044</v>
      </c>
      <c r="B763" s="262">
        <v>18065</v>
      </c>
      <c r="C763" s="262">
        <v>3511.94995117188</v>
      </c>
      <c r="D763" s="259"/>
      <c r="E763" s="263">
        <f t="shared" si="22"/>
        <v>8.3700136036978338E-3</v>
      </c>
      <c r="F763" s="263">
        <f t="shared" si="23"/>
        <v>3.1849583490157793E-3</v>
      </c>
      <c r="G763" s="259"/>
      <c r="H763" s="259"/>
    </row>
    <row r="764" spans="1:8" ht="14.25" customHeight="1" x14ac:dyDescent="0.3">
      <c r="A764" s="261">
        <v>45048</v>
      </c>
      <c r="B764" s="262">
        <v>18147.650390625</v>
      </c>
      <c r="C764" s="262">
        <v>3545.89990234375</v>
      </c>
      <c r="D764" s="259"/>
      <c r="E764" s="263">
        <f t="shared" si="22"/>
        <v>4.5751669319125379E-3</v>
      </c>
      <c r="F764" s="263">
        <f t="shared" si="23"/>
        <v>9.6669803510558167E-3</v>
      </c>
      <c r="G764" s="259"/>
      <c r="H764" s="259"/>
    </row>
    <row r="765" spans="1:8" ht="14.25" customHeight="1" x14ac:dyDescent="0.3">
      <c r="A765" s="261">
        <v>45049</v>
      </c>
      <c r="B765" s="262">
        <v>18089.849609375</v>
      </c>
      <c r="C765" s="262">
        <v>3554</v>
      </c>
      <c r="D765" s="259"/>
      <c r="E765" s="263">
        <f t="shared" si="22"/>
        <v>-3.18502836487635E-3</v>
      </c>
      <c r="F765" s="263">
        <f t="shared" si="23"/>
        <v>2.2843559827777542E-3</v>
      </c>
      <c r="G765" s="259"/>
      <c r="H765" s="259"/>
    </row>
    <row r="766" spans="1:8" ht="14.25" customHeight="1" x14ac:dyDescent="0.3">
      <c r="A766" s="261">
        <v>45050</v>
      </c>
      <c r="B766" s="262">
        <v>18255.80078125</v>
      </c>
      <c r="C766" s="262">
        <v>3584.5</v>
      </c>
      <c r="D766" s="259"/>
      <c r="E766" s="263">
        <f t="shared" si="22"/>
        <v>9.173717607303733E-3</v>
      </c>
      <c r="F766" s="263">
        <f t="shared" si="23"/>
        <v>8.5818795723128869E-3</v>
      </c>
      <c r="G766" s="259"/>
      <c r="H766" s="259"/>
    </row>
    <row r="767" spans="1:8" ht="14.25" customHeight="1" x14ac:dyDescent="0.3">
      <c r="A767" s="261">
        <v>45051</v>
      </c>
      <c r="B767" s="262">
        <v>18069</v>
      </c>
      <c r="C767" s="262">
        <v>3598.19995117188</v>
      </c>
      <c r="D767" s="259"/>
      <c r="E767" s="263">
        <f t="shared" si="22"/>
        <v>-1.0232406865540384E-2</v>
      </c>
      <c r="F767" s="263">
        <f t="shared" si="23"/>
        <v>3.8219978161194035E-3</v>
      </c>
      <c r="G767" s="259"/>
      <c r="H767" s="259"/>
    </row>
    <row r="768" spans="1:8" ht="14.25" customHeight="1" x14ac:dyDescent="0.3">
      <c r="A768" s="261">
        <v>45054</v>
      </c>
      <c r="B768" s="262">
        <v>18264.400390625</v>
      </c>
      <c r="C768" s="262">
        <v>3677.85009765625</v>
      </c>
      <c r="D768" s="259"/>
      <c r="E768" s="263">
        <f t="shared" si="22"/>
        <v>1.0814123118324201E-2</v>
      </c>
      <c r="F768" s="263">
        <f t="shared" si="23"/>
        <v>2.2136109044865373E-2</v>
      </c>
      <c r="G768" s="259"/>
      <c r="H768" s="259"/>
    </row>
    <row r="769" spans="1:8" ht="14.25" customHeight="1" x14ac:dyDescent="0.3">
      <c r="A769" s="261">
        <v>45055</v>
      </c>
      <c r="B769" s="262">
        <v>18265.94921875</v>
      </c>
      <c r="C769" s="262">
        <v>3659.69995117188</v>
      </c>
      <c r="D769" s="259"/>
      <c r="E769" s="263">
        <f t="shared" si="22"/>
        <v>8.4800381719347525E-5</v>
      </c>
      <c r="F769" s="263">
        <f t="shared" si="23"/>
        <v>-4.9349881051259743E-3</v>
      </c>
      <c r="G769" s="259"/>
      <c r="H769" s="259"/>
    </row>
    <row r="770" spans="1:8" ht="14.25" customHeight="1" x14ac:dyDescent="0.3">
      <c r="A770" s="261">
        <v>45056</v>
      </c>
      <c r="B770" s="262">
        <v>18315.099609375</v>
      </c>
      <c r="C770" s="262">
        <v>3672.30004882813</v>
      </c>
      <c r="D770" s="259"/>
      <c r="E770" s="263">
        <f t="shared" si="22"/>
        <v>2.6908205008337105E-3</v>
      </c>
      <c r="F770" s="263">
        <f t="shared" si="23"/>
        <v>3.4429318863190674E-3</v>
      </c>
      <c r="G770" s="259"/>
      <c r="H770" s="259"/>
    </row>
    <row r="771" spans="1:8" ht="14.25" customHeight="1" x14ac:dyDescent="0.3">
      <c r="A771" s="261">
        <v>45057</v>
      </c>
      <c r="B771" s="262">
        <v>18297</v>
      </c>
      <c r="C771" s="262">
        <v>3704.64990234375</v>
      </c>
      <c r="D771" s="259"/>
      <c r="E771" s="263">
        <f t="shared" ref="E771:E834" si="24">(B771-B770)/B770</f>
        <v>-9.8823428542727139E-4</v>
      </c>
      <c r="F771" s="263">
        <f t="shared" ref="F771:F834" si="25">(C771-C770)/C770</f>
        <v>8.8091531425770024E-3</v>
      </c>
      <c r="G771" s="259"/>
      <c r="H771" s="259"/>
    </row>
    <row r="772" spans="1:8" ht="14.25" customHeight="1" x14ac:dyDescent="0.3">
      <c r="A772" s="261">
        <v>45058</v>
      </c>
      <c r="B772" s="262">
        <v>18314.80078125</v>
      </c>
      <c r="C772" s="262">
        <v>3677.55004882813</v>
      </c>
      <c r="D772" s="259"/>
      <c r="E772" s="263">
        <f t="shared" si="24"/>
        <v>9.7287977537301195E-4</v>
      </c>
      <c r="F772" s="263">
        <f t="shared" si="25"/>
        <v>-7.3150916361827472E-3</v>
      </c>
      <c r="G772" s="259"/>
      <c r="H772" s="259"/>
    </row>
    <row r="773" spans="1:8" ht="14.25" customHeight="1" x14ac:dyDescent="0.3">
      <c r="A773" s="261">
        <v>45061</v>
      </c>
      <c r="B773" s="262">
        <v>18398.849609375</v>
      </c>
      <c r="C773" s="262">
        <v>3523.39990234375</v>
      </c>
      <c r="D773" s="259"/>
      <c r="E773" s="263">
        <f t="shared" si="24"/>
        <v>4.589120522186952E-3</v>
      </c>
      <c r="F773" s="263">
        <f t="shared" si="25"/>
        <v>-4.1916532593078031E-2</v>
      </c>
      <c r="G773" s="259"/>
      <c r="H773" s="259"/>
    </row>
    <row r="774" spans="1:8" ht="14.25" customHeight="1" x14ac:dyDescent="0.3">
      <c r="A774" s="261">
        <v>45062</v>
      </c>
      <c r="B774" s="262">
        <v>18286.5</v>
      </c>
      <c r="C774" s="262">
        <v>3479.25</v>
      </c>
      <c r="D774" s="259"/>
      <c r="E774" s="263">
        <f t="shared" si="24"/>
        <v>-6.1063388070606911E-3</v>
      </c>
      <c r="F774" s="263">
        <f t="shared" si="25"/>
        <v>-1.253048293336833E-2</v>
      </c>
      <c r="G774" s="259"/>
      <c r="H774" s="259"/>
    </row>
    <row r="775" spans="1:8" ht="14.25" customHeight="1" x14ac:dyDescent="0.3">
      <c r="A775" s="261">
        <v>45063</v>
      </c>
      <c r="B775" s="262">
        <v>18181.75</v>
      </c>
      <c r="C775" s="262">
        <v>3400.19995117188</v>
      </c>
      <c r="D775" s="259"/>
      <c r="E775" s="263">
        <f t="shared" si="24"/>
        <v>-5.7282694884204198E-3</v>
      </c>
      <c r="F775" s="263">
        <f t="shared" si="25"/>
        <v>-2.2720427916395773E-2</v>
      </c>
      <c r="G775" s="259"/>
      <c r="H775" s="259"/>
    </row>
    <row r="776" spans="1:8" ht="14.25" customHeight="1" x14ac:dyDescent="0.3">
      <c r="A776" s="261">
        <v>45064</v>
      </c>
      <c r="B776" s="262">
        <v>18129.94921875</v>
      </c>
      <c r="C776" s="262">
        <v>3368.55004882813</v>
      </c>
      <c r="D776" s="259"/>
      <c r="E776" s="263">
        <f t="shared" si="24"/>
        <v>-2.8490536527011976E-3</v>
      </c>
      <c r="F776" s="263">
        <f t="shared" si="25"/>
        <v>-9.3082473966984939E-3</v>
      </c>
      <c r="G776" s="259"/>
      <c r="H776" s="259"/>
    </row>
    <row r="777" spans="1:8" ht="14.25" customHeight="1" x14ac:dyDescent="0.3">
      <c r="A777" s="261">
        <v>45065</v>
      </c>
      <c r="B777" s="262">
        <v>18203.400390625</v>
      </c>
      <c r="C777" s="262">
        <v>3395.25</v>
      </c>
      <c r="D777" s="259"/>
      <c r="E777" s="263">
        <f t="shared" si="24"/>
        <v>4.051372179191587E-3</v>
      </c>
      <c r="F777" s="263">
        <f t="shared" si="25"/>
        <v>7.9262444627054077E-3</v>
      </c>
      <c r="G777" s="259"/>
      <c r="H777" s="259"/>
    </row>
    <row r="778" spans="1:8" ht="14.25" customHeight="1" x14ac:dyDescent="0.3">
      <c r="A778" s="261">
        <v>45068</v>
      </c>
      <c r="B778" s="262">
        <v>18314.400390625</v>
      </c>
      <c r="C778" s="262">
        <v>3425.10009765625</v>
      </c>
      <c r="D778" s="259"/>
      <c r="E778" s="263">
        <f t="shared" si="24"/>
        <v>6.0977618257062847E-3</v>
      </c>
      <c r="F778" s="263">
        <f t="shared" si="25"/>
        <v>8.7917230413813423E-3</v>
      </c>
      <c r="G778" s="259"/>
      <c r="H778" s="259"/>
    </row>
    <row r="779" spans="1:8" ht="14.25" customHeight="1" x14ac:dyDescent="0.3">
      <c r="A779" s="261">
        <v>45069</v>
      </c>
      <c r="B779" s="262">
        <v>18348</v>
      </c>
      <c r="C779" s="262">
        <v>3432.94995117188</v>
      </c>
      <c r="D779" s="259"/>
      <c r="E779" s="263">
        <f t="shared" si="24"/>
        <v>1.8346005688616145E-3</v>
      </c>
      <c r="F779" s="263">
        <f t="shared" si="25"/>
        <v>2.2918610527620934E-3</v>
      </c>
      <c r="G779" s="259"/>
      <c r="H779" s="259"/>
    </row>
    <row r="780" spans="1:8" ht="14.25" customHeight="1" x14ac:dyDescent="0.3">
      <c r="A780" s="261">
        <v>45070</v>
      </c>
      <c r="B780" s="262">
        <v>18285.400390625</v>
      </c>
      <c r="C780" s="262">
        <v>3429.55004882813</v>
      </c>
      <c r="D780" s="259"/>
      <c r="E780" s="263">
        <f t="shared" si="24"/>
        <v>-3.4117947119577064E-3</v>
      </c>
      <c r="F780" s="263">
        <f t="shared" si="25"/>
        <v>-9.9037340832463963E-4</v>
      </c>
      <c r="G780" s="259"/>
      <c r="H780" s="259"/>
    </row>
    <row r="781" spans="1:8" ht="14.25" customHeight="1" x14ac:dyDescent="0.3">
      <c r="A781" s="261">
        <v>45071</v>
      </c>
      <c r="B781" s="262">
        <v>18321.150390625</v>
      </c>
      <c r="C781" s="262">
        <v>3435.35009765625</v>
      </c>
      <c r="D781" s="259"/>
      <c r="E781" s="263">
        <f t="shared" si="24"/>
        <v>1.955111686716424E-3</v>
      </c>
      <c r="F781" s="263">
        <f t="shared" si="25"/>
        <v>1.6911981879669208E-3</v>
      </c>
      <c r="G781" s="259"/>
      <c r="H781" s="259"/>
    </row>
    <row r="782" spans="1:8" ht="14.25" customHeight="1" x14ac:dyDescent="0.3">
      <c r="A782" s="261">
        <v>45072</v>
      </c>
      <c r="B782" s="262">
        <v>18499.349609375</v>
      </c>
      <c r="C782" s="262">
        <v>3501.75</v>
      </c>
      <c r="D782" s="259"/>
      <c r="E782" s="263">
        <f t="shared" si="24"/>
        <v>9.7264208278747162E-3</v>
      </c>
      <c r="F782" s="263">
        <f t="shared" si="25"/>
        <v>1.9328423728647334E-2</v>
      </c>
      <c r="G782" s="259"/>
      <c r="H782" s="259"/>
    </row>
    <row r="783" spans="1:8" ht="14.25" customHeight="1" x14ac:dyDescent="0.3">
      <c r="A783" s="261">
        <v>45075</v>
      </c>
      <c r="B783" s="262">
        <v>18598.650390625</v>
      </c>
      <c r="C783" s="262">
        <v>3503.30004882813</v>
      </c>
      <c r="D783" s="259"/>
      <c r="E783" s="263">
        <f t="shared" si="24"/>
        <v>5.3677985089636282E-3</v>
      </c>
      <c r="F783" s="263">
        <f t="shared" si="25"/>
        <v>4.4264976886699572E-4</v>
      </c>
      <c r="G783" s="259"/>
      <c r="H783" s="259"/>
    </row>
    <row r="784" spans="1:8" ht="14.25" customHeight="1" x14ac:dyDescent="0.3">
      <c r="A784" s="261">
        <v>45076</v>
      </c>
      <c r="B784" s="262">
        <v>18633.849609375</v>
      </c>
      <c r="C784" s="262">
        <v>3507.5</v>
      </c>
      <c r="D784" s="259"/>
      <c r="E784" s="263">
        <f t="shared" si="24"/>
        <v>1.892568439683281E-3</v>
      </c>
      <c r="F784" s="263">
        <f t="shared" si="25"/>
        <v>1.1988556827368813E-3</v>
      </c>
      <c r="G784" s="259"/>
      <c r="H784" s="259"/>
    </row>
    <row r="785" spans="1:8" ht="14.25" customHeight="1" x14ac:dyDescent="0.3">
      <c r="A785" s="261">
        <v>45077</v>
      </c>
      <c r="B785" s="262">
        <v>18534.400390625</v>
      </c>
      <c r="C785" s="262">
        <v>3471.25</v>
      </c>
      <c r="D785" s="259"/>
      <c r="E785" s="263">
        <f t="shared" si="24"/>
        <v>-5.33701950132545E-3</v>
      </c>
      <c r="F785" s="263">
        <f t="shared" si="25"/>
        <v>-1.0334996436208126E-2</v>
      </c>
      <c r="G785" s="259"/>
      <c r="H785" s="259"/>
    </row>
    <row r="786" spans="1:8" ht="14.25" customHeight="1" x14ac:dyDescent="0.3">
      <c r="A786" s="261">
        <v>45078</v>
      </c>
      <c r="B786" s="262">
        <v>18487.75</v>
      </c>
      <c r="C786" s="262">
        <v>3500.89990234375</v>
      </c>
      <c r="D786" s="259"/>
      <c r="E786" s="263">
        <f t="shared" si="24"/>
        <v>-2.5169624936232909E-3</v>
      </c>
      <c r="F786" s="263">
        <f t="shared" si="25"/>
        <v>8.5415635127835798E-3</v>
      </c>
      <c r="G786" s="259"/>
      <c r="H786" s="259"/>
    </row>
    <row r="787" spans="1:8" ht="14.25" customHeight="1" x14ac:dyDescent="0.3">
      <c r="A787" s="261">
        <v>45079</v>
      </c>
      <c r="B787" s="262">
        <v>18534.099609375</v>
      </c>
      <c r="C787" s="262">
        <v>3531.60009765625</v>
      </c>
      <c r="D787" s="259"/>
      <c r="E787" s="263">
        <f t="shared" si="24"/>
        <v>2.5070443604548959E-3</v>
      </c>
      <c r="F787" s="263">
        <f t="shared" si="25"/>
        <v>8.7692296749036207E-3</v>
      </c>
      <c r="G787" s="259"/>
      <c r="H787" s="259"/>
    </row>
    <row r="788" spans="1:8" ht="14.25" customHeight="1" x14ac:dyDescent="0.3">
      <c r="A788" s="261">
        <v>45082</v>
      </c>
      <c r="B788" s="262">
        <v>18593.849609375</v>
      </c>
      <c r="C788" s="262">
        <v>3536.85009765625</v>
      </c>
      <c r="D788" s="259"/>
      <c r="E788" s="263">
        <f t="shared" si="24"/>
        <v>3.2237875731377309E-3</v>
      </c>
      <c r="F788" s="263">
        <f t="shared" si="25"/>
        <v>1.4865782803336561E-3</v>
      </c>
      <c r="G788" s="259"/>
      <c r="H788" s="259"/>
    </row>
    <row r="789" spans="1:8" ht="14.25" customHeight="1" x14ac:dyDescent="0.3">
      <c r="A789" s="261">
        <v>45083</v>
      </c>
      <c r="B789" s="262">
        <v>18599</v>
      </c>
      <c r="C789" s="262">
        <v>3527.75</v>
      </c>
      <c r="D789" s="259"/>
      <c r="E789" s="263">
        <f t="shared" si="24"/>
        <v>2.7699431442121478E-4</v>
      </c>
      <c r="F789" s="263">
        <f t="shared" si="25"/>
        <v>-2.5729384636007969E-3</v>
      </c>
      <c r="G789" s="259"/>
      <c r="H789" s="259"/>
    </row>
    <row r="790" spans="1:8" ht="14.25" customHeight="1" x14ac:dyDescent="0.3">
      <c r="A790" s="261">
        <v>45084</v>
      </c>
      <c r="B790" s="262">
        <v>18726.400390625</v>
      </c>
      <c r="C790" s="262">
        <v>3544.05004882813</v>
      </c>
      <c r="D790" s="259"/>
      <c r="E790" s="263">
        <f t="shared" si="24"/>
        <v>6.8498516385289534E-3</v>
      </c>
      <c r="F790" s="263">
        <f t="shared" si="25"/>
        <v>4.620522664057828E-3</v>
      </c>
      <c r="G790" s="259"/>
      <c r="H790" s="259"/>
    </row>
    <row r="791" spans="1:8" ht="14.25" customHeight="1" x14ac:dyDescent="0.3">
      <c r="A791" s="261">
        <v>45085</v>
      </c>
      <c r="B791" s="262">
        <v>18634.55078125</v>
      </c>
      <c r="C791" s="262">
        <v>3546.80004882813</v>
      </c>
      <c r="D791" s="259"/>
      <c r="E791" s="263">
        <f t="shared" si="24"/>
        <v>-4.904819263662796E-3</v>
      </c>
      <c r="F791" s="263">
        <f t="shared" si="25"/>
        <v>7.7594840990163514E-4</v>
      </c>
      <c r="G791" s="259"/>
      <c r="H791" s="259"/>
    </row>
    <row r="792" spans="1:8" ht="14.25" customHeight="1" x14ac:dyDescent="0.3">
      <c r="A792" s="261">
        <v>45086</v>
      </c>
      <c r="B792" s="262">
        <v>18563.400390625</v>
      </c>
      <c r="C792" s="262">
        <v>3632.10009765625</v>
      </c>
      <c r="D792" s="259"/>
      <c r="E792" s="263">
        <f t="shared" si="24"/>
        <v>-3.8181972541345725E-3</v>
      </c>
      <c r="F792" s="263">
        <f t="shared" si="25"/>
        <v>2.4049861185804176E-2</v>
      </c>
      <c r="G792" s="259"/>
      <c r="H792" s="259"/>
    </row>
    <row r="793" spans="1:8" ht="14.25" customHeight="1" x14ac:dyDescent="0.3">
      <c r="A793" s="261">
        <v>45089</v>
      </c>
      <c r="B793" s="262">
        <v>18601.5</v>
      </c>
      <c r="C793" s="262">
        <v>3629.39990234375</v>
      </c>
      <c r="D793" s="259"/>
      <c r="E793" s="263">
        <f t="shared" si="24"/>
        <v>2.0524046550351462E-3</v>
      </c>
      <c r="F793" s="263">
        <f t="shared" si="25"/>
        <v>-7.4342535720378503E-4</v>
      </c>
      <c r="G793" s="259"/>
      <c r="H793" s="259"/>
    </row>
    <row r="794" spans="1:8" ht="14.25" customHeight="1" x14ac:dyDescent="0.3">
      <c r="A794" s="261">
        <v>45090</v>
      </c>
      <c r="B794" s="262">
        <v>18716.150390625</v>
      </c>
      <c r="C794" s="262">
        <v>3677.89990234375</v>
      </c>
      <c r="D794" s="259"/>
      <c r="E794" s="263">
        <f t="shared" si="24"/>
        <v>6.1635024393194094E-3</v>
      </c>
      <c r="F794" s="263">
        <f t="shared" si="25"/>
        <v>1.3363090677519514E-2</v>
      </c>
      <c r="G794" s="259"/>
      <c r="H794" s="259"/>
    </row>
    <row r="795" spans="1:8" ht="14.25" customHeight="1" x14ac:dyDescent="0.3">
      <c r="A795" s="261">
        <v>45091</v>
      </c>
      <c r="B795" s="262">
        <v>18755.900390625</v>
      </c>
      <c r="C795" s="262">
        <v>3704.85009765625</v>
      </c>
      <c r="D795" s="259"/>
      <c r="E795" s="263">
        <f t="shared" si="24"/>
        <v>2.1238341844010264E-3</v>
      </c>
      <c r="F795" s="263">
        <f t="shared" si="25"/>
        <v>7.3276043470693495E-3</v>
      </c>
      <c r="G795" s="259"/>
      <c r="H795" s="259"/>
    </row>
    <row r="796" spans="1:8" ht="14.25" customHeight="1" x14ac:dyDescent="0.3">
      <c r="A796" s="261">
        <v>45092</v>
      </c>
      <c r="B796" s="262">
        <v>18688.099609375</v>
      </c>
      <c r="C796" s="262">
        <v>3917.69995117188</v>
      </c>
      <c r="D796" s="259"/>
      <c r="E796" s="263">
        <f t="shared" si="24"/>
        <v>-3.6149041015322157E-3</v>
      </c>
      <c r="F796" s="263">
        <f t="shared" si="25"/>
        <v>5.745167764015132E-2</v>
      </c>
      <c r="G796" s="259"/>
      <c r="H796" s="259"/>
    </row>
    <row r="797" spans="1:8" ht="14.25" customHeight="1" x14ac:dyDescent="0.3">
      <c r="A797" s="261">
        <v>45093</v>
      </c>
      <c r="B797" s="262">
        <v>18826</v>
      </c>
      <c r="C797" s="262">
        <v>4085.60009765625</v>
      </c>
      <c r="D797" s="259"/>
      <c r="E797" s="263">
        <f t="shared" si="24"/>
        <v>7.3790483520229863E-3</v>
      </c>
      <c r="F797" s="263">
        <f t="shared" si="25"/>
        <v>4.2856816136250288E-2</v>
      </c>
      <c r="G797" s="259"/>
      <c r="H797" s="259"/>
    </row>
    <row r="798" spans="1:8" ht="14.25" customHeight="1" x14ac:dyDescent="0.3">
      <c r="A798" s="261">
        <v>45096</v>
      </c>
      <c r="B798" s="262">
        <v>18755.44921875</v>
      </c>
      <c r="C798" s="262">
        <v>3975.69995117188</v>
      </c>
      <c r="D798" s="259"/>
      <c r="E798" s="263">
        <f t="shared" si="24"/>
        <v>-3.7475183921172844E-3</v>
      </c>
      <c r="F798" s="263">
        <f t="shared" si="25"/>
        <v>-2.6899389038935906E-2</v>
      </c>
      <c r="G798" s="259"/>
      <c r="H798" s="259"/>
    </row>
    <row r="799" spans="1:8" ht="14.25" customHeight="1" x14ac:dyDescent="0.3">
      <c r="A799" s="261">
        <v>45097</v>
      </c>
      <c r="B799" s="262">
        <v>18816.69921875</v>
      </c>
      <c r="C799" s="262">
        <v>3986.89990234375</v>
      </c>
      <c r="D799" s="259"/>
      <c r="E799" s="263">
        <f t="shared" si="24"/>
        <v>3.2657175674986124E-3</v>
      </c>
      <c r="F799" s="263">
        <f t="shared" si="25"/>
        <v>2.8171017203068084E-3</v>
      </c>
      <c r="G799" s="259"/>
      <c r="H799" s="259"/>
    </row>
    <row r="800" spans="1:8" ht="14.25" customHeight="1" x14ac:dyDescent="0.3">
      <c r="A800" s="261">
        <v>45098</v>
      </c>
      <c r="B800" s="262">
        <v>18856.849609375</v>
      </c>
      <c r="C800" s="262">
        <v>3919.5</v>
      </c>
      <c r="D800" s="259"/>
      <c r="E800" s="263">
        <f t="shared" si="24"/>
        <v>2.133763746671995E-3</v>
      </c>
      <c r="F800" s="263">
        <f t="shared" si="25"/>
        <v>-1.6905340990409141E-2</v>
      </c>
      <c r="G800" s="259"/>
      <c r="H800" s="259"/>
    </row>
    <row r="801" spans="1:8" ht="14.25" customHeight="1" x14ac:dyDescent="0.3">
      <c r="A801" s="261">
        <v>45099</v>
      </c>
      <c r="B801" s="262">
        <v>18771.25</v>
      </c>
      <c r="C801" s="262">
        <v>3812.14990234375</v>
      </c>
      <c r="D801" s="259"/>
      <c r="E801" s="263">
        <f t="shared" si="24"/>
        <v>-4.5394438174042985E-3</v>
      </c>
      <c r="F801" s="263">
        <f t="shared" si="25"/>
        <v>-2.7388722453437937E-2</v>
      </c>
      <c r="G801" s="259"/>
      <c r="H801" s="259"/>
    </row>
    <row r="802" spans="1:8" ht="14.25" customHeight="1" x14ac:dyDescent="0.3">
      <c r="A802" s="261">
        <v>45100</v>
      </c>
      <c r="B802" s="262">
        <v>18665.5</v>
      </c>
      <c r="C802" s="262">
        <v>3744.05004882813</v>
      </c>
      <c r="D802" s="259"/>
      <c r="E802" s="263">
        <f t="shared" si="24"/>
        <v>-5.6336152360657917E-3</v>
      </c>
      <c r="F802" s="263">
        <f t="shared" si="25"/>
        <v>-1.7863897081736343E-2</v>
      </c>
      <c r="G802" s="259"/>
      <c r="H802" s="259"/>
    </row>
    <row r="803" spans="1:8" ht="14.25" customHeight="1" x14ac:dyDescent="0.3">
      <c r="A803" s="261">
        <v>45103</v>
      </c>
      <c r="B803" s="262">
        <v>18691.19921875</v>
      </c>
      <c r="C803" s="262">
        <v>3848.25</v>
      </c>
      <c r="D803" s="259"/>
      <c r="E803" s="263">
        <f t="shared" si="24"/>
        <v>1.3768299134767352E-3</v>
      </c>
      <c r="F803" s="263">
        <f t="shared" si="25"/>
        <v>2.7830811504371875E-2</v>
      </c>
      <c r="G803" s="259"/>
      <c r="H803" s="259"/>
    </row>
    <row r="804" spans="1:8" ht="14.25" customHeight="1" x14ac:dyDescent="0.3">
      <c r="A804" s="261">
        <v>45104</v>
      </c>
      <c r="B804" s="262">
        <v>18817.400390625</v>
      </c>
      <c r="C804" s="262">
        <v>3872.10009765625</v>
      </c>
      <c r="D804" s="259"/>
      <c r="E804" s="263">
        <f t="shared" si="24"/>
        <v>6.7519034171120394E-3</v>
      </c>
      <c r="F804" s="263">
        <f t="shared" si="25"/>
        <v>6.1976476726434094E-3</v>
      </c>
      <c r="G804" s="259"/>
      <c r="H804" s="259"/>
    </row>
    <row r="805" spans="1:8" ht="14.25" customHeight="1" x14ac:dyDescent="0.3">
      <c r="A805" s="261">
        <v>45105</v>
      </c>
      <c r="B805" s="262">
        <v>18972.099609375</v>
      </c>
      <c r="C805" s="262">
        <v>3963.60009765625</v>
      </c>
      <c r="D805" s="259"/>
      <c r="E805" s="263">
        <f t="shared" si="24"/>
        <v>8.2210728123249463E-3</v>
      </c>
      <c r="F805" s="263">
        <f t="shared" si="25"/>
        <v>2.3630587457019563E-2</v>
      </c>
      <c r="G805" s="259"/>
      <c r="H805" s="259"/>
    </row>
    <row r="806" spans="1:8" ht="14.25" customHeight="1" x14ac:dyDescent="0.3">
      <c r="A806" s="261">
        <v>45107</v>
      </c>
      <c r="B806" s="262">
        <v>19189.05078125</v>
      </c>
      <c r="C806" s="262">
        <v>3889.19995117188</v>
      </c>
      <c r="D806" s="259"/>
      <c r="E806" s="263">
        <f t="shared" si="24"/>
        <v>1.143527476356883E-2</v>
      </c>
      <c r="F806" s="263">
        <f t="shared" si="25"/>
        <v>-1.8770850906064965E-2</v>
      </c>
      <c r="G806" s="259"/>
      <c r="H806" s="259"/>
    </row>
    <row r="807" spans="1:8" ht="14.25" customHeight="1" x14ac:dyDescent="0.3">
      <c r="A807" s="261">
        <v>45110</v>
      </c>
      <c r="B807" s="262">
        <v>19322.55078125</v>
      </c>
      <c r="C807" s="262">
        <v>3868.60009765625</v>
      </c>
      <c r="D807" s="259"/>
      <c r="E807" s="263">
        <f t="shared" si="24"/>
        <v>6.9570924336937751E-3</v>
      </c>
      <c r="F807" s="263">
        <f t="shared" si="25"/>
        <v>-5.2966815217157775E-3</v>
      </c>
      <c r="G807" s="259"/>
      <c r="H807" s="259"/>
    </row>
    <row r="808" spans="1:8" ht="14.25" customHeight="1" x14ac:dyDescent="0.3">
      <c r="A808" s="261">
        <v>45111</v>
      </c>
      <c r="B808" s="262">
        <v>19389</v>
      </c>
      <c r="C808" s="262">
        <v>3857.19995117188</v>
      </c>
      <c r="D808" s="259"/>
      <c r="E808" s="263">
        <f t="shared" si="24"/>
        <v>3.4389465191355714E-3</v>
      </c>
      <c r="F808" s="263">
        <f t="shared" si="25"/>
        <v>-2.9468402514068732E-3</v>
      </c>
      <c r="G808" s="259"/>
      <c r="H808" s="259"/>
    </row>
    <row r="809" spans="1:8" ht="14.25" customHeight="1" x14ac:dyDescent="0.3">
      <c r="A809" s="261">
        <v>45112</v>
      </c>
      <c r="B809" s="262">
        <v>19398.5</v>
      </c>
      <c r="C809" s="262">
        <v>3820.10009765625</v>
      </c>
      <c r="D809" s="259"/>
      <c r="E809" s="263">
        <f t="shared" si="24"/>
        <v>4.8996853886224153E-4</v>
      </c>
      <c r="F809" s="263">
        <f t="shared" si="25"/>
        <v>-9.6183381689503716E-3</v>
      </c>
      <c r="G809" s="259"/>
      <c r="H809" s="259"/>
    </row>
    <row r="810" spans="1:8" ht="14.25" customHeight="1" x14ac:dyDescent="0.3">
      <c r="A810" s="261">
        <v>45113</v>
      </c>
      <c r="B810" s="262">
        <v>19497.30078125</v>
      </c>
      <c r="C810" s="262">
        <v>3815.89990234375</v>
      </c>
      <c r="D810" s="259"/>
      <c r="E810" s="263">
        <f t="shared" si="24"/>
        <v>5.0932175812562824E-3</v>
      </c>
      <c r="F810" s="263">
        <f t="shared" si="25"/>
        <v>-1.099498757919184E-3</v>
      </c>
      <c r="G810" s="259"/>
      <c r="H810" s="259"/>
    </row>
    <row r="811" spans="1:8" ht="14.25" customHeight="1" x14ac:dyDescent="0.3">
      <c r="A811" s="261">
        <v>45114</v>
      </c>
      <c r="B811" s="262">
        <v>19331.80078125</v>
      </c>
      <c r="C811" s="262">
        <v>3808.94995117188</v>
      </c>
      <c r="D811" s="259"/>
      <c r="E811" s="263">
        <f t="shared" si="24"/>
        <v>-8.4883544577184066E-3</v>
      </c>
      <c r="F811" s="263">
        <f t="shared" si="25"/>
        <v>-1.8213138053231673E-3</v>
      </c>
      <c r="G811" s="259"/>
      <c r="H811" s="259"/>
    </row>
    <row r="812" spans="1:8" ht="14.25" customHeight="1" x14ac:dyDescent="0.3">
      <c r="A812" s="261">
        <v>45117</v>
      </c>
      <c r="B812" s="262">
        <v>19355.900390625</v>
      </c>
      <c r="C812" s="262">
        <v>3767.69995117188</v>
      </c>
      <c r="D812" s="259"/>
      <c r="E812" s="263">
        <f t="shared" si="24"/>
        <v>1.2466303397029789E-3</v>
      </c>
      <c r="F812" s="263">
        <f t="shared" si="25"/>
        <v>-1.0829756370862481E-2</v>
      </c>
      <c r="G812" s="259"/>
      <c r="H812" s="259"/>
    </row>
    <row r="813" spans="1:8" ht="14.25" customHeight="1" x14ac:dyDescent="0.3">
      <c r="A813" s="261">
        <v>45118</v>
      </c>
      <c r="B813" s="262">
        <v>19439.400390625</v>
      </c>
      <c r="C813" s="262">
        <v>3827.10009765625</v>
      </c>
      <c r="D813" s="259"/>
      <c r="E813" s="263">
        <f t="shared" si="24"/>
        <v>4.3139300324382271E-3</v>
      </c>
      <c r="F813" s="263">
        <f t="shared" si="25"/>
        <v>1.5765625515347787E-2</v>
      </c>
      <c r="G813" s="259"/>
      <c r="H813" s="259"/>
    </row>
    <row r="814" spans="1:8" ht="14.25" customHeight="1" x14ac:dyDescent="0.3">
      <c r="A814" s="261">
        <v>45119</v>
      </c>
      <c r="B814" s="262">
        <v>19384.30078125</v>
      </c>
      <c r="C814" s="262">
        <v>3806.35009765625</v>
      </c>
      <c r="D814" s="259"/>
      <c r="E814" s="263">
        <f t="shared" si="24"/>
        <v>-2.8344294714755078E-3</v>
      </c>
      <c r="F814" s="263">
        <f t="shared" si="25"/>
        <v>-5.4218597555646597E-3</v>
      </c>
      <c r="G814" s="259"/>
      <c r="H814" s="259"/>
    </row>
    <row r="815" spans="1:8" ht="14.25" customHeight="1" x14ac:dyDescent="0.3">
      <c r="A815" s="261">
        <v>45120</v>
      </c>
      <c r="B815" s="262">
        <v>19413.75</v>
      </c>
      <c r="C815" s="262">
        <v>3821.64990234375</v>
      </c>
      <c r="D815" s="259"/>
      <c r="E815" s="263">
        <f t="shared" si="24"/>
        <v>1.5192303855749891E-3</v>
      </c>
      <c r="F815" s="263">
        <f t="shared" si="25"/>
        <v>4.0195474128669386E-3</v>
      </c>
      <c r="G815" s="259"/>
      <c r="H815" s="259"/>
    </row>
    <row r="816" spans="1:8" ht="14.25" customHeight="1" x14ac:dyDescent="0.3">
      <c r="A816" s="261">
        <v>45121</v>
      </c>
      <c r="B816" s="262">
        <v>19564.5</v>
      </c>
      <c r="C816" s="262">
        <v>3838.75</v>
      </c>
      <c r="D816" s="259"/>
      <c r="E816" s="263">
        <f t="shared" si="24"/>
        <v>7.7651149314274673E-3</v>
      </c>
      <c r="F816" s="263">
        <f t="shared" si="25"/>
        <v>4.4745327524017345E-3</v>
      </c>
      <c r="G816" s="259"/>
      <c r="H816" s="259"/>
    </row>
    <row r="817" spans="1:8" ht="14.25" customHeight="1" x14ac:dyDescent="0.3">
      <c r="A817" s="261">
        <v>45124</v>
      </c>
      <c r="B817" s="262">
        <v>19711.44921875</v>
      </c>
      <c r="C817" s="262">
        <v>3713.55004882813</v>
      </c>
      <c r="D817" s="259"/>
      <c r="E817" s="263">
        <f t="shared" si="24"/>
        <v>7.5110132510414268E-3</v>
      </c>
      <c r="F817" s="263">
        <f t="shared" si="25"/>
        <v>-3.2614770738357536E-2</v>
      </c>
      <c r="G817" s="259"/>
      <c r="H817" s="259"/>
    </row>
    <row r="818" spans="1:8" ht="14.25" customHeight="1" x14ac:dyDescent="0.3">
      <c r="A818" s="261">
        <v>45125</v>
      </c>
      <c r="B818" s="262">
        <v>19749.25</v>
      </c>
      <c r="C818" s="262">
        <v>3676.5</v>
      </c>
      <c r="D818" s="259"/>
      <c r="E818" s="263">
        <f t="shared" si="24"/>
        <v>1.917706853032551E-3</v>
      </c>
      <c r="F818" s="263">
        <f t="shared" si="25"/>
        <v>-9.9769892262046491E-3</v>
      </c>
      <c r="G818" s="259"/>
      <c r="H818" s="259"/>
    </row>
    <row r="819" spans="1:8" ht="14.25" customHeight="1" x14ac:dyDescent="0.3">
      <c r="A819" s="261">
        <v>45126</v>
      </c>
      <c r="B819" s="262">
        <v>19833.150390625</v>
      </c>
      <c r="C819" s="262">
        <v>3705.85009765625</v>
      </c>
      <c r="D819" s="259"/>
      <c r="E819" s="263">
        <f t="shared" si="24"/>
        <v>4.248282371482461E-3</v>
      </c>
      <c r="F819" s="263">
        <f t="shared" si="25"/>
        <v>7.9831626971984225E-3</v>
      </c>
      <c r="G819" s="259"/>
      <c r="H819" s="259"/>
    </row>
    <row r="820" spans="1:8" ht="14.25" customHeight="1" x14ac:dyDescent="0.3">
      <c r="A820" s="261">
        <v>45127</v>
      </c>
      <c r="B820" s="262">
        <v>19979.150390625</v>
      </c>
      <c r="C820" s="262">
        <v>3678.80004882813</v>
      </c>
      <c r="D820" s="259"/>
      <c r="E820" s="263">
        <f t="shared" si="24"/>
        <v>7.3614124394989332E-3</v>
      </c>
      <c r="F820" s="263">
        <f t="shared" si="25"/>
        <v>-7.2992830565995351E-3</v>
      </c>
      <c r="G820" s="259"/>
      <c r="H820" s="259"/>
    </row>
    <row r="821" spans="1:8" ht="14.25" customHeight="1" x14ac:dyDescent="0.3">
      <c r="A821" s="261">
        <v>45128</v>
      </c>
      <c r="B821" s="262">
        <v>19745</v>
      </c>
      <c r="C821" s="262">
        <v>3675.69995117188</v>
      </c>
      <c r="D821" s="259"/>
      <c r="E821" s="263">
        <f t="shared" si="24"/>
        <v>-1.1719737128305142E-2</v>
      </c>
      <c r="F821" s="263">
        <f t="shared" si="25"/>
        <v>-8.426926212631551E-4</v>
      </c>
      <c r="G821" s="259"/>
      <c r="H821" s="259"/>
    </row>
    <row r="822" spans="1:8" ht="14.25" customHeight="1" x14ac:dyDescent="0.3">
      <c r="A822" s="261">
        <v>45131</v>
      </c>
      <c r="B822" s="262">
        <v>19672.349609375</v>
      </c>
      <c r="C822" s="262">
        <v>3668.19995117188</v>
      </c>
      <c r="D822" s="259"/>
      <c r="E822" s="263">
        <f t="shared" si="24"/>
        <v>-3.6794322929855658E-3</v>
      </c>
      <c r="F822" s="263">
        <f t="shared" si="25"/>
        <v>-2.0404277007455038E-3</v>
      </c>
      <c r="G822" s="259"/>
      <c r="H822" s="259"/>
    </row>
    <row r="823" spans="1:8" ht="14.25" customHeight="1" x14ac:dyDescent="0.3">
      <c r="A823" s="261">
        <v>45132</v>
      </c>
      <c r="B823" s="262">
        <v>19680.599609375</v>
      </c>
      <c r="C823" s="262">
        <v>3677.05004882813</v>
      </c>
      <c r="D823" s="259"/>
      <c r="E823" s="263">
        <f t="shared" si="24"/>
        <v>4.193703428322768E-4</v>
      </c>
      <c r="F823" s="263">
        <f t="shared" si="25"/>
        <v>2.4126541012091389E-3</v>
      </c>
      <c r="G823" s="259"/>
      <c r="H823" s="259"/>
    </row>
    <row r="824" spans="1:8" ht="14.25" customHeight="1" x14ac:dyDescent="0.3">
      <c r="A824" s="261">
        <v>45133</v>
      </c>
      <c r="B824" s="262">
        <v>19778.30078125</v>
      </c>
      <c r="C824" s="262">
        <v>3712.64990234375</v>
      </c>
      <c r="D824" s="259"/>
      <c r="E824" s="263">
        <f t="shared" si="24"/>
        <v>4.9643391875346787E-3</v>
      </c>
      <c r="F824" s="263">
        <f t="shared" si="25"/>
        <v>9.6816342021141689E-3</v>
      </c>
      <c r="G824" s="259"/>
      <c r="H824" s="259"/>
    </row>
    <row r="825" spans="1:8" ht="14.25" customHeight="1" x14ac:dyDescent="0.3">
      <c r="A825" s="261">
        <v>45134</v>
      </c>
      <c r="B825" s="262">
        <v>19659.900390625</v>
      </c>
      <c r="C825" s="262">
        <v>3693.35009765625</v>
      </c>
      <c r="D825" s="259"/>
      <c r="E825" s="263">
        <f t="shared" si="24"/>
        <v>-5.9863783008722669E-3</v>
      </c>
      <c r="F825" s="263">
        <f t="shared" si="25"/>
        <v>-5.1983906899802949E-3</v>
      </c>
      <c r="G825" s="259"/>
      <c r="H825" s="259"/>
    </row>
    <row r="826" spans="1:8" ht="14.25" customHeight="1" x14ac:dyDescent="0.3">
      <c r="A826" s="261">
        <v>45135</v>
      </c>
      <c r="B826" s="262">
        <v>19646.05078125</v>
      </c>
      <c r="C826" s="262">
        <v>3713.89990234375</v>
      </c>
      <c r="D826" s="259"/>
      <c r="E826" s="263">
        <f t="shared" si="24"/>
        <v>-7.0445979378432207E-4</v>
      </c>
      <c r="F826" s="263">
        <f t="shared" si="25"/>
        <v>5.5640012845087792E-3</v>
      </c>
      <c r="G826" s="259"/>
      <c r="H826" s="259"/>
    </row>
    <row r="827" spans="1:8" ht="14.25" customHeight="1" x14ac:dyDescent="0.3">
      <c r="A827" s="261">
        <v>45138</v>
      </c>
      <c r="B827" s="262">
        <v>19753.80078125</v>
      </c>
      <c r="C827" s="262">
        <v>3752.80004882813</v>
      </c>
      <c r="D827" s="259"/>
      <c r="E827" s="263">
        <f t="shared" si="24"/>
        <v>5.4845628365592716E-3</v>
      </c>
      <c r="F827" s="263">
        <f t="shared" si="25"/>
        <v>1.0474204342403275E-2</v>
      </c>
      <c r="G827" s="259"/>
      <c r="H827" s="259"/>
    </row>
    <row r="828" spans="1:8" ht="14.25" customHeight="1" x14ac:dyDescent="0.3">
      <c r="A828" s="261">
        <v>45139</v>
      </c>
      <c r="B828" s="262">
        <v>19733.55078125</v>
      </c>
      <c r="C828" s="262">
        <v>3740.30004882813</v>
      </c>
      <c r="D828" s="259"/>
      <c r="E828" s="263">
        <f t="shared" si="24"/>
        <v>-1.0251191770254656E-3</v>
      </c>
      <c r="F828" s="263">
        <f t="shared" si="25"/>
        <v>-3.3308462580902277E-3</v>
      </c>
      <c r="G828" s="259"/>
      <c r="H828" s="259"/>
    </row>
    <row r="829" spans="1:8" ht="14.25" customHeight="1" x14ac:dyDescent="0.3">
      <c r="A829" s="261">
        <v>45140</v>
      </c>
      <c r="B829" s="262">
        <v>19526.55078125</v>
      </c>
      <c r="C829" s="262">
        <v>3713.39990234375</v>
      </c>
      <c r="D829" s="259"/>
      <c r="E829" s="263">
        <f t="shared" si="24"/>
        <v>-1.0489749274959822E-2</v>
      </c>
      <c r="F829" s="263">
        <f t="shared" si="25"/>
        <v>-7.1919755456004292E-3</v>
      </c>
      <c r="G829" s="259"/>
      <c r="H829" s="259"/>
    </row>
    <row r="830" spans="1:8" ht="14.25" customHeight="1" x14ac:dyDescent="0.3">
      <c r="A830" s="261">
        <v>45141</v>
      </c>
      <c r="B830" s="262">
        <v>19381.650390625</v>
      </c>
      <c r="C830" s="262">
        <v>3699.89990234375</v>
      </c>
      <c r="D830" s="259"/>
      <c r="E830" s="263">
        <f t="shared" si="24"/>
        <v>-7.4206854169113091E-3</v>
      </c>
      <c r="F830" s="263">
        <f t="shared" si="25"/>
        <v>-3.6354824029265842E-3</v>
      </c>
      <c r="G830" s="259"/>
      <c r="H830" s="259"/>
    </row>
    <row r="831" spans="1:8" ht="14.25" customHeight="1" x14ac:dyDescent="0.3">
      <c r="A831" s="261">
        <v>45142</v>
      </c>
      <c r="B831" s="262">
        <v>19517</v>
      </c>
      <c r="C831" s="262">
        <v>3652.10009765625</v>
      </c>
      <c r="D831" s="259"/>
      <c r="E831" s="263">
        <f t="shared" si="24"/>
        <v>6.9833892701144417E-3</v>
      </c>
      <c r="F831" s="263">
        <f t="shared" si="25"/>
        <v>-1.2919215640731412E-2</v>
      </c>
      <c r="G831" s="259"/>
      <c r="H831" s="259"/>
    </row>
    <row r="832" spans="1:8" ht="14.25" customHeight="1" x14ac:dyDescent="0.3">
      <c r="A832" s="261">
        <v>45145</v>
      </c>
      <c r="B832" s="262">
        <v>19597.30078125</v>
      </c>
      <c r="C832" s="262">
        <v>3640.35009765625</v>
      </c>
      <c r="D832" s="259"/>
      <c r="E832" s="263">
        <f t="shared" si="24"/>
        <v>4.1144018676026028E-3</v>
      </c>
      <c r="F832" s="263">
        <f t="shared" si="25"/>
        <v>-3.2173269313019678E-3</v>
      </c>
      <c r="G832" s="259"/>
      <c r="H832" s="259"/>
    </row>
    <row r="833" spans="1:8" ht="14.25" customHeight="1" x14ac:dyDescent="0.3">
      <c r="A833" s="261">
        <v>45146</v>
      </c>
      <c r="B833" s="262">
        <v>19570.849609375</v>
      </c>
      <c r="C833" s="262">
        <v>3648.44995117188</v>
      </c>
      <c r="D833" s="259"/>
      <c r="E833" s="263">
        <f t="shared" si="24"/>
        <v>-1.349735464605796E-3</v>
      </c>
      <c r="F833" s="263">
        <f t="shared" si="25"/>
        <v>2.225020478344897E-3</v>
      </c>
      <c r="G833" s="259"/>
      <c r="H833" s="259"/>
    </row>
    <row r="834" spans="1:8" ht="14.25" customHeight="1" x14ac:dyDescent="0.3">
      <c r="A834" s="261">
        <v>45147</v>
      </c>
      <c r="B834" s="262">
        <v>19632.55078125</v>
      </c>
      <c r="C834" s="262">
        <v>3628.75</v>
      </c>
      <c r="D834" s="259"/>
      <c r="E834" s="263">
        <f t="shared" si="24"/>
        <v>3.1527078847636415E-3</v>
      </c>
      <c r="F834" s="263">
        <f t="shared" si="25"/>
        <v>-5.399539923948358E-3</v>
      </c>
      <c r="G834" s="259"/>
      <c r="H834" s="259"/>
    </row>
    <row r="835" spans="1:8" ht="14.25" customHeight="1" x14ac:dyDescent="0.3">
      <c r="A835" s="261">
        <v>45148</v>
      </c>
      <c r="B835" s="262">
        <v>19543.099609375</v>
      </c>
      <c r="C835" s="262">
        <v>3598.19995117188</v>
      </c>
      <c r="D835" s="259"/>
      <c r="E835" s="263">
        <f t="shared" ref="E835:E898" si="26">(B835-B834)/B834</f>
        <v>-4.5562684580156563E-3</v>
      </c>
      <c r="F835" s="263">
        <f t="shared" ref="F835:F898" si="27">(C835-C834)/C834</f>
        <v>-8.418890479674819E-3</v>
      </c>
      <c r="G835" s="259"/>
      <c r="H835" s="259"/>
    </row>
    <row r="836" spans="1:8" ht="14.25" customHeight="1" x14ac:dyDescent="0.3">
      <c r="A836" s="261">
        <v>45149</v>
      </c>
      <c r="B836" s="262">
        <v>19428.30078125</v>
      </c>
      <c r="C836" s="262">
        <v>3550.05004882813</v>
      </c>
      <c r="D836" s="259"/>
      <c r="E836" s="263">
        <f t="shared" si="26"/>
        <v>-5.8741361615907628E-3</v>
      </c>
      <c r="F836" s="263">
        <f t="shared" si="27"/>
        <v>-1.3381663886707657E-2</v>
      </c>
      <c r="G836" s="259"/>
      <c r="H836" s="259"/>
    </row>
    <row r="837" spans="1:8" ht="14.25" customHeight="1" x14ac:dyDescent="0.3">
      <c r="A837" s="261">
        <v>45152</v>
      </c>
      <c r="B837" s="262">
        <v>19434.55078125</v>
      </c>
      <c r="C837" s="262">
        <v>3509.30004882813</v>
      </c>
      <c r="D837" s="259"/>
      <c r="E837" s="263">
        <f t="shared" si="26"/>
        <v>3.2169565781232879E-4</v>
      </c>
      <c r="F837" s="263">
        <f t="shared" si="27"/>
        <v>-1.1478711409562116E-2</v>
      </c>
      <c r="G837" s="259"/>
      <c r="H837" s="259"/>
    </row>
    <row r="838" spans="1:8" ht="14.25" customHeight="1" x14ac:dyDescent="0.3">
      <c r="A838" s="261">
        <v>45154</v>
      </c>
      <c r="B838" s="262">
        <v>19465</v>
      </c>
      <c r="C838" s="262">
        <v>3499.35009765625</v>
      </c>
      <c r="D838" s="259"/>
      <c r="E838" s="263">
        <f t="shared" si="26"/>
        <v>1.5667570139761961E-3</v>
      </c>
      <c r="F838" s="263">
        <f t="shared" si="27"/>
        <v>-2.8353093304753509E-3</v>
      </c>
      <c r="G838" s="259"/>
      <c r="H838" s="259"/>
    </row>
    <row r="839" spans="1:8" ht="14.25" customHeight="1" x14ac:dyDescent="0.3">
      <c r="A839" s="261">
        <v>45155</v>
      </c>
      <c r="B839" s="262">
        <v>19365.25</v>
      </c>
      <c r="C839" s="262">
        <v>3507.64990234375</v>
      </c>
      <c r="D839" s="259"/>
      <c r="E839" s="263">
        <f t="shared" si="26"/>
        <v>-5.124582584125353E-3</v>
      </c>
      <c r="F839" s="263">
        <f t="shared" si="27"/>
        <v>2.3718131812701269E-3</v>
      </c>
      <c r="G839" s="259"/>
      <c r="H839" s="259"/>
    </row>
    <row r="840" spans="1:8" ht="14.25" customHeight="1" x14ac:dyDescent="0.3">
      <c r="A840" s="261">
        <v>45156</v>
      </c>
      <c r="B840" s="262">
        <v>19310.150390625</v>
      </c>
      <c r="C840" s="262">
        <v>3540.94995117188</v>
      </c>
      <c r="D840" s="259"/>
      <c r="E840" s="263">
        <f t="shared" si="26"/>
        <v>-2.8452826260957128E-3</v>
      </c>
      <c r="F840" s="263">
        <f t="shared" si="27"/>
        <v>9.4935497427720752E-3</v>
      </c>
      <c r="G840" s="259"/>
      <c r="H840" s="259"/>
    </row>
    <row r="841" spans="1:8" ht="14.25" customHeight="1" x14ac:dyDescent="0.3">
      <c r="A841" s="261">
        <v>45159</v>
      </c>
      <c r="B841" s="262">
        <v>19393.599609375</v>
      </c>
      <c r="C841" s="262">
        <v>3547.69995117188</v>
      </c>
      <c r="D841" s="259"/>
      <c r="E841" s="263">
        <f t="shared" si="26"/>
        <v>4.3215209131936255E-3</v>
      </c>
      <c r="F841" s="263">
        <f t="shared" si="27"/>
        <v>1.906268118182829E-3</v>
      </c>
      <c r="G841" s="259"/>
      <c r="H841" s="259"/>
    </row>
    <row r="842" spans="1:8" ht="14.25" customHeight="1" x14ac:dyDescent="0.3">
      <c r="A842" s="261">
        <v>45160</v>
      </c>
      <c r="B842" s="262">
        <v>19396.44921875</v>
      </c>
      <c r="C842" s="262">
        <v>3568.89990234375</v>
      </c>
      <c r="D842" s="259"/>
      <c r="E842" s="263">
        <f t="shared" si="26"/>
        <v>1.4693555773021523E-4</v>
      </c>
      <c r="F842" s="263">
        <f t="shared" si="27"/>
        <v>5.9756888867862701E-3</v>
      </c>
      <c r="G842" s="259"/>
      <c r="H842" s="259"/>
    </row>
    <row r="843" spans="1:8" ht="14.25" customHeight="1" x14ac:dyDescent="0.3">
      <c r="A843" s="261">
        <v>45161</v>
      </c>
      <c r="B843" s="262">
        <v>19444</v>
      </c>
      <c r="C843" s="262">
        <v>3539.30004882813</v>
      </c>
      <c r="D843" s="259"/>
      <c r="E843" s="263">
        <f t="shared" si="26"/>
        <v>2.4515199000461384E-3</v>
      </c>
      <c r="F843" s="263">
        <f t="shared" si="27"/>
        <v>-8.2938312436785719E-3</v>
      </c>
      <c r="G843" s="259"/>
      <c r="H843" s="259"/>
    </row>
    <row r="844" spans="1:8" ht="14.25" customHeight="1" x14ac:dyDescent="0.3">
      <c r="A844" s="261">
        <v>45162</v>
      </c>
      <c r="B844" s="262">
        <v>19386.69921875</v>
      </c>
      <c r="C844" s="262">
        <v>3561.5</v>
      </c>
      <c r="D844" s="259"/>
      <c r="E844" s="263">
        <f t="shared" si="26"/>
        <v>-2.9469646806212714E-3</v>
      </c>
      <c r="F844" s="263">
        <f t="shared" si="27"/>
        <v>6.2724128685332711E-3</v>
      </c>
      <c r="G844" s="259"/>
      <c r="H844" s="259"/>
    </row>
    <row r="845" spans="1:8" ht="14.25" customHeight="1" x14ac:dyDescent="0.3">
      <c r="A845" s="261">
        <v>45163</v>
      </c>
      <c r="B845" s="262">
        <v>19265.80078125</v>
      </c>
      <c r="C845" s="262">
        <v>3534.60009765625</v>
      </c>
      <c r="D845" s="259"/>
      <c r="E845" s="263">
        <f t="shared" si="26"/>
        <v>-6.2361537740819812E-3</v>
      </c>
      <c r="F845" s="263">
        <f t="shared" si="27"/>
        <v>-7.5529699126070477E-3</v>
      </c>
      <c r="G845" s="259"/>
      <c r="H845" s="259"/>
    </row>
    <row r="846" spans="1:8" ht="14.25" customHeight="1" x14ac:dyDescent="0.3">
      <c r="A846" s="261">
        <v>45166</v>
      </c>
      <c r="B846" s="262">
        <v>19306.05078125</v>
      </c>
      <c r="C846" s="262">
        <v>3592.89990234375</v>
      </c>
      <c r="D846" s="259"/>
      <c r="E846" s="263">
        <f t="shared" si="26"/>
        <v>2.089194238900902E-3</v>
      </c>
      <c r="F846" s="263">
        <f t="shared" si="27"/>
        <v>1.6494031312384642E-2</v>
      </c>
      <c r="G846" s="259"/>
      <c r="H846" s="259"/>
    </row>
    <row r="847" spans="1:8" ht="14.25" customHeight="1" x14ac:dyDescent="0.3">
      <c r="A847" s="261">
        <v>45167</v>
      </c>
      <c r="B847" s="262">
        <v>19342.650390625</v>
      </c>
      <c r="C847" s="262">
        <v>3664.35009765625</v>
      </c>
      <c r="D847" s="259"/>
      <c r="E847" s="263">
        <f t="shared" si="26"/>
        <v>1.8957584743610782E-3</v>
      </c>
      <c r="F847" s="263">
        <f t="shared" si="27"/>
        <v>1.9886497607654201E-2</v>
      </c>
      <c r="G847" s="259"/>
      <c r="H847" s="259"/>
    </row>
    <row r="848" spans="1:8" ht="14.25" customHeight="1" x14ac:dyDescent="0.3">
      <c r="A848" s="261">
        <v>45168</v>
      </c>
      <c r="B848" s="262">
        <v>19347.44921875</v>
      </c>
      <c r="C848" s="262">
        <v>3736.30004882813</v>
      </c>
      <c r="D848" s="259"/>
      <c r="E848" s="263">
        <f t="shared" si="26"/>
        <v>2.4809568637635602E-4</v>
      </c>
      <c r="F848" s="263">
        <f t="shared" si="27"/>
        <v>1.9635119258364482E-2</v>
      </c>
      <c r="G848" s="259"/>
      <c r="H848" s="259"/>
    </row>
    <row r="849" spans="1:8" ht="14.25" customHeight="1" x14ac:dyDescent="0.3">
      <c r="A849" s="261">
        <v>45169</v>
      </c>
      <c r="B849" s="262">
        <v>19253.80078125</v>
      </c>
      <c r="C849" s="262">
        <v>3720.39990234375</v>
      </c>
      <c r="D849" s="259"/>
      <c r="E849" s="263">
        <f t="shared" si="26"/>
        <v>-4.8403506033882458E-3</v>
      </c>
      <c r="F849" s="263">
        <f t="shared" si="27"/>
        <v>-4.2555860815747379E-3</v>
      </c>
      <c r="G849" s="259"/>
      <c r="H849" s="259"/>
    </row>
    <row r="850" spans="1:8" ht="14.25" customHeight="1" x14ac:dyDescent="0.3">
      <c r="A850" s="261">
        <v>45170</v>
      </c>
      <c r="B850" s="262">
        <v>19435.30078125</v>
      </c>
      <c r="C850" s="262">
        <v>3761.05004882813</v>
      </c>
      <c r="D850" s="259"/>
      <c r="E850" s="263">
        <f t="shared" si="26"/>
        <v>9.4267101889176502E-3</v>
      </c>
      <c r="F850" s="263">
        <f t="shared" si="27"/>
        <v>1.0926284149930099E-2</v>
      </c>
      <c r="G850" s="259"/>
      <c r="H850" s="259"/>
    </row>
    <row r="851" spans="1:8" ht="14.25" customHeight="1" x14ac:dyDescent="0.3">
      <c r="A851" s="261">
        <v>45173</v>
      </c>
      <c r="B851" s="262">
        <v>19528.80078125</v>
      </c>
      <c r="C851" s="262">
        <v>3755.75</v>
      </c>
      <c r="D851" s="259"/>
      <c r="E851" s="263">
        <f t="shared" si="26"/>
        <v>4.8108337016426897E-3</v>
      </c>
      <c r="F851" s="263">
        <f t="shared" si="27"/>
        <v>-1.409193911094428E-3</v>
      </c>
      <c r="G851" s="259"/>
      <c r="H851" s="259"/>
    </row>
    <row r="852" spans="1:8" ht="14.25" customHeight="1" x14ac:dyDescent="0.3">
      <c r="A852" s="261">
        <v>45174</v>
      </c>
      <c r="B852" s="262">
        <v>19574.900390625</v>
      </c>
      <c r="C852" s="262">
        <v>3776.89990234375</v>
      </c>
      <c r="D852" s="259"/>
      <c r="E852" s="263">
        <f t="shared" si="26"/>
        <v>2.3605960187407502E-3</v>
      </c>
      <c r="F852" s="263">
        <f t="shared" si="27"/>
        <v>5.6313392381681423E-3</v>
      </c>
      <c r="G852" s="259"/>
      <c r="H852" s="259"/>
    </row>
    <row r="853" spans="1:8" ht="14.25" customHeight="1" x14ac:dyDescent="0.3">
      <c r="A853" s="261">
        <v>45175</v>
      </c>
      <c r="B853" s="262">
        <v>19611.05078125</v>
      </c>
      <c r="C853" s="262">
        <v>3796.80004882813</v>
      </c>
      <c r="D853" s="259"/>
      <c r="E853" s="263">
        <f t="shared" si="26"/>
        <v>1.8467726478094107E-3</v>
      </c>
      <c r="F853" s="263">
        <f t="shared" si="27"/>
        <v>5.2689102170886222E-3</v>
      </c>
      <c r="G853" s="259"/>
      <c r="H853" s="259"/>
    </row>
    <row r="854" spans="1:8" ht="14.25" customHeight="1" x14ac:dyDescent="0.3">
      <c r="A854" s="261">
        <v>45176</v>
      </c>
      <c r="B854" s="262">
        <v>19727.05078125</v>
      </c>
      <c r="C854" s="262">
        <v>3785.10009765625</v>
      </c>
      <c r="D854" s="259"/>
      <c r="E854" s="263">
        <f t="shared" si="26"/>
        <v>5.9150323607803238E-3</v>
      </c>
      <c r="F854" s="263">
        <f t="shared" si="27"/>
        <v>-3.0815294514893281E-3</v>
      </c>
      <c r="G854" s="259"/>
      <c r="H854" s="259"/>
    </row>
    <row r="855" spans="1:8" ht="14.25" customHeight="1" x14ac:dyDescent="0.3">
      <c r="A855" s="261">
        <v>45177</v>
      </c>
      <c r="B855" s="262">
        <v>19819.94921875</v>
      </c>
      <c r="C855" s="262">
        <v>3782.39990234375</v>
      </c>
      <c r="D855" s="259"/>
      <c r="E855" s="263">
        <f t="shared" si="26"/>
        <v>4.7091903665750848E-3</v>
      </c>
      <c r="F855" s="263">
        <f t="shared" si="27"/>
        <v>-7.1337487591727688E-4</v>
      </c>
      <c r="G855" s="259"/>
      <c r="H855" s="259"/>
    </row>
    <row r="856" spans="1:8" ht="14.25" customHeight="1" x14ac:dyDescent="0.3">
      <c r="A856" s="261">
        <v>45180</v>
      </c>
      <c r="B856" s="262">
        <v>19996.349609375</v>
      </c>
      <c r="C856" s="262">
        <v>3810.75</v>
      </c>
      <c r="D856" s="259"/>
      <c r="E856" s="263">
        <f t="shared" si="26"/>
        <v>8.9001434200508597E-3</v>
      </c>
      <c r="F856" s="263">
        <f t="shared" si="27"/>
        <v>7.4952671288625421E-3</v>
      </c>
      <c r="G856" s="259"/>
      <c r="H856" s="259"/>
    </row>
    <row r="857" spans="1:8" ht="14.25" customHeight="1" x14ac:dyDescent="0.3">
      <c r="A857" s="261">
        <v>45181</v>
      </c>
      <c r="B857" s="262">
        <v>19993.19921875</v>
      </c>
      <c r="C857" s="262">
        <v>3753.25</v>
      </c>
      <c r="D857" s="259"/>
      <c r="E857" s="263">
        <f t="shared" si="26"/>
        <v>-1.5754828688947231E-4</v>
      </c>
      <c r="F857" s="263">
        <f t="shared" si="27"/>
        <v>-1.5088893262481138E-2</v>
      </c>
      <c r="G857" s="259"/>
      <c r="H857" s="259"/>
    </row>
    <row r="858" spans="1:8" ht="14.25" customHeight="1" x14ac:dyDescent="0.3">
      <c r="A858" s="261">
        <v>45182</v>
      </c>
      <c r="B858" s="262">
        <v>20070</v>
      </c>
      <c r="C858" s="262">
        <v>3813.69995117188</v>
      </c>
      <c r="D858" s="259"/>
      <c r="E858" s="263">
        <f t="shared" si="26"/>
        <v>3.8413452699443307E-3</v>
      </c>
      <c r="F858" s="263">
        <f t="shared" si="27"/>
        <v>1.6106028421202959E-2</v>
      </c>
      <c r="G858" s="259"/>
      <c r="H858" s="259"/>
    </row>
    <row r="859" spans="1:8" ht="14.25" customHeight="1" x14ac:dyDescent="0.3">
      <c r="A859" s="261">
        <v>45183</v>
      </c>
      <c r="B859" s="262">
        <v>20103.099609375</v>
      </c>
      <c r="C859" s="262">
        <v>3808.05004882813</v>
      </c>
      <c r="D859" s="259"/>
      <c r="E859" s="263">
        <f t="shared" si="26"/>
        <v>1.6492082399103139E-3</v>
      </c>
      <c r="F859" s="263">
        <f t="shared" si="27"/>
        <v>-1.4814753169068503E-3</v>
      </c>
      <c r="G859" s="259"/>
      <c r="H859" s="259"/>
    </row>
    <row r="860" spans="1:8" ht="14.25" customHeight="1" x14ac:dyDescent="0.3">
      <c r="A860" s="261">
        <v>45184</v>
      </c>
      <c r="B860" s="262">
        <v>20192.349609375</v>
      </c>
      <c r="C860" s="262">
        <v>3796</v>
      </c>
      <c r="D860" s="259"/>
      <c r="E860" s="263">
        <f t="shared" si="26"/>
        <v>4.439613877174375E-3</v>
      </c>
      <c r="F860" s="263">
        <f t="shared" si="27"/>
        <v>-3.1643619893699198E-3</v>
      </c>
      <c r="G860" s="259"/>
      <c r="H860" s="259"/>
    </row>
    <row r="861" spans="1:8" ht="14.25" customHeight="1" x14ac:dyDescent="0.3">
      <c r="A861" s="261">
        <v>45187</v>
      </c>
      <c r="B861" s="262">
        <v>20133.30078125</v>
      </c>
      <c r="C861" s="262">
        <v>3797.89990234375</v>
      </c>
      <c r="D861" s="259"/>
      <c r="E861" s="263">
        <f t="shared" si="26"/>
        <v>-2.9243168460982138E-3</v>
      </c>
      <c r="F861" s="263">
        <f t="shared" si="27"/>
        <v>5.0050114429662802E-4</v>
      </c>
      <c r="G861" s="259"/>
      <c r="H861" s="259"/>
    </row>
    <row r="862" spans="1:8" ht="14.25" customHeight="1" x14ac:dyDescent="0.3">
      <c r="A862" s="261">
        <v>45189</v>
      </c>
      <c r="B862" s="262">
        <v>19901.400390625</v>
      </c>
      <c r="C862" s="262">
        <v>3729.39990234375</v>
      </c>
      <c r="D862" s="259"/>
      <c r="E862" s="263">
        <f t="shared" si="26"/>
        <v>-1.1518249945432057E-2</v>
      </c>
      <c r="F862" s="263">
        <f t="shared" si="27"/>
        <v>-1.8036283672912882E-2</v>
      </c>
      <c r="G862" s="259"/>
      <c r="H862" s="259"/>
    </row>
    <row r="863" spans="1:8" ht="14.25" customHeight="1" x14ac:dyDescent="0.3">
      <c r="A863" s="261">
        <v>45190</v>
      </c>
      <c r="B863" s="262">
        <v>19742.349609375</v>
      </c>
      <c r="C863" s="262">
        <v>3686.94995117188</v>
      </c>
      <c r="D863" s="259"/>
      <c r="E863" s="263">
        <f t="shared" si="26"/>
        <v>-7.9919391664982752E-3</v>
      </c>
      <c r="F863" s="263">
        <f t="shared" si="27"/>
        <v>-1.138251522589257E-2</v>
      </c>
      <c r="G863" s="259"/>
      <c r="H863" s="259"/>
    </row>
    <row r="864" spans="1:8" ht="14.25" customHeight="1" x14ac:dyDescent="0.3">
      <c r="A864" s="261">
        <v>45191</v>
      </c>
      <c r="B864" s="262">
        <v>19674.25</v>
      </c>
      <c r="C864" s="262">
        <v>3689.10009765625</v>
      </c>
      <c r="D864" s="259"/>
      <c r="E864" s="263">
        <f t="shared" si="26"/>
        <v>-3.4494176591149876E-3</v>
      </c>
      <c r="F864" s="263">
        <f t="shared" si="27"/>
        <v>5.8317756217075411E-4</v>
      </c>
      <c r="G864" s="259"/>
      <c r="H864" s="259"/>
    </row>
    <row r="865" spans="1:8" ht="14.25" customHeight="1" x14ac:dyDescent="0.3">
      <c r="A865" s="261">
        <v>45194</v>
      </c>
      <c r="B865" s="262">
        <v>19674.55078125</v>
      </c>
      <c r="C865" s="262">
        <v>3664.10009765625</v>
      </c>
      <c r="D865" s="259"/>
      <c r="E865" s="263">
        <f t="shared" si="26"/>
        <v>1.5288066889462116E-5</v>
      </c>
      <c r="F865" s="263">
        <f t="shared" si="27"/>
        <v>-6.7767204299723225E-3</v>
      </c>
      <c r="G865" s="259"/>
      <c r="H865" s="259"/>
    </row>
    <row r="866" spans="1:8" ht="14.25" customHeight="1" x14ac:dyDescent="0.3">
      <c r="A866" s="261">
        <v>45195</v>
      </c>
      <c r="B866" s="262">
        <v>19664.69921875</v>
      </c>
      <c r="C866" s="262">
        <v>3633.60009765625</v>
      </c>
      <c r="D866" s="259"/>
      <c r="E866" s="263">
        <f t="shared" si="26"/>
        <v>-5.0072617207548218E-4</v>
      </c>
      <c r="F866" s="263">
        <f t="shared" si="27"/>
        <v>-8.3240084023658081E-3</v>
      </c>
      <c r="G866" s="259"/>
      <c r="H866" s="259"/>
    </row>
    <row r="867" spans="1:8" ht="14.25" customHeight="1" x14ac:dyDescent="0.3">
      <c r="A867" s="261">
        <v>45196</v>
      </c>
      <c r="B867" s="262">
        <v>19716.44921875</v>
      </c>
      <c r="C867" s="262">
        <v>3640.69995117188</v>
      </c>
      <c r="D867" s="259"/>
      <c r="E867" s="263">
        <f t="shared" si="26"/>
        <v>2.6316191986632139E-3</v>
      </c>
      <c r="F867" s="263">
        <f t="shared" si="27"/>
        <v>1.9539446622674739E-3</v>
      </c>
      <c r="G867" s="259"/>
      <c r="H867" s="259"/>
    </row>
    <row r="868" spans="1:8" ht="14.25" customHeight="1" x14ac:dyDescent="0.3">
      <c r="A868" s="261">
        <v>45197</v>
      </c>
      <c r="B868" s="262">
        <v>19523.55078125</v>
      </c>
      <c r="C868" s="262">
        <v>3671.05004882813</v>
      </c>
      <c r="D868" s="259"/>
      <c r="E868" s="263">
        <f t="shared" si="26"/>
        <v>-9.7836296667737181E-3</v>
      </c>
      <c r="F868" s="263">
        <f t="shared" si="27"/>
        <v>8.3363358868617597E-3</v>
      </c>
      <c r="G868" s="259"/>
      <c r="H868" s="259"/>
    </row>
    <row r="869" spans="1:8" ht="14.25" customHeight="1" x14ac:dyDescent="0.3">
      <c r="A869" s="261">
        <v>45198</v>
      </c>
      <c r="B869" s="262">
        <v>19638.30078125</v>
      </c>
      <c r="C869" s="262">
        <v>3675.60009765625</v>
      </c>
      <c r="D869" s="259"/>
      <c r="E869" s="263">
        <f t="shared" si="26"/>
        <v>5.8775169171687482E-3</v>
      </c>
      <c r="F869" s="263">
        <f t="shared" si="27"/>
        <v>1.2394406961497191E-3</v>
      </c>
      <c r="G869" s="259"/>
      <c r="H869" s="259"/>
    </row>
    <row r="870" spans="1:8" ht="14.25" customHeight="1" x14ac:dyDescent="0.3">
      <c r="A870" s="261">
        <v>45202</v>
      </c>
      <c r="B870" s="262">
        <v>19528.75</v>
      </c>
      <c r="C870" s="262">
        <v>3725.69995117188</v>
      </c>
      <c r="D870" s="259"/>
      <c r="E870" s="263">
        <f t="shared" si="26"/>
        <v>-5.5784246544688561E-3</v>
      </c>
      <c r="F870" s="263">
        <f t="shared" si="27"/>
        <v>1.3630387469947077E-2</v>
      </c>
      <c r="G870" s="259"/>
      <c r="H870" s="259"/>
    </row>
    <row r="871" spans="1:8" ht="14.25" customHeight="1" x14ac:dyDescent="0.3">
      <c r="A871" s="261">
        <v>45203</v>
      </c>
      <c r="B871" s="262">
        <v>19436.099609375</v>
      </c>
      <c r="C871" s="262">
        <v>3872.94995117188</v>
      </c>
      <c r="D871" s="259"/>
      <c r="E871" s="263">
        <f t="shared" si="26"/>
        <v>-4.7443072713307301E-3</v>
      </c>
      <c r="F871" s="263">
        <f t="shared" si="27"/>
        <v>3.9522774761742166E-2</v>
      </c>
      <c r="G871" s="259"/>
      <c r="H871" s="259"/>
    </row>
    <row r="872" spans="1:8" ht="14.25" customHeight="1" x14ac:dyDescent="0.3">
      <c r="A872" s="261">
        <v>45204</v>
      </c>
      <c r="B872" s="262">
        <v>19545.75</v>
      </c>
      <c r="C872" s="262">
        <v>3861.5</v>
      </c>
      <c r="D872" s="259"/>
      <c r="E872" s="263">
        <f t="shared" si="26"/>
        <v>5.6415841052857201E-3</v>
      </c>
      <c r="F872" s="263">
        <f t="shared" si="27"/>
        <v>-2.9563901718935117E-3</v>
      </c>
      <c r="G872" s="259"/>
      <c r="H872" s="259"/>
    </row>
    <row r="873" spans="1:8" ht="14.25" customHeight="1" x14ac:dyDescent="0.3">
      <c r="A873" s="261">
        <v>45205</v>
      </c>
      <c r="B873" s="262">
        <v>19653.5</v>
      </c>
      <c r="C873" s="262">
        <v>3833.94995117188</v>
      </c>
      <c r="D873" s="259"/>
      <c r="E873" s="263">
        <f t="shared" si="26"/>
        <v>5.512707366051443E-3</v>
      </c>
      <c r="F873" s="263">
        <f t="shared" si="27"/>
        <v>-7.1345458573404113E-3</v>
      </c>
      <c r="G873" s="259"/>
      <c r="H873" s="259"/>
    </row>
    <row r="874" spans="1:8" ht="14.25" customHeight="1" x14ac:dyDescent="0.3">
      <c r="A874" s="261">
        <v>45208</v>
      </c>
      <c r="B874" s="262">
        <v>19512.349609375</v>
      </c>
      <c r="C874" s="262">
        <v>3798.60009765625</v>
      </c>
      <c r="D874" s="259"/>
      <c r="E874" s="263">
        <f t="shared" si="26"/>
        <v>-7.181946758847025E-3</v>
      </c>
      <c r="F874" s="263">
        <f t="shared" si="27"/>
        <v>-9.2202177821400656E-3</v>
      </c>
      <c r="G874" s="259"/>
      <c r="H874" s="259"/>
    </row>
    <row r="875" spans="1:8" ht="14.25" customHeight="1" x14ac:dyDescent="0.3">
      <c r="A875" s="261">
        <v>45209</v>
      </c>
      <c r="B875" s="262">
        <v>19689.849609375</v>
      </c>
      <c r="C875" s="262">
        <v>3793.80004882813</v>
      </c>
      <c r="D875" s="259"/>
      <c r="E875" s="263">
        <f t="shared" si="26"/>
        <v>9.0968029762401072E-3</v>
      </c>
      <c r="F875" s="263">
        <f t="shared" si="27"/>
        <v>-1.263636261969678E-3</v>
      </c>
      <c r="G875" s="259"/>
      <c r="H875" s="259"/>
    </row>
    <row r="876" spans="1:8" ht="14.25" customHeight="1" x14ac:dyDescent="0.3">
      <c r="A876" s="261">
        <v>45210</v>
      </c>
      <c r="B876" s="262">
        <v>19811.349609375</v>
      </c>
      <c r="C876" s="262">
        <v>3852.05004882813</v>
      </c>
      <c r="D876" s="259"/>
      <c r="E876" s="263">
        <f t="shared" si="26"/>
        <v>6.1706921287072586E-3</v>
      </c>
      <c r="F876" s="263">
        <f t="shared" si="27"/>
        <v>1.5353998431728865E-2</v>
      </c>
      <c r="G876" s="259"/>
      <c r="H876" s="259"/>
    </row>
    <row r="877" spans="1:8" ht="14.25" customHeight="1" x14ac:dyDescent="0.3">
      <c r="A877" s="261">
        <v>45211</v>
      </c>
      <c r="B877" s="262">
        <v>19794</v>
      </c>
      <c r="C877" s="262">
        <v>3862.75</v>
      </c>
      <c r="D877" s="259"/>
      <c r="E877" s="263">
        <f t="shared" si="26"/>
        <v>-8.7574091200681898E-4</v>
      </c>
      <c r="F877" s="263">
        <f t="shared" si="27"/>
        <v>2.7777290108484272E-3</v>
      </c>
      <c r="G877" s="259"/>
      <c r="H877" s="259"/>
    </row>
    <row r="878" spans="1:8" ht="14.25" customHeight="1" x14ac:dyDescent="0.3">
      <c r="A878" s="261">
        <v>45212</v>
      </c>
      <c r="B878" s="262">
        <v>19751.05078125</v>
      </c>
      <c r="C878" s="262">
        <v>3935.85009765625</v>
      </c>
      <c r="D878" s="259"/>
      <c r="E878" s="263">
        <f t="shared" si="26"/>
        <v>-2.1698099802970596E-3</v>
      </c>
      <c r="F878" s="263">
        <f t="shared" si="27"/>
        <v>1.8924366748106918E-2</v>
      </c>
      <c r="G878" s="259"/>
      <c r="H878" s="259"/>
    </row>
    <row r="879" spans="1:8" ht="14.25" customHeight="1" x14ac:dyDescent="0.3">
      <c r="A879" s="261">
        <v>45215</v>
      </c>
      <c r="B879" s="262">
        <v>19731.75</v>
      </c>
      <c r="C879" s="262">
        <v>3856.80004882813</v>
      </c>
      <c r="D879" s="259"/>
      <c r="E879" s="263">
        <f t="shared" si="26"/>
        <v>-9.7720275562870559E-4</v>
      </c>
      <c r="F879" s="263">
        <f t="shared" si="27"/>
        <v>-2.0084618790536083E-2</v>
      </c>
      <c r="G879" s="259"/>
      <c r="H879" s="259"/>
    </row>
    <row r="880" spans="1:8" ht="14.25" customHeight="1" x14ac:dyDescent="0.3">
      <c r="A880" s="261">
        <v>45216</v>
      </c>
      <c r="B880" s="262">
        <v>19811.5</v>
      </c>
      <c r="C880" s="262">
        <v>3842.85009765625</v>
      </c>
      <c r="D880" s="259"/>
      <c r="E880" s="263">
        <f t="shared" si="26"/>
        <v>4.0417094276990126E-3</v>
      </c>
      <c r="F880" s="263">
        <f t="shared" si="27"/>
        <v>-3.6169754706673546E-3</v>
      </c>
      <c r="G880" s="259"/>
      <c r="H880" s="259"/>
    </row>
    <row r="881" spans="1:8" ht="14.25" customHeight="1" x14ac:dyDescent="0.3">
      <c r="A881" s="261">
        <v>45217</v>
      </c>
      <c r="B881" s="262">
        <v>19671.099609375</v>
      </c>
      <c r="C881" s="262">
        <v>3795.94995117188</v>
      </c>
      <c r="D881" s="259"/>
      <c r="E881" s="263">
        <f t="shared" si="26"/>
        <v>-7.0868127413371024E-3</v>
      </c>
      <c r="F881" s="263">
        <f t="shared" si="27"/>
        <v>-1.2204521459989903E-2</v>
      </c>
      <c r="G881" s="259"/>
      <c r="H881" s="259"/>
    </row>
    <row r="882" spans="1:8" ht="14.25" customHeight="1" x14ac:dyDescent="0.3">
      <c r="A882" s="261">
        <v>45218</v>
      </c>
      <c r="B882" s="262">
        <v>19624.69921875</v>
      </c>
      <c r="C882" s="262">
        <v>3766.85009765625</v>
      </c>
      <c r="D882" s="259"/>
      <c r="E882" s="263">
        <f t="shared" si="26"/>
        <v>-2.3588102112444267E-3</v>
      </c>
      <c r="F882" s="263">
        <f t="shared" si="27"/>
        <v>-7.6660266573447154E-3</v>
      </c>
      <c r="G882" s="259"/>
      <c r="H882" s="259"/>
    </row>
    <row r="883" spans="1:8" ht="14.25" customHeight="1" x14ac:dyDescent="0.3">
      <c r="A883" s="261">
        <v>45219</v>
      </c>
      <c r="B883" s="262">
        <v>19542.650390625</v>
      </c>
      <c r="C883" s="262">
        <v>3749.5</v>
      </c>
      <c r="D883" s="259"/>
      <c r="E883" s="263">
        <f t="shared" si="26"/>
        <v>-4.1808960845936532E-3</v>
      </c>
      <c r="F883" s="263">
        <f t="shared" si="27"/>
        <v>-4.6059963116252762E-3</v>
      </c>
      <c r="G883" s="259"/>
      <c r="H883" s="259"/>
    </row>
    <row r="884" spans="1:8" ht="14.25" customHeight="1" x14ac:dyDescent="0.3">
      <c r="A884" s="261">
        <v>45222</v>
      </c>
      <c r="B884" s="262">
        <v>19281.75</v>
      </c>
      <c r="C884" s="262">
        <v>3668.94995117188</v>
      </c>
      <c r="D884" s="259"/>
      <c r="E884" s="263">
        <f t="shared" si="26"/>
        <v>-1.3350307425555702E-2</v>
      </c>
      <c r="F884" s="263">
        <f t="shared" si="27"/>
        <v>-2.1482877404485932E-2</v>
      </c>
      <c r="G884" s="259"/>
      <c r="H884" s="259"/>
    </row>
    <row r="885" spans="1:8" ht="14.25" customHeight="1" x14ac:dyDescent="0.3">
      <c r="A885" s="261">
        <v>45224</v>
      </c>
      <c r="B885" s="262">
        <v>19122.150390625</v>
      </c>
      <c r="C885" s="262">
        <v>3740.55004882813</v>
      </c>
      <c r="D885" s="259"/>
      <c r="E885" s="263">
        <f t="shared" si="26"/>
        <v>-8.2772367329210263E-3</v>
      </c>
      <c r="F885" s="263">
        <f t="shared" si="27"/>
        <v>1.9515147006401817E-2</v>
      </c>
      <c r="G885" s="259"/>
      <c r="H885" s="259"/>
    </row>
    <row r="886" spans="1:8" ht="14.25" customHeight="1" x14ac:dyDescent="0.3">
      <c r="A886" s="261">
        <v>45225</v>
      </c>
      <c r="B886" s="262">
        <v>18857.25</v>
      </c>
      <c r="C886" s="262">
        <v>3684.64990234375</v>
      </c>
      <c r="D886" s="259"/>
      <c r="E886" s="263">
        <f t="shared" si="26"/>
        <v>-1.385306491234754E-2</v>
      </c>
      <c r="F886" s="263">
        <f t="shared" si="27"/>
        <v>-1.4944365335224656E-2</v>
      </c>
      <c r="G886" s="259"/>
      <c r="H886" s="259"/>
    </row>
    <row r="887" spans="1:8" ht="14.25" customHeight="1" x14ac:dyDescent="0.3">
      <c r="A887" s="261">
        <v>45226</v>
      </c>
      <c r="B887" s="262">
        <v>19047.25</v>
      </c>
      <c r="C887" s="262">
        <v>3665.44995117188</v>
      </c>
      <c r="D887" s="259"/>
      <c r="E887" s="263">
        <f t="shared" si="26"/>
        <v>1.007570032746026E-2</v>
      </c>
      <c r="F887" s="263">
        <f t="shared" si="27"/>
        <v>-5.2107938829296105E-3</v>
      </c>
      <c r="G887" s="259"/>
      <c r="H887" s="259"/>
    </row>
    <row r="888" spans="1:8" ht="14.25" customHeight="1" x14ac:dyDescent="0.3">
      <c r="A888" s="261">
        <v>45229</v>
      </c>
      <c r="B888" s="262">
        <v>19140.900390625</v>
      </c>
      <c r="C888" s="262">
        <v>3646.64990234375</v>
      </c>
      <c r="D888" s="259"/>
      <c r="E888" s="263">
        <f t="shared" si="26"/>
        <v>4.9167407696649118E-3</v>
      </c>
      <c r="F888" s="263">
        <f t="shared" si="27"/>
        <v>-5.1289880038109491E-3</v>
      </c>
      <c r="G888" s="259"/>
      <c r="H888" s="259"/>
    </row>
    <row r="889" spans="1:8" ht="14.25" customHeight="1" x14ac:dyDescent="0.3">
      <c r="A889" s="261">
        <v>45230</v>
      </c>
      <c r="B889" s="262">
        <v>19079.599609375</v>
      </c>
      <c r="C889" s="262">
        <v>3633.39990234375</v>
      </c>
      <c r="D889" s="259"/>
      <c r="E889" s="263">
        <f t="shared" si="26"/>
        <v>-3.2026069828995319E-3</v>
      </c>
      <c r="F889" s="263">
        <f t="shared" si="27"/>
        <v>-3.6334719139021407E-3</v>
      </c>
      <c r="G889" s="259"/>
      <c r="H889" s="259"/>
    </row>
    <row r="890" spans="1:8" ht="14.25" customHeight="1" x14ac:dyDescent="0.3">
      <c r="A890" s="261">
        <v>45231</v>
      </c>
      <c r="B890" s="262">
        <v>18989.150390625</v>
      </c>
      <c r="C890" s="262">
        <v>3639.44995117188</v>
      </c>
      <c r="D890" s="259"/>
      <c r="E890" s="263">
        <f t="shared" si="26"/>
        <v>-4.7406245729368791E-3</v>
      </c>
      <c r="F890" s="263">
        <f t="shared" si="27"/>
        <v>1.6651205456980874E-3</v>
      </c>
      <c r="G890" s="259"/>
      <c r="H890" s="259"/>
    </row>
    <row r="891" spans="1:8" ht="14.25" customHeight="1" x14ac:dyDescent="0.3">
      <c r="A891" s="261">
        <v>45232</v>
      </c>
      <c r="B891" s="262">
        <v>19133.25</v>
      </c>
      <c r="C891" s="262">
        <v>3647.44995117188</v>
      </c>
      <c r="D891" s="259"/>
      <c r="E891" s="263">
        <f t="shared" si="26"/>
        <v>7.5885232572670764E-3</v>
      </c>
      <c r="F891" s="263">
        <f t="shared" si="27"/>
        <v>2.1981343629753859E-3</v>
      </c>
      <c r="G891" s="259"/>
      <c r="H891" s="259"/>
    </row>
    <row r="892" spans="1:8" ht="14.25" customHeight="1" x14ac:dyDescent="0.3">
      <c r="A892" s="261">
        <v>45233</v>
      </c>
      <c r="B892" s="262">
        <v>19230.599609375</v>
      </c>
      <c r="C892" s="262">
        <v>3649.69995117188</v>
      </c>
      <c r="D892" s="259"/>
      <c r="E892" s="263">
        <f t="shared" si="26"/>
        <v>5.0879808383311777E-3</v>
      </c>
      <c r="F892" s="263">
        <f t="shared" si="27"/>
        <v>6.1686932791966151E-4</v>
      </c>
      <c r="G892" s="259"/>
      <c r="H892" s="259"/>
    </row>
    <row r="893" spans="1:8" ht="14.25" customHeight="1" x14ac:dyDescent="0.3">
      <c r="A893" s="261">
        <v>45236</v>
      </c>
      <c r="B893" s="262">
        <v>19411.75</v>
      </c>
      <c r="C893" s="262">
        <v>3649.55004882813</v>
      </c>
      <c r="D893" s="259"/>
      <c r="E893" s="263">
        <f t="shared" si="26"/>
        <v>9.4199033989916994E-3</v>
      </c>
      <c r="F893" s="263">
        <f t="shared" si="27"/>
        <v>-4.1072511646297923E-5</v>
      </c>
      <c r="G893" s="259"/>
      <c r="H893" s="259"/>
    </row>
    <row r="894" spans="1:8" ht="14.25" customHeight="1" x14ac:dyDescent="0.3">
      <c r="A894" s="261">
        <v>45237</v>
      </c>
      <c r="B894" s="262">
        <v>19406.69921875</v>
      </c>
      <c r="C894" s="262">
        <v>3653.30004882813</v>
      </c>
      <c r="D894" s="259"/>
      <c r="E894" s="263">
        <f t="shared" si="26"/>
        <v>-2.6019195847875644E-4</v>
      </c>
      <c r="F894" s="263">
        <f t="shared" si="27"/>
        <v>1.0275239275603645E-3</v>
      </c>
      <c r="G894" s="259"/>
      <c r="H894" s="259"/>
    </row>
    <row r="895" spans="1:8" ht="14.25" customHeight="1" x14ac:dyDescent="0.3">
      <c r="A895" s="261">
        <v>45238</v>
      </c>
      <c r="B895" s="262">
        <v>19443.5</v>
      </c>
      <c r="C895" s="262">
        <v>3712.39990234375</v>
      </c>
      <c r="D895" s="259"/>
      <c r="E895" s="263">
        <f t="shared" si="26"/>
        <v>1.8962926582818634E-3</v>
      </c>
      <c r="F895" s="263">
        <f t="shared" si="27"/>
        <v>1.617711458837811E-2</v>
      </c>
      <c r="G895" s="259"/>
      <c r="H895" s="259"/>
    </row>
    <row r="896" spans="1:8" ht="14.25" customHeight="1" x14ac:dyDescent="0.3">
      <c r="A896" s="261">
        <v>45239</v>
      </c>
      <c r="B896" s="262">
        <v>19395.30078125</v>
      </c>
      <c r="C896" s="262">
        <v>3747.60009765625</v>
      </c>
      <c r="D896" s="259"/>
      <c r="E896" s="263">
        <f t="shared" si="26"/>
        <v>-2.4789373698151053E-3</v>
      </c>
      <c r="F896" s="263">
        <f t="shared" si="27"/>
        <v>9.4817897420687511E-3</v>
      </c>
      <c r="G896" s="259"/>
      <c r="H896" s="259"/>
    </row>
    <row r="897" spans="1:8" ht="14.25" customHeight="1" x14ac:dyDescent="0.3">
      <c r="A897" s="261">
        <v>45240</v>
      </c>
      <c r="B897" s="262">
        <v>19425.349609375</v>
      </c>
      <c r="C897" s="262">
        <v>3798.39990234375</v>
      </c>
      <c r="D897" s="259"/>
      <c r="E897" s="263">
        <f t="shared" si="26"/>
        <v>1.5492839458333678E-3</v>
      </c>
      <c r="F897" s="263">
        <f t="shared" si="27"/>
        <v>1.3555289615685038E-2</v>
      </c>
      <c r="G897" s="259"/>
      <c r="H897" s="259"/>
    </row>
    <row r="898" spans="1:8" ht="14.25" customHeight="1" x14ac:dyDescent="0.3">
      <c r="A898" s="261">
        <v>45243</v>
      </c>
      <c r="B898" s="262">
        <v>19443.55078125</v>
      </c>
      <c r="C898" s="262">
        <v>3798.44995117188</v>
      </c>
      <c r="D898" s="259"/>
      <c r="E898" s="263">
        <f t="shared" si="26"/>
        <v>9.3698040143461864E-4</v>
      </c>
      <c r="F898" s="263">
        <f t="shared" si="27"/>
        <v>1.3176292495985029E-5</v>
      </c>
      <c r="G898" s="259"/>
      <c r="H898" s="259"/>
    </row>
    <row r="899" spans="1:8" ht="14.25" customHeight="1" x14ac:dyDescent="0.3">
      <c r="A899" s="261">
        <v>45245</v>
      </c>
      <c r="B899" s="262">
        <v>19675.44921875</v>
      </c>
      <c r="C899" s="262">
        <v>3791.94995117188</v>
      </c>
      <c r="D899" s="259"/>
      <c r="E899" s="263">
        <f t="shared" ref="E899:E962" si="28">(B899-B898)/B898</f>
        <v>1.1926753508604336E-2</v>
      </c>
      <c r="F899" s="263">
        <f t="shared" ref="F899:F962" si="29">(C899-C898)/C898</f>
        <v>-1.711224337178551E-3</v>
      </c>
      <c r="G899" s="259"/>
      <c r="H899" s="259"/>
    </row>
    <row r="900" spans="1:8" ht="14.25" customHeight="1" x14ac:dyDescent="0.3">
      <c r="A900" s="261">
        <v>45246</v>
      </c>
      <c r="B900" s="262">
        <v>19765.19921875</v>
      </c>
      <c r="C900" s="262">
        <v>3790.25</v>
      </c>
      <c r="D900" s="259"/>
      <c r="E900" s="263">
        <f t="shared" si="28"/>
        <v>4.5615222809993819E-3</v>
      </c>
      <c r="F900" s="263">
        <f t="shared" si="29"/>
        <v>-4.483052766439183E-4</v>
      </c>
      <c r="G900" s="259"/>
      <c r="H900" s="259"/>
    </row>
    <row r="901" spans="1:8" ht="14.25" customHeight="1" x14ac:dyDescent="0.3">
      <c r="A901" s="261">
        <v>45247</v>
      </c>
      <c r="B901" s="262">
        <v>19731.80078125</v>
      </c>
      <c r="C901" s="262">
        <v>3810.89990234375</v>
      </c>
      <c r="D901" s="259"/>
      <c r="E901" s="263">
        <f t="shared" si="28"/>
        <v>-1.6897597201204532E-3</v>
      </c>
      <c r="F901" s="263">
        <f t="shared" si="29"/>
        <v>5.4481636682936485E-3</v>
      </c>
      <c r="G901" s="259"/>
      <c r="H901" s="259"/>
    </row>
    <row r="902" spans="1:8" ht="14.25" customHeight="1" x14ac:dyDescent="0.3">
      <c r="A902" s="261">
        <v>45250</v>
      </c>
      <c r="B902" s="262">
        <v>19694</v>
      </c>
      <c r="C902" s="262">
        <v>3792.89990234375</v>
      </c>
      <c r="D902" s="259"/>
      <c r="E902" s="263">
        <f t="shared" si="28"/>
        <v>-1.9157289123818803E-3</v>
      </c>
      <c r="F902" s="263">
        <f t="shared" si="29"/>
        <v>-4.7232938311840148E-3</v>
      </c>
      <c r="G902" s="259"/>
      <c r="H902" s="259"/>
    </row>
    <row r="903" spans="1:8" ht="14.25" customHeight="1" x14ac:dyDescent="0.3">
      <c r="A903" s="261">
        <v>45251</v>
      </c>
      <c r="B903" s="262">
        <v>19783.400390625</v>
      </c>
      <c r="C903" s="262">
        <v>3814.94995117188</v>
      </c>
      <c r="D903" s="259"/>
      <c r="E903" s="263">
        <f t="shared" si="28"/>
        <v>4.5394734754239871E-3</v>
      </c>
      <c r="F903" s="263">
        <f t="shared" si="29"/>
        <v>5.8135066560824865E-3</v>
      </c>
      <c r="G903" s="259"/>
      <c r="H903" s="259"/>
    </row>
    <row r="904" spans="1:8" ht="14.25" customHeight="1" x14ac:dyDescent="0.3">
      <c r="A904" s="261">
        <v>45252</v>
      </c>
      <c r="B904" s="262">
        <v>19811.849609375</v>
      </c>
      <c r="C904" s="262">
        <v>3838.25</v>
      </c>
      <c r="D904" s="259"/>
      <c r="E904" s="263">
        <f t="shared" si="28"/>
        <v>1.438034826585301E-3</v>
      </c>
      <c r="F904" s="263">
        <f t="shared" si="29"/>
        <v>6.1075634349967468E-3</v>
      </c>
      <c r="G904" s="259"/>
      <c r="H904" s="259"/>
    </row>
    <row r="905" spans="1:8" ht="14.25" customHeight="1" x14ac:dyDescent="0.3">
      <c r="A905" s="261">
        <v>45253</v>
      </c>
      <c r="B905" s="262">
        <v>19802</v>
      </c>
      <c r="C905" s="262">
        <v>3844.39990234375</v>
      </c>
      <c r="D905" s="259"/>
      <c r="E905" s="263">
        <f t="shared" si="28"/>
        <v>-4.9715748752398909E-4</v>
      </c>
      <c r="F905" s="263">
        <f t="shared" si="29"/>
        <v>1.6022672686119978E-3</v>
      </c>
      <c r="G905" s="259"/>
      <c r="H905" s="259"/>
    </row>
    <row r="906" spans="1:8" ht="14.25" customHeight="1" x14ac:dyDescent="0.3">
      <c r="A906" s="261">
        <v>45254</v>
      </c>
      <c r="B906" s="262">
        <v>19794.69921875</v>
      </c>
      <c r="C906" s="262">
        <v>3842.89990234375</v>
      </c>
      <c r="D906" s="259"/>
      <c r="E906" s="263">
        <f t="shared" si="28"/>
        <v>-3.6868908443591557E-4</v>
      </c>
      <c r="F906" s="263">
        <f t="shared" si="29"/>
        <v>-3.9017793104341735E-4</v>
      </c>
      <c r="G906" s="259"/>
      <c r="H906" s="259"/>
    </row>
    <row r="907" spans="1:8" ht="14.25" customHeight="1" x14ac:dyDescent="0.3">
      <c r="A907" s="261">
        <v>45258</v>
      </c>
      <c r="B907" s="262">
        <v>19889.69921875</v>
      </c>
      <c r="C907" s="262">
        <v>3912.14990234375</v>
      </c>
      <c r="D907" s="259"/>
      <c r="E907" s="263">
        <f t="shared" si="28"/>
        <v>4.7992646389905125E-3</v>
      </c>
      <c r="F907" s="263">
        <f t="shared" si="29"/>
        <v>1.8020245585310471E-2</v>
      </c>
      <c r="G907" s="259"/>
      <c r="H907" s="259"/>
    </row>
    <row r="908" spans="1:8" ht="14.25" customHeight="1" x14ac:dyDescent="0.3">
      <c r="A908" s="261">
        <v>45259</v>
      </c>
      <c r="B908" s="262">
        <v>20096.599609375</v>
      </c>
      <c r="C908" s="262">
        <v>3861.5</v>
      </c>
      <c r="D908" s="259"/>
      <c r="E908" s="263">
        <f t="shared" si="28"/>
        <v>1.0402389113554579E-2</v>
      </c>
      <c r="F908" s="263">
        <f t="shared" si="29"/>
        <v>-1.2946820446068768E-2</v>
      </c>
      <c r="G908" s="259"/>
      <c r="H908" s="259"/>
    </row>
    <row r="909" spans="1:8" ht="14.25" customHeight="1" x14ac:dyDescent="0.3">
      <c r="A909" s="261">
        <v>45260</v>
      </c>
      <c r="B909" s="262">
        <v>20133.150390625</v>
      </c>
      <c r="C909" s="262">
        <v>3949.75</v>
      </c>
      <c r="D909" s="259"/>
      <c r="E909" s="263">
        <f t="shared" si="28"/>
        <v>1.8187545137212753E-3</v>
      </c>
      <c r="F909" s="263">
        <f t="shared" si="29"/>
        <v>2.2853813284992877E-2</v>
      </c>
      <c r="G909" s="259"/>
      <c r="H909" s="259"/>
    </row>
    <row r="910" spans="1:8" ht="14.25" customHeight="1" x14ac:dyDescent="0.3">
      <c r="A910" s="261">
        <v>45261</v>
      </c>
      <c r="B910" s="262">
        <v>20267.900390625</v>
      </c>
      <c r="C910" s="262">
        <v>3988.39990234375</v>
      </c>
      <c r="D910" s="259"/>
      <c r="E910" s="263">
        <f t="shared" si="28"/>
        <v>6.6929416105065368E-3</v>
      </c>
      <c r="F910" s="263">
        <f t="shared" si="29"/>
        <v>9.7854047328944874E-3</v>
      </c>
      <c r="G910" s="259"/>
      <c r="H910" s="259"/>
    </row>
    <row r="911" spans="1:8" ht="14.25" customHeight="1" x14ac:dyDescent="0.3">
      <c r="A911" s="261">
        <v>45264</v>
      </c>
      <c r="B911" s="262">
        <v>20686.80078125</v>
      </c>
      <c r="C911" s="262">
        <v>3967.10009765625</v>
      </c>
      <c r="D911" s="259"/>
      <c r="E911" s="263">
        <f t="shared" si="28"/>
        <v>2.0668169003769332E-2</v>
      </c>
      <c r="F911" s="263">
        <f t="shared" si="29"/>
        <v>-5.3404385741217539E-3</v>
      </c>
      <c r="G911" s="259"/>
      <c r="H911" s="259"/>
    </row>
    <row r="912" spans="1:8" ht="14.25" customHeight="1" x14ac:dyDescent="0.3">
      <c r="A912" s="261">
        <v>45265</v>
      </c>
      <c r="B912" s="262">
        <v>20855.099609375</v>
      </c>
      <c r="C912" s="262">
        <v>4039.55004882813</v>
      </c>
      <c r="D912" s="259"/>
      <c r="E912" s="263">
        <f t="shared" si="28"/>
        <v>8.1355657602475619E-3</v>
      </c>
      <c r="F912" s="263">
        <f t="shared" si="29"/>
        <v>1.8262698038469763E-2</v>
      </c>
      <c r="G912" s="259"/>
      <c r="H912" s="259"/>
    </row>
    <row r="913" spans="1:8" ht="14.25" customHeight="1" x14ac:dyDescent="0.3">
      <c r="A913" s="261">
        <v>45266</v>
      </c>
      <c r="B913" s="262">
        <v>20937.69921875</v>
      </c>
      <c r="C913" s="262">
        <v>4137.14990234375</v>
      </c>
      <c r="D913" s="259"/>
      <c r="E913" s="263">
        <f t="shared" si="28"/>
        <v>3.9606432442005199E-3</v>
      </c>
      <c r="F913" s="263">
        <f t="shared" si="29"/>
        <v>2.4161070499407137E-2</v>
      </c>
      <c r="G913" s="259"/>
      <c r="H913" s="259"/>
    </row>
    <row r="914" spans="1:8" ht="14.25" customHeight="1" x14ac:dyDescent="0.3">
      <c r="A914" s="261">
        <v>45267</v>
      </c>
      <c r="B914" s="262">
        <v>20901.150390625</v>
      </c>
      <c r="C914" s="262">
        <v>4115.4501953125</v>
      </c>
      <c r="D914" s="259"/>
      <c r="E914" s="263">
        <f t="shared" si="28"/>
        <v>-1.7455990623969808E-3</v>
      </c>
      <c r="F914" s="263">
        <f t="shared" si="29"/>
        <v>-5.2450859996532465E-3</v>
      </c>
      <c r="G914" s="259"/>
      <c r="H914" s="259"/>
    </row>
    <row r="915" spans="1:8" ht="14.25" customHeight="1" x14ac:dyDescent="0.3">
      <c r="A915" s="261">
        <v>45268</v>
      </c>
      <c r="B915" s="262">
        <v>20969.400390625</v>
      </c>
      <c r="C915" s="262">
        <v>4070.64990234375</v>
      </c>
      <c r="D915" s="259"/>
      <c r="E915" s="263">
        <f t="shared" si="28"/>
        <v>3.2653705047073797E-3</v>
      </c>
      <c r="F915" s="263">
        <f t="shared" si="29"/>
        <v>-1.0885879027227097E-2</v>
      </c>
      <c r="G915" s="259"/>
      <c r="H915" s="259"/>
    </row>
    <row r="916" spans="1:8" ht="14.25" customHeight="1" x14ac:dyDescent="0.3">
      <c r="A916" s="261">
        <v>45271</v>
      </c>
      <c r="B916" s="262">
        <v>20997.099609375</v>
      </c>
      <c r="C916" s="262">
        <v>4069.75</v>
      </c>
      <c r="D916" s="259"/>
      <c r="E916" s="263">
        <f t="shared" si="28"/>
        <v>1.3209351833628857E-3</v>
      </c>
      <c r="F916" s="263">
        <f t="shared" si="29"/>
        <v>-2.2107092610245481E-4</v>
      </c>
      <c r="G916" s="259"/>
      <c r="H916" s="259"/>
    </row>
    <row r="917" spans="1:8" ht="14.25" customHeight="1" x14ac:dyDescent="0.3">
      <c r="A917" s="261">
        <v>45272</v>
      </c>
      <c r="B917" s="262">
        <v>20906.400390625</v>
      </c>
      <c r="C917" s="262">
        <v>4075.39990234375</v>
      </c>
      <c r="D917" s="259"/>
      <c r="E917" s="263">
        <f t="shared" si="28"/>
        <v>-4.3196070141755995E-3</v>
      </c>
      <c r="F917" s="263">
        <f t="shared" si="29"/>
        <v>1.3882676684685792E-3</v>
      </c>
      <c r="G917" s="259"/>
      <c r="H917" s="259"/>
    </row>
    <row r="918" spans="1:8" ht="14.25" customHeight="1" x14ac:dyDescent="0.3">
      <c r="A918" s="261">
        <v>45273</v>
      </c>
      <c r="B918" s="262">
        <v>20926.349609375</v>
      </c>
      <c r="C918" s="262">
        <v>4033.05004882813</v>
      </c>
      <c r="D918" s="259"/>
      <c r="E918" s="263">
        <f t="shared" si="28"/>
        <v>9.5421585625738684E-4</v>
      </c>
      <c r="F918" s="263">
        <f t="shared" si="29"/>
        <v>-1.0391582306135093E-2</v>
      </c>
      <c r="G918" s="259"/>
      <c r="H918" s="259"/>
    </row>
    <row r="919" spans="1:8" ht="14.25" customHeight="1" x14ac:dyDescent="0.3">
      <c r="A919" s="261">
        <v>45274</v>
      </c>
      <c r="B919" s="262">
        <v>21182.69921875</v>
      </c>
      <c r="C919" s="262">
        <v>4070.05004882813</v>
      </c>
      <c r="D919" s="259"/>
      <c r="E919" s="263">
        <f t="shared" si="28"/>
        <v>1.2250087289956937E-2</v>
      </c>
      <c r="F919" s="263">
        <f t="shared" si="29"/>
        <v>9.1741980764039784E-3</v>
      </c>
      <c r="G919" s="259"/>
      <c r="H919" s="259"/>
    </row>
    <row r="920" spans="1:8" ht="14.25" customHeight="1" x14ac:dyDescent="0.3">
      <c r="A920" s="261">
        <v>45275</v>
      </c>
      <c r="B920" s="262">
        <v>21456.650390625</v>
      </c>
      <c r="C920" s="262">
        <v>4045.64990234375</v>
      </c>
      <c r="D920" s="259"/>
      <c r="E920" s="263">
        <f t="shared" si="28"/>
        <v>1.2932779200891942E-2</v>
      </c>
      <c r="F920" s="263">
        <f t="shared" si="29"/>
        <v>-5.9950482651694708E-3</v>
      </c>
      <c r="G920" s="259"/>
      <c r="H920" s="259"/>
    </row>
    <row r="921" spans="1:8" ht="14.25" customHeight="1" x14ac:dyDescent="0.3">
      <c r="A921" s="261">
        <v>45278</v>
      </c>
      <c r="B921" s="262">
        <v>21418.650390625</v>
      </c>
      <c r="C921" s="262">
        <v>4010.14990234375</v>
      </c>
      <c r="D921" s="259"/>
      <c r="E921" s="263">
        <f t="shared" si="28"/>
        <v>-1.7710126840955215E-3</v>
      </c>
      <c r="F921" s="263">
        <f t="shared" si="29"/>
        <v>-8.7748571569264879E-3</v>
      </c>
      <c r="G921" s="259"/>
      <c r="H921" s="259"/>
    </row>
    <row r="922" spans="1:8" ht="14.25" customHeight="1" x14ac:dyDescent="0.3">
      <c r="A922" s="261">
        <v>45279</v>
      </c>
      <c r="B922" s="262">
        <v>21453.099609375</v>
      </c>
      <c r="C922" s="262">
        <v>4021.35009765625</v>
      </c>
      <c r="D922" s="259"/>
      <c r="E922" s="263">
        <f t="shared" si="28"/>
        <v>1.6083748565725931E-3</v>
      </c>
      <c r="F922" s="263">
        <f t="shared" si="29"/>
        <v>2.7929617558570554E-3</v>
      </c>
      <c r="G922" s="259"/>
      <c r="H922" s="259"/>
    </row>
    <row r="923" spans="1:8" ht="14.25" customHeight="1" x14ac:dyDescent="0.3">
      <c r="A923" s="261">
        <v>45280</v>
      </c>
      <c r="B923" s="262">
        <v>21150.150390625</v>
      </c>
      <c r="C923" s="262">
        <v>3965.89990234375</v>
      </c>
      <c r="D923" s="259"/>
      <c r="E923" s="263">
        <f t="shared" si="28"/>
        <v>-1.412146609423336E-2</v>
      </c>
      <c r="F923" s="263">
        <f t="shared" si="29"/>
        <v>-1.3788949971010446E-2</v>
      </c>
      <c r="G923" s="259"/>
      <c r="H923" s="259"/>
    </row>
    <row r="924" spans="1:8" ht="14.25" customHeight="1" x14ac:dyDescent="0.3">
      <c r="A924" s="261">
        <v>45281</v>
      </c>
      <c r="B924" s="262">
        <v>21255.05078125</v>
      </c>
      <c r="C924" s="262">
        <v>3954.5</v>
      </c>
      <c r="D924" s="259"/>
      <c r="E924" s="263">
        <f t="shared" si="28"/>
        <v>4.9597940765233554E-3</v>
      </c>
      <c r="F924" s="263">
        <f t="shared" si="29"/>
        <v>-2.8744806032580238E-3</v>
      </c>
      <c r="G924" s="259"/>
      <c r="H924" s="259"/>
    </row>
    <row r="925" spans="1:8" ht="14.25" customHeight="1" x14ac:dyDescent="0.3">
      <c r="A925" s="261">
        <v>45282</v>
      </c>
      <c r="B925" s="262">
        <v>21349.400390625</v>
      </c>
      <c r="C925" s="262">
        <v>4007.94995117188</v>
      </c>
      <c r="D925" s="259"/>
      <c r="E925" s="263">
        <f t="shared" si="28"/>
        <v>4.4389265566107177E-3</v>
      </c>
      <c r="F925" s="263">
        <f t="shared" si="29"/>
        <v>1.3516234965704893E-2</v>
      </c>
      <c r="G925" s="259"/>
      <c r="H925" s="259"/>
    </row>
    <row r="926" spans="1:8" ht="14.25" customHeight="1" x14ac:dyDescent="0.3">
      <c r="A926" s="261">
        <v>45286</v>
      </c>
      <c r="B926" s="262">
        <v>21441.349609375</v>
      </c>
      <c r="C926" s="262">
        <v>4023.44995117188</v>
      </c>
      <c r="D926" s="259"/>
      <c r="E926" s="263">
        <f t="shared" si="28"/>
        <v>4.3068759341071223E-3</v>
      </c>
      <c r="F926" s="263">
        <f t="shared" si="29"/>
        <v>3.8673137611082127E-3</v>
      </c>
      <c r="G926" s="259"/>
      <c r="H926" s="259"/>
    </row>
    <row r="927" spans="1:8" ht="14.25" customHeight="1" x14ac:dyDescent="0.3">
      <c r="A927" s="261">
        <v>45287</v>
      </c>
      <c r="B927" s="262">
        <v>21654.75</v>
      </c>
      <c r="C927" s="262">
        <v>4027.44995117188</v>
      </c>
      <c r="D927" s="259"/>
      <c r="E927" s="263">
        <f t="shared" si="28"/>
        <v>9.9527499207276091E-3</v>
      </c>
      <c r="F927" s="263">
        <f t="shared" si="29"/>
        <v>9.9417168065802589E-4</v>
      </c>
      <c r="G927" s="259"/>
      <c r="H927" s="259"/>
    </row>
    <row r="928" spans="1:8" ht="14.25" customHeight="1" x14ac:dyDescent="0.3">
      <c r="A928" s="261">
        <v>45288</v>
      </c>
      <c r="B928" s="262">
        <v>21778.69921875</v>
      </c>
      <c r="C928" s="262">
        <v>4044.64990234375</v>
      </c>
      <c r="D928" s="259"/>
      <c r="E928" s="263">
        <f t="shared" si="28"/>
        <v>5.7238813077962114E-3</v>
      </c>
      <c r="F928" s="263">
        <f t="shared" si="29"/>
        <v>4.2706803015305685E-3</v>
      </c>
      <c r="G928" s="259"/>
      <c r="H928" s="259"/>
    </row>
    <row r="929" spans="1:8" ht="14.25" customHeight="1" x14ac:dyDescent="0.3">
      <c r="A929" s="261">
        <v>45289</v>
      </c>
      <c r="B929" s="262">
        <v>21731.400390625</v>
      </c>
      <c r="C929" s="262">
        <v>4082.64990234375</v>
      </c>
      <c r="D929" s="259"/>
      <c r="E929" s="263">
        <f t="shared" si="28"/>
        <v>-2.171793074045436E-3</v>
      </c>
      <c r="F929" s="263">
        <f t="shared" si="29"/>
        <v>9.3951271228642479E-3</v>
      </c>
      <c r="G929" s="259"/>
      <c r="H929" s="259"/>
    </row>
    <row r="930" spans="1:8" ht="14.25" customHeight="1" x14ac:dyDescent="0.3">
      <c r="A930" s="261">
        <v>45292</v>
      </c>
      <c r="B930" s="262">
        <v>21741.900390625</v>
      </c>
      <c r="C930" s="262">
        <v>4064.75</v>
      </c>
      <c r="D930" s="259"/>
      <c r="E930" s="263">
        <f t="shared" si="28"/>
        <v>4.8317180721265139E-4</v>
      </c>
      <c r="F930" s="263">
        <f t="shared" si="29"/>
        <v>-4.3843833715631851E-3</v>
      </c>
      <c r="G930" s="259"/>
      <c r="H930" s="259"/>
    </row>
    <row r="931" spans="1:8" ht="14.25" customHeight="1" x14ac:dyDescent="0.3">
      <c r="A931" s="261">
        <v>45293</v>
      </c>
      <c r="B931" s="262">
        <v>21665.80078125</v>
      </c>
      <c r="C931" s="262">
        <v>4103.35009765625</v>
      </c>
      <c r="D931" s="259"/>
      <c r="E931" s="263">
        <f t="shared" si="28"/>
        <v>-3.5001360510240297E-3</v>
      </c>
      <c r="F931" s="263">
        <f t="shared" si="29"/>
        <v>9.4963030091026503E-3</v>
      </c>
      <c r="G931" s="259"/>
      <c r="H931" s="259"/>
    </row>
    <row r="932" spans="1:8" ht="14.25" customHeight="1" x14ac:dyDescent="0.3">
      <c r="A932" s="261">
        <v>45294</v>
      </c>
      <c r="B932" s="262">
        <v>21517.349609375</v>
      </c>
      <c r="C932" s="262">
        <v>3932.35009765625</v>
      </c>
      <c r="D932" s="259"/>
      <c r="E932" s="263">
        <f t="shared" si="28"/>
        <v>-6.8518663756694607E-3</v>
      </c>
      <c r="F932" s="263">
        <f t="shared" si="29"/>
        <v>-4.1673265973008668E-2</v>
      </c>
      <c r="G932" s="259"/>
      <c r="H932" s="259"/>
    </row>
    <row r="933" spans="1:8" ht="14.25" customHeight="1" x14ac:dyDescent="0.3">
      <c r="A933" s="261">
        <v>45295</v>
      </c>
      <c r="B933" s="262">
        <v>21658.599609375</v>
      </c>
      <c r="C933" s="262">
        <v>3897.85009765625</v>
      </c>
      <c r="D933" s="259"/>
      <c r="E933" s="263">
        <f t="shared" si="28"/>
        <v>6.5644701863494422E-3</v>
      </c>
      <c r="F933" s="263">
        <f t="shared" si="29"/>
        <v>-8.7733795677456608E-3</v>
      </c>
      <c r="G933" s="259"/>
      <c r="H933" s="259"/>
    </row>
    <row r="934" spans="1:8" ht="14.25" customHeight="1" x14ac:dyDescent="0.3">
      <c r="A934" s="261">
        <v>45296</v>
      </c>
      <c r="B934" s="262">
        <v>21710.80078125</v>
      </c>
      <c r="C934" s="262">
        <v>3863.5</v>
      </c>
      <c r="D934" s="259"/>
      <c r="E934" s="263">
        <f t="shared" si="28"/>
        <v>2.4101822286056087E-3</v>
      </c>
      <c r="F934" s="263">
        <f t="shared" si="29"/>
        <v>-8.8125753417004089E-3</v>
      </c>
      <c r="G934" s="259"/>
      <c r="H934" s="259"/>
    </row>
    <row r="935" spans="1:8" ht="14.25" customHeight="1" x14ac:dyDescent="0.3">
      <c r="A935" s="261">
        <v>45299</v>
      </c>
      <c r="B935" s="262">
        <v>21513</v>
      </c>
      <c r="C935" s="262">
        <v>3804.39990234375</v>
      </c>
      <c r="D935" s="259"/>
      <c r="E935" s="263">
        <f t="shared" si="28"/>
        <v>-9.1107086856430358E-3</v>
      </c>
      <c r="F935" s="263">
        <f t="shared" si="29"/>
        <v>-1.529703575935033E-2</v>
      </c>
      <c r="G935" s="259"/>
      <c r="H935" s="259"/>
    </row>
    <row r="936" spans="1:8" ht="14.25" customHeight="1" x14ac:dyDescent="0.3">
      <c r="A936" s="261">
        <v>45300</v>
      </c>
      <c r="B936" s="262">
        <v>21544.849609375</v>
      </c>
      <c r="C936" s="262">
        <v>3810.75</v>
      </c>
      <c r="D936" s="259"/>
      <c r="E936" s="263">
        <f t="shared" si="28"/>
        <v>1.4804820050667038E-3</v>
      </c>
      <c r="F936" s="263">
        <f t="shared" si="29"/>
        <v>1.6691456784913542E-3</v>
      </c>
      <c r="G936" s="259"/>
      <c r="H936" s="259"/>
    </row>
    <row r="937" spans="1:8" ht="14.25" customHeight="1" x14ac:dyDescent="0.3">
      <c r="A937" s="261">
        <v>45301</v>
      </c>
      <c r="B937" s="262">
        <v>21618.69921875</v>
      </c>
      <c r="C937" s="262">
        <v>3822</v>
      </c>
      <c r="D937" s="259"/>
      <c r="E937" s="263">
        <f t="shared" si="28"/>
        <v>3.4277152411806657E-3</v>
      </c>
      <c r="F937" s="263">
        <f t="shared" si="29"/>
        <v>2.9521747687463098E-3</v>
      </c>
      <c r="G937" s="259"/>
      <c r="H937" s="259"/>
    </row>
    <row r="938" spans="1:8" ht="14.25" customHeight="1" x14ac:dyDescent="0.3">
      <c r="A938" s="261">
        <v>45302</v>
      </c>
      <c r="B938" s="262">
        <v>21647.19921875</v>
      </c>
      <c r="C938" s="262">
        <v>3821.35009765625</v>
      </c>
      <c r="D938" s="259"/>
      <c r="E938" s="263">
        <f t="shared" si="28"/>
        <v>1.3183031833516521E-3</v>
      </c>
      <c r="F938" s="263">
        <f t="shared" si="29"/>
        <v>-1.7004247612506542E-4</v>
      </c>
      <c r="G938" s="259"/>
      <c r="H938" s="259"/>
    </row>
    <row r="939" spans="1:8" ht="14.25" customHeight="1" x14ac:dyDescent="0.3">
      <c r="A939" s="261">
        <v>45303</v>
      </c>
      <c r="B939" s="262">
        <v>21894.55078125</v>
      </c>
      <c r="C939" s="262">
        <v>3841</v>
      </c>
      <c r="D939" s="259"/>
      <c r="E939" s="263">
        <f t="shared" si="28"/>
        <v>1.1426492637705911E-2</v>
      </c>
      <c r="F939" s="263">
        <f t="shared" si="29"/>
        <v>5.1421361146161094E-3</v>
      </c>
      <c r="G939" s="259"/>
      <c r="H939" s="259"/>
    </row>
    <row r="940" spans="1:8" ht="14.25" customHeight="1" x14ac:dyDescent="0.3">
      <c r="A940" s="261">
        <v>45306</v>
      </c>
      <c r="B940" s="262">
        <v>22097.44921875</v>
      </c>
      <c r="C940" s="262">
        <v>3858.25</v>
      </c>
      <c r="D940" s="259"/>
      <c r="E940" s="263">
        <f t="shared" si="28"/>
        <v>9.2670746948486215E-3</v>
      </c>
      <c r="F940" s="263">
        <f t="shared" si="29"/>
        <v>4.4910179640718561E-3</v>
      </c>
      <c r="G940" s="259"/>
      <c r="H940" s="259"/>
    </row>
    <row r="941" spans="1:8" ht="14.25" customHeight="1" x14ac:dyDescent="0.3">
      <c r="A941" s="261">
        <v>45307</v>
      </c>
      <c r="B941" s="262">
        <v>22032.30078125</v>
      </c>
      <c r="C941" s="262">
        <v>3828.30004882813</v>
      </c>
      <c r="D941" s="259"/>
      <c r="E941" s="263">
        <f t="shared" si="28"/>
        <v>-2.9482333845447023E-3</v>
      </c>
      <c r="F941" s="263">
        <f t="shared" si="29"/>
        <v>-7.7625740094265528E-3</v>
      </c>
      <c r="G941" s="259"/>
      <c r="H941" s="259"/>
    </row>
    <row r="942" spans="1:8" ht="14.25" customHeight="1" x14ac:dyDescent="0.3">
      <c r="A942" s="261">
        <v>45308</v>
      </c>
      <c r="B942" s="262">
        <v>21571.94921875</v>
      </c>
      <c r="C942" s="262">
        <v>3786.44995117188</v>
      </c>
      <c r="D942" s="259"/>
      <c r="E942" s="263">
        <f t="shared" si="28"/>
        <v>-2.0894393512082492E-2</v>
      </c>
      <c r="F942" s="263">
        <f t="shared" si="29"/>
        <v>-1.0931770530646001E-2</v>
      </c>
      <c r="G942" s="259"/>
      <c r="H942" s="259"/>
    </row>
    <row r="943" spans="1:8" ht="14.25" customHeight="1" x14ac:dyDescent="0.3">
      <c r="A943" s="261">
        <v>45309</v>
      </c>
      <c r="B943" s="262">
        <v>21462.25</v>
      </c>
      <c r="C943" s="262">
        <v>3748.85009765625</v>
      </c>
      <c r="D943" s="259"/>
      <c r="E943" s="263">
        <f t="shared" si="28"/>
        <v>-5.0852715087355742E-3</v>
      </c>
      <c r="F943" s="263">
        <f t="shared" si="29"/>
        <v>-9.9301070925268946E-3</v>
      </c>
      <c r="G943" s="259"/>
      <c r="H943" s="259"/>
    </row>
    <row r="944" spans="1:8" ht="14.25" customHeight="1" x14ac:dyDescent="0.3">
      <c r="A944" s="261">
        <v>45310</v>
      </c>
      <c r="B944" s="262">
        <v>21622.400390625</v>
      </c>
      <c r="C944" s="262">
        <v>3731.69995117188</v>
      </c>
      <c r="D944" s="259"/>
      <c r="E944" s="263">
        <f t="shared" si="28"/>
        <v>7.4619571864552878E-3</v>
      </c>
      <c r="F944" s="263">
        <f t="shared" si="29"/>
        <v>-4.5747752077609418E-3</v>
      </c>
      <c r="G944" s="259"/>
      <c r="H944" s="259"/>
    </row>
    <row r="945" spans="1:8" ht="14.25" customHeight="1" x14ac:dyDescent="0.3">
      <c r="A945" s="261">
        <v>45314</v>
      </c>
      <c r="B945" s="262">
        <v>21238.80078125</v>
      </c>
      <c r="C945" s="262">
        <v>3675.89990234375</v>
      </c>
      <c r="D945" s="259"/>
      <c r="E945" s="263">
        <f t="shared" si="28"/>
        <v>-1.7740842942734536E-2</v>
      </c>
      <c r="F945" s="263">
        <f t="shared" si="29"/>
        <v>-1.4952983776363612E-2</v>
      </c>
      <c r="G945" s="259"/>
      <c r="H945" s="259"/>
    </row>
    <row r="946" spans="1:8" ht="14.25" customHeight="1" x14ac:dyDescent="0.3">
      <c r="A946" s="261">
        <v>45315</v>
      </c>
      <c r="B946" s="262">
        <v>21453.94921875</v>
      </c>
      <c r="C946" s="262">
        <v>3727.75</v>
      </c>
      <c r="D946" s="259"/>
      <c r="E946" s="263">
        <f t="shared" si="28"/>
        <v>1.0129971071150917E-2</v>
      </c>
      <c r="F946" s="263">
        <f t="shared" si="29"/>
        <v>1.4105416097753487E-2</v>
      </c>
      <c r="G946" s="259"/>
      <c r="H946" s="259"/>
    </row>
    <row r="947" spans="1:8" ht="14.25" customHeight="1" x14ac:dyDescent="0.3">
      <c r="A947" s="261">
        <v>45316</v>
      </c>
      <c r="B947" s="262">
        <v>21352.599609375</v>
      </c>
      <c r="C947" s="262">
        <v>3734.25</v>
      </c>
      <c r="D947" s="259"/>
      <c r="E947" s="263">
        <f t="shared" si="28"/>
        <v>-4.7240537554001476E-3</v>
      </c>
      <c r="F947" s="263">
        <f t="shared" si="29"/>
        <v>1.7436791630340018E-3</v>
      </c>
      <c r="G947" s="259"/>
      <c r="H947" s="259"/>
    </row>
    <row r="948" spans="1:8" ht="14.25" customHeight="1" x14ac:dyDescent="0.3">
      <c r="A948" s="261">
        <v>45320</v>
      </c>
      <c r="B948" s="262">
        <v>21737.599609375</v>
      </c>
      <c r="C948" s="262">
        <v>3749.39990234375</v>
      </c>
      <c r="D948" s="259"/>
      <c r="E948" s="263">
        <f t="shared" si="28"/>
        <v>1.8030591452244681E-2</v>
      </c>
      <c r="F948" s="263">
        <f t="shared" si="29"/>
        <v>4.0570134146749679E-3</v>
      </c>
      <c r="G948" s="259"/>
      <c r="H948" s="259"/>
    </row>
    <row r="949" spans="1:8" ht="14.25" customHeight="1" x14ac:dyDescent="0.3">
      <c r="A949" s="261">
        <v>45321</v>
      </c>
      <c r="B949" s="262">
        <v>21522.099609375</v>
      </c>
      <c r="C949" s="262">
        <v>3687.30004882813</v>
      </c>
      <c r="D949" s="259"/>
      <c r="E949" s="263">
        <f t="shared" si="28"/>
        <v>-9.9136981024831768E-3</v>
      </c>
      <c r="F949" s="263">
        <f t="shared" si="29"/>
        <v>-1.6562611386638532E-2</v>
      </c>
      <c r="G949" s="259"/>
      <c r="H949" s="259"/>
    </row>
    <row r="950" spans="1:8" ht="14.25" customHeight="1" x14ac:dyDescent="0.3">
      <c r="A950" s="261">
        <v>45322</v>
      </c>
      <c r="B950" s="262">
        <v>21725.69921875</v>
      </c>
      <c r="C950" s="262">
        <v>3792.69995117188</v>
      </c>
      <c r="D950" s="259"/>
      <c r="E950" s="263">
        <f t="shared" si="28"/>
        <v>9.4600254190029057E-3</v>
      </c>
      <c r="F950" s="263">
        <f t="shared" si="29"/>
        <v>2.8584574335697853E-2</v>
      </c>
      <c r="G950" s="259"/>
      <c r="H950" s="259"/>
    </row>
    <row r="951" spans="1:8" ht="14.25" customHeight="1" x14ac:dyDescent="0.3">
      <c r="A951" s="261">
        <v>45323</v>
      </c>
      <c r="B951" s="262">
        <v>21697.44921875</v>
      </c>
      <c r="C951" s="262">
        <v>3808.19995117188</v>
      </c>
      <c r="D951" s="259"/>
      <c r="E951" s="263">
        <f t="shared" si="28"/>
        <v>-1.3003033741542051E-3</v>
      </c>
      <c r="F951" s="263">
        <f t="shared" si="29"/>
        <v>4.0867983757087775E-3</v>
      </c>
      <c r="G951" s="259"/>
      <c r="H951" s="259"/>
    </row>
    <row r="952" spans="1:8" ht="14.25" customHeight="1" x14ac:dyDescent="0.3">
      <c r="A952" s="261">
        <v>45324</v>
      </c>
      <c r="B952" s="262">
        <v>21853.80078125</v>
      </c>
      <c r="C952" s="262">
        <v>3784.30004882813</v>
      </c>
      <c r="D952" s="259"/>
      <c r="E952" s="263">
        <f t="shared" si="28"/>
        <v>7.2059881750933062E-3</v>
      </c>
      <c r="F952" s="263">
        <f t="shared" si="29"/>
        <v>-6.2759053227747124E-3</v>
      </c>
      <c r="G952" s="259"/>
      <c r="H952" s="259"/>
    </row>
    <row r="953" spans="1:8" ht="14.25" customHeight="1" x14ac:dyDescent="0.3">
      <c r="A953" s="261">
        <v>45327</v>
      </c>
      <c r="B953" s="262">
        <v>21771.69921875</v>
      </c>
      <c r="C953" s="262">
        <v>3729.60009765625</v>
      </c>
      <c r="D953" s="259"/>
      <c r="E953" s="263">
        <f t="shared" si="28"/>
        <v>-3.7568550808077758E-3</v>
      </c>
      <c r="F953" s="263">
        <f t="shared" si="29"/>
        <v>-1.4454443481250577E-2</v>
      </c>
      <c r="G953" s="259"/>
      <c r="H953" s="259"/>
    </row>
    <row r="954" spans="1:8" ht="14.25" customHeight="1" x14ac:dyDescent="0.3">
      <c r="A954" s="261">
        <v>45328</v>
      </c>
      <c r="B954" s="262">
        <v>21929.400390625</v>
      </c>
      <c r="C954" s="262">
        <v>3727.39990234375</v>
      </c>
      <c r="D954" s="259"/>
      <c r="E954" s="263">
        <f t="shared" si="28"/>
        <v>7.243402101531249E-3</v>
      </c>
      <c r="F954" s="263">
        <f t="shared" si="29"/>
        <v>-5.8992794264528352E-4</v>
      </c>
      <c r="G954" s="259"/>
      <c r="H954" s="259"/>
    </row>
    <row r="955" spans="1:8" ht="14.25" customHeight="1" x14ac:dyDescent="0.3">
      <c r="A955" s="261">
        <v>45329</v>
      </c>
      <c r="B955" s="262">
        <v>21930.5</v>
      </c>
      <c r="C955" s="262">
        <v>3717.69995117188</v>
      </c>
      <c r="D955" s="259"/>
      <c r="E955" s="263">
        <f t="shared" si="28"/>
        <v>5.0143157378351857E-5</v>
      </c>
      <c r="F955" s="263">
        <f t="shared" si="29"/>
        <v>-2.6023371320503521E-3</v>
      </c>
      <c r="G955" s="259"/>
      <c r="H955" s="259"/>
    </row>
    <row r="956" spans="1:8" ht="14.25" customHeight="1" x14ac:dyDescent="0.3">
      <c r="A956" s="261">
        <v>45330</v>
      </c>
      <c r="B956" s="262">
        <v>21717.94921875</v>
      </c>
      <c r="C956" s="262">
        <v>3731.05004882813</v>
      </c>
      <c r="D956" s="259"/>
      <c r="E956" s="263">
        <f t="shared" si="28"/>
        <v>-9.6920171108729851E-3</v>
      </c>
      <c r="F956" s="263">
        <f t="shared" si="29"/>
        <v>3.5909561910830996E-3</v>
      </c>
      <c r="G956" s="259"/>
      <c r="H956" s="259"/>
    </row>
    <row r="957" spans="1:8" ht="14.25" customHeight="1" x14ac:dyDescent="0.3">
      <c r="A957" s="261">
        <v>45331</v>
      </c>
      <c r="B957" s="262">
        <v>21782.5</v>
      </c>
      <c r="C957" s="262">
        <v>3719.19995117188</v>
      </c>
      <c r="D957" s="259"/>
      <c r="E957" s="263">
        <f t="shared" si="28"/>
        <v>2.9722318898448593E-3</v>
      </c>
      <c r="F957" s="263">
        <f t="shared" si="29"/>
        <v>-3.1760757698685786E-3</v>
      </c>
      <c r="G957" s="259"/>
      <c r="H957" s="259"/>
    </row>
    <row r="958" spans="1:8" ht="14.25" customHeight="1" x14ac:dyDescent="0.3">
      <c r="A958" s="261">
        <v>45334</v>
      </c>
      <c r="B958" s="262">
        <v>21616.05078125</v>
      </c>
      <c r="C958" s="262">
        <v>3675.60009765625</v>
      </c>
      <c r="D958" s="259"/>
      <c r="E958" s="263">
        <f t="shared" si="28"/>
        <v>-7.6414194307356824E-3</v>
      </c>
      <c r="F958" s="263">
        <f t="shared" si="29"/>
        <v>-1.1722911940212345E-2</v>
      </c>
      <c r="G958" s="259"/>
      <c r="H958" s="259"/>
    </row>
    <row r="959" spans="1:8" ht="14.25" customHeight="1" x14ac:dyDescent="0.3">
      <c r="A959" s="261">
        <v>45335</v>
      </c>
      <c r="B959" s="262">
        <v>21743.25</v>
      </c>
      <c r="C959" s="262">
        <v>3703.19995117188</v>
      </c>
      <c r="D959" s="259"/>
      <c r="E959" s="263">
        <f t="shared" si="28"/>
        <v>5.8844800115076526E-3</v>
      </c>
      <c r="F959" s="263">
        <f t="shared" si="29"/>
        <v>7.5089380733309582E-3</v>
      </c>
      <c r="G959" s="259"/>
      <c r="H959" s="259"/>
    </row>
    <row r="960" spans="1:8" ht="14.25" customHeight="1" x14ac:dyDescent="0.3">
      <c r="A960" s="261">
        <v>45336</v>
      </c>
      <c r="B960" s="262">
        <v>21840.05078125</v>
      </c>
      <c r="C960" s="262">
        <v>3722.39990234375</v>
      </c>
      <c r="D960" s="259"/>
      <c r="E960" s="263">
        <f t="shared" si="28"/>
        <v>4.4519922849619994E-3</v>
      </c>
      <c r="F960" s="263">
        <f t="shared" si="29"/>
        <v>5.1846920028701558E-3</v>
      </c>
      <c r="G960" s="259"/>
      <c r="H960" s="259"/>
    </row>
    <row r="961" spans="1:8" ht="14.25" customHeight="1" x14ac:dyDescent="0.3">
      <c r="A961" s="261">
        <v>45337</v>
      </c>
      <c r="B961" s="262">
        <v>21910.75</v>
      </c>
      <c r="C961" s="262">
        <v>3678.60009765625</v>
      </c>
      <c r="D961" s="259"/>
      <c r="E961" s="263">
        <f t="shared" si="28"/>
        <v>3.2371361888359849E-3</v>
      </c>
      <c r="F961" s="263">
        <f t="shared" si="29"/>
        <v>-1.1766550031317739E-2</v>
      </c>
      <c r="G961" s="259"/>
      <c r="H961" s="259"/>
    </row>
    <row r="962" spans="1:8" ht="14.25" customHeight="1" x14ac:dyDescent="0.3">
      <c r="A962" s="261">
        <v>45338</v>
      </c>
      <c r="B962" s="262">
        <v>22040.69921875</v>
      </c>
      <c r="C962" s="262">
        <v>3693.30004882813</v>
      </c>
      <c r="D962" s="259"/>
      <c r="E962" s="263">
        <f t="shared" si="28"/>
        <v>5.9308430222607626E-3</v>
      </c>
      <c r="F962" s="263">
        <f t="shared" si="29"/>
        <v>3.9960720876525274E-3</v>
      </c>
      <c r="G962" s="259"/>
      <c r="H962" s="259"/>
    </row>
    <row r="963" spans="1:8" ht="14.25" customHeight="1" x14ac:dyDescent="0.3">
      <c r="A963" s="261">
        <v>45341</v>
      </c>
      <c r="B963" s="262">
        <v>22122.25</v>
      </c>
      <c r="C963" s="262">
        <v>3707.25</v>
      </c>
      <c r="D963" s="259"/>
      <c r="E963" s="263">
        <f t="shared" ref="E963:E1026" si="30">(B963-B962)/B962</f>
        <v>3.7000088082788604E-3</v>
      </c>
      <c r="F963" s="263">
        <f t="shared" ref="F963:F1026" si="31">(C963-C962)/C962</f>
        <v>3.7770966310457944E-3</v>
      </c>
      <c r="G963" s="259"/>
      <c r="H963" s="259"/>
    </row>
    <row r="964" spans="1:8" ht="14.25" customHeight="1" x14ac:dyDescent="0.3">
      <c r="A964" s="261">
        <v>45342</v>
      </c>
      <c r="B964" s="262">
        <v>22196.94921875</v>
      </c>
      <c r="C964" s="262">
        <v>3756.19995117188</v>
      </c>
      <c r="D964" s="259"/>
      <c r="E964" s="263">
        <f t="shared" si="30"/>
        <v>3.3766555730090748E-3</v>
      </c>
      <c r="F964" s="263">
        <f t="shared" si="31"/>
        <v>1.3203844135647718E-2</v>
      </c>
      <c r="G964" s="259"/>
      <c r="H964" s="259"/>
    </row>
    <row r="965" spans="1:8" ht="14.25" customHeight="1" x14ac:dyDescent="0.3">
      <c r="A965" s="261">
        <v>45343</v>
      </c>
      <c r="B965" s="262">
        <v>22055.05078125</v>
      </c>
      <c r="C965" s="262">
        <v>3835.75</v>
      </c>
      <c r="D965" s="259"/>
      <c r="E965" s="263">
        <f t="shared" si="30"/>
        <v>-6.3927000103301077E-3</v>
      </c>
      <c r="F965" s="263">
        <f t="shared" si="31"/>
        <v>2.1178331788035281E-2</v>
      </c>
      <c r="G965" s="259"/>
      <c r="H965" s="259"/>
    </row>
    <row r="966" spans="1:8" ht="14.25" customHeight="1" x14ac:dyDescent="0.3">
      <c r="A966" s="261">
        <v>45344</v>
      </c>
      <c r="B966" s="262">
        <v>22217.44921875</v>
      </c>
      <c r="C966" s="262">
        <v>3851.44995117188</v>
      </c>
      <c r="D966" s="259"/>
      <c r="E966" s="263">
        <f t="shared" si="30"/>
        <v>7.3633218581415499E-3</v>
      </c>
      <c r="F966" s="263">
        <f t="shared" si="31"/>
        <v>4.0930590293632284E-3</v>
      </c>
      <c r="G966" s="259"/>
      <c r="H966" s="259"/>
    </row>
    <row r="967" spans="1:8" ht="14.25" customHeight="1" x14ac:dyDescent="0.3">
      <c r="A967" s="261">
        <v>45345</v>
      </c>
      <c r="B967" s="262">
        <v>22212.69921875</v>
      </c>
      <c r="C967" s="262">
        <v>3840.55004882813</v>
      </c>
      <c r="D967" s="259"/>
      <c r="E967" s="263">
        <f t="shared" si="30"/>
        <v>-2.1379592019012364E-4</v>
      </c>
      <c r="F967" s="263">
        <f t="shared" si="31"/>
        <v>-2.8300776284093964E-3</v>
      </c>
      <c r="G967" s="259"/>
      <c r="H967" s="259"/>
    </row>
    <row r="968" spans="1:8" ht="14.25" customHeight="1" x14ac:dyDescent="0.3">
      <c r="A968" s="261">
        <v>45348</v>
      </c>
      <c r="B968" s="262">
        <v>22122.05078125</v>
      </c>
      <c r="C968" s="262">
        <v>3850.35009765625</v>
      </c>
      <c r="D968" s="259"/>
      <c r="E968" s="263">
        <f t="shared" si="30"/>
        <v>-4.0809285088361791E-3</v>
      </c>
      <c r="F968" s="263">
        <f t="shared" si="31"/>
        <v>2.5517305343046616E-3</v>
      </c>
      <c r="G968" s="259"/>
      <c r="H968" s="259"/>
    </row>
    <row r="969" spans="1:8" ht="14.25" customHeight="1" x14ac:dyDescent="0.3">
      <c r="A969" s="261">
        <v>45349</v>
      </c>
      <c r="B969" s="262">
        <v>22198.349609375</v>
      </c>
      <c r="C969" s="262">
        <v>3852.19995117188</v>
      </c>
      <c r="D969" s="259"/>
      <c r="E969" s="263">
        <f t="shared" si="30"/>
        <v>3.4489943486464033E-3</v>
      </c>
      <c r="F969" s="263">
        <f t="shared" si="31"/>
        <v>4.8043774428616976E-4</v>
      </c>
      <c r="G969" s="259"/>
      <c r="H969" s="259"/>
    </row>
    <row r="970" spans="1:8" ht="14.25" customHeight="1" x14ac:dyDescent="0.3">
      <c r="A970" s="261">
        <v>45350</v>
      </c>
      <c r="B970" s="262">
        <v>21951.150390625</v>
      </c>
      <c r="C970" s="262">
        <v>3850</v>
      </c>
      <c r="D970" s="259"/>
      <c r="E970" s="263">
        <f t="shared" si="30"/>
        <v>-1.1135927809948569E-2</v>
      </c>
      <c r="F970" s="263">
        <f t="shared" si="31"/>
        <v>-5.7108955915197331E-4</v>
      </c>
      <c r="G970" s="259"/>
      <c r="H970" s="259"/>
    </row>
    <row r="971" spans="1:8" ht="14.25" customHeight="1" x14ac:dyDescent="0.3">
      <c r="A971" s="261">
        <v>45351</v>
      </c>
      <c r="B971" s="262">
        <v>21982.80078125</v>
      </c>
      <c r="C971" s="262">
        <v>3918.89990234375</v>
      </c>
      <c r="D971" s="259"/>
      <c r="E971" s="263">
        <f t="shared" si="30"/>
        <v>1.4418556686904846E-3</v>
      </c>
      <c r="F971" s="263">
        <f t="shared" si="31"/>
        <v>1.7896078530844156E-2</v>
      </c>
      <c r="G971" s="259"/>
      <c r="H971" s="259"/>
    </row>
    <row r="972" spans="1:8" ht="14.25" customHeight="1" x14ac:dyDescent="0.3">
      <c r="A972" s="261">
        <v>45352</v>
      </c>
      <c r="B972" s="262">
        <v>22338.75</v>
      </c>
      <c r="C972" s="262">
        <v>3884.14990234375</v>
      </c>
      <c r="D972" s="259"/>
      <c r="E972" s="263">
        <f t="shared" si="30"/>
        <v>1.6192168700068607E-2</v>
      </c>
      <c r="F972" s="263">
        <f t="shared" si="31"/>
        <v>-8.8672844078557106E-3</v>
      </c>
      <c r="G972" s="259"/>
      <c r="H972" s="259"/>
    </row>
    <row r="973" spans="1:8" ht="14.25" customHeight="1" x14ac:dyDescent="0.3">
      <c r="A973" s="261">
        <v>45355</v>
      </c>
      <c r="B973" s="262">
        <v>22405.599609375</v>
      </c>
      <c r="C973" s="262">
        <v>3846.35009765625</v>
      </c>
      <c r="D973" s="259"/>
      <c r="E973" s="263">
        <f t="shared" si="30"/>
        <v>2.9925402887359411E-3</v>
      </c>
      <c r="F973" s="263">
        <f t="shared" si="31"/>
        <v>-9.7318089254719731E-3</v>
      </c>
      <c r="G973" s="259"/>
      <c r="H973" s="259"/>
    </row>
    <row r="974" spans="1:8" ht="14.25" customHeight="1" x14ac:dyDescent="0.3">
      <c r="A974" s="261">
        <v>45356</v>
      </c>
      <c r="B974" s="262">
        <v>22356.30078125</v>
      </c>
      <c r="C974" s="262">
        <v>3834.5</v>
      </c>
      <c r="D974" s="259"/>
      <c r="E974" s="263">
        <f t="shared" si="30"/>
        <v>-2.2002905070379049E-3</v>
      </c>
      <c r="F974" s="263">
        <f t="shared" si="31"/>
        <v>-3.080868188122237E-3</v>
      </c>
      <c r="G974" s="259"/>
      <c r="H974" s="259"/>
    </row>
    <row r="975" spans="1:8" ht="14.25" customHeight="1" x14ac:dyDescent="0.3">
      <c r="A975" s="261">
        <v>45357</v>
      </c>
      <c r="B975" s="262">
        <v>22474.05078125</v>
      </c>
      <c r="C975" s="262">
        <v>3888.64990234375</v>
      </c>
      <c r="D975" s="259"/>
      <c r="E975" s="263">
        <f t="shared" si="30"/>
        <v>5.2669715420341689E-3</v>
      </c>
      <c r="F975" s="263">
        <f t="shared" si="31"/>
        <v>1.4121763552940409E-2</v>
      </c>
      <c r="G975" s="259"/>
      <c r="H975" s="259"/>
    </row>
    <row r="976" spans="1:8" ht="14.25" customHeight="1" x14ac:dyDescent="0.3">
      <c r="A976" s="261">
        <v>45358</v>
      </c>
      <c r="B976" s="262">
        <v>22493.55078125</v>
      </c>
      <c r="C976" s="262">
        <v>3925.94995117188</v>
      </c>
      <c r="D976" s="259"/>
      <c r="E976" s="263">
        <f t="shared" si="30"/>
        <v>8.6766734621195941E-4</v>
      </c>
      <c r="F976" s="263">
        <f t="shared" si="31"/>
        <v>9.5920305928411508E-3</v>
      </c>
      <c r="G976" s="259"/>
      <c r="H976" s="259"/>
    </row>
    <row r="977" spans="1:8" ht="14.25" customHeight="1" x14ac:dyDescent="0.3">
      <c r="A977" s="261">
        <v>45362</v>
      </c>
      <c r="B977" s="262">
        <v>22332.650390625</v>
      </c>
      <c r="C977" s="262">
        <v>3979.64990234375</v>
      </c>
      <c r="D977" s="259"/>
      <c r="E977" s="263">
        <f t="shared" si="30"/>
        <v>-7.1531788017711326E-3</v>
      </c>
      <c r="F977" s="263">
        <f t="shared" si="31"/>
        <v>1.3678205743769297E-2</v>
      </c>
      <c r="G977" s="259"/>
      <c r="H977" s="259"/>
    </row>
    <row r="978" spans="1:8" ht="14.25" customHeight="1" x14ac:dyDescent="0.3">
      <c r="A978" s="261">
        <v>45363</v>
      </c>
      <c r="B978" s="262">
        <v>22335.69921875</v>
      </c>
      <c r="C978" s="262">
        <v>4031.69995117188</v>
      </c>
      <c r="D978" s="259"/>
      <c r="E978" s="263">
        <f t="shared" si="30"/>
        <v>1.3651886684617893E-4</v>
      </c>
      <c r="F978" s="263">
        <f t="shared" si="31"/>
        <v>1.3079052204435363E-2</v>
      </c>
      <c r="G978" s="259"/>
      <c r="H978" s="259"/>
    </row>
    <row r="979" spans="1:8" ht="14.25" customHeight="1" x14ac:dyDescent="0.3">
      <c r="A979" s="261">
        <v>45364</v>
      </c>
      <c r="B979" s="262">
        <v>21997.69921875</v>
      </c>
      <c r="C979" s="262">
        <v>3967.80004882813</v>
      </c>
      <c r="D979" s="259"/>
      <c r="E979" s="263">
        <f t="shared" si="30"/>
        <v>-1.5132725270416491E-2</v>
      </c>
      <c r="F979" s="263">
        <f t="shared" si="31"/>
        <v>-1.5849369525918325E-2</v>
      </c>
      <c r="G979" s="259"/>
      <c r="H979" s="259"/>
    </row>
    <row r="980" spans="1:8" ht="14.25" customHeight="1" x14ac:dyDescent="0.3">
      <c r="A980" s="261">
        <v>45365</v>
      </c>
      <c r="B980" s="262">
        <v>22146.650390625</v>
      </c>
      <c r="C980" s="262">
        <v>4019.25</v>
      </c>
      <c r="D980" s="259"/>
      <c r="E980" s="263">
        <f t="shared" si="30"/>
        <v>6.7712159528047237E-3</v>
      </c>
      <c r="F980" s="263">
        <f t="shared" si="31"/>
        <v>1.2966870945794127E-2</v>
      </c>
      <c r="G980" s="259"/>
      <c r="H980" s="259"/>
    </row>
    <row r="981" spans="1:8" ht="14.25" customHeight="1" x14ac:dyDescent="0.3">
      <c r="A981" s="261">
        <v>45366</v>
      </c>
      <c r="B981" s="262">
        <v>22023.349609375</v>
      </c>
      <c r="C981" s="262">
        <v>3932.10009765625</v>
      </c>
      <c r="D981" s="259"/>
      <c r="E981" s="263">
        <f t="shared" si="30"/>
        <v>-5.5674686273186943E-3</v>
      </c>
      <c r="F981" s="263">
        <f t="shared" si="31"/>
        <v>-2.168312554425577E-2</v>
      </c>
      <c r="G981" s="259"/>
      <c r="H981" s="259"/>
    </row>
    <row r="982" spans="1:8" ht="14.25" customHeight="1" x14ac:dyDescent="0.3">
      <c r="A982" s="261">
        <v>45369</v>
      </c>
      <c r="B982" s="262">
        <v>22055.69921875</v>
      </c>
      <c r="C982" s="262">
        <v>4010.55004882813</v>
      </c>
      <c r="D982" s="259"/>
      <c r="E982" s="263">
        <f t="shared" si="30"/>
        <v>1.4688778023679591E-3</v>
      </c>
      <c r="F982" s="263">
        <f t="shared" si="31"/>
        <v>1.99511582166081E-2</v>
      </c>
      <c r="G982" s="259"/>
      <c r="H982" s="259"/>
    </row>
    <row r="983" spans="1:8" ht="14.25" customHeight="1" x14ac:dyDescent="0.3">
      <c r="A983" s="261">
        <v>45370</v>
      </c>
      <c r="B983" s="262">
        <v>21817.44921875</v>
      </c>
      <c r="C983" s="262">
        <v>4014.10009765625</v>
      </c>
      <c r="D983" s="259"/>
      <c r="E983" s="263">
        <f t="shared" si="30"/>
        <v>-1.080219664028873E-2</v>
      </c>
      <c r="F983" s="263">
        <f t="shared" si="31"/>
        <v>8.8517754046164084E-4</v>
      </c>
      <c r="G983" s="259"/>
      <c r="H983" s="259"/>
    </row>
    <row r="984" spans="1:8" ht="14.25" customHeight="1" x14ac:dyDescent="0.3">
      <c r="A984" s="261">
        <v>45371</v>
      </c>
      <c r="B984" s="262">
        <v>21839.099609375</v>
      </c>
      <c r="C984" s="262">
        <v>4056.35009765625</v>
      </c>
      <c r="D984" s="259"/>
      <c r="E984" s="263">
        <f t="shared" si="30"/>
        <v>9.9234289068006964E-4</v>
      </c>
      <c r="F984" s="263">
        <f t="shared" si="31"/>
        <v>1.0525397716083089E-2</v>
      </c>
      <c r="G984" s="259"/>
      <c r="H984" s="259"/>
    </row>
    <row r="985" spans="1:8" ht="14.25" customHeight="1" x14ac:dyDescent="0.3">
      <c r="A985" s="261">
        <v>45372</v>
      </c>
      <c r="B985" s="262">
        <v>22011.94921875</v>
      </c>
      <c r="C985" s="262">
        <v>4163.10009765625</v>
      </c>
      <c r="D985" s="259"/>
      <c r="E985" s="263">
        <f t="shared" si="30"/>
        <v>7.9146856998078725E-3</v>
      </c>
      <c r="F985" s="263">
        <f t="shared" si="31"/>
        <v>2.6316761973203425E-2</v>
      </c>
      <c r="G985" s="259"/>
      <c r="H985" s="259"/>
    </row>
    <row r="986" spans="1:8" ht="14.25" customHeight="1" x14ac:dyDescent="0.3">
      <c r="A986" s="261">
        <v>45373</v>
      </c>
      <c r="B986" s="262">
        <v>22096.75</v>
      </c>
      <c r="C986" s="262">
        <v>4297.60009765625</v>
      </c>
      <c r="D986" s="259"/>
      <c r="E986" s="263">
        <f t="shared" si="30"/>
        <v>3.8524885010077091E-3</v>
      </c>
      <c r="F986" s="263">
        <f t="shared" si="31"/>
        <v>3.2307654595122769E-2</v>
      </c>
      <c r="G986" s="259"/>
      <c r="H986" s="259"/>
    </row>
    <row r="987" spans="1:8" ht="14.25" customHeight="1" x14ac:dyDescent="0.3">
      <c r="A987" s="261">
        <v>45377</v>
      </c>
      <c r="B987" s="262">
        <v>22004.69921875</v>
      </c>
      <c r="C987" s="262">
        <v>4486.2001953125</v>
      </c>
      <c r="D987" s="259"/>
      <c r="E987" s="263">
        <f t="shared" si="30"/>
        <v>-4.1658063402989125E-3</v>
      </c>
      <c r="F987" s="263">
        <f t="shared" si="31"/>
        <v>4.3884980773130897E-2</v>
      </c>
      <c r="G987" s="259"/>
      <c r="H987" s="259"/>
    </row>
    <row r="988" spans="1:8" ht="14.25" customHeight="1" x14ac:dyDescent="0.3">
      <c r="A988" s="261">
        <v>45378</v>
      </c>
      <c r="B988" s="262">
        <v>22123.650390625</v>
      </c>
      <c r="C988" s="262">
        <v>4420.5498046875</v>
      </c>
      <c r="D988" s="259"/>
      <c r="E988" s="263">
        <f t="shared" si="30"/>
        <v>5.40571678315161E-3</v>
      </c>
      <c r="F988" s="263">
        <f t="shared" si="31"/>
        <v>-1.4633852206059859E-2</v>
      </c>
      <c r="G988" s="259"/>
      <c r="H988" s="259"/>
    </row>
    <row r="989" spans="1:8" ht="14.25" customHeight="1" x14ac:dyDescent="0.3">
      <c r="A989" s="261">
        <v>45379</v>
      </c>
      <c r="B989" s="262">
        <v>22326.900390625</v>
      </c>
      <c r="C989" s="262">
        <v>4525.60009765625</v>
      </c>
      <c r="D989" s="259"/>
      <c r="E989" s="263">
        <f t="shared" si="30"/>
        <v>9.1870010785438973E-3</v>
      </c>
      <c r="F989" s="263">
        <f t="shared" si="31"/>
        <v>2.3764078589807062E-2</v>
      </c>
      <c r="G989" s="259"/>
      <c r="H989" s="259"/>
    </row>
    <row r="990" spans="1:8" ht="14.25" customHeight="1" x14ac:dyDescent="0.3">
      <c r="A990" s="261">
        <v>45383</v>
      </c>
      <c r="B990" s="262">
        <v>22462</v>
      </c>
      <c r="C990" s="262">
        <v>4483.2998046875</v>
      </c>
      <c r="D990" s="259"/>
      <c r="E990" s="263">
        <f t="shared" si="30"/>
        <v>6.0509791780917303E-3</v>
      </c>
      <c r="F990" s="263">
        <f t="shared" si="31"/>
        <v>-9.346891474272501E-3</v>
      </c>
      <c r="G990" s="259"/>
      <c r="H990" s="259"/>
    </row>
    <row r="991" spans="1:8" ht="14.25" customHeight="1" x14ac:dyDescent="0.3">
      <c r="A991" s="261">
        <v>45384</v>
      </c>
      <c r="B991" s="262">
        <v>22453.30078125</v>
      </c>
      <c r="C991" s="262">
        <v>4411.85009765625</v>
      </c>
      <c r="D991" s="259"/>
      <c r="E991" s="263">
        <f t="shared" si="30"/>
        <v>-3.872860275131333E-4</v>
      </c>
      <c r="F991" s="263">
        <f t="shared" si="31"/>
        <v>-1.593685681170507E-2</v>
      </c>
      <c r="G991" s="259"/>
      <c r="H991" s="259"/>
    </row>
    <row r="992" spans="1:8" ht="14.25" customHeight="1" x14ac:dyDescent="0.3">
      <c r="A992" s="261">
        <v>45385</v>
      </c>
      <c r="B992" s="262">
        <v>22434.650390625</v>
      </c>
      <c r="C992" s="262">
        <v>4460.89990234375</v>
      </c>
      <c r="D992" s="259"/>
      <c r="E992" s="263">
        <f t="shared" si="30"/>
        <v>-8.3063024036868183E-4</v>
      </c>
      <c r="F992" s="263">
        <f t="shared" si="31"/>
        <v>1.1117740540087073E-2</v>
      </c>
      <c r="G992" s="259"/>
      <c r="H992" s="259"/>
    </row>
    <row r="993" spans="1:8" ht="14.25" customHeight="1" x14ac:dyDescent="0.3">
      <c r="A993" s="261">
        <v>45386</v>
      </c>
      <c r="B993" s="262">
        <v>22514.650390625</v>
      </c>
      <c r="C993" s="262">
        <v>4645.0498046875</v>
      </c>
      <c r="D993" s="259"/>
      <c r="E993" s="263">
        <f t="shared" si="30"/>
        <v>3.5659124883635554E-3</v>
      </c>
      <c r="F993" s="263">
        <f t="shared" si="31"/>
        <v>4.1280886452304821E-2</v>
      </c>
      <c r="G993" s="259"/>
      <c r="H993" s="259"/>
    </row>
    <row r="994" spans="1:8" ht="14.25" customHeight="1" x14ac:dyDescent="0.3">
      <c r="A994" s="261">
        <v>45387</v>
      </c>
      <c r="B994" s="262">
        <v>22513.69921875</v>
      </c>
      <c r="C994" s="262">
        <v>4619.25</v>
      </c>
      <c r="D994" s="259"/>
      <c r="E994" s="263">
        <f t="shared" si="30"/>
        <v>-4.2246797462867275E-5</v>
      </c>
      <c r="F994" s="263">
        <f t="shared" si="31"/>
        <v>-5.5542579245252471E-3</v>
      </c>
      <c r="G994" s="259"/>
      <c r="H994" s="259"/>
    </row>
    <row r="995" spans="1:8" ht="14.25" customHeight="1" x14ac:dyDescent="0.3">
      <c r="A995" s="261">
        <v>45390</v>
      </c>
      <c r="B995" s="262">
        <v>22666.30078125</v>
      </c>
      <c r="C995" s="262">
        <v>4672.7998046875</v>
      </c>
      <c r="D995" s="259"/>
      <c r="E995" s="263">
        <f t="shared" si="30"/>
        <v>6.7781647528145621E-3</v>
      </c>
      <c r="F995" s="263">
        <f t="shared" si="31"/>
        <v>1.1592748755209178E-2</v>
      </c>
      <c r="G995" s="259"/>
      <c r="H995" s="259"/>
    </row>
    <row r="996" spans="1:8" ht="14.25" customHeight="1" x14ac:dyDescent="0.3">
      <c r="A996" s="261">
        <v>45391</v>
      </c>
      <c r="B996" s="262">
        <v>22642.75</v>
      </c>
      <c r="C996" s="262">
        <v>4716.14990234375</v>
      </c>
      <c r="D996" s="259"/>
      <c r="E996" s="263">
        <f t="shared" si="30"/>
        <v>-1.0390218270412109E-3</v>
      </c>
      <c r="F996" s="263">
        <f t="shared" si="31"/>
        <v>9.2771142501682884E-3</v>
      </c>
      <c r="G996" s="259"/>
      <c r="H996" s="259"/>
    </row>
    <row r="997" spans="1:8" ht="14.25" customHeight="1" x14ac:dyDescent="0.3">
      <c r="A997" s="261">
        <v>45392</v>
      </c>
      <c r="B997" s="262">
        <v>22753.80078125</v>
      </c>
      <c r="C997" s="262">
        <v>4754</v>
      </c>
      <c r="D997" s="259"/>
      <c r="E997" s="263">
        <f t="shared" si="30"/>
        <v>4.9044741142308243E-3</v>
      </c>
      <c r="F997" s="263">
        <f t="shared" si="31"/>
        <v>8.0256349861652868E-3</v>
      </c>
      <c r="G997" s="259"/>
      <c r="H997" s="259"/>
    </row>
    <row r="998" spans="1:8" ht="14.25" customHeight="1" x14ac:dyDescent="0.3">
      <c r="A998" s="261">
        <v>45394</v>
      </c>
      <c r="B998" s="262">
        <v>22519.400390625</v>
      </c>
      <c r="C998" s="262">
        <v>4765.0498046875</v>
      </c>
      <c r="D998" s="259"/>
      <c r="E998" s="263">
        <f t="shared" si="30"/>
        <v>-1.0301592814249954E-2</v>
      </c>
      <c r="F998" s="263">
        <f t="shared" si="31"/>
        <v>2.3243173511779554E-3</v>
      </c>
      <c r="G998" s="259"/>
      <c r="H998" s="259"/>
    </row>
    <row r="999" spans="1:8" ht="14.25" customHeight="1" x14ac:dyDescent="0.3">
      <c r="A999" s="261">
        <v>45397</v>
      </c>
      <c r="B999" s="262">
        <v>22272.5</v>
      </c>
      <c r="C999" s="262">
        <v>4686.7998046875</v>
      </c>
      <c r="D999" s="259"/>
      <c r="E999" s="263">
        <f t="shared" si="30"/>
        <v>-1.0963897188301094E-2</v>
      </c>
      <c r="F999" s="263">
        <f t="shared" si="31"/>
        <v>-1.6421654170964486E-2</v>
      </c>
      <c r="G999" s="259"/>
      <c r="H999" s="259"/>
    </row>
    <row r="1000" spans="1:8" ht="14.25" customHeight="1" x14ac:dyDescent="0.3">
      <c r="A1000" s="261">
        <v>45398</v>
      </c>
      <c r="B1000" s="262">
        <v>22147.900390625</v>
      </c>
      <c r="C1000" s="262">
        <v>4644.2998046875</v>
      </c>
      <c r="D1000" s="259"/>
      <c r="E1000" s="263">
        <f t="shared" si="30"/>
        <v>-5.5943252609720511E-3</v>
      </c>
      <c r="F1000" s="263">
        <f t="shared" si="31"/>
        <v>-9.0680212023337651E-3</v>
      </c>
      <c r="G1000" s="259"/>
      <c r="H1000" s="259"/>
    </row>
    <row r="1001" spans="1:8" ht="14.25" customHeight="1" x14ac:dyDescent="0.3">
      <c r="A1001" s="261">
        <v>45400</v>
      </c>
      <c r="B1001" s="262">
        <v>21995.849609375</v>
      </c>
      <c r="C1001" s="262">
        <v>4627.10009765625</v>
      </c>
      <c r="D1001" s="259"/>
      <c r="E1001" s="263">
        <f t="shared" si="30"/>
        <v>-6.8652458503182393E-3</v>
      </c>
      <c r="F1001" s="263">
        <f t="shared" si="31"/>
        <v>-3.7034015361993439E-3</v>
      </c>
      <c r="G1001" s="259"/>
      <c r="H1001" s="259"/>
    </row>
    <row r="1002" spans="1:8" ht="14.25" customHeight="1" x14ac:dyDescent="0.3">
      <c r="A1002" s="261">
        <v>45401</v>
      </c>
      <c r="B1002" s="262">
        <v>22147</v>
      </c>
      <c r="C1002" s="262">
        <v>4696</v>
      </c>
      <c r="D1002" s="259"/>
      <c r="E1002" s="263">
        <f t="shared" si="30"/>
        <v>6.8717686886064708E-3</v>
      </c>
      <c r="F1002" s="263">
        <f t="shared" si="31"/>
        <v>1.4890514769423217E-2</v>
      </c>
      <c r="G1002" s="259"/>
      <c r="H1002" s="259"/>
    </row>
    <row r="1003" spans="1:8" ht="14.25" customHeight="1" x14ac:dyDescent="0.3">
      <c r="A1003" s="261">
        <v>45404</v>
      </c>
      <c r="B1003" s="262">
        <v>22336.400390625</v>
      </c>
      <c r="C1003" s="262">
        <v>4758</v>
      </c>
      <c r="D1003" s="259"/>
      <c r="E1003" s="263">
        <f t="shared" si="30"/>
        <v>8.5519659829773782E-3</v>
      </c>
      <c r="F1003" s="263">
        <f t="shared" si="31"/>
        <v>1.3202725724020443E-2</v>
      </c>
      <c r="G1003" s="259"/>
      <c r="H1003" s="259"/>
    </row>
    <row r="1004" spans="1:8" ht="14.25" customHeight="1" x14ac:dyDescent="0.3">
      <c r="A1004" s="261">
        <v>45405</v>
      </c>
      <c r="B1004" s="262">
        <v>22368</v>
      </c>
      <c r="C1004" s="262">
        <v>4800.5498046875</v>
      </c>
      <c r="D1004" s="259"/>
      <c r="E1004" s="263">
        <f t="shared" si="30"/>
        <v>1.4147135985377009E-3</v>
      </c>
      <c r="F1004" s="263">
        <f t="shared" si="31"/>
        <v>8.9427920738755773E-3</v>
      </c>
      <c r="G1004" s="259"/>
      <c r="H1004" s="259"/>
    </row>
    <row r="1005" spans="1:8" ht="14.25" customHeight="1" x14ac:dyDescent="0.3">
      <c r="A1005" s="261">
        <v>45406</v>
      </c>
      <c r="B1005" s="262">
        <v>22402.400390625</v>
      </c>
      <c r="C1005" s="262">
        <v>4797.5498046875</v>
      </c>
      <c r="D1005" s="259"/>
      <c r="E1005" s="263">
        <f t="shared" si="30"/>
        <v>1.5379287654238199E-3</v>
      </c>
      <c r="F1005" s="263">
        <f t="shared" si="31"/>
        <v>-6.2492841904705331E-4</v>
      </c>
      <c r="G1005" s="259"/>
      <c r="H1005" s="259"/>
    </row>
    <row r="1006" spans="1:8" ht="14.25" customHeight="1" x14ac:dyDescent="0.3">
      <c r="A1006" s="261">
        <v>45407</v>
      </c>
      <c r="B1006" s="262">
        <v>22570.349609375</v>
      </c>
      <c r="C1006" s="262">
        <v>4657.10009765625</v>
      </c>
      <c r="D1006" s="259"/>
      <c r="E1006" s="263">
        <f t="shared" si="30"/>
        <v>7.4969296067167743E-3</v>
      </c>
      <c r="F1006" s="263">
        <f t="shared" si="31"/>
        <v>-2.9275299423472796E-2</v>
      </c>
      <c r="G1006" s="259"/>
      <c r="H1006" s="259"/>
    </row>
    <row r="1007" spans="1:8" ht="14.25" customHeight="1" x14ac:dyDescent="0.3">
      <c r="A1007" s="261">
        <v>45408</v>
      </c>
      <c r="B1007" s="262">
        <v>22419.94921875</v>
      </c>
      <c r="C1007" s="262">
        <v>4553.14990234375</v>
      </c>
      <c r="D1007" s="259"/>
      <c r="E1007" s="263">
        <f t="shared" si="30"/>
        <v>-6.6636269808832953E-3</v>
      </c>
      <c r="F1007" s="263">
        <f t="shared" si="31"/>
        <v>-2.2320799023584307E-2</v>
      </c>
      <c r="G1007" s="259"/>
      <c r="H1007" s="259"/>
    </row>
    <row r="1008" spans="1:8" ht="14.25" customHeight="1" x14ac:dyDescent="0.3">
      <c r="A1008" s="261">
        <v>45411</v>
      </c>
      <c r="B1008" s="262">
        <v>22643.400390625</v>
      </c>
      <c r="C1008" s="262">
        <v>4483.7998046875</v>
      </c>
      <c r="D1008" s="259"/>
      <c r="E1008" s="263">
        <f t="shared" si="30"/>
        <v>9.9666225688025117E-3</v>
      </c>
      <c r="F1008" s="263">
        <f t="shared" si="31"/>
        <v>-1.5231235330194551E-2</v>
      </c>
      <c r="G1008" s="259"/>
      <c r="H1008" s="259"/>
    </row>
    <row r="1009" spans="1:8" ht="14.25" customHeight="1" x14ac:dyDescent="0.3">
      <c r="A1009" s="261">
        <v>45412</v>
      </c>
      <c r="B1009" s="262">
        <v>22604.849609375</v>
      </c>
      <c r="C1009" s="262">
        <v>4603.7998046875</v>
      </c>
      <c r="D1009" s="259"/>
      <c r="E1009" s="263">
        <f t="shared" si="30"/>
        <v>-1.7025173156396201E-3</v>
      </c>
      <c r="F1009" s="263">
        <f t="shared" si="31"/>
        <v>2.6763014681107835E-2</v>
      </c>
      <c r="G1009" s="259"/>
      <c r="H1009" s="259"/>
    </row>
    <row r="1010" spans="1:8" ht="14.25" customHeight="1" x14ac:dyDescent="0.3">
      <c r="A1010" s="261">
        <v>45414</v>
      </c>
      <c r="B1010" s="262">
        <v>22648.19921875</v>
      </c>
      <c r="C1010" s="262">
        <v>4605.0498046875</v>
      </c>
      <c r="D1010" s="259"/>
      <c r="E1010" s="263">
        <f t="shared" si="30"/>
        <v>1.9177127972141625E-3</v>
      </c>
      <c r="F1010" s="263">
        <f t="shared" si="31"/>
        <v>2.7151484708941385E-4</v>
      </c>
      <c r="G1010" s="259"/>
      <c r="H1010" s="259"/>
    </row>
    <row r="1011" spans="1:8" ht="14.25" customHeight="1" x14ac:dyDescent="0.3">
      <c r="A1011" s="261">
        <v>45415</v>
      </c>
      <c r="B1011" s="262">
        <v>22475.849609375</v>
      </c>
      <c r="C1011" s="262">
        <v>4612.35009765625</v>
      </c>
      <c r="D1011" s="259"/>
      <c r="E1011" s="263">
        <f t="shared" si="30"/>
        <v>-7.6098592965534824E-3</v>
      </c>
      <c r="F1011" s="263">
        <f t="shared" si="31"/>
        <v>1.5852799162604063E-3</v>
      </c>
      <c r="G1011" s="259"/>
      <c r="H1011" s="259"/>
    </row>
    <row r="1012" spans="1:8" ht="14.25" customHeight="1" x14ac:dyDescent="0.3">
      <c r="A1012" s="261">
        <v>45418</v>
      </c>
      <c r="B1012" s="262">
        <v>22442.69921875</v>
      </c>
      <c r="C1012" s="262">
        <v>4600.60009765625</v>
      </c>
      <c r="D1012" s="259"/>
      <c r="E1012" s="263">
        <f t="shared" si="30"/>
        <v>-1.4749338156797639E-3</v>
      </c>
      <c r="F1012" s="263">
        <f t="shared" si="31"/>
        <v>-2.5475082661159487E-3</v>
      </c>
      <c r="G1012" s="259"/>
      <c r="H1012" s="259"/>
    </row>
    <row r="1013" spans="1:8" ht="14.25" customHeight="1" x14ac:dyDescent="0.3">
      <c r="A1013" s="261">
        <v>45419</v>
      </c>
      <c r="B1013" s="262">
        <v>22302.5</v>
      </c>
      <c r="C1013" s="262">
        <v>4660.4501953125</v>
      </c>
      <c r="D1013" s="259"/>
      <c r="E1013" s="263">
        <f t="shared" si="30"/>
        <v>-6.2469855957820357E-3</v>
      </c>
      <c r="F1013" s="263">
        <f t="shared" si="31"/>
        <v>1.3009193667308815E-2</v>
      </c>
      <c r="G1013" s="259"/>
      <c r="H1013" s="259"/>
    </row>
    <row r="1014" spans="1:8" ht="14.25" customHeight="1" x14ac:dyDescent="0.3">
      <c r="A1014" s="261">
        <v>45420</v>
      </c>
      <c r="B1014" s="262">
        <v>22302.5</v>
      </c>
      <c r="C1014" s="262">
        <v>4806.75</v>
      </c>
      <c r="D1014" s="259"/>
      <c r="E1014" s="263">
        <f t="shared" si="30"/>
        <v>0</v>
      </c>
      <c r="F1014" s="263">
        <f t="shared" si="31"/>
        <v>3.1391775162547375E-2</v>
      </c>
      <c r="G1014" s="259"/>
      <c r="H1014" s="259"/>
    </row>
    <row r="1015" spans="1:8" ht="14.25" customHeight="1" x14ac:dyDescent="0.3">
      <c r="A1015" s="261">
        <v>45421</v>
      </c>
      <c r="B1015" s="262">
        <v>21957.5</v>
      </c>
      <c r="C1015" s="262">
        <v>4798.64990234375</v>
      </c>
      <c r="D1015" s="259"/>
      <c r="E1015" s="263">
        <f t="shared" si="30"/>
        <v>-1.5469117811904494E-2</v>
      </c>
      <c r="F1015" s="263">
        <f t="shared" si="31"/>
        <v>-1.6851506020179956E-3</v>
      </c>
      <c r="G1015" s="259"/>
      <c r="H1015" s="259"/>
    </row>
    <row r="1016" spans="1:8" ht="14.25" customHeight="1" x14ac:dyDescent="0.3">
      <c r="A1016" s="261">
        <v>45422</v>
      </c>
      <c r="B1016" s="262">
        <v>22055.19921875</v>
      </c>
      <c r="C1016" s="262">
        <v>4796.7998046875</v>
      </c>
      <c r="D1016" s="259"/>
      <c r="E1016" s="263">
        <f t="shared" si="30"/>
        <v>4.4494691449390869E-3</v>
      </c>
      <c r="F1016" s="263">
        <f t="shared" si="31"/>
        <v>-3.8554545422169221E-4</v>
      </c>
      <c r="G1016" s="259"/>
      <c r="H1016" s="259"/>
    </row>
    <row r="1017" spans="1:8" ht="14.25" customHeight="1" x14ac:dyDescent="0.3">
      <c r="A1017" s="261">
        <v>45425</v>
      </c>
      <c r="B1017" s="262">
        <v>22104.05078125</v>
      </c>
      <c r="C1017" s="262">
        <v>4693.7001953125</v>
      </c>
      <c r="D1017" s="259"/>
      <c r="E1017" s="263">
        <f t="shared" si="30"/>
        <v>2.214968090538459E-3</v>
      </c>
      <c r="F1017" s="263">
        <f t="shared" si="31"/>
        <v>-2.1493415104430588E-2</v>
      </c>
      <c r="G1017" s="259"/>
      <c r="H1017" s="259"/>
    </row>
    <row r="1018" spans="1:8" ht="14.25" customHeight="1" x14ac:dyDescent="0.3">
      <c r="A1018" s="261">
        <v>45426</v>
      </c>
      <c r="B1018" s="262">
        <v>22217.849609375</v>
      </c>
      <c r="C1018" s="262">
        <v>4597.0498046875</v>
      </c>
      <c r="D1018" s="259"/>
      <c r="E1018" s="263">
        <f t="shared" si="30"/>
        <v>5.1483245877054842E-3</v>
      </c>
      <c r="F1018" s="263">
        <f t="shared" si="31"/>
        <v>-2.0591513433585451E-2</v>
      </c>
      <c r="G1018" s="259"/>
      <c r="H1018" s="259"/>
    </row>
    <row r="1019" spans="1:8" ht="14.25" customHeight="1" x14ac:dyDescent="0.3">
      <c r="A1019" s="261">
        <v>45427</v>
      </c>
      <c r="B1019" s="262">
        <v>22200.55078125</v>
      </c>
      <c r="C1019" s="262">
        <v>4652.4501953125</v>
      </c>
      <c r="D1019" s="259"/>
      <c r="E1019" s="263">
        <f t="shared" si="30"/>
        <v>-7.7860046895360301E-4</v>
      </c>
      <c r="F1019" s="263">
        <f t="shared" si="31"/>
        <v>1.2051292237145128E-2</v>
      </c>
      <c r="G1019" s="259"/>
      <c r="H1019" s="259"/>
    </row>
    <row r="1020" spans="1:8" ht="14.25" customHeight="1" x14ac:dyDescent="0.3">
      <c r="A1020" s="261">
        <v>45428</v>
      </c>
      <c r="B1020" s="262">
        <v>22403.849609375</v>
      </c>
      <c r="C1020" s="262">
        <v>4671.25</v>
      </c>
      <c r="D1020" s="259"/>
      <c r="E1020" s="263">
        <f t="shared" si="30"/>
        <v>9.1573776762647191E-3</v>
      </c>
      <c r="F1020" s="263">
        <f t="shared" si="31"/>
        <v>4.0408395357872792E-3</v>
      </c>
      <c r="G1020" s="259"/>
      <c r="H1020" s="259"/>
    </row>
    <row r="1021" spans="1:8" ht="14.25" customHeight="1" x14ac:dyDescent="0.3">
      <c r="A1021" s="261">
        <v>45429</v>
      </c>
      <c r="B1021" s="262">
        <v>22466.099609375</v>
      </c>
      <c r="C1021" s="262">
        <v>4682.89990234375</v>
      </c>
      <c r="D1021" s="259"/>
      <c r="E1021" s="263">
        <f t="shared" si="30"/>
        <v>2.7785403439751347E-3</v>
      </c>
      <c r="F1021" s="263">
        <f t="shared" si="31"/>
        <v>2.4939582218356971E-3</v>
      </c>
      <c r="G1021" s="259"/>
      <c r="H1021" s="259"/>
    </row>
    <row r="1022" spans="1:8" ht="14.25" customHeight="1" x14ac:dyDescent="0.3">
      <c r="A1022" s="261">
        <v>45433</v>
      </c>
      <c r="B1022" s="262">
        <v>22529.05078125</v>
      </c>
      <c r="C1022" s="262">
        <v>4705.89990234375</v>
      </c>
      <c r="D1022" s="259"/>
      <c r="E1022" s="263">
        <f t="shared" si="30"/>
        <v>2.8020516676036979E-3</v>
      </c>
      <c r="F1022" s="263">
        <f t="shared" si="31"/>
        <v>4.9114865744810613E-3</v>
      </c>
      <c r="G1022" s="259"/>
      <c r="H1022" s="259"/>
    </row>
    <row r="1023" spans="1:8" ht="14.25" customHeight="1" x14ac:dyDescent="0.3">
      <c r="A1023" s="261">
        <v>45434</v>
      </c>
      <c r="B1023" s="262">
        <v>22597.80078125</v>
      </c>
      <c r="C1023" s="262">
        <v>4798.7998046875</v>
      </c>
      <c r="D1023" s="259"/>
      <c r="E1023" s="263">
        <f t="shared" si="30"/>
        <v>3.051615474950138E-3</v>
      </c>
      <c r="F1023" s="263">
        <f t="shared" si="31"/>
        <v>1.9741155628380806E-2</v>
      </c>
      <c r="G1023" s="259"/>
      <c r="H1023" s="259"/>
    </row>
    <row r="1024" spans="1:8" ht="14.25" customHeight="1" x14ac:dyDescent="0.3">
      <c r="A1024" s="261">
        <v>45435</v>
      </c>
      <c r="B1024" s="262">
        <v>22967.650390625</v>
      </c>
      <c r="C1024" s="262">
        <v>4793.5498046875</v>
      </c>
      <c r="D1024" s="259"/>
      <c r="E1024" s="263">
        <f t="shared" si="30"/>
        <v>1.6366619608483058E-2</v>
      </c>
      <c r="F1024" s="263">
        <f t="shared" si="31"/>
        <v>-1.094023550403533E-3</v>
      </c>
      <c r="G1024" s="259"/>
      <c r="H1024" s="259"/>
    </row>
    <row r="1025" spans="1:8" ht="14.25" customHeight="1" x14ac:dyDescent="0.3">
      <c r="A1025" s="261">
        <v>45436</v>
      </c>
      <c r="B1025" s="262">
        <v>22957.099609375</v>
      </c>
      <c r="C1025" s="262">
        <v>4684.5</v>
      </c>
      <c r="D1025" s="259"/>
      <c r="E1025" s="263">
        <f t="shared" si="30"/>
        <v>-4.5937573371922485E-4</v>
      </c>
      <c r="F1025" s="263">
        <f t="shared" si="31"/>
        <v>-2.2749279580002016E-2</v>
      </c>
      <c r="G1025" s="259"/>
      <c r="H1025" s="259"/>
    </row>
    <row r="1026" spans="1:8" ht="14.25" customHeight="1" x14ac:dyDescent="0.3">
      <c r="A1026" s="261">
        <v>45439</v>
      </c>
      <c r="B1026" s="262">
        <v>22932.44921875</v>
      </c>
      <c r="C1026" s="262">
        <v>4537.35009765625</v>
      </c>
      <c r="D1026" s="259"/>
      <c r="E1026" s="263">
        <f t="shared" si="30"/>
        <v>-1.0737589261900274E-3</v>
      </c>
      <c r="F1026" s="263">
        <f t="shared" si="31"/>
        <v>-3.1412082899722492E-2</v>
      </c>
      <c r="G1026" s="259"/>
      <c r="H1026" s="259"/>
    </row>
    <row r="1027" spans="1:8" ht="14.25" customHeight="1" x14ac:dyDescent="0.3">
      <c r="A1027" s="261">
        <v>45440</v>
      </c>
      <c r="B1027" s="262">
        <v>22888.150390625</v>
      </c>
      <c r="C1027" s="262">
        <v>4474.4501953125</v>
      </c>
      <c r="D1027" s="259"/>
      <c r="E1027" s="263">
        <f t="shared" ref="E1027:E1090" si="32">(B1027-B1026)/B1026</f>
        <v>-1.9317094176221025E-3</v>
      </c>
      <c r="F1027" s="263">
        <f t="shared" ref="F1027:F1090" si="33">(C1027-C1026)/C1026</f>
        <v>-1.3862695403698447E-2</v>
      </c>
      <c r="G1027" s="259"/>
      <c r="H1027" s="259"/>
    </row>
    <row r="1028" spans="1:8" ht="14.25" customHeight="1" x14ac:dyDescent="0.3">
      <c r="A1028" s="261">
        <v>45441</v>
      </c>
      <c r="B1028" s="262">
        <v>22704.69921875</v>
      </c>
      <c r="C1028" s="262">
        <v>4476.85009765625</v>
      </c>
      <c r="D1028" s="259"/>
      <c r="E1028" s="263">
        <f t="shared" si="32"/>
        <v>-8.0151156272610692E-3</v>
      </c>
      <c r="F1028" s="263">
        <f t="shared" si="33"/>
        <v>5.3635692408961731E-4</v>
      </c>
      <c r="G1028" s="259"/>
      <c r="H1028" s="259"/>
    </row>
    <row r="1029" spans="1:8" ht="14.25" customHeight="1" x14ac:dyDescent="0.3">
      <c r="A1029" s="261">
        <v>45442</v>
      </c>
      <c r="B1029" s="262">
        <v>22488.650390625</v>
      </c>
      <c r="C1029" s="262">
        <v>4444.9501953125</v>
      </c>
      <c r="D1029" s="259"/>
      <c r="E1029" s="263">
        <f t="shared" si="32"/>
        <v>-9.5155996581792416E-3</v>
      </c>
      <c r="F1029" s="263">
        <f t="shared" si="33"/>
        <v>-7.1255238946799776E-3</v>
      </c>
      <c r="G1029" s="259"/>
      <c r="H1029" s="259"/>
    </row>
    <row r="1030" spans="1:8" ht="14.25" customHeight="1" x14ac:dyDescent="0.3">
      <c r="A1030" s="261">
        <v>45443</v>
      </c>
      <c r="B1030" s="262">
        <v>22530.69921875</v>
      </c>
      <c r="C1030" s="262">
        <v>4302.14990234375</v>
      </c>
      <c r="D1030" s="259"/>
      <c r="E1030" s="263">
        <f t="shared" si="32"/>
        <v>1.869779973213919E-3</v>
      </c>
      <c r="F1030" s="263">
        <f t="shared" si="33"/>
        <v>-3.2126410127011673E-2</v>
      </c>
      <c r="G1030" s="259"/>
      <c r="H1030" s="259"/>
    </row>
    <row r="1031" spans="1:8" ht="14.25" customHeight="1" x14ac:dyDescent="0.3">
      <c r="A1031" s="261">
        <v>45446</v>
      </c>
      <c r="B1031" s="262">
        <v>23263.900390625</v>
      </c>
      <c r="C1031" s="262">
        <v>4349.35009765625</v>
      </c>
      <c r="D1031" s="259"/>
      <c r="E1031" s="263">
        <f t="shared" si="32"/>
        <v>3.2542317695352818E-2</v>
      </c>
      <c r="F1031" s="263">
        <f t="shared" si="33"/>
        <v>1.0971304204622438E-2</v>
      </c>
      <c r="G1031" s="259"/>
      <c r="H1031" s="259"/>
    </row>
    <row r="1032" spans="1:8" ht="14.25" customHeight="1" x14ac:dyDescent="0.3">
      <c r="A1032" s="261">
        <v>45447</v>
      </c>
      <c r="B1032" s="262">
        <v>21884.5</v>
      </c>
      <c r="C1032" s="262">
        <v>4548.75</v>
      </c>
      <c r="D1032" s="259"/>
      <c r="E1032" s="263">
        <f t="shared" si="32"/>
        <v>-5.9293599416410735E-2</v>
      </c>
      <c r="F1032" s="263">
        <f t="shared" si="33"/>
        <v>4.5845907518735123E-2</v>
      </c>
      <c r="G1032" s="259"/>
      <c r="H1032" s="259"/>
    </row>
    <row r="1033" spans="1:8" ht="14.25" customHeight="1" x14ac:dyDescent="0.3">
      <c r="A1033" s="261">
        <v>45448</v>
      </c>
      <c r="B1033" s="262">
        <v>22620.349609375</v>
      </c>
      <c r="C1033" s="262">
        <v>4862.25</v>
      </c>
      <c r="D1033" s="259"/>
      <c r="E1033" s="263">
        <f t="shared" si="32"/>
        <v>3.362423676003564E-2</v>
      </c>
      <c r="F1033" s="263">
        <f t="shared" si="33"/>
        <v>6.8920032976092338E-2</v>
      </c>
      <c r="G1033" s="259"/>
      <c r="H1033" s="259"/>
    </row>
    <row r="1034" spans="1:8" ht="14.25" customHeight="1" x14ac:dyDescent="0.3">
      <c r="A1034" s="261">
        <v>45449</v>
      </c>
      <c r="B1034" s="262">
        <v>22821.400390625</v>
      </c>
      <c r="C1034" s="262">
        <v>4687.0498046875</v>
      </c>
      <c r="D1034" s="259"/>
      <c r="E1034" s="263">
        <f t="shared" si="32"/>
        <v>8.8880492442377883E-3</v>
      </c>
      <c r="F1034" s="263">
        <f t="shared" si="33"/>
        <v>-3.6032741079232863E-2</v>
      </c>
      <c r="G1034" s="259"/>
      <c r="H1034" s="259"/>
    </row>
    <row r="1035" spans="1:8" ht="14.25" customHeight="1" x14ac:dyDescent="0.3">
      <c r="A1035" s="261">
        <v>45450</v>
      </c>
      <c r="B1035" s="262">
        <v>23290.150390625</v>
      </c>
      <c r="C1035" s="262">
        <v>4747.25</v>
      </c>
      <c r="D1035" s="259"/>
      <c r="E1035" s="263">
        <f t="shared" si="32"/>
        <v>2.0539931466807E-2</v>
      </c>
      <c r="F1035" s="263">
        <f t="shared" si="33"/>
        <v>1.2843941886918724E-2</v>
      </c>
      <c r="G1035" s="259"/>
      <c r="H1035" s="259"/>
    </row>
    <row r="1036" spans="1:8" ht="14.25" customHeight="1" x14ac:dyDescent="0.3">
      <c r="A1036" s="261">
        <v>45453</v>
      </c>
      <c r="B1036" s="262">
        <v>23259.19921875</v>
      </c>
      <c r="C1036" s="262">
        <v>4778.39990234375</v>
      </c>
      <c r="D1036" s="259"/>
      <c r="E1036" s="263">
        <f t="shared" si="32"/>
        <v>-1.328938257412833E-3</v>
      </c>
      <c r="F1036" s="263">
        <f t="shared" si="33"/>
        <v>6.5616730409710881E-3</v>
      </c>
      <c r="G1036" s="259"/>
      <c r="H1036" s="259"/>
    </row>
    <row r="1037" spans="1:8" ht="14.25" customHeight="1" x14ac:dyDescent="0.3">
      <c r="A1037" s="261">
        <v>45454</v>
      </c>
      <c r="B1037" s="262">
        <v>23264.849609375</v>
      </c>
      <c r="C1037" s="262">
        <v>4701.4501953125</v>
      </c>
      <c r="D1037" s="259"/>
      <c r="E1037" s="263">
        <f t="shared" si="32"/>
        <v>2.4293143421915555E-4</v>
      </c>
      <c r="F1037" s="263">
        <f t="shared" si="33"/>
        <v>-1.6103655743318398E-2</v>
      </c>
      <c r="G1037" s="259"/>
      <c r="H1037" s="259"/>
    </row>
    <row r="1038" spans="1:8" ht="14.25" customHeight="1" x14ac:dyDescent="0.3">
      <c r="A1038" s="261">
        <v>45455</v>
      </c>
      <c r="B1038" s="262">
        <v>23322.94921875</v>
      </c>
      <c r="C1038" s="262">
        <v>4666.75</v>
      </c>
      <c r="D1038" s="259"/>
      <c r="E1038" s="263">
        <f t="shared" si="32"/>
        <v>2.4973129141392641E-3</v>
      </c>
      <c r="F1038" s="263">
        <f t="shared" si="33"/>
        <v>-7.3807429348283285E-3</v>
      </c>
      <c r="G1038" s="259"/>
      <c r="H1038" s="259"/>
    </row>
    <row r="1039" spans="1:8" ht="14.25" customHeight="1" x14ac:dyDescent="0.3">
      <c r="A1039" s="261">
        <v>45456</v>
      </c>
      <c r="B1039" s="262">
        <v>23398.900390625</v>
      </c>
      <c r="C1039" s="262">
        <v>4656.64990234375</v>
      </c>
      <c r="D1039" s="259"/>
      <c r="E1039" s="263">
        <f t="shared" si="32"/>
        <v>3.2564994745150257E-3</v>
      </c>
      <c r="F1039" s="263">
        <f t="shared" si="33"/>
        <v>-2.1642679929822681E-3</v>
      </c>
      <c r="G1039" s="259"/>
      <c r="H1039" s="259"/>
    </row>
    <row r="1040" spans="1:8" ht="14.25" customHeight="1" x14ac:dyDescent="0.3">
      <c r="A1040" s="261">
        <v>45457</v>
      </c>
      <c r="B1040" s="262">
        <v>23465.599609375</v>
      </c>
      <c r="C1040" s="262">
        <v>4739.9501953125</v>
      </c>
      <c r="D1040" s="259"/>
      <c r="E1040" s="263">
        <f t="shared" si="32"/>
        <v>2.8505279152657831E-3</v>
      </c>
      <c r="F1040" s="263">
        <f t="shared" si="33"/>
        <v>1.7888459453828366E-2</v>
      </c>
      <c r="G1040" s="259"/>
      <c r="H1040" s="259"/>
    </row>
    <row r="1041" spans="1:8" ht="14.25" customHeight="1" x14ac:dyDescent="0.3">
      <c r="A1041" s="261">
        <v>45461</v>
      </c>
      <c r="B1041" s="262">
        <v>23557.900390625</v>
      </c>
      <c r="C1041" s="262">
        <v>5039.2998046875</v>
      </c>
      <c r="D1041" s="259"/>
      <c r="E1041" s="263">
        <f t="shared" si="32"/>
        <v>3.9334507869606666E-3</v>
      </c>
      <c r="F1041" s="263">
        <f t="shared" si="33"/>
        <v>6.3154589613839643E-2</v>
      </c>
      <c r="G1041" s="259"/>
      <c r="H1041" s="259"/>
    </row>
    <row r="1042" spans="1:8" ht="14.25" customHeight="1" x14ac:dyDescent="0.3">
      <c r="A1042" s="261">
        <v>45462</v>
      </c>
      <c r="B1042" s="262">
        <v>23516</v>
      </c>
      <c r="C1042" s="262">
        <v>4933.89990234375</v>
      </c>
      <c r="D1042" s="259"/>
      <c r="E1042" s="263">
        <f t="shared" si="32"/>
        <v>-1.7786131162042989E-3</v>
      </c>
      <c r="F1042" s="263">
        <f t="shared" si="33"/>
        <v>-2.0915584789320967E-2</v>
      </c>
      <c r="G1042" s="259"/>
      <c r="H1042" s="259"/>
    </row>
    <row r="1043" spans="1:8" ht="14.25" customHeight="1" x14ac:dyDescent="0.3">
      <c r="A1043" s="261">
        <v>45463</v>
      </c>
      <c r="B1043" s="262">
        <v>23567</v>
      </c>
      <c r="C1043" s="262">
        <v>4861.7001953125</v>
      </c>
      <c r="D1043" s="259"/>
      <c r="E1043" s="263">
        <f t="shared" si="32"/>
        <v>2.1687361796223848E-3</v>
      </c>
      <c r="F1043" s="263">
        <f t="shared" si="33"/>
        <v>-1.4633395176289041E-2</v>
      </c>
      <c r="G1043" s="259"/>
      <c r="H1043" s="259"/>
    </row>
    <row r="1044" spans="1:8" ht="14.25" customHeight="1" x14ac:dyDescent="0.3">
      <c r="A1044" s="261">
        <v>45464</v>
      </c>
      <c r="B1044" s="262">
        <v>23501.099609375</v>
      </c>
      <c r="C1044" s="262">
        <v>4804.85009765625</v>
      </c>
      <c r="D1044" s="259"/>
      <c r="E1044" s="263">
        <f t="shared" si="32"/>
        <v>-2.7962995130903384E-3</v>
      </c>
      <c r="F1044" s="263">
        <f t="shared" si="33"/>
        <v>-1.169346018313986E-2</v>
      </c>
      <c r="G1044" s="259"/>
      <c r="H1044" s="259"/>
    </row>
    <row r="1045" spans="1:8" ht="14.25" customHeight="1" x14ac:dyDescent="0.3">
      <c r="A1045" s="261">
        <v>45467</v>
      </c>
      <c r="B1045" s="262">
        <v>23537.849609375</v>
      </c>
      <c r="C1045" s="262">
        <v>4833.7001953125</v>
      </c>
      <c r="D1045" s="259"/>
      <c r="E1045" s="263">
        <f t="shared" si="32"/>
        <v>1.5637566161091365E-3</v>
      </c>
      <c r="F1045" s="263">
        <f t="shared" si="33"/>
        <v>6.0043699740649024E-3</v>
      </c>
      <c r="G1045" s="259"/>
      <c r="H1045" s="259"/>
    </row>
    <row r="1046" spans="1:8" ht="14.25" customHeight="1" x14ac:dyDescent="0.3">
      <c r="A1046" s="261">
        <v>45468</v>
      </c>
      <c r="B1046" s="262">
        <v>23721.30078125</v>
      </c>
      <c r="C1046" s="262">
        <v>4783.35009765625</v>
      </c>
      <c r="D1046" s="259"/>
      <c r="E1046" s="263">
        <f t="shared" si="32"/>
        <v>7.7938798539154731E-3</v>
      </c>
      <c r="F1046" s="263">
        <f t="shared" si="33"/>
        <v>-1.0416470948090079E-2</v>
      </c>
      <c r="G1046" s="259"/>
      <c r="H1046" s="259"/>
    </row>
    <row r="1047" spans="1:8" ht="14.25" customHeight="1" x14ac:dyDescent="0.3">
      <c r="A1047" s="261">
        <v>45469</v>
      </c>
      <c r="B1047" s="262">
        <v>23868.80078125</v>
      </c>
      <c r="C1047" s="262">
        <v>4801</v>
      </c>
      <c r="D1047" s="259"/>
      <c r="E1047" s="263">
        <f t="shared" si="32"/>
        <v>6.2180401218380173E-3</v>
      </c>
      <c r="F1047" s="263">
        <f t="shared" si="33"/>
        <v>3.6898621224480547E-3</v>
      </c>
      <c r="G1047" s="259"/>
      <c r="H1047" s="259"/>
    </row>
    <row r="1048" spans="1:8" ht="14.25" customHeight="1" x14ac:dyDescent="0.3">
      <c r="A1048" s="261">
        <v>45470</v>
      </c>
      <c r="B1048" s="262">
        <v>24044.5</v>
      </c>
      <c r="C1048" s="262">
        <v>4900.10009765625</v>
      </c>
      <c r="D1048" s="259"/>
      <c r="E1048" s="263">
        <f t="shared" si="32"/>
        <v>7.3610408985448281E-3</v>
      </c>
      <c r="F1048" s="263">
        <f t="shared" si="33"/>
        <v>2.0641553354769838E-2</v>
      </c>
      <c r="G1048" s="259"/>
      <c r="H1048" s="259"/>
    </row>
    <row r="1049" spans="1:8" ht="14.25" customHeight="1" x14ac:dyDescent="0.3">
      <c r="A1049" s="261">
        <v>45471</v>
      </c>
      <c r="B1049" s="262">
        <v>24010.599609375</v>
      </c>
      <c r="C1049" s="262">
        <v>4716.75</v>
      </c>
      <c r="D1049" s="259"/>
      <c r="E1049" s="263">
        <f t="shared" si="32"/>
        <v>-1.4099020825968517E-3</v>
      </c>
      <c r="F1049" s="263">
        <f t="shared" si="33"/>
        <v>-3.7417622906100949E-2</v>
      </c>
      <c r="G1049" s="259"/>
      <c r="H1049" s="259"/>
    </row>
    <row r="1050" spans="1:8" ht="14.25" customHeight="1" x14ac:dyDescent="0.3">
      <c r="A1050" s="261">
        <v>45474</v>
      </c>
      <c r="B1050" s="262">
        <v>24141.94921875</v>
      </c>
      <c r="C1050" s="262">
        <v>4735.89990234375</v>
      </c>
      <c r="D1050" s="259"/>
      <c r="E1050" s="263">
        <f t="shared" si="32"/>
        <v>5.4704843490753228E-3</v>
      </c>
      <c r="F1050" s="263">
        <f t="shared" si="33"/>
        <v>4.0599782358085547E-3</v>
      </c>
      <c r="G1050" s="259"/>
      <c r="H1050" s="259"/>
    </row>
    <row r="1051" spans="1:8" ht="14.25" customHeight="1" x14ac:dyDescent="0.3">
      <c r="A1051" s="261">
        <v>45475</v>
      </c>
      <c r="B1051" s="262">
        <v>24123.849609375</v>
      </c>
      <c r="C1051" s="262">
        <v>4773.85009765625</v>
      </c>
      <c r="D1051" s="259"/>
      <c r="E1051" s="263">
        <f t="shared" si="32"/>
        <v>-7.4971615634676354E-4</v>
      </c>
      <c r="F1051" s="263">
        <f t="shared" si="33"/>
        <v>8.0133018212058971E-3</v>
      </c>
      <c r="G1051" s="259"/>
      <c r="H1051" s="259"/>
    </row>
    <row r="1052" spans="1:8" ht="14.25" customHeight="1" x14ac:dyDescent="0.3">
      <c r="A1052" s="261">
        <v>45476</v>
      </c>
      <c r="B1052" s="262">
        <v>24286.5</v>
      </c>
      <c r="C1052" s="262">
        <v>4792.89990234375</v>
      </c>
      <c r="D1052" s="259"/>
      <c r="E1052" s="263">
        <f t="shared" si="32"/>
        <v>6.742306607722794E-3</v>
      </c>
      <c r="F1052" s="263">
        <f t="shared" si="33"/>
        <v>3.9904488615703738E-3</v>
      </c>
      <c r="G1052" s="259"/>
      <c r="H1052" s="259"/>
    </row>
    <row r="1053" spans="1:8" ht="14.25" customHeight="1" x14ac:dyDescent="0.3">
      <c r="A1053" s="261">
        <v>45477</v>
      </c>
      <c r="B1053" s="262">
        <v>24302.150390625</v>
      </c>
      <c r="C1053" s="262">
        <v>4768.10009765625</v>
      </c>
      <c r="D1053" s="259"/>
      <c r="E1053" s="263">
        <f t="shared" si="32"/>
        <v>6.4440700080291519E-4</v>
      </c>
      <c r="F1053" s="263">
        <f t="shared" si="33"/>
        <v>-5.1742797038955022E-3</v>
      </c>
      <c r="G1053" s="259"/>
      <c r="H1053" s="259"/>
    </row>
    <row r="1054" spans="1:8" ht="14.25" customHeight="1" x14ac:dyDescent="0.3">
      <c r="A1054" s="261">
        <v>45478</v>
      </c>
      <c r="B1054" s="262">
        <v>24323.849609375</v>
      </c>
      <c r="C1054" s="262">
        <v>4853.10009765625</v>
      </c>
      <c r="D1054" s="259"/>
      <c r="E1054" s="263">
        <f t="shared" si="32"/>
        <v>8.928929498506795E-4</v>
      </c>
      <c r="F1054" s="263">
        <f t="shared" si="33"/>
        <v>1.7826806958558102E-2</v>
      </c>
      <c r="G1054" s="259"/>
      <c r="H1054" s="259"/>
    </row>
    <row r="1055" spans="1:8" ht="14.25" customHeight="1" x14ac:dyDescent="0.3">
      <c r="A1055" s="261">
        <v>45481</v>
      </c>
      <c r="B1055" s="262">
        <v>24320.55078125</v>
      </c>
      <c r="C1055" s="262">
        <v>4851.5498046875</v>
      </c>
      <c r="D1055" s="259"/>
      <c r="E1055" s="263">
        <f t="shared" si="32"/>
        <v>-1.3562113637343622E-4</v>
      </c>
      <c r="F1055" s="263">
        <f t="shared" si="33"/>
        <v>-3.1944384775799215E-4</v>
      </c>
      <c r="G1055" s="259"/>
      <c r="H1055" s="259"/>
    </row>
    <row r="1056" spans="1:8" ht="14.25" customHeight="1" x14ac:dyDescent="0.3">
      <c r="A1056" s="261">
        <v>45482</v>
      </c>
      <c r="B1056" s="262">
        <v>24433.19921875</v>
      </c>
      <c r="C1056" s="262">
        <v>4806.35009765625</v>
      </c>
      <c r="D1056" s="259"/>
      <c r="E1056" s="263">
        <f t="shared" si="32"/>
        <v>4.631820986013468E-3</v>
      </c>
      <c r="F1056" s="263">
        <f t="shared" si="33"/>
        <v>-9.3165501439516647E-3</v>
      </c>
      <c r="G1056" s="259"/>
      <c r="H1056" s="259"/>
    </row>
    <row r="1057" spans="1:8" ht="14.25" customHeight="1" x14ac:dyDescent="0.3">
      <c r="A1057" s="261">
        <v>45483</v>
      </c>
      <c r="B1057" s="262">
        <v>24324.44921875</v>
      </c>
      <c r="C1057" s="262">
        <v>4834.4501953125</v>
      </c>
      <c r="D1057" s="259"/>
      <c r="E1057" s="263">
        <f t="shared" si="32"/>
        <v>-4.4509111977667423E-3</v>
      </c>
      <c r="F1057" s="263">
        <f t="shared" si="33"/>
        <v>5.8464525232884354E-3</v>
      </c>
      <c r="G1057" s="259"/>
      <c r="H1057" s="259"/>
    </row>
    <row r="1058" spans="1:8" ht="14.25" customHeight="1" x14ac:dyDescent="0.3">
      <c r="A1058" s="261">
        <v>45484</v>
      </c>
      <c r="B1058" s="262">
        <v>24315.94921875</v>
      </c>
      <c r="C1058" s="262">
        <v>4898.89990234375</v>
      </c>
      <c r="D1058" s="259"/>
      <c r="E1058" s="263">
        <f t="shared" si="32"/>
        <v>-3.4944265021417015E-4</v>
      </c>
      <c r="F1058" s="263">
        <f t="shared" si="33"/>
        <v>1.3331341606071495E-2</v>
      </c>
      <c r="G1058" s="259"/>
      <c r="H1058" s="259"/>
    </row>
    <row r="1059" spans="1:8" ht="14.25" customHeight="1" x14ac:dyDescent="0.3">
      <c r="A1059" s="261">
        <v>45485</v>
      </c>
      <c r="B1059" s="262">
        <v>24502.150390625</v>
      </c>
      <c r="C1059" s="262">
        <v>4943.64990234375</v>
      </c>
      <c r="D1059" s="259"/>
      <c r="E1059" s="263">
        <f t="shared" si="32"/>
        <v>7.6575736443560468E-3</v>
      </c>
      <c r="F1059" s="263">
        <f t="shared" si="33"/>
        <v>9.1347038910900256E-3</v>
      </c>
      <c r="G1059" s="259"/>
      <c r="H1059" s="259"/>
    </row>
    <row r="1060" spans="1:8" ht="14.25" customHeight="1" x14ac:dyDescent="0.3">
      <c r="A1060" s="261">
        <v>45488</v>
      </c>
      <c r="B1060" s="262">
        <v>24586.69921875</v>
      </c>
      <c r="C1060" s="262">
        <v>4988.85009765625</v>
      </c>
      <c r="D1060" s="259"/>
      <c r="E1060" s="263">
        <f t="shared" si="32"/>
        <v>3.4506697076412537E-3</v>
      </c>
      <c r="F1060" s="263">
        <f t="shared" si="33"/>
        <v>9.1430817726536225E-3</v>
      </c>
      <c r="G1060" s="259"/>
      <c r="H1060" s="259"/>
    </row>
    <row r="1061" spans="1:8" ht="14.25" customHeight="1" x14ac:dyDescent="0.3">
      <c r="A1061" s="261">
        <v>45489</v>
      </c>
      <c r="B1061" s="262">
        <v>24613</v>
      </c>
      <c r="C1061" s="262">
        <v>5039.85009765625</v>
      </c>
      <c r="D1061" s="259"/>
      <c r="E1061" s="263">
        <f t="shared" si="32"/>
        <v>1.0697158254550424E-3</v>
      </c>
      <c r="F1061" s="263">
        <f t="shared" si="33"/>
        <v>1.0222796636836147E-2</v>
      </c>
      <c r="G1061" s="259"/>
      <c r="H1061" s="259"/>
    </row>
    <row r="1062" spans="1:8" ht="14.25" customHeight="1" x14ac:dyDescent="0.3">
      <c r="A1062" s="261">
        <v>45491</v>
      </c>
      <c r="B1062" s="262">
        <v>24800.849609375</v>
      </c>
      <c r="C1062" s="262">
        <v>5083.4501953125</v>
      </c>
      <c r="D1062" s="259"/>
      <c r="E1062" s="263">
        <f t="shared" si="32"/>
        <v>7.63212974342827E-3</v>
      </c>
      <c r="F1062" s="263">
        <f t="shared" si="33"/>
        <v>8.6510703317398165E-3</v>
      </c>
      <c r="G1062" s="259"/>
      <c r="H1062" s="259"/>
    </row>
    <row r="1063" spans="1:8" ht="14.25" customHeight="1" x14ac:dyDescent="0.3">
      <c r="A1063" s="261">
        <v>45492</v>
      </c>
      <c r="B1063" s="262">
        <v>24530.900390625</v>
      </c>
      <c r="C1063" s="262">
        <v>5010.7001953125</v>
      </c>
      <c r="D1063" s="259"/>
      <c r="E1063" s="263">
        <f t="shared" si="32"/>
        <v>-1.0884676251089243E-2</v>
      </c>
      <c r="F1063" s="263">
        <f t="shared" si="33"/>
        <v>-1.4311146407430824E-2</v>
      </c>
      <c r="G1063" s="259"/>
      <c r="H1063" s="259"/>
    </row>
    <row r="1064" spans="1:8" ht="14.25" customHeight="1" x14ac:dyDescent="0.3">
      <c r="A1064" s="261">
        <v>45495</v>
      </c>
      <c r="B1064" s="262">
        <v>24509.25</v>
      </c>
      <c r="C1064" s="262">
        <v>5012.85009765625</v>
      </c>
      <c r="D1064" s="259"/>
      <c r="E1064" s="263">
        <f t="shared" si="32"/>
        <v>-8.8257627238477363E-4</v>
      </c>
      <c r="F1064" s="263">
        <f t="shared" si="33"/>
        <v>4.2906225875601766E-4</v>
      </c>
      <c r="G1064" s="259"/>
      <c r="H1064" s="259"/>
    </row>
    <row r="1065" spans="1:8" ht="14.25" customHeight="1" x14ac:dyDescent="0.3">
      <c r="A1065" s="261">
        <v>45496</v>
      </c>
      <c r="B1065" s="262">
        <v>24479.05078125</v>
      </c>
      <c r="C1065" s="262">
        <v>5065.25</v>
      </c>
      <c r="D1065" s="259"/>
      <c r="E1065" s="263">
        <f t="shared" si="32"/>
        <v>-1.2321559717249609E-3</v>
      </c>
      <c r="F1065" s="263">
        <f t="shared" si="33"/>
        <v>1.0453115757091857E-2</v>
      </c>
      <c r="G1065" s="259"/>
      <c r="H1065" s="259"/>
    </row>
    <row r="1066" spans="1:8" ht="14.25" customHeight="1" x14ac:dyDescent="0.3">
      <c r="A1066" s="261">
        <v>45497</v>
      </c>
      <c r="B1066" s="262">
        <v>24413.5</v>
      </c>
      <c r="C1066" s="262">
        <v>5158.4501953125</v>
      </c>
      <c r="D1066" s="259"/>
      <c r="E1066" s="263">
        <f t="shared" si="32"/>
        <v>-2.6778318259059845E-3</v>
      </c>
      <c r="F1066" s="263">
        <f t="shared" si="33"/>
        <v>1.839992010512808E-2</v>
      </c>
      <c r="G1066" s="259"/>
      <c r="H1066" s="259"/>
    </row>
    <row r="1067" spans="1:8" ht="14.25" customHeight="1" x14ac:dyDescent="0.3">
      <c r="A1067" s="261">
        <v>45498</v>
      </c>
      <c r="B1067" s="262">
        <v>24406.099609375</v>
      </c>
      <c r="C1067" s="262">
        <v>5171.35009765625</v>
      </c>
      <c r="D1067" s="259"/>
      <c r="E1067" s="263">
        <f t="shared" si="32"/>
        <v>-3.031269840457124E-4</v>
      </c>
      <c r="F1067" s="263">
        <f t="shared" si="33"/>
        <v>2.5007321686409188E-3</v>
      </c>
      <c r="G1067" s="259"/>
      <c r="H1067" s="259"/>
    </row>
    <row r="1068" spans="1:8" ht="14.25" customHeight="1" x14ac:dyDescent="0.3">
      <c r="A1068" s="261">
        <v>45499</v>
      </c>
      <c r="B1068" s="262">
        <v>24834.849609375</v>
      </c>
      <c r="C1068" s="262">
        <v>5071.60009765625</v>
      </c>
      <c r="D1068" s="259"/>
      <c r="E1068" s="263">
        <f t="shared" si="32"/>
        <v>1.756732976027461E-2</v>
      </c>
      <c r="F1068" s="263">
        <f t="shared" si="33"/>
        <v>-1.9288966733311774E-2</v>
      </c>
      <c r="G1068" s="259"/>
      <c r="H1068" s="259"/>
    </row>
    <row r="1069" spans="1:8" ht="14.25" customHeight="1" x14ac:dyDescent="0.3">
      <c r="A1069" s="261">
        <v>45502</v>
      </c>
      <c r="B1069" s="262">
        <v>24836.099609375</v>
      </c>
      <c r="C1069" s="262">
        <v>5112.85009765625</v>
      </c>
      <c r="D1069" s="259"/>
      <c r="E1069" s="263">
        <f t="shared" si="32"/>
        <v>5.0332497263367071E-5</v>
      </c>
      <c r="F1069" s="263">
        <f t="shared" si="33"/>
        <v>8.1335277241324604E-3</v>
      </c>
      <c r="G1069" s="259"/>
      <c r="H1069" s="259"/>
    </row>
    <row r="1070" spans="1:8" ht="14.25" customHeight="1" x14ac:dyDescent="0.3">
      <c r="A1070" s="261">
        <v>45503</v>
      </c>
      <c r="B1070" s="262">
        <v>24857.30078125</v>
      </c>
      <c r="C1070" s="262">
        <v>5027.2001953125</v>
      </c>
      <c r="D1070" s="259"/>
      <c r="E1070" s="263">
        <f t="shared" si="32"/>
        <v>8.5364337430008915E-4</v>
      </c>
      <c r="F1070" s="263">
        <f t="shared" si="33"/>
        <v>-1.6751889984611957E-2</v>
      </c>
      <c r="G1070" s="259"/>
      <c r="H1070" s="259"/>
    </row>
    <row r="1071" spans="1:8" ht="14.25" customHeight="1" x14ac:dyDescent="0.3">
      <c r="A1071" s="261">
        <v>45504</v>
      </c>
      <c r="B1071" s="262">
        <v>24951.150390625</v>
      </c>
      <c r="C1071" s="262">
        <v>4935.9501953125</v>
      </c>
      <c r="D1071" s="259"/>
      <c r="E1071" s="263">
        <f t="shared" si="32"/>
        <v>3.7755350108564997E-3</v>
      </c>
      <c r="F1071" s="263">
        <f t="shared" si="33"/>
        <v>-1.815125645584674E-2</v>
      </c>
      <c r="G1071" s="259"/>
      <c r="H1071" s="259"/>
    </row>
    <row r="1072" spans="1:8" ht="14.25" customHeight="1" x14ac:dyDescent="0.3">
      <c r="A1072" s="261">
        <v>45505</v>
      </c>
      <c r="B1072" s="262">
        <v>25010.900390625</v>
      </c>
      <c r="C1072" s="262">
        <v>4993.7998046875</v>
      </c>
      <c r="D1072" s="259"/>
      <c r="E1072" s="263">
        <f t="shared" si="32"/>
        <v>2.3946791656728628E-3</v>
      </c>
      <c r="F1072" s="263">
        <f t="shared" si="33"/>
        <v>1.1720055325910248E-2</v>
      </c>
      <c r="G1072" s="259"/>
      <c r="H1072" s="259"/>
    </row>
    <row r="1073" spans="1:8" ht="14.25" customHeight="1" x14ac:dyDescent="0.3">
      <c r="A1073" s="261">
        <v>45506</v>
      </c>
      <c r="B1073" s="262">
        <v>24717.69921875</v>
      </c>
      <c r="C1073" s="262">
        <v>4909.7001953125</v>
      </c>
      <c r="D1073" s="259"/>
      <c r="E1073" s="263">
        <f t="shared" si="32"/>
        <v>-1.1722935491954641E-2</v>
      </c>
      <c r="F1073" s="263">
        <f t="shared" si="33"/>
        <v>-1.6840805131206647E-2</v>
      </c>
      <c r="G1073" s="259"/>
      <c r="H1073" s="259"/>
    </row>
    <row r="1074" spans="1:8" ht="14.25" customHeight="1" x14ac:dyDescent="0.3">
      <c r="A1074" s="261">
        <v>45509</v>
      </c>
      <c r="B1074" s="262">
        <v>24055.599609375</v>
      </c>
      <c r="C1074" s="262">
        <v>4817.4501953125</v>
      </c>
      <c r="D1074" s="259"/>
      <c r="E1074" s="263">
        <f t="shared" si="32"/>
        <v>-2.6786457894622889E-2</v>
      </c>
      <c r="F1074" s="263">
        <f t="shared" si="33"/>
        <v>-1.8789334649817316E-2</v>
      </c>
      <c r="G1074" s="259"/>
      <c r="H1074" s="259"/>
    </row>
    <row r="1075" spans="1:8" ht="14.25" customHeight="1" x14ac:dyDescent="0.3">
      <c r="A1075" s="261">
        <v>45510</v>
      </c>
      <c r="B1075" s="262">
        <v>23992.55078125</v>
      </c>
      <c r="C1075" s="262">
        <v>4909.89990234375</v>
      </c>
      <c r="D1075" s="259"/>
      <c r="E1075" s="263">
        <f t="shared" si="32"/>
        <v>-2.6209626510589443E-3</v>
      </c>
      <c r="F1075" s="263">
        <f t="shared" si="33"/>
        <v>1.9190589063319406E-2</v>
      </c>
      <c r="G1075" s="259"/>
      <c r="H1075" s="259"/>
    </row>
    <row r="1076" spans="1:8" ht="14.25" customHeight="1" x14ac:dyDescent="0.3">
      <c r="A1076" s="261">
        <v>45511</v>
      </c>
      <c r="B1076" s="262">
        <v>24297.5</v>
      </c>
      <c r="C1076" s="262">
        <v>5018.5</v>
      </c>
      <c r="D1076" s="259"/>
      <c r="E1076" s="263">
        <f t="shared" si="32"/>
        <v>1.2710162480444369E-2</v>
      </c>
      <c r="F1076" s="263">
        <f t="shared" si="33"/>
        <v>2.2118597082683811E-2</v>
      </c>
      <c r="G1076" s="259"/>
      <c r="H1076" s="259"/>
    </row>
    <row r="1077" spans="1:8" ht="14.25" customHeight="1" x14ac:dyDescent="0.3">
      <c r="A1077" s="261">
        <v>45512</v>
      </c>
      <c r="B1077" s="262">
        <v>24117</v>
      </c>
      <c r="C1077" s="262">
        <v>4980.10009765625</v>
      </c>
      <c r="D1077" s="259"/>
      <c r="E1077" s="263">
        <f t="shared" si="32"/>
        <v>-7.428747813561066E-3</v>
      </c>
      <c r="F1077" s="263">
        <f t="shared" si="33"/>
        <v>-7.6516692923682371E-3</v>
      </c>
      <c r="G1077" s="259"/>
      <c r="H1077" s="259"/>
    </row>
    <row r="1078" spans="1:8" ht="14.25" customHeight="1" x14ac:dyDescent="0.3">
      <c r="A1078" s="261">
        <v>45513</v>
      </c>
      <c r="B1078" s="262">
        <v>24367.5</v>
      </c>
      <c r="C1078" s="262">
        <v>4989.9501953125</v>
      </c>
      <c r="D1078" s="259"/>
      <c r="E1078" s="263">
        <f t="shared" si="32"/>
        <v>1.0386864037815649E-2</v>
      </c>
      <c r="F1078" s="263">
        <f t="shared" si="33"/>
        <v>1.9778915007924607E-3</v>
      </c>
      <c r="G1078" s="259"/>
      <c r="H1078" s="259"/>
    </row>
    <row r="1079" spans="1:8" ht="14.25" customHeight="1" x14ac:dyDescent="0.3">
      <c r="A1079" s="261">
        <v>45516</v>
      </c>
      <c r="B1079" s="262">
        <v>24347</v>
      </c>
      <c r="C1079" s="262">
        <v>5013.7998046875</v>
      </c>
      <c r="D1079" s="259"/>
      <c r="E1079" s="263">
        <f t="shared" si="32"/>
        <v>-8.412844977941931E-4</v>
      </c>
      <c r="F1079" s="263">
        <f t="shared" si="33"/>
        <v>4.7795285406664056E-3</v>
      </c>
      <c r="G1079" s="259"/>
      <c r="H1079" s="259"/>
    </row>
    <row r="1080" spans="1:8" ht="14.25" customHeight="1" x14ac:dyDescent="0.3">
      <c r="A1080" s="261">
        <v>45517</v>
      </c>
      <c r="B1080" s="262">
        <v>24139</v>
      </c>
      <c r="C1080" s="262">
        <v>4929.5</v>
      </c>
      <c r="D1080" s="259"/>
      <c r="E1080" s="263">
        <f t="shared" si="32"/>
        <v>-8.5431469996303452E-3</v>
      </c>
      <c r="F1080" s="263">
        <f t="shared" si="33"/>
        <v>-1.6813556179224878E-2</v>
      </c>
      <c r="G1080" s="259"/>
      <c r="H1080" s="259"/>
    </row>
    <row r="1081" spans="1:8" ht="14.25" customHeight="1" x14ac:dyDescent="0.3">
      <c r="A1081" s="261">
        <v>45518</v>
      </c>
      <c r="B1081" s="262">
        <v>24143.75</v>
      </c>
      <c r="C1081" s="262">
        <v>4960.2998046875</v>
      </c>
      <c r="D1081" s="259"/>
      <c r="E1081" s="263">
        <f t="shared" si="32"/>
        <v>1.9677699987571978E-4</v>
      </c>
      <c r="F1081" s="263">
        <f t="shared" si="33"/>
        <v>6.2480585632417084E-3</v>
      </c>
      <c r="G1081" s="259"/>
      <c r="H1081" s="259"/>
    </row>
    <row r="1082" spans="1:8" ht="14.25" customHeight="1" x14ac:dyDescent="0.3">
      <c r="A1082" s="261">
        <v>45520</v>
      </c>
      <c r="B1082" s="262">
        <v>24541.150390625</v>
      </c>
      <c r="C1082" s="262">
        <v>5021.2998046875</v>
      </c>
      <c r="D1082" s="259"/>
      <c r="E1082" s="263">
        <f t="shared" si="32"/>
        <v>1.6459762490292518E-2</v>
      </c>
      <c r="F1082" s="263">
        <f t="shared" si="33"/>
        <v>1.2297643771925802E-2</v>
      </c>
      <c r="G1082" s="259"/>
      <c r="H1082" s="259"/>
    </row>
    <row r="1083" spans="1:8" ht="14.25" customHeight="1" x14ac:dyDescent="0.3">
      <c r="A1083" s="261">
        <v>45523</v>
      </c>
      <c r="B1083" s="262">
        <v>24572.650390625</v>
      </c>
      <c r="C1083" s="262">
        <v>5002.7001953125</v>
      </c>
      <c r="D1083" s="259"/>
      <c r="E1083" s="263">
        <f t="shared" si="32"/>
        <v>1.2835584110202657E-3</v>
      </c>
      <c r="F1083" s="263">
        <f t="shared" si="33"/>
        <v>-3.7041423731833008E-3</v>
      </c>
      <c r="G1083" s="259"/>
      <c r="H1083" s="259"/>
    </row>
    <row r="1084" spans="1:8" ht="14.25" customHeight="1" x14ac:dyDescent="0.3">
      <c r="A1084" s="261">
        <v>45524</v>
      </c>
      <c r="B1084" s="262">
        <v>24698.849609375</v>
      </c>
      <c r="C1084" s="262">
        <v>5079.2001953125</v>
      </c>
      <c r="D1084" s="259"/>
      <c r="E1084" s="263">
        <f t="shared" si="32"/>
        <v>5.1357593399101852E-3</v>
      </c>
      <c r="F1084" s="263">
        <f t="shared" si="33"/>
        <v>1.5291741862060821E-2</v>
      </c>
      <c r="G1084" s="259"/>
      <c r="H1084" s="259"/>
    </row>
    <row r="1085" spans="1:8" ht="14.25" customHeight="1" x14ac:dyDescent="0.3">
      <c r="A1085" s="261">
        <v>45525</v>
      </c>
      <c r="B1085" s="262">
        <v>24770.19921875</v>
      </c>
      <c r="C1085" s="262">
        <v>5099.4501953125</v>
      </c>
      <c r="D1085" s="259"/>
      <c r="E1085" s="263">
        <f t="shared" si="32"/>
        <v>2.8887826964992596E-3</v>
      </c>
      <c r="F1085" s="263">
        <f t="shared" si="33"/>
        <v>3.9868481692626233E-3</v>
      </c>
      <c r="G1085" s="259"/>
      <c r="H1085" s="259"/>
    </row>
    <row r="1086" spans="1:8" ht="14.25" customHeight="1" x14ac:dyDescent="0.3">
      <c r="A1086" s="261">
        <v>45526</v>
      </c>
      <c r="B1086" s="262">
        <v>24811.5</v>
      </c>
      <c r="C1086" s="262">
        <v>5057.85009765625</v>
      </c>
      <c r="D1086" s="259"/>
      <c r="E1086" s="263">
        <f t="shared" si="32"/>
        <v>1.667357653657345E-3</v>
      </c>
      <c r="F1086" s="263">
        <f t="shared" si="33"/>
        <v>-8.1577613395439185E-3</v>
      </c>
      <c r="G1086" s="259"/>
      <c r="H1086" s="259"/>
    </row>
    <row r="1087" spans="1:8" ht="14.25" customHeight="1" x14ac:dyDescent="0.3">
      <c r="A1087" s="261">
        <v>45527</v>
      </c>
      <c r="B1087" s="262">
        <v>24823.150390625</v>
      </c>
      <c r="C1087" s="262">
        <v>4901.5</v>
      </c>
      <c r="D1087" s="259"/>
      <c r="E1087" s="263">
        <f t="shared" si="32"/>
        <v>4.6955607782681415E-4</v>
      </c>
      <c r="F1087" s="263">
        <f t="shared" si="33"/>
        <v>-3.0912362888868703E-2</v>
      </c>
      <c r="G1087" s="259"/>
      <c r="H1087" s="259"/>
    </row>
    <row r="1088" spans="1:8" ht="14.25" customHeight="1" x14ac:dyDescent="0.3">
      <c r="A1088" s="261">
        <v>45530</v>
      </c>
      <c r="B1088" s="262">
        <v>25010.599609375</v>
      </c>
      <c r="C1088" s="262">
        <v>4959.39990234375</v>
      </c>
      <c r="D1088" s="259"/>
      <c r="E1088" s="263">
        <f t="shared" si="32"/>
        <v>7.551387144670978E-3</v>
      </c>
      <c r="F1088" s="263">
        <f t="shared" si="33"/>
        <v>1.1812690471029277E-2</v>
      </c>
      <c r="G1088" s="259"/>
      <c r="H1088" s="259"/>
    </row>
    <row r="1089" spans="1:8" ht="14.25" customHeight="1" x14ac:dyDescent="0.3">
      <c r="A1089" s="261">
        <v>45531</v>
      </c>
      <c r="B1089" s="262">
        <v>25017.75</v>
      </c>
      <c r="C1089" s="262">
        <v>4958.5498046875</v>
      </c>
      <c r="D1089" s="259"/>
      <c r="E1089" s="263">
        <f t="shared" si="32"/>
        <v>2.8589441023715959E-4</v>
      </c>
      <c r="F1089" s="263">
        <f t="shared" si="33"/>
        <v>-1.714113951263044E-4</v>
      </c>
      <c r="G1089" s="259"/>
      <c r="H1089" s="259"/>
    </row>
    <row r="1090" spans="1:8" ht="14.25" customHeight="1" x14ac:dyDescent="0.3">
      <c r="A1090" s="261">
        <v>45532</v>
      </c>
      <c r="B1090" s="262">
        <v>25052.349609375</v>
      </c>
      <c r="C1090" s="262">
        <v>4964.85009765625</v>
      </c>
      <c r="D1090" s="259"/>
      <c r="E1090" s="263">
        <f t="shared" si="32"/>
        <v>1.3830024432652816E-3</v>
      </c>
      <c r="F1090" s="263">
        <f t="shared" si="33"/>
        <v>1.2705918498174811E-3</v>
      </c>
      <c r="G1090" s="259"/>
      <c r="H1090" s="259"/>
    </row>
    <row r="1091" spans="1:8" ht="14.25" customHeight="1" x14ac:dyDescent="0.3">
      <c r="A1091" s="261">
        <v>45533</v>
      </c>
      <c r="B1091" s="262">
        <v>25151.94921875</v>
      </c>
      <c r="C1091" s="262">
        <v>5008.7998046875</v>
      </c>
      <c r="D1091" s="259"/>
      <c r="E1091" s="263">
        <f t="shared" ref="E1091:E1154" si="34">(B1091-B1090)/B1090</f>
        <v>3.9756594063228385E-3</v>
      </c>
      <c r="F1091" s="263">
        <f t="shared" ref="F1091:F1154" si="35">(C1091-C1090)/C1090</f>
        <v>8.8521720025338292E-3</v>
      </c>
      <c r="G1091" s="259"/>
      <c r="H1091" s="259"/>
    </row>
    <row r="1092" spans="1:8" ht="14.25" customHeight="1" x14ac:dyDescent="0.3">
      <c r="A1092" s="261">
        <v>45534</v>
      </c>
      <c r="B1092" s="262">
        <v>25235.900390625</v>
      </c>
      <c r="C1092" s="262">
        <v>4927.4501953125</v>
      </c>
      <c r="D1092" s="259"/>
      <c r="E1092" s="263">
        <f t="shared" si="34"/>
        <v>3.3377600735777966E-3</v>
      </c>
      <c r="F1092" s="263">
        <f t="shared" si="35"/>
        <v>-1.6241337754978494E-2</v>
      </c>
      <c r="G1092" s="259"/>
      <c r="H1092" s="259"/>
    </row>
    <row r="1093" spans="1:8" ht="14.25" customHeight="1" x14ac:dyDescent="0.3">
      <c r="A1093" s="261">
        <v>45537</v>
      </c>
      <c r="B1093" s="262">
        <v>25278.69921875</v>
      </c>
      <c r="C1093" s="262">
        <v>4999.85009765625</v>
      </c>
      <c r="D1093" s="259"/>
      <c r="E1093" s="263">
        <f t="shared" si="34"/>
        <v>1.6959501132323192E-3</v>
      </c>
      <c r="F1093" s="263">
        <f t="shared" si="35"/>
        <v>1.4693177906216945E-2</v>
      </c>
      <c r="G1093" s="259"/>
      <c r="H1093" s="259"/>
    </row>
    <row r="1094" spans="1:8" ht="14.25" customHeight="1" x14ac:dyDescent="0.3">
      <c r="A1094" s="261">
        <v>45538</v>
      </c>
      <c r="B1094" s="262">
        <v>25279.849609375</v>
      </c>
      <c r="C1094" s="262">
        <v>4980.60009765625</v>
      </c>
      <c r="D1094" s="259"/>
      <c r="E1094" s="263">
        <f t="shared" si="34"/>
        <v>4.5508299894905958E-5</v>
      </c>
      <c r="F1094" s="263">
        <f t="shared" si="35"/>
        <v>-3.8501154282652812E-3</v>
      </c>
      <c r="G1094" s="259"/>
      <c r="H1094" s="259"/>
    </row>
    <row r="1095" spans="1:8" ht="14.25" customHeight="1" x14ac:dyDescent="0.3">
      <c r="A1095" s="261">
        <v>45539</v>
      </c>
      <c r="B1095" s="262">
        <v>25198.69921875</v>
      </c>
      <c r="C1095" s="262">
        <v>5100.89990234375</v>
      </c>
      <c r="D1095" s="259"/>
      <c r="E1095" s="263">
        <f t="shared" si="34"/>
        <v>-3.2100820170585776E-3</v>
      </c>
      <c r="F1095" s="263">
        <f t="shared" si="35"/>
        <v>2.4153676731466591E-2</v>
      </c>
      <c r="G1095" s="259"/>
      <c r="H1095" s="259"/>
    </row>
    <row r="1096" spans="1:8" ht="14.25" customHeight="1" x14ac:dyDescent="0.3">
      <c r="A1096" s="261">
        <v>45540</v>
      </c>
      <c r="B1096" s="262">
        <v>25145.099609375</v>
      </c>
      <c r="C1096" s="262">
        <v>5308.14990234375</v>
      </c>
      <c r="D1096" s="259"/>
      <c r="E1096" s="263">
        <f t="shared" si="34"/>
        <v>-2.1270784221717794E-3</v>
      </c>
      <c r="F1096" s="263">
        <f t="shared" si="35"/>
        <v>4.0630085664839895E-2</v>
      </c>
      <c r="G1096" s="259"/>
      <c r="H1096" s="259"/>
    </row>
    <row r="1097" spans="1:8" ht="14.25" customHeight="1" x14ac:dyDescent="0.3">
      <c r="A1097" s="261">
        <v>45541</v>
      </c>
      <c r="B1097" s="262">
        <v>24852.150390625</v>
      </c>
      <c r="C1097" s="262">
        <v>5303.4501953125</v>
      </c>
      <c r="D1097" s="259"/>
      <c r="E1097" s="263">
        <f t="shared" si="34"/>
        <v>-1.1650350298901897E-2</v>
      </c>
      <c r="F1097" s="263">
        <f t="shared" si="35"/>
        <v>-8.8537571803970732E-4</v>
      </c>
      <c r="G1097" s="259"/>
      <c r="H1097" s="259"/>
    </row>
    <row r="1098" spans="1:8" ht="14.25" customHeight="1" x14ac:dyDescent="0.3">
      <c r="A1098" s="261">
        <v>45544</v>
      </c>
      <c r="B1098" s="262">
        <v>24936.400390625</v>
      </c>
      <c r="C1098" s="262">
        <v>5361.39990234375</v>
      </c>
      <c r="D1098" s="259"/>
      <c r="E1098" s="263">
        <f t="shared" si="34"/>
        <v>3.3900486950127948E-3</v>
      </c>
      <c r="F1098" s="263">
        <f t="shared" si="35"/>
        <v>1.0926793860055356E-2</v>
      </c>
      <c r="G1098" s="259"/>
      <c r="H1098" s="259"/>
    </row>
    <row r="1099" spans="1:8" ht="14.25" customHeight="1" x14ac:dyDescent="0.3">
      <c r="A1099" s="261">
        <v>45545</v>
      </c>
      <c r="B1099" s="262">
        <v>25041.099609375</v>
      </c>
      <c r="C1099" s="262">
        <v>5344.39990234375</v>
      </c>
      <c r="D1099" s="259"/>
      <c r="E1099" s="263">
        <f t="shared" si="34"/>
        <v>4.1986500501236075E-3</v>
      </c>
      <c r="F1099" s="263">
        <f t="shared" si="35"/>
        <v>-3.1708136512197879E-3</v>
      </c>
      <c r="G1099" s="259"/>
      <c r="H1099" s="259"/>
    </row>
    <row r="1100" spans="1:8" ht="14.25" customHeight="1" x14ac:dyDescent="0.3">
      <c r="A1100" s="261">
        <v>45546</v>
      </c>
      <c r="B1100" s="262">
        <v>24918.44921875</v>
      </c>
      <c r="C1100" s="262">
        <v>5299.10009765625</v>
      </c>
      <c r="D1100" s="259"/>
      <c r="E1100" s="263">
        <f t="shared" si="34"/>
        <v>-4.8979634496195048E-3</v>
      </c>
      <c r="F1100" s="263">
        <f t="shared" si="35"/>
        <v>-8.4761255735436424E-3</v>
      </c>
      <c r="G1100" s="259"/>
      <c r="H1100" s="259"/>
    </row>
    <row r="1101" spans="1:8" ht="14.25" customHeight="1" x14ac:dyDescent="0.3">
      <c r="A1101" s="261">
        <v>45547</v>
      </c>
      <c r="B1101" s="262">
        <v>25388.900390625</v>
      </c>
      <c r="C1101" s="262">
        <v>5238.5498046875</v>
      </c>
      <c r="D1101" s="259"/>
      <c r="E1101" s="263">
        <f t="shared" si="34"/>
        <v>1.8879632827271085E-2</v>
      </c>
      <c r="F1101" s="263">
        <f t="shared" si="35"/>
        <v>-1.1426523721552442E-2</v>
      </c>
      <c r="G1101" s="259"/>
      <c r="H1101" s="259"/>
    </row>
    <row r="1102" spans="1:8" ht="14.25" customHeight="1" x14ac:dyDescent="0.3">
      <c r="A1102" s="261">
        <v>45548</v>
      </c>
      <c r="B1102" s="262">
        <v>25356.5</v>
      </c>
      <c r="C1102" s="262">
        <v>5187.0498046875</v>
      </c>
      <c r="D1102" s="259"/>
      <c r="E1102" s="263">
        <f t="shared" si="34"/>
        <v>-1.2761636040355664E-3</v>
      </c>
      <c r="F1102" s="263">
        <f t="shared" si="35"/>
        <v>-9.8309650418742511E-3</v>
      </c>
      <c r="G1102" s="259"/>
      <c r="H1102" s="259"/>
    </row>
    <row r="1103" spans="1:8" ht="14.25" customHeight="1" x14ac:dyDescent="0.3">
      <c r="A1103" s="261">
        <v>45551</v>
      </c>
      <c r="B1103" s="262">
        <v>25383.75</v>
      </c>
      <c r="C1103" s="262">
        <v>5204.7998046875</v>
      </c>
      <c r="D1103" s="259"/>
      <c r="E1103" s="263">
        <f t="shared" si="34"/>
        <v>1.0746751326089958E-3</v>
      </c>
      <c r="F1103" s="263">
        <f t="shared" si="35"/>
        <v>3.421983722608457E-3</v>
      </c>
      <c r="G1103" s="259"/>
      <c r="H1103" s="259"/>
    </row>
    <row r="1104" spans="1:8" ht="14.25" customHeight="1" x14ac:dyDescent="0.3">
      <c r="A1104" s="261">
        <v>45552</v>
      </c>
      <c r="B1104" s="262">
        <v>25418.55078125</v>
      </c>
      <c r="C1104" s="262">
        <v>5219.85009765625</v>
      </c>
      <c r="D1104" s="259"/>
      <c r="E1104" s="263">
        <f t="shared" si="34"/>
        <v>1.3709866056039789E-3</v>
      </c>
      <c r="F1104" s="263">
        <f t="shared" si="35"/>
        <v>2.8916180321086589E-3</v>
      </c>
      <c r="G1104" s="259"/>
      <c r="H1104" s="259"/>
    </row>
    <row r="1105" spans="1:8" ht="14.25" customHeight="1" x14ac:dyDescent="0.3">
      <c r="A1105" s="261">
        <v>45553</v>
      </c>
      <c r="B1105" s="262">
        <v>25377.55078125</v>
      </c>
      <c r="C1105" s="262">
        <v>5265.2001953125</v>
      </c>
      <c r="D1105" s="259"/>
      <c r="E1105" s="263">
        <f t="shared" si="34"/>
        <v>-1.6129951842196943E-3</v>
      </c>
      <c r="F1105" s="263">
        <f t="shared" si="35"/>
        <v>8.6880076645519996E-3</v>
      </c>
      <c r="G1105" s="259"/>
      <c r="H1105" s="259"/>
    </row>
    <row r="1106" spans="1:8" ht="14.25" customHeight="1" x14ac:dyDescent="0.3">
      <c r="A1106" s="261">
        <v>45554</v>
      </c>
      <c r="B1106" s="262">
        <v>25415.80078125</v>
      </c>
      <c r="C1106" s="262">
        <v>5342.5</v>
      </c>
      <c r="D1106" s="259"/>
      <c r="E1106" s="263">
        <f t="shared" si="34"/>
        <v>1.5072376499098844E-3</v>
      </c>
      <c r="F1106" s="263">
        <f t="shared" si="35"/>
        <v>1.468126601459873E-2</v>
      </c>
      <c r="G1106" s="259"/>
      <c r="H1106" s="259"/>
    </row>
    <row r="1107" spans="1:8" ht="14.25" customHeight="1" x14ac:dyDescent="0.3">
      <c r="A1107" s="261">
        <v>45555</v>
      </c>
      <c r="B1107" s="262">
        <v>25790.94921875</v>
      </c>
      <c r="C1107" s="262">
        <v>5320.5498046875</v>
      </c>
      <c r="D1107" s="259"/>
      <c r="E1107" s="263">
        <f t="shared" si="34"/>
        <v>1.4760441377741608E-2</v>
      </c>
      <c r="F1107" s="263">
        <f t="shared" si="35"/>
        <v>-4.1085999649040708E-3</v>
      </c>
      <c r="G1107" s="259"/>
      <c r="H1107" s="259"/>
    </row>
    <row r="1108" spans="1:8" ht="14.25" customHeight="1" x14ac:dyDescent="0.3">
      <c r="A1108" s="261">
        <v>45558</v>
      </c>
      <c r="B1108" s="262">
        <v>25939.05078125</v>
      </c>
      <c r="C1108" s="262">
        <v>5297.4501953125</v>
      </c>
      <c r="D1108" s="259"/>
      <c r="E1108" s="263">
        <f t="shared" si="34"/>
        <v>5.7423850996662926E-3</v>
      </c>
      <c r="F1108" s="263">
        <f t="shared" si="35"/>
        <v>-4.3415831489160821E-3</v>
      </c>
      <c r="G1108" s="259"/>
      <c r="H1108" s="259"/>
    </row>
    <row r="1109" spans="1:8" ht="14.25" customHeight="1" x14ac:dyDescent="0.3">
      <c r="A1109" s="261">
        <v>45559</v>
      </c>
      <c r="B1109" s="262">
        <v>25940.400390625</v>
      </c>
      <c r="C1109" s="262">
        <v>5391.4501953125</v>
      </c>
      <c r="D1109" s="259"/>
      <c r="E1109" s="263">
        <f t="shared" si="34"/>
        <v>5.2030021699003842E-5</v>
      </c>
      <c r="F1109" s="263">
        <f t="shared" si="35"/>
        <v>1.774438579586398E-2</v>
      </c>
      <c r="G1109" s="259"/>
      <c r="H1109" s="259"/>
    </row>
    <row r="1110" spans="1:8" ht="14.25" customHeight="1" x14ac:dyDescent="0.3">
      <c r="A1110" s="261">
        <v>45560</v>
      </c>
      <c r="B1110" s="262">
        <v>26004.150390625</v>
      </c>
      <c r="C1110" s="262">
        <v>5265.5</v>
      </c>
      <c r="D1110" s="259"/>
      <c r="E1110" s="263">
        <f t="shared" si="34"/>
        <v>2.4575565157058869E-3</v>
      </c>
      <c r="F1110" s="263">
        <f t="shared" si="35"/>
        <v>-2.3361097802963134E-2</v>
      </c>
      <c r="G1110" s="259"/>
      <c r="H1110" s="259"/>
    </row>
    <row r="1111" spans="1:8" ht="14.25" customHeight="1" x14ac:dyDescent="0.3">
      <c r="A1111" s="261">
        <v>45561</v>
      </c>
      <c r="B1111" s="262">
        <v>26216.05078125</v>
      </c>
      <c r="C1111" s="262">
        <v>5198.0498046875</v>
      </c>
      <c r="D1111" s="259"/>
      <c r="E1111" s="263">
        <f t="shared" si="34"/>
        <v>8.1487142414540942E-3</v>
      </c>
      <c r="F1111" s="263">
        <f t="shared" si="35"/>
        <v>-1.2809836732029248E-2</v>
      </c>
      <c r="G1111" s="259"/>
      <c r="H1111" s="259"/>
    </row>
    <row r="1112" spans="1:8" ht="14.25" customHeight="1" x14ac:dyDescent="0.3">
      <c r="A1112" s="261">
        <v>45562</v>
      </c>
      <c r="B1112" s="262">
        <v>26178.94921875</v>
      </c>
      <c r="C1112" s="262">
        <v>5102.2998046875</v>
      </c>
      <c r="D1112" s="259"/>
      <c r="E1112" s="263">
        <f t="shared" si="34"/>
        <v>-1.4152231703234049E-3</v>
      </c>
      <c r="F1112" s="263">
        <f t="shared" si="35"/>
        <v>-1.8420369869033289E-2</v>
      </c>
      <c r="G1112" s="259"/>
      <c r="H1112" s="259"/>
    </row>
    <row r="1113" spans="1:8" ht="14.25" customHeight="1" x14ac:dyDescent="0.3">
      <c r="A1113" s="261">
        <v>45565</v>
      </c>
      <c r="B1113" s="262">
        <v>25810.849609375</v>
      </c>
      <c r="C1113" s="262">
        <v>5096.2998046875</v>
      </c>
      <c r="D1113" s="259"/>
      <c r="E1113" s="263">
        <f t="shared" si="34"/>
        <v>-1.406090085202343E-2</v>
      </c>
      <c r="F1113" s="263">
        <f t="shared" si="35"/>
        <v>-1.1759403072488567E-3</v>
      </c>
      <c r="G1113" s="259"/>
      <c r="H1113" s="259"/>
    </row>
    <row r="1114" spans="1:8" ht="14.25" customHeight="1" x14ac:dyDescent="0.3">
      <c r="A1114" s="261">
        <v>45566</v>
      </c>
      <c r="B1114" s="262">
        <v>25796.900390625</v>
      </c>
      <c r="C1114" s="262">
        <v>4954.35009765625</v>
      </c>
      <c r="D1114" s="259"/>
      <c r="E1114" s="263">
        <f t="shared" si="34"/>
        <v>-5.4044012347944466E-4</v>
      </c>
      <c r="F1114" s="263">
        <f t="shared" si="35"/>
        <v>-2.7853484385021225E-2</v>
      </c>
      <c r="G1114" s="259"/>
      <c r="H1114" s="259"/>
    </row>
    <row r="1115" spans="1:8" ht="14.25" customHeight="1" x14ac:dyDescent="0.3">
      <c r="A1115" s="261">
        <v>45568</v>
      </c>
      <c r="B1115" s="262">
        <v>25250.099609375</v>
      </c>
      <c r="C1115" s="262">
        <v>4942.60009765625</v>
      </c>
      <c r="D1115" s="259"/>
      <c r="E1115" s="263">
        <f t="shared" si="34"/>
        <v>-2.1196375260987402E-2</v>
      </c>
      <c r="F1115" s="263">
        <f t="shared" si="35"/>
        <v>-2.3716531469099374E-3</v>
      </c>
      <c r="G1115" s="259"/>
      <c r="H1115" s="259"/>
    </row>
    <row r="1116" spans="1:8" ht="14.25" customHeight="1" x14ac:dyDescent="0.3">
      <c r="A1116" s="261">
        <v>45569</v>
      </c>
      <c r="B1116" s="262">
        <v>25014.599609375</v>
      </c>
      <c r="C1116" s="262">
        <v>4737.5498046875</v>
      </c>
      <c r="D1116" s="259"/>
      <c r="E1116" s="263">
        <f t="shared" si="34"/>
        <v>-9.3266958801446562E-3</v>
      </c>
      <c r="F1116" s="263">
        <f t="shared" si="35"/>
        <v>-4.1486320745630134E-2</v>
      </c>
      <c r="G1116" s="259"/>
      <c r="H1116" s="259"/>
    </row>
    <row r="1117" spans="1:8" ht="14.25" customHeight="1" x14ac:dyDescent="0.3">
      <c r="A1117" s="261">
        <v>45572</v>
      </c>
      <c r="B1117" s="262">
        <v>24795.75</v>
      </c>
      <c r="C1117" s="262">
        <v>4544.14990234375</v>
      </c>
      <c r="D1117" s="259"/>
      <c r="E1117" s="263">
        <f t="shared" si="34"/>
        <v>-8.7488751686027114E-3</v>
      </c>
      <c r="F1117" s="263">
        <f t="shared" si="35"/>
        <v>-4.082276921973322E-2</v>
      </c>
      <c r="G1117" s="259"/>
      <c r="H1117" s="259"/>
    </row>
    <row r="1118" spans="1:8" ht="14.25" customHeight="1" x14ac:dyDescent="0.3">
      <c r="A1118" s="261">
        <v>45573</v>
      </c>
      <c r="B1118" s="262">
        <v>25013.150390625</v>
      </c>
      <c r="C1118" s="262">
        <v>4465.4501953125</v>
      </c>
      <c r="D1118" s="259"/>
      <c r="E1118" s="263">
        <f t="shared" si="34"/>
        <v>8.7676473034693451E-3</v>
      </c>
      <c r="F1118" s="263">
        <f t="shared" si="35"/>
        <v>-1.7318906445110627E-2</v>
      </c>
      <c r="G1118" s="259"/>
      <c r="H1118" s="259"/>
    </row>
    <row r="1119" spans="1:8" ht="14.25" customHeight="1" x14ac:dyDescent="0.3">
      <c r="A1119" s="261">
        <v>45574</v>
      </c>
      <c r="B1119" s="262">
        <v>24981.94921875</v>
      </c>
      <c r="C1119" s="262">
        <v>4645.39990234375</v>
      </c>
      <c r="D1119" s="259"/>
      <c r="E1119" s="263">
        <f t="shared" si="34"/>
        <v>-1.2473907279865989E-3</v>
      </c>
      <c r="F1119" s="263">
        <f t="shared" si="35"/>
        <v>4.029822283543727E-2</v>
      </c>
      <c r="G1119" s="259"/>
      <c r="H1119" s="259"/>
    </row>
    <row r="1120" spans="1:8" ht="14.25" customHeight="1" x14ac:dyDescent="0.3">
      <c r="A1120" s="261">
        <v>45575</v>
      </c>
      <c r="B1120" s="262">
        <v>24998.44921875</v>
      </c>
      <c r="C1120" s="262">
        <v>4607.5</v>
      </c>
      <c r="D1120" s="259"/>
      <c r="E1120" s="263">
        <f t="shared" si="34"/>
        <v>6.6047688495083712E-4</v>
      </c>
      <c r="F1120" s="263">
        <f t="shared" si="35"/>
        <v>-8.1585876653220563E-3</v>
      </c>
      <c r="G1120" s="259"/>
      <c r="H1120" s="259"/>
    </row>
    <row r="1121" spans="1:8" ht="14.25" customHeight="1" x14ac:dyDescent="0.3">
      <c r="A1121" s="261">
        <v>45576</v>
      </c>
      <c r="B1121" s="262">
        <v>24964.25</v>
      </c>
      <c r="C1121" s="262">
        <v>4572.7001953125</v>
      </c>
      <c r="D1121" s="259"/>
      <c r="E1121" s="263">
        <f t="shared" si="34"/>
        <v>-1.3680536120756241E-3</v>
      </c>
      <c r="F1121" s="263">
        <f t="shared" si="35"/>
        <v>-7.5528604856212695E-3</v>
      </c>
      <c r="G1121" s="259"/>
      <c r="H1121" s="259"/>
    </row>
    <row r="1122" spans="1:8" ht="14.25" customHeight="1" x14ac:dyDescent="0.3">
      <c r="A1122" s="261">
        <v>45579</v>
      </c>
      <c r="B1122" s="262">
        <v>25127.94921875</v>
      </c>
      <c r="C1122" s="262">
        <v>4183.60009765625</v>
      </c>
      <c r="D1122" s="259"/>
      <c r="E1122" s="263">
        <f t="shared" si="34"/>
        <v>6.5573457544288337E-3</v>
      </c>
      <c r="F1122" s="263">
        <f t="shared" si="35"/>
        <v>-8.5091976520813378E-2</v>
      </c>
      <c r="G1122" s="259"/>
      <c r="H1122" s="259"/>
    </row>
    <row r="1123" spans="1:8" ht="14.25" customHeight="1" x14ac:dyDescent="0.3">
      <c r="A1123" s="261">
        <v>45580</v>
      </c>
      <c r="B1123" s="262">
        <v>25057.349609375</v>
      </c>
      <c r="C1123" s="262">
        <v>4193.5498046875</v>
      </c>
      <c r="D1123" s="259"/>
      <c r="E1123" s="263">
        <f t="shared" si="34"/>
        <v>-2.8096049048968912E-3</v>
      </c>
      <c r="F1123" s="263">
        <f t="shared" si="35"/>
        <v>2.3782643653785305E-3</v>
      </c>
      <c r="G1123" s="259"/>
      <c r="H1123" s="259"/>
    </row>
    <row r="1124" spans="1:8" ht="14.25" customHeight="1" x14ac:dyDescent="0.3">
      <c r="A1124" s="261">
        <v>45581</v>
      </c>
      <c r="B1124" s="262">
        <v>24971.30078125</v>
      </c>
      <c r="C1124" s="262">
        <v>4173.7998046875</v>
      </c>
      <c r="D1124" s="259"/>
      <c r="E1124" s="263">
        <f t="shared" si="34"/>
        <v>-3.4340754096676505E-3</v>
      </c>
      <c r="F1124" s="263">
        <f t="shared" si="35"/>
        <v>-4.7096137925734622E-3</v>
      </c>
      <c r="G1124" s="259"/>
      <c r="H1124" s="259"/>
    </row>
    <row r="1125" spans="1:8" ht="14.25" customHeight="1" x14ac:dyDescent="0.3">
      <c r="A1125" s="261">
        <v>45582</v>
      </c>
      <c r="B1125" s="262">
        <v>24749.849609375</v>
      </c>
      <c r="C1125" s="262">
        <v>4087.69995117188</v>
      </c>
      <c r="D1125" s="259"/>
      <c r="E1125" s="263">
        <f t="shared" si="34"/>
        <v>-8.8682273228345102E-3</v>
      </c>
      <c r="F1125" s="263">
        <f t="shared" si="35"/>
        <v>-2.0628649562665465E-2</v>
      </c>
      <c r="G1125" s="259"/>
      <c r="H1125" s="259"/>
    </row>
    <row r="1126" spans="1:8" ht="14.25" customHeight="1" x14ac:dyDescent="0.3">
      <c r="A1126" s="261">
        <v>45583</v>
      </c>
      <c r="B1126" s="262">
        <v>24854.05078125</v>
      </c>
      <c r="C1126" s="262">
        <v>3986.69995117188</v>
      </c>
      <c r="D1126" s="259"/>
      <c r="E1126" s="263">
        <f t="shared" si="34"/>
        <v>4.2101739412400158E-3</v>
      </c>
      <c r="F1126" s="263">
        <f t="shared" si="35"/>
        <v>-2.4708271450071786E-2</v>
      </c>
      <c r="G1126" s="259"/>
      <c r="H1126" s="259"/>
    </row>
    <row r="1127" spans="1:8" ht="14.25" customHeight="1" x14ac:dyDescent="0.3">
      <c r="A1127" s="261">
        <v>45586</v>
      </c>
      <c r="B1127" s="262">
        <v>24781.099609375</v>
      </c>
      <c r="C1127" s="262">
        <v>3973.44995117188</v>
      </c>
      <c r="D1127" s="259"/>
      <c r="E1127" s="263">
        <f t="shared" si="34"/>
        <v>-2.9351823779983047E-3</v>
      </c>
      <c r="F1127" s="263">
        <f t="shared" si="35"/>
        <v>-3.3235508471374168E-3</v>
      </c>
      <c r="G1127" s="259"/>
      <c r="H1127" s="259"/>
    </row>
    <row r="1128" spans="1:8" ht="14.25" customHeight="1" x14ac:dyDescent="0.3">
      <c r="A1128" s="261">
        <v>45587</v>
      </c>
      <c r="B1128" s="262">
        <v>24472.099609375</v>
      </c>
      <c r="C1128" s="262">
        <v>4005.19995117188</v>
      </c>
      <c r="D1128" s="259"/>
      <c r="E1128" s="263">
        <f t="shared" si="34"/>
        <v>-1.2469180337869326E-2</v>
      </c>
      <c r="F1128" s="263">
        <f t="shared" si="35"/>
        <v>7.9905372887951066E-3</v>
      </c>
      <c r="G1128" s="259"/>
      <c r="H1128" s="259"/>
    </row>
    <row r="1129" spans="1:8" ht="14.25" customHeight="1" x14ac:dyDescent="0.3">
      <c r="A1129" s="261">
        <v>45588</v>
      </c>
      <c r="B1129" s="262">
        <v>24435.5</v>
      </c>
      <c r="C1129" s="262">
        <v>4156.10009765625</v>
      </c>
      <c r="D1129" s="259"/>
      <c r="E1129" s="263">
        <f t="shared" si="34"/>
        <v>-1.4955647434917714E-3</v>
      </c>
      <c r="F1129" s="263">
        <f t="shared" si="35"/>
        <v>3.7676058205338335E-2</v>
      </c>
      <c r="G1129" s="259"/>
      <c r="H1129" s="259"/>
    </row>
    <row r="1130" spans="1:8" ht="14.25" customHeight="1" x14ac:dyDescent="0.3">
      <c r="A1130" s="261">
        <v>45589</v>
      </c>
      <c r="B1130" s="262">
        <v>24399.400390625</v>
      </c>
      <c r="C1130" s="262">
        <v>4060.10009765625</v>
      </c>
      <c r="D1130" s="259"/>
      <c r="E1130" s="263">
        <f t="shared" si="34"/>
        <v>-1.4773427748562542E-3</v>
      </c>
      <c r="F1130" s="263">
        <f t="shared" si="35"/>
        <v>-2.3098577451042934E-2</v>
      </c>
      <c r="G1130" s="259"/>
      <c r="H1130" s="259"/>
    </row>
    <row r="1131" spans="1:8" ht="14.25" customHeight="1" x14ac:dyDescent="0.3">
      <c r="A1131" s="261">
        <v>45590</v>
      </c>
      <c r="B1131" s="262">
        <v>24180.80078125</v>
      </c>
      <c r="C1131" s="262">
        <v>4052.19995117188</v>
      </c>
      <c r="D1131" s="259"/>
      <c r="E1131" s="263">
        <f t="shared" si="34"/>
        <v>-8.9592205494932031E-3</v>
      </c>
      <c r="F1131" s="263">
        <f t="shared" si="35"/>
        <v>-1.945800914842092E-3</v>
      </c>
      <c r="G1131" s="259"/>
      <c r="H1131" s="259"/>
    </row>
    <row r="1132" spans="1:8" ht="14.25" customHeight="1" x14ac:dyDescent="0.3">
      <c r="A1132" s="261">
        <v>45593</v>
      </c>
      <c r="B1132" s="262">
        <v>24339.150390625</v>
      </c>
      <c r="C1132" s="262">
        <v>3987.5</v>
      </c>
      <c r="D1132" s="259"/>
      <c r="E1132" s="263">
        <f t="shared" si="34"/>
        <v>6.5485676346080995E-3</v>
      </c>
      <c r="F1132" s="263">
        <f t="shared" si="35"/>
        <v>-1.5966623550540501E-2</v>
      </c>
      <c r="G1132" s="259"/>
      <c r="H1132" s="259"/>
    </row>
    <row r="1133" spans="1:8" ht="14.25" customHeight="1" x14ac:dyDescent="0.3">
      <c r="A1133" s="261">
        <v>45594</v>
      </c>
      <c r="B1133" s="262">
        <v>24466.849609375</v>
      </c>
      <c r="C1133" s="262">
        <v>3965.14990234375</v>
      </c>
      <c r="D1133" s="259"/>
      <c r="E1133" s="263">
        <f t="shared" si="34"/>
        <v>5.2466588480092318E-3</v>
      </c>
      <c r="F1133" s="263">
        <f t="shared" si="35"/>
        <v>-5.6050401645768022E-3</v>
      </c>
      <c r="G1133" s="259"/>
      <c r="H1133" s="259"/>
    </row>
    <row r="1134" spans="1:8" ht="14.25" customHeight="1" x14ac:dyDescent="0.3">
      <c r="A1134" s="261">
        <v>45595</v>
      </c>
      <c r="B1134" s="262">
        <v>24340.849609375</v>
      </c>
      <c r="C1134" s="262">
        <v>3932.44995117188</v>
      </c>
      <c r="D1134" s="259"/>
      <c r="E1134" s="263">
        <f t="shared" si="34"/>
        <v>-5.149825253829181E-3</v>
      </c>
      <c r="F1134" s="263">
        <f t="shared" si="35"/>
        <v>-8.2468385753944554E-3</v>
      </c>
      <c r="G1134" s="259"/>
      <c r="H1134" s="259"/>
    </row>
    <row r="1135" spans="1:8" ht="14.25" customHeight="1" x14ac:dyDescent="0.3">
      <c r="A1135" s="261">
        <v>45596</v>
      </c>
      <c r="B1135" s="262">
        <v>24205.349609375</v>
      </c>
      <c r="C1135" s="262">
        <v>3930.69995117188</v>
      </c>
      <c r="D1135" s="259"/>
      <c r="E1135" s="263">
        <f t="shared" si="34"/>
        <v>-5.566773640794013E-3</v>
      </c>
      <c r="F1135" s="263">
        <f t="shared" si="35"/>
        <v>-4.4501519961582614E-4</v>
      </c>
      <c r="G1135" s="259"/>
      <c r="H1135" s="259"/>
    </row>
    <row r="1136" spans="1:8" ht="14.25" customHeight="1" x14ac:dyDescent="0.3">
      <c r="A1136" s="261">
        <v>45597</v>
      </c>
      <c r="B1136" s="262">
        <v>24304.349609375</v>
      </c>
      <c r="C1136" s="262">
        <v>4001.60009765625</v>
      </c>
      <c r="D1136" s="259"/>
      <c r="E1136" s="263">
        <f t="shared" si="34"/>
        <v>4.0900049616162618E-3</v>
      </c>
      <c r="F1136" s="263">
        <f t="shared" si="35"/>
        <v>1.8037537172795947E-2</v>
      </c>
      <c r="G1136" s="259"/>
      <c r="H1136" s="259"/>
    </row>
    <row r="1137" spans="1:8" ht="14.25" customHeight="1" x14ac:dyDescent="0.3">
      <c r="A1137" s="261">
        <v>45600</v>
      </c>
      <c r="B1137" s="262">
        <v>23995.349609375</v>
      </c>
      <c r="C1137" s="262">
        <v>3945.85009765625</v>
      </c>
      <c r="D1137" s="259"/>
      <c r="E1137" s="263">
        <f t="shared" si="34"/>
        <v>-1.2713773664645128E-2</v>
      </c>
      <c r="F1137" s="263">
        <f t="shared" si="35"/>
        <v>-1.3931926889109422E-2</v>
      </c>
      <c r="G1137" s="259"/>
      <c r="H1137" s="259"/>
    </row>
    <row r="1138" spans="1:8" ht="14.25" customHeight="1" x14ac:dyDescent="0.3">
      <c r="A1138" s="261">
        <v>45601</v>
      </c>
      <c r="B1138" s="262">
        <v>24213.30078125</v>
      </c>
      <c r="C1138" s="262">
        <v>3926.55004882813</v>
      </c>
      <c r="D1138" s="259"/>
      <c r="E1138" s="263">
        <f t="shared" si="34"/>
        <v>9.0830588186073483E-3</v>
      </c>
      <c r="F1138" s="263">
        <f t="shared" si="35"/>
        <v>-4.8912270741313284E-3</v>
      </c>
      <c r="G1138" s="259"/>
      <c r="H1138" s="259"/>
    </row>
    <row r="1139" spans="1:8" ht="14.25" customHeight="1" x14ac:dyDescent="0.3">
      <c r="A1139" s="261">
        <v>45602</v>
      </c>
      <c r="B1139" s="262">
        <v>24484.05078125</v>
      </c>
      <c r="C1139" s="262">
        <v>3922.30004882813</v>
      </c>
      <c r="D1139" s="259"/>
      <c r="E1139" s="263">
        <f t="shared" si="34"/>
        <v>1.1181870759630595E-2</v>
      </c>
      <c r="F1139" s="263">
        <f t="shared" si="35"/>
        <v>-1.0823750995529531E-3</v>
      </c>
      <c r="G1139" s="259"/>
      <c r="H1139" s="259"/>
    </row>
    <row r="1140" spans="1:8" ht="14.25" customHeight="1" x14ac:dyDescent="0.3">
      <c r="A1140" s="261">
        <v>45603</v>
      </c>
      <c r="B1140" s="262">
        <v>24199.349609375</v>
      </c>
      <c r="C1140" s="262">
        <v>3889.10009765625</v>
      </c>
      <c r="D1140" s="259"/>
      <c r="E1140" s="263">
        <f t="shared" si="34"/>
        <v>-1.1628025706147672E-2</v>
      </c>
      <c r="F1140" s="263">
        <f t="shared" si="35"/>
        <v>-8.4644088311905639E-3</v>
      </c>
      <c r="G1140" s="259"/>
      <c r="H1140" s="259"/>
    </row>
    <row r="1141" spans="1:8" ht="14.25" customHeight="1" x14ac:dyDescent="0.3">
      <c r="A1141" s="261">
        <v>45604</v>
      </c>
      <c r="B1141" s="262">
        <v>24148.19921875</v>
      </c>
      <c r="C1141" s="262">
        <v>3874.5</v>
      </c>
      <c r="D1141" s="259"/>
      <c r="E1141" s="263">
        <f t="shared" si="34"/>
        <v>-2.1137093124678017E-3</v>
      </c>
      <c r="F1141" s="263">
        <f t="shared" si="35"/>
        <v>-3.7541069372446054E-3</v>
      </c>
      <c r="G1141" s="259"/>
      <c r="H1141" s="259"/>
    </row>
    <row r="1142" spans="1:8" ht="14.25" customHeight="1" x14ac:dyDescent="0.3">
      <c r="A1142" s="261">
        <v>45607</v>
      </c>
      <c r="B1142" s="262">
        <v>24141.30078125</v>
      </c>
      <c r="C1142" s="262">
        <v>3885.69995117188</v>
      </c>
      <c r="D1142" s="259"/>
      <c r="E1142" s="263">
        <f t="shared" si="34"/>
        <v>-2.8567088740280355E-4</v>
      </c>
      <c r="F1142" s="263">
        <f t="shared" si="35"/>
        <v>2.8906829711911222E-3</v>
      </c>
      <c r="G1142" s="259"/>
      <c r="H1142" s="259"/>
    </row>
    <row r="1143" spans="1:8" ht="14.25" customHeight="1" x14ac:dyDescent="0.3">
      <c r="A1143" s="261">
        <v>45608</v>
      </c>
      <c r="B1143" s="262">
        <v>23883.44921875</v>
      </c>
      <c r="C1143" s="262">
        <v>3777</v>
      </c>
      <c r="D1143" s="259"/>
      <c r="E1143" s="263">
        <f t="shared" si="34"/>
        <v>-1.0680930776533279E-2</v>
      </c>
      <c r="F1143" s="263">
        <f t="shared" si="35"/>
        <v>-2.797435533824412E-2</v>
      </c>
      <c r="G1143" s="259"/>
      <c r="H1143" s="259"/>
    </row>
    <row r="1144" spans="1:8" ht="14.25" customHeight="1" x14ac:dyDescent="0.3">
      <c r="A1144" s="261">
        <v>45609</v>
      </c>
      <c r="B1144" s="262">
        <v>23559.05078125</v>
      </c>
      <c r="C1144" s="262">
        <v>3759.55004882813</v>
      </c>
      <c r="D1144" s="259"/>
      <c r="E1144" s="263">
        <f t="shared" si="34"/>
        <v>-1.3582562322921387E-2</v>
      </c>
      <c r="F1144" s="263">
        <f t="shared" si="35"/>
        <v>-4.620055909947047E-3</v>
      </c>
      <c r="G1144" s="259"/>
      <c r="H1144" s="259"/>
    </row>
    <row r="1145" spans="1:8" ht="14.25" customHeight="1" x14ac:dyDescent="0.3">
      <c r="A1145" s="261">
        <v>45610</v>
      </c>
      <c r="B1145" s="262">
        <v>23532.69921875</v>
      </c>
      <c r="C1145" s="262">
        <v>3823.85009765625</v>
      </c>
      <c r="D1145" s="259"/>
      <c r="E1145" s="263">
        <f t="shared" si="34"/>
        <v>-1.1185324376894032E-3</v>
      </c>
      <c r="F1145" s="263">
        <f t="shared" si="35"/>
        <v>1.7103123510262254E-2</v>
      </c>
      <c r="G1145" s="259"/>
      <c r="H1145" s="259"/>
    </row>
    <row r="1146" spans="1:8" ht="14.25" customHeight="1" x14ac:dyDescent="0.3">
      <c r="A1146" s="261">
        <v>45614</v>
      </c>
      <c r="B1146" s="262">
        <v>23453.80078125</v>
      </c>
      <c r="C1146" s="262">
        <v>3790.55004882813</v>
      </c>
      <c r="D1146" s="259"/>
      <c r="E1146" s="263">
        <f t="shared" si="34"/>
        <v>-3.3527151631265739E-3</v>
      </c>
      <c r="F1146" s="263">
        <f t="shared" si="35"/>
        <v>-8.708513141906524E-3</v>
      </c>
      <c r="G1146" s="259"/>
      <c r="H1146" s="259"/>
    </row>
    <row r="1147" spans="1:8" ht="14.25" customHeight="1" x14ac:dyDescent="0.3">
      <c r="A1147" s="261">
        <v>45615</v>
      </c>
      <c r="B1147" s="262">
        <v>23518.5</v>
      </c>
      <c r="C1147" s="262">
        <v>3752.44995117188</v>
      </c>
      <c r="D1147" s="259"/>
      <c r="E1147" s="263">
        <f t="shared" si="34"/>
        <v>2.7585814066316875E-3</v>
      </c>
      <c r="F1147" s="263">
        <f t="shared" si="35"/>
        <v>-1.0051337448513274E-2</v>
      </c>
      <c r="G1147" s="259"/>
      <c r="H1147" s="259"/>
    </row>
    <row r="1148" spans="1:8" ht="14.25" customHeight="1" x14ac:dyDescent="0.3">
      <c r="A1148" s="261">
        <v>45617</v>
      </c>
      <c r="B1148" s="262">
        <v>23349.900390625</v>
      </c>
      <c r="C1148" s="262">
        <v>3622.89990234375</v>
      </c>
      <c r="D1148" s="259"/>
      <c r="E1148" s="263">
        <f t="shared" si="34"/>
        <v>-7.1688079331164827E-3</v>
      </c>
      <c r="F1148" s="263">
        <f t="shared" si="35"/>
        <v>-3.4524124375775317E-2</v>
      </c>
      <c r="G1148" s="259"/>
      <c r="H1148" s="259"/>
    </row>
    <row r="1149" spans="1:8" ht="14.25" customHeight="1" x14ac:dyDescent="0.3">
      <c r="A1149" s="261">
        <v>45618</v>
      </c>
      <c r="B1149" s="262">
        <v>23907.25</v>
      </c>
      <c r="C1149" s="262">
        <v>3613.64990234375</v>
      </c>
      <c r="D1149" s="259"/>
      <c r="E1149" s="263">
        <f t="shared" si="34"/>
        <v>2.3869464111237762E-2</v>
      </c>
      <c r="F1149" s="263">
        <f t="shared" si="35"/>
        <v>-2.5532033037997904E-3</v>
      </c>
      <c r="G1149" s="259"/>
      <c r="H1149" s="259"/>
    </row>
    <row r="1150" spans="1:8" ht="14.25" customHeight="1" x14ac:dyDescent="0.3">
      <c r="A1150" s="261">
        <v>45621</v>
      </c>
      <c r="B1150" s="262">
        <v>24221.900390625</v>
      </c>
      <c r="C1150" s="262">
        <v>3621.05004882813</v>
      </c>
      <c r="D1150" s="259"/>
      <c r="E1150" s="263">
        <f t="shared" si="34"/>
        <v>1.3161295867362411E-2</v>
      </c>
      <c r="F1150" s="263">
        <f t="shared" si="35"/>
        <v>2.0478316063712748E-3</v>
      </c>
      <c r="G1150" s="259"/>
      <c r="H1150" s="259"/>
    </row>
    <row r="1151" spans="1:8" ht="14.25" customHeight="1" x14ac:dyDescent="0.3">
      <c r="A1151" s="261">
        <v>45622</v>
      </c>
      <c r="B1151" s="262">
        <v>24194.5</v>
      </c>
      <c r="C1151" s="262">
        <v>3659.14990234375</v>
      </c>
      <c r="D1151" s="259"/>
      <c r="E1151" s="263">
        <f t="shared" si="34"/>
        <v>-1.1312238174179439E-3</v>
      </c>
      <c r="F1151" s="263">
        <f t="shared" si="35"/>
        <v>1.052176937680001E-2</v>
      </c>
      <c r="G1151" s="259"/>
      <c r="H1151" s="259"/>
    </row>
    <row r="1152" spans="1:8" ht="14.25" customHeight="1" x14ac:dyDescent="0.3">
      <c r="A1152" s="261">
        <v>45623</v>
      </c>
      <c r="B1152" s="262">
        <v>24274.900390625</v>
      </c>
      <c r="C1152" s="262">
        <v>3661.25</v>
      </c>
      <c r="D1152" s="259"/>
      <c r="E1152" s="263">
        <f t="shared" si="34"/>
        <v>3.3230854378061129E-3</v>
      </c>
      <c r="F1152" s="263">
        <f t="shared" si="35"/>
        <v>5.7393047901777689E-4</v>
      </c>
      <c r="G1152" s="259"/>
      <c r="H1152" s="259"/>
    </row>
    <row r="1153" spans="1:8" ht="14.25" customHeight="1" x14ac:dyDescent="0.3">
      <c r="A1153" s="261">
        <v>45624</v>
      </c>
      <c r="B1153" s="262">
        <v>23914.150390625</v>
      </c>
      <c r="C1153" s="262">
        <v>3716.55004882813</v>
      </c>
      <c r="D1153" s="259"/>
      <c r="E1153" s="263">
        <f t="shared" si="34"/>
        <v>-1.4861029054492934E-2</v>
      </c>
      <c r="F1153" s="263">
        <f t="shared" si="35"/>
        <v>1.5104144439229772E-2</v>
      </c>
      <c r="G1153" s="259"/>
      <c r="H1153" s="259"/>
    </row>
    <row r="1154" spans="1:8" ht="14.25" customHeight="1" x14ac:dyDescent="0.3">
      <c r="A1154" s="261">
        <v>45625</v>
      </c>
      <c r="B1154" s="262">
        <v>24131.099609375</v>
      </c>
      <c r="C1154" s="262">
        <v>3709.60009765625</v>
      </c>
      <c r="D1154" s="259"/>
      <c r="E1154" s="263">
        <f t="shared" si="34"/>
        <v>9.0720019405351737E-3</v>
      </c>
      <c r="F1154" s="263">
        <f t="shared" si="35"/>
        <v>-1.8700006943459298E-3</v>
      </c>
      <c r="G1154" s="259"/>
      <c r="H1154" s="259"/>
    </row>
    <row r="1155" spans="1:8" ht="14.25" customHeight="1" x14ac:dyDescent="0.3">
      <c r="A1155" s="261">
        <v>45628</v>
      </c>
      <c r="B1155" s="262">
        <v>24276.05078125</v>
      </c>
      <c r="C1155" s="262">
        <v>3678.39990234375</v>
      </c>
      <c r="D1155" s="259"/>
      <c r="E1155" s="263">
        <f t="shared" ref="E1155:E1218" si="36">(B1155-B1154)/B1154</f>
        <v>6.0068200049485541E-3</v>
      </c>
      <c r="F1155" s="263">
        <f t="shared" ref="F1155:F1218" si="37">(C1155-C1154)/C1154</f>
        <v>-8.4106627375313287E-3</v>
      </c>
      <c r="G1155" s="259"/>
      <c r="H1155" s="259"/>
    </row>
    <row r="1156" spans="1:8" ht="14.25" customHeight="1" x14ac:dyDescent="0.3">
      <c r="A1156" s="261">
        <v>45629</v>
      </c>
      <c r="B1156" s="262">
        <v>24457.150390625</v>
      </c>
      <c r="C1156" s="262">
        <v>3829.85009765625</v>
      </c>
      <c r="D1156" s="259"/>
      <c r="E1156" s="263">
        <f t="shared" si="36"/>
        <v>7.4600111445999777E-3</v>
      </c>
      <c r="F1156" s="263">
        <f t="shared" si="37"/>
        <v>4.1172846708701014E-2</v>
      </c>
      <c r="G1156" s="259"/>
      <c r="H1156" s="259"/>
    </row>
    <row r="1157" spans="1:8" ht="14.25" customHeight="1" x14ac:dyDescent="0.3">
      <c r="A1157" s="261">
        <v>45630</v>
      </c>
      <c r="B1157" s="262">
        <v>24467.44921875</v>
      </c>
      <c r="C1157" s="262">
        <v>3850.10009765625</v>
      </c>
      <c r="D1157" s="259"/>
      <c r="E1157" s="263">
        <f t="shared" si="36"/>
        <v>4.2109681465375389E-4</v>
      </c>
      <c r="F1157" s="263">
        <f t="shared" si="37"/>
        <v>5.2874132103479391E-3</v>
      </c>
      <c r="G1157" s="259"/>
      <c r="H1157" s="259"/>
    </row>
    <row r="1158" spans="1:8" ht="14.25" customHeight="1" x14ac:dyDescent="0.3">
      <c r="A1158" s="261">
        <v>45631</v>
      </c>
      <c r="B1158" s="262">
        <v>24708.400390625</v>
      </c>
      <c r="C1158" s="262">
        <v>3863.94995117188</v>
      </c>
      <c r="D1158" s="259"/>
      <c r="E1158" s="263">
        <f t="shared" si="36"/>
        <v>9.8478255628851284E-3</v>
      </c>
      <c r="F1158" s="263">
        <f t="shared" si="37"/>
        <v>3.5972710226575945E-3</v>
      </c>
      <c r="G1158" s="259"/>
      <c r="H1158" s="259"/>
    </row>
    <row r="1159" spans="1:8" ht="14.25" customHeight="1" x14ac:dyDescent="0.3">
      <c r="A1159" s="261">
        <v>45632</v>
      </c>
      <c r="B1159" s="262">
        <v>24677.80078125</v>
      </c>
      <c r="C1159" s="262">
        <v>3805.55004882813</v>
      </c>
      <c r="D1159" s="259"/>
      <c r="E1159" s="263">
        <f t="shared" si="36"/>
        <v>-1.2384293961259537E-3</v>
      </c>
      <c r="F1159" s="263">
        <f t="shared" si="37"/>
        <v>-1.511404212832471E-2</v>
      </c>
      <c r="G1159" s="259"/>
      <c r="H1159" s="259"/>
    </row>
    <row r="1160" spans="1:8" ht="14.25" customHeight="1" x14ac:dyDescent="0.3">
      <c r="A1160" s="261">
        <v>45635</v>
      </c>
      <c r="B1160" s="262">
        <v>24619</v>
      </c>
      <c r="C1160" s="262">
        <v>3829.05004882813</v>
      </c>
      <c r="D1160" s="259"/>
      <c r="E1160" s="263">
        <f t="shared" si="36"/>
        <v>-2.3827399277279349E-3</v>
      </c>
      <c r="F1160" s="263">
        <f t="shared" si="37"/>
        <v>6.1751914173974725E-3</v>
      </c>
      <c r="G1160" s="259"/>
      <c r="H1160" s="259"/>
    </row>
    <row r="1161" spans="1:8" ht="14.25" customHeight="1" x14ac:dyDescent="0.3">
      <c r="A1161" s="261">
        <v>45636</v>
      </c>
      <c r="B1161" s="262">
        <v>24610.05078125</v>
      </c>
      <c r="C1161" s="262">
        <v>3816.89990234375</v>
      </c>
      <c r="D1161" s="259"/>
      <c r="E1161" s="263">
        <f t="shared" si="36"/>
        <v>-3.6350862138998332E-4</v>
      </c>
      <c r="F1161" s="263">
        <f t="shared" si="37"/>
        <v>-3.1731490394330364E-3</v>
      </c>
      <c r="G1161" s="259"/>
      <c r="H1161" s="259"/>
    </row>
    <row r="1162" spans="1:8" ht="14.25" customHeight="1" x14ac:dyDescent="0.3">
      <c r="A1162" s="261">
        <v>45637</v>
      </c>
      <c r="B1162" s="262">
        <v>24641.80078125</v>
      </c>
      <c r="C1162" s="262">
        <v>3708.30004882813</v>
      </c>
      <c r="D1162" s="259"/>
      <c r="E1162" s="263">
        <f t="shared" si="36"/>
        <v>1.2901233029632678E-3</v>
      </c>
      <c r="F1162" s="263">
        <f t="shared" si="37"/>
        <v>-2.8452371373148863E-2</v>
      </c>
      <c r="G1162" s="259"/>
      <c r="H1162" s="259"/>
    </row>
    <row r="1163" spans="1:8" ht="14.25" customHeight="1" x14ac:dyDescent="0.3">
      <c r="A1163" s="261">
        <v>45638</v>
      </c>
      <c r="B1163" s="262">
        <v>24548.69921875</v>
      </c>
      <c r="C1163" s="262">
        <v>3688.44995117188</v>
      </c>
      <c r="D1163" s="259"/>
      <c r="E1163" s="263">
        <f t="shared" si="36"/>
        <v>-3.778196379659119E-3</v>
      </c>
      <c r="F1163" s="263">
        <f t="shared" si="37"/>
        <v>-5.3528833683571218E-3</v>
      </c>
      <c r="G1163" s="259"/>
      <c r="H1163" s="259"/>
    </row>
    <row r="1164" spans="1:8" ht="14.25" customHeight="1" x14ac:dyDescent="0.3">
      <c r="A1164" s="261">
        <v>45639</v>
      </c>
      <c r="B1164" s="262">
        <v>24768.30078125</v>
      </c>
      <c r="C1164" s="262">
        <v>3652.30004882813</v>
      </c>
      <c r="D1164" s="259"/>
      <c r="E1164" s="263">
        <f t="shared" si="36"/>
        <v>8.9455478085890185E-3</v>
      </c>
      <c r="F1164" s="263">
        <f t="shared" si="37"/>
        <v>-9.8008385154486361E-3</v>
      </c>
      <c r="G1164" s="259"/>
      <c r="H1164" s="259"/>
    </row>
    <row r="1165" spans="1:8" ht="14.25" customHeight="1" x14ac:dyDescent="0.3">
      <c r="A1165" s="261">
        <v>45642</v>
      </c>
      <c r="B1165" s="262">
        <v>24668.25</v>
      </c>
      <c r="C1165" s="262">
        <v>3623.80004882813</v>
      </c>
      <c r="D1165" s="259"/>
      <c r="E1165" s="263">
        <f t="shared" si="36"/>
        <v>-4.0394689217332193E-3</v>
      </c>
      <c r="F1165" s="263">
        <f t="shared" si="37"/>
        <v>-7.8033019245350487E-3</v>
      </c>
      <c r="G1165" s="259"/>
      <c r="H1165" s="259"/>
    </row>
    <row r="1166" spans="1:8" ht="14.25" customHeight="1" x14ac:dyDescent="0.3">
      <c r="A1166" s="261">
        <v>45643</v>
      </c>
      <c r="B1166" s="262">
        <v>24336</v>
      </c>
      <c r="C1166" s="262">
        <v>3542.94995117188</v>
      </c>
      <c r="D1166" s="259"/>
      <c r="E1166" s="263">
        <f t="shared" si="36"/>
        <v>-1.3468730047733423E-2</v>
      </c>
      <c r="F1166" s="263">
        <f t="shared" si="37"/>
        <v>-2.2310860579185497E-2</v>
      </c>
      <c r="G1166" s="259"/>
      <c r="H1166" s="259"/>
    </row>
    <row r="1167" spans="1:8" ht="14.25" customHeight="1" x14ac:dyDescent="0.3">
      <c r="A1167" s="261">
        <v>45644</v>
      </c>
      <c r="B1167" s="262">
        <v>24198.849609375</v>
      </c>
      <c r="C1167" s="262">
        <v>3515.69995117188</v>
      </c>
      <c r="D1167" s="259"/>
      <c r="E1167" s="263">
        <f t="shared" si="36"/>
        <v>-5.6356998120069036E-3</v>
      </c>
      <c r="F1167" s="263">
        <f t="shared" si="37"/>
        <v>-7.6913307767688573E-3</v>
      </c>
      <c r="G1167" s="259"/>
      <c r="H1167" s="259"/>
    </row>
    <row r="1168" spans="1:8" ht="14.25" customHeight="1" x14ac:dyDescent="0.3">
      <c r="A1168" s="261">
        <v>45645</v>
      </c>
      <c r="B1168" s="262">
        <v>23951.69921875</v>
      </c>
      <c r="C1168" s="262">
        <v>3498.14990234375</v>
      </c>
      <c r="D1168" s="259"/>
      <c r="E1168" s="263">
        <f t="shared" si="36"/>
        <v>-1.0213311567061031E-2</v>
      </c>
      <c r="F1168" s="263">
        <f t="shared" si="37"/>
        <v>-4.9919074641964498E-3</v>
      </c>
      <c r="G1168" s="259"/>
      <c r="H1168" s="259"/>
    </row>
    <row r="1169" spans="1:8" ht="14.25" customHeight="1" x14ac:dyDescent="0.3">
      <c r="A1169" s="261">
        <v>45646</v>
      </c>
      <c r="B1169" s="262">
        <v>23587.5</v>
      </c>
      <c r="C1169" s="262">
        <v>3408.30004882813</v>
      </c>
      <c r="D1169" s="259"/>
      <c r="E1169" s="263">
        <f t="shared" si="36"/>
        <v>-1.5205569150805617E-2</v>
      </c>
      <c r="F1169" s="263">
        <f t="shared" si="37"/>
        <v>-2.5684963773399436E-2</v>
      </c>
      <c r="G1169" s="259"/>
      <c r="H1169" s="259"/>
    </row>
    <row r="1170" spans="1:8" ht="14.25" customHeight="1" x14ac:dyDescent="0.3">
      <c r="A1170" s="261">
        <v>45649</v>
      </c>
      <c r="B1170" s="262">
        <v>23753.44921875</v>
      </c>
      <c r="C1170" s="262">
        <v>3460.55004882813</v>
      </c>
      <c r="D1170" s="259"/>
      <c r="E1170" s="263">
        <f t="shared" si="36"/>
        <v>7.0354729729729731E-3</v>
      </c>
      <c r="F1170" s="263">
        <f t="shared" si="37"/>
        <v>1.5330223058842789E-2</v>
      </c>
      <c r="G1170" s="259"/>
      <c r="H1170" s="259"/>
    </row>
    <row r="1171" spans="1:8" ht="14.25" customHeight="1" x14ac:dyDescent="0.3">
      <c r="A1171" s="261">
        <v>45650</v>
      </c>
      <c r="B1171" s="262">
        <v>23727.650390625</v>
      </c>
      <c r="C1171" s="262">
        <v>3459.64990234375</v>
      </c>
      <c r="D1171" s="259"/>
      <c r="E1171" s="263">
        <f t="shared" si="36"/>
        <v>-1.0861087115144297E-3</v>
      </c>
      <c r="F1171" s="263">
        <f t="shared" si="37"/>
        <v>-2.6011659177847319E-4</v>
      </c>
      <c r="G1171" s="259"/>
      <c r="H1171" s="259"/>
    </row>
    <row r="1172" spans="1:8" ht="14.25" customHeight="1" x14ac:dyDescent="0.3">
      <c r="A1172" s="261">
        <v>45652</v>
      </c>
      <c r="B1172" s="262">
        <v>23750.19921875</v>
      </c>
      <c r="C1172" s="262">
        <v>3511.64990234375</v>
      </c>
      <c r="D1172" s="259"/>
      <c r="E1172" s="263">
        <f t="shared" si="36"/>
        <v>9.5031862631915877E-4</v>
      </c>
      <c r="F1172" s="263">
        <f t="shared" si="37"/>
        <v>1.5030422576796701E-2</v>
      </c>
      <c r="G1172" s="259"/>
      <c r="H1172" s="259"/>
    </row>
    <row r="1173" spans="1:8" ht="14.25" customHeight="1" x14ac:dyDescent="0.3">
      <c r="A1173" s="261">
        <v>45653</v>
      </c>
      <c r="B1173" s="262">
        <v>23813.400390625</v>
      </c>
      <c r="C1173" s="262">
        <v>3568.35009765625</v>
      </c>
      <c r="D1173" s="259"/>
      <c r="E1173" s="263">
        <f t="shared" si="36"/>
        <v>2.6610796521279179E-3</v>
      </c>
      <c r="F1173" s="263">
        <f t="shared" si="37"/>
        <v>1.6146312100946362E-2</v>
      </c>
      <c r="G1173" s="259"/>
      <c r="H1173" s="259"/>
    </row>
    <row r="1174" spans="1:8" ht="14.25" customHeight="1" x14ac:dyDescent="0.3">
      <c r="A1174" s="261">
        <v>45656</v>
      </c>
      <c r="B1174" s="262">
        <v>23644.900390625</v>
      </c>
      <c r="C1174" s="262">
        <v>3588.55004882813</v>
      </c>
      <c r="D1174" s="259"/>
      <c r="E1174" s="263">
        <f t="shared" si="36"/>
        <v>-7.0758479358679106E-3</v>
      </c>
      <c r="F1174" s="263">
        <f t="shared" si="37"/>
        <v>5.6608658396909142E-3</v>
      </c>
      <c r="G1174" s="259"/>
      <c r="H1174" s="259"/>
    </row>
    <row r="1175" spans="1:8" ht="14.25" customHeight="1" x14ac:dyDescent="0.3">
      <c r="A1175" s="261">
        <v>45657</v>
      </c>
      <c r="B1175" s="262">
        <v>23644.80078125</v>
      </c>
      <c r="C1175" s="262">
        <v>3561.85009765625</v>
      </c>
      <c r="D1175" s="259"/>
      <c r="E1175" s="263">
        <f t="shared" si="36"/>
        <v>-4.2127212783477941E-6</v>
      </c>
      <c r="F1175" s="263">
        <f t="shared" si="37"/>
        <v>-7.4403173450511267E-3</v>
      </c>
      <c r="G1175" s="259"/>
      <c r="H1175" s="259"/>
    </row>
    <row r="1176" spans="1:8" ht="14.25" customHeight="1" x14ac:dyDescent="0.3">
      <c r="A1176" s="261">
        <v>45658</v>
      </c>
      <c r="B1176" s="262">
        <v>23742.900390625</v>
      </c>
      <c r="C1176" s="262">
        <v>3561</v>
      </c>
      <c r="D1176" s="259"/>
      <c r="E1176" s="263">
        <f t="shared" si="36"/>
        <v>4.1488871182535671E-3</v>
      </c>
      <c r="F1176" s="263">
        <f t="shared" si="37"/>
        <v>-2.3866744330688618E-4</v>
      </c>
      <c r="G1176" s="259"/>
      <c r="H1176" s="259"/>
    </row>
    <row r="1177" spans="1:8" ht="14.25" customHeight="1" x14ac:dyDescent="0.3">
      <c r="A1177" s="261">
        <v>45659</v>
      </c>
      <c r="B1177" s="262">
        <v>24188.650390625</v>
      </c>
      <c r="C1177" s="262">
        <v>3611.10009765625</v>
      </c>
      <c r="D1177" s="259"/>
      <c r="E1177" s="263">
        <f t="shared" si="36"/>
        <v>1.8774033191665436E-2</v>
      </c>
      <c r="F1177" s="263">
        <f t="shared" si="37"/>
        <v>1.4069109142445942E-2</v>
      </c>
      <c r="G1177" s="259"/>
      <c r="H1177" s="259"/>
    </row>
    <row r="1178" spans="1:8" ht="14.25" customHeight="1" x14ac:dyDescent="0.3">
      <c r="A1178" s="261">
        <v>45660</v>
      </c>
      <c r="B1178" s="262">
        <v>24004.75</v>
      </c>
      <c r="C1178" s="262">
        <v>4025.19995117188</v>
      </c>
      <c r="D1178" s="259"/>
      <c r="E1178" s="263">
        <f t="shared" si="36"/>
        <v>-7.602755327609176E-3</v>
      </c>
      <c r="F1178" s="263">
        <f t="shared" si="37"/>
        <v>0.1146741553313345</v>
      </c>
      <c r="G1178" s="259"/>
      <c r="H1178" s="259"/>
    </row>
    <row r="1179" spans="1:8" ht="14.25" customHeight="1" x14ac:dyDescent="0.3">
      <c r="A1179" s="261">
        <v>45663</v>
      </c>
      <c r="B1179" s="262">
        <v>23616.05078125</v>
      </c>
      <c r="C1179" s="262">
        <v>3934.75</v>
      </c>
      <c r="D1179" s="259"/>
      <c r="E1179" s="263">
        <f t="shared" si="36"/>
        <v>-1.6192595996625668E-2</v>
      </c>
      <c r="F1179" s="263">
        <f t="shared" si="37"/>
        <v>-2.247092126331433E-2</v>
      </c>
      <c r="G1179" s="259"/>
      <c r="H1179" s="259"/>
    </row>
    <row r="1180" spans="1:8" ht="14.25" customHeight="1" x14ac:dyDescent="0.3">
      <c r="A1180" s="261">
        <v>45664</v>
      </c>
      <c r="B1180" s="262">
        <v>23707.900390625</v>
      </c>
      <c r="C1180" s="262">
        <v>3830.30004882813</v>
      </c>
      <c r="D1180" s="259"/>
      <c r="E1180" s="263">
        <f t="shared" si="36"/>
        <v>3.8892874268344705E-3</v>
      </c>
      <c r="F1180" s="263">
        <f t="shared" si="37"/>
        <v>-2.6545511448470678E-2</v>
      </c>
      <c r="G1180" s="259"/>
      <c r="H1180" s="259"/>
    </row>
    <row r="1181" spans="1:8" ht="14.25" customHeight="1" x14ac:dyDescent="0.3">
      <c r="A1181" s="261">
        <v>45665</v>
      </c>
      <c r="B1181" s="262">
        <v>23688.94921875</v>
      </c>
      <c r="C1181" s="262">
        <v>3843</v>
      </c>
      <c r="D1181" s="259"/>
      <c r="E1181" s="263">
        <f t="shared" si="36"/>
        <v>-7.9936103841966573E-4</v>
      </c>
      <c r="F1181" s="263">
        <f t="shared" si="37"/>
        <v>3.315654389988459E-3</v>
      </c>
      <c r="G1181" s="259"/>
      <c r="H1181" s="259"/>
    </row>
    <row r="1182" spans="1:8" ht="14.25" customHeight="1" x14ac:dyDescent="0.3">
      <c r="A1182" s="261">
        <v>45666</v>
      </c>
      <c r="B1182" s="262">
        <v>23526.5</v>
      </c>
      <c r="C1182" s="262">
        <v>3813.80004882813</v>
      </c>
      <c r="D1182" s="259"/>
      <c r="E1182" s="263">
        <f t="shared" si="36"/>
        <v>-6.8575949591474531E-3</v>
      </c>
      <c r="F1182" s="263">
        <f t="shared" si="37"/>
        <v>-7.5982178433177203E-3</v>
      </c>
      <c r="G1182" s="259"/>
      <c r="H1182" s="259"/>
    </row>
    <row r="1183" spans="1:8" ht="14.25" customHeight="1" x14ac:dyDescent="0.3">
      <c r="A1183" s="261">
        <v>45667</v>
      </c>
      <c r="B1183" s="262">
        <v>23431.5</v>
      </c>
      <c r="C1183" s="262">
        <v>3686.25</v>
      </c>
      <c r="D1183" s="259"/>
      <c r="E1183" s="263">
        <f t="shared" si="36"/>
        <v>-4.0379997024631801E-3</v>
      </c>
      <c r="F1183" s="263">
        <f t="shared" si="37"/>
        <v>-3.3444346110206385E-2</v>
      </c>
      <c r="G1183" s="259"/>
      <c r="H1183" s="259"/>
    </row>
    <row r="1184" spans="1:8" ht="14.25" customHeight="1" x14ac:dyDescent="0.3">
      <c r="A1184" s="261">
        <v>45670</v>
      </c>
      <c r="B1184" s="262">
        <v>23085.94921875</v>
      </c>
      <c r="C1184" s="262">
        <v>3507.44995117188</v>
      </c>
      <c r="D1184" s="259"/>
      <c r="E1184" s="263">
        <f t="shared" si="36"/>
        <v>-1.4747275302477434E-2</v>
      </c>
      <c r="F1184" s="263">
        <f t="shared" si="37"/>
        <v>-4.8504591069005086E-2</v>
      </c>
      <c r="G1184" s="259"/>
      <c r="H1184" s="259"/>
    </row>
    <row r="1185" spans="1:8" ht="14.25" customHeight="1" x14ac:dyDescent="0.3">
      <c r="A1185" s="261">
        <v>45671</v>
      </c>
      <c r="B1185" s="262">
        <v>23176.05078125</v>
      </c>
      <c r="C1185" s="262">
        <v>3476.5</v>
      </c>
      <c r="D1185" s="259"/>
      <c r="E1185" s="263">
        <f t="shared" si="36"/>
        <v>3.9028744993868871E-3</v>
      </c>
      <c r="F1185" s="263">
        <f t="shared" si="37"/>
        <v>-8.8240606716395945E-3</v>
      </c>
      <c r="G1185" s="259"/>
      <c r="H1185" s="259"/>
    </row>
    <row r="1186" spans="1:8" ht="14.25" customHeight="1" x14ac:dyDescent="0.3">
      <c r="A1186" s="261">
        <v>45672</v>
      </c>
      <c r="B1186" s="262">
        <v>23213.19921875</v>
      </c>
      <c r="C1186" s="262">
        <v>3568.44995117188</v>
      </c>
      <c r="D1186" s="259"/>
      <c r="E1186" s="263">
        <f t="shared" si="36"/>
        <v>1.6028803979862699E-3</v>
      </c>
      <c r="F1186" s="263">
        <f t="shared" si="37"/>
        <v>2.6449000768554581E-2</v>
      </c>
      <c r="G1186" s="259"/>
      <c r="H1186" s="259"/>
    </row>
    <row r="1187" spans="1:8" ht="14.25" customHeight="1" x14ac:dyDescent="0.3">
      <c r="A1187" s="261">
        <v>45673</v>
      </c>
      <c r="B1187" s="262">
        <v>23311.80078125</v>
      </c>
      <c r="C1187" s="262">
        <v>3600.94995117188</v>
      </c>
      <c r="D1187" s="259"/>
      <c r="E1187" s="263">
        <f t="shared" si="36"/>
        <v>4.2476507253837101E-3</v>
      </c>
      <c r="F1187" s="263">
        <f t="shared" si="37"/>
        <v>9.1075958594646934E-3</v>
      </c>
      <c r="G1187" s="259"/>
      <c r="H1187" s="259"/>
    </row>
    <row r="1188" spans="1:8" ht="14.25" customHeight="1" x14ac:dyDescent="0.3">
      <c r="A1188" s="261">
        <v>45674</v>
      </c>
      <c r="B1188" s="262">
        <v>23203.19921875</v>
      </c>
      <c r="C1188" s="262">
        <v>3620.64990234375</v>
      </c>
      <c r="D1188" s="259"/>
      <c r="E1188" s="263">
        <f t="shared" si="36"/>
        <v>-4.6586517926727362E-3</v>
      </c>
      <c r="F1188" s="263">
        <f t="shared" si="37"/>
        <v>5.4707650589419935E-3</v>
      </c>
      <c r="G1188" s="259"/>
      <c r="H1188" s="259"/>
    </row>
    <row r="1189" spans="1:8" ht="14.25" customHeight="1" x14ac:dyDescent="0.3">
      <c r="A1189" s="261">
        <v>45677</v>
      </c>
      <c r="B1189" s="262">
        <v>23344.75</v>
      </c>
      <c r="C1189" s="262">
        <v>3614.69995117188</v>
      </c>
      <c r="D1189" s="259"/>
      <c r="E1189" s="263">
        <f t="shared" si="36"/>
        <v>6.1004855371674738E-3</v>
      </c>
      <c r="F1189" s="263">
        <f t="shared" si="37"/>
        <v>-1.6433378902551237E-3</v>
      </c>
      <c r="G1189" s="259"/>
      <c r="H1189" s="259"/>
    </row>
    <row r="1190" spans="1:8" ht="14.25" customHeight="1" x14ac:dyDescent="0.3">
      <c r="A1190" s="261">
        <v>45678</v>
      </c>
      <c r="B1190" s="262">
        <v>23024.650390625</v>
      </c>
      <c r="C1190" s="262">
        <v>3587.80004882813</v>
      </c>
      <c r="D1190" s="259"/>
      <c r="E1190" s="263">
        <f t="shared" si="36"/>
        <v>-1.371184567729361E-2</v>
      </c>
      <c r="F1190" s="263">
        <f t="shared" si="37"/>
        <v>-7.4418078145128182E-3</v>
      </c>
      <c r="G1190" s="259"/>
      <c r="H1190" s="259"/>
    </row>
    <row r="1191" spans="1:8" ht="14.25" customHeight="1" x14ac:dyDescent="0.3">
      <c r="A1191" s="261">
        <v>45679</v>
      </c>
      <c r="B1191" s="262">
        <v>23155.349609375</v>
      </c>
      <c r="C1191" s="262">
        <v>3561.60009765625</v>
      </c>
      <c r="D1191" s="259"/>
      <c r="E1191" s="263">
        <f t="shared" si="36"/>
        <v>5.6764909144165375E-3</v>
      </c>
      <c r="F1191" s="263">
        <f t="shared" si="37"/>
        <v>-7.302511515500312E-3</v>
      </c>
      <c r="G1191" s="259"/>
      <c r="H1191" s="259"/>
    </row>
    <row r="1192" spans="1:8" ht="14.25" customHeight="1" x14ac:dyDescent="0.3">
      <c r="A1192" s="261">
        <v>45680</v>
      </c>
      <c r="B1192" s="262">
        <v>23205.349609375</v>
      </c>
      <c r="C1192" s="262">
        <v>3598.35009765625</v>
      </c>
      <c r="D1192" s="259"/>
      <c r="E1192" s="263">
        <f t="shared" si="36"/>
        <v>2.1593282262409156E-3</v>
      </c>
      <c r="F1192" s="263">
        <f t="shared" si="37"/>
        <v>1.0318395943492853E-2</v>
      </c>
      <c r="G1192" s="259"/>
      <c r="H1192" s="259"/>
    </row>
    <row r="1193" spans="1:8" ht="14.25" customHeight="1" x14ac:dyDescent="0.3">
      <c r="A1193" s="261">
        <v>45681</v>
      </c>
      <c r="B1193" s="262">
        <v>23092.19921875</v>
      </c>
      <c r="C1193" s="262">
        <v>3579.94995117188</v>
      </c>
      <c r="D1193" s="259"/>
      <c r="E1193" s="263">
        <f t="shared" si="36"/>
        <v>-4.8760476583936943E-3</v>
      </c>
      <c r="F1193" s="263">
        <f t="shared" si="37"/>
        <v>-5.113495347869223E-3</v>
      </c>
      <c r="G1193" s="259"/>
      <c r="H1193" s="259"/>
    </row>
    <row r="1194" spans="1:8" ht="14.25" customHeight="1" x14ac:dyDescent="0.3">
      <c r="A1194" s="261">
        <v>45684</v>
      </c>
      <c r="B1194" s="262">
        <v>22829.150390625</v>
      </c>
      <c r="C1194" s="262">
        <v>3532.94995117188</v>
      </c>
      <c r="D1194" s="259"/>
      <c r="E1194" s="263">
        <f t="shared" si="36"/>
        <v>-1.1391241935562993E-2</v>
      </c>
      <c r="F1194" s="263">
        <f t="shared" si="37"/>
        <v>-1.312867516056049E-2</v>
      </c>
      <c r="G1194" s="259"/>
      <c r="H1194" s="259"/>
    </row>
    <row r="1195" spans="1:8" ht="14.25" customHeight="1" x14ac:dyDescent="0.3">
      <c r="A1195" s="261">
        <v>45685</v>
      </c>
      <c r="B1195" s="262">
        <v>22957.25</v>
      </c>
      <c r="C1195" s="262">
        <v>3559.30004882813</v>
      </c>
      <c r="D1195" s="259"/>
      <c r="E1195" s="263">
        <f t="shared" si="36"/>
        <v>5.6112298172780566E-3</v>
      </c>
      <c r="F1195" s="263">
        <f t="shared" si="37"/>
        <v>7.4583840757522389E-3</v>
      </c>
      <c r="G1195" s="259"/>
      <c r="H1195" s="259"/>
    </row>
    <row r="1196" spans="1:8" ht="14.25" customHeight="1" x14ac:dyDescent="0.3">
      <c r="A1196" s="261">
        <v>45686</v>
      </c>
      <c r="B1196" s="262">
        <v>23163.099609375</v>
      </c>
      <c r="C1196" s="262">
        <v>3568.10009765625</v>
      </c>
      <c r="D1196" s="259"/>
      <c r="E1196" s="263">
        <f t="shared" si="36"/>
        <v>8.9666492883511747E-3</v>
      </c>
      <c r="F1196" s="263">
        <f t="shared" si="37"/>
        <v>2.4724099422349459E-3</v>
      </c>
      <c r="G1196" s="259"/>
      <c r="H1196" s="259"/>
    </row>
    <row r="1197" spans="1:8" ht="14.25" customHeight="1" x14ac:dyDescent="0.3">
      <c r="A1197" s="261">
        <v>45687</v>
      </c>
      <c r="B1197" s="262">
        <v>23249.5</v>
      </c>
      <c r="C1197" s="262">
        <v>3575.39990234375</v>
      </c>
      <c r="D1197" s="259"/>
      <c r="E1197" s="263">
        <f t="shared" si="36"/>
        <v>3.7300875997627893E-3</v>
      </c>
      <c r="F1197" s="263">
        <f t="shared" si="37"/>
        <v>2.0458519906139867E-3</v>
      </c>
      <c r="G1197" s="259"/>
      <c r="H1197" s="259"/>
    </row>
    <row r="1198" spans="1:8" ht="14.25" customHeight="1" x14ac:dyDescent="0.3">
      <c r="A1198" s="261">
        <v>45688</v>
      </c>
      <c r="B1198" s="262">
        <v>23508.400390625</v>
      </c>
      <c r="C1198" s="262">
        <v>3664.64990234375</v>
      </c>
      <c r="D1198" s="259"/>
      <c r="E1198" s="263">
        <f t="shared" si="36"/>
        <v>1.1135740150325814E-2</v>
      </c>
      <c r="F1198" s="263">
        <f t="shared" si="37"/>
        <v>2.4962242668713712E-2</v>
      </c>
      <c r="G1198" s="259"/>
      <c r="H1198" s="259"/>
    </row>
    <row r="1199" spans="1:8" ht="14.25" customHeight="1" x14ac:dyDescent="0.3">
      <c r="A1199" s="261">
        <v>45689</v>
      </c>
      <c r="B1199" s="262">
        <v>23482.150390625</v>
      </c>
      <c r="C1199" s="262">
        <v>4023.75</v>
      </c>
      <c r="D1199" s="259"/>
      <c r="E1199" s="263">
        <f t="shared" si="36"/>
        <v>-1.1166221250199708E-3</v>
      </c>
      <c r="F1199" s="263">
        <f t="shared" si="37"/>
        <v>9.7990287537858739E-2</v>
      </c>
      <c r="G1199" s="259"/>
      <c r="H1199" s="259"/>
    </row>
    <row r="1200" spans="1:8" ht="14.25" customHeight="1" x14ac:dyDescent="0.3">
      <c r="A1200" s="261">
        <v>45691</v>
      </c>
      <c r="B1200" s="262">
        <v>23361.05078125</v>
      </c>
      <c r="C1200" s="262">
        <v>3947.85009765625</v>
      </c>
      <c r="D1200" s="259"/>
      <c r="E1200" s="263">
        <f t="shared" si="36"/>
        <v>-5.1570919766934014E-3</v>
      </c>
      <c r="F1200" s="263">
        <f t="shared" si="37"/>
        <v>-1.8862976662006835E-2</v>
      </c>
      <c r="G1200" s="259"/>
      <c r="H1200" s="259"/>
    </row>
    <row r="1201" spans="1:8" ht="14.25" customHeight="1" x14ac:dyDescent="0.3">
      <c r="A1201" s="261">
        <v>45692</v>
      </c>
      <c r="B1201" s="262">
        <v>23739.25</v>
      </c>
      <c r="C1201" s="262">
        <v>3919.85009765625</v>
      </c>
      <c r="D1201" s="259"/>
      <c r="E1201" s="263">
        <f t="shared" si="36"/>
        <v>1.6189306820631095E-2</v>
      </c>
      <c r="F1201" s="263">
        <f t="shared" si="37"/>
        <v>-7.0924678767876649E-3</v>
      </c>
      <c r="G1201" s="259"/>
      <c r="H1201" s="259"/>
    </row>
    <row r="1202" spans="1:8" ht="14.25" customHeight="1" x14ac:dyDescent="0.3">
      <c r="A1202" s="261">
        <v>45693</v>
      </c>
      <c r="B1202" s="262">
        <v>23696.30078125</v>
      </c>
      <c r="C1202" s="262">
        <v>3865.69995117188</v>
      </c>
      <c r="D1202" s="259"/>
      <c r="E1202" s="263">
        <f t="shared" si="36"/>
        <v>-1.8092070621439178E-3</v>
      </c>
      <c r="F1202" s="263">
        <f t="shared" si="37"/>
        <v>-1.3814341144511459E-2</v>
      </c>
      <c r="G1202" s="259"/>
      <c r="H1202" s="259"/>
    </row>
    <row r="1203" spans="1:8" ht="14.25" customHeight="1" x14ac:dyDescent="0.3">
      <c r="A1203" s="261">
        <v>45694</v>
      </c>
      <c r="B1203" s="262">
        <v>23603.349609375</v>
      </c>
      <c r="C1203" s="262">
        <v>3748.44995117188</v>
      </c>
      <c r="D1203" s="259"/>
      <c r="E1203" s="263">
        <f t="shared" si="36"/>
        <v>-3.9226026346082174E-3</v>
      </c>
      <c r="F1203" s="263">
        <f t="shared" si="37"/>
        <v>-3.033085895982586E-2</v>
      </c>
      <c r="G1203" s="259"/>
      <c r="H1203" s="259"/>
    </row>
    <row r="1204" spans="1:8" ht="14.25" customHeight="1" x14ac:dyDescent="0.3">
      <c r="A1204" s="261">
        <v>45695</v>
      </c>
      <c r="B1204" s="262">
        <v>23559.94921875</v>
      </c>
      <c r="C1204" s="262">
        <v>3743.5</v>
      </c>
      <c r="D1204" s="259"/>
      <c r="E1204" s="263">
        <f t="shared" si="36"/>
        <v>-1.8387386257991884E-3</v>
      </c>
      <c r="F1204" s="263">
        <f t="shared" si="37"/>
        <v>-1.3205328165932951E-3</v>
      </c>
      <c r="G1204" s="259"/>
      <c r="H1204" s="259"/>
    </row>
    <row r="1205" spans="1:8" ht="14.25" customHeight="1" x14ac:dyDescent="0.3">
      <c r="A1205" s="261">
        <v>45698</v>
      </c>
      <c r="B1205" s="262">
        <v>23381.599609375</v>
      </c>
      <c r="C1205" s="262">
        <v>3722.05004882813</v>
      </c>
      <c r="D1205" s="259"/>
      <c r="E1205" s="263">
        <f t="shared" si="36"/>
        <v>-7.5700336923078711E-3</v>
      </c>
      <c r="F1205" s="263">
        <f t="shared" si="37"/>
        <v>-5.7299188384853737E-3</v>
      </c>
      <c r="G1205" s="259"/>
      <c r="H1205" s="259"/>
    </row>
    <row r="1206" spans="1:8" ht="14.25" customHeight="1" x14ac:dyDescent="0.3">
      <c r="A1206" s="261">
        <v>45699</v>
      </c>
      <c r="B1206" s="262">
        <v>23071.80078125</v>
      </c>
      <c r="C1206" s="262">
        <v>3682.69995117188</v>
      </c>
      <c r="D1206" s="259"/>
      <c r="E1206" s="263">
        <f t="shared" si="36"/>
        <v>-1.3249684936046216E-2</v>
      </c>
      <c r="F1206" s="263">
        <f t="shared" si="37"/>
        <v>-1.0572157047871828E-2</v>
      </c>
      <c r="G1206" s="259"/>
      <c r="H1206" s="259"/>
    </row>
    <row r="1207" spans="1:8" ht="14.25" customHeight="1" x14ac:dyDescent="0.3">
      <c r="A1207" s="261">
        <v>45700</v>
      </c>
      <c r="B1207" s="262">
        <v>23045.25</v>
      </c>
      <c r="C1207" s="262">
        <v>3689.89990234375</v>
      </c>
      <c r="D1207" s="259"/>
      <c r="E1207" s="263">
        <f t="shared" si="36"/>
        <v>-1.1507892904301298E-3</v>
      </c>
      <c r="F1207" s="263">
        <f t="shared" si="37"/>
        <v>1.9550740672149751E-3</v>
      </c>
      <c r="G1207" s="259"/>
      <c r="H1207" s="259"/>
    </row>
    <row r="1208" spans="1:8" ht="14.25" customHeight="1" x14ac:dyDescent="0.3">
      <c r="A1208" s="261">
        <v>45701</v>
      </c>
      <c r="B1208" s="262">
        <v>23031.400390625</v>
      </c>
      <c r="C1208" s="262">
        <v>3696.5</v>
      </c>
      <c r="D1208" s="259"/>
      <c r="E1208" s="263">
        <f t="shared" si="36"/>
        <v>-6.0097457719052736E-4</v>
      </c>
      <c r="F1208" s="263">
        <f t="shared" si="37"/>
        <v>1.788692872686804E-3</v>
      </c>
      <c r="G1208" s="259"/>
      <c r="H1208" s="259"/>
    </row>
    <row r="1209" spans="1:8" ht="14.25" customHeight="1" x14ac:dyDescent="0.3">
      <c r="A1209" s="261">
        <v>45702</v>
      </c>
      <c r="B1209" s="262">
        <v>22929.25</v>
      </c>
      <c r="C1209" s="262">
        <v>3682.64990234375</v>
      </c>
      <c r="D1209" s="259"/>
      <c r="E1209" s="263">
        <f t="shared" si="36"/>
        <v>-4.4352661537064254E-3</v>
      </c>
      <c r="F1209" s="263">
        <f t="shared" si="37"/>
        <v>-3.7468139202624104E-3</v>
      </c>
      <c r="G1209" s="259"/>
      <c r="H1209" s="259"/>
    </row>
    <row r="1210" spans="1:8" ht="14.25" customHeight="1" x14ac:dyDescent="0.3">
      <c r="A1210" s="261">
        <v>45705</v>
      </c>
      <c r="B1210" s="262">
        <v>22959.5</v>
      </c>
      <c r="C1210" s="262">
        <v>3621.5</v>
      </c>
      <c r="D1210" s="259"/>
      <c r="E1210" s="263">
        <f t="shared" si="36"/>
        <v>1.3192755977626831E-3</v>
      </c>
      <c r="F1210" s="263">
        <f t="shared" si="37"/>
        <v>-1.6604864422445464E-2</v>
      </c>
      <c r="G1210" s="259"/>
      <c r="H1210" s="259"/>
    </row>
    <row r="1211" spans="1:8" ht="14.25" customHeight="1" x14ac:dyDescent="0.3">
      <c r="A1211" s="261">
        <v>45706</v>
      </c>
      <c r="B1211" s="262">
        <v>22945.30078125</v>
      </c>
      <c r="C1211" s="262">
        <v>3676.60009765625</v>
      </c>
      <c r="D1211" s="259"/>
      <c r="E1211" s="263">
        <f t="shared" si="36"/>
        <v>-6.1844634029486708E-4</v>
      </c>
      <c r="F1211" s="263">
        <f t="shared" si="37"/>
        <v>1.5214717011252243E-2</v>
      </c>
      <c r="G1211" s="259"/>
      <c r="H1211" s="259"/>
    </row>
    <row r="1212" spans="1:8" ht="14.25" customHeight="1" x14ac:dyDescent="0.3">
      <c r="A1212" s="261">
        <v>45707</v>
      </c>
      <c r="B1212" s="262">
        <v>22932.900390625</v>
      </c>
      <c r="C1212" s="262">
        <v>3685</v>
      </c>
      <c r="D1212" s="259"/>
      <c r="E1212" s="263">
        <f t="shared" si="36"/>
        <v>-5.4043269004052947E-4</v>
      </c>
      <c r="F1212" s="263">
        <f t="shared" si="37"/>
        <v>2.2846929556208056E-3</v>
      </c>
      <c r="G1212" s="259"/>
      <c r="H1212" s="259"/>
    </row>
    <row r="1213" spans="1:8" ht="14.25" customHeight="1" x14ac:dyDescent="0.3">
      <c r="A1213" s="261">
        <v>45708</v>
      </c>
      <c r="B1213" s="262">
        <v>22913.150390625</v>
      </c>
      <c r="C1213" s="262">
        <v>3623.80004882813</v>
      </c>
      <c r="D1213" s="259"/>
      <c r="E1213" s="263">
        <f t="shared" si="36"/>
        <v>-8.6120811862392364E-4</v>
      </c>
      <c r="F1213" s="263">
        <f t="shared" si="37"/>
        <v>-1.6607856491687924E-2</v>
      </c>
      <c r="G1213" s="259"/>
      <c r="H1213" s="259"/>
    </row>
    <row r="1214" spans="1:8" ht="14.25" customHeight="1" x14ac:dyDescent="0.3">
      <c r="A1214" s="261">
        <v>45709</v>
      </c>
      <c r="B1214" s="262">
        <v>22795.900390625</v>
      </c>
      <c r="C1214" s="262">
        <v>3596.69995117188</v>
      </c>
      <c r="D1214" s="259"/>
      <c r="E1214" s="263">
        <f t="shared" si="36"/>
        <v>-5.1171487988824647E-3</v>
      </c>
      <c r="F1214" s="263">
        <f t="shared" si="37"/>
        <v>-7.4783645044139979E-3</v>
      </c>
      <c r="G1214" s="259"/>
      <c r="H1214" s="259"/>
    </row>
    <row r="1215" spans="1:8" ht="14.25" customHeight="1" x14ac:dyDescent="0.3">
      <c r="A1215" s="261">
        <v>45712</v>
      </c>
      <c r="B1215" s="262">
        <v>22553.349609375</v>
      </c>
      <c r="C1215" s="262">
        <v>3570.89990234375</v>
      </c>
      <c r="D1215" s="259"/>
      <c r="E1215" s="263">
        <f t="shared" si="36"/>
        <v>-1.0640105330068515E-2</v>
      </c>
      <c r="F1215" s="263">
        <f t="shared" si="37"/>
        <v>-7.1732558118237826E-3</v>
      </c>
      <c r="G1215" s="259"/>
      <c r="H1215" s="259"/>
    </row>
    <row r="1216" spans="1:8" ht="14.25" customHeight="1" x14ac:dyDescent="0.3">
      <c r="A1216" s="261">
        <v>45713</v>
      </c>
      <c r="B1216" s="262">
        <v>22547.55078125</v>
      </c>
      <c r="C1216" s="262">
        <v>3530.75</v>
      </c>
      <c r="D1216" s="259"/>
      <c r="E1216" s="263">
        <f t="shared" si="36"/>
        <v>-2.5711604818955748E-4</v>
      </c>
      <c r="F1216" s="263">
        <f t="shared" si="37"/>
        <v>-1.1243637021972452E-2</v>
      </c>
      <c r="G1216" s="259"/>
      <c r="H1216" s="259"/>
    </row>
    <row r="1217" spans="1:8" ht="14.25" customHeight="1" x14ac:dyDescent="0.3">
      <c r="A1217" s="261">
        <v>45715</v>
      </c>
      <c r="B1217" s="262">
        <v>22545.05078125</v>
      </c>
      <c r="C1217" s="262">
        <v>3507.19995117188</v>
      </c>
      <c r="D1217" s="259"/>
      <c r="E1217" s="263">
        <f t="shared" si="36"/>
        <v>-1.1087678764998901E-4</v>
      </c>
      <c r="F1217" s="263">
        <f t="shared" si="37"/>
        <v>-6.6699847987311475E-3</v>
      </c>
      <c r="G1217" s="259"/>
      <c r="H1217" s="259"/>
    </row>
    <row r="1218" spans="1:8" ht="14.25" customHeight="1" x14ac:dyDescent="0.3">
      <c r="A1218" s="261">
        <v>45716</v>
      </c>
      <c r="B1218" s="262">
        <v>22124.69921875</v>
      </c>
      <c r="C1218" s="262">
        <v>3403.94995117188</v>
      </c>
      <c r="D1218" s="259"/>
      <c r="E1218" s="263">
        <f t="shared" si="36"/>
        <v>-1.8644959666695139E-2</v>
      </c>
      <c r="F1218" s="263">
        <f t="shared" si="37"/>
        <v>-2.9439439278476413E-2</v>
      </c>
      <c r="G1218" s="259"/>
      <c r="H1218" s="259"/>
    </row>
    <row r="1219" spans="1:8" ht="14.25" customHeight="1" x14ac:dyDescent="0.3">
      <c r="A1219" s="261">
        <v>45719</v>
      </c>
      <c r="B1219" s="262">
        <v>22119.30078125</v>
      </c>
      <c r="C1219" s="262">
        <v>3453.19995117188</v>
      </c>
      <c r="D1219" s="259"/>
      <c r="E1219" s="263">
        <f t="shared" ref="E1219:E1282" si="38">(B1219-B1218)/B1218</f>
        <v>-2.4400049223833022E-4</v>
      </c>
      <c r="F1219" s="263">
        <f t="shared" ref="F1219:F1282" si="39">(C1219-C1218)/C1218</f>
        <v>1.4468485349805061E-2</v>
      </c>
      <c r="G1219" s="259"/>
      <c r="H1219" s="259"/>
    </row>
    <row r="1220" spans="1:8" ht="14.25" customHeight="1" x14ac:dyDescent="0.3">
      <c r="A1220" s="261">
        <v>45720</v>
      </c>
      <c r="B1220" s="262">
        <v>22082.650390625</v>
      </c>
      <c r="C1220" s="262">
        <v>3408.39990234375</v>
      </c>
      <c r="D1220" s="259"/>
      <c r="E1220" s="263">
        <f t="shared" si="38"/>
        <v>-1.6569416451024373E-3</v>
      </c>
      <c r="F1220" s="263">
        <f t="shared" si="39"/>
        <v>-1.2973488202710831E-2</v>
      </c>
      <c r="G1220" s="259"/>
      <c r="H1220" s="259"/>
    </row>
    <row r="1221" spans="1:8" ht="14.25" customHeight="1" x14ac:dyDescent="0.3">
      <c r="A1221" s="261">
        <v>45721</v>
      </c>
      <c r="B1221" s="262">
        <v>22337.30078125</v>
      </c>
      <c r="C1221" s="262">
        <v>3474.5</v>
      </c>
      <c r="D1221" s="259"/>
      <c r="E1221" s="263">
        <f t="shared" si="38"/>
        <v>1.153169506922546E-2</v>
      </c>
      <c r="F1221" s="263">
        <f t="shared" si="39"/>
        <v>1.9393292908733206E-2</v>
      </c>
      <c r="G1221" s="259"/>
      <c r="H1221" s="259"/>
    </row>
    <row r="1222" spans="1:8" ht="14.25" customHeight="1" x14ac:dyDescent="0.3">
      <c r="A1222" s="261">
        <v>45722</v>
      </c>
      <c r="B1222" s="262">
        <v>22544.69921875</v>
      </c>
      <c r="C1222" s="262">
        <v>3540.5</v>
      </c>
      <c r="D1222" s="259"/>
      <c r="E1222" s="263">
        <f t="shared" si="38"/>
        <v>9.2848477768670643E-3</v>
      </c>
      <c r="F1222" s="263">
        <f t="shared" si="39"/>
        <v>1.8995538926464238E-2</v>
      </c>
      <c r="G1222" s="259"/>
      <c r="H1222" s="259"/>
    </row>
    <row r="1223" spans="1:8" ht="14.25" customHeight="1" x14ac:dyDescent="0.3">
      <c r="A1223" s="261">
        <v>45723</v>
      </c>
      <c r="B1223" s="262">
        <v>22552.5</v>
      </c>
      <c r="C1223" s="262">
        <v>3593.60009765625</v>
      </c>
      <c r="D1223" s="259"/>
      <c r="E1223" s="263">
        <f t="shared" si="38"/>
        <v>3.4601398645018238E-4</v>
      </c>
      <c r="F1223" s="263">
        <f t="shared" si="39"/>
        <v>1.4997909237748906E-2</v>
      </c>
      <c r="G1223" s="259"/>
      <c r="H1223" s="259"/>
    </row>
    <row r="1224" spans="1:8" ht="14.25" customHeight="1" x14ac:dyDescent="0.3">
      <c r="A1224" s="261">
        <v>45726</v>
      </c>
      <c r="B1224" s="262">
        <v>22460.30078125</v>
      </c>
      <c r="C1224" s="262">
        <v>3603.75</v>
      </c>
      <c r="D1224" s="259"/>
      <c r="E1224" s="263">
        <f t="shared" si="38"/>
        <v>-4.0882039130916746E-3</v>
      </c>
      <c r="F1224" s="263">
        <f t="shared" si="39"/>
        <v>2.8244384650283646E-3</v>
      </c>
      <c r="G1224" s="259"/>
      <c r="H1224" s="259"/>
    </row>
    <row r="1225" spans="1:8" ht="14.25" customHeight="1" x14ac:dyDescent="0.3">
      <c r="A1225" s="261">
        <v>45727</v>
      </c>
      <c r="B1225" s="262">
        <v>22497.900390625</v>
      </c>
      <c r="C1225" s="262">
        <v>3631.64990234375</v>
      </c>
      <c r="D1225" s="259"/>
      <c r="E1225" s="263">
        <f t="shared" si="38"/>
        <v>1.6740474556061328E-3</v>
      </c>
      <c r="F1225" s="263">
        <f t="shared" si="39"/>
        <v>7.7419083853624698E-3</v>
      </c>
      <c r="G1225" s="259"/>
      <c r="H1225" s="259"/>
    </row>
    <row r="1226" spans="1:8" ht="14.25" customHeight="1" x14ac:dyDescent="0.3">
      <c r="A1226" s="261">
        <v>45728</v>
      </c>
      <c r="B1226" s="262">
        <v>22470.5</v>
      </c>
      <c r="C1226" s="262">
        <v>3674.19995117188</v>
      </c>
      <c r="D1226" s="259"/>
      <c r="E1226" s="263">
        <f t="shared" si="38"/>
        <v>-1.217908789231634E-3</v>
      </c>
      <c r="F1226" s="263">
        <f t="shared" si="39"/>
        <v>1.1716451192244487E-2</v>
      </c>
      <c r="G1226" s="259"/>
      <c r="H1226" s="259"/>
    </row>
    <row r="1227" spans="1:8" ht="14.25" customHeight="1" x14ac:dyDescent="0.3">
      <c r="A1227" s="261">
        <v>45729</v>
      </c>
      <c r="B1227" s="262">
        <v>22397.19921875</v>
      </c>
      <c r="C1227" s="262">
        <v>3797.10009765625</v>
      </c>
      <c r="D1227" s="259"/>
      <c r="E1227" s="263">
        <f t="shared" si="38"/>
        <v>-3.2620894617387242E-3</v>
      </c>
      <c r="F1227" s="263">
        <f t="shared" si="39"/>
        <v>3.3449498698395877E-2</v>
      </c>
      <c r="G1227" s="259"/>
      <c r="H1227" s="259"/>
    </row>
    <row r="1228" spans="1:8" ht="14.25" customHeight="1" x14ac:dyDescent="0.3">
      <c r="A1228" s="261">
        <v>45733</v>
      </c>
      <c r="B1228" s="262">
        <v>22508.75</v>
      </c>
      <c r="C1228" s="262">
        <v>3825.30004882813</v>
      </c>
      <c r="D1228" s="259"/>
      <c r="E1228" s="263">
        <f t="shared" si="38"/>
        <v>4.9805683362683286E-3</v>
      </c>
      <c r="F1228" s="263">
        <f t="shared" si="39"/>
        <v>7.4267073415542426E-3</v>
      </c>
      <c r="G1228" s="259"/>
      <c r="H1228" s="259"/>
    </row>
    <row r="1229" spans="1:8" ht="14.25" customHeight="1" x14ac:dyDescent="0.3">
      <c r="A1229" s="261">
        <v>45734</v>
      </c>
      <c r="B1229" s="262">
        <v>22834.30078125</v>
      </c>
      <c r="C1229" s="262">
        <v>3825.30004882813</v>
      </c>
      <c r="D1229" s="259"/>
      <c r="E1229" s="263">
        <f t="shared" si="38"/>
        <v>1.4463298994835342E-2</v>
      </c>
      <c r="F1229" s="263">
        <f t="shared" si="39"/>
        <v>0</v>
      </c>
      <c r="G1229" s="259"/>
      <c r="H1229" s="259"/>
    </row>
    <row r="1230" spans="1:8" ht="14.25" customHeight="1" x14ac:dyDescent="0.3">
      <c r="A1230" s="261">
        <v>45735</v>
      </c>
      <c r="B1230" s="262">
        <v>22907.599609375</v>
      </c>
      <c r="C1230" s="262">
        <v>3845.19995117188</v>
      </c>
      <c r="D1230" s="259"/>
      <c r="E1230" s="263">
        <f t="shared" si="38"/>
        <v>3.2100316461272198E-3</v>
      </c>
      <c r="F1230" s="263">
        <f t="shared" si="39"/>
        <v>5.2021807674528121E-3</v>
      </c>
      <c r="G1230" s="259"/>
      <c r="H1230" s="259"/>
    </row>
    <row r="1231" spans="1:8" ht="14.25" customHeight="1" x14ac:dyDescent="0.3">
      <c r="A1231" s="261">
        <v>45736</v>
      </c>
      <c r="B1231" s="262">
        <v>23190.650390625</v>
      </c>
      <c r="C1231" s="262">
        <v>3884.39990234375</v>
      </c>
      <c r="D1231" s="259"/>
      <c r="E1231" s="263">
        <f t="shared" si="38"/>
        <v>1.2356195589090036E-2</v>
      </c>
      <c r="F1231" s="263">
        <f t="shared" si="39"/>
        <v>1.01945156739959E-2</v>
      </c>
      <c r="G1231" s="259"/>
      <c r="H1231" s="259"/>
    </row>
    <row r="1232" spans="1:8" ht="14.25" customHeight="1" x14ac:dyDescent="0.3">
      <c r="A1232" s="261">
        <v>45737</v>
      </c>
      <c r="B1232" s="262">
        <v>23350.400390625</v>
      </c>
      <c r="C1232" s="262">
        <v>3892.19995117188</v>
      </c>
      <c r="D1232" s="259"/>
      <c r="E1232" s="263">
        <f t="shared" si="38"/>
        <v>6.8885519512889631E-3</v>
      </c>
      <c r="F1232" s="263">
        <f t="shared" si="39"/>
        <v>2.0080447493121519E-3</v>
      </c>
      <c r="G1232" s="259"/>
      <c r="H1232" s="259"/>
    </row>
    <row r="1233" spans="1:8" ht="14.25" customHeight="1" x14ac:dyDescent="0.3">
      <c r="A1233" s="261">
        <v>45740</v>
      </c>
      <c r="B1233" s="262">
        <v>23658.349609375</v>
      </c>
      <c r="C1233" s="262">
        <v>3905.10009765625</v>
      </c>
      <c r="D1233" s="259"/>
      <c r="E1233" s="263">
        <f t="shared" si="38"/>
        <v>1.3188177230298765E-2</v>
      </c>
      <c r="F1233" s="263">
        <f t="shared" si="39"/>
        <v>3.3143586265361232E-3</v>
      </c>
      <c r="G1233" s="259"/>
      <c r="H1233" s="259"/>
    </row>
    <row r="1234" spans="1:8" ht="14.25" customHeight="1" x14ac:dyDescent="0.3">
      <c r="A1234" s="261">
        <v>45741</v>
      </c>
      <c r="B1234" s="262">
        <v>23668.650390625</v>
      </c>
      <c r="C1234" s="262">
        <v>3998.80004882813</v>
      </c>
      <c r="D1234" s="259"/>
      <c r="E1234" s="263">
        <f t="shared" si="38"/>
        <v>4.3539728764165997E-4</v>
      </c>
      <c r="F1234" s="263">
        <f t="shared" si="39"/>
        <v>2.3994250807582763E-2</v>
      </c>
      <c r="G1234" s="259"/>
      <c r="H1234" s="259"/>
    </row>
    <row r="1235" spans="1:8" ht="14.25" customHeight="1" x14ac:dyDescent="0.3">
      <c r="A1235" s="261">
        <v>45742</v>
      </c>
      <c r="B1235" s="262">
        <v>23486.849609375</v>
      </c>
      <c r="C1235" s="262">
        <v>3945.69995117188</v>
      </c>
      <c r="D1235" s="259"/>
      <c r="E1235" s="263">
        <f t="shared" si="38"/>
        <v>-7.6810793285454976E-3</v>
      </c>
      <c r="F1235" s="263">
        <f t="shared" si="39"/>
        <v>-1.3279007954351524E-2</v>
      </c>
      <c r="G1235" s="259"/>
      <c r="H1235" s="259"/>
    </row>
    <row r="1236" spans="1:8" ht="14.25" customHeight="1" x14ac:dyDescent="0.3">
      <c r="A1236" s="261">
        <v>45743</v>
      </c>
      <c r="B1236" s="262">
        <v>23591.94921875</v>
      </c>
      <c r="C1236" s="262">
        <v>4065</v>
      </c>
      <c r="D1236" s="259"/>
      <c r="E1236" s="263">
        <f t="shared" si="38"/>
        <v>4.4748278770026483E-3</v>
      </c>
      <c r="F1236" s="263">
        <f t="shared" si="39"/>
        <v>3.0235458931104901E-2</v>
      </c>
      <c r="G1236" s="259"/>
      <c r="H1236" s="259"/>
    </row>
    <row r="1237" spans="1:8" ht="14.25" customHeight="1" x14ac:dyDescent="0.3">
      <c r="A1237" s="261">
        <v>45744</v>
      </c>
      <c r="B1237" s="262">
        <v>23519.349609375</v>
      </c>
      <c r="C1237" s="262">
        <v>4083.19995117188</v>
      </c>
      <c r="D1237" s="259"/>
      <c r="E1237" s="263">
        <f t="shared" si="38"/>
        <v>-3.0773044101544836E-3</v>
      </c>
      <c r="F1237" s="263">
        <f t="shared" si="39"/>
        <v>4.4772327606100865E-3</v>
      </c>
      <c r="G1237" s="259"/>
      <c r="H1237" s="259"/>
    </row>
    <row r="1238" spans="1:8" ht="14.25" customHeight="1" x14ac:dyDescent="0.3">
      <c r="A1238" s="261">
        <v>45748</v>
      </c>
      <c r="B1238" s="262">
        <v>23165.69921875</v>
      </c>
      <c r="C1238" s="262">
        <v>4003.60009765625</v>
      </c>
      <c r="D1238" s="259"/>
      <c r="E1238" s="263">
        <f t="shared" si="38"/>
        <v>-1.5036571865236959E-2</v>
      </c>
      <c r="F1238" s="263">
        <f t="shared" si="39"/>
        <v>-1.9494478464809152E-2</v>
      </c>
      <c r="G1238" s="259"/>
      <c r="H1238" s="259"/>
    </row>
    <row r="1239" spans="1:8" ht="14.25" customHeight="1" x14ac:dyDescent="0.3">
      <c r="A1239" s="261">
        <v>45749</v>
      </c>
      <c r="B1239" s="262">
        <v>23332.349609375</v>
      </c>
      <c r="C1239" s="262">
        <v>4121.4501953125</v>
      </c>
      <c r="D1239" s="259"/>
      <c r="E1239" s="263">
        <f t="shared" si="38"/>
        <v>7.1938424586863083E-3</v>
      </c>
      <c r="F1239" s="263">
        <f t="shared" si="39"/>
        <v>2.9436031267268851E-2</v>
      </c>
      <c r="G1239" s="259"/>
      <c r="H1239" s="259"/>
    </row>
    <row r="1240" spans="1:8" ht="14.25" customHeight="1" x14ac:dyDescent="0.3">
      <c r="A1240" s="261">
        <v>45750</v>
      </c>
      <c r="B1240" s="262">
        <v>23250.099609375</v>
      </c>
      <c r="C1240" s="262">
        <v>4157.7998046875</v>
      </c>
      <c r="D1240" s="259"/>
      <c r="E1240" s="263">
        <f t="shared" si="38"/>
        <v>-3.5251486188494162E-3</v>
      </c>
      <c r="F1240" s="263">
        <f t="shared" si="39"/>
        <v>8.8196163128070673E-3</v>
      </c>
      <c r="G1240" s="259"/>
      <c r="H1240" s="259"/>
    </row>
    <row r="1241" spans="1:8" ht="14.25" customHeight="1" x14ac:dyDescent="0.3">
      <c r="A1241" s="261">
        <v>45751</v>
      </c>
      <c r="B1241" s="262">
        <v>22904.44921875</v>
      </c>
      <c r="C1241" s="262">
        <v>4039.89990234375</v>
      </c>
      <c r="D1241" s="259"/>
      <c r="E1241" s="263">
        <f t="shared" si="38"/>
        <v>-1.4866619775066488E-2</v>
      </c>
      <c r="F1241" s="263">
        <f t="shared" si="39"/>
        <v>-2.8356320140962475E-2</v>
      </c>
      <c r="G1241" s="259"/>
      <c r="H1241" s="259"/>
    </row>
    <row r="1242" spans="1:8" ht="14.25" customHeight="1" x14ac:dyDescent="0.3">
      <c r="A1242" s="261">
        <v>45754</v>
      </c>
      <c r="B1242" s="262">
        <v>22161.599609375</v>
      </c>
      <c r="C1242" s="262">
        <v>4023.14990234375</v>
      </c>
      <c r="D1242" s="259"/>
      <c r="E1242" s="263">
        <f t="shared" si="38"/>
        <v>-3.2432546283055336E-2</v>
      </c>
      <c r="F1242" s="263">
        <f t="shared" si="39"/>
        <v>-4.1461423314677866E-3</v>
      </c>
      <c r="G1242" s="259"/>
      <c r="H1242" s="259"/>
    </row>
    <row r="1243" spans="1:8" ht="14.25" customHeight="1" x14ac:dyDescent="0.3">
      <c r="A1243" s="261">
        <v>45755</v>
      </c>
      <c r="B1243" s="262">
        <v>22535.849609375</v>
      </c>
      <c r="C1243" s="262">
        <v>4053.85009765625</v>
      </c>
      <c r="D1243" s="259"/>
      <c r="E1243" s="263">
        <f t="shared" si="38"/>
        <v>1.688731890281428E-2</v>
      </c>
      <c r="F1243" s="263">
        <f t="shared" si="39"/>
        <v>7.6308852659492284E-3</v>
      </c>
      <c r="G1243" s="259"/>
      <c r="H1243" s="259"/>
    </row>
    <row r="1244" spans="1:8" ht="14.25" customHeight="1" x14ac:dyDescent="0.3">
      <c r="A1244" s="261">
        <v>45756</v>
      </c>
      <c r="B1244" s="262">
        <v>22399.150390625</v>
      </c>
      <c r="C1244" s="262">
        <v>4139.2998046875</v>
      </c>
      <c r="D1244" s="259"/>
      <c r="E1244" s="263">
        <f t="shared" si="38"/>
        <v>-6.0658560080704745E-3</v>
      </c>
      <c r="F1244" s="263">
        <f t="shared" si="39"/>
        <v>2.1078654852248507E-2</v>
      </c>
      <c r="G1244" s="259"/>
      <c r="H1244" s="259"/>
    </row>
    <row r="1245" spans="1:8" ht="14.25" customHeight="1" x14ac:dyDescent="0.3">
      <c r="A1245" s="261">
        <v>45758</v>
      </c>
      <c r="B1245" s="262">
        <v>22828.55078125</v>
      </c>
      <c r="C1245" s="262">
        <v>4131.5</v>
      </c>
      <c r="D1245" s="259"/>
      <c r="E1245" s="263">
        <f t="shared" si="38"/>
        <v>1.9170387409190411E-2</v>
      </c>
      <c r="F1245" s="263">
        <f t="shared" si="39"/>
        <v>-1.8843294894144186E-3</v>
      </c>
      <c r="G1245" s="259"/>
      <c r="H1245" s="259"/>
    </row>
    <row r="1246" spans="1:8" ht="14.25" customHeight="1" x14ac:dyDescent="0.3">
      <c r="A1246" s="261">
        <v>45762</v>
      </c>
      <c r="B1246" s="262">
        <v>23328.55078125</v>
      </c>
      <c r="C1246" s="262">
        <v>4212.7001953125</v>
      </c>
      <c r="D1246" s="259"/>
      <c r="E1246" s="263">
        <f t="shared" si="38"/>
        <v>2.1902397782108445E-2</v>
      </c>
      <c r="F1246" s="263">
        <f t="shared" si="39"/>
        <v>1.9653926010528865E-2</v>
      </c>
      <c r="G1246" s="259"/>
      <c r="H1246" s="259"/>
    </row>
    <row r="1247" spans="1:8" ht="14.25" customHeight="1" x14ac:dyDescent="0.3">
      <c r="A1247" s="261">
        <v>45763</v>
      </c>
      <c r="B1247" s="262">
        <v>23437.19921875</v>
      </c>
      <c r="C1247" s="262">
        <v>4221.5</v>
      </c>
      <c r="D1247" s="259"/>
      <c r="E1247" s="263">
        <f t="shared" si="38"/>
        <v>4.657316201027141E-3</v>
      </c>
      <c r="F1247" s="263">
        <f t="shared" si="39"/>
        <v>2.0888751345969508E-3</v>
      </c>
      <c r="G1247" s="259"/>
      <c r="H1247" s="259"/>
    </row>
    <row r="1248" spans="1:8" ht="14.25" customHeight="1" x14ac:dyDescent="0.3">
      <c r="A1248" s="261">
        <v>45764</v>
      </c>
      <c r="B1248" s="262">
        <v>23851.650390625</v>
      </c>
      <c r="C1248" s="262">
        <v>4357.10009765625</v>
      </c>
      <c r="D1248" s="259"/>
      <c r="E1248" s="263">
        <f t="shared" si="38"/>
        <v>1.7683476937954037E-2</v>
      </c>
      <c r="F1248" s="263">
        <f t="shared" si="39"/>
        <v>3.2121307036894468E-2</v>
      </c>
      <c r="G1248" s="259"/>
      <c r="H1248" s="259"/>
    </row>
    <row r="1249" spans="1:8" ht="14.25" customHeight="1" x14ac:dyDescent="0.3">
      <c r="A1249" s="261">
        <v>45768</v>
      </c>
      <c r="B1249" s="262">
        <v>24125.55078125</v>
      </c>
      <c r="C1249" s="262">
        <v>4342.2998046875</v>
      </c>
      <c r="D1249" s="259"/>
      <c r="E1249" s="263">
        <f t="shared" si="38"/>
        <v>1.1483498464016469E-2</v>
      </c>
      <c r="F1249" s="263">
        <f t="shared" si="39"/>
        <v>-3.3968218854350629E-3</v>
      </c>
      <c r="G1249" s="259"/>
      <c r="H1249" s="259"/>
    </row>
    <row r="1250" spans="1:8" ht="14.25" customHeight="1" x14ac:dyDescent="0.3">
      <c r="A1250" s="261">
        <v>45769</v>
      </c>
      <c r="B1250" s="262">
        <v>24167.25</v>
      </c>
      <c r="C1250" s="262">
        <v>4435.60009765625</v>
      </c>
      <c r="D1250" s="259"/>
      <c r="E1250" s="263">
        <f t="shared" si="38"/>
        <v>1.728425565413743E-3</v>
      </c>
      <c r="F1250" s="263">
        <f t="shared" si="39"/>
        <v>2.148637753386641E-2</v>
      </c>
      <c r="G1250" s="259"/>
      <c r="H1250" s="259"/>
    </row>
    <row r="1251" spans="1:8" ht="14.25" customHeight="1" x14ac:dyDescent="0.3">
      <c r="A1251" s="261">
        <v>45770</v>
      </c>
      <c r="B1251" s="262">
        <v>24328.94921875</v>
      </c>
      <c r="C1251" s="262">
        <v>4508.10009765625</v>
      </c>
      <c r="D1251" s="259"/>
      <c r="E1251" s="263">
        <f t="shared" si="38"/>
        <v>6.6908406521221904E-3</v>
      </c>
      <c r="F1251" s="263">
        <f t="shared" si="39"/>
        <v>1.6345026243080086E-2</v>
      </c>
      <c r="G1251" s="259"/>
      <c r="H1251" s="259"/>
    </row>
    <row r="1252" spans="1:8" ht="14.25" customHeight="1" x14ac:dyDescent="0.3">
      <c r="A1252" s="261">
        <v>45771</v>
      </c>
      <c r="B1252" s="262">
        <v>24246.69921875</v>
      </c>
      <c r="C1252" s="262">
        <v>4498.7998046875</v>
      </c>
      <c r="D1252" s="259"/>
      <c r="E1252" s="263">
        <f t="shared" si="38"/>
        <v>-3.3807460922566689E-3</v>
      </c>
      <c r="F1252" s="263">
        <f t="shared" si="39"/>
        <v>-2.0630182931353274E-3</v>
      </c>
      <c r="G1252" s="259"/>
      <c r="H1252" s="259"/>
    </row>
    <row r="1253" spans="1:8" ht="14.25" customHeight="1" x14ac:dyDescent="0.3">
      <c r="A1253" s="261">
        <v>45772</v>
      </c>
      <c r="B1253" s="262">
        <v>24039.349609375</v>
      </c>
      <c r="C1253" s="262">
        <v>4375.2001953125</v>
      </c>
      <c r="D1253" s="259"/>
      <c r="E1253" s="263">
        <f t="shared" si="38"/>
        <v>-8.5516633626838701E-3</v>
      </c>
      <c r="F1253" s="263">
        <f t="shared" si="39"/>
        <v>-2.7473907428869376E-2</v>
      </c>
      <c r="G1253" s="259"/>
      <c r="H1253" s="259"/>
    </row>
    <row r="1254" spans="1:8" ht="14.25" customHeight="1" x14ac:dyDescent="0.3">
      <c r="A1254" s="261">
        <v>45775</v>
      </c>
      <c r="B1254" s="262">
        <v>24328.5</v>
      </c>
      <c r="C1254" s="262">
        <v>4366.7998046875</v>
      </c>
      <c r="D1254" s="259"/>
      <c r="E1254" s="263">
        <f t="shared" si="38"/>
        <v>1.2028211882747256E-2</v>
      </c>
      <c r="F1254" s="263">
        <f t="shared" si="39"/>
        <v>-1.9200014285060618E-3</v>
      </c>
      <c r="G1254" s="259"/>
      <c r="H1254" s="259"/>
    </row>
    <row r="1255" spans="1:8" ht="14.25" customHeight="1" x14ac:dyDescent="0.3">
      <c r="A1255" s="261">
        <v>45776</v>
      </c>
      <c r="B1255" s="262">
        <v>24335.94921875</v>
      </c>
      <c r="C1255" s="262">
        <v>4310</v>
      </c>
      <c r="D1255" s="259"/>
      <c r="E1255" s="263">
        <f t="shared" si="38"/>
        <v>3.0619309657397702E-4</v>
      </c>
      <c r="F1255" s="263">
        <f t="shared" si="39"/>
        <v>-1.3007192275342869E-2</v>
      </c>
      <c r="G1255" s="259"/>
      <c r="H1255" s="259"/>
    </row>
    <row r="1256" spans="1:8" ht="14.25" customHeight="1" x14ac:dyDescent="0.3">
      <c r="A1256" s="261">
        <v>45777</v>
      </c>
      <c r="B1256" s="262">
        <v>24334.19921875</v>
      </c>
      <c r="C1256" s="262">
        <v>4199.89990234375</v>
      </c>
      <c r="D1256" s="259"/>
      <c r="E1256" s="263">
        <f t="shared" si="38"/>
        <v>-7.1910077731904783E-5</v>
      </c>
      <c r="F1256" s="263">
        <f t="shared" si="39"/>
        <v>-2.5545266277552204E-2</v>
      </c>
      <c r="G1256" s="259"/>
      <c r="H1256" s="259"/>
    </row>
    <row r="1257" spans="1:8" ht="14.25" customHeight="1" x14ac:dyDescent="0.3">
      <c r="A1257" s="261">
        <v>45779</v>
      </c>
      <c r="B1257" s="262">
        <v>24346.69921875</v>
      </c>
      <c r="C1257" s="262">
        <v>4042.19995117188</v>
      </c>
      <c r="D1257" s="259"/>
      <c r="E1257" s="263">
        <f t="shared" si="38"/>
        <v>5.1368035116473008E-4</v>
      </c>
      <c r="F1257" s="263">
        <f t="shared" si="39"/>
        <v>-3.7548502306892051E-2</v>
      </c>
      <c r="G1257" s="259"/>
      <c r="H1257" s="259"/>
    </row>
    <row r="1258" spans="1:8" ht="14.25" customHeight="1" x14ac:dyDescent="0.3">
      <c r="A1258" s="261">
        <v>45782</v>
      </c>
      <c r="B1258" s="262">
        <v>24461.150390625</v>
      </c>
      <c r="C1258" s="262">
        <v>4018.39990234375</v>
      </c>
      <c r="D1258" s="259"/>
      <c r="E1258" s="263">
        <f t="shared" si="38"/>
        <v>4.700890697612853E-3</v>
      </c>
      <c r="F1258" s="263">
        <f t="shared" si="39"/>
        <v>-5.8878949867955188E-3</v>
      </c>
      <c r="G1258" s="259"/>
      <c r="H1258" s="259"/>
    </row>
    <row r="1259" spans="1:8" ht="14.25" customHeight="1" x14ac:dyDescent="0.3">
      <c r="A1259" s="261">
        <v>45783</v>
      </c>
      <c r="B1259" s="262">
        <v>24379.599609375</v>
      </c>
      <c r="C1259" s="262">
        <v>4006.10009765625</v>
      </c>
      <c r="D1259" s="259"/>
      <c r="E1259" s="263">
        <f t="shared" si="38"/>
        <v>-3.3338898599493184E-3</v>
      </c>
      <c r="F1259" s="263">
        <f t="shared" si="39"/>
        <v>-3.0608712389043418E-3</v>
      </c>
      <c r="G1259" s="259"/>
      <c r="H1259" s="259"/>
    </row>
    <row r="1260" spans="1:8" ht="14.25" customHeight="1" x14ac:dyDescent="0.3">
      <c r="A1260" s="261">
        <v>45784</v>
      </c>
      <c r="B1260" s="262">
        <v>24414.400390625</v>
      </c>
      <c r="C1260" s="262">
        <v>3999.80004882813</v>
      </c>
      <c r="D1260" s="259"/>
      <c r="E1260" s="263">
        <f t="shared" si="38"/>
        <v>1.4274549954716078E-3</v>
      </c>
      <c r="F1260" s="263">
        <f t="shared" si="39"/>
        <v>-1.572613932389211E-3</v>
      </c>
      <c r="G1260" s="259"/>
      <c r="H1260" s="259"/>
    </row>
    <row r="1261" spans="1:8" ht="14.25" customHeight="1" x14ac:dyDescent="0.3">
      <c r="A1261" s="261">
        <v>45785</v>
      </c>
      <c r="B1261" s="262">
        <v>24273.80078125</v>
      </c>
      <c r="C1261" s="262">
        <v>3974.30004882813</v>
      </c>
      <c r="D1261" s="259"/>
      <c r="E1261" s="263">
        <f t="shared" si="38"/>
        <v>-5.7588802970966885E-3</v>
      </c>
      <c r="F1261" s="263">
        <f t="shared" si="39"/>
        <v>-6.3753186881106835E-3</v>
      </c>
      <c r="G1261" s="259"/>
      <c r="H1261" s="259"/>
    </row>
    <row r="1262" spans="1:8" ht="14.25" customHeight="1" x14ac:dyDescent="0.3">
      <c r="A1262" s="261">
        <v>45786</v>
      </c>
      <c r="B1262" s="262">
        <v>24008</v>
      </c>
      <c r="C1262" s="262">
        <v>3972.39990234375</v>
      </c>
      <c r="D1262" s="259"/>
      <c r="E1262" s="263">
        <f t="shared" si="38"/>
        <v>-1.0950109694206379E-2</v>
      </c>
      <c r="F1262" s="263">
        <f t="shared" si="39"/>
        <v>-4.7810846212788667E-4</v>
      </c>
      <c r="G1262" s="259"/>
      <c r="H1262" s="259"/>
    </row>
    <row r="1263" spans="1:8" ht="14.25" customHeight="1" x14ac:dyDescent="0.3">
      <c r="A1263" s="261">
        <v>45789</v>
      </c>
      <c r="B1263" s="262">
        <v>24924.69921875</v>
      </c>
      <c r="C1263" s="262">
        <v>4023.5</v>
      </c>
      <c r="D1263" s="259"/>
      <c r="E1263" s="263">
        <f t="shared" si="38"/>
        <v>3.8183073090219927E-2</v>
      </c>
      <c r="F1263" s="263">
        <f t="shared" si="39"/>
        <v>1.2863784843540175E-2</v>
      </c>
      <c r="G1263" s="259"/>
      <c r="H1263" s="259"/>
    </row>
    <row r="1264" spans="1:8" ht="14.25" customHeight="1" x14ac:dyDescent="0.3">
      <c r="A1264" s="261">
        <v>45790</v>
      </c>
      <c r="B1264" s="262">
        <v>24578.349609375</v>
      </c>
      <c r="C1264" s="262">
        <v>4064.10009765625</v>
      </c>
      <c r="D1264" s="259"/>
      <c r="E1264" s="263">
        <f t="shared" si="38"/>
        <v>-1.389583907654352E-2</v>
      </c>
      <c r="F1264" s="263">
        <f t="shared" si="39"/>
        <v>1.0090741308872872E-2</v>
      </c>
      <c r="G1264" s="259"/>
      <c r="H1264" s="259"/>
    </row>
    <row r="1265" spans="1:8" ht="14.25" customHeight="1" x14ac:dyDescent="0.3">
      <c r="A1265" s="261">
        <v>45791</v>
      </c>
      <c r="B1265" s="262">
        <v>24666.900390625</v>
      </c>
      <c r="C1265" s="262">
        <v>4049.19995117188</v>
      </c>
      <c r="D1265" s="259"/>
      <c r="E1265" s="263">
        <f t="shared" si="38"/>
        <v>3.6027960647212775E-3</v>
      </c>
      <c r="F1265" s="263">
        <f t="shared" si="39"/>
        <v>-3.6662843252711348E-3</v>
      </c>
      <c r="G1265" s="259"/>
      <c r="H1265" s="259"/>
    </row>
    <row r="1266" spans="1:8" ht="14.25" customHeight="1" x14ac:dyDescent="0.3">
      <c r="A1266" s="261">
        <v>45792</v>
      </c>
      <c r="B1266" s="262">
        <v>25062.099609375</v>
      </c>
      <c r="C1266" s="262">
        <v>4073.5</v>
      </c>
      <c r="D1266" s="259"/>
      <c r="E1266" s="263">
        <f t="shared" si="38"/>
        <v>1.6021438141461865E-2</v>
      </c>
      <c r="F1266" s="263">
        <f t="shared" si="39"/>
        <v>6.001197550416673E-3</v>
      </c>
      <c r="G1266" s="259"/>
      <c r="H1266" s="259"/>
    </row>
    <row r="1267" spans="1:8" ht="14.25" customHeight="1" x14ac:dyDescent="0.3">
      <c r="A1267" s="261">
        <v>45793</v>
      </c>
      <c r="B1267" s="262">
        <v>25019.80078125</v>
      </c>
      <c r="C1267" s="262">
        <v>4189.7001953125</v>
      </c>
      <c r="D1267" s="259"/>
      <c r="E1267" s="263">
        <f t="shared" si="38"/>
        <v>-1.6877607536591724E-3</v>
      </c>
      <c r="F1267" s="263">
        <f t="shared" si="39"/>
        <v>2.8525885678777466E-2</v>
      </c>
      <c r="G1267" s="259"/>
      <c r="H1267" s="259"/>
    </row>
    <row r="1268" spans="1:8" ht="14.25" customHeight="1" x14ac:dyDescent="0.3">
      <c r="A1268" s="261">
        <v>45796</v>
      </c>
      <c r="B1268" s="262">
        <v>24945.44921875</v>
      </c>
      <c r="C1268" s="262">
        <v>4206.7998046875</v>
      </c>
      <c r="D1268" s="259"/>
      <c r="E1268" s="263">
        <f t="shared" si="38"/>
        <v>-2.9717088137536066E-3</v>
      </c>
      <c r="F1268" s="263">
        <f t="shared" si="39"/>
        <v>4.08134438691611E-3</v>
      </c>
      <c r="G1268" s="259"/>
      <c r="H1268" s="259"/>
    </row>
    <row r="1269" spans="1:8" ht="14.25" customHeight="1" x14ac:dyDescent="0.3">
      <c r="A1269" s="261">
        <v>45797</v>
      </c>
      <c r="B1269" s="262">
        <v>24683.900390625</v>
      </c>
      <c r="C1269" s="262">
        <v>4071.5</v>
      </c>
      <c r="D1269" s="259"/>
      <c r="E1269" s="263">
        <f t="shared" si="38"/>
        <v>-1.0484831354666864E-2</v>
      </c>
      <c r="F1269" s="263">
        <f t="shared" si="39"/>
        <v>-3.2162168624411326E-2</v>
      </c>
      <c r="G1269" s="259"/>
      <c r="H1269" s="259"/>
    </row>
    <row r="1270" spans="1:8" ht="14.25" customHeight="1" x14ac:dyDescent="0.3">
      <c r="A1270" s="261">
        <v>45798</v>
      </c>
      <c r="B1270" s="262">
        <v>24813.44921875</v>
      </c>
      <c r="C1270" s="262">
        <v>4112.7001953125</v>
      </c>
      <c r="D1270" s="259"/>
      <c r="E1270" s="263">
        <f t="shared" si="38"/>
        <v>5.2483127088862724E-3</v>
      </c>
      <c r="F1270" s="263">
        <f t="shared" si="39"/>
        <v>1.0119168687830037E-2</v>
      </c>
      <c r="G1270" s="259"/>
      <c r="H1270" s="259"/>
    </row>
    <row r="1271" spans="1:8" ht="14.25" customHeight="1" x14ac:dyDescent="0.3">
      <c r="A1271" s="261">
        <v>45799</v>
      </c>
      <c r="B1271" s="262">
        <v>24609.69921875</v>
      </c>
      <c r="C1271" s="262">
        <v>4082.69995117188</v>
      </c>
      <c r="D1271" s="259"/>
      <c r="E1271" s="263">
        <f t="shared" si="38"/>
        <v>-8.2112727740421762E-3</v>
      </c>
      <c r="F1271" s="263">
        <f t="shared" si="39"/>
        <v>-7.2945370962885017E-3</v>
      </c>
      <c r="G1271" s="259"/>
      <c r="H1271" s="259"/>
    </row>
    <row r="1272" spans="1:8" ht="14.25" customHeight="1" x14ac:dyDescent="0.3">
      <c r="A1272" s="261">
        <v>45800</v>
      </c>
      <c r="B1272" s="262">
        <v>24853.150390625</v>
      </c>
      <c r="C1272" s="262">
        <v>4140.7998046875</v>
      </c>
      <c r="D1272" s="259"/>
      <c r="E1272" s="263">
        <f t="shared" si="38"/>
        <v>9.8924887180057795E-3</v>
      </c>
      <c r="F1272" s="263">
        <f t="shared" si="39"/>
        <v>1.4230742942288295E-2</v>
      </c>
      <c r="G1272" s="259"/>
      <c r="H1272" s="259"/>
    </row>
    <row r="1273" spans="1:8" ht="14.25" customHeight="1" x14ac:dyDescent="0.3">
      <c r="A1273" s="261">
        <v>45803</v>
      </c>
      <c r="B1273" s="262">
        <v>25001.150390625</v>
      </c>
      <c r="C1273" s="262">
        <v>4138.39990234375</v>
      </c>
      <c r="D1273" s="259"/>
      <c r="E1273" s="263">
        <f t="shared" si="38"/>
        <v>5.9549794562796321E-3</v>
      </c>
      <c r="F1273" s="263">
        <f t="shared" si="39"/>
        <v>-5.7957458871429716E-4</v>
      </c>
      <c r="G1273" s="259"/>
      <c r="H1273" s="259"/>
    </row>
    <row r="1274" spans="1:8" ht="14.25" customHeight="1" x14ac:dyDescent="0.3">
      <c r="A1274" s="261">
        <v>45804</v>
      </c>
      <c r="B1274" s="262">
        <v>24826.19921875</v>
      </c>
      <c r="C1274" s="262">
        <v>4094</v>
      </c>
      <c r="D1274" s="259"/>
      <c r="E1274" s="263">
        <f t="shared" si="38"/>
        <v>-6.9977248703165145E-3</v>
      </c>
      <c r="F1274" s="263">
        <f t="shared" si="39"/>
        <v>-1.0728760726725435E-2</v>
      </c>
      <c r="G1274" s="259"/>
      <c r="H1274" s="259"/>
    </row>
    <row r="1275" spans="1:8" ht="14.25" customHeight="1" x14ac:dyDescent="0.3">
      <c r="A1275" s="261">
        <v>45805</v>
      </c>
      <c r="B1275" s="262">
        <v>24752.44921875</v>
      </c>
      <c r="C1275" s="262">
        <v>4042.30004882813</v>
      </c>
      <c r="D1275" s="259"/>
      <c r="E1275" s="263">
        <f t="shared" si="38"/>
        <v>-2.9706520659956788E-3</v>
      </c>
      <c r="F1275" s="263">
        <f t="shared" si="39"/>
        <v>-1.2628224516822177E-2</v>
      </c>
      <c r="G1275" s="259"/>
      <c r="H1275" s="259"/>
    </row>
    <row r="1276" spans="1:8" ht="14.25" customHeight="1" x14ac:dyDescent="0.3">
      <c r="A1276" s="261">
        <v>45806</v>
      </c>
      <c r="B1276" s="262">
        <v>24833.599609375</v>
      </c>
      <c r="C1276" s="262">
        <v>4042.30004882813</v>
      </c>
      <c r="D1276" s="259"/>
      <c r="E1276" s="263">
        <f t="shared" si="38"/>
        <v>3.2784792287758142E-3</v>
      </c>
      <c r="F1276" s="263">
        <f t="shared" si="39"/>
        <v>0</v>
      </c>
      <c r="G1276" s="259"/>
      <c r="H1276" s="259"/>
    </row>
    <row r="1277" spans="1:8" ht="14.25" customHeight="1" x14ac:dyDescent="0.3">
      <c r="A1277" s="261">
        <v>45807</v>
      </c>
      <c r="B1277" s="262">
        <v>24750.69921875</v>
      </c>
      <c r="C1277" s="262">
        <v>4002.10009765625</v>
      </c>
      <c r="D1277" s="259"/>
      <c r="E1277" s="263">
        <f t="shared" si="38"/>
        <v>-3.3382349691143463E-3</v>
      </c>
      <c r="F1277" s="263">
        <f t="shared" si="39"/>
        <v>-9.9448211875152719E-3</v>
      </c>
      <c r="G1277" s="259"/>
      <c r="H1277" s="259"/>
    </row>
    <row r="1278" spans="1:8" ht="14.25" customHeight="1" x14ac:dyDescent="0.3">
      <c r="A1278" s="261">
        <v>45810</v>
      </c>
      <c r="B1278" s="262">
        <v>24716.599609375</v>
      </c>
      <c r="C1278" s="262">
        <v>4025.5</v>
      </c>
      <c r="D1278" s="259"/>
      <c r="E1278" s="263">
        <f t="shared" si="38"/>
        <v>-1.3777230725331466E-3</v>
      </c>
      <c r="F1278" s="263">
        <f t="shared" si="39"/>
        <v>5.846905817636517E-3</v>
      </c>
      <c r="G1278" s="259"/>
      <c r="H1278" s="259"/>
    </row>
    <row r="1279" spans="1:8" ht="14.25" customHeight="1" x14ac:dyDescent="0.3">
      <c r="A1279" s="261">
        <v>45811</v>
      </c>
      <c r="B1279" s="262">
        <v>24542.5</v>
      </c>
      <c r="C1279" s="262">
        <v>4055.19995117188</v>
      </c>
      <c r="D1279" s="259"/>
      <c r="E1279" s="263">
        <f t="shared" si="38"/>
        <v>-7.0438333802585072E-3</v>
      </c>
      <c r="F1279" s="263">
        <f t="shared" si="39"/>
        <v>7.3779533404247921E-3</v>
      </c>
      <c r="G1279" s="259"/>
      <c r="H1279" s="259"/>
    </row>
    <row r="1280" spans="1:8" ht="14.25" customHeight="1" x14ac:dyDescent="0.3">
      <c r="A1280" s="261">
        <v>45812</v>
      </c>
      <c r="B1280" s="262">
        <v>24620.19921875</v>
      </c>
      <c r="C1280" s="262">
        <v>4074.5</v>
      </c>
      <c r="D1280" s="259"/>
      <c r="E1280" s="263">
        <f t="shared" si="38"/>
        <v>3.1659048079861465E-3</v>
      </c>
      <c r="F1280" s="263">
        <f t="shared" si="39"/>
        <v>4.7593334633333258E-3</v>
      </c>
      <c r="G1280" s="259"/>
      <c r="H1280" s="259"/>
    </row>
    <row r="1281" spans="1:8" ht="14.25" customHeight="1" x14ac:dyDescent="0.3">
      <c r="A1281" s="261">
        <v>45813</v>
      </c>
      <c r="B1281" s="262">
        <v>24750.900390625</v>
      </c>
      <c r="C1281" s="262">
        <v>4153.5</v>
      </c>
      <c r="D1281" s="259"/>
      <c r="E1281" s="263">
        <f t="shared" si="38"/>
        <v>5.3086967621066988E-3</v>
      </c>
      <c r="F1281" s="263">
        <f t="shared" si="39"/>
        <v>1.9388882071419807E-2</v>
      </c>
      <c r="G1281" s="259"/>
      <c r="H1281" s="259"/>
    </row>
    <row r="1282" spans="1:8" ht="14.25" customHeight="1" x14ac:dyDescent="0.3">
      <c r="A1282" s="261">
        <v>45814</v>
      </c>
      <c r="B1282" s="262">
        <v>25003.05078125</v>
      </c>
      <c r="C1282" s="262">
        <v>4201.60009765625</v>
      </c>
      <c r="D1282" s="259"/>
      <c r="E1282" s="263">
        <f t="shared" si="38"/>
        <v>1.0187523954502602E-2</v>
      </c>
      <c r="F1282" s="263">
        <f t="shared" si="39"/>
        <v>1.1580618190983508E-2</v>
      </c>
      <c r="G1282" s="259"/>
      <c r="H1282" s="259"/>
    </row>
    <row r="1283" spans="1:8" ht="14.25" customHeight="1" x14ac:dyDescent="0.3">
      <c r="A1283" s="261">
        <v>45817</v>
      </c>
      <c r="B1283" s="262">
        <v>25103.19921875</v>
      </c>
      <c r="C1283" s="262">
        <v>4179.10009765625</v>
      </c>
      <c r="D1283" s="259"/>
      <c r="E1283" s="263">
        <f t="shared" ref="E1283:E1346" si="40">(B1283-B1282)/B1282</f>
        <v>4.0054487100870968E-3</v>
      </c>
      <c r="F1283" s="263">
        <f t="shared" ref="F1283:F1346" si="41">(C1283-C1282)/C1282</f>
        <v>-5.3551026935074143E-3</v>
      </c>
      <c r="G1283" s="259"/>
      <c r="H1283" s="259"/>
    </row>
    <row r="1284" spans="1:8" ht="14.25" customHeight="1" x14ac:dyDescent="0.3">
      <c r="A1284" s="261">
        <v>45818</v>
      </c>
      <c r="B1284" s="262">
        <v>25104.25</v>
      </c>
      <c r="C1284" s="262">
        <v>4080</v>
      </c>
      <c r="D1284" s="259"/>
      <c r="E1284" s="263">
        <f t="shared" si="40"/>
        <v>4.185845958690213E-5</v>
      </c>
      <c r="F1284" s="263">
        <f t="shared" si="41"/>
        <v>-2.3713262506401309E-2</v>
      </c>
      <c r="G1284" s="259"/>
      <c r="H1284" s="259"/>
    </row>
    <row r="1285" spans="1:8" ht="14.25" customHeight="1" x14ac:dyDescent="0.3">
      <c r="A1285" s="261">
        <v>45819</v>
      </c>
      <c r="B1285" s="262">
        <v>25141.400390625</v>
      </c>
      <c r="C1285" s="262">
        <v>4078.19995117188</v>
      </c>
      <c r="D1285" s="259"/>
      <c r="E1285" s="263">
        <f t="shared" si="40"/>
        <v>1.4798446727147794E-3</v>
      </c>
      <c r="F1285" s="263">
        <f t="shared" si="41"/>
        <v>-4.4118843826470536E-4</v>
      </c>
      <c r="G1285" s="259"/>
      <c r="H1285" s="259"/>
    </row>
    <row r="1286" spans="1:8" ht="14.25" customHeight="1" x14ac:dyDescent="0.3">
      <c r="A1286" s="261">
        <v>45820</v>
      </c>
      <c r="B1286" s="262">
        <v>24888.19921875</v>
      </c>
      <c r="C1286" s="262">
        <v>4074</v>
      </c>
      <c r="D1286" s="259"/>
      <c r="E1286" s="263">
        <f t="shared" si="40"/>
        <v>-1.0071084662786582E-2</v>
      </c>
      <c r="F1286" s="263">
        <f t="shared" si="41"/>
        <v>-1.0298541567764809E-3</v>
      </c>
      <c r="G1286" s="259"/>
      <c r="H1286" s="259"/>
    </row>
    <row r="1287" spans="1:8" ht="14.25" customHeight="1" x14ac:dyDescent="0.3">
      <c r="A1287" s="261">
        <v>45821</v>
      </c>
      <c r="B1287" s="262">
        <v>24718.599609375</v>
      </c>
      <c r="C1287" s="262">
        <v>4051.89990234375</v>
      </c>
      <c r="D1287" s="259"/>
      <c r="E1287" s="263">
        <f t="shared" si="40"/>
        <v>-6.814458847919736E-3</v>
      </c>
      <c r="F1287" s="263">
        <f t="shared" si="41"/>
        <v>-5.4246680550441824E-3</v>
      </c>
      <c r="G1287" s="259"/>
      <c r="H1287" s="259"/>
    </row>
    <row r="1288" spans="1:8" ht="14.25" customHeight="1" x14ac:dyDescent="0.3">
      <c r="A1288" s="261">
        <v>45824</v>
      </c>
      <c r="B1288" s="262">
        <v>24946.5</v>
      </c>
      <c r="C1288" s="262">
        <v>4087</v>
      </c>
      <c r="D1288" s="259"/>
      <c r="E1288" s="263">
        <f t="shared" si="40"/>
        <v>9.2197937677086055E-3</v>
      </c>
      <c r="F1288" s="263">
        <f t="shared" si="41"/>
        <v>8.6626270397121528E-3</v>
      </c>
      <c r="G1288" s="259"/>
      <c r="H1288" s="259"/>
    </row>
    <row r="1289" spans="1:8" ht="14.25" customHeight="1" x14ac:dyDescent="0.3">
      <c r="A1289" s="261">
        <v>45825</v>
      </c>
      <c r="B1289" s="262">
        <v>24853.400390625</v>
      </c>
      <c r="C1289" s="262">
        <v>4059.10009765625</v>
      </c>
      <c r="D1289" s="259"/>
      <c r="E1289" s="263">
        <f t="shared" si="40"/>
        <v>-3.7319707924959415E-3</v>
      </c>
      <c r="F1289" s="263">
        <f t="shared" si="41"/>
        <v>-6.8264992277342791E-3</v>
      </c>
      <c r="G1289" s="259"/>
      <c r="H1289" s="259"/>
    </row>
    <row r="1290" spans="1:8" ht="14.25" customHeight="1" x14ac:dyDescent="0.3">
      <c r="A1290" s="261">
        <v>45826</v>
      </c>
      <c r="B1290" s="262">
        <v>24812.05078125</v>
      </c>
      <c r="C1290" s="262">
        <v>4228.39990234375</v>
      </c>
      <c r="D1290" s="259"/>
      <c r="E1290" s="263">
        <f t="shared" si="40"/>
        <v>-1.6637405234334682E-3</v>
      </c>
      <c r="F1290" s="263">
        <f t="shared" si="41"/>
        <v>4.1708704051239033E-2</v>
      </c>
      <c r="G1290" s="259"/>
      <c r="H1290" s="259"/>
    </row>
    <row r="1291" spans="1:8" ht="14.25" customHeight="1" x14ac:dyDescent="0.3">
      <c r="A1291" s="261">
        <v>45827</v>
      </c>
      <c r="B1291" s="262">
        <v>24793.25</v>
      </c>
      <c r="C1291" s="262">
        <v>4203.10009765625</v>
      </c>
      <c r="D1291" s="259"/>
      <c r="E1291" s="263">
        <f t="shared" si="40"/>
        <v>-7.5772782410260889E-4</v>
      </c>
      <c r="F1291" s="263">
        <f t="shared" si="41"/>
        <v>-5.9833046239256204E-3</v>
      </c>
      <c r="G1291" s="259"/>
      <c r="H1291" s="259"/>
    </row>
    <row r="1292" spans="1:8" ht="14.25" customHeight="1" x14ac:dyDescent="0.3">
      <c r="A1292" s="261">
        <v>45828</v>
      </c>
      <c r="B1292" s="262">
        <v>25112.400390625</v>
      </c>
      <c r="C1292" s="262">
        <v>4300.2998046875</v>
      </c>
      <c r="D1292" s="259"/>
      <c r="E1292" s="263">
        <f t="shared" si="40"/>
        <v>1.2872470959837859E-2</v>
      </c>
      <c r="F1292" s="263">
        <f t="shared" si="41"/>
        <v>2.3125717868449268E-2</v>
      </c>
      <c r="G1292" s="259"/>
      <c r="H1292" s="259"/>
    </row>
    <row r="1293" spans="1:8" ht="14.25" customHeight="1" x14ac:dyDescent="0.3">
      <c r="A1293" s="261">
        <v>45831</v>
      </c>
      <c r="B1293" s="262">
        <v>24971.900390625</v>
      </c>
      <c r="C1293" s="262">
        <v>4335.7998046875</v>
      </c>
      <c r="D1293" s="259"/>
      <c r="E1293" s="263">
        <f t="shared" si="40"/>
        <v>-5.5948454872697742E-3</v>
      </c>
      <c r="F1293" s="263">
        <f t="shared" si="41"/>
        <v>8.255238381589947E-3</v>
      </c>
      <c r="G1293" s="259"/>
      <c r="H1293" s="259"/>
    </row>
    <row r="1294" spans="1:8" ht="14.25" customHeight="1" x14ac:dyDescent="0.3">
      <c r="A1294" s="261">
        <v>45832</v>
      </c>
      <c r="B1294" s="262">
        <v>25044.349609375</v>
      </c>
      <c r="C1294" s="262">
        <v>4250.60009765625</v>
      </c>
      <c r="D1294" s="259"/>
      <c r="E1294" s="263">
        <f t="shared" si="40"/>
        <v>2.9012296868362901E-3</v>
      </c>
      <c r="F1294" s="263">
        <f t="shared" si="41"/>
        <v>-1.9650286191520948E-2</v>
      </c>
      <c r="G1294" s="259"/>
      <c r="H1294" s="259"/>
    </row>
    <row r="1295" spans="1:8" ht="14.25" customHeight="1" x14ac:dyDescent="0.3">
      <c r="A1295" s="261">
        <v>45833</v>
      </c>
      <c r="B1295" s="262">
        <v>25244.75</v>
      </c>
      <c r="C1295" s="262">
        <v>4276.39990234375</v>
      </c>
      <c r="D1295" s="259"/>
      <c r="E1295" s="263">
        <f t="shared" si="40"/>
        <v>8.0018205204252114E-3</v>
      </c>
      <c r="F1295" s="263">
        <f t="shared" si="41"/>
        <v>6.0696852432026776E-3</v>
      </c>
      <c r="G1295" s="259"/>
      <c r="H1295" s="259"/>
    </row>
    <row r="1296" spans="1:8" ht="14.25" customHeight="1" x14ac:dyDescent="0.3">
      <c r="A1296" s="261">
        <v>45834</v>
      </c>
      <c r="B1296" s="262">
        <v>25549</v>
      </c>
      <c r="C1296" s="262">
        <v>4315.39990234375</v>
      </c>
      <c r="D1296" s="259"/>
      <c r="E1296" s="263">
        <f t="shared" si="40"/>
        <v>1.205201081412967E-2</v>
      </c>
      <c r="F1296" s="263">
        <f t="shared" si="41"/>
        <v>9.1198206179514268E-3</v>
      </c>
      <c r="G1296" s="259"/>
      <c r="H1296" s="259"/>
    </row>
    <row r="1297" spans="1:8" ht="14.25" customHeight="1" x14ac:dyDescent="0.3">
      <c r="A1297" s="261">
        <v>45835</v>
      </c>
      <c r="B1297" s="262">
        <v>25637.80078125</v>
      </c>
      <c r="C1297" s="262">
        <v>4313.5</v>
      </c>
      <c r="D1297" s="259"/>
      <c r="E1297" s="263">
        <f t="shared" si="40"/>
        <v>3.4757047731809464E-3</v>
      </c>
      <c r="F1297" s="263">
        <f t="shared" si="41"/>
        <v>-4.4026101560556144E-4</v>
      </c>
      <c r="G1297" s="259"/>
      <c r="H1297" s="259"/>
    </row>
    <row r="1298" spans="1:8" ht="14.25" customHeight="1" x14ac:dyDescent="0.3">
      <c r="A1298" s="261">
        <v>45838</v>
      </c>
      <c r="B1298" s="262">
        <v>25517.05078125</v>
      </c>
      <c r="C1298" s="262">
        <v>4372.2998046875</v>
      </c>
      <c r="D1298" s="259"/>
      <c r="E1298" s="263">
        <f t="shared" si="40"/>
        <v>-4.7098423546652075E-3</v>
      </c>
      <c r="F1298" s="263">
        <f t="shared" si="41"/>
        <v>1.3631576373594528E-2</v>
      </c>
      <c r="G1298" s="259"/>
      <c r="H1298" s="259"/>
    </row>
    <row r="1299" spans="1:8" ht="14.25" customHeight="1" x14ac:dyDescent="0.3">
      <c r="A1299" s="261">
        <v>45839</v>
      </c>
      <c r="B1299" s="262">
        <v>25541.80078125</v>
      </c>
      <c r="C1299" s="262">
        <v>4452.39990234375</v>
      </c>
      <c r="D1299" s="259"/>
      <c r="E1299" s="263">
        <f t="shared" si="40"/>
        <v>9.6993967728380148E-4</v>
      </c>
      <c r="F1299" s="263">
        <f t="shared" si="41"/>
        <v>1.8319900563629116E-2</v>
      </c>
      <c r="G1299" s="259"/>
      <c r="H1299" s="259"/>
    </row>
    <row r="1300" spans="1:8" ht="14.25" customHeight="1" x14ac:dyDescent="0.3">
      <c r="A1300" s="261">
        <v>45840</v>
      </c>
      <c r="B1300" s="262">
        <v>25453.400390625</v>
      </c>
      <c r="C1300" s="262">
        <v>4391.89990234375</v>
      </c>
      <c r="D1300" s="259"/>
      <c r="E1300" s="263">
        <f t="shared" si="40"/>
        <v>-3.4610085397695964E-3</v>
      </c>
      <c r="F1300" s="263">
        <f t="shared" si="41"/>
        <v>-1.3588177460913318E-2</v>
      </c>
      <c r="G1300" s="259"/>
      <c r="H1300" s="259"/>
    </row>
    <row r="1301" spans="1:8" ht="14.25" customHeight="1" x14ac:dyDescent="0.3">
      <c r="A1301" s="261">
        <v>45841</v>
      </c>
      <c r="B1301" s="262">
        <v>25405.30078125</v>
      </c>
      <c r="C1301" s="262">
        <v>4348.7001953125</v>
      </c>
      <c r="D1301" s="259"/>
      <c r="E1301" s="263">
        <f t="shared" si="40"/>
        <v>-1.8897125192245848E-3</v>
      </c>
      <c r="F1301" s="263">
        <f t="shared" si="41"/>
        <v>-9.8362230451100111E-3</v>
      </c>
      <c r="G1301" s="259"/>
      <c r="H1301" s="259"/>
    </row>
    <row r="1302" spans="1:8" ht="14.25" customHeight="1" x14ac:dyDescent="0.3">
      <c r="A1302" s="261">
        <v>45842</v>
      </c>
      <c r="B1302" s="262">
        <v>25461</v>
      </c>
      <c r="C1302" s="262">
        <v>4261.10009765625</v>
      </c>
      <c r="D1302" s="259"/>
      <c r="E1302" s="263">
        <f t="shared" si="40"/>
        <v>2.1924250859926041E-3</v>
      </c>
      <c r="F1302" s="263">
        <f t="shared" si="41"/>
        <v>-2.0143972617536355E-2</v>
      </c>
      <c r="G1302" s="259"/>
      <c r="H1302" s="259"/>
    </row>
    <row r="1303" spans="1:8" ht="14.25" customHeight="1" x14ac:dyDescent="0.3">
      <c r="A1303" s="261">
        <v>45845</v>
      </c>
      <c r="B1303" s="262">
        <v>25461.30078125</v>
      </c>
      <c r="C1303" s="262">
        <v>4236.2998046875</v>
      </c>
      <c r="D1303" s="259"/>
      <c r="E1303" s="263">
        <f t="shared" si="40"/>
        <v>1.1813410706570834E-5</v>
      </c>
      <c r="F1303" s="263">
        <f t="shared" si="41"/>
        <v>-5.8201620239785035E-3</v>
      </c>
      <c r="G1303" s="259"/>
      <c r="H1303" s="259"/>
    </row>
    <row r="1304" spans="1:8" ht="14.25" customHeight="1" x14ac:dyDescent="0.3">
      <c r="A1304" s="261">
        <v>45846</v>
      </c>
      <c r="B1304" s="262">
        <v>25522.5</v>
      </c>
      <c r="C1304" s="262">
        <v>4213</v>
      </c>
      <c r="D1304" s="259"/>
      <c r="E1304" s="263">
        <f t="shared" si="40"/>
        <v>2.4036171315751404E-3</v>
      </c>
      <c r="F1304" s="263">
        <f t="shared" si="41"/>
        <v>-5.5000367683416974E-3</v>
      </c>
      <c r="G1304" s="259"/>
      <c r="H1304" s="259"/>
    </row>
    <row r="1305" spans="1:8" ht="14.25" customHeight="1" x14ac:dyDescent="0.3">
      <c r="A1305" s="261">
        <v>45847</v>
      </c>
      <c r="B1305" s="262">
        <v>25476.099609375</v>
      </c>
      <c r="C1305" s="262">
        <v>4190.89990234375</v>
      </c>
      <c r="D1305" s="259"/>
      <c r="E1305" s="263">
        <f t="shared" si="40"/>
        <v>-1.8180190273288275E-3</v>
      </c>
      <c r="F1305" s="263">
        <f t="shared" si="41"/>
        <v>-5.2456913496914314E-3</v>
      </c>
      <c r="G1305" s="259"/>
      <c r="H1305" s="259"/>
    </row>
    <row r="1306" spans="1:8" ht="14.25" customHeight="1" x14ac:dyDescent="0.3">
      <c r="A1306" s="261">
        <v>45848</v>
      </c>
      <c r="B1306" s="262">
        <v>25355.25</v>
      </c>
      <c r="C1306" s="262">
        <v>4169</v>
      </c>
      <c r="D1306" s="259"/>
      <c r="E1306" s="263">
        <f t="shared" si="40"/>
        <v>-4.7436464461980792E-3</v>
      </c>
      <c r="F1306" s="263">
        <f t="shared" si="41"/>
        <v>-5.2255846844498806E-3</v>
      </c>
      <c r="G1306" s="259"/>
      <c r="H1306" s="259"/>
    </row>
    <row r="1307" spans="1:8" ht="14.25" customHeight="1" x14ac:dyDescent="0.3">
      <c r="A1307" s="261">
        <v>45849</v>
      </c>
      <c r="B1307" s="262">
        <v>25149.849609375</v>
      </c>
      <c r="C1307" s="262">
        <v>4064.19995117188</v>
      </c>
      <c r="D1307" s="259"/>
      <c r="E1307" s="263">
        <f t="shared" si="40"/>
        <v>-8.1009018102759789E-3</v>
      </c>
      <c r="F1307" s="263">
        <f t="shared" si="41"/>
        <v>-2.5137934475442551E-2</v>
      </c>
      <c r="G1307" s="259"/>
      <c r="H1307" s="259"/>
    </row>
    <row r="1308" spans="1:8" ht="14.25" customHeight="1" x14ac:dyDescent="0.3">
      <c r="A1308" s="261">
        <v>45852</v>
      </c>
      <c r="B1308" s="262">
        <v>25082.30078125</v>
      </c>
      <c r="C1308" s="262">
        <v>4011.30004882813</v>
      </c>
      <c r="D1308" s="259"/>
      <c r="E1308" s="263">
        <f t="shared" si="40"/>
        <v>-2.685854157148523E-3</v>
      </c>
      <c r="F1308" s="263">
        <f t="shared" si="41"/>
        <v>-1.3016067855740398E-2</v>
      </c>
      <c r="G1308" s="259"/>
      <c r="H1308" s="259"/>
    </row>
    <row r="1309" spans="1:8" ht="14.25" customHeight="1" x14ac:dyDescent="0.3">
      <c r="A1309" s="261">
        <v>45853</v>
      </c>
      <c r="B1309" s="262">
        <v>25195.80078125</v>
      </c>
      <c r="C1309" s="262">
        <v>4026.69995117188</v>
      </c>
      <c r="D1309" s="259"/>
      <c r="E1309" s="263">
        <f t="shared" si="40"/>
        <v>4.5251032187942535E-3</v>
      </c>
      <c r="F1309" s="263">
        <f t="shared" si="41"/>
        <v>3.839129996832065E-3</v>
      </c>
      <c r="G1309" s="259"/>
      <c r="H1309" s="259"/>
    </row>
    <row r="1310" spans="1:8" ht="14.25" customHeight="1" x14ac:dyDescent="0.3">
      <c r="A1310" s="261">
        <v>45854</v>
      </c>
      <c r="B1310" s="262">
        <v>25212.05078125</v>
      </c>
      <c r="C1310" s="262">
        <v>4086</v>
      </c>
      <c r="D1310" s="259"/>
      <c r="E1310" s="263">
        <f t="shared" si="40"/>
        <v>6.4494874130346306E-4</v>
      </c>
      <c r="F1310" s="263">
        <f t="shared" si="41"/>
        <v>1.4726711586956475E-2</v>
      </c>
      <c r="G1310" s="259"/>
      <c r="H1310" s="259"/>
    </row>
    <row r="1311" spans="1:8" ht="14.25" customHeight="1" x14ac:dyDescent="0.3">
      <c r="A1311" s="261">
        <v>45855</v>
      </c>
      <c r="B1311" s="262">
        <v>25111.44921875</v>
      </c>
      <c r="C1311" s="262">
        <v>4055.89990234375</v>
      </c>
      <c r="D1311" s="259"/>
      <c r="E1311" s="263">
        <f t="shared" si="40"/>
        <v>-3.9902173517283477E-3</v>
      </c>
      <c r="F1311" s="263">
        <f t="shared" si="41"/>
        <v>-7.3666416192486543E-3</v>
      </c>
      <c r="G1311" s="259"/>
      <c r="H1311" s="259"/>
    </row>
    <row r="1312" spans="1:8" ht="14.25" customHeight="1" x14ac:dyDescent="0.3">
      <c r="A1312" s="261">
        <v>45856</v>
      </c>
      <c r="B1312" s="262">
        <v>24968.400390625</v>
      </c>
      <c r="C1312" s="262">
        <v>4048.60009765625</v>
      </c>
      <c r="D1312" s="259"/>
      <c r="E1312" s="263">
        <f t="shared" si="40"/>
        <v>-5.6965580472428303E-3</v>
      </c>
      <c r="F1312" s="263">
        <f t="shared" si="41"/>
        <v>-1.7997990244487349E-3</v>
      </c>
      <c r="G1312" s="259"/>
      <c r="H1312" s="259"/>
    </row>
    <row r="1313" spans="1:8" ht="14.25" customHeight="1" x14ac:dyDescent="0.3">
      <c r="A1313" s="261">
        <v>45859</v>
      </c>
      <c r="B1313" s="262">
        <v>25090.69921875</v>
      </c>
      <c r="C1313" s="262">
        <v>4023.69995117188</v>
      </c>
      <c r="D1313" s="259"/>
      <c r="E1313" s="263">
        <f t="shared" si="40"/>
        <v>4.8981443028653171E-3</v>
      </c>
      <c r="F1313" s="263">
        <f t="shared" si="41"/>
        <v>-6.150310201984332E-3</v>
      </c>
      <c r="G1313" s="259"/>
      <c r="H1313" s="259"/>
    </row>
    <row r="1314" spans="1:8" ht="14.25" customHeight="1" x14ac:dyDescent="0.3">
      <c r="A1314" s="261">
        <v>45860</v>
      </c>
      <c r="B1314" s="262">
        <v>25060.900390625</v>
      </c>
      <c r="C1314" s="262">
        <v>4033.30004882813</v>
      </c>
      <c r="D1314" s="259"/>
      <c r="E1314" s="263">
        <f t="shared" si="40"/>
        <v>-1.1876443882732318E-3</v>
      </c>
      <c r="F1314" s="263">
        <f t="shared" si="41"/>
        <v>2.3858880564526252E-3</v>
      </c>
      <c r="G1314" s="259"/>
      <c r="H1314" s="259"/>
    </row>
    <row r="1315" spans="1:8" ht="14.25" customHeight="1" x14ac:dyDescent="0.3">
      <c r="A1315" s="261">
        <v>45861</v>
      </c>
      <c r="B1315" s="262">
        <v>25219.900390625</v>
      </c>
      <c r="C1315" s="262">
        <v>4043.89990234375</v>
      </c>
      <c r="D1315" s="259"/>
      <c r="E1315" s="263">
        <f t="shared" si="40"/>
        <v>6.3445445902446549E-3</v>
      </c>
      <c r="F1315" s="263">
        <f t="shared" si="41"/>
        <v>2.6280845430033829E-3</v>
      </c>
      <c r="G1315" s="259"/>
      <c r="H1315" s="259"/>
    </row>
    <row r="1316" spans="1:8" ht="14.25" customHeight="1" x14ac:dyDescent="0.3">
      <c r="A1316" s="261">
        <v>45862</v>
      </c>
      <c r="B1316" s="262">
        <v>25062.099609375</v>
      </c>
      <c r="C1316" s="262">
        <v>4021</v>
      </c>
      <c r="D1316" s="259"/>
      <c r="E1316" s="263">
        <f t="shared" si="40"/>
        <v>-6.2569946274910479E-3</v>
      </c>
      <c r="F1316" s="263">
        <f t="shared" si="41"/>
        <v>-5.6628262065729551E-3</v>
      </c>
      <c r="G1316" s="259"/>
      <c r="H1316" s="259"/>
    </row>
    <row r="1317" spans="1:8" ht="14.25" customHeight="1" x14ac:dyDescent="0.3">
      <c r="A1317" s="261">
        <v>45863</v>
      </c>
      <c r="B1317" s="262">
        <v>24837</v>
      </c>
      <c r="C1317" s="262">
        <v>3997</v>
      </c>
      <c r="D1317" s="259"/>
      <c r="E1317" s="263">
        <f t="shared" si="40"/>
        <v>-8.9816740370306722E-3</v>
      </c>
      <c r="F1317" s="263">
        <f t="shared" si="41"/>
        <v>-5.9686645113155934E-3</v>
      </c>
      <c r="G1317" s="259"/>
      <c r="H1317" s="259"/>
    </row>
    <row r="1318" spans="1:8" ht="14.25" customHeight="1" x14ac:dyDescent="0.3">
      <c r="A1318" s="261">
        <v>45866</v>
      </c>
      <c r="B1318" s="262">
        <v>24680.900390625</v>
      </c>
      <c r="C1318" s="262">
        <v>3949.89990234375</v>
      </c>
      <c r="D1318" s="259"/>
      <c r="E1318" s="263">
        <f t="shared" si="40"/>
        <v>-6.2849623293876073E-3</v>
      </c>
      <c r="F1318" s="263">
        <f t="shared" si="41"/>
        <v>-1.1783862310795597E-2</v>
      </c>
      <c r="G1318" s="259"/>
      <c r="H1318" s="259"/>
    </row>
    <row r="1319" spans="1:8" ht="14.25" customHeight="1" x14ac:dyDescent="0.3">
      <c r="A1319" s="261">
        <v>45867</v>
      </c>
      <c r="B1319" s="262">
        <v>24821.099609375</v>
      </c>
      <c r="C1319" s="262">
        <v>3999</v>
      </c>
      <c r="D1319" s="259"/>
      <c r="E1319" s="263">
        <f t="shared" si="40"/>
        <v>5.6804742343700898E-3</v>
      </c>
      <c r="F1319" s="263">
        <f t="shared" si="41"/>
        <v>1.2430719479021609E-2</v>
      </c>
      <c r="G1319" s="259"/>
      <c r="H1319" s="259"/>
    </row>
    <row r="1320" spans="1:8" ht="14.25" customHeight="1" x14ac:dyDescent="0.3">
      <c r="A1320" s="261">
        <v>45868</v>
      </c>
      <c r="B1320" s="262">
        <v>24855.05078125</v>
      </c>
      <c r="C1320" s="262">
        <v>4281.39990234375</v>
      </c>
      <c r="D1320" s="259"/>
      <c r="E1320" s="263">
        <f t="shared" si="40"/>
        <v>1.3678351245235141E-3</v>
      </c>
      <c r="F1320" s="263">
        <f t="shared" si="41"/>
        <v>7.0617629993435863E-2</v>
      </c>
      <c r="G1320" s="259"/>
      <c r="H1320" s="259"/>
    </row>
    <row r="1321" spans="1:8" ht="14.25" customHeight="1" x14ac:dyDescent="0.3">
      <c r="A1321" s="261">
        <v>45869</v>
      </c>
      <c r="B1321" s="262">
        <v>24768.349609375</v>
      </c>
      <c r="C1321" s="262">
        <v>4267.39990234375</v>
      </c>
      <c r="D1321" s="259"/>
      <c r="E1321" s="263">
        <f t="shared" si="40"/>
        <v>-3.4882717656889721E-3</v>
      </c>
      <c r="F1321" s="263">
        <f t="shared" si="41"/>
        <v>-3.2699584994001691E-3</v>
      </c>
      <c r="G1321" s="259"/>
      <c r="H1321" s="259"/>
    </row>
    <row r="1322" spans="1:8" ht="14.25" customHeight="1" x14ac:dyDescent="0.3">
      <c r="A1322" s="261">
        <v>45870</v>
      </c>
      <c r="B1322" s="262">
        <v>24565.349609375</v>
      </c>
      <c r="C1322" s="262">
        <v>4196</v>
      </c>
      <c r="D1322" s="259"/>
      <c r="E1322" s="263">
        <f t="shared" si="40"/>
        <v>-8.1959437427822409E-3</v>
      </c>
      <c r="F1322" s="263">
        <f t="shared" si="41"/>
        <v>-1.6731476772199296E-2</v>
      </c>
      <c r="G1322" s="259"/>
      <c r="H1322" s="259"/>
    </row>
    <row r="1323" spans="1:8" ht="14.25" customHeight="1" x14ac:dyDescent="0.3">
      <c r="A1323" s="261">
        <v>45873</v>
      </c>
      <c r="B1323" s="262">
        <v>24722.75</v>
      </c>
      <c r="C1323" s="262">
        <v>4197.2001953125</v>
      </c>
      <c r="D1323" s="259"/>
      <c r="E1323" s="263">
        <f t="shared" si="40"/>
        <v>6.4074150430544043E-3</v>
      </c>
      <c r="F1323" s="263">
        <f t="shared" si="41"/>
        <v>2.8603320126310773E-4</v>
      </c>
      <c r="G1323" s="259"/>
      <c r="H1323" s="259"/>
    </row>
    <row r="1324" spans="1:8" ht="14.25" customHeight="1" x14ac:dyDescent="0.3">
      <c r="A1324" s="261">
        <v>45874</v>
      </c>
      <c r="B1324" s="262">
        <v>24649.55078125</v>
      </c>
      <c r="C1324" s="262">
        <v>4257.7998046875</v>
      </c>
      <c r="D1324" s="259"/>
      <c r="E1324" s="263">
        <f t="shared" si="40"/>
        <v>-2.9608040671041855E-3</v>
      </c>
      <c r="F1324" s="263">
        <f t="shared" si="41"/>
        <v>1.4438103153306485E-2</v>
      </c>
      <c r="G1324" s="259"/>
      <c r="H1324" s="259"/>
    </row>
    <row r="1325" spans="1:8" ht="14.25" customHeight="1" x14ac:dyDescent="0.3">
      <c r="A1325" s="261">
        <v>45875</v>
      </c>
      <c r="B1325" s="262">
        <v>24574.19921875</v>
      </c>
      <c r="C1325" s="262">
        <v>4242</v>
      </c>
      <c r="D1325" s="259"/>
      <c r="E1325" s="263">
        <f t="shared" si="40"/>
        <v>-3.0569142281212337E-3</v>
      </c>
      <c r="F1325" s="263">
        <f t="shared" si="41"/>
        <v>-3.7107908807984978E-3</v>
      </c>
      <c r="G1325" s="259"/>
      <c r="H1325" s="259"/>
    </row>
    <row r="1326" spans="1:8" ht="14.25" customHeight="1" x14ac:dyDescent="0.3">
      <c r="A1326" s="261">
        <v>45876</v>
      </c>
      <c r="B1326" s="262">
        <v>24596.150390625</v>
      </c>
      <c r="C1326" s="262">
        <v>4263.5</v>
      </c>
      <c r="D1326" s="259"/>
      <c r="E1326" s="263">
        <f t="shared" si="40"/>
        <v>8.9326092295415906E-4</v>
      </c>
      <c r="F1326" s="263">
        <f t="shared" si="41"/>
        <v>5.0683639792550687E-3</v>
      </c>
      <c r="G1326" s="259"/>
      <c r="H1326" s="259"/>
    </row>
    <row r="1327" spans="1:8" ht="14.25" customHeight="1" x14ac:dyDescent="0.3">
      <c r="A1327" s="261">
        <v>45877</v>
      </c>
      <c r="B1327" s="262">
        <v>24363.30078125</v>
      </c>
      <c r="C1327" s="262">
        <v>4170.10009765625</v>
      </c>
      <c r="D1327" s="259"/>
      <c r="E1327" s="263">
        <f t="shared" si="40"/>
        <v>-9.4669127354072569E-3</v>
      </c>
      <c r="F1327" s="263">
        <f t="shared" si="41"/>
        <v>-2.1906861110296705E-2</v>
      </c>
      <c r="G1327" s="259"/>
      <c r="H1327" s="259"/>
    </row>
    <row r="1328" spans="1:8" ht="14.25" customHeight="1" x14ac:dyDescent="0.3">
      <c r="A1328" s="261">
        <v>45880</v>
      </c>
      <c r="B1328" s="262">
        <v>24585.05078125</v>
      </c>
      <c r="C1328" s="262">
        <v>4184.5</v>
      </c>
      <c r="D1328" s="259"/>
      <c r="E1328" s="263">
        <f t="shared" si="40"/>
        <v>9.1018044718578876E-3</v>
      </c>
      <c r="F1328" s="263">
        <f t="shared" si="41"/>
        <v>3.4531311015395714E-3</v>
      </c>
      <c r="G1328" s="259"/>
      <c r="H1328" s="259"/>
    </row>
    <row r="1329" spans="1:8" ht="14.25" customHeight="1" x14ac:dyDescent="0.3">
      <c r="A1329" s="261">
        <v>45881</v>
      </c>
      <c r="B1329" s="262">
        <v>24487.400390625</v>
      </c>
      <c r="C1329" s="262">
        <v>4252.5</v>
      </c>
      <c r="D1329" s="259"/>
      <c r="E1329" s="263">
        <f t="shared" si="40"/>
        <v>-3.9719417907191756E-3</v>
      </c>
      <c r="F1329" s="263">
        <f t="shared" si="41"/>
        <v>1.6250448082208151E-2</v>
      </c>
      <c r="G1329" s="259"/>
      <c r="H1329" s="259"/>
    </row>
    <row r="1330" spans="1:8" ht="14.25" customHeight="1" x14ac:dyDescent="0.3">
      <c r="A1330" s="261">
        <v>45882</v>
      </c>
      <c r="B1330" s="262">
        <v>24619.349609375</v>
      </c>
      <c r="C1330" s="262">
        <v>4334.60009765625</v>
      </c>
      <c r="D1330" s="259"/>
      <c r="E1330" s="263">
        <f t="shared" si="40"/>
        <v>5.3884535167120782E-3</v>
      </c>
      <c r="F1330" s="263">
        <f t="shared" si="41"/>
        <v>1.9306313381834216E-2</v>
      </c>
      <c r="G1330" s="259"/>
      <c r="H1330" s="259"/>
    </row>
    <row r="1331" spans="1:8" ht="14.25" customHeight="1" x14ac:dyDescent="0.3">
      <c r="A1331" s="261">
        <v>45883</v>
      </c>
      <c r="B1331" s="262">
        <v>24631.30078125</v>
      </c>
      <c r="C1331" s="262">
        <v>4358.2001953125</v>
      </c>
      <c r="D1331" s="259"/>
      <c r="E1331" s="263">
        <f t="shared" si="40"/>
        <v>4.8543816407111817E-4</v>
      </c>
      <c r="F1331" s="263">
        <f t="shared" si="41"/>
        <v>5.4445847655036845E-3</v>
      </c>
      <c r="G1331" s="259"/>
      <c r="H1331" s="259"/>
    </row>
    <row r="1332" spans="1:8" ht="14.25" customHeight="1" x14ac:dyDescent="0.3">
      <c r="A1332" s="261">
        <v>45887</v>
      </c>
      <c r="B1332" s="262">
        <v>24876.94921875</v>
      </c>
      <c r="C1332" s="262">
        <v>4558</v>
      </c>
      <c r="D1332" s="259"/>
      <c r="E1332" s="263">
        <f t="shared" si="40"/>
        <v>9.9730192766349594E-3</v>
      </c>
      <c r="F1332" s="263">
        <f t="shared" si="41"/>
        <v>4.5844567879739992E-2</v>
      </c>
      <c r="G1332" s="259"/>
      <c r="H1332" s="259"/>
    </row>
    <row r="1333" spans="1:8" ht="14.25" customHeight="1" x14ac:dyDescent="0.3">
      <c r="A1333" s="261">
        <v>45888</v>
      </c>
      <c r="B1333" s="262">
        <v>24980.650390625</v>
      </c>
      <c r="C1333" s="262">
        <v>4653.2001953125</v>
      </c>
      <c r="D1333" s="259"/>
      <c r="E1333" s="263">
        <f t="shared" si="40"/>
        <v>4.1685646806256856E-3</v>
      </c>
      <c r="F1333" s="263">
        <f t="shared" si="41"/>
        <v>2.088639651437034E-2</v>
      </c>
      <c r="G1333" s="259"/>
      <c r="H1333" s="259"/>
    </row>
    <row r="1334" spans="1:8" ht="14.25" customHeight="1" x14ac:dyDescent="0.3">
      <c r="A1334" s="261">
        <v>45889</v>
      </c>
      <c r="B1334" s="262">
        <v>25050.55078125</v>
      </c>
      <c r="C1334" s="262">
        <v>4737.89990234375</v>
      </c>
      <c r="D1334" s="259"/>
      <c r="E1334" s="263">
        <f t="shared" si="40"/>
        <v>2.7981813736616301E-3</v>
      </c>
      <c r="F1334" s="263">
        <f t="shared" si="41"/>
        <v>1.8202463568314564E-2</v>
      </c>
      <c r="G1334" s="259"/>
      <c r="H1334" s="259"/>
    </row>
    <row r="1335" spans="1:8" ht="14.25" customHeight="1" x14ac:dyDescent="0.3">
      <c r="A1335" s="261">
        <v>45890</v>
      </c>
      <c r="B1335" s="262">
        <v>25083.75</v>
      </c>
      <c r="C1335" s="262">
        <v>4691.89990234375</v>
      </c>
      <c r="D1335" s="259"/>
      <c r="E1335" s="263">
        <f t="shared" si="40"/>
        <v>1.325288974278728E-3</v>
      </c>
      <c r="F1335" s="263">
        <f t="shared" si="41"/>
        <v>-9.7089429806747635E-3</v>
      </c>
      <c r="G1335" s="259"/>
      <c r="H1335" s="259"/>
    </row>
    <row r="1336" spans="1:8" ht="14.25" customHeight="1" x14ac:dyDescent="0.3">
      <c r="A1336" s="261">
        <v>45891</v>
      </c>
      <c r="B1336" s="262">
        <v>24870.099609375</v>
      </c>
      <c r="C1336" s="262">
        <v>4698.7998046875</v>
      </c>
      <c r="D1336" s="259"/>
      <c r="E1336" s="263">
        <f t="shared" si="40"/>
        <v>-8.5174820600986689E-3</v>
      </c>
      <c r="F1336" s="263">
        <f t="shared" si="41"/>
        <v>1.4705987952350144E-3</v>
      </c>
      <c r="G1336" s="259"/>
      <c r="H1336" s="259"/>
    </row>
    <row r="1337" spans="1:8" ht="14.25" customHeight="1" x14ac:dyDescent="0.3">
      <c r="A1337" s="261">
        <v>45894</v>
      </c>
      <c r="B1337" s="262">
        <v>24967.75</v>
      </c>
      <c r="C1337" s="262">
        <v>4725.2998046875</v>
      </c>
      <c r="D1337" s="259"/>
      <c r="E1337" s="263">
        <f t="shared" si="40"/>
        <v>3.9264173509055761E-3</v>
      </c>
      <c r="F1337" s="263">
        <f t="shared" si="41"/>
        <v>5.63973803982109E-3</v>
      </c>
      <c r="G1337" s="259"/>
      <c r="H1337" s="259"/>
    </row>
    <row r="1338" spans="1:8" ht="14.25" customHeight="1" x14ac:dyDescent="0.3">
      <c r="A1338" s="261">
        <v>45895</v>
      </c>
      <c r="B1338" s="262">
        <v>24712.05078125</v>
      </c>
      <c r="C1338" s="262">
        <v>4716.39990234375</v>
      </c>
      <c r="D1338" s="259"/>
      <c r="E1338" s="263">
        <f t="shared" si="40"/>
        <v>-1.0241179872034925E-2</v>
      </c>
      <c r="F1338" s="263">
        <f t="shared" si="41"/>
        <v>-1.8834577088465989E-3</v>
      </c>
      <c r="G1338" s="259"/>
      <c r="H1338" s="259"/>
    </row>
    <row r="1339" spans="1:8" ht="14.25" customHeight="1" x14ac:dyDescent="0.3">
      <c r="A1339" s="261">
        <v>45897</v>
      </c>
      <c r="B1339" s="262">
        <v>24500.900390625</v>
      </c>
      <c r="C1339" s="262">
        <v>4699.89990234375</v>
      </c>
      <c r="D1339" s="259"/>
      <c r="E1339" s="263">
        <f t="shared" si="40"/>
        <v>-8.5444301039235507E-3</v>
      </c>
      <c r="F1339" s="263">
        <f t="shared" si="41"/>
        <v>-3.4984310791374056E-3</v>
      </c>
      <c r="G1339" s="259"/>
      <c r="H1339" s="259"/>
    </row>
    <row r="1340" spans="1:8" ht="14.25" customHeight="1" x14ac:dyDescent="0.3">
      <c r="A1340" s="261">
        <v>45898</v>
      </c>
      <c r="B1340" s="262">
        <v>24426.849609375</v>
      </c>
      <c r="C1340" s="262">
        <v>4755.60009765625</v>
      </c>
      <c r="D1340" s="259"/>
      <c r="E1340" s="263">
        <f t="shared" si="40"/>
        <v>-3.0223697933295024E-3</v>
      </c>
      <c r="F1340" s="263">
        <f t="shared" si="41"/>
        <v>1.1851357788433617E-2</v>
      </c>
      <c r="G1340" s="259"/>
      <c r="H1340" s="259"/>
    </row>
    <row r="1341" spans="1:8" ht="14.25" customHeight="1" x14ac:dyDescent="0.3">
      <c r="A1341" s="261">
        <v>45901</v>
      </c>
      <c r="B1341" s="262">
        <v>24625.05078125</v>
      </c>
      <c r="C1341" s="262">
        <v>4734.89990234375</v>
      </c>
      <c r="D1341" s="259"/>
      <c r="E1341" s="263">
        <f t="shared" si="40"/>
        <v>8.1140701746053485E-3</v>
      </c>
      <c r="F1341" s="263">
        <f t="shared" si="41"/>
        <v>-4.3528040389060225E-3</v>
      </c>
      <c r="G1341" s="259"/>
      <c r="H1341" s="259"/>
    </row>
    <row r="1342" spans="1:8" ht="14.25" customHeight="1" x14ac:dyDescent="0.3">
      <c r="A1342" s="261">
        <v>45902</v>
      </c>
      <c r="B1342" s="262">
        <v>24579.599609375</v>
      </c>
      <c r="C1342" s="262">
        <v>4680</v>
      </c>
      <c r="D1342" s="259"/>
      <c r="E1342" s="263">
        <f t="shared" si="40"/>
        <v>-1.8457290617896885E-3</v>
      </c>
      <c r="F1342" s="263">
        <f t="shared" si="41"/>
        <v>-1.1594733463441295E-2</v>
      </c>
      <c r="G1342" s="259"/>
      <c r="H1342" s="259"/>
    </row>
    <row r="1343" spans="1:8" ht="14.25" customHeight="1" x14ac:dyDescent="0.3">
      <c r="A1343" s="261">
        <v>45903</v>
      </c>
      <c r="B1343" s="262">
        <v>24715.05078125</v>
      </c>
      <c r="C1343" s="262">
        <v>4758.5</v>
      </c>
      <c r="D1343" s="259"/>
      <c r="E1343" s="263">
        <f t="shared" si="40"/>
        <v>5.5107151470171652E-3</v>
      </c>
      <c r="F1343" s="263">
        <f t="shared" si="41"/>
        <v>1.6773504273504273E-2</v>
      </c>
      <c r="G1343" s="259"/>
      <c r="H1343" s="259"/>
    </row>
    <row r="1344" spans="1:8" ht="14.25" customHeight="1" x14ac:dyDescent="0.3">
      <c r="A1344" s="261">
        <v>45904</v>
      </c>
      <c r="B1344" s="262">
        <v>24734.30078125</v>
      </c>
      <c r="C1344" s="262">
        <v>4829.2998046875</v>
      </c>
      <c r="D1344" s="259"/>
      <c r="E1344" s="263">
        <f t="shared" si="40"/>
        <v>7.7887762280480347E-4</v>
      </c>
      <c r="F1344" s="263">
        <f t="shared" si="41"/>
        <v>1.4878597181359672E-2</v>
      </c>
      <c r="G1344" s="259"/>
      <c r="H1344" s="259"/>
    </row>
    <row r="1345" spans="1:8" ht="14.25" customHeight="1" x14ac:dyDescent="0.3">
      <c r="A1345" s="261">
        <v>45905</v>
      </c>
      <c r="B1345" s="262">
        <v>24741</v>
      </c>
      <c r="C1345" s="262">
        <v>4793.2998046875</v>
      </c>
      <c r="D1345" s="259"/>
      <c r="E1345" s="263">
        <f t="shared" si="40"/>
        <v>2.708473067117542E-4</v>
      </c>
      <c r="F1345" s="263">
        <f t="shared" si="41"/>
        <v>-7.4544968123654376E-3</v>
      </c>
      <c r="G1345" s="259"/>
      <c r="H1345" s="259"/>
    </row>
    <row r="1346" spans="1:8" ht="14.25" customHeight="1" x14ac:dyDescent="0.3">
      <c r="A1346" s="261">
        <v>45908</v>
      </c>
      <c r="B1346" s="262">
        <v>24773.150390625</v>
      </c>
      <c r="C1346" s="262">
        <v>4714.2001953125</v>
      </c>
      <c r="D1346" s="259"/>
      <c r="E1346" s="263">
        <f t="shared" si="40"/>
        <v>1.2994782193524919E-3</v>
      </c>
      <c r="F1346" s="263">
        <f t="shared" si="41"/>
        <v>-1.6502120167331557E-2</v>
      </c>
      <c r="G1346" s="259"/>
      <c r="H1346" s="259"/>
    </row>
    <row r="1347" spans="1:8" ht="14.25" customHeight="1" x14ac:dyDescent="0.3">
      <c r="A1347" s="261">
        <v>45909</v>
      </c>
      <c r="B1347" s="262">
        <v>24868.599609375</v>
      </c>
      <c r="C1347" s="262">
        <v>4759.7998046875</v>
      </c>
      <c r="D1347" s="259"/>
      <c r="E1347" s="263">
        <f t="shared" ref="E1347:E1410" si="42">(B1347-B1346)/B1346</f>
        <v>3.852930178235273E-3</v>
      </c>
      <c r="F1347" s="263">
        <f t="shared" ref="F1347:F1410" si="43">(C1347-C1346)/C1346</f>
        <v>9.6728198815869849E-3</v>
      </c>
      <c r="G1347" s="259"/>
      <c r="H1347" s="259"/>
    </row>
    <row r="1348" spans="1:8" ht="14.25" customHeight="1" x14ac:dyDescent="0.3">
      <c r="A1348" s="261">
        <v>45910</v>
      </c>
      <c r="B1348" s="262">
        <v>24973.099609375</v>
      </c>
      <c r="C1348" s="262">
        <v>4631.2998046875</v>
      </c>
      <c r="D1348" s="259"/>
      <c r="E1348" s="263">
        <f t="shared" si="42"/>
        <v>4.20208623088714E-3</v>
      </c>
      <c r="F1348" s="263">
        <f t="shared" si="43"/>
        <v>-2.69969337520145E-2</v>
      </c>
      <c r="G1348" s="259"/>
      <c r="H1348" s="259"/>
    </row>
    <row r="1349" spans="1:8" ht="14.25" customHeight="1" x14ac:dyDescent="0.3">
      <c r="A1349" s="261">
        <v>45911</v>
      </c>
      <c r="B1349" s="262">
        <v>25005.5</v>
      </c>
      <c r="C1349" s="262">
        <v>4589.7001953125</v>
      </c>
      <c r="D1349" s="259"/>
      <c r="E1349" s="263">
        <f t="shared" si="42"/>
        <v>1.2974116602184522E-3</v>
      </c>
      <c r="F1349" s="263">
        <f t="shared" si="43"/>
        <v>-8.9822751990479184E-3</v>
      </c>
      <c r="G1349" s="259"/>
      <c r="H1349" s="259"/>
    </row>
    <row r="1350" spans="1:8" ht="14.25" customHeight="1" x14ac:dyDescent="0.3">
      <c r="A1350" s="261">
        <v>45912</v>
      </c>
      <c r="B1350" s="262">
        <v>25114</v>
      </c>
      <c r="C1350" s="262">
        <v>4616.60009765625</v>
      </c>
      <c r="D1350" s="259"/>
      <c r="E1350" s="263">
        <f t="shared" si="42"/>
        <v>4.3390454100097975E-3</v>
      </c>
      <c r="F1350" s="263">
        <f t="shared" si="43"/>
        <v>5.8609279907265183E-3</v>
      </c>
      <c r="G1350" s="259"/>
      <c r="H1350" s="259"/>
    </row>
    <row r="1351" spans="1:8" ht="14.25" customHeight="1" x14ac:dyDescent="0.3">
      <c r="A1351" s="261">
        <v>45915</v>
      </c>
      <c r="B1351" s="262">
        <v>25069.19921875</v>
      </c>
      <c r="C1351" s="262">
        <v>4651</v>
      </c>
      <c r="D1351" s="259"/>
      <c r="E1351" s="263">
        <f t="shared" si="42"/>
        <v>-1.7838966811340288E-3</v>
      </c>
      <c r="F1351" s="263">
        <f t="shared" si="43"/>
        <v>7.4513498280290944E-3</v>
      </c>
      <c r="G1351" s="259"/>
      <c r="H1351" s="259"/>
    </row>
    <row r="1352" spans="1:8" ht="14.25" customHeight="1" x14ac:dyDescent="0.3">
      <c r="A1352" s="261">
        <v>45916</v>
      </c>
      <c r="B1352" s="262">
        <v>25239.099609375</v>
      </c>
      <c r="C1352" s="262">
        <v>4696.2001953125</v>
      </c>
      <c r="D1352" s="259"/>
      <c r="E1352" s="263">
        <f t="shared" si="42"/>
        <v>6.7772563910987009E-3</v>
      </c>
      <c r="F1352" s="263">
        <f t="shared" si="43"/>
        <v>9.7183821355622448E-3</v>
      </c>
      <c r="G1352" s="259"/>
      <c r="H1352" s="259"/>
    </row>
    <row r="1353" spans="1:8" ht="14.25" customHeight="1" x14ac:dyDescent="0.3">
      <c r="A1353" s="261">
        <v>45917</v>
      </c>
      <c r="B1353" s="262">
        <v>25330.25</v>
      </c>
      <c r="C1353" s="262">
        <v>4717.2998046875</v>
      </c>
      <c r="D1353" s="259"/>
      <c r="E1353" s="263">
        <f t="shared" si="42"/>
        <v>3.6114755294654973E-3</v>
      </c>
      <c r="F1353" s="263">
        <f t="shared" si="43"/>
        <v>4.4929109700349917E-3</v>
      </c>
      <c r="G1353" s="259"/>
      <c r="H1353" s="259"/>
    </row>
    <row r="1354" spans="1:8" ht="14.25" customHeight="1" x14ac:dyDescent="0.3">
      <c r="A1354" s="261">
        <v>45918</v>
      </c>
      <c r="B1354" s="262">
        <v>25423.599609375</v>
      </c>
      <c r="C1354" s="262">
        <v>4760.2998046875</v>
      </c>
      <c r="D1354" s="259"/>
      <c r="E1354" s="263">
        <f t="shared" si="42"/>
        <v>3.6853015416350018E-3</v>
      </c>
      <c r="F1354" s="263">
        <f t="shared" si="43"/>
        <v>9.1153841774634804E-3</v>
      </c>
      <c r="G1354" s="259"/>
      <c r="H1354" s="259"/>
    </row>
    <row r="1355" spans="1:8" ht="14.25" customHeight="1" x14ac:dyDescent="0.3">
      <c r="A1355" s="261">
        <v>45919</v>
      </c>
      <c r="B1355" s="262">
        <v>25327.05078125</v>
      </c>
      <c r="C1355" s="262">
        <v>4775.2998046875</v>
      </c>
      <c r="D1355" s="259"/>
      <c r="E1355" s="263">
        <f t="shared" si="42"/>
        <v>-3.7976065391384403E-3</v>
      </c>
      <c r="F1355" s="263">
        <f t="shared" si="43"/>
        <v>3.151062037149298E-3</v>
      </c>
      <c r="G1355" s="259"/>
      <c r="H1355" s="259"/>
    </row>
    <row r="1356" spans="1:8" ht="14.25" customHeight="1" x14ac:dyDescent="0.3">
      <c r="A1356" s="261">
        <v>45922</v>
      </c>
      <c r="B1356" s="262">
        <v>25202.349609375</v>
      </c>
      <c r="C1356" s="262">
        <v>4671.2001953125</v>
      </c>
      <c r="D1356" s="259"/>
      <c r="E1356" s="263">
        <f t="shared" si="42"/>
        <v>-4.9236357186648108E-3</v>
      </c>
      <c r="F1356" s="263">
        <f t="shared" si="43"/>
        <v>-2.1799596597644903E-2</v>
      </c>
      <c r="G1356" s="259"/>
      <c r="H1356" s="259"/>
    </row>
    <row r="1357" spans="1:8" ht="14.25" customHeight="1" x14ac:dyDescent="0.3">
      <c r="A1357" s="261">
        <v>45923</v>
      </c>
      <c r="B1357" s="262">
        <v>25169.5</v>
      </c>
      <c r="C1357" s="262">
        <v>4633.89990234375</v>
      </c>
      <c r="D1357" s="259"/>
      <c r="E1357" s="263">
        <f t="shared" si="42"/>
        <v>-1.3034343973539794E-3</v>
      </c>
      <c r="F1357" s="263">
        <f t="shared" si="43"/>
        <v>-7.9851625726040272E-3</v>
      </c>
      <c r="G1357" s="259"/>
      <c r="H1357" s="259"/>
    </row>
    <row r="1358" spans="1:8" ht="14.25" customHeight="1" x14ac:dyDescent="0.3">
      <c r="A1358" s="261">
        <v>45924</v>
      </c>
      <c r="B1358" s="262">
        <v>25056.900390625</v>
      </c>
      <c r="C1358" s="262">
        <v>4645.7998046875</v>
      </c>
      <c r="D1358" s="259"/>
      <c r="E1358" s="263">
        <f t="shared" si="42"/>
        <v>-4.4736530076084149E-3</v>
      </c>
      <c r="F1358" s="263">
        <f t="shared" si="43"/>
        <v>2.5680102277848569E-3</v>
      </c>
      <c r="G1358" s="259"/>
      <c r="H1358" s="259"/>
    </row>
    <row r="1359" spans="1:8" ht="14.25" customHeight="1" x14ac:dyDescent="0.3">
      <c r="A1359" s="261">
        <v>45925</v>
      </c>
      <c r="B1359" s="262">
        <v>24890.849609375</v>
      </c>
      <c r="C1359" s="262">
        <v>4576.2001953125</v>
      </c>
      <c r="D1359" s="259"/>
      <c r="E1359" s="263">
        <f t="shared" si="42"/>
        <v>-6.6269482123226878E-3</v>
      </c>
      <c r="F1359" s="263">
        <f t="shared" si="43"/>
        <v>-1.4981189956738056E-2</v>
      </c>
      <c r="G1359" s="259"/>
      <c r="H1359" s="259"/>
    </row>
    <row r="1360" spans="1:8" ht="14.25" customHeight="1" x14ac:dyDescent="0.3">
      <c r="A1360" s="261">
        <v>45926</v>
      </c>
      <c r="B1360" s="262">
        <v>24654.69921875</v>
      </c>
      <c r="C1360" s="262">
        <v>4517.7998046875</v>
      </c>
      <c r="D1360" s="259"/>
      <c r="E1360" s="263">
        <f t="shared" si="42"/>
        <v>-9.4874379272315099E-3</v>
      </c>
      <c r="F1360" s="263">
        <f t="shared" si="43"/>
        <v>-1.2761764811954856E-2</v>
      </c>
      <c r="G1360" s="259"/>
      <c r="H1360" s="259"/>
    </row>
    <row r="1361" spans="1:8" ht="14.25" customHeight="1" x14ac:dyDescent="0.3">
      <c r="A1361" s="261">
        <v>45929</v>
      </c>
      <c r="B1361" s="262">
        <v>24634.900390625</v>
      </c>
      <c r="C1361" s="262">
        <v>4529.89990234375</v>
      </c>
      <c r="D1361" s="259"/>
      <c r="E1361" s="263">
        <f t="shared" si="42"/>
        <v>-8.030448049409952E-4</v>
      </c>
      <c r="F1361" s="263">
        <f t="shared" si="43"/>
        <v>2.6783164769043975E-3</v>
      </c>
      <c r="G1361" s="259"/>
      <c r="H1361" s="259"/>
    </row>
    <row r="1362" spans="1:8" ht="14.25" customHeight="1" x14ac:dyDescent="0.3">
      <c r="A1362" s="261">
        <v>45930</v>
      </c>
      <c r="B1362" s="262">
        <v>24611.099609375</v>
      </c>
      <c r="C1362" s="262">
        <v>4475.39990234375</v>
      </c>
      <c r="D1362" s="259"/>
      <c r="E1362" s="263">
        <f t="shared" si="42"/>
        <v>-9.6614075448251335E-4</v>
      </c>
      <c r="F1362" s="263">
        <f t="shared" si="43"/>
        <v>-1.2031170925388869E-2</v>
      </c>
      <c r="G1362" s="259"/>
      <c r="H1362" s="259"/>
    </row>
    <row r="1363" spans="1:8" ht="14.25" customHeight="1" x14ac:dyDescent="0.3">
      <c r="A1363" s="261">
        <v>45931</v>
      </c>
      <c r="B1363" s="262">
        <v>24836.30078125</v>
      </c>
      <c r="C1363" s="262">
        <v>4449.89990234375</v>
      </c>
      <c r="D1363" s="259"/>
      <c r="E1363" s="263">
        <f t="shared" si="42"/>
        <v>9.1503904924758045E-3</v>
      </c>
      <c r="F1363" s="263">
        <f t="shared" si="43"/>
        <v>-5.6978148448020806E-3</v>
      </c>
      <c r="G1363" s="259"/>
      <c r="H1363" s="259"/>
    </row>
    <row r="1364" spans="1:8" ht="14.25" customHeight="1" x14ac:dyDescent="0.3">
      <c r="A1364" s="261">
        <v>45933</v>
      </c>
      <c r="B1364" s="262">
        <v>24894.25</v>
      </c>
      <c r="C1364" s="262">
        <v>4418.39990234375</v>
      </c>
      <c r="D1364" s="259"/>
      <c r="E1364" s="263">
        <f t="shared" si="42"/>
        <v>2.3332467769817144E-3</v>
      </c>
      <c r="F1364" s="263">
        <f t="shared" si="43"/>
        <v>-7.0788109151419419E-3</v>
      </c>
      <c r="G1364" s="259"/>
      <c r="H1364" s="259"/>
    </row>
    <row r="1365" spans="1:8" ht="14.25" customHeight="1" x14ac:dyDescent="0.3">
      <c r="A1365" s="261">
        <v>45936</v>
      </c>
      <c r="B1365" s="262">
        <v>25077.650390625</v>
      </c>
      <c r="C1365" s="262">
        <v>4301.60009765625</v>
      </c>
      <c r="D1365" s="259"/>
      <c r="E1365" s="263">
        <f t="shared" si="42"/>
        <v>7.3671787912871446E-3</v>
      </c>
      <c r="F1365" s="263">
        <f t="shared" si="43"/>
        <v>-2.6434864944104151E-2</v>
      </c>
      <c r="G1365" s="259"/>
      <c r="H1365" s="259"/>
    </row>
    <row r="1366" spans="1:8" ht="14.25" customHeight="1" x14ac:dyDescent="0.3">
      <c r="A1366" s="261">
        <v>45937</v>
      </c>
      <c r="B1366" s="262">
        <v>25108.30078125</v>
      </c>
      <c r="C1366" s="262">
        <v>4303</v>
      </c>
      <c r="D1366" s="259"/>
      <c r="E1366" s="263">
        <f t="shared" si="42"/>
        <v>1.2222193924698109E-3</v>
      </c>
      <c r="F1366" s="263">
        <f t="shared" si="43"/>
        <v>3.2543758414752325E-4</v>
      </c>
      <c r="G1366" s="259"/>
      <c r="H1366" s="259"/>
    </row>
    <row r="1367" spans="1:8" ht="14.25" customHeight="1" x14ac:dyDescent="0.3">
      <c r="A1367" s="261">
        <v>45938</v>
      </c>
      <c r="B1367" s="262">
        <v>25046.150390625</v>
      </c>
      <c r="C1367" s="262">
        <v>4294.39990234375</v>
      </c>
      <c r="D1367" s="259"/>
      <c r="E1367" s="263">
        <f t="shared" si="42"/>
        <v>-2.4752925801897249E-3</v>
      </c>
      <c r="F1367" s="263">
        <f t="shared" si="43"/>
        <v>-1.9986283189054148E-3</v>
      </c>
      <c r="G1367" s="259"/>
      <c r="H1367" s="259"/>
    </row>
    <row r="1368" spans="1:8" ht="14.25" customHeight="1" x14ac:dyDescent="0.3">
      <c r="A1368" s="261">
        <v>45939</v>
      </c>
      <c r="B1368" s="262">
        <v>25181.80078125</v>
      </c>
      <c r="C1368" s="262">
        <v>4305.10009765625</v>
      </c>
      <c r="D1368" s="259"/>
      <c r="E1368" s="263">
        <f t="shared" si="42"/>
        <v>5.4160175719369296E-3</v>
      </c>
      <c r="F1368" s="263">
        <f t="shared" si="43"/>
        <v>2.491662526971502E-3</v>
      </c>
      <c r="G1368" s="259"/>
      <c r="H1368" s="259"/>
    </row>
    <row r="1369" spans="1:8" ht="14.25" customHeight="1" x14ac:dyDescent="0.3">
      <c r="A1369" s="261">
        <v>45940</v>
      </c>
      <c r="B1369" s="262">
        <v>25285.349609375</v>
      </c>
      <c r="C1369" s="262">
        <v>4320.39990234375</v>
      </c>
      <c r="D1369" s="259"/>
      <c r="E1369" s="263">
        <f t="shared" si="42"/>
        <v>4.1120501676790702E-3</v>
      </c>
      <c r="F1369" s="263">
        <f t="shared" si="43"/>
        <v>3.553878966909365E-3</v>
      </c>
      <c r="G1369" s="259"/>
      <c r="H1369" s="259"/>
    </row>
    <row r="1370" spans="1:8" ht="14.25" customHeight="1" x14ac:dyDescent="0.3">
      <c r="A1370" s="261">
        <v>45943</v>
      </c>
      <c r="B1370" s="262">
        <v>25227.349609375</v>
      </c>
      <c r="C1370" s="262">
        <v>4202.60009765625</v>
      </c>
      <c r="D1370" s="259"/>
      <c r="E1370" s="263">
        <f t="shared" si="42"/>
        <v>-2.2938183927065595E-3</v>
      </c>
      <c r="F1370" s="263">
        <f t="shared" si="43"/>
        <v>-2.7265949298720109E-2</v>
      </c>
      <c r="G1370" s="259"/>
      <c r="H1370" s="259"/>
    </row>
    <row r="1371" spans="1:8" ht="14.25" customHeight="1" x14ac:dyDescent="0.3">
      <c r="A1371" s="261">
        <v>45944</v>
      </c>
      <c r="B1371" s="262">
        <v>25145.5</v>
      </c>
      <c r="C1371" s="262">
        <v>4205.2001953125</v>
      </c>
      <c r="D1371" s="259"/>
      <c r="E1371" s="263">
        <f t="shared" si="42"/>
        <v>-3.2444791324643557E-3</v>
      </c>
      <c r="F1371" s="263">
        <f t="shared" si="43"/>
        <v>6.1868785890431251E-4</v>
      </c>
      <c r="G1371" s="259"/>
      <c r="H1371" s="259"/>
    </row>
    <row r="1372" spans="1:8" ht="14.25" customHeight="1" x14ac:dyDescent="0.3">
      <c r="A1372" s="261">
        <v>45945</v>
      </c>
      <c r="B1372" s="262">
        <v>25323.55078125</v>
      </c>
      <c r="C1372" s="262">
        <v>4259.60009765625</v>
      </c>
      <c r="D1372" s="259"/>
      <c r="E1372" s="263">
        <f t="shared" si="42"/>
        <v>7.0808208725219226E-3</v>
      </c>
      <c r="F1372" s="263">
        <f t="shared" si="43"/>
        <v>1.2936340677523295E-2</v>
      </c>
      <c r="G1372" s="259"/>
      <c r="H1372" s="259"/>
    </row>
    <row r="1373" spans="1:8" ht="14.25" customHeight="1" x14ac:dyDescent="0.3">
      <c r="A1373" s="261">
        <v>45946</v>
      </c>
      <c r="B1373" s="262">
        <v>25585.30078125</v>
      </c>
      <c r="C1373" s="262">
        <v>4316.10009765625</v>
      </c>
      <c r="D1373" s="259"/>
      <c r="E1373" s="263">
        <f t="shared" si="42"/>
        <v>1.0336228211479895E-2</v>
      </c>
      <c r="F1373" s="263">
        <f t="shared" si="43"/>
        <v>1.3264155954707547E-2</v>
      </c>
      <c r="G1373" s="259"/>
      <c r="H1373" s="259"/>
    </row>
    <row r="1374" spans="1:8" ht="14.25" customHeight="1" x14ac:dyDescent="0.3">
      <c r="A1374" s="261">
        <v>45947</v>
      </c>
      <c r="B1374" s="262">
        <v>25709.849609375</v>
      </c>
      <c r="C1374" s="262">
        <v>4302.5</v>
      </c>
      <c r="D1374" s="259"/>
      <c r="E1374" s="263">
        <f t="shared" si="42"/>
        <v>4.8679837376105692E-3</v>
      </c>
      <c r="F1374" s="263">
        <f t="shared" si="43"/>
        <v>-3.1510153491656027E-3</v>
      </c>
      <c r="G1374" s="259"/>
      <c r="H1374" s="259"/>
    </row>
    <row r="1375" spans="1:8" ht="14.25" customHeight="1" x14ac:dyDescent="0.3">
      <c r="A1375" s="261">
        <v>45950</v>
      </c>
      <c r="B1375" s="262">
        <v>25843.150390625</v>
      </c>
      <c r="C1375" s="262">
        <v>4275.2998046875</v>
      </c>
      <c r="D1375" s="259"/>
      <c r="E1375" s="263">
        <f t="shared" si="42"/>
        <v>5.1848137299641134E-3</v>
      </c>
      <c r="F1375" s="263">
        <f t="shared" si="43"/>
        <v>-6.3219512638001164E-3</v>
      </c>
      <c r="G1375" s="259"/>
      <c r="H1375" s="259"/>
    </row>
    <row r="1376" spans="1:8" ht="14.25" customHeight="1" x14ac:dyDescent="0.3">
      <c r="A1376" s="261">
        <v>45951</v>
      </c>
      <c r="B1376" s="262">
        <v>25868.599609375</v>
      </c>
      <c r="C1376" s="262">
        <v>4274.5</v>
      </c>
      <c r="D1376" s="259"/>
      <c r="E1376" s="263">
        <f t="shared" si="42"/>
        <v>9.8475682590277742E-4</v>
      </c>
      <c r="F1376" s="263">
        <f t="shared" si="43"/>
        <v>-1.8707569621739337E-4</v>
      </c>
      <c r="G1376" s="259"/>
      <c r="H1376" s="259"/>
    </row>
    <row r="1377" spans="1:8" ht="14.25" customHeight="1" x14ac:dyDescent="0.3">
      <c r="A1377" s="261">
        <v>45953</v>
      </c>
      <c r="B1377" s="262">
        <v>25891.400390625</v>
      </c>
      <c r="C1377" s="262">
        <v>4268</v>
      </c>
      <c r="D1377" s="259"/>
      <c r="E1377" s="263">
        <f t="shared" si="42"/>
        <v>8.8140763683770514E-4</v>
      </c>
      <c r="F1377" s="263">
        <f t="shared" si="43"/>
        <v>-1.5206456895543339E-3</v>
      </c>
      <c r="G1377" s="259"/>
      <c r="H1377" s="259"/>
    </row>
    <row r="1378" spans="1:8" ht="14.25" customHeight="1" x14ac:dyDescent="0.3">
      <c r="A1378" s="261">
        <v>45954</v>
      </c>
      <c r="B1378" s="262">
        <v>25795.150390625</v>
      </c>
      <c r="C1378" s="262">
        <v>4213.89990234375</v>
      </c>
      <c r="D1378" s="259"/>
      <c r="E1378" s="263">
        <f t="shared" si="42"/>
        <v>-3.7174505259611641E-3</v>
      </c>
      <c r="F1378" s="263">
        <f t="shared" si="43"/>
        <v>-1.2675749216553421E-2</v>
      </c>
      <c r="G1378" s="259"/>
      <c r="H1378" s="259"/>
    </row>
    <row r="1379" spans="1:8" ht="14.25" customHeight="1" x14ac:dyDescent="0.3">
      <c r="A1379" s="261">
        <v>45957</v>
      </c>
      <c r="B1379" s="262">
        <v>25966.05078125</v>
      </c>
      <c r="C1379" s="262">
        <v>4257.89990234375</v>
      </c>
      <c r="D1379" s="259"/>
      <c r="E1379" s="263">
        <f t="shared" si="42"/>
        <v>6.6252915000298701E-3</v>
      </c>
      <c r="F1379" s="263">
        <f t="shared" si="43"/>
        <v>1.044163388302779E-2</v>
      </c>
      <c r="G1379" s="259"/>
      <c r="H1379" s="259"/>
    </row>
    <row r="1380" spans="1:8" ht="14.25" customHeight="1" x14ac:dyDescent="0.3">
      <c r="A1380" s="261">
        <v>45958</v>
      </c>
      <c r="B1380" s="262">
        <v>25936.19921875</v>
      </c>
      <c r="C1380" s="262">
        <v>4220.89990234375</v>
      </c>
      <c r="D1380" s="259"/>
      <c r="E1380" s="263">
        <f t="shared" si="42"/>
        <v>-1.1496381468049702E-3</v>
      </c>
      <c r="F1380" s="263">
        <f t="shared" si="43"/>
        <v>-8.6897298782513521E-3</v>
      </c>
      <c r="G1380" s="259"/>
      <c r="H1380" s="259"/>
    </row>
    <row r="1381" spans="1:8" ht="14.25" customHeight="1" x14ac:dyDescent="0.3">
      <c r="A1381" s="261">
        <v>45959</v>
      </c>
      <c r="B1381" s="262">
        <v>26053.900390625</v>
      </c>
      <c r="C1381" s="262">
        <v>4229.39990234375</v>
      </c>
      <c r="D1381" s="259"/>
      <c r="E1381" s="263">
        <f t="shared" si="42"/>
        <v>4.5381040946782421E-3</v>
      </c>
      <c r="F1381" s="263">
        <f t="shared" si="43"/>
        <v>2.0137885751046083E-3</v>
      </c>
      <c r="G1381" s="259"/>
      <c r="H1381" s="259"/>
    </row>
    <row r="1382" spans="1:8" ht="14.25" customHeight="1" x14ac:dyDescent="0.3">
      <c r="A1382" s="261">
        <v>45960</v>
      </c>
      <c r="B1382" s="262">
        <v>25877.849609375</v>
      </c>
      <c r="C1382" s="262">
        <v>4161.10009765625</v>
      </c>
      <c r="D1382" s="259"/>
      <c r="E1382" s="263">
        <f t="shared" si="42"/>
        <v>-6.7571756478100502E-3</v>
      </c>
      <c r="F1382" s="263">
        <f t="shared" si="43"/>
        <v>-1.6148816916000591E-2</v>
      </c>
      <c r="G1382" s="259"/>
      <c r="H1382" s="259"/>
    </row>
    <row r="1383" spans="1:8" ht="14.25" customHeight="1" x14ac:dyDescent="0.3">
      <c r="A1383" s="261">
        <v>45961</v>
      </c>
      <c r="B1383" s="262">
        <v>25722.099609375</v>
      </c>
      <c r="C1383" s="262">
        <v>4153.5</v>
      </c>
      <c r="D1383" s="259"/>
      <c r="E1383" s="263">
        <f t="shared" si="42"/>
        <v>-6.0186608373972101E-3</v>
      </c>
      <c r="F1383" s="263">
        <f t="shared" si="43"/>
        <v>-1.826463549995054E-3</v>
      </c>
      <c r="G1383" s="259"/>
      <c r="H1383" s="259"/>
    </row>
    <row r="1384" spans="1:8" ht="14.25" customHeight="1" x14ac:dyDescent="0.3">
      <c r="A1384" s="261">
        <v>45964</v>
      </c>
      <c r="B1384" s="262">
        <v>25763.349609375</v>
      </c>
      <c r="C1384" s="262">
        <v>4156</v>
      </c>
      <c r="D1384" s="259"/>
      <c r="E1384" s="263">
        <f t="shared" si="42"/>
        <v>1.6036793506920993E-3</v>
      </c>
      <c r="F1384" s="263">
        <f t="shared" si="43"/>
        <v>6.0190201035271453E-4</v>
      </c>
      <c r="G1384" s="259"/>
      <c r="H1384" s="259"/>
    </row>
    <row r="1385" spans="1:8" ht="14.25" customHeight="1" x14ac:dyDescent="0.3">
      <c r="A1385" s="261">
        <v>45965</v>
      </c>
      <c r="B1385" s="262">
        <v>25597.650390625</v>
      </c>
      <c r="C1385" s="262">
        <v>4182.39990234375</v>
      </c>
      <c r="D1385" s="259"/>
      <c r="E1385" s="263">
        <f t="shared" si="42"/>
        <v>-6.4315867797603409E-3</v>
      </c>
      <c r="F1385" s="263">
        <f t="shared" si="43"/>
        <v>6.352238292528874E-3</v>
      </c>
      <c r="G1385" s="259"/>
      <c r="H1385" s="259"/>
    </row>
    <row r="1386" spans="1:8" ht="14.25" customHeight="1" x14ac:dyDescent="0.3">
      <c r="A1386" s="261">
        <v>45967</v>
      </c>
      <c r="B1386" s="262">
        <v>25509.69921875</v>
      </c>
      <c r="C1386" s="262">
        <v>4082.19995117188</v>
      </c>
      <c r="D1386" s="259"/>
      <c r="E1386" s="263">
        <f t="shared" si="42"/>
        <v>-3.4359080045569977E-3</v>
      </c>
      <c r="F1386" s="263">
        <f t="shared" si="43"/>
        <v>-2.3957525227494277E-2</v>
      </c>
      <c r="G1386" s="259"/>
      <c r="H1386" s="259"/>
    </row>
    <row r="1387" spans="1:8" ht="14.25" customHeight="1" x14ac:dyDescent="0.3">
      <c r="A1387" s="261">
        <v>45968</v>
      </c>
      <c r="B1387" s="262">
        <v>25492.30078125</v>
      </c>
      <c r="C1387" s="262">
        <v>4011</v>
      </c>
      <c r="D1387" s="259"/>
      <c r="E1387" s="263">
        <f t="shared" si="42"/>
        <v>-6.8203224784445498E-4</v>
      </c>
      <c r="F1387" s="263">
        <f t="shared" si="43"/>
        <v>-1.7441563868384396E-2</v>
      </c>
      <c r="G1387" s="259"/>
      <c r="H1387" s="259"/>
    </row>
    <row r="1388" spans="1:8" ht="14.25" customHeight="1" x14ac:dyDescent="0.3">
      <c r="A1388" s="261">
        <v>45971</v>
      </c>
      <c r="B1388" s="262">
        <v>25574.349609375</v>
      </c>
      <c r="C1388" s="262">
        <v>4019</v>
      </c>
      <c r="D1388" s="259"/>
      <c r="E1388" s="263">
        <f t="shared" si="42"/>
        <v>3.2185728871263058E-3</v>
      </c>
      <c r="F1388" s="263">
        <f t="shared" si="43"/>
        <v>1.9945150835203192E-3</v>
      </c>
      <c r="G1388" s="259"/>
      <c r="H1388" s="259"/>
    </row>
    <row r="1389" spans="1:8" ht="14.25" customHeight="1" x14ac:dyDescent="0.3">
      <c r="A1389" s="261">
        <v>45972</v>
      </c>
      <c r="B1389" s="262">
        <v>25694.94921875</v>
      </c>
      <c r="C1389" s="262">
        <v>4072.19995117188</v>
      </c>
      <c r="D1389" s="259"/>
      <c r="E1389" s="263">
        <f t="shared" si="42"/>
        <v>4.7156471705849679E-3</v>
      </c>
      <c r="F1389" s="263">
        <f t="shared" si="43"/>
        <v>1.3237111513281911E-2</v>
      </c>
      <c r="G1389" s="259"/>
      <c r="H1389" s="259"/>
    </row>
    <row r="1390" spans="1:8" ht="14.25" customHeight="1" x14ac:dyDescent="0.3">
      <c r="A1390" s="261">
        <v>45973</v>
      </c>
      <c r="B1390" s="262">
        <v>25875.80078125</v>
      </c>
      <c r="C1390" s="262">
        <v>4058</v>
      </c>
      <c r="D1390" s="259"/>
      <c r="E1390" s="263">
        <f t="shared" si="42"/>
        <v>7.0384090258497119E-3</v>
      </c>
      <c r="F1390" s="263">
        <f t="shared" si="43"/>
        <v>-3.4870466436191577E-3</v>
      </c>
      <c r="G1390" s="259"/>
      <c r="H1390" s="259"/>
    </row>
    <row r="1391" spans="1:8" ht="14.25" customHeight="1" x14ac:dyDescent="0.3">
      <c r="A1391" s="261">
        <v>45974</v>
      </c>
      <c r="B1391" s="262">
        <v>25879.150390625</v>
      </c>
      <c r="C1391" s="262">
        <v>4062.5</v>
      </c>
      <c r="D1391" s="259"/>
      <c r="E1391" s="263">
        <f t="shared" si="42"/>
        <v>1.2944949620369539E-4</v>
      </c>
      <c r="F1391" s="263">
        <f t="shared" si="43"/>
        <v>1.1089206505667817E-3</v>
      </c>
      <c r="G1391" s="259"/>
      <c r="H1391" s="259"/>
    </row>
    <row r="1392" spans="1:8" ht="14.25" customHeight="1" x14ac:dyDescent="0.3">
      <c r="A1392" s="261">
        <v>45975</v>
      </c>
      <c r="B1392" s="262">
        <v>25910.05078125</v>
      </c>
      <c r="C1392" s="262">
        <v>4053.69995117188</v>
      </c>
      <c r="D1392" s="259"/>
      <c r="E1392" s="263">
        <f t="shared" si="42"/>
        <v>1.1940264714483827E-3</v>
      </c>
      <c r="F1392" s="263">
        <f t="shared" si="43"/>
        <v>-2.1661658653833842E-3</v>
      </c>
      <c r="G1392" s="259"/>
      <c r="H1392" s="259"/>
    </row>
    <row r="1393" spans="1:8" ht="14.25" customHeight="1" x14ac:dyDescent="0.3">
      <c r="A1393" s="261">
        <v>45978</v>
      </c>
      <c r="B1393" s="262">
        <v>26013.44921875</v>
      </c>
      <c r="C1393" s="262">
        <v>4036.19995117188</v>
      </c>
      <c r="D1393" s="259"/>
      <c r="E1393" s="263">
        <f t="shared" si="42"/>
        <v>3.9906690408659891E-3</v>
      </c>
      <c r="F1393" s="263">
        <f t="shared" si="43"/>
        <v>-4.3170437404823079E-3</v>
      </c>
      <c r="G1393" s="259"/>
      <c r="H1393" s="259"/>
    </row>
    <row r="1394" spans="1:8" ht="14.25" customHeight="1" x14ac:dyDescent="0.3">
      <c r="A1394" s="261">
        <v>45979</v>
      </c>
      <c r="B1394" s="262">
        <v>25910.05078125</v>
      </c>
      <c r="C1394" s="262">
        <v>3997.19995117188</v>
      </c>
      <c r="D1394" s="259"/>
      <c r="E1394" s="263">
        <f t="shared" si="42"/>
        <v>-3.974806902018682E-3</v>
      </c>
      <c r="F1394" s="263">
        <f t="shared" si="43"/>
        <v>-9.6625540042129601E-3</v>
      </c>
      <c r="G1394" s="259"/>
      <c r="H1394" s="259"/>
    </row>
    <row r="1395" spans="1:8" ht="14.25" customHeight="1" x14ac:dyDescent="0.3">
      <c r="A1395" s="261">
        <v>45980</v>
      </c>
      <c r="B1395" s="262">
        <v>26052.650390625</v>
      </c>
      <c r="C1395" s="262">
        <v>4026.5</v>
      </c>
      <c r="D1395" s="259"/>
      <c r="E1395" s="263">
        <f t="shared" si="42"/>
        <v>5.503640675154263E-3</v>
      </c>
      <c r="F1395" s="263">
        <f t="shared" si="43"/>
        <v>7.3301433968871003E-3</v>
      </c>
      <c r="G1395" s="259"/>
      <c r="H1395" s="259"/>
    </row>
    <row r="1396" spans="1:8" ht="14.25" customHeight="1" x14ac:dyDescent="0.3">
      <c r="A1396" s="261">
        <v>45981</v>
      </c>
      <c r="B1396" s="262">
        <v>26192.150390625</v>
      </c>
      <c r="C1396" s="262">
        <v>4085</v>
      </c>
      <c r="D1396" s="259"/>
      <c r="E1396" s="263">
        <f t="shared" si="42"/>
        <v>5.3545415882216276E-3</v>
      </c>
      <c r="F1396" s="263">
        <f t="shared" si="43"/>
        <v>1.4528747050788526E-2</v>
      </c>
      <c r="G1396" s="259"/>
      <c r="H1396" s="259"/>
    </row>
    <row r="1397" spans="1:8" ht="14.25" customHeight="1" x14ac:dyDescent="0.3">
      <c r="A1397" s="261">
        <v>45982</v>
      </c>
      <c r="B1397" s="262">
        <v>26068.150390625</v>
      </c>
      <c r="C1397" s="262">
        <v>4038</v>
      </c>
      <c r="D1397" s="259"/>
      <c r="E1397" s="263">
        <f t="shared" si="42"/>
        <v>-4.7342428227803521E-3</v>
      </c>
      <c r="F1397" s="263">
        <f t="shared" si="43"/>
        <v>-1.1505507955936353E-2</v>
      </c>
      <c r="G1397" s="259"/>
      <c r="H1397" s="259"/>
    </row>
    <row r="1398" spans="1:8" ht="14.25" customHeight="1" x14ac:dyDescent="0.3">
      <c r="A1398" s="261">
        <v>45985</v>
      </c>
      <c r="B1398" s="262">
        <v>25959.5</v>
      </c>
      <c r="C1398" s="262">
        <v>3987.5</v>
      </c>
      <c r="D1398" s="259"/>
      <c r="E1398" s="263">
        <f t="shared" si="42"/>
        <v>-4.167936312968119E-3</v>
      </c>
      <c r="F1398" s="263">
        <f t="shared" si="43"/>
        <v>-1.2506191183754335E-2</v>
      </c>
      <c r="G1398" s="259"/>
      <c r="H1398" s="259"/>
    </row>
    <row r="1399" spans="1:8" ht="14.25" customHeight="1" x14ac:dyDescent="0.3">
      <c r="A1399" s="261">
        <v>45986</v>
      </c>
      <c r="B1399" s="262">
        <v>25884.80078125</v>
      </c>
      <c r="C1399" s="262">
        <v>3988.60009765625</v>
      </c>
      <c r="D1399" s="259"/>
      <c r="E1399" s="263">
        <f t="shared" si="42"/>
        <v>-2.8775291800689534E-3</v>
      </c>
      <c r="F1399" s="263">
        <f t="shared" si="43"/>
        <v>2.7588655956112853E-4</v>
      </c>
      <c r="G1399" s="259"/>
      <c r="H1399" s="259"/>
    </row>
    <row r="1400" spans="1:8" ht="14.25" customHeight="1" x14ac:dyDescent="0.3">
      <c r="A1400" s="261">
        <v>45987</v>
      </c>
      <c r="B1400" s="262">
        <v>26205.30078125</v>
      </c>
      <c r="C1400" s="262">
        <v>4019.10009765625</v>
      </c>
      <c r="D1400" s="259"/>
      <c r="E1400" s="263">
        <f t="shared" si="42"/>
        <v>1.2381783530362669E-2</v>
      </c>
      <c r="F1400" s="263">
        <f t="shared" si="43"/>
        <v>7.6467931738562036E-3</v>
      </c>
      <c r="G1400" s="259"/>
      <c r="H1400" s="259"/>
    </row>
    <row r="1401" spans="1:8" ht="14.25" customHeight="1" x14ac:dyDescent="0.3">
      <c r="A1401" s="261">
        <v>45988</v>
      </c>
      <c r="B1401" s="262">
        <v>26215.55078125</v>
      </c>
      <c r="C1401" s="262">
        <v>4007.10009765625</v>
      </c>
      <c r="D1401" s="259"/>
      <c r="E1401" s="263">
        <f t="shared" si="42"/>
        <v>3.9114223818922608E-4</v>
      </c>
      <c r="F1401" s="263">
        <f t="shared" si="43"/>
        <v>-2.9857430042605397E-3</v>
      </c>
      <c r="G1401" s="259"/>
      <c r="H1401" s="259"/>
    </row>
    <row r="1402" spans="1:8" ht="14.25" customHeight="1" x14ac:dyDescent="0.3">
      <c r="A1402" s="261">
        <v>45989</v>
      </c>
      <c r="B1402" s="262">
        <v>26202.94921875</v>
      </c>
      <c r="C1402" s="262">
        <v>3996.5</v>
      </c>
      <c r="D1402" s="259"/>
      <c r="E1402" s="263">
        <f t="shared" si="42"/>
        <v>-4.8069035837358583E-4</v>
      </c>
      <c r="F1402" s="263">
        <f t="shared" si="43"/>
        <v>-2.6453288906982857E-3</v>
      </c>
      <c r="G1402" s="259"/>
      <c r="H1402" s="259"/>
    </row>
    <row r="1403" spans="1:8" ht="14.25" customHeight="1" x14ac:dyDescent="0.3">
      <c r="A1403" s="261">
        <v>45992</v>
      </c>
      <c r="B1403" s="262">
        <v>26175.75</v>
      </c>
      <c r="C1403" s="262">
        <v>3963.30004882813</v>
      </c>
      <c r="D1403" s="259"/>
      <c r="E1403" s="263">
        <f t="shared" si="42"/>
        <v>-1.0380212747402153E-3</v>
      </c>
      <c r="F1403" s="263">
        <f t="shared" si="43"/>
        <v>-8.3072566425297124E-3</v>
      </c>
      <c r="G1403" s="259"/>
      <c r="H1403" s="259"/>
    </row>
    <row r="1404" spans="1:8" ht="14.25" customHeight="1" x14ac:dyDescent="0.3">
      <c r="A1404" s="261">
        <v>45993</v>
      </c>
      <c r="B1404" s="262">
        <v>26032.19921875</v>
      </c>
      <c r="C1404" s="262">
        <v>3961.80004882813</v>
      </c>
      <c r="D1404" s="259"/>
      <c r="E1404" s="263">
        <f t="shared" si="42"/>
        <v>-5.4841133969418263E-3</v>
      </c>
      <c r="F1404" s="263">
        <f t="shared" si="43"/>
        <v>-3.784724803875297E-4</v>
      </c>
      <c r="G1404" s="259"/>
      <c r="H1404" s="259"/>
    </row>
    <row r="1405" spans="1:8" ht="14.25" customHeight="1" x14ac:dyDescent="0.3">
      <c r="A1405" s="261">
        <v>45994</v>
      </c>
      <c r="B1405" s="262">
        <v>25986</v>
      </c>
      <c r="C1405" s="262">
        <v>3909.69995117188</v>
      </c>
      <c r="D1405" s="259"/>
      <c r="E1405" s="263">
        <f t="shared" si="42"/>
        <v>-1.7746951904364832E-3</v>
      </c>
      <c r="F1405" s="263">
        <f t="shared" si="43"/>
        <v>-1.3150612603899787E-2</v>
      </c>
      <c r="G1405" s="259"/>
      <c r="H1405" s="259"/>
    </row>
    <row r="1406" spans="1:8" ht="14.25" customHeight="1" x14ac:dyDescent="0.3">
      <c r="A1406" s="261">
        <v>45995</v>
      </c>
      <c r="B1406" s="262">
        <v>26033.75</v>
      </c>
      <c r="C1406" s="262">
        <v>3913.30004882813</v>
      </c>
      <c r="D1406" s="259"/>
      <c r="E1406" s="263">
        <f t="shared" si="42"/>
        <v>1.8375278996382667E-3</v>
      </c>
      <c r="F1406" s="263">
        <f t="shared" si="43"/>
        <v>9.208117505720405E-4</v>
      </c>
      <c r="G1406" s="259"/>
      <c r="H1406" s="259"/>
    </row>
    <row r="1407" spans="1:8" ht="14.25" customHeight="1" x14ac:dyDescent="0.3">
      <c r="A1407" s="261">
        <v>45996</v>
      </c>
      <c r="B1407" s="262">
        <v>26186.44921875</v>
      </c>
      <c r="C1407" s="262">
        <v>3952.10009765625</v>
      </c>
      <c r="D1407" s="259"/>
      <c r="E1407" s="263">
        <f t="shared" si="42"/>
        <v>5.8654330916598644E-3</v>
      </c>
      <c r="F1407" s="263">
        <f t="shared" si="43"/>
        <v>9.9149179321782379E-3</v>
      </c>
      <c r="G1407" s="259"/>
      <c r="H1407" s="259"/>
    </row>
    <row r="1408" spans="1:8" ht="14.25" customHeight="1" x14ac:dyDescent="0.3">
      <c r="A1408" s="261">
        <v>45999</v>
      </c>
      <c r="B1408" s="262">
        <v>25960.55078125</v>
      </c>
      <c r="C1408" s="262">
        <v>3867.60009765625</v>
      </c>
      <c r="D1408" s="259"/>
      <c r="E1408" s="263">
        <f t="shared" si="42"/>
        <v>-8.6265394598918129E-3</v>
      </c>
      <c r="F1408" s="263">
        <f t="shared" si="43"/>
        <v>-2.1381037400877524E-2</v>
      </c>
      <c r="G1408" s="259"/>
      <c r="H1408" s="259"/>
    </row>
    <row r="1409" spans="1:8" ht="14.25" customHeight="1" x14ac:dyDescent="0.3">
      <c r="A1409" s="261">
        <v>46000</v>
      </c>
      <c r="B1409" s="262">
        <v>25839.650390625</v>
      </c>
      <c r="C1409" s="262">
        <v>3910</v>
      </c>
      <c r="D1409" s="259"/>
      <c r="E1409" s="263">
        <f t="shared" si="42"/>
        <v>-4.6570811090926572E-3</v>
      </c>
      <c r="F1409" s="263">
        <f t="shared" si="43"/>
        <v>1.0962845504488472E-2</v>
      </c>
      <c r="G1409" s="259"/>
      <c r="H1409" s="259"/>
    </row>
    <row r="1410" spans="1:8" ht="14.25" customHeight="1" x14ac:dyDescent="0.3">
      <c r="A1410" s="261">
        <v>46001</v>
      </c>
      <c r="B1410" s="262">
        <v>25758</v>
      </c>
      <c r="C1410" s="262">
        <v>3816.30004882813</v>
      </c>
      <c r="D1410" s="259"/>
      <c r="E1410" s="263">
        <f t="shared" si="42"/>
        <v>-3.159887590995579E-3</v>
      </c>
      <c r="F1410" s="263">
        <f t="shared" si="43"/>
        <v>-2.3964181885388746E-2</v>
      </c>
      <c r="G1410" s="259"/>
      <c r="H1410" s="259"/>
    </row>
    <row r="1411" spans="1:8" ht="14.25" customHeight="1" x14ac:dyDescent="0.3">
      <c r="A1411" s="261">
        <v>46002</v>
      </c>
      <c r="B1411" s="262">
        <v>25898.55078125</v>
      </c>
      <c r="C1411" s="262">
        <v>3830.80004882813</v>
      </c>
      <c r="D1411" s="259"/>
      <c r="E1411" s="263">
        <f t="shared" ref="E1411:E1474" si="44">(B1411-B1410)/B1410</f>
        <v>5.4565875164997281E-3</v>
      </c>
      <c r="F1411" s="263">
        <f t="shared" ref="F1411:F1474" si="45">(C1411-C1410)/C1410</f>
        <v>3.7994916056069833E-3</v>
      </c>
      <c r="G1411" s="259"/>
      <c r="H1411" s="259"/>
    </row>
    <row r="1412" spans="1:8" ht="14.25" customHeight="1" x14ac:dyDescent="0.3">
      <c r="A1412" s="261">
        <v>46003</v>
      </c>
      <c r="B1412" s="262">
        <v>26046.94921875</v>
      </c>
      <c r="C1412" s="262">
        <v>3843</v>
      </c>
      <c r="D1412" s="259"/>
      <c r="E1412" s="263">
        <f t="shared" si="44"/>
        <v>5.7299900196514974E-3</v>
      </c>
      <c r="F1412" s="263">
        <f t="shared" si="45"/>
        <v>3.1847005890067409E-3</v>
      </c>
      <c r="G1412" s="259"/>
      <c r="H1412" s="259"/>
    </row>
    <row r="1413" spans="1:8" ht="14.25" customHeight="1" x14ac:dyDescent="0.3">
      <c r="A1413" s="261">
        <v>46006</v>
      </c>
      <c r="B1413" s="262">
        <v>26027.30078125</v>
      </c>
      <c r="C1413" s="262">
        <v>3825.60009765625</v>
      </c>
      <c r="D1413" s="259"/>
      <c r="E1413" s="263">
        <f t="shared" si="44"/>
        <v>-7.5434698071496196E-4</v>
      </c>
      <c r="F1413" s="263">
        <f t="shared" si="45"/>
        <v>-4.5276873129716363E-3</v>
      </c>
      <c r="G1413" s="259"/>
      <c r="H1413" s="259"/>
    </row>
    <row r="1414" spans="1:8" ht="14.25" customHeight="1" x14ac:dyDescent="0.3">
      <c r="A1414" s="261">
        <v>46007</v>
      </c>
      <c r="B1414" s="262">
        <v>25860.099609375</v>
      </c>
      <c r="C1414" s="262">
        <v>3856.80004882813</v>
      </c>
      <c r="D1414" s="259"/>
      <c r="E1414" s="263">
        <f t="shared" si="44"/>
        <v>-6.4240688375742476E-3</v>
      </c>
      <c r="F1414" s="263">
        <f t="shared" si="45"/>
        <v>8.1555704661850619E-3</v>
      </c>
      <c r="G1414" s="259"/>
      <c r="H1414" s="259"/>
    </row>
    <row r="1415" spans="1:8" ht="14.25" customHeight="1" x14ac:dyDescent="0.3">
      <c r="A1415" s="261">
        <v>46008</v>
      </c>
      <c r="B1415" s="262">
        <v>25818.55078125</v>
      </c>
      <c r="C1415" s="262">
        <v>3826.19995117188</v>
      </c>
      <c r="D1415" s="259"/>
      <c r="E1415" s="263">
        <f t="shared" si="44"/>
        <v>-1.6066770334456639E-3</v>
      </c>
      <c r="F1415" s="263">
        <f t="shared" si="45"/>
        <v>-7.9340638012975785E-3</v>
      </c>
      <c r="G1415" s="259"/>
      <c r="H1415" s="259"/>
    </row>
    <row r="1416" spans="1:8" ht="14.25" customHeight="1" x14ac:dyDescent="0.3">
      <c r="A1416" s="261">
        <v>46009</v>
      </c>
      <c r="B1416" s="262">
        <v>25815.55078125</v>
      </c>
      <c r="C1416" s="262">
        <v>3757.19995117188</v>
      </c>
      <c r="D1416" s="259"/>
      <c r="E1416" s="263">
        <f t="shared" si="44"/>
        <v>-1.1619552256893776E-4</v>
      </c>
      <c r="F1416" s="263">
        <f t="shared" si="45"/>
        <v>-1.8033558329555367E-2</v>
      </c>
      <c r="G1416" s="259"/>
      <c r="H1416" s="259"/>
    </row>
    <row r="1417" spans="1:8" ht="14.25" customHeight="1" x14ac:dyDescent="0.3">
      <c r="A1417" s="261">
        <v>46010</v>
      </c>
      <c r="B1417" s="262">
        <v>25966.400390625</v>
      </c>
      <c r="C1417" s="262">
        <v>3819.5</v>
      </c>
      <c r="D1417" s="259"/>
      <c r="E1417" s="263">
        <f t="shared" si="44"/>
        <v>5.8433620360547577E-3</v>
      </c>
      <c r="F1417" s="263">
        <f t="shared" si="45"/>
        <v>1.6581510070734579E-2</v>
      </c>
      <c r="G1417" s="259"/>
      <c r="H1417" s="259"/>
    </row>
    <row r="1418" spans="1:8" ht="14.25" customHeight="1" x14ac:dyDescent="0.3">
      <c r="A1418" s="261">
        <v>46013</v>
      </c>
      <c r="B1418" s="262">
        <v>26172.400390625</v>
      </c>
      <c r="C1418" s="262">
        <v>3818.60009765625</v>
      </c>
      <c r="D1418" s="259"/>
      <c r="E1418" s="263">
        <f t="shared" si="44"/>
        <v>7.9333291061157232E-3</v>
      </c>
      <c r="F1418" s="263">
        <f t="shared" si="45"/>
        <v>-2.3560736843827727E-4</v>
      </c>
      <c r="G1418" s="259"/>
      <c r="H1418" s="259"/>
    </row>
    <row r="1419" spans="1:8" ht="14.25" customHeight="1" x14ac:dyDescent="0.3">
      <c r="A1419" s="261">
        <v>46014</v>
      </c>
      <c r="B1419" s="262">
        <v>26177.150390625</v>
      </c>
      <c r="C1419" s="262">
        <v>3828.19995117188</v>
      </c>
      <c r="D1419" s="259"/>
      <c r="E1419" s="263">
        <f t="shared" si="44"/>
        <v>1.814888939916057E-4</v>
      </c>
      <c r="F1419" s="263">
        <f t="shared" si="45"/>
        <v>2.5139719452482402E-3</v>
      </c>
      <c r="G1419" s="259"/>
      <c r="H1419" s="259"/>
    </row>
    <row r="1420" spans="1:8" ht="14.25" customHeight="1" x14ac:dyDescent="0.3">
      <c r="A1420" s="261">
        <v>46015</v>
      </c>
      <c r="B1420" s="262">
        <v>26142.099609375</v>
      </c>
      <c r="C1420" s="262">
        <v>3800.19995117188</v>
      </c>
      <c r="D1420" s="259"/>
      <c r="E1420" s="263">
        <f t="shared" si="44"/>
        <v>-1.3389838361685454E-3</v>
      </c>
      <c r="F1420" s="263">
        <f t="shared" si="45"/>
        <v>-7.3141425100924267E-3</v>
      </c>
      <c r="G1420" s="259"/>
      <c r="H1420" s="259"/>
    </row>
    <row r="1421" spans="1:8" ht="14.25" customHeight="1" x14ac:dyDescent="0.3">
      <c r="A1421" s="261">
        <v>46017</v>
      </c>
      <c r="B1421" s="262">
        <v>26042.30078125</v>
      </c>
      <c r="C1421" s="262">
        <v>3787.39990234375</v>
      </c>
      <c r="D1421" s="259"/>
      <c r="E1421" s="263">
        <f t="shared" si="44"/>
        <v>-3.8175521330050493E-3</v>
      </c>
      <c r="F1421" s="263">
        <f t="shared" si="45"/>
        <v>-3.3682566687531297E-3</v>
      </c>
      <c r="G1421" s="259"/>
      <c r="H1421" s="259"/>
    </row>
    <row r="1422" spans="1:8" ht="14.25" customHeight="1" x14ac:dyDescent="0.3">
      <c r="A1422" s="261">
        <v>46020</v>
      </c>
      <c r="B1422" s="262">
        <v>25942.099609375</v>
      </c>
      <c r="C1422" s="262">
        <v>3788</v>
      </c>
      <c r="D1422" s="259"/>
      <c r="E1422" s="263">
        <f t="shared" si="44"/>
        <v>-3.8476313101775974E-3</v>
      </c>
      <c r="F1422" s="263">
        <f t="shared" si="45"/>
        <v>1.5844581288567986E-4</v>
      </c>
      <c r="G1422" s="259"/>
      <c r="H1422" s="259"/>
    </row>
    <row r="1423" spans="1:8" ht="14.25" customHeight="1" x14ac:dyDescent="0.3">
      <c r="A1423" s="261">
        <v>46021</v>
      </c>
      <c r="B1423" s="262">
        <v>25938.849609375</v>
      </c>
      <c r="C1423" s="262">
        <v>3753.5</v>
      </c>
      <c r="D1423" s="259"/>
      <c r="E1423" s="263">
        <f t="shared" si="44"/>
        <v>-1.2527898855285829E-4</v>
      </c>
      <c r="F1423" s="263">
        <f t="shared" si="45"/>
        <v>-9.1077085533262936E-3</v>
      </c>
      <c r="G1423" s="259"/>
      <c r="H1423" s="259"/>
    </row>
    <row r="1424" spans="1:8" ht="14.25" customHeight="1" x14ac:dyDescent="0.3">
      <c r="A1424" s="261">
        <v>46022</v>
      </c>
      <c r="B1424" s="262">
        <v>26129.599609375</v>
      </c>
      <c r="C1424" s="262">
        <v>3782.19995117188</v>
      </c>
      <c r="D1424" s="259"/>
      <c r="E1424" s="263">
        <f t="shared" si="44"/>
        <v>7.353834224439075E-3</v>
      </c>
      <c r="F1424" s="263">
        <f t="shared" si="45"/>
        <v>7.6461838742187295E-3</v>
      </c>
      <c r="G1424" s="259"/>
      <c r="H1424" s="259"/>
    </row>
    <row r="1425" spans="1:8" ht="14.25" customHeight="1" x14ac:dyDescent="0.3">
      <c r="A1425" s="261">
        <v>46023</v>
      </c>
      <c r="B1425" s="262">
        <v>26146.55078125</v>
      </c>
      <c r="C1425" s="262">
        <v>3716.10009765625</v>
      </c>
      <c r="D1425" s="259"/>
      <c r="E1425" s="263">
        <f t="shared" si="44"/>
        <v>6.4873446698043217E-4</v>
      </c>
      <c r="F1425" s="263">
        <f t="shared" si="45"/>
        <v>-1.7476562415783853E-2</v>
      </c>
      <c r="G1425" s="259"/>
      <c r="H1425" s="259"/>
    </row>
    <row r="1426" spans="1:8" ht="14.25" customHeight="1" x14ac:dyDescent="0.3">
      <c r="A1426" s="261">
        <v>46024</v>
      </c>
      <c r="B1426" s="262">
        <v>26328.55078125</v>
      </c>
      <c r="C1426" s="262">
        <v>3719.80004882813</v>
      </c>
      <c r="D1426" s="259"/>
      <c r="E1426" s="263">
        <f t="shared" si="44"/>
        <v>6.9607651702386052E-3</v>
      </c>
      <c r="F1426" s="263">
        <f t="shared" si="45"/>
        <v>9.9565433509543155E-4</v>
      </c>
      <c r="G1426" s="259"/>
      <c r="H1426" s="259"/>
    </row>
    <row r="1427" spans="1:8" ht="14.25" customHeight="1" x14ac:dyDescent="0.3">
      <c r="A1427" s="261">
        <v>46027</v>
      </c>
      <c r="B1427" s="262">
        <v>26250.30078125</v>
      </c>
      <c r="C1427" s="262">
        <v>3646.30004882813</v>
      </c>
      <c r="D1427" s="259"/>
      <c r="E1427" s="263">
        <f t="shared" si="44"/>
        <v>-2.9720587604740519E-3</v>
      </c>
      <c r="F1427" s="263">
        <f t="shared" si="45"/>
        <v>-1.9759126575406957E-2</v>
      </c>
      <c r="G1427" s="259"/>
      <c r="H1427" s="259"/>
    </row>
    <row r="1428" spans="1:8" ht="14.25" customHeight="1" x14ac:dyDescent="0.3">
      <c r="A1428" s="261">
        <v>46028</v>
      </c>
      <c r="B1428" s="262">
        <v>26178.69921875</v>
      </c>
      <c r="C1428" s="262">
        <v>3663.69995117188</v>
      </c>
      <c r="D1428" s="259"/>
      <c r="E1428" s="263">
        <f t="shared" si="44"/>
        <v>-2.7276473171363958E-3</v>
      </c>
      <c r="F1428" s="263">
        <f t="shared" si="45"/>
        <v>4.7719337714245665E-3</v>
      </c>
      <c r="G1428" s="259"/>
      <c r="H1428" s="259"/>
    </row>
    <row r="1429" spans="1:8" ht="14.25" customHeight="1" x14ac:dyDescent="0.3">
      <c r="A1429" s="261">
        <v>46029</v>
      </c>
      <c r="B1429" s="262">
        <v>26140.75</v>
      </c>
      <c r="C1429" s="262">
        <v>3841.60009765625</v>
      </c>
      <c r="D1429" s="259"/>
      <c r="E1429" s="263">
        <f t="shared" si="44"/>
        <v>-1.4496220164682432E-3</v>
      </c>
      <c r="F1429" s="263">
        <f t="shared" si="45"/>
        <v>4.8557509854884932E-2</v>
      </c>
      <c r="G1429" s="259"/>
      <c r="H1429" s="259"/>
    </row>
    <row r="1430" spans="1:8" ht="14.25" customHeight="1" x14ac:dyDescent="0.3">
      <c r="A1430" s="261">
        <v>46030</v>
      </c>
      <c r="B1430" s="262">
        <v>25876.849609375</v>
      </c>
      <c r="C1430" s="262">
        <v>3789.80004882813</v>
      </c>
      <c r="D1430" s="259"/>
      <c r="E1430" s="263">
        <f t="shared" si="44"/>
        <v>-1.0095364158449929E-2</v>
      </c>
      <c r="F1430" s="263">
        <f t="shared" si="45"/>
        <v>-1.348397738216507E-2</v>
      </c>
      <c r="G1430" s="259"/>
      <c r="H1430" s="259"/>
    </row>
    <row r="1431" spans="1:8" ht="14.25" customHeight="1" x14ac:dyDescent="0.3">
      <c r="A1431" s="261">
        <v>46031</v>
      </c>
      <c r="B1431" s="262">
        <v>25683.30078125</v>
      </c>
      <c r="C1431" s="262">
        <v>3801.30004882813</v>
      </c>
      <c r="D1431" s="259"/>
      <c r="E1431" s="263">
        <f t="shared" si="44"/>
        <v>-7.4796132854935563E-3</v>
      </c>
      <c r="F1431" s="263">
        <f t="shared" si="45"/>
        <v>3.0344608823243838E-3</v>
      </c>
      <c r="G1431" s="259"/>
      <c r="H1431" s="259"/>
    </row>
    <row r="1432" spans="1:8" ht="14.25" customHeight="1" x14ac:dyDescent="0.3">
      <c r="A1432" s="261">
        <v>46034</v>
      </c>
      <c r="B1432" s="262">
        <v>25790.25</v>
      </c>
      <c r="C1432" s="262">
        <v>3832.5</v>
      </c>
      <c r="D1432" s="259"/>
      <c r="E1432" s="263">
        <f t="shared" si="44"/>
        <v>4.1641539637334267E-3</v>
      </c>
      <c r="F1432" s="263">
        <f t="shared" si="45"/>
        <v>8.2077054615797458E-3</v>
      </c>
      <c r="G1432" s="259"/>
      <c r="H1432" s="259"/>
    </row>
    <row r="1433" spans="1:8" ht="14.25" customHeight="1" x14ac:dyDescent="0.3">
      <c r="A1433" s="261">
        <v>46035</v>
      </c>
      <c r="B1433" s="262">
        <v>25732.30078125</v>
      </c>
      <c r="C1433" s="262">
        <v>3826.89990234375</v>
      </c>
      <c r="D1433" s="259"/>
      <c r="E1433" s="263">
        <f t="shared" si="44"/>
        <v>-2.2469428853927357E-3</v>
      </c>
      <c r="F1433" s="263">
        <f t="shared" si="45"/>
        <v>-1.4612126956947162E-3</v>
      </c>
      <c r="G1433" s="259"/>
      <c r="H1433" s="259"/>
    </row>
    <row r="1434" spans="1:8" ht="14.25" customHeight="1" x14ac:dyDescent="0.3">
      <c r="A1434" s="261">
        <v>46036</v>
      </c>
      <c r="B1434" s="262">
        <v>25665.599609375</v>
      </c>
      <c r="C1434" s="262">
        <v>3830.30004882813</v>
      </c>
      <c r="D1434" s="259"/>
      <c r="E1434" s="263">
        <f t="shared" si="44"/>
        <v>-2.5921184600641006E-3</v>
      </c>
      <c r="F1434" s="263">
        <f t="shared" si="45"/>
        <v>8.8848586875700964E-4</v>
      </c>
      <c r="G1434" s="259"/>
      <c r="H1434" s="259"/>
    </row>
    <row r="1435" spans="1:8" ht="14.25" customHeight="1" x14ac:dyDescent="0.3">
      <c r="A1435" s="261">
        <v>46038</v>
      </c>
      <c r="B1435" s="262">
        <v>25694.349609375</v>
      </c>
      <c r="C1435" s="262">
        <v>3775.69995117188</v>
      </c>
      <c r="D1435" s="259"/>
      <c r="E1435" s="263">
        <f t="shared" si="44"/>
        <v>1.1201764399651254E-3</v>
      </c>
      <c r="F1435" s="263">
        <f t="shared" si="45"/>
        <v>-1.4254783426941905E-2</v>
      </c>
      <c r="G1435" s="259"/>
      <c r="H1435" s="259"/>
    </row>
    <row r="1436" spans="1:8" ht="14.25" customHeight="1" x14ac:dyDescent="0.3">
      <c r="A1436" s="261">
        <v>46041</v>
      </c>
      <c r="B1436" s="262">
        <v>25585.5</v>
      </c>
      <c r="C1436" s="262">
        <v>3766.69995117188</v>
      </c>
      <c r="D1436" s="259"/>
      <c r="E1436" s="263">
        <f t="shared" si="44"/>
        <v>-4.2363247573810724E-3</v>
      </c>
      <c r="F1436" s="263">
        <f t="shared" si="45"/>
        <v>-2.3836639871784916E-3</v>
      </c>
      <c r="G1436" s="259"/>
      <c r="H1436" s="259"/>
    </row>
    <row r="1437" spans="1:8" ht="14.25" customHeight="1" x14ac:dyDescent="0.3">
      <c r="A1437" s="261">
        <v>46042</v>
      </c>
      <c r="B1437" s="262">
        <v>25232.5</v>
      </c>
      <c r="C1437" s="262">
        <v>3661.60009765625</v>
      </c>
      <c r="D1437" s="259"/>
      <c r="E1437" s="263">
        <f t="shared" si="44"/>
        <v>-1.3796877137441129E-2</v>
      </c>
      <c r="F1437" s="263">
        <f t="shared" si="45"/>
        <v>-2.7902369415682228E-2</v>
      </c>
      <c r="G1437" s="259"/>
      <c r="H1437" s="259"/>
    </row>
    <row r="1438" spans="1:8" ht="14.25" customHeight="1" x14ac:dyDescent="0.3">
      <c r="A1438" s="261">
        <v>46043</v>
      </c>
      <c r="B1438" s="262">
        <v>25157.5</v>
      </c>
      <c r="C1438" s="262">
        <v>3656.69995117188</v>
      </c>
      <c r="D1438" s="259"/>
      <c r="E1438" s="263">
        <f t="shared" si="44"/>
        <v>-2.9723570791637768E-3</v>
      </c>
      <c r="F1438" s="263">
        <f t="shared" si="45"/>
        <v>-1.3382527730176018E-3</v>
      </c>
      <c r="G1438" s="259"/>
      <c r="H1438" s="259"/>
    </row>
    <row r="1439" spans="1:8" ht="14.25" customHeight="1" x14ac:dyDescent="0.3">
      <c r="A1439" s="261">
        <v>46044</v>
      </c>
      <c r="B1439" s="262">
        <v>25289.900390625</v>
      </c>
      <c r="C1439" s="262">
        <v>3724.10009765625</v>
      </c>
      <c r="D1439" s="259"/>
      <c r="E1439" s="263">
        <f t="shared" si="44"/>
        <v>5.2628596094603996E-3</v>
      </c>
      <c r="F1439" s="263">
        <f t="shared" si="45"/>
        <v>1.84319597955446E-2</v>
      </c>
      <c r="G1439" s="259"/>
      <c r="H1439" s="259"/>
    </row>
    <row r="1440" spans="1:8" ht="14.25" customHeight="1" x14ac:dyDescent="0.3">
      <c r="A1440" s="261">
        <v>46045</v>
      </c>
      <c r="B1440" s="262">
        <v>25048.650390625</v>
      </c>
      <c r="C1440" s="262">
        <v>3665.60009765625</v>
      </c>
      <c r="D1440" s="259"/>
      <c r="E1440" s="263">
        <f t="shared" si="44"/>
        <v>-9.5393811867061241E-3</v>
      </c>
      <c r="F1440" s="263">
        <f t="shared" si="45"/>
        <v>-1.570849291532652E-2</v>
      </c>
      <c r="G1440" s="259"/>
      <c r="H1440" s="259"/>
    </row>
    <row r="1441" spans="1:8" ht="14.25" customHeight="1" x14ac:dyDescent="0.3">
      <c r="A1441" s="261">
        <v>46049</v>
      </c>
      <c r="B1441" s="262">
        <v>25175.400390625</v>
      </c>
      <c r="C1441" s="262">
        <v>3670.60009765625</v>
      </c>
      <c r="D1441" s="259"/>
      <c r="E1441" s="263">
        <f t="shared" si="44"/>
        <v>5.0601528634628126E-3</v>
      </c>
      <c r="F1441" s="263">
        <f t="shared" si="45"/>
        <v>1.3640331369471953E-3</v>
      </c>
      <c r="G1441" s="259"/>
      <c r="H1441" s="259"/>
    </row>
    <row r="1442" spans="1:8" ht="14.25" customHeight="1" x14ac:dyDescent="0.3">
      <c r="A1442" s="261">
        <v>46050</v>
      </c>
      <c r="B1442" s="262">
        <v>25342.75</v>
      </c>
      <c r="C1442" s="262">
        <v>3735.69995117188</v>
      </c>
      <c r="D1442" s="259"/>
      <c r="E1442" s="263">
        <f t="shared" si="44"/>
        <v>6.6473464881741809E-3</v>
      </c>
      <c r="F1442" s="263">
        <f t="shared" si="45"/>
        <v>1.7735479699136261E-2</v>
      </c>
      <c r="G1442" s="259"/>
      <c r="H1442" s="259"/>
    </row>
    <row r="1443" spans="1:8" ht="14.25" customHeight="1" x14ac:dyDescent="0.3">
      <c r="A1443" s="261">
        <v>46051</v>
      </c>
      <c r="B1443" s="262">
        <v>25418.900390625</v>
      </c>
      <c r="C1443" s="262">
        <v>3667.19995117188</v>
      </c>
      <c r="D1443" s="259"/>
      <c r="E1443" s="263">
        <f t="shared" si="44"/>
        <v>3.004819548983437E-3</v>
      </c>
      <c r="F1443" s="263">
        <f t="shared" si="45"/>
        <v>-1.8336590436957262E-2</v>
      </c>
      <c r="G1443" s="259"/>
      <c r="H1443" s="259"/>
    </row>
    <row r="1444" spans="1:8" ht="14.25" customHeight="1" x14ac:dyDescent="0.3">
      <c r="A1444" s="261">
        <v>46052</v>
      </c>
      <c r="B1444" s="262">
        <v>25320.650390625</v>
      </c>
      <c r="C1444" s="262">
        <v>3689.5</v>
      </c>
      <c r="D1444" s="259"/>
      <c r="E1444" s="263">
        <f t="shared" si="44"/>
        <v>-3.8652340774047241E-3</v>
      </c>
      <c r="F1444" s="263">
        <f t="shared" si="45"/>
        <v>6.0809470781635067E-3</v>
      </c>
      <c r="G1444" s="259"/>
      <c r="H1444" s="259"/>
    </row>
    <row r="1445" spans="1:8" ht="14.25" customHeight="1" x14ac:dyDescent="0.3">
      <c r="A1445" s="261">
        <v>46055</v>
      </c>
      <c r="B1445" s="262">
        <v>25088.400390625</v>
      </c>
      <c r="C1445" s="262">
        <v>3674.19995117188</v>
      </c>
      <c r="D1445" s="259"/>
      <c r="E1445" s="263">
        <f t="shared" si="44"/>
        <v>-9.1723552285209401E-3</v>
      </c>
      <c r="F1445" s="263">
        <f t="shared" si="45"/>
        <v>-4.1469166087870976E-3</v>
      </c>
      <c r="G1445" s="259"/>
      <c r="H1445" s="259"/>
    </row>
    <row r="1446" spans="1:8" ht="14.25" customHeight="1" x14ac:dyDescent="0.3">
      <c r="A1446" s="261">
        <v>46056</v>
      </c>
      <c r="B1446" s="262">
        <v>25727.55078125</v>
      </c>
      <c r="C1446" s="262">
        <v>3776.60009765625</v>
      </c>
      <c r="D1446" s="259"/>
      <c r="E1446" s="263">
        <f t="shared" si="44"/>
        <v>2.5475932330218904E-2</v>
      </c>
      <c r="F1446" s="263">
        <f t="shared" si="45"/>
        <v>2.7870052758481378E-2</v>
      </c>
      <c r="G1446" s="259"/>
      <c r="H1446" s="259"/>
    </row>
    <row r="1447" spans="1:8" ht="14.25" customHeight="1" x14ac:dyDescent="0.3">
      <c r="A1447" s="261">
        <v>46057</v>
      </c>
      <c r="B1447" s="262">
        <v>25776</v>
      </c>
      <c r="C1447" s="262">
        <v>3824.30004882813</v>
      </c>
      <c r="D1447" s="259"/>
      <c r="E1447" s="263">
        <f t="shared" si="44"/>
        <v>1.8831648283174059E-3</v>
      </c>
      <c r="F1447" s="263">
        <f t="shared" si="45"/>
        <v>1.2630395048044004E-2</v>
      </c>
      <c r="G1447" s="259"/>
      <c r="H1447" s="259"/>
    </row>
    <row r="1448" spans="1:8" ht="14.25" customHeight="1" x14ac:dyDescent="0.3">
      <c r="A1448" s="261">
        <v>46058</v>
      </c>
      <c r="B1448" s="262">
        <v>25642.80078125</v>
      </c>
      <c r="C1448" s="262">
        <v>3934.89990234375</v>
      </c>
      <c r="D1448" s="259"/>
      <c r="E1448" s="263">
        <f t="shared" si="44"/>
        <v>-5.1675674561607694E-3</v>
      </c>
      <c r="F1448" s="263">
        <f t="shared" si="45"/>
        <v>2.8920286615458118E-2</v>
      </c>
      <c r="G1448" s="259"/>
      <c r="H1448" s="259"/>
    </row>
    <row r="1449" spans="1:8" ht="14.25" customHeight="1" x14ac:dyDescent="0.3">
      <c r="A1449" s="261">
        <v>46059</v>
      </c>
      <c r="B1449" s="262">
        <v>25693.69921875</v>
      </c>
      <c r="C1449" s="262">
        <v>3889.89990234375</v>
      </c>
      <c r="D1449" s="259"/>
      <c r="E1449" s="263">
        <f t="shared" si="44"/>
        <v>1.9849016468285676E-3</v>
      </c>
      <c r="F1449" s="263">
        <f t="shared" si="45"/>
        <v>-1.1436123184022188E-2</v>
      </c>
      <c r="G1449" s="259"/>
      <c r="H1449" s="259"/>
    </row>
    <row r="1450" spans="1:8" ht="14.25" customHeight="1" x14ac:dyDescent="0.3">
      <c r="A1450" s="261">
        <v>46062</v>
      </c>
      <c r="B1450" s="262">
        <v>25867.30078125</v>
      </c>
      <c r="C1450" s="262">
        <v>3922.39990234375</v>
      </c>
      <c r="D1450" s="259"/>
      <c r="E1450" s="263">
        <f t="shared" si="44"/>
        <v>6.7565810988132885E-3</v>
      </c>
      <c r="F1450" s="263">
        <f t="shared" si="45"/>
        <v>8.3549707745482187E-3</v>
      </c>
      <c r="G1450" s="259"/>
      <c r="H1450" s="259"/>
    </row>
    <row r="1451" spans="1:8" ht="14.25" customHeight="1" x14ac:dyDescent="0.3">
      <c r="A1451" s="261">
        <v>46063</v>
      </c>
      <c r="B1451" s="262">
        <v>25935.150390625</v>
      </c>
      <c r="C1451" s="262">
        <v>4002.19995117188</v>
      </c>
      <c r="D1451" s="259"/>
      <c r="E1451" s="263">
        <f t="shared" si="44"/>
        <v>2.6229876069706129E-3</v>
      </c>
      <c r="F1451" s="263">
        <f t="shared" si="45"/>
        <v>2.0344699881428997E-2</v>
      </c>
      <c r="G1451" s="259"/>
      <c r="H1451" s="259"/>
    </row>
    <row r="1452" spans="1:8" ht="14.25" customHeight="1" x14ac:dyDescent="0.3">
      <c r="A1452" s="261">
        <v>46064</v>
      </c>
      <c r="B1452" s="262">
        <v>25953.849609375</v>
      </c>
      <c r="C1452" s="262">
        <v>4003.69995117188</v>
      </c>
      <c r="D1452" s="259"/>
      <c r="E1452" s="263">
        <f t="shared" si="44"/>
        <v>7.2099904833246569E-4</v>
      </c>
      <c r="F1452" s="263">
        <f t="shared" si="45"/>
        <v>3.7479386794774872E-4</v>
      </c>
      <c r="G1452" s="259"/>
      <c r="H1452" s="259"/>
    </row>
    <row r="1453" spans="1:8" ht="14.25" customHeight="1" x14ac:dyDescent="0.3">
      <c r="A1453" s="261">
        <v>46065</v>
      </c>
      <c r="B1453" s="262">
        <v>25807.19921875</v>
      </c>
      <c r="C1453" s="262">
        <v>3963</v>
      </c>
      <c r="D1453" s="259"/>
      <c r="E1453" s="263">
        <f t="shared" si="44"/>
        <v>-5.6504292362096155E-3</v>
      </c>
      <c r="F1453" s="263">
        <f t="shared" si="45"/>
        <v>-1.0165584751166769E-2</v>
      </c>
      <c r="G1453" s="259"/>
      <c r="H1453" s="259"/>
    </row>
    <row r="1454" spans="1:8" ht="14.25" customHeight="1" x14ac:dyDescent="0.3">
      <c r="A1454" s="261">
        <v>46066</v>
      </c>
      <c r="B1454" s="262">
        <v>25471.099609375</v>
      </c>
      <c r="C1454" s="262">
        <v>3909.19995117188</v>
      </c>
      <c r="D1454" s="259"/>
      <c r="E1454" s="263">
        <f t="shared" si="44"/>
        <v>-1.3023482576552116E-2</v>
      </c>
      <c r="F1454" s="263">
        <f t="shared" si="45"/>
        <v>-1.3575586381054756E-2</v>
      </c>
      <c r="G1454" s="259"/>
      <c r="H1454" s="259"/>
    </row>
    <row r="1455" spans="1:8" ht="14.25" customHeight="1" x14ac:dyDescent="0.3">
      <c r="A1455" s="261">
        <v>46069</v>
      </c>
      <c r="B1455" s="262">
        <v>25682.75</v>
      </c>
      <c r="C1455" s="262">
        <v>3880.69995117188</v>
      </c>
      <c r="D1455" s="259"/>
      <c r="E1455" s="263">
        <f t="shared" si="44"/>
        <v>8.3094328030933959E-3</v>
      </c>
      <c r="F1455" s="263">
        <f t="shared" si="45"/>
        <v>-7.2904943098283876E-3</v>
      </c>
      <c r="G1455" s="259"/>
      <c r="H1455" s="259"/>
    </row>
    <row r="1456" spans="1:8" ht="14.25" customHeight="1" x14ac:dyDescent="0.3">
      <c r="A1456" s="261">
        <v>46070</v>
      </c>
      <c r="B1456" s="262">
        <v>25725.400390625</v>
      </c>
      <c r="C1456" s="262">
        <v>3902.89990234375</v>
      </c>
      <c r="D1456" s="259"/>
      <c r="E1456" s="263">
        <f t="shared" si="44"/>
        <v>1.6606629206373927E-3</v>
      </c>
      <c r="F1456" s="263">
        <f t="shared" si="45"/>
        <v>5.7206049040627672E-3</v>
      </c>
      <c r="G1456" s="259"/>
      <c r="H1456" s="259"/>
    </row>
    <row r="1457" spans="1:8" ht="14.25" customHeight="1" x14ac:dyDescent="0.3">
      <c r="A1457" s="261">
        <v>46071</v>
      </c>
      <c r="B1457" s="262">
        <v>25819.349609375</v>
      </c>
      <c r="C1457" s="262">
        <v>3915.19995117188</v>
      </c>
      <c r="D1457" s="259"/>
      <c r="E1457" s="263">
        <f t="shared" si="44"/>
        <v>3.6520021971839754E-3</v>
      </c>
      <c r="F1457" s="263">
        <f t="shared" si="45"/>
        <v>3.1515153183261598E-3</v>
      </c>
      <c r="G1457" s="259"/>
      <c r="H1457" s="259"/>
    </row>
    <row r="1458" spans="1:8" ht="14.25" customHeight="1" x14ac:dyDescent="0.3">
      <c r="A1458" s="261">
        <v>46072</v>
      </c>
      <c r="B1458" s="262">
        <v>25454.349609375</v>
      </c>
      <c r="C1458" s="262">
        <v>3834.10009765625</v>
      </c>
      <c r="D1458" s="259"/>
      <c r="E1458" s="263">
        <f t="shared" si="44"/>
        <v>-1.4136684522350191E-2</v>
      </c>
      <c r="F1458" s="263">
        <f t="shared" si="45"/>
        <v>-2.0714102607034299E-2</v>
      </c>
      <c r="G1458" s="259"/>
      <c r="H1458" s="259"/>
    </row>
    <row r="1459" spans="1:8" ht="14.25" customHeight="1" x14ac:dyDescent="0.3">
      <c r="A1459" s="261">
        <v>46073</v>
      </c>
      <c r="B1459" s="262">
        <v>25571.25</v>
      </c>
      <c r="C1459" s="262">
        <v>3866.39990234375</v>
      </c>
      <c r="D1459" s="259"/>
      <c r="E1459" s="263">
        <f t="shared" si="44"/>
        <v>4.5925506806877847E-3</v>
      </c>
      <c r="F1459" s="263">
        <f t="shared" si="45"/>
        <v>8.4243509206357366E-3</v>
      </c>
      <c r="G1459" s="259"/>
      <c r="H1459" s="259"/>
    </row>
    <row r="1460" spans="1:8" ht="14.25" customHeight="1" x14ac:dyDescent="0.3">
      <c r="A1460" s="261">
        <v>46076</v>
      </c>
      <c r="B1460" s="262">
        <v>25713</v>
      </c>
      <c r="C1460" s="262">
        <v>3845.30004882813</v>
      </c>
      <c r="D1460" s="259"/>
      <c r="E1460" s="263">
        <f t="shared" si="44"/>
        <v>5.5433347998240208E-3</v>
      </c>
      <c r="F1460" s="263">
        <f t="shared" si="45"/>
        <v>-5.457235166706269E-3</v>
      </c>
      <c r="G1460" s="259"/>
      <c r="H1460" s="259"/>
    </row>
    <row r="1461" spans="1:8" ht="14.25" customHeight="1" x14ac:dyDescent="0.3">
      <c r="A1461" s="261">
        <v>46077</v>
      </c>
      <c r="B1461" s="262">
        <v>25424.650390625</v>
      </c>
      <c r="C1461" s="262">
        <v>3849.30004882813</v>
      </c>
      <c r="D1461" s="259"/>
      <c r="E1461" s="263">
        <f t="shared" si="44"/>
        <v>-1.1214156627970288E-2</v>
      </c>
      <c r="F1461" s="263">
        <f t="shared" si="45"/>
        <v>1.040230918057751E-3</v>
      </c>
      <c r="G1461" s="259"/>
      <c r="H1461" s="259"/>
    </row>
    <row r="1462" spans="1:8" ht="14.25" customHeight="1" x14ac:dyDescent="0.3">
      <c r="A1462" s="261">
        <v>46078</v>
      </c>
      <c r="B1462" s="262">
        <v>25482.5</v>
      </c>
      <c r="C1462" s="262">
        <v>3888.19995117188</v>
      </c>
      <c r="D1462" s="259"/>
      <c r="E1462" s="263">
        <f t="shared" si="44"/>
        <v>2.2753354908011348E-3</v>
      </c>
      <c r="F1462" s="263">
        <f t="shared" si="45"/>
        <v>1.0105708011926111E-2</v>
      </c>
      <c r="G1462" s="259"/>
      <c r="H1462" s="259"/>
    </row>
    <row r="1463" spans="1:8" ht="14.25" customHeight="1" x14ac:dyDescent="0.3">
      <c r="A1463" s="261">
        <v>46079</v>
      </c>
      <c r="B1463" s="262">
        <v>25496.55078125</v>
      </c>
      <c r="C1463" s="262">
        <v>3865.60009765625</v>
      </c>
      <c r="D1463" s="259"/>
      <c r="E1463" s="263">
        <f t="shared" si="44"/>
        <v>5.5138943392524285E-4</v>
      </c>
      <c r="F1463" s="263">
        <f t="shared" si="45"/>
        <v>-5.8124206057917731E-3</v>
      </c>
      <c r="G1463" s="259"/>
      <c r="H1463" s="259"/>
    </row>
    <row r="1464" spans="1:8" ht="14.25" customHeight="1" x14ac:dyDescent="0.3">
      <c r="A1464" s="261">
        <v>46080</v>
      </c>
      <c r="B1464" s="262">
        <v>25178.650390625</v>
      </c>
      <c r="C1464" s="262">
        <v>3847.60009765625</v>
      </c>
      <c r="D1464" s="259"/>
      <c r="E1464" s="263">
        <f t="shared" si="44"/>
        <v>-1.2468368500212268E-2</v>
      </c>
      <c r="F1464" s="263">
        <f t="shared" si="45"/>
        <v>-4.6564568360068E-3</v>
      </c>
      <c r="G1464" s="259"/>
      <c r="H1464" s="259"/>
    </row>
    <row r="1465" spans="1:8" ht="14.25" customHeight="1" x14ac:dyDescent="0.3">
      <c r="A1465" s="261">
        <v>46083</v>
      </c>
      <c r="B1465" s="262">
        <v>24865.69921875</v>
      </c>
      <c r="C1465" s="262">
        <v>3802.5</v>
      </c>
      <c r="D1465" s="259"/>
      <c r="E1465" s="263">
        <f t="shared" si="44"/>
        <v>-1.2429227421638295E-2</v>
      </c>
      <c r="F1465" s="263">
        <f t="shared" si="45"/>
        <v>-1.1721617764726262E-2</v>
      </c>
      <c r="G1465" s="259"/>
      <c r="H1465" s="259"/>
    </row>
    <row r="1466" spans="1:8" ht="14.25" customHeight="1" x14ac:dyDescent="0.3">
      <c r="A1466" s="261">
        <v>46085</v>
      </c>
      <c r="B1466" s="262">
        <v>24480.5</v>
      </c>
      <c r="C1466" s="262">
        <v>3760.89990234375</v>
      </c>
      <c r="D1466" s="259"/>
      <c r="E1466" s="263">
        <f t="shared" si="44"/>
        <v>-1.5491187895474108E-2</v>
      </c>
      <c r="F1466" s="263">
        <f t="shared" si="45"/>
        <v>-1.0940196622287969E-2</v>
      </c>
      <c r="G1466" s="259"/>
      <c r="H1466" s="259"/>
    </row>
    <row r="1467" spans="1:8" ht="14.25" customHeight="1" x14ac:dyDescent="0.3">
      <c r="A1467" s="261">
        <v>46086</v>
      </c>
      <c r="B1467" s="262">
        <v>24765.900390625</v>
      </c>
      <c r="C1467" s="262">
        <v>3835.39990234375</v>
      </c>
      <c r="D1467" s="259"/>
      <c r="E1467" s="263">
        <f t="shared" si="44"/>
        <v>1.165827457057658E-2</v>
      </c>
      <c r="F1467" s="263">
        <f t="shared" si="45"/>
        <v>1.9809088764519485E-2</v>
      </c>
      <c r="G1467" s="259"/>
      <c r="H1467" s="259"/>
    </row>
    <row r="1468" spans="1:8" ht="14.25" customHeight="1" x14ac:dyDescent="0.3">
      <c r="A1468" s="261">
        <v>46087</v>
      </c>
      <c r="B1468" s="262">
        <v>24450.44921875</v>
      </c>
      <c r="C1468" s="262">
        <v>3875.80004882813</v>
      </c>
      <c r="D1468" s="259"/>
      <c r="E1468" s="263">
        <f t="shared" si="44"/>
        <v>-1.273731893044407E-2</v>
      </c>
      <c r="F1468" s="263">
        <f t="shared" si="45"/>
        <v>1.0533489991406669E-2</v>
      </c>
      <c r="G1468" s="259"/>
      <c r="H1468" s="259"/>
    </row>
    <row r="1469" spans="1:8" ht="14.25" customHeight="1" x14ac:dyDescent="0.3">
      <c r="A1469" s="261">
        <v>46090</v>
      </c>
      <c r="B1469" s="262">
        <v>24028.05078125</v>
      </c>
      <c r="C1469" s="262">
        <v>3966.19995117188</v>
      </c>
      <c r="D1469" s="259"/>
      <c r="E1469" s="263">
        <f t="shared" si="44"/>
        <v>-1.7275692308183883E-2</v>
      </c>
      <c r="F1469" s="263">
        <f t="shared" si="45"/>
        <v>2.3324191445604353E-2</v>
      </c>
      <c r="G1469" s="259"/>
      <c r="H1469" s="259"/>
    </row>
    <row r="1470" spans="1:8" ht="14.25" customHeight="1" x14ac:dyDescent="0.3">
      <c r="A1470" s="261">
        <v>46091</v>
      </c>
      <c r="B1470" s="262">
        <v>24261.599609375</v>
      </c>
      <c r="C1470" s="262">
        <v>3946.80004882813</v>
      </c>
      <c r="D1470" s="259"/>
      <c r="E1470" s="263">
        <f t="shared" si="44"/>
        <v>9.7198407915488096E-3</v>
      </c>
      <c r="F1470" s="263">
        <f t="shared" si="45"/>
        <v>-4.891307191413276E-3</v>
      </c>
      <c r="G1470" s="259"/>
      <c r="H1470" s="259"/>
    </row>
    <row r="1471" spans="1:8" ht="14.25" customHeight="1" x14ac:dyDescent="0.3">
      <c r="A1471" s="261">
        <v>46092</v>
      </c>
      <c r="B1471" s="262">
        <v>23866.849609375</v>
      </c>
      <c r="C1471" s="262">
        <v>3944.80004882813</v>
      </c>
      <c r="D1471" s="259"/>
      <c r="E1471" s="263">
        <f t="shared" si="44"/>
        <v>-1.6270567743087452E-2</v>
      </c>
      <c r="F1471" s="263">
        <f t="shared" si="45"/>
        <v>-5.0673963090525271E-4</v>
      </c>
      <c r="G1471" s="259"/>
      <c r="H1471" s="259"/>
    </row>
    <row r="1472" spans="1:8" ht="14.25" customHeight="1" x14ac:dyDescent="0.3">
      <c r="A1472" s="261">
        <v>46093</v>
      </c>
      <c r="B1472" s="262">
        <v>23639.150390625</v>
      </c>
      <c r="C1472" s="262">
        <v>3953.60009765625</v>
      </c>
      <c r="D1472" s="259"/>
      <c r="E1472" s="263">
        <f t="shared" si="44"/>
        <v>-9.5403969303329752E-3</v>
      </c>
      <c r="F1472" s="263">
        <f t="shared" si="45"/>
        <v>2.2307971808949358E-3</v>
      </c>
      <c r="G1472" s="259"/>
      <c r="H1472" s="259"/>
    </row>
    <row r="1473" spans="1:8" ht="14.25" customHeight="1" x14ac:dyDescent="0.3">
      <c r="A1473" s="261">
        <v>46094</v>
      </c>
      <c r="B1473" s="262">
        <v>23151.099609375</v>
      </c>
      <c r="C1473" s="262">
        <v>3834.30004882813</v>
      </c>
      <c r="D1473" s="259"/>
      <c r="E1473" s="263">
        <f t="shared" si="44"/>
        <v>-2.0645868112229408E-2</v>
      </c>
      <c r="F1473" s="263">
        <f t="shared" si="45"/>
        <v>-3.0175041957036259E-2</v>
      </c>
      <c r="G1473" s="259"/>
      <c r="H1473" s="259"/>
    </row>
    <row r="1474" spans="1:8" ht="14.25" customHeight="1" x14ac:dyDescent="0.3">
      <c r="A1474" s="261">
        <v>46097</v>
      </c>
      <c r="B1474" s="262">
        <v>23408.80078125</v>
      </c>
      <c r="C1474" s="262">
        <v>3817.89990234375</v>
      </c>
      <c r="D1474" s="259"/>
      <c r="E1474" s="263">
        <f t="shared" si="44"/>
        <v>1.1131271353117254E-2</v>
      </c>
      <c r="F1474" s="263">
        <f t="shared" si="45"/>
        <v>-4.277220424987958E-3</v>
      </c>
      <c r="G1474" s="259"/>
      <c r="H1474" s="259"/>
    </row>
    <row r="1475" spans="1:8" ht="14.25" customHeight="1" x14ac:dyDescent="0.3">
      <c r="A1475" s="261">
        <v>46098</v>
      </c>
      <c r="B1475" s="262">
        <v>23581.150390625</v>
      </c>
      <c r="C1475" s="262">
        <v>3781.39990234375</v>
      </c>
      <c r="D1475" s="259"/>
      <c r="E1475" s="263">
        <f t="shared" ref="E1475:E1519" si="46">(B1475-B1474)/B1474</f>
        <v>7.3625988356075351E-3</v>
      </c>
      <c r="F1475" s="263">
        <f t="shared" ref="F1475:F1519" si="47">(C1475-C1474)/C1474</f>
        <v>-9.5602296900432655E-3</v>
      </c>
      <c r="G1475" s="259"/>
      <c r="H1475" s="259"/>
    </row>
    <row r="1476" spans="1:8" ht="14.25" customHeight="1" x14ac:dyDescent="0.3">
      <c r="A1476" s="261">
        <v>46099</v>
      </c>
      <c r="B1476" s="262">
        <v>23777.80078125</v>
      </c>
      <c r="C1476" s="262">
        <v>3844</v>
      </c>
      <c r="D1476" s="259"/>
      <c r="E1476" s="263">
        <f t="shared" si="46"/>
        <v>8.339304375208979E-3</v>
      </c>
      <c r="F1476" s="263">
        <f t="shared" si="47"/>
        <v>1.6554741437807153E-2</v>
      </c>
      <c r="G1476" s="259"/>
      <c r="H1476" s="259"/>
    </row>
    <row r="1477" spans="1:8" ht="14.25" customHeight="1" x14ac:dyDescent="0.3">
      <c r="A1477" s="261">
        <v>46100</v>
      </c>
      <c r="B1477" s="262">
        <v>23002.150390625</v>
      </c>
      <c r="C1477" s="262">
        <v>3808.19995117188</v>
      </c>
      <c r="D1477" s="259"/>
      <c r="E1477" s="263">
        <f t="shared" si="46"/>
        <v>-3.2620779262169594E-2</v>
      </c>
      <c r="F1477" s="263">
        <f t="shared" si="47"/>
        <v>-9.313228103048906E-3</v>
      </c>
      <c r="G1477" s="259"/>
      <c r="H1477" s="259"/>
    </row>
    <row r="1478" spans="1:8" ht="14.25" customHeight="1" x14ac:dyDescent="0.3">
      <c r="A1478" s="261">
        <v>46101</v>
      </c>
      <c r="B1478" s="262">
        <v>23114.5</v>
      </c>
      <c r="C1478" s="262">
        <v>3770.80004882813</v>
      </c>
      <c r="D1478" s="259"/>
      <c r="E1478" s="263">
        <f t="shared" si="46"/>
        <v>4.8843089653387538E-3</v>
      </c>
      <c r="F1478" s="263">
        <f t="shared" si="47"/>
        <v>-9.8208872494316111E-3</v>
      </c>
      <c r="G1478" s="259"/>
      <c r="H1478" s="259"/>
    </row>
    <row r="1479" spans="1:8" ht="14.25" customHeight="1" x14ac:dyDescent="0.3">
      <c r="A1479" s="261">
        <v>46104</v>
      </c>
      <c r="B1479" s="262">
        <v>22512.650390625</v>
      </c>
      <c r="C1479" s="262">
        <v>3655.60009765625</v>
      </c>
      <c r="D1479" s="259"/>
      <c r="E1479" s="263">
        <f t="shared" si="46"/>
        <v>-2.6037751600726817E-2</v>
      </c>
      <c r="F1479" s="263">
        <f t="shared" si="47"/>
        <v>-3.0550532958564393E-2</v>
      </c>
      <c r="G1479" s="259"/>
      <c r="H1479" s="259"/>
    </row>
    <row r="1480" spans="1:8" ht="14.25" customHeight="1" x14ac:dyDescent="0.3">
      <c r="A1480" s="261">
        <v>46105</v>
      </c>
      <c r="B1480" s="262">
        <v>22912.400390625</v>
      </c>
      <c r="C1480" s="262">
        <v>3756.5</v>
      </c>
      <c r="D1480" s="259"/>
      <c r="E1480" s="263">
        <f t="shared" si="46"/>
        <v>1.7756683156527359E-2</v>
      </c>
      <c r="F1480" s="263">
        <f t="shared" si="47"/>
        <v>2.7601460676303442E-2</v>
      </c>
      <c r="G1480" s="259"/>
      <c r="H1480" s="259"/>
    </row>
    <row r="1481" spans="1:8" ht="14.25" customHeight="1" x14ac:dyDescent="0.3">
      <c r="A1481" s="261">
        <v>46106</v>
      </c>
      <c r="B1481" s="262">
        <v>23306.44921875</v>
      </c>
      <c r="C1481" s="262">
        <v>3910.80004882813</v>
      </c>
      <c r="D1481" s="259"/>
      <c r="E1481" s="263">
        <f t="shared" si="46"/>
        <v>1.719805962740734E-2</v>
      </c>
      <c r="F1481" s="263">
        <f t="shared" si="47"/>
        <v>4.1075482185047252E-2</v>
      </c>
      <c r="G1481" s="259"/>
      <c r="H1481" s="259"/>
    </row>
    <row r="1482" spans="1:8" ht="14.25" customHeight="1" x14ac:dyDescent="0.3">
      <c r="A1482" s="261">
        <v>46108</v>
      </c>
      <c r="B1482" s="262">
        <v>22819.599609375</v>
      </c>
      <c r="C1482" s="262">
        <v>3903.19995117188</v>
      </c>
      <c r="D1482" s="259"/>
      <c r="E1482" s="263">
        <f t="shared" si="46"/>
        <v>-2.0889051129389984E-2</v>
      </c>
      <c r="F1482" s="263">
        <f t="shared" si="47"/>
        <v>-1.9433613484093535E-3</v>
      </c>
      <c r="G1482" s="259"/>
      <c r="H1482" s="259"/>
    </row>
    <row r="1483" spans="1:8" ht="14.25" customHeight="1" x14ac:dyDescent="0.3">
      <c r="A1483" s="261">
        <v>46111</v>
      </c>
      <c r="B1483" s="262">
        <v>22331.400390625</v>
      </c>
      <c r="C1483" s="262">
        <v>3956.80004882813</v>
      </c>
      <c r="D1483" s="259"/>
      <c r="E1483" s="263">
        <f t="shared" si="46"/>
        <v>-2.1393855593742871E-2</v>
      </c>
      <c r="F1483" s="263">
        <f t="shared" si="47"/>
        <v>1.3732347388495263E-2</v>
      </c>
      <c r="G1483" s="259"/>
      <c r="H1483" s="259"/>
    </row>
    <row r="1484" spans="1:8" ht="14.25" customHeight="1" x14ac:dyDescent="0.3">
      <c r="A1484" s="261">
        <v>46113</v>
      </c>
      <c r="B1484" s="262">
        <v>22679.400390625</v>
      </c>
      <c r="C1484" s="262">
        <v>4271.10009765625</v>
      </c>
      <c r="D1484" s="259"/>
      <c r="E1484" s="263">
        <f t="shared" si="46"/>
        <v>1.5583438293735253E-2</v>
      </c>
      <c r="F1484" s="263">
        <f t="shared" si="47"/>
        <v>7.9432886410624917E-2</v>
      </c>
      <c r="G1484" s="259"/>
      <c r="H1484" s="259"/>
    </row>
    <row r="1485" spans="1:8" ht="14.25" customHeight="1" x14ac:dyDescent="0.3">
      <c r="A1485" s="261">
        <v>46114</v>
      </c>
      <c r="B1485" s="262">
        <v>22713.099609375</v>
      </c>
      <c r="C1485" s="262">
        <v>4362.39990234375</v>
      </c>
      <c r="D1485" s="259"/>
      <c r="E1485" s="263">
        <f t="shared" si="46"/>
        <v>1.4858954897207189E-3</v>
      </c>
      <c r="F1485" s="263">
        <f t="shared" si="47"/>
        <v>2.1376180047290493E-2</v>
      </c>
      <c r="G1485" s="259"/>
      <c r="H1485" s="259"/>
    </row>
    <row r="1486" spans="1:8" ht="14.25" customHeight="1" x14ac:dyDescent="0.3">
      <c r="A1486" s="261">
        <v>46118</v>
      </c>
      <c r="B1486" s="262">
        <v>22968.25</v>
      </c>
      <c r="C1486" s="262">
        <v>4551.2998046875</v>
      </c>
      <c r="D1486" s="259"/>
      <c r="E1486" s="263">
        <f t="shared" si="46"/>
        <v>1.123362266767345E-2</v>
      </c>
      <c r="F1486" s="263">
        <f t="shared" si="47"/>
        <v>4.3301830774904737E-2</v>
      </c>
      <c r="G1486" s="259"/>
      <c r="H1486" s="259"/>
    </row>
    <row r="1487" spans="1:8" ht="14.25" customHeight="1" x14ac:dyDescent="0.3">
      <c r="A1487" s="261">
        <v>46119</v>
      </c>
      <c r="B1487" s="262">
        <v>23123.650390625</v>
      </c>
      <c r="C1487" s="262">
        <v>4466</v>
      </c>
      <c r="D1487" s="259"/>
      <c r="E1487" s="263">
        <f t="shared" si="46"/>
        <v>6.7658785769486142E-3</v>
      </c>
      <c r="F1487" s="263">
        <f t="shared" si="47"/>
        <v>-1.8741855809992467E-2</v>
      </c>
      <c r="G1487" s="259"/>
      <c r="H1487" s="259"/>
    </row>
    <row r="1488" spans="1:8" ht="14.25" customHeight="1" x14ac:dyDescent="0.3">
      <c r="A1488" s="261">
        <v>46120</v>
      </c>
      <c r="B1488" s="262">
        <v>23997.349609375</v>
      </c>
      <c r="C1488" s="262">
        <v>4368.7998046875</v>
      </c>
      <c r="D1488" s="259"/>
      <c r="E1488" s="263">
        <f t="shared" si="46"/>
        <v>3.7783792956159856E-2</v>
      </c>
      <c r="F1488" s="263">
        <f t="shared" si="47"/>
        <v>-2.1764486187304075E-2</v>
      </c>
      <c r="G1488" s="259"/>
      <c r="H1488" s="259"/>
    </row>
    <row r="1489" spans="1:8" ht="14.25" customHeight="1" x14ac:dyDescent="0.3">
      <c r="A1489" s="261">
        <v>46121</v>
      </c>
      <c r="B1489" s="262">
        <v>23775.099609375</v>
      </c>
      <c r="C1489" s="262">
        <v>4415.60009765625</v>
      </c>
      <c r="D1489" s="259"/>
      <c r="E1489" s="263">
        <f t="shared" si="46"/>
        <v>-9.2614394346771534E-3</v>
      </c>
      <c r="F1489" s="263">
        <f t="shared" si="47"/>
        <v>1.0712391288457683E-2</v>
      </c>
      <c r="G1489" s="259"/>
      <c r="H1489" s="259"/>
    </row>
    <row r="1490" spans="1:8" ht="14.25" customHeight="1" x14ac:dyDescent="0.3">
      <c r="A1490" s="261">
        <v>46122</v>
      </c>
      <c r="B1490" s="262">
        <v>24050.599609375</v>
      </c>
      <c r="C1490" s="262">
        <v>4400.60009765625</v>
      </c>
      <c r="D1490" s="259"/>
      <c r="E1490" s="263">
        <f t="shared" si="46"/>
        <v>1.1587753764504306E-2</v>
      </c>
      <c r="F1490" s="263">
        <f t="shared" si="47"/>
        <v>-3.3970467588226179E-3</v>
      </c>
      <c r="G1490" s="259"/>
      <c r="H1490" s="259"/>
    </row>
    <row r="1491" spans="1:8" ht="14.25" customHeight="1" x14ac:dyDescent="0.3">
      <c r="A1491" s="261">
        <v>46125</v>
      </c>
      <c r="B1491" s="262">
        <v>23842.650390625</v>
      </c>
      <c r="C1491" s="262">
        <v>4448</v>
      </c>
      <c r="D1491" s="259"/>
      <c r="E1491" s="263">
        <f t="shared" si="46"/>
        <v>-8.6463215939506441E-3</v>
      </c>
      <c r="F1491" s="263">
        <f t="shared" si="47"/>
        <v>1.0771236034147954E-2</v>
      </c>
      <c r="G1491" s="259"/>
      <c r="H1491" s="259"/>
    </row>
    <row r="1492" spans="1:8" ht="14.25" customHeight="1" x14ac:dyDescent="0.3">
      <c r="A1492" s="261">
        <v>46127</v>
      </c>
      <c r="B1492" s="262">
        <v>24231.30078125</v>
      </c>
      <c r="C1492" s="262">
        <v>4473.2998046875</v>
      </c>
      <c r="D1492" s="259"/>
      <c r="E1492" s="263">
        <f t="shared" si="46"/>
        <v>1.6300637062472655E-2</v>
      </c>
      <c r="F1492" s="263">
        <f t="shared" si="47"/>
        <v>5.687905730103417E-3</v>
      </c>
      <c r="G1492" s="259"/>
      <c r="H1492" s="259"/>
    </row>
    <row r="1493" spans="1:8" ht="14.25" customHeight="1" x14ac:dyDescent="0.3">
      <c r="A1493" s="261">
        <v>46128</v>
      </c>
      <c r="B1493" s="262">
        <v>24196.75</v>
      </c>
      <c r="C1493" s="262">
        <v>4428.2998046875</v>
      </c>
      <c r="D1493" s="259"/>
      <c r="E1493" s="263">
        <f t="shared" si="46"/>
        <v>-1.4258739785333826E-3</v>
      </c>
      <c r="F1493" s="263">
        <f t="shared" si="47"/>
        <v>-1.0059687918266782E-2</v>
      </c>
      <c r="G1493" s="259"/>
      <c r="H1493" s="259"/>
    </row>
    <row r="1494" spans="1:8" ht="14.25" customHeight="1" x14ac:dyDescent="0.3">
      <c r="A1494" s="261">
        <v>46129</v>
      </c>
      <c r="B1494" s="262">
        <v>24353.55078125</v>
      </c>
      <c r="C1494" s="262">
        <v>4628.5</v>
      </c>
      <c r="D1494" s="259"/>
      <c r="E1494" s="263">
        <f t="shared" si="46"/>
        <v>6.480241406387221E-3</v>
      </c>
      <c r="F1494" s="263">
        <f t="shared" si="47"/>
        <v>4.52092686002383E-2</v>
      </c>
      <c r="G1494" s="259"/>
      <c r="H1494" s="259"/>
    </row>
    <row r="1495" spans="1:8" ht="14.25" customHeight="1" x14ac:dyDescent="0.3">
      <c r="A1495" s="261">
        <v>46132</v>
      </c>
      <c r="B1495" s="262">
        <v>24364.849609375</v>
      </c>
      <c r="C1495" s="262">
        <v>4605.2001953125</v>
      </c>
      <c r="D1495" s="259"/>
      <c r="E1495" s="263">
        <f t="shared" si="46"/>
        <v>4.6394992773288163E-4</v>
      </c>
      <c r="F1495" s="263">
        <f t="shared" si="47"/>
        <v>-5.0339861051096465E-3</v>
      </c>
      <c r="G1495" s="259"/>
      <c r="H1495" s="259"/>
    </row>
    <row r="1496" spans="1:8" ht="14.25" customHeight="1" x14ac:dyDescent="0.3">
      <c r="A1496" s="261">
        <v>46133</v>
      </c>
      <c r="B1496" s="262">
        <v>24576.599609375</v>
      </c>
      <c r="C1496" s="262">
        <v>4589.39990234375</v>
      </c>
      <c r="D1496" s="259"/>
      <c r="E1496" s="263">
        <f t="shared" si="46"/>
        <v>8.6907985641135974E-3</v>
      </c>
      <c r="F1496" s="263">
        <f t="shared" si="47"/>
        <v>-3.4309676666896393E-3</v>
      </c>
      <c r="G1496" s="259"/>
      <c r="H1496" s="259"/>
    </row>
    <row r="1497" spans="1:8" ht="14.25" customHeight="1" x14ac:dyDescent="0.3">
      <c r="A1497" s="261">
        <v>46134</v>
      </c>
      <c r="B1497" s="262">
        <v>24378.099609375</v>
      </c>
      <c r="C1497" s="262">
        <v>4594.7998046875</v>
      </c>
      <c r="D1497" s="259"/>
      <c r="E1497" s="263">
        <f t="shared" si="46"/>
        <v>-8.0767886182383057E-3</v>
      </c>
      <c r="F1497" s="263">
        <f t="shared" si="47"/>
        <v>1.1766031417293438E-3</v>
      </c>
      <c r="G1497" s="259"/>
      <c r="H1497" s="259"/>
    </row>
    <row r="1498" spans="1:8" ht="14.25" customHeight="1" x14ac:dyDescent="0.3">
      <c r="A1498" s="261">
        <v>46135</v>
      </c>
      <c r="B1498" s="262">
        <v>24173.05078125</v>
      </c>
      <c r="C1498" s="262">
        <v>4521.2001953125</v>
      </c>
      <c r="D1498" s="259"/>
      <c r="E1498" s="263">
        <f t="shared" si="46"/>
        <v>-8.4111900193460983E-3</v>
      </c>
      <c r="F1498" s="263">
        <f t="shared" si="47"/>
        <v>-1.6018023092086737E-2</v>
      </c>
      <c r="G1498" s="259"/>
      <c r="H1498" s="259"/>
    </row>
    <row r="1499" spans="1:8" ht="14.25" customHeight="1" x14ac:dyDescent="0.3">
      <c r="A1499" s="261">
        <v>46136</v>
      </c>
      <c r="B1499" s="262">
        <v>23897.94921875</v>
      </c>
      <c r="C1499" s="262">
        <v>4443.5</v>
      </c>
      <c r="D1499" s="259"/>
      <c r="E1499" s="263">
        <f t="shared" si="46"/>
        <v>-1.1380506539678661E-2</v>
      </c>
      <c r="F1499" s="263">
        <f t="shared" si="47"/>
        <v>-1.7185745367581419E-2</v>
      </c>
      <c r="G1499" s="259"/>
      <c r="H1499" s="259"/>
    </row>
    <row r="1500" spans="1:8" ht="14.25" customHeight="1" x14ac:dyDescent="0.3">
      <c r="A1500" s="261">
        <v>46139</v>
      </c>
      <c r="B1500" s="262">
        <v>24092.69921875</v>
      </c>
      <c r="C1500" s="262">
        <v>4507.10009765625</v>
      </c>
      <c r="D1500" s="259"/>
      <c r="E1500" s="263">
        <f t="shared" si="46"/>
        <v>8.1492348241832338E-3</v>
      </c>
      <c r="F1500" s="263">
        <f t="shared" si="47"/>
        <v>1.4313063498649713E-2</v>
      </c>
      <c r="G1500" s="259"/>
      <c r="H1500" s="259"/>
    </row>
    <row r="1501" spans="1:8" ht="14.25" customHeight="1" x14ac:dyDescent="0.3">
      <c r="A1501" s="261">
        <v>46140</v>
      </c>
      <c r="B1501" s="262">
        <v>23995.69921875</v>
      </c>
      <c r="C1501" s="262">
        <v>4544.39990234375</v>
      </c>
      <c r="D1501" s="259"/>
      <c r="E1501" s="263">
        <f t="shared" si="46"/>
        <v>-4.0261159249649504E-3</v>
      </c>
      <c r="F1501" s="263">
        <f t="shared" si="47"/>
        <v>8.2757879521904512E-3</v>
      </c>
      <c r="G1501" s="259"/>
      <c r="H1501" s="259"/>
    </row>
    <row r="1502" spans="1:8" ht="14.25" customHeight="1" x14ac:dyDescent="0.3">
      <c r="A1502" s="261">
        <v>46141</v>
      </c>
      <c r="B1502" s="262">
        <v>24177.650390625</v>
      </c>
      <c r="C1502" s="262">
        <v>4593.39990234375</v>
      </c>
      <c r="D1502" s="259"/>
      <c r="E1502" s="263">
        <f t="shared" si="46"/>
        <v>7.5826576344491421E-3</v>
      </c>
      <c r="F1502" s="263">
        <f t="shared" si="47"/>
        <v>1.0782501772066432E-2</v>
      </c>
      <c r="G1502" s="259"/>
      <c r="H1502" s="259"/>
    </row>
    <row r="1503" spans="1:8" ht="14.25" customHeight="1" x14ac:dyDescent="0.3">
      <c r="A1503" s="261">
        <v>46142</v>
      </c>
      <c r="B1503" s="262">
        <v>23997.55078125</v>
      </c>
      <c r="C1503" s="262">
        <v>4585.89990234375</v>
      </c>
      <c r="D1503" s="259"/>
      <c r="E1503" s="263">
        <f t="shared" si="46"/>
        <v>-7.4490120613554117E-3</v>
      </c>
      <c r="F1503" s="263">
        <f t="shared" si="47"/>
        <v>-1.6327774980299838E-3</v>
      </c>
      <c r="G1503" s="259"/>
      <c r="H1503" s="259"/>
    </row>
    <row r="1504" spans="1:8" ht="14.25" customHeight="1" x14ac:dyDescent="0.3">
      <c r="A1504" s="261">
        <v>46146</v>
      </c>
      <c r="B1504" s="262">
        <v>24119.30078125</v>
      </c>
      <c r="C1504" s="262">
        <v>4376.5</v>
      </c>
      <c r="D1504" s="259"/>
      <c r="E1504" s="263">
        <f t="shared" si="46"/>
        <v>5.0734344146122984E-3</v>
      </c>
      <c r="F1504" s="263">
        <f t="shared" si="47"/>
        <v>-4.5661681851522848E-2</v>
      </c>
      <c r="G1504" s="259"/>
      <c r="H1504" s="259"/>
    </row>
    <row r="1505" spans="1:8" ht="14.25" customHeight="1" x14ac:dyDescent="0.3">
      <c r="A1505" s="261">
        <v>46147</v>
      </c>
      <c r="B1505" s="262">
        <v>24032.80078125</v>
      </c>
      <c r="C1505" s="262">
        <v>4358.7001953125</v>
      </c>
      <c r="D1505" s="259"/>
      <c r="E1505" s="263">
        <f t="shared" si="46"/>
        <v>-3.5863394542201598E-3</v>
      </c>
      <c r="F1505" s="263">
        <f t="shared" si="47"/>
        <v>-4.0671323403404548E-3</v>
      </c>
      <c r="G1505" s="259"/>
      <c r="H1505" s="259"/>
    </row>
    <row r="1506" spans="1:8" ht="14.25" customHeight="1" x14ac:dyDescent="0.3">
      <c r="A1506" s="261">
        <v>46148</v>
      </c>
      <c r="B1506" s="262">
        <v>24330.94921875</v>
      </c>
      <c r="C1506" s="262">
        <v>4432.2001953125</v>
      </c>
      <c r="D1506" s="259"/>
      <c r="E1506" s="263">
        <f t="shared" si="46"/>
        <v>1.2405896433536392E-2</v>
      </c>
      <c r="F1506" s="263">
        <f t="shared" si="47"/>
        <v>1.6862825316374019E-2</v>
      </c>
      <c r="G1506" s="259"/>
      <c r="H1506" s="259"/>
    </row>
    <row r="1507" spans="1:8" ht="14.25" customHeight="1" x14ac:dyDescent="0.3">
      <c r="A1507" s="261">
        <v>46149</v>
      </c>
      <c r="B1507" s="262">
        <v>24326.650390625</v>
      </c>
      <c r="C1507" s="262">
        <v>4386.5</v>
      </c>
      <c r="D1507" s="259"/>
      <c r="E1507" s="263">
        <f t="shared" si="46"/>
        <v>-1.7668148029700471E-4</v>
      </c>
      <c r="F1507" s="263">
        <f t="shared" si="47"/>
        <v>-1.0310950159885056E-2</v>
      </c>
      <c r="G1507" s="259"/>
      <c r="H1507" s="259"/>
    </row>
    <row r="1508" spans="1:8" ht="14.25" customHeight="1" x14ac:dyDescent="0.3">
      <c r="A1508" s="261">
        <v>46150</v>
      </c>
      <c r="B1508" s="262">
        <v>24176.150390625</v>
      </c>
      <c r="C1508" s="262">
        <v>4402.10009765625</v>
      </c>
      <c r="D1508" s="259"/>
      <c r="E1508" s="263">
        <f t="shared" si="46"/>
        <v>-6.1866306122440786E-3</v>
      </c>
      <c r="F1508" s="263">
        <f t="shared" si="47"/>
        <v>3.5563883862418785E-3</v>
      </c>
      <c r="G1508" s="259"/>
      <c r="H1508" s="259"/>
    </row>
    <row r="1509" spans="1:8" ht="14.25" customHeight="1" x14ac:dyDescent="0.3">
      <c r="A1509" s="261">
        <v>46153</v>
      </c>
      <c r="B1509" s="262">
        <v>23815.849609375</v>
      </c>
      <c r="C1509" s="262">
        <v>4389.39990234375</v>
      </c>
      <c r="D1509" s="259"/>
      <c r="E1509" s="263">
        <f t="shared" si="46"/>
        <v>-1.4903149402549921E-2</v>
      </c>
      <c r="F1509" s="263">
        <f t="shared" si="47"/>
        <v>-2.8850310149153109E-3</v>
      </c>
      <c r="G1509" s="259"/>
      <c r="H1509" s="259"/>
    </row>
    <row r="1510" spans="1:8" ht="14.25" customHeight="1" x14ac:dyDescent="0.3">
      <c r="A1510" s="261">
        <v>46154</v>
      </c>
      <c r="B1510" s="262">
        <v>23379.55078125</v>
      </c>
      <c r="C1510" s="262">
        <v>4331.7001953125</v>
      </c>
      <c r="D1510" s="259"/>
      <c r="E1510" s="263">
        <f t="shared" si="46"/>
        <v>-1.8319683541890227E-2</v>
      </c>
      <c r="F1510" s="263">
        <f t="shared" si="47"/>
        <v>-1.3145238145296547E-2</v>
      </c>
      <c r="G1510" s="259"/>
      <c r="H1510" s="259"/>
    </row>
    <row r="1511" spans="1:8" ht="14.25" customHeight="1" x14ac:dyDescent="0.3">
      <c r="A1511" s="261">
        <v>46155</v>
      </c>
      <c r="B1511" s="262">
        <v>23412.599609375</v>
      </c>
      <c r="C1511" s="262">
        <v>4334.7001953125</v>
      </c>
      <c r="D1511" s="259"/>
      <c r="E1511" s="263">
        <f t="shared" si="46"/>
        <v>1.413578405942025E-3</v>
      </c>
      <c r="F1511" s="263">
        <f t="shared" si="47"/>
        <v>6.9256870621988472E-4</v>
      </c>
      <c r="G1511" s="259"/>
      <c r="H1511" s="259"/>
    </row>
    <row r="1512" spans="1:8" ht="14.25" customHeight="1" x14ac:dyDescent="0.3">
      <c r="A1512" s="261">
        <v>46156</v>
      </c>
      <c r="B1512" s="262">
        <v>23689.599609375</v>
      </c>
      <c r="C1512" s="262">
        <v>4341.39990234375</v>
      </c>
      <c r="D1512" s="259"/>
      <c r="E1512" s="263">
        <f t="shared" si="46"/>
        <v>1.1831236369372762E-2</v>
      </c>
      <c r="F1512" s="263">
        <f t="shared" si="47"/>
        <v>1.5455987102625907E-3</v>
      </c>
      <c r="G1512" s="259"/>
      <c r="H1512" s="259"/>
    </row>
    <row r="1513" spans="1:8" ht="14.25" customHeight="1" x14ac:dyDescent="0.3">
      <c r="A1513" s="261">
        <v>46157</v>
      </c>
      <c r="B1513" s="262">
        <v>23643.5</v>
      </c>
      <c r="C1513" s="262">
        <v>4358.7001953125</v>
      </c>
      <c r="D1513" s="259"/>
      <c r="E1513" s="263">
        <f t="shared" si="46"/>
        <v>-1.9459851637490906E-3</v>
      </c>
      <c r="F1513" s="263">
        <f t="shared" si="47"/>
        <v>3.9849572391177914E-3</v>
      </c>
      <c r="G1513" s="259"/>
      <c r="H1513" s="259"/>
    </row>
    <row r="1514" spans="1:8" ht="14.25" customHeight="1" x14ac:dyDescent="0.3">
      <c r="A1514" s="261">
        <v>46160</v>
      </c>
      <c r="B1514" s="262">
        <v>23649.94921875</v>
      </c>
      <c r="C1514" s="262">
        <v>4304.7001953125</v>
      </c>
      <c r="D1514" s="259"/>
      <c r="E1514" s="263">
        <f t="shared" si="46"/>
        <v>2.7276920718167786E-4</v>
      </c>
      <c r="F1514" s="263">
        <f t="shared" si="47"/>
        <v>-1.2389014518152339E-2</v>
      </c>
      <c r="G1514" s="259"/>
      <c r="H1514" s="259"/>
    </row>
    <row r="1515" spans="1:8" ht="14.25" customHeight="1" x14ac:dyDescent="0.3">
      <c r="A1515" s="261">
        <v>46161</v>
      </c>
      <c r="B1515" s="262">
        <v>23618</v>
      </c>
      <c r="C1515" s="262">
        <v>4236</v>
      </c>
      <c r="D1515" s="259"/>
      <c r="E1515" s="263">
        <f t="shared" si="46"/>
        <v>-1.3509212410769249E-3</v>
      </c>
      <c r="F1515" s="263">
        <f t="shared" si="47"/>
        <v>-1.595934494748541E-2</v>
      </c>
      <c r="G1515" s="259"/>
      <c r="H1515" s="259"/>
    </row>
    <row r="1516" spans="1:8" ht="14.25" customHeight="1" x14ac:dyDescent="0.3">
      <c r="A1516" s="261">
        <v>46162</v>
      </c>
      <c r="B1516" s="262">
        <v>23659</v>
      </c>
      <c r="C1516" s="262">
        <v>4144.2001953125</v>
      </c>
      <c r="D1516" s="259"/>
      <c r="E1516" s="263">
        <f t="shared" si="46"/>
        <v>1.7359640951816412E-3</v>
      </c>
      <c r="F1516" s="263">
        <f t="shared" si="47"/>
        <v>-2.1671341994216241E-2</v>
      </c>
      <c r="G1516" s="259"/>
      <c r="H1516" s="259"/>
    </row>
    <row r="1517" spans="1:8" ht="14.25" customHeight="1" x14ac:dyDescent="0.3">
      <c r="A1517" s="261">
        <v>46163</v>
      </c>
      <c r="B1517" s="262">
        <v>23654.69921875</v>
      </c>
      <c r="C1517" s="262">
        <v>4137.2001953125</v>
      </c>
      <c r="D1517" s="259"/>
      <c r="E1517" s="263">
        <f t="shared" si="46"/>
        <v>-1.8178203854769855E-4</v>
      </c>
      <c r="F1517" s="263">
        <f t="shared" si="47"/>
        <v>-1.6891075889426605E-3</v>
      </c>
      <c r="G1517" s="259"/>
      <c r="H1517" s="259"/>
    </row>
    <row r="1518" spans="1:8" ht="14.25" customHeight="1" x14ac:dyDescent="0.3">
      <c r="A1518" s="261">
        <v>46164</v>
      </c>
      <c r="B1518" s="262">
        <v>23719.30078125</v>
      </c>
      <c r="C1518" s="262">
        <v>4117</v>
      </c>
      <c r="D1518" s="259"/>
      <c r="E1518" s="263">
        <f t="shared" si="46"/>
        <v>2.7310244743587054E-3</v>
      </c>
      <c r="F1518" s="263">
        <f t="shared" si="47"/>
        <v>-4.8825762251938102E-3</v>
      </c>
      <c r="G1518" s="259"/>
      <c r="H1518" s="259"/>
    </row>
    <row r="1519" spans="1:8" ht="14.25" customHeight="1" x14ac:dyDescent="0.3">
      <c r="A1519" s="261">
        <v>46167</v>
      </c>
      <c r="B1519" s="262">
        <v>24031.69921875</v>
      </c>
      <c r="C1519" s="262">
        <v>4097.2001953125</v>
      </c>
      <c r="D1519" s="259"/>
      <c r="E1519" s="263">
        <f t="shared" si="46"/>
        <v>1.317064277657584E-2</v>
      </c>
      <c r="F1519" s="263">
        <f t="shared" si="47"/>
        <v>-4.8092797394947776E-3</v>
      </c>
      <c r="G1519" s="259"/>
      <c r="H1519" s="259"/>
    </row>
  </sheetData>
  <mergeCells count="1">
    <mergeCell ref="J5:K5"/>
  </mergeCells>
  <pageMargins left="0.7" right="0.7" top="0.75" bottom="0.75" header="0.511811023622047" footer="0.511811023622047"/>
  <pageSetup paperSize="9" orientation="portrait" horizontalDpi="300" verticalDpi="30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I48"/>
  <sheetViews>
    <sheetView showGridLines="0" topLeftCell="A37" zoomScaleNormal="100" workbookViewId="0">
      <selection activeCell="G48" sqref="G48"/>
    </sheetView>
  </sheetViews>
  <sheetFormatPr defaultColWidth="8.6640625" defaultRowHeight="14.4" x14ac:dyDescent="0.3"/>
  <cols>
    <col min="1" max="1" width="42.77734375" style="1" bestFit="1" customWidth="1"/>
    <col min="2" max="9" width="12" style="1" customWidth="1"/>
  </cols>
  <sheetData>
    <row r="1" spans="1:9" ht="15" customHeight="1" x14ac:dyDescent="0.3">
      <c r="A1" s="264" t="s">
        <v>278</v>
      </c>
      <c r="B1" s="265"/>
      <c r="C1" s="265"/>
      <c r="D1" s="265"/>
      <c r="E1" s="265"/>
      <c r="F1" s="265"/>
      <c r="G1" s="265"/>
      <c r="H1" s="265"/>
      <c r="I1" s="265"/>
    </row>
    <row r="2" spans="1:9" ht="14.25" customHeight="1" x14ac:dyDescent="0.3">
      <c r="A2" s="25" t="s">
        <v>279</v>
      </c>
      <c r="B2" s="26" t="s">
        <v>280</v>
      </c>
      <c r="C2" s="26" t="s">
        <v>281</v>
      </c>
      <c r="D2" s="26" t="s">
        <v>282</v>
      </c>
      <c r="E2" s="26" t="s">
        <v>283</v>
      </c>
      <c r="F2" s="26" t="s">
        <v>284</v>
      </c>
      <c r="G2" s="27" t="s">
        <v>285</v>
      </c>
      <c r="H2" s="28" t="s">
        <v>286</v>
      </c>
      <c r="I2" s="28" t="s">
        <v>287</v>
      </c>
    </row>
    <row r="3" spans="1:9" ht="14.25" customHeight="1" x14ac:dyDescent="0.3">
      <c r="A3" s="29" t="s">
        <v>288</v>
      </c>
      <c r="B3" s="2"/>
      <c r="C3" s="2"/>
      <c r="D3" s="2"/>
      <c r="E3" s="2"/>
      <c r="F3" s="2"/>
      <c r="G3" s="2"/>
      <c r="H3" s="2"/>
      <c r="I3" s="2"/>
    </row>
    <row r="4" spans="1:9" ht="14.25" customHeight="1" x14ac:dyDescent="0.3">
      <c r="A4" s="2" t="s">
        <v>289</v>
      </c>
      <c r="B4" s="30"/>
      <c r="C4" s="31">
        <f>('Consolidated P&amp;l'!C9-'Consolidated P&amp;l'!B9)/'Consolidated P&amp;l'!B9</f>
        <v>0.38297993915987938</v>
      </c>
      <c r="D4" s="31">
        <f>('Consolidated P&amp;l'!D9-'Consolidated P&amp;l'!C9)/'Consolidated P&amp;l'!C9</f>
        <v>0.18555909537819726</v>
      </c>
      <c r="E4" s="31">
        <f>('Consolidated P&amp;l'!E9-'Consolidated P&amp;l'!D9)/'Consolidated P&amp;l'!D9</f>
        <v>0.16872253210007004</v>
      </c>
      <c r="F4" s="31">
        <f>('Consolidated P&amp;l'!F9-'Consolidated P&amp;l'!E9)/'Consolidated P&amp;l'!E9</f>
        <v>0.15941713044818692</v>
      </c>
      <c r="G4" s="2"/>
      <c r="H4" s="31">
        <f>AVERAGE(C4:F4)</f>
        <v>0.22416967427158341</v>
      </c>
      <c r="I4" s="31">
        <f>MEDIAN(C4:F4)</f>
        <v>0.17714081373913365</v>
      </c>
    </row>
    <row r="5" spans="1:9" ht="14.25" customHeight="1" x14ac:dyDescent="0.3">
      <c r="A5" s="2" t="s">
        <v>290</v>
      </c>
      <c r="B5" s="30"/>
      <c r="C5" s="31">
        <f>(('Consolidated P&amp;l'!C23+'Consolidated P&amp;l'!C17+'Consolidated P&amp;l'!C18)-('Consolidated P&amp;l'!B23+'Consolidated P&amp;l'!B17+'Consolidated P&amp;l'!B18))/('Consolidated P&amp;l'!B23+'Consolidated P&amp;l'!B17+'Consolidated P&amp;l'!B18)</f>
        <v>0.43974938742120584</v>
      </c>
      <c r="D5" s="31">
        <f>(('Consolidated P&amp;l'!D23+'Consolidated P&amp;l'!D17+'Consolidated P&amp;l'!D18)-('Consolidated P&amp;l'!C23+'Consolidated P&amp;l'!C17+'Consolidated P&amp;l'!C18))/('Consolidated P&amp;l'!C23+'Consolidated P&amp;l'!C17+'Consolidated P&amp;l'!C18)</f>
        <v>0.12846587032075987</v>
      </c>
      <c r="E5" s="31">
        <f>(('Consolidated P&amp;l'!E23+'Consolidated P&amp;l'!E17+'Consolidated P&amp;l'!E18)-('Consolidated P&amp;l'!D23+'Consolidated P&amp;l'!D17+'Consolidated P&amp;l'!D18))/('Consolidated P&amp;l'!D23+'Consolidated P&amp;l'!D17+'Consolidated P&amp;l'!D18)</f>
        <v>8.5035598157271658E-2</v>
      </c>
      <c r="F5" s="31">
        <f>(('Consolidated P&amp;l'!F23+'Consolidated P&amp;l'!F17+'Consolidated P&amp;l'!F18)-('Consolidated P&amp;l'!E23+'Consolidated P&amp;l'!E17+'Consolidated P&amp;l'!E18))/('Consolidated P&amp;l'!E23+'Consolidated P&amp;l'!E17+'Consolidated P&amp;l'!E18)</f>
        <v>0.14074168842320761</v>
      </c>
      <c r="G5" s="2"/>
      <c r="H5" s="31">
        <f>AVERAGE(C5:F5)</f>
        <v>0.19849813608061123</v>
      </c>
      <c r="I5" s="31">
        <f>MEDIAN(C5:F5)</f>
        <v>0.13460377937198376</v>
      </c>
    </row>
    <row r="6" spans="1:9" ht="14.25" customHeight="1" x14ac:dyDescent="0.3">
      <c r="A6" s="2" t="s">
        <v>291</v>
      </c>
      <c r="B6" s="30"/>
      <c r="C6" s="31">
        <f>(('Consolidated P&amp;l'!C23+'Consolidated P&amp;l'!C17)-('Consolidated P&amp;l'!B23+'Consolidated P&amp;l'!B17))/('Consolidated P&amp;l'!B23+'Consolidated P&amp;l'!B17)</f>
        <v>0.47669164412085507</v>
      </c>
      <c r="D6" s="31">
        <f>(('Consolidated P&amp;l'!D23+'Consolidated P&amp;l'!D17)-('Consolidated P&amp;l'!C23+'Consolidated P&amp;l'!C17))/('Consolidated P&amp;l'!C23+'Consolidated P&amp;l'!C17)</f>
        <v>0.12532693844924062</v>
      </c>
      <c r="E6" s="31">
        <f>(('Consolidated P&amp;l'!E23+'Consolidated P&amp;l'!E17)-('Consolidated P&amp;l'!D23+'Consolidated P&amp;l'!D17))/('Consolidated P&amp;l'!D23+'Consolidated P&amp;l'!D17)</f>
        <v>6.3265387303734058E-2</v>
      </c>
      <c r="F6" s="31">
        <f>(('Consolidated P&amp;l'!F23+'Consolidated P&amp;l'!F17)-('Consolidated P&amp;l'!E23+'Consolidated P&amp;l'!E17))/('Consolidated P&amp;l'!E23+'Consolidated P&amp;l'!E17)</f>
        <v>0.12868374076726566</v>
      </c>
      <c r="G6" s="2"/>
      <c r="H6" s="31">
        <f>AVERAGE(C6:F6)</f>
        <v>0.19849192766027385</v>
      </c>
      <c r="I6" s="31">
        <f>MEDIAN(C6:F6)</f>
        <v>0.12700533960825314</v>
      </c>
    </row>
    <row r="7" spans="1:9" ht="14.25" customHeight="1" x14ac:dyDescent="0.3">
      <c r="A7" s="2" t="s">
        <v>292</v>
      </c>
      <c r="B7" s="30"/>
      <c r="C7" s="31">
        <f>('Consolidated P&amp;l'!C33-'Consolidated P&amp;l'!B33)/'Consolidated P&amp;l'!B33</f>
        <v>0.59363441436612163</v>
      </c>
      <c r="D7" s="31">
        <f>('Consolidated P&amp;l'!D33-'Consolidated P&amp;l'!C33)/'Consolidated P&amp;l'!C33</f>
        <v>6.6125953396066153E-2</v>
      </c>
      <c r="E7" s="31">
        <f>('Consolidated P&amp;l'!E33-'Consolidated P&amp;l'!D33)/'Consolidated P&amp;l'!D33</f>
        <v>6.7770674512247414E-2</v>
      </c>
      <c r="F7" s="31">
        <f>('Consolidated P&amp;l'!F33-'Consolidated P&amp;l'!E33)/'Consolidated P&amp;l'!E33</f>
        <v>9.6921457459971674E-2</v>
      </c>
      <c r="G7" s="2"/>
      <c r="H7" s="31">
        <f>AVERAGE(C7:F7)</f>
        <v>0.20611312493360173</v>
      </c>
      <c r="I7" s="31">
        <f>MEDIAN(C7:F7)</f>
        <v>8.2346065986109551E-2</v>
      </c>
    </row>
    <row r="8" spans="1:9" ht="14.25" customHeight="1" x14ac:dyDescent="0.3">
      <c r="A8" s="2"/>
      <c r="B8" s="30"/>
      <c r="C8" s="30"/>
      <c r="D8" s="30"/>
      <c r="E8" s="30"/>
      <c r="F8" s="30"/>
      <c r="G8" s="2"/>
      <c r="H8" s="30"/>
      <c r="I8" s="30"/>
    </row>
    <row r="9" spans="1:9" ht="14.25" customHeight="1" x14ac:dyDescent="0.3">
      <c r="A9" s="29" t="s">
        <v>293</v>
      </c>
      <c r="B9" s="2"/>
      <c r="C9" s="2"/>
      <c r="D9" s="2"/>
      <c r="E9" s="2"/>
      <c r="F9" s="2"/>
      <c r="G9" s="2"/>
      <c r="H9" s="31"/>
      <c r="I9" s="31"/>
    </row>
    <row r="10" spans="1:9" ht="14.25" customHeight="1" x14ac:dyDescent="0.3">
      <c r="A10" s="2" t="s">
        <v>294</v>
      </c>
      <c r="B10" s="31">
        <f>('Consolidated P&amp;l'!B9-'Consolidated P&amp;l'!B14-'Consolidated P&amp;l'!B15)/'Consolidated P&amp;l'!B9</f>
        <v>0.14781895948091878</v>
      </c>
      <c r="C10" s="31">
        <f>('Consolidated P&amp;l'!C9-'Consolidated P&amp;l'!C14-'Consolidated P&amp;l'!C15)/'Consolidated P&amp;l'!C9</f>
        <v>0.15069272420164914</v>
      </c>
      <c r="D10" s="31">
        <f>('Consolidated P&amp;l'!D9-'Consolidated P&amp;l'!D14-'Consolidated P&amp;l'!D15)/'Consolidated P&amp;l'!D9</f>
        <v>0.14795162637138923</v>
      </c>
      <c r="E10" s="31">
        <f>('Consolidated P&amp;l'!E9-'Consolidated P&amp;l'!E14-'Consolidated P&amp;l'!E15)/'Consolidated P&amp;l'!E9</f>
        <v>0.1483598265104733</v>
      </c>
      <c r="F10" s="31">
        <f>('Consolidated P&amp;l'!F9-'Consolidated P&amp;l'!F14-'Consolidated P&amp;l'!F15)/'Consolidated P&amp;l'!F9</f>
        <v>0.1505506915502508</v>
      </c>
      <c r="G10" s="2"/>
      <c r="H10" s="31">
        <f>AVERAGE(B10:F10)</f>
        <v>0.14907476562293626</v>
      </c>
      <c r="I10" s="31">
        <f>MEDIAN(B10:F10)</f>
        <v>0.1483598265104733</v>
      </c>
    </row>
    <row r="11" spans="1:9" ht="14.25" customHeight="1" x14ac:dyDescent="0.3">
      <c r="A11" s="2" t="s">
        <v>295</v>
      </c>
      <c r="B11" s="31">
        <f>('Consolidated P&amp;l'!B23+'Consolidated P&amp;l'!B17+'Consolidated P&amp;l'!B18)/'Consolidated P&amp;l'!B9</f>
        <v>8.4451420393740109E-2</v>
      </c>
      <c r="C11" s="31">
        <f>('Consolidated P&amp;l'!C23+'Consolidated P&amp;l'!C17+'Consolidated P&amp;l'!C18)/'Consolidated P&amp;l'!C9</f>
        <v>8.7918036506444044E-2</v>
      </c>
      <c r="D11" s="31">
        <f>('Consolidated P&amp;l'!D23+'Consolidated P&amp;l'!D17+'Consolidated P&amp;l'!D18)/'Consolidated P&amp;l'!D9</f>
        <v>8.368414866024676E-2</v>
      </c>
      <c r="E11" s="31">
        <f>('Consolidated P&amp;l'!E23+'Consolidated P&amp;l'!E17+'Consolidated P&amp;l'!E18)/'Consolidated P&amp;l'!E9</f>
        <v>7.7691905310231707E-2</v>
      </c>
      <c r="F11" s="31">
        <f>('Consolidated P&amp;l'!F23+'Consolidated P&amp;l'!F17+'Consolidated P&amp;l'!F18)/'Consolidated P&amp;l'!F9</f>
        <v>7.6440474194261795E-2</v>
      </c>
      <c r="G11" s="2"/>
      <c r="H11" s="31">
        <f>AVERAGE(B11:F11)</f>
        <v>8.2037197012984883E-2</v>
      </c>
      <c r="I11" s="31">
        <f>MEDIAN(B11:F11)</f>
        <v>8.368414866024676E-2</v>
      </c>
    </row>
    <row r="12" spans="1:9" ht="14.25" customHeight="1" x14ac:dyDescent="0.3">
      <c r="A12" s="2" t="s">
        <v>296</v>
      </c>
      <c r="B12" s="31">
        <f>('Consolidated P&amp;l'!B23+'Consolidated P&amp;l'!B17)/'Consolidated P&amp;l'!B9</f>
        <v>6.8372015094134958E-2</v>
      </c>
      <c r="C12" s="31">
        <f>('Consolidated P&amp;l'!C23+'Consolidated P&amp;l'!C17)/'Consolidated P&amp;l'!C9</f>
        <v>7.3004951498101295E-2</v>
      </c>
      <c r="D12" s="31">
        <f>('Consolidated P&amp;l'!D23+'Consolidated P&amp;l'!D17)/'Consolidated P&amp;l'!D9</f>
        <v>6.9295945584885499E-2</v>
      </c>
      <c r="E12" s="31">
        <f>('Consolidated P&amp;l'!E23+'Consolidated P&amp;l'!E17)/'Consolidated P&amp;l'!E9</f>
        <v>6.3043176115118338E-2</v>
      </c>
      <c r="F12" s="31">
        <f>('Consolidated P&amp;l'!F23+'Consolidated P&amp;l'!F17)/'Consolidated P&amp;l'!F9</f>
        <v>6.1372051506566189E-2</v>
      </c>
      <c r="G12" s="2"/>
      <c r="H12" s="31">
        <f>AVERAGE(B12:F12)</f>
        <v>6.7017627959761253E-2</v>
      </c>
      <c r="I12" s="31">
        <f>MEDIAN(B12:F12)</f>
        <v>6.8372015094134958E-2</v>
      </c>
    </row>
    <row r="13" spans="1:9" ht="14.25" customHeight="1" x14ac:dyDescent="0.3">
      <c r="A13" s="2" t="s">
        <v>297</v>
      </c>
      <c r="B13" s="31">
        <f>'Consolidated P&amp;l'!B23/'Consolidated P&amp;l'!B9</f>
        <v>6.6635524548307457E-2</v>
      </c>
      <c r="C13" s="31">
        <f>'Consolidated P&amp;l'!C23/'Consolidated P&amp;l'!C9</f>
        <v>7.1431405924804084E-2</v>
      </c>
      <c r="D13" s="31">
        <f>'Consolidated P&amp;l'!D23/'Consolidated P&amp;l'!D9</f>
        <v>6.8151402582024428E-2</v>
      </c>
      <c r="E13" s="31">
        <f>'Consolidated P&amp;l'!E23/'Consolidated P&amp;l'!E9</f>
        <v>6.1873157895180178E-2</v>
      </c>
      <c r="F13" s="31">
        <f>'Consolidated P&amp;l'!F23/'Consolidated P&amp;l'!F9</f>
        <v>5.9307993491496888E-2</v>
      </c>
      <c r="G13" s="2"/>
      <c r="H13" s="31">
        <f>AVERAGE(B13:F13)</f>
        <v>6.5479896888362615E-2</v>
      </c>
      <c r="I13" s="31">
        <f>MEDIAN(B13:F13)</f>
        <v>6.6635524548307457E-2</v>
      </c>
    </row>
    <row r="14" spans="1:9" ht="14.25" customHeight="1" x14ac:dyDescent="0.3">
      <c r="A14" s="2" t="s">
        <v>298</v>
      </c>
      <c r="B14" s="31">
        <f>'Consolidated P&amp;l'!B33/'Consolidated P&amp;l'!B9</f>
        <v>4.8178815590127544E-2</v>
      </c>
      <c r="C14" s="31">
        <f>'Consolidated P&amp;l'!C33/'Consolidated P&amp;l'!C9</f>
        <v>5.5517376929174814E-2</v>
      </c>
      <c r="D14" s="31">
        <f>'Consolidated P&amp;l'!D33/'Consolidated P&amp;l'!D9</f>
        <v>4.9924560183804194E-2</v>
      </c>
      <c r="E14" s="31">
        <f>'Consolidated P&amp;l'!E33/'Consolidated P&amp;l'!E9</f>
        <v>4.5612178971512707E-2</v>
      </c>
      <c r="F14" s="31">
        <f>'Consolidated P&amp;l'!F33/'Consolidated P&amp;l'!F9</f>
        <v>4.3153560975949981E-2</v>
      </c>
      <c r="G14" s="2"/>
      <c r="H14" s="31">
        <f>AVERAGE(B14:F14)</f>
        <v>4.8477298530113844E-2</v>
      </c>
      <c r="I14" s="31">
        <f>MEDIAN(B14:F14)</f>
        <v>4.8178815590127544E-2</v>
      </c>
    </row>
    <row r="15" spans="1:9" ht="14.25" customHeight="1" x14ac:dyDescent="0.3">
      <c r="A15" s="2"/>
      <c r="B15" s="2"/>
      <c r="C15" s="2"/>
      <c r="D15" s="2"/>
      <c r="E15" s="2"/>
      <c r="F15" s="2"/>
      <c r="G15" s="2"/>
      <c r="H15" s="31"/>
      <c r="I15" s="31"/>
    </row>
    <row r="16" spans="1:9" ht="14.25" customHeight="1" x14ac:dyDescent="0.3">
      <c r="A16" s="29" t="s">
        <v>299</v>
      </c>
      <c r="B16" s="30"/>
      <c r="C16" s="30"/>
      <c r="D16" s="30"/>
      <c r="E16" s="30"/>
      <c r="F16" s="30"/>
      <c r="G16" s="2"/>
      <c r="H16" s="30"/>
      <c r="I16" s="30"/>
    </row>
    <row r="17" spans="1:9" ht="14.25" customHeight="1" x14ac:dyDescent="0.3">
      <c r="A17" s="2" t="s">
        <v>300</v>
      </c>
      <c r="B17" s="31">
        <f>('Consolidated P&amp;l'!B14+'Consolidated P&amp;l'!B15)/'Consolidated P&amp;l'!B9</f>
        <v>0.85218104051908117</v>
      </c>
      <c r="C17" s="31">
        <f>('Consolidated P&amp;l'!C14+'Consolidated P&amp;l'!C15)/'Consolidated P&amp;l'!C9</f>
        <v>0.84930727579835086</v>
      </c>
      <c r="D17" s="31">
        <f>('Consolidated P&amp;l'!D14+'Consolidated P&amp;l'!D15)/'Consolidated P&amp;l'!D9</f>
        <v>0.85204837362861086</v>
      </c>
      <c r="E17" s="31">
        <f>('Consolidated P&amp;l'!E14+'Consolidated P&amp;l'!E15)/'Consolidated P&amp;l'!E9</f>
        <v>0.8516401734895267</v>
      </c>
      <c r="F17" s="31">
        <f>('Consolidated P&amp;l'!F14+'Consolidated P&amp;l'!F15)/'Consolidated P&amp;l'!F9</f>
        <v>0.8494493084497492</v>
      </c>
      <c r="G17" s="2"/>
      <c r="H17" s="31">
        <f>AVERAGE(B17:F17)</f>
        <v>0.85092523437706369</v>
      </c>
      <c r="I17" s="31">
        <f>MEDIAN(B17:F17)</f>
        <v>0.8516401734895267</v>
      </c>
    </row>
    <row r="18" spans="1:9" ht="14.25" customHeight="1" x14ac:dyDescent="0.3">
      <c r="A18" s="2" t="s">
        <v>301</v>
      </c>
      <c r="B18" s="31">
        <f>'Consolidated P&amp;l'!B18/'Consolidated P&amp;l'!B9</f>
        <v>1.6079405299605148E-2</v>
      </c>
      <c r="C18" s="31">
        <f>'Consolidated P&amp;l'!C18/'Consolidated P&amp;l'!C9</f>
        <v>1.4913085008342757E-2</v>
      </c>
      <c r="D18" s="31">
        <f>'Consolidated P&amp;l'!D18/'Consolidated P&amp;l'!D9</f>
        <v>1.4388203075361254E-2</v>
      </c>
      <c r="E18" s="31">
        <f>'Consolidated P&amp;l'!E18/'Consolidated P&amp;l'!E9</f>
        <v>1.4648729195113383E-2</v>
      </c>
      <c r="F18" s="31">
        <f>'Consolidated P&amp;l'!F18/'Consolidated P&amp;l'!F9</f>
        <v>1.5068422687695598E-2</v>
      </c>
      <c r="G18" s="2"/>
      <c r="H18" s="31">
        <f>AVERAGE(B18:F18)</f>
        <v>1.5019569053223627E-2</v>
      </c>
      <c r="I18" s="31">
        <f>MEDIAN(B18:F18)</f>
        <v>1.4913085008342757E-2</v>
      </c>
    </row>
    <row r="19" spans="1:9" ht="14.25" customHeight="1" x14ac:dyDescent="0.3">
      <c r="A19" s="2" t="s">
        <v>302</v>
      </c>
      <c r="B19" s="31">
        <f>'Consolidated P&amp;l'!B16/'Consolidated P&amp;l'!B9</f>
        <v>1.9892969682921799E-2</v>
      </c>
      <c r="C19" s="31">
        <f>'Consolidated P&amp;l'!C16/'Consolidated P&amp;l'!C9</f>
        <v>1.7436453595695196E-2</v>
      </c>
      <c r="D19" s="31">
        <f>'Consolidated P&amp;l'!D16/'Consolidated P&amp;l'!D9</f>
        <v>1.784093077158895E-2</v>
      </c>
      <c r="E19" s="31">
        <f>'Consolidated P&amp;l'!E16/'Consolidated P&amp;l'!E9</f>
        <v>1.9641817748393017E-2</v>
      </c>
      <c r="F19" s="31">
        <f>'Consolidated P&amp;l'!F16/'Consolidated P&amp;l'!F9</f>
        <v>2.2398480458071215E-2</v>
      </c>
      <c r="G19" s="2"/>
      <c r="H19" s="31">
        <f>AVERAGE(B19:F19)</f>
        <v>1.9442130451334035E-2</v>
      </c>
      <c r="I19" s="31">
        <f>MEDIAN(B19:F19)</f>
        <v>1.9641817748393017E-2</v>
      </c>
    </row>
    <row r="20" spans="1:9" ht="14.25" customHeight="1" x14ac:dyDescent="0.3">
      <c r="A20" s="2" t="s">
        <v>303</v>
      </c>
      <c r="B20" s="31">
        <f>'Consolidated P&amp;l'!B19/'Consolidated P&amp;l'!B9</f>
        <v>4.7267472810638596E-2</v>
      </c>
      <c r="C20" s="31">
        <f>'Consolidated P&amp;l'!C19/'Consolidated P&amp;l'!C9</f>
        <v>4.8357406098475338E-2</v>
      </c>
      <c r="D20" s="31">
        <f>'Consolidated P&amp;l'!D19/'Consolidated P&amp;l'!D9</f>
        <v>4.9310054986499985E-2</v>
      </c>
      <c r="E20" s="31">
        <f>'Consolidated P&amp;l'!E19/'Consolidated P&amp;l'!E9</f>
        <v>5.3120343407507487E-2</v>
      </c>
      <c r="F20" s="31">
        <f>'Consolidated P&amp;l'!F19/'Consolidated P&amp;l'!F9</f>
        <v>5.2788447203561017E-2</v>
      </c>
      <c r="G20" s="2"/>
      <c r="H20" s="31">
        <f>AVERAGE(B20:F20)</f>
        <v>5.0168744901336479E-2</v>
      </c>
      <c r="I20" s="31">
        <f>MEDIAN(B20:F20)</f>
        <v>4.9310054986499985E-2</v>
      </c>
    </row>
    <row r="21" spans="1:9" ht="14.25" customHeight="1" x14ac:dyDescent="0.3">
      <c r="A21" s="2" t="s">
        <v>304</v>
      </c>
      <c r="B21" s="31">
        <f>'Consolidated P&amp;l'!B17/'Consolidated P&amp;l'!B9</f>
        <v>1.7364905458274996E-3</v>
      </c>
      <c r="C21" s="31">
        <f>'Consolidated P&amp;l'!C17/'Consolidated P&amp;l'!C9</f>
        <v>1.5735455732972048E-3</v>
      </c>
      <c r="D21" s="31">
        <f>'Consolidated P&amp;l'!D17/'Consolidated P&amp;l'!D9</f>
        <v>1.1445430028610621E-3</v>
      </c>
      <c r="E21" s="31">
        <f>'Consolidated P&amp;l'!E17/'Consolidated P&amp;l'!E9</f>
        <v>1.170018219938155E-3</v>
      </c>
      <c r="F21" s="31">
        <f>'Consolidated P&amp;l'!F17/'Consolidated P&amp;l'!F9</f>
        <v>2.0640580150692945E-3</v>
      </c>
      <c r="G21" s="2"/>
      <c r="H21" s="31">
        <f>AVERAGE(B21:F21)</f>
        <v>1.5377310713986432E-3</v>
      </c>
      <c r="I21" s="31">
        <f>MEDIAN(B21:F21)</f>
        <v>1.5735455732972048E-3</v>
      </c>
    </row>
    <row r="22" spans="1:9" ht="14.25" customHeight="1" x14ac:dyDescent="0.3">
      <c r="A22" s="2" t="s">
        <v>305</v>
      </c>
      <c r="B22" s="31"/>
      <c r="C22" s="31"/>
      <c r="D22" s="31"/>
      <c r="E22" s="31"/>
      <c r="F22" s="31"/>
      <c r="G22" s="2"/>
      <c r="H22" s="31"/>
      <c r="I22" s="31"/>
    </row>
    <row r="23" spans="1:9" ht="14.25" customHeight="1" x14ac:dyDescent="0.3">
      <c r="A23" s="2" t="s">
        <v>306</v>
      </c>
      <c r="B23" s="30"/>
      <c r="C23" s="30"/>
      <c r="D23" s="30"/>
      <c r="E23" s="30"/>
      <c r="F23" s="30"/>
      <c r="G23" s="2"/>
      <c r="H23" s="30"/>
      <c r="I23" s="30"/>
    </row>
    <row r="24" spans="1:9" ht="14.25" customHeight="1" x14ac:dyDescent="0.3">
      <c r="A24" s="29" t="s">
        <v>307</v>
      </c>
      <c r="B24" s="30"/>
      <c r="C24" s="30"/>
      <c r="D24" s="30"/>
      <c r="E24" s="30"/>
      <c r="F24" s="30"/>
      <c r="G24" s="2"/>
      <c r="H24" s="30"/>
      <c r="I24" s="30"/>
    </row>
    <row r="25" spans="1:9" ht="14.25" customHeight="1" x14ac:dyDescent="0.3">
      <c r="A25" s="2" t="s">
        <v>308</v>
      </c>
      <c r="B25" s="31">
        <f>'Consolidated P&amp;l'!B33/'Consolidated Balance sheet'!B11</f>
        <v>0.10911239073407401</v>
      </c>
      <c r="C25" s="31">
        <f>'Consolidated P&amp;l'!C33/'Consolidated Balance sheet'!C11</f>
        <v>0.1479270471874555</v>
      </c>
      <c r="D25" s="31">
        <f>'Consolidated P&amp;l'!D33/'Consolidated Balance sheet'!D11</f>
        <v>0.13560992671872979</v>
      </c>
      <c r="E25" s="31">
        <f>'Consolidated P&amp;l'!E33/'Consolidated Balance sheet'!E11</f>
        <v>0.12635251017955687</v>
      </c>
      <c r="F25" s="31">
        <f>'Consolidated P&amp;l'!F33/'Consolidated Balance sheet'!F11</f>
        <v>0.12139695651249753</v>
      </c>
      <c r="G25" s="2"/>
      <c r="H25" s="31">
        <f t="shared" ref="H25:H30" si="0">AVERAGE(B25:F25)</f>
        <v>0.12807976626646272</v>
      </c>
      <c r="I25" s="31">
        <f t="shared" ref="I25:I30" si="1">MEDIAN(B25:F25)</f>
        <v>0.12635251017955687</v>
      </c>
    </row>
    <row r="26" spans="1:9" ht="14.25" customHeight="1" x14ac:dyDescent="0.3">
      <c r="A26" s="2" t="s">
        <v>309</v>
      </c>
      <c r="B26" s="31">
        <f>('Consolidated P&amp;l'!B23+'Consolidated P&amp;l'!B17)/('Consolidated Balance sheet'!B48-'Consolidated Balance sheet'!B27)</f>
        <v>0.14857990718622738</v>
      </c>
      <c r="C26" s="31">
        <f>('Consolidated P&amp;l'!C23+'Consolidated P&amp;l'!C17)/('Consolidated Balance sheet'!C48-'Consolidated Balance sheet'!C27)</f>
        <v>0.18795885398887449</v>
      </c>
      <c r="D26" s="31">
        <f>('Consolidated P&amp;l'!D23+'Consolidated P&amp;l'!D17)/('Consolidated Balance sheet'!D48-'Consolidated Balance sheet'!D27)</f>
        <v>0.18332373166872068</v>
      </c>
      <c r="E26" s="31">
        <f>('Consolidated P&amp;l'!E23+'Consolidated P&amp;l'!E17)/('Consolidated Balance sheet'!E48-'Consolidated Balance sheet'!E27)</f>
        <v>0.16926442896798596</v>
      </c>
      <c r="F26" s="31">
        <f>('Consolidated P&amp;l'!F23+'Consolidated P&amp;l'!F17)/('Consolidated Balance sheet'!F48-'Consolidated Balance sheet'!F27)</f>
        <v>0.16407699479449928</v>
      </c>
      <c r="G26" s="2"/>
      <c r="H26" s="31">
        <f t="shared" si="0"/>
        <v>0.17064078332126154</v>
      </c>
      <c r="I26" s="31">
        <f t="shared" si="1"/>
        <v>0.16926442896798596</v>
      </c>
    </row>
    <row r="27" spans="1:9" ht="14.25" customHeight="1" x14ac:dyDescent="0.3">
      <c r="A27" s="2" t="s">
        <v>310</v>
      </c>
      <c r="B27" s="31">
        <f>'Consolidated P&amp;l'!B33/'Consolidated Balance sheet'!B48</f>
        <v>9.6454128060886837E-2</v>
      </c>
      <c r="C27" s="31">
        <f>'Consolidated P&amp;l'!C33/'Consolidated Balance sheet'!C48</f>
        <v>0.13135435254820285</v>
      </c>
      <c r="D27" s="31">
        <f>'Consolidated P&amp;l'!D33/'Consolidated Balance sheet'!D48</f>
        <v>0.11973301475171411</v>
      </c>
      <c r="E27" s="31">
        <f>'Consolidated P&amp;l'!E33/'Consolidated Balance sheet'!E48</f>
        <v>0.11132474160464369</v>
      </c>
      <c r="F27" s="31">
        <f>'Consolidated P&amp;l'!F33/'Consolidated Balance sheet'!F48</f>
        <v>0.10059049744176485</v>
      </c>
      <c r="G27" s="2"/>
      <c r="H27" s="31">
        <f t="shared" si="0"/>
        <v>0.11189134688144246</v>
      </c>
      <c r="I27" s="31">
        <f t="shared" si="1"/>
        <v>0.11132474160464369</v>
      </c>
    </row>
    <row r="28" spans="1:9" ht="14.25" customHeight="1" x14ac:dyDescent="0.3">
      <c r="A28" s="2" t="s">
        <v>311</v>
      </c>
      <c r="B28" s="31">
        <f>'Consolidated P&amp;l'!B33/'Consolidated P&amp;l'!B9</f>
        <v>4.8178815590127544E-2</v>
      </c>
      <c r="C28" s="31">
        <f>'Consolidated P&amp;l'!C33/'Consolidated P&amp;l'!C9</f>
        <v>5.5517376929174814E-2</v>
      </c>
      <c r="D28" s="31">
        <f>'Consolidated P&amp;l'!D33/'Consolidated P&amp;l'!D9</f>
        <v>4.9924560183804194E-2</v>
      </c>
      <c r="E28" s="31">
        <f>'Consolidated P&amp;l'!E33/'Consolidated P&amp;l'!E9</f>
        <v>4.5612178971512707E-2</v>
      </c>
      <c r="F28" s="31">
        <f>'Consolidated P&amp;l'!F33/'Consolidated P&amp;l'!F9</f>
        <v>4.3153560975949981E-2</v>
      </c>
      <c r="G28" s="2"/>
      <c r="H28" s="31">
        <f t="shared" si="0"/>
        <v>4.8477298530113844E-2</v>
      </c>
      <c r="I28" s="31">
        <f t="shared" si="1"/>
        <v>4.8178815590127544E-2</v>
      </c>
    </row>
    <row r="29" spans="1:9" ht="14.25" customHeight="1" x14ac:dyDescent="0.3">
      <c r="A29" s="2" t="s">
        <v>312</v>
      </c>
      <c r="B29" s="31">
        <f>B25*B28</f>
        <v>5.2569057517748933E-3</v>
      </c>
      <c r="C29" s="31">
        <f>C25*C28</f>
        <v>8.2125216367257958E-3</v>
      </c>
      <c r="D29" s="31">
        <f>D25*D28</f>
        <v>6.7702659479905013E-3</v>
      </c>
      <c r="E29" s="31">
        <f>E25*E28</f>
        <v>5.7632133078098294E-3</v>
      </c>
      <c r="F29" s="31">
        <f>F25*F28</f>
        <v>5.2387109651568101E-3</v>
      </c>
      <c r="G29" s="2"/>
      <c r="H29" s="31">
        <f t="shared" si="0"/>
        <v>6.2483235218915665E-3</v>
      </c>
      <c r="I29" s="31">
        <f t="shared" si="1"/>
        <v>5.7632133078098294E-3</v>
      </c>
    </row>
    <row r="30" spans="1:9" ht="14.25" customHeight="1" x14ac:dyDescent="0.3">
      <c r="A30" s="2" t="s">
        <v>313</v>
      </c>
      <c r="B30" s="32">
        <f>IF('Consolidated P&amp;l'!B17=0,"",('Consolidated P&amp;l'!B23+'Consolidated P&amp;l'!B17)/'Consolidated P&amp;l'!B17)</f>
        <v>39.373675404350251</v>
      </c>
      <c r="C30" s="32">
        <f>IF('Consolidated P&amp;l'!C17=0,"",('Consolidated P&amp;l'!C23+'Consolidated P&amp;l'!C17)/'Consolidated P&amp;l'!C17)</f>
        <v>46.395193591455275</v>
      </c>
      <c r="D30" s="32">
        <f>IF('Consolidated P&amp;l'!D17=0,"",('Consolidated P&amp;l'!D23+'Consolidated P&amp;l'!D17)/'Consolidated P&amp;l'!D17)</f>
        <v>60.54464132117667</v>
      </c>
      <c r="E30" s="32">
        <f>IF('Consolidated P&amp;l'!E17=0,"",('Consolidated P&amp;l'!E23+'Consolidated P&amp;l'!E17)/'Consolidated P&amp;l'!E17)</f>
        <v>53.882217422606189</v>
      </c>
      <c r="F30" s="32">
        <f>IF('Consolidated P&amp;l'!F17=0,"",('Consolidated P&amp;l'!F23+'Consolidated P&amp;l'!F17)/'Consolidated P&amp;l'!F17)</f>
        <v>29.733685322069693</v>
      </c>
      <c r="G30" s="2"/>
      <c r="H30" s="32">
        <f t="shared" si="0"/>
        <v>45.985882612331622</v>
      </c>
      <c r="I30" s="32">
        <f t="shared" si="1"/>
        <v>46.395193591455275</v>
      </c>
    </row>
    <row r="31" spans="1:9" ht="14.25" customHeight="1" x14ac:dyDescent="0.3">
      <c r="A31" s="2"/>
      <c r="B31" s="33"/>
      <c r="C31" s="33"/>
      <c r="D31" s="33"/>
      <c r="E31" s="33"/>
      <c r="F31" s="33"/>
      <c r="G31" s="2"/>
      <c r="H31" s="33"/>
      <c r="I31" s="33"/>
    </row>
    <row r="32" spans="1:9" ht="14.25" customHeight="1" x14ac:dyDescent="0.3">
      <c r="A32" s="29" t="s">
        <v>314</v>
      </c>
      <c r="B32" s="2"/>
      <c r="C32" s="2"/>
      <c r="D32" s="2"/>
      <c r="E32" s="2"/>
      <c r="F32" s="2"/>
      <c r="G32" s="2"/>
      <c r="H32" s="31"/>
      <c r="I32" s="31"/>
    </row>
    <row r="33" spans="1:9" ht="14.25" customHeight="1" x14ac:dyDescent="0.3">
      <c r="A33" s="34" t="s">
        <v>315</v>
      </c>
      <c r="B33" s="32">
        <f>'Consolidated P&amp;l'!B9/'Consolidated Balance sheet'!B44</f>
        <v>463.09268949020782</v>
      </c>
      <c r="C33" s="32">
        <f>'Consolidated P&amp;l'!C9/'Consolidated Balance sheet'!C44</f>
        <v>689.18211068211065</v>
      </c>
      <c r="D33" s="32">
        <f>'Consolidated P&amp;l'!D9/'Consolidated Balance sheet'!D44</f>
        <v>305.27637194205687</v>
      </c>
      <c r="E33" s="32">
        <f>'Consolidated P&amp;l'!E9/'Consolidated Balance sheet'!E44</f>
        <v>385.96820339423891</v>
      </c>
      <c r="F33" s="32">
        <f>'Consolidated P&amp;l'!F9/'Consolidated Balance sheet'!F44</f>
        <v>460.83259675907328</v>
      </c>
      <c r="G33" s="2"/>
      <c r="H33" s="32">
        <f>AVERAGE(B33:F33)</f>
        <v>460.87039445353747</v>
      </c>
      <c r="I33" s="32">
        <f>MEDIAN(B33:F33)</f>
        <v>460.83259675907328</v>
      </c>
    </row>
    <row r="34" spans="1:9" ht="14.25" customHeight="1" x14ac:dyDescent="0.3">
      <c r="A34" s="2" t="s">
        <v>316</v>
      </c>
      <c r="B34" s="32">
        <f>('Consolidated P&amp;l'!B14+'Consolidated P&amp;l'!B15)/'Consolidated Balance sheet'!B24</f>
        <v>44.802087576374738</v>
      </c>
      <c r="C34" s="32">
        <f>('Consolidated P&amp;l'!C14+'Consolidated P&amp;l'!C15)/'Consolidated Balance sheet'!C24</f>
        <v>48.268018944268299</v>
      </c>
      <c r="D34" s="32">
        <f>('Consolidated P&amp;l'!D14+'Consolidated P&amp;l'!D15)/'Consolidated Balance sheet'!D24</f>
        <v>43.942019272753122</v>
      </c>
      <c r="E34" s="32">
        <f>('Consolidated P&amp;l'!E14+'Consolidated P&amp;l'!E15)/'Consolidated Balance sheet'!E24</f>
        <v>47.208841904726334</v>
      </c>
      <c r="F34" s="32">
        <f>('Consolidated P&amp;l'!F14+'Consolidated P&amp;l'!F15)/'Consolidated Balance sheet'!F24</f>
        <v>43.684366663428555</v>
      </c>
      <c r="G34" s="2"/>
      <c r="H34" s="32">
        <f>AVERAGE(B34:F34)</f>
        <v>45.581066872310217</v>
      </c>
      <c r="I34" s="32">
        <f>MEDIAN(B34:F34)</f>
        <v>44.802087576374738</v>
      </c>
    </row>
    <row r="35" spans="1:9" ht="14.25" customHeight="1" x14ac:dyDescent="0.3">
      <c r="A35" s="2" t="s">
        <v>317</v>
      </c>
      <c r="B35" s="32">
        <f>('Consolidated P&amp;l'!B14+'Consolidated P&amp;l'!B15)/'Consolidated Balance sheet'!B43</f>
        <v>9.6247402157030031</v>
      </c>
      <c r="C35" s="32">
        <f>('Consolidated P&amp;l'!C14+'Consolidated P&amp;l'!C15)/'Consolidated Balance sheet'!C43</f>
        <v>11.217565701037156</v>
      </c>
      <c r="D35" s="32">
        <f>('Consolidated P&amp;l'!D14+'Consolidated P&amp;l'!D15)/'Consolidated Balance sheet'!D43</f>
        <v>11.018875515301822</v>
      </c>
      <c r="E35" s="32">
        <f>('Consolidated P&amp;l'!E14+'Consolidated P&amp;l'!E15)/'Consolidated Balance sheet'!E43</f>
        <v>10.021410007592625</v>
      </c>
      <c r="F35" s="32">
        <f>('Consolidated P&amp;l'!F14+'Consolidated P&amp;l'!F15)/'Consolidated Balance sheet'!F43</f>
        <v>9.9073541175194535</v>
      </c>
      <c r="G35" s="2"/>
      <c r="H35" s="32">
        <f>AVERAGE(B35:F35)</f>
        <v>10.357989111430813</v>
      </c>
      <c r="I35" s="32">
        <f>MEDIAN(B35:F35)</f>
        <v>10.021410007592625</v>
      </c>
    </row>
    <row r="36" spans="1:9" ht="14.25" customHeight="1" x14ac:dyDescent="0.3">
      <c r="A36" s="2" t="s">
        <v>318</v>
      </c>
      <c r="B36" s="32">
        <f>'Consolidated P&amp;l'!B9/'Consolidated Balance sheet'!B35</f>
        <v>3.0041702671589521</v>
      </c>
      <c r="C36" s="32">
        <f>'Consolidated P&amp;l'!C9/'Consolidated Balance sheet'!C35</f>
        <v>3.5429864440505909</v>
      </c>
      <c r="D36" s="32">
        <f>'Consolidated P&amp;l'!D9/'Consolidated Balance sheet'!D35</f>
        <v>3.5586468562459928</v>
      </c>
      <c r="E36" s="32">
        <f>'Consolidated P&amp;l'!E9/'Consolidated Balance sheet'!E35</f>
        <v>3.4455325600753213</v>
      </c>
      <c r="F36" s="32">
        <f>'Consolidated P&amp;l'!F9/'Consolidated Balance sheet'!F35</f>
        <v>3.2292013888888893</v>
      </c>
      <c r="G36" s="2"/>
      <c r="H36" s="32">
        <f>AVERAGE(B36:F36)</f>
        <v>3.3561075032839489</v>
      </c>
      <c r="I36" s="32">
        <f>MEDIAN(B36:F36)</f>
        <v>3.4455325600753213</v>
      </c>
    </row>
    <row r="37" spans="1:9" ht="14.25" customHeight="1" x14ac:dyDescent="0.3">
      <c r="A37" s="2" t="s">
        <v>319</v>
      </c>
      <c r="B37" s="32">
        <f>'Consolidated P&amp;l'!B9/'Consolidated Balance sheet'!B11</f>
        <v>2.2647379226240787</v>
      </c>
      <c r="C37" s="32">
        <f>'Consolidated P&amp;l'!C9/'Consolidated Balance sheet'!C11</f>
        <v>2.6645179468073659</v>
      </c>
      <c r="D37" s="32">
        <f>'Consolidated P&amp;l'!D9/'Consolidated Balance sheet'!D11</f>
        <v>2.716296873111411</v>
      </c>
      <c r="E37" s="32">
        <f>'Consolidated P&amp;l'!E9/'Consolidated Balance sheet'!E11</f>
        <v>2.770148522360024</v>
      </c>
      <c r="F37" s="32">
        <f>'Consolidated P&amp;l'!F9/'Consolidated Balance sheet'!F11</f>
        <v>2.8131387947370916</v>
      </c>
      <c r="G37" s="2"/>
      <c r="H37" s="32">
        <f>AVERAGE(B37:F37)</f>
        <v>2.645768011927994</v>
      </c>
      <c r="I37" s="32">
        <f>MEDIAN(B37:F37)</f>
        <v>2.716296873111411</v>
      </c>
    </row>
    <row r="38" spans="1:9" ht="14.25" customHeight="1" x14ac:dyDescent="0.3">
      <c r="A38" s="2"/>
      <c r="B38" s="2"/>
      <c r="C38" s="2"/>
      <c r="D38" s="2"/>
      <c r="E38" s="2"/>
      <c r="F38" s="2"/>
      <c r="G38" s="2"/>
      <c r="H38" s="31"/>
      <c r="I38" s="31"/>
    </row>
    <row r="39" spans="1:9" ht="14.25" customHeight="1" x14ac:dyDescent="0.3">
      <c r="A39" s="29" t="s">
        <v>320</v>
      </c>
      <c r="B39" s="30"/>
      <c r="C39" s="30"/>
      <c r="D39" s="30"/>
      <c r="E39" s="30"/>
      <c r="F39" s="30"/>
      <c r="G39" s="2"/>
      <c r="H39" s="30"/>
      <c r="I39" s="30"/>
    </row>
    <row r="40" spans="1:9" ht="14.25" customHeight="1" x14ac:dyDescent="0.3">
      <c r="A40" s="2" t="s">
        <v>321</v>
      </c>
      <c r="B40" s="35">
        <f t="shared" ref="B40:F42" si="2">365/B33</f>
        <v>0.7881791448744474</v>
      </c>
      <c r="C40" s="35">
        <f t="shared" si="2"/>
        <v>0.52961328267610597</v>
      </c>
      <c r="D40" s="35">
        <f t="shared" si="2"/>
        <v>1.1956378991207319</v>
      </c>
      <c r="E40" s="35">
        <f t="shared" si="2"/>
        <v>0.94567375444442658</v>
      </c>
      <c r="F40" s="35">
        <f t="shared" si="2"/>
        <v>0.79204466560516495</v>
      </c>
      <c r="G40" s="2"/>
      <c r="H40" s="35">
        <f>AVERAGE(B40:F40)</f>
        <v>0.85022974934417539</v>
      </c>
      <c r="I40" s="35">
        <f>MEDIAN(B40:F40)</f>
        <v>0.79204466560516495</v>
      </c>
    </row>
    <row r="41" spans="1:9" ht="14.25" customHeight="1" x14ac:dyDescent="0.3">
      <c r="A41" s="2" t="s">
        <v>322</v>
      </c>
      <c r="B41" s="35">
        <f t="shared" si="2"/>
        <v>8.1469417999279479</v>
      </c>
      <c r="C41" s="35">
        <f t="shared" si="2"/>
        <v>7.5619428346839745</v>
      </c>
      <c r="D41" s="35">
        <f t="shared" si="2"/>
        <v>8.3064002528969691</v>
      </c>
      <c r="E41" s="35">
        <f t="shared" si="2"/>
        <v>7.7316024980366622</v>
      </c>
      <c r="F41" s="35">
        <f t="shared" si="2"/>
        <v>8.3553918227128321</v>
      </c>
      <c r="G41" s="2"/>
      <c r="H41" s="35">
        <f>AVERAGE(B41:F41)</f>
        <v>8.0204558416516765</v>
      </c>
      <c r="I41" s="35">
        <f>MEDIAN(B41:F41)</f>
        <v>8.1469417999279479</v>
      </c>
    </row>
    <row r="42" spans="1:9" ht="14.25" customHeight="1" x14ac:dyDescent="0.3">
      <c r="A42" s="2" t="s">
        <v>323</v>
      </c>
      <c r="B42" s="35">
        <f t="shared" si="2"/>
        <v>37.923101488442612</v>
      </c>
      <c r="C42" s="35">
        <f t="shared" si="2"/>
        <v>32.53825381796095</v>
      </c>
      <c r="D42" s="35">
        <f t="shared" si="2"/>
        <v>33.124977180577773</v>
      </c>
      <c r="E42" s="35">
        <f t="shared" si="2"/>
        <v>36.422020426612747</v>
      </c>
      <c r="F42" s="35">
        <f t="shared" si="2"/>
        <v>36.841319657138349</v>
      </c>
      <c r="G42" s="2"/>
      <c r="H42" s="35">
        <f>AVERAGE(B42:F42)</f>
        <v>35.369934514146486</v>
      </c>
      <c r="I42" s="35">
        <f>MEDIAN(B42:F42)</f>
        <v>36.422020426612747</v>
      </c>
    </row>
    <row r="43" spans="1:9" ht="14.25" customHeight="1" x14ac:dyDescent="0.3">
      <c r="A43" s="2" t="s">
        <v>324</v>
      </c>
      <c r="B43" s="35">
        <f>B40+B42-B41</f>
        <v>30.564338833389112</v>
      </c>
      <c r="C43" s="35">
        <f>C40+C42-C41</f>
        <v>25.505924265953084</v>
      </c>
      <c r="D43" s="35">
        <f>D40+D42-D41</f>
        <v>26.014214826801535</v>
      </c>
      <c r="E43" s="35">
        <f>E40+E42-E41</f>
        <v>29.636091683020513</v>
      </c>
      <c r="F43" s="35">
        <f>F40+F42-F41</f>
        <v>29.277972500030685</v>
      </c>
      <c r="G43" s="2"/>
      <c r="H43" s="35">
        <f>AVERAGE(B43:F43)</f>
        <v>28.199708421838988</v>
      </c>
      <c r="I43" s="35">
        <f>MEDIAN(B43:F43)</f>
        <v>29.277972500030685</v>
      </c>
    </row>
    <row r="45" spans="1:9" ht="14.25" customHeight="1" x14ac:dyDescent="0.3">
      <c r="A45" s="29" t="s">
        <v>325</v>
      </c>
      <c r="B45" s="2"/>
      <c r="C45" s="2"/>
      <c r="D45" s="2"/>
      <c r="E45" s="2"/>
      <c r="F45" s="2"/>
      <c r="G45" s="2"/>
      <c r="H45" s="2"/>
      <c r="I45" s="2"/>
    </row>
    <row r="46" spans="1:9" ht="14.25" customHeight="1" x14ac:dyDescent="0.3">
      <c r="A46" s="2" t="s">
        <v>326</v>
      </c>
      <c r="B46" s="31">
        <f>'Consolidated Cash flow'!B5/'Consolidated P&amp;l'!B9</f>
        <v>4.4303268276006114E-2</v>
      </c>
      <c r="C46" s="31">
        <f>'Consolidated Cash flow'!C5/'Consolidated P&amp;l'!C9</f>
        <v>6.1398156283584616E-2</v>
      </c>
      <c r="D46" s="31">
        <f>'Consolidated Cash flow'!D5/'Consolidated P&amp;l'!D9</f>
        <v>5.4063856166798881E-2</v>
      </c>
      <c r="E46" s="31">
        <f>'Consolidated Cash flow'!E5/'Consolidated P&amp;l'!E9</f>
        <v>4.1493445286696573E-2</v>
      </c>
      <c r="F46" s="31">
        <f>'Consolidated Cash flow'!F5/'Consolidated P&amp;l'!F9</f>
        <v>5.0373477530174765E-2</v>
      </c>
      <c r="G46" s="2"/>
      <c r="H46" s="31">
        <f>AVERAGE(B46:F46)</f>
        <v>5.0326440708652186E-2</v>
      </c>
      <c r="I46" s="31">
        <f>MEDIAN(B46:F46)</f>
        <v>5.0373477530174765E-2</v>
      </c>
    </row>
    <row r="47" spans="1:9" ht="14.25" customHeight="1" x14ac:dyDescent="0.3">
      <c r="A47" s="2" t="s">
        <v>327</v>
      </c>
      <c r="B47" s="31">
        <f>'Consolidated Cash flow'!B5/'Consolidated Balance sheet'!B48</f>
        <v>8.8695271136664464E-2</v>
      </c>
      <c r="C47" s="31">
        <f>'Consolidated Cash flow'!C5/'Consolidated Balance sheet'!C48</f>
        <v>0.14526830178904679</v>
      </c>
      <c r="D47" s="31">
        <f>'Consolidated Cash flow'!D5/'Consolidated Balance sheet'!D48</f>
        <v>0.12966020059309069</v>
      </c>
      <c r="E47" s="31">
        <f>'Consolidated Cash flow'!E5/'Consolidated Balance sheet'!E48</f>
        <v>0.10127222989528495</v>
      </c>
      <c r="F47" s="31">
        <f>'Consolidated Cash flow'!F5/'Consolidated Balance sheet'!F48</f>
        <v>0.11742004710702317</v>
      </c>
      <c r="G47" s="2"/>
      <c r="H47" s="31">
        <f>AVERAGE(B47:F47)</f>
        <v>0.116463210104222</v>
      </c>
      <c r="I47" s="31">
        <f>MEDIAN(B47:F47)</f>
        <v>0.11742004710702317</v>
      </c>
    </row>
    <row r="48" spans="1:9" ht="14.25" customHeight="1" x14ac:dyDescent="0.3">
      <c r="A48" s="2" t="s">
        <v>328</v>
      </c>
      <c r="B48" s="2" t="str">
        <f>IF(('Consolidated Balance sheet'!B16+'Consolidated Balance sheet'!B23)=0,"",'Consolidated Cash flow'!B5/('Consolidated Balance sheet'!B16+'Consolidated Balance sheet'!B23))</f>
        <v/>
      </c>
      <c r="C48" s="2" t="str">
        <f>IF(('Consolidated Balance sheet'!C16+'Consolidated Balance sheet'!C23)=0,"",'Consolidated Cash flow'!C5/('Consolidated Balance sheet'!C16+'Consolidated Balance sheet'!C23))</f>
        <v/>
      </c>
      <c r="D48" s="2" t="str">
        <f>IF(('Consolidated Balance sheet'!D16+'Consolidated Balance sheet'!D23)=0,"",'Consolidated Cash flow'!D5/('Consolidated Balance sheet'!D16+'Consolidated Balance sheet'!D23))</f>
        <v/>
      </c>
      <c r="E48" s="2" t="str">
        <f>IF(('Consolidated Balance sheet'!E16+'Consolidated Balance sheet'!E23)=0,"",'Consolidated Cash flow'!E5/('Consolidated Balance sheet'!E16+'Consolidated Balance sheet'!E23))</f>
        <v/>
      </c>
      <c r="F48" s="2">
        <f>IF(('Consolidated Balance sheet'!F16+'Consolidated Balance sheet'!F23)=0,"",'Consolidated Cash flow'!F5/('Consolidated Balance sheet'!F16+'Consolidated Balance sheet'!F23))</f>
        <v>1.4295894003686613</v>
      </c>
      <c r="G48" s="266"/>
      <c r="H48" s="2">
        <f>AVERAGE(B48:F48)</f>
        <v>1.4295894003686613</v>
      </c>
      <c r="I48" s="2">
        <f>MEDIAN(B48:F48)</f>
        <v>1.4295894003686613</v>
      </c>
    </row>
  </sheetData>
  <mergeCells count="1">
    <mergeCell ref="A1:I1"/>
  </mergeCells>
  <pageMargins left="0.7" right="0.7" top="0.75" bottom="0.75" header="0.511811023622047" footer="0.511811023622047"/>
  <pageSetup paperSize="9" orientation="portrait" horizontalDpi="300" verticalDpi="30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H14"/>
  <sheetViews>
    <sheetView showGridLines="0" zoomScaleNormal="100" workbookViewId="0">
      <selection activeCell="G2" sqref="G2"/>
    </sheetView>
  </sheetViews>
  <sheetFormatPr defaultColWidth="8.6640625" defaultRowHeight="14.4" x14ac:dyDescent="0.3"/>
  <cols>
    <col min="1" max="1" width="40" style="1" customWidth="1"/>
    <col min="2" max="8" width="13" style="1" customWidth="1"/>
  </cols>
  <sheetData>
    <row r="1" spans="1:7" ht="15" customHeight="1" x14ac:dyDescent="0.3">
      <c r="A1" s="268" t="s">
        <v>329</v>
      </c>
      <c r="B1" s="267"/>
      <c r="C1" s="267"/>
      <c r="D1" s="267"/>
      <c r="E1" s="267"/>
      <c r="F1" s="267"/>
    </row>
    <row r="2" spans="1:7" ht="14.25" customHeight="1" x14ac:dyDescent="0.3">
      <c r="A2" s="269" t="s">
        <v>330</v>
      </c>
      <c r="B2" s="270" t="s">
        <v>280</v>
      </c>
      <c r="C2" s="270" t="s">
        <v>281</v>
      </c>
      <c r="D2" s="270" t="s">
        <v>282</v>
      </c>
      <c r="E2" s="270" t="s">
        <v>283</v>
      </c>
      <c r="F2" s="270" t="s">
        <v>284</v>
      </c>
      <c r="G2" s="272"/>
    </row>
    <row r="3" spans="1:7" ht="14.25" customHeight="1" x14ac:dyDescent="0.3">
      <c r="A3" s="36" t="s">
        <v>331</v>
      </c>
      <c r="B3" s="33">
        <f>'Consolidated P&amp;l'!B23+'Consolidated P&amp;l'!B17</f>
        <v>2117.91</v>
      </c>
      <c r="C3" s="33">
        <f>'Consolidated P&amp;l'!C23+'Consolidated P&amp;l'!C17</f>
        <v>3127.5</v>
      </c>
      <c r="D3" s="33">
        <f>'Consolidated P&amp;l'!D23+'Consolidated P&amp;l'!D17</f>
        <v>3519.46</v>
      </c>
      <c r="E3" s="33">
        <f>'Consolidated P&amp;l'!E23+'Consolidated P&amp;l'!E17</f>
        <v>3742.12</v>
      </c>
      <c r="F3" s="33">
        <f>'Consolidated P&amp;l'!F23+'Consolidated P&amp;l'!F17</f>
        <v>4223.67</v>
      </c>
    </row>
    <row r="4" spans="1:7" ht="14.25" customHeight="1" x14ac:dyDescent="0.3">
      <c r="A4" s="18" t="s">
        <v>332</v>
      </c>
      <c r="B4" s="33">
        <f>IF('Consolidated P&amp;l'!B23=0,0,B3*('Consolidated P&amp;l'!B29/'Consolidated P&amp;l'!B23))</f>
        <v>586.61875530492421</v>
      </c>
      <c r="C4" s="33">
        <f>IF('Consolidated P&amp;l'!C23=0,0,C3*('Consolidated P&amp;l'!C29/'Consolidated P&amp;l'!C23))</f>
        <v>696.7681097614776</v>
      </c>
      <c r="D4" s="33">
        <f>IF('Consolidated P&amp;l'!D23=0,0,D3*('Consolidated P&amp;l'!D29/'Consolidated P&amp;l'!D23))</f>
        <v>941.26665507189432</v>
      </c>
      <c r="E4" s="33">
        <f>IF('Consolidated P&amp;l'!E23=0,0,E3*('Consolidated P&amp;l'!E29/'Consolidated P&amp;l'!E23))</f>
        <v>983.47226034465382</v>
      </c>
      <c r="F4" s="33">
        <f>IF('Consolidated P&amp;l'!F23=0,0,F3*('Consolidated P&amp;l'!F29/'Consolidated P&amp;l'!F23))</f>
        <v>1150.4518694047952</v>
      </c>
    </row>
    <row r="5" spans="1:7" ht="14.25" customHeight="1" x14ac:dyDescent="0.3">
      <c r="A5" s="37" t="s">
        <v>333</v>
      </c>
      <c r="B5" s="38">
        <f>B3-B4</f>
        <v>1531.2912446950756</v>
      </c>
      <c r="C5" s="38">
        <f>C3-C4</f>
        <v>2430.7318902385223</v>
      </c>
      <c r="D5" s="38">
        <f>D3-D4</f>
        <v>2578.1933449281059</v>
      </c>
      <c r="E5" s="38">
        <f>E3-E4</f>
        <v>2758.647739655346</v>
      </c>
      <c r="F5" s="38">
        <f>F3-F4</f>
        <v>3073.2181305952049</v>
      </c>
      <c r="G5" s="39"/>
    </row>
    <row r="6" spans="1:7" ht="14.25" customHeight="1" x14ac:dyDescent="0.3">
      <c r="A6" s="36" t="s">
        <v>334</v>
      </c>
      <c r="B6" s="33"/>
      <c r="C6" s="33">
        <f>'Fixed Asset Scheduled'!C9</f>
        <v>1780.2800000000016</v>
      </c>
      <c r="D6" s="33">
        <f>'Fixed Asset Scheduled'!D9</f>
        <v>2180.58</v>
      </c>
      <c r="E6" s="33">
        <f>'Fixed Asset Scheduled'!E9</f>
        <v>2955.5900000000006</v>
      </c>
      <c r="F6" s="33">
        <f>'Fixed Asset Scheduled'!F9</f>
        <v>4084.4599999999996</v>
      </c>
    </row>
    <row r="7" spans="1:7" ht="14.25" customHeight="1" x14ac:dyDescent="0.3">
      <c r="A7" s="36" t="s">
        <v>335</v>
      </c>
      <c r="B7" s="33"/>
      <c r="C7" s="33">
        <f>'Change in working capital'!C7</f>
        <v>331.50000000000045</v>
      </c>
      <c r="D7" s="33">
        <f>'Change in working capital'!D7</f>
        <v>557.02</v>
      </c>
      <c r="E7" s="33">
        <f>'Change in working capital'!E7</f>
        <v>1018.4800000000005</v>
      </c>
      <c r="F7" s="33">
        <f>'Change in working capital'!F7</f>
        <v>584.39999999999964</v>
      </c>
    </row>
    <row r="8" spans="1:7" ht="14.25" customHeight="1" x14ac:dyDescent="0.3">
      <c r="A8" s="37" t="s">
        <v>336</v>
      </c>
      <c r="B8" s="38"/>
      <c r="C8" s="38">
        <f>C6+C7</f>
        <v>2111.780000000002</v>
      </c>
      <c r="D8" s="38">
        <f>D6+D7</f>
        <v>2737.6</v>
      </c>
      <c r="E8" s="38">
        <f>E6+E7</f>
        <v>3974.0700000000011</v>
      </c>
      <c r="F8" s="38">
        <f>F6+F7</f>
        <v>4668.8599999999988</v>
      </c>
      <c r="G8" s="39"/>
    </row>
    <row r="9" spans="1:7" ht="14.25" customHeight="1" x14ac:dyDescent="0.3">
      <c r="A9" s="37" t="s">
        <v>337</v>
      </c>
      <c r="B9" s="38"/>
      <c r="C9" s="38">
        <f>C5-C8</f>
        <v>318.95189023852026</v>
      </c>
      <c r="D9" s="38">
        <f>D5-D8</f>
        <v>-159.40665507189397</v>
      </c>
      <c r="E9" s="38">
        <f>E5-E8</f>
        <v>-1215.4222603446551</v>
      </c>
      <c r="F9" s="38">
        <f>F5-F8</f>
        <v>-1595.6418694047939</v>
      </c>
      <c r="G9" s="39"/>
    </row>
    <row r="10" spans="1:7" ht="14.25" customHeight="1" x14ac:dyDescent="0.3">
      <c r="A10" s="36"/>
      <c r="B10" s="30"/>
      <c r="C10" s="30"/>
      <c r="D10" s="30"/>
      <c r="E10" s="30"/>
      <c r="F10" s="30"/>
    </row>
    <row r="11" spans="1:7" ht="14.25" customHeight="1" x14ac:dyDescent="0.3">
      <c r="A11" s="36" t="s">
        <v>338</v>
      </c>
      <c r="B11" s="36"/>
      <c r="C11" s="40">
        <f>IF(C5=0,"",C8/C5)</f>
        <v>0.86878359908001934</v>
      </c>
      <c r="D11" s="40">
        <f>IF(D5=0,"",D8/D5)</f>
        <v>1.0618288210950055</v>
      </c>
      <c r="E11" s="40">
        <f>IF(E5=0,"",E8/E5)</f>
        <v>1.4405862491513703</v>
      </c>
      <c r="F11" s="31">
        <f>IF(F5=0,"",F8/F5)</f>
        <v>1.5192087907849738</v>
      </c>
    </row>
    <row r="12" spans="1:7" ht="14.25" customHeight="1" x14ac:dyDescent="0.3">
      <c r="A12" s="41"/>
      <c r="B12" s="42"/>
      <c r="C12" s="43"/>
      <c r="D12" s="44"/>
      <c r="E12" s="44"/>
    </row>
    <row r="13" spans="1:7" ht="14.25" customHeight="1" x14ac:dyDescent="0.3">
      <c r="A13" s="37" t="s">
        <v>339</v>
      </c>
      <c r="B13" s="45"/>
      <c r="C13" s="46">
        <f>MEDIAN(C11:F11)</f>
        <v>1.2512075351231879</v>
      </c>
      <c r="D13" s="44"/>
      <c r="E13" s="44"/>
    </row>
    <row r="14" spans="1:7" ht="14.25" customHeight="1" x14ac:dyDescent="0.3">
      <c r="A14" s="39" t="s">
        <v>340</v>
      </c>
      <c r="B14" s="39"/>
      <c r="C14" s="46">
        <f>AVERAGE(C11:F11)</f>
        <v>1.2226018650278423</v>
      </c>
    </row>
  </sheetData>
  <pageMargins left="0.7" right="0.7" top="0.75" bottom="0.75" header="0.511811023622047" footer="0.511811023622047"/>
  <pageSetup paperSize="9" orientation="portrait" horizontalDpi="300" verticalDpi="30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H13"/>
  <sheetViews>
    <sheetView showGridLines="0" zoomScaleNormal="100" workbookViewId="0">
      <selection activeCell="G2" sqref="G2"/>
    </sheetView>
  </sheetViews>
  <sheetFormatPr defaultColWidth="8.6640625" defaultRowHeight="14.4" x14ac:dyDescent="0.3"/>
  <cols>
    <col min="1" max="1" width="40" style="1" customWidth="1"/>
    <col min="2" max="8" width="13" style="1" customWidth="1"/>
  </cols>
  <sheetData>
    <row r="1" spans="1:7" ht="15" customHeight="1" x14ac:dyDescent="0.3">
      <c r="A1" s="268" t="s">
        <v>341</v>
      </c>
      <c r="B1" s="267"/>
      <c r="C1" s="267"/>
      <c r="D1" s="267"/>
      <c r="E1" s="267"/>
      <c r="F1" s="267"/>
    </row>
    <row r="2" spans="1:7" ht="14.25" customHeight="1" x14ac:dyDescent="0.3">
      <c r="A2" s="269" t="s">
        <v>330</v>
      </c>
      <c r="B2" s="270" t="s">
        <v>280</v>
      </c>
      <c r="C2" s="270" t="s">
        <v>281</v>
      </c>
      <c r="D2" s="270" t="s">
        <v>282</v>
      </c>
      <c r="E2" s="271" t="s">
        <v>283</v>
      </c>
      <c r="F2" s="270" t="s">
        <v>284</v>
      </c>
      <c r="G2" s="272"/>
    </row>
    <row r="3" spans="1:7" ht="14.25" customHeight="1" x14ac:dyDescent="0.3">
      <c r="A3" s="18" t="s">
        <v>342</v>
      </c>
      <c r="B3" s="47">
        <f>'Consolidated Balance sheet'!B35</f>
        <v>10311.09</v>
      </c>
      <c r="C3" s="33">
        <f>B7</f>
        <v>10311.09</v>
      </c>
      <c r="D3" s="33">
        <f>C7</f>
        <v>12091.37</v>
      </c>
      <c r="E3" s="33">
        <f>D7</f>
        <v>14271.95</v>
      </c>
      <c r="F3" s="33">
        <f>E7</f>
        <v>17227.54</v>
      </c>
    </row>
    <row r="4" spans="1:7" ht="14.25" customHeight="1" x14ac:dyDescent="0.3">
      <c r="A4" s="18" t="s">
        <v>343</v>
      </c>
      <c r="B4" s="33"/>
      <c r="C4" s="33">
        <f>C7+C6-C3</f>
        <v>2419.1500000000015</v>
      </c>
      <c r="D4" s="33">
        <f>D7+D6-D3</f>
        <v>2911.34</v>
      </c>
      <c r="E4" s="33">
        <f>E7+E6-E3</f>
        <v>3825.1100000000006</v>
      </c>
      <c r="F4" s="33">
        <f>F7+F6-F3</f>
        <v>5121.4799999999996</v>
      </c>
    </row>
    <row r="5" spans="1:7" ht="14.25" customHeight="1" x14ac:dyDescent="0.3">
      <c r="A5" s="37" t="s">
        <v>344</v>
      </c>
      <c r="B5" s="38">
        <f>'Consolidated Balance sheet'!B35</f>
        <v>10311.09</v>
      </c>
      <c r="C5" s="38">
        <f>C3+C4</f>
        <v>12730.240000000002</v>
      </c>
      <c r="D5" s="38">
        <f>D3+D4</f>
        <v>15002.710000000001</v>
      </c>
      <c r="E5" s="38">
        <f>E3+E4</f>
        <v>18097.060000000001</v>
      </c>
      <c r="F5" s="38">
        <f>F3+F4</f>
        <v>22349.02</v>
      </c>
      <c r="G5" s="39"/>
    </row>
    <row r="6" spans="1:7" ht="14.25" customHeight="1" x14ac:dyDescent="0.3">
      <c r="A6" s="36" t="s">
        <v>345</v>
      </c>
      <c r="B6" s="33">
        <f>'Consolidated P&amp;l'!B18</f>
        <v>498.08</v>
      </c>
      <c r="C6" s="33">
        <f>'Consolidated P&amp;l'!C18</f>
        <v>638.87</v>
      </c>
      <c r="D6" s="33">
        <f>'Consolidated P&amp;l'!D18</f>
        <v>730.76</v>
      </c>
      <c r="E6" s="33">
        <f>'Consolidated P&amp;l'!E18</f>
        <v>869.52</v>
      </c>
      <c r="F6" s="33">
        <f>'Consolidated P&amp;l'!F18</f>
        <v>1037.02</v>
      </c>
    </row>
    <row r="7" spans="1:7" ht="14.25" customHeight="1" x14ac:dyDescent="0.3">
      <c r="A7" s="39" t="s">
        <v>346</v>
      </c>
      <c r="B7" s="48">
        <f>'Consolidated Balance sheet'!B35</f>
        <v>10311.09</v>
      </c>
      <c r="C7" s="48">
        <f>'Consolidated Balance sheet'!C35</f>
        <v>12091.37</v>
      </c>
      <c r="D7" s="48">
        <f>'Consolidated Balance sheet'!D35</f>
        <v>14271.95</v>
      </c>
      <c r="E7" s="48">
        <f>'Consolidated Balance sheet'!E35</f>
        <v>17227.54</v>
      </c>
      <c r="F7" s="48">
        <f>'Consolidated Balance sheet'!F35</f>
        <v>21312</v>
      </c>
      <c r="G7" s="39"/>
    </row>
    <row r="8" spans="1:7" ht="14.25" customHeight="1" x14ac:dyDescent="0.3">
      <c r="A8" s="18"/>
      <c r="B8" s="49"/>
      <c r="C8" s="50"/>
      <c r="D8" s="50"/>
      <c r="E8" s="50"/>
      <c r="F8" s="50"/>
    </row>
    <row r="9" spans="1:7" ht="14.25" customHeight="1" x14ac:dyDescent="0.3">
      <c r="A9" s="37" t="s">
        <v>347</v>
      </c>
      <c r="B9" s="38"/>
      <c r="C9" s="38">
        <f>C4-C6</f>
        <v>1780.2800000000016</v>
      </c>
      <c r="D9" s="38">
        <f>D4-D6</f>
        <v>2180.58</v>
      </c>
      <c r="E9" s="38">
        <f>E4-E6</f>
        <v>2955.5900000000006</v>
      </c>
      <c r="F9" s="38">
        <f>F4-F6</f>
        <v>4084.4599999999996</v>
      </c>
      <c r="G9" s="39"/>
    </row>
    <row r="10" spans="1:7" ht="14.25" customHeight="1" x14ac:dyDescent="0.3">
      <c r="A10" s="36" t="s">
        <v>348</v>
      </c>
      <c r="B10" s="36"/>
      <c r="C10" s="40">
        <f>C9/'Consolidated P&amp;l'!C9</f>
        <v>4.1556916084105479E-2</v>
      </c>
      <c r="D10" s="40">
        <f>D9/'Consolidated P&amp;l'!D9</f>
        <v>4.2934243612227328E-2</v>
      </c>
      <c r="E10" s="40">
        <f>E9/'Consolidated P&amp;l'!E9</f>
        <v>4.9792572363815867E-2</v>
      </c>
      <c r="F10" s="31">
        <f>F9/'Consolidated P&amp;l'!F9</f>
        <v>5.9349260121294822E-2</v>
      </c>
    </row>
    <row r="11" spans="1:7" ht="14.25" customHeight="1" x14ac:dyDescent="0.3">
      <c r="A11" s="41"/>
      <c r="B11" s="44"/>
      <c r="C11" s="51"/>
      <c r="D11" s="44"/>
      <c r="E11" s="44"/>
    </row>
    <row r="12" spans="1:7" ht="14.25" customHeight="1" x14ac:dyDescent="0.3">
      <c r="A12" s="37" t="s">
        <v>349</v>
      </c>
      <c r="B12" s="39"/>
      <c r="C12" s="52">
        <f>MEDIAN(C10:F10)</f>
        <v>4.6363407988021597E-2</v>
      </c>
      <c r="D12" s="44"/>
      <c r="E12" s="44"/>
    </row>
    <row r="13" spans="1:7" ht="14.25" customHeight="1" x14ac:dyDescent="0.3">
      <c r="A13" s="39" t="s">
        <v>350</v>
      </c>
      <c r="B13" s="39"/>
      <c r="C13" s="46">
        <f>AVERAGE(C10:F10)</f>
        <v>4.8408248045360876E-2</v>
      </c>
    </row>
  </sheetData>
  <pageMargins left="0.7" right="0.7" top="0.75" bottom="0.75" header="0.511811023622047" footer="0.511811023622047"/>
  <pageSetup paperSize="9" orientation="portrait" horizontalDpi="300" verticalDpi="30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H11"/>
  <sheetViews>
    <sheetView showGridLines="0" zoomScaleNormal="100" workbookViewId="0">
      <selection activeCell="G2" sqref="G2"/>
    </sheetView>
  </sheetViews>
  <sheetFormatPr defaultColWidth="8.6640625" defaultRowHeight="14.4" x14ac:dyDescent="0.3"/>
  <cols>
    <col min="1" max="1" width="40" style="1" customWidth="1"/>
    <col min="2" max="8" width="13" style="1" customWidth="1"/>
  </cols>
  <sheetData>
    <row r="1" spans="1:7" ht="15" customHeight="1" x14ac:dyDescent="0.3">
      <c r="A1" s="268" t="s">
        <v>351</v>
      </c>
      <c r="B1" s="267"/>
      <c r="C1" s="267"/>
      <c r="D1" s="267"/>
      <c r="E1" s="267"/>
      <c r="F1" s="267"/>
    </row>
    <row r="2" spans="1:7" ht="14.25" customHeight="1" x14ac:dyDescent="0.3">
      <c r="A2" s="269" t="s">
        <v>330</v>
      </c>
      <c r="B2" s="270" t="s">
        <v>280</v>
      </c>
      <c r="C2" s="270" t="s">
        <v>281</v>
      </c>
      <c r="D2" s="270" t="s">
        <v>282</v>
      </c>
      <c r="E2" s="270" t="s">
        <v>283</v>
      </c>
      <c r="F2" s="270" t="s">
        <v>284</v>
      </c>
      <c r="G2" s="273"/>
    </row>
    <row r="3" spans="1:7" ht="14.25" customHeight="1" x14ac:dyDescent="0.3">
      <c r="A3" s="36" t="s">
        <v>191</v>
      </c>
      <c r="B3" s="33">
        <f>'Consolidated Balance sheet'!B43</f>
        <v>2742.66</v>
      </c>
      <c r="C3" s="33">
        <f>'Consolidated Balance sheet'!C43</f>
        <v>3243.48</v>
      </c>
      <c r="D3" s="33">
        <f>'Consolidated Balance sheet'!D43</f>
        <v>3927.31</v>
      </c>
      <c r="E3" s="33">
        <f>'Consolidated Balance sheet'!E43</f>
        <v>5044.37</v>
      </c>
      <c r="F3" s="33">
        <f>'Consolidated Balance sheet'!F43</f>
        <v>5900.64</v>
      </c>
    </row>
    <row r="4" spans="1:7" ht="14.25" customHeight="1" x14ac:dyDescent="0.3">
      <c r="A4" s="36" t="s">
        <v>192</v>
      </c>
      <c r="B4" s="33">
        <f>'Consolidated Balance sheet'!B44</f>
        <v>66.89</v>
      </c>
      <c r="C4" s="33">
        <f>'Consolidated Balance sheet'!C44</f>
        <v>62.16</v>
      </c>
      <c r="D4" s="33">
        <f>'Consolidated Balance sheet'!D44</f>
        <v>166.37</v>
      </c>
      <c r="E4" s="33">
        <f>'Consolidated Balance sheet'!E44</f>
        <v>153.79</v>
      </c>
      <c r="F4" s="33">
        <f>'Consolidated Balance sheet'!F44</f>
        <v>149.34</v>
      </c>
    </row>
    <row r="5" spans="1:7" ht="14.25" customHeight="1" x14ac:dyDescent="0.3">
      <c r="A5" s="36" t="s">
        <v>174</v>
      </c>
      <c r="B5" s="33">
        <f>'Consolidated Balance sheet'!B24</f>
        <v>589.20000000000005</v>
      </c>
      <c r="C5" s="33">
        <f>'Consolidated Balance sheet'!C24</f>
        <v>753.79</v>
      </c>
      <c r="D5" s="33">
        <f>'Consolidated Balance sheet'!D24</f>
        <v>984.81</v>
      </c>
      <c r="E5" s="33">
        <f>'Consolidated Balance sheet'!E24</f>
        <v>1070.81</v>
      </c>
      <c r="F5" s="33">
        <f>'Consolidated Balance sheet'!F24</f>
        <v>1338.23</v>
      </c>
    </row>
    <row r="6" spans="1:7" ht="14.25" customHeight="1" x14ac:dyDescent="0.3">
      <c r="A6" s="37" t="s">
        <v>352</v>
      </c>
      <c r="B6" s="38">
        <f>B3+B4-B5</f>
        <v>2220.3499999999995</v>
      </c>
      <c r="C6" s="38">
        <f>C3+C4-C5</f>
        <v>2551.85</v>
      </c>
      <c r="D6" s="38">
        <f>D3+D4-D5</f>
        <v>3108.87</v>
      </c>
      <c r="E6" s="38">
        <f>E3+E4-E5</f>
        <v>4127.3500000000004</v>
      </c>
      <c r="F6" s="38">
        <f>F3+F4-F5</f>
        <v>4711.75</v>
      </c>
      <c r="G6" s="39"/>
    </row>
    <row r="7" spans="1:7" ht="14.25" customHeight="1" x14ac:dyDescent="0.3">
      <c r="A7" s="37" t="s">
        <v>353</v>
      </c>
      <c r="B7" s="38"/>
      <c r="C7" s="38">
        <f>C6-B6</f>
        <v>331.50000000000045</v>
      </c>
      <c r="D7" s="38">
        <f>D6-C6</f>
        <v>557.02</v>
      </c>
      <c r="E7" s="38">
        <f>E6-D6</f>
        <v>1018.4800000000005</v>
      </c>
      <c r="F7" s="38">
        <f>F6-E6</f>
        <v>584.39999999999964</v>
      </c>
      <c r="G7" s="39"/>
    </row>
    <row r="8" spans="1:7" ht="14.25" customHeight="1" x14ac:dyDescent="0.3">
      <c r="A8" s="36" t="s">
        <v>354</v>
      </c>
      <c r="B8" s="36"/>
      <c r="C8" s="40">
        <f>C7/'Consolidated P&amp;l'!C9</f>
        <v>7.7381747151464781E-3</v>
      </c>
      <c r="D8" s="40">
        <f>D7/'Consolidated P&amp;l'!D9</f>
        <v>1.0967372156436759E-2</v>
      </c>
      <c r="E8" s="40">
        <f>E7/'Consolidated P&amp;l'!E9</f>
        <v>1.7158245596005942E-2</v>
      </c>
      <c r="F8" s="31">
        <f>F7/'Consolidated P&amp;l'!F9</f>
        <v>8.4916262161668071E-3</v>
      </c>
    </row>
    <row r="9" spans="1:7" ht="14.25" customHeight="1" x14ac:dyDescent="0.3">
      <c r="A9" s="41"/>
      <c r="B9" s="44"/>
      <c r="C9" s="51"/>
      <c r="D9" s="44"/>
      <c r="E9" s="44"/>
    </row>
    <row r="10" spans="1:7" ht="14.25" customHeight="1" x14ac:dyDescent="0.3">
      <c r="A10" s="37" t="s">
        <v>355</v>
      </c>
      <c r="B10" s="39"/>
      <c r="C10" s="52">
        <f>MEDIAN(B6:F6)/MEDIAN('Consolidated P&amp;l'!B9:F9)</f>
        <v>6.1211687688021162E-2</v>
      </c>
      <c r="D10" s="44"/>
      <c r="E10" s="44"/>
    </row>
    <row r="11" spans="1:7" ht="14.25" customHeight="1" x14ac:dyDescent="0.3">
      <c r="A11" s="39" t="s">
        <v>356</v>
      </c>
      <c r="B11" s="39"/>
      <c r="C11" s="52">
        <f>AVERAGE(B6:F6)/AVERAGE('Consolidated P&amp;l'!B9:F9)</f>
        <v>6.6144243224783891E-2</v>
      </c>
    </row>
  </sheetData>
  <pageMargins left="0.7" right="0.7" top="0.75" bottom="0.75" header="0.511811023622047" footer="0.511811023622047"/>
  <pageSetup paperSize="9" orientation="portrait" horizontalDpi="300" verticalDpi="30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H48"/>
  <sheetViews>
    <sheetView showGridLines="0" topLeftCell="A30" zoomScaleNormal="100" workbookViewId="0">
      <selection sqref="A1:F2"/>
    </sheetView>
  </sheetViews>
  <sheetFormatPr defaultColWidth="8.6640625" defaultRowHeight="14.4" x14ac:dyDescent="0.3"/>
  <cols>
    <col min="1" max="1" width="39.77734375" style="1" customWidth="1"/>
    <col min="2" max="2" width="12" style="1" customWidth="1"/>
    <col min="3" max="6" width="9" style="1" customWidth="1"/>
  </cols>
  <sheetData>
    <row r="1" spans="1:6" ht="25.5" customHeight="1" x14ac:dyDescent="0.5">
      <c r="A1" s="274" t="s">
        <v>357</v>
      </c>
      <c r="B1" s="274"/>
      <c r="C1" s="274"/>
      <c r="D1" s="274"/>
      <c r="E1" s="274"/>
      <c r="F1" s="274"/>
    </row>
    <row r="2" spans="1:6" ht="14.25" customHeight="1" x14ac:dyDescent="0.3">
      <c r="A2" s="258" t="s">
        <v>358</v>
      </c>
      <c r="B2" s="275" t="s">
        <v>149</v>
      </c>
      <c r="C2" s="275" t="s">
        <v>150</v>
      </c>
      <c r="D2" s="275" t="s">
        <v>151</v>
      </c>
      <c r="E2" s="275" t="s">
        <v>152</v>
      </c>
      <c r="F2" s="276">
        <v>46082</v>
      </c>
    </row>
    <row r="3" spans="1:6" ht="14.25" customHeight="1" x14ac:dyDescent="0.3">
      <c r="A3" s="53" t="s">
        <v>359</v>
      </c>
      <c r="B3" s="33">
        <f>'Consolidated P&amp;l'!B9</f>
        <v>30976.27</v>
      </c>
      <c r="C3" s="33">
        <f>'Consolidated P&amp;l'!C9</f>
        <v>42839.56</v>
      </c>
      <c r="D3" s="33">
        <f>'Consolidated P&amp;l'!D9</f>
        <v>50788.83</v>
      </c>
      <c r="E3" s="33">
        <f>'Consolidated P&amp;l'!E9</f>
        <v>59358.05</v>
      </c>
      <c r="F3" s="33">
        <f>'Consolidated P&amp;l'!F9</f>
        <v>68820.740000000005</v>
      </c>
    </row>
    <row r="4" spans="1:6" ht="14.25" customHeight="1" x14ac:dyDescent="0.3">
      <c r="A4" s="2" t="s">
        <v>360</v>
      </c>
      <c r="B4" s="2"/>
      <c r="C4" s="30">
        <f>(C3-B3)/B3</f>
        <v>0.38297993915987938</v>
      </c>
      <c r="D4" s="30">
        <f>(D3-C3)/C3</f>
        <v>0.18555909537819726</v>
      </c>
      <c r="E4" s="30">
        <f>(E3-D3)/D3</f>
        <v>0.16872253210007004</v>
      </c>
      <c r="F4" s="30">
        <f>(F3-E3)/E3</f>
        <v>0.15941713044818692</v>
      </c>
    </row>
    <row r="5" spans="1:6" ht="14.25" customHeight="1" x14ac:dyDescent="0.3">
      <c r="A5" s="2" t="s">
        <v>361</v>
      </c>
      <c r="B5" s="33">
        <f>'Consolidated P&amp;l'!B14+'Consolidated P&amp;l'!B15</f>
        <v>26397.39</v>
      </c>
      <c r="C5" s="33">
        <f>'Consolidated P&amp;l'!C14+'Consolidated P&amp;l'!C15</f>
        <v>36383.949999999997</v>
      </c>
      <c r="D5" s="33">
        <f>'Consolidated P&amp;l'!D14+'Consolidated P&amp;l'!D15</f>
        <v>43274.54</v>
      </c>
      <c r="E5" s="33">
        <f>'Consolidated P&amp;l'!E14+'Consolidated P&amp;l'!E15</f>
        <v>50551.700000000004</v>
      </c>
      <c r="F5" s="33">
        <f>'Consolidated P&amp;l'!F14+'Consolidated P&amp;l'!F15</f>
        <v>58459.729999999996</v>
      </c>
    </row>
    <row r="6" spans="1:6" ht="14.25" customHeight="1" x14ac:dyDescent="0.3">
      <c r="A6" s="2" t="s">
        <v>362</v>
      </c>
      <c r="B6" s="33">
        <f>'Consolidated P&amp;l'!B16</f>
        <v>616.21</v>
      </c>
      <c r="C6" s="33">
        <f>'Consolidated P&amp;l'!C16</f>
        <v>746.97</v>
      </c>
      <c r="D6" s="33">
        <f>'Consolidated P&amp;l'!D16</f>
        <v>906.12</v>
      </c>
      <c r="E6" s="33">
        <f>'Consolidated P&amp;l'!E16</f>
        <v>1165.9000000000001</v>
      </c>
      <c r="F6" s="33">
        <f>'Consolidated P&amp;l'!F16</f>
        <v>1541.48</v>
      </c>
    </row>
    <row r="7" spans="1:6" ht="14.25" customHeight="1" x14ac:dyDescent="0.3">
      <c r="A7" s="2" t="s">
        <v>363</v>
      </c>
      <c r="B7" s="33">
        <f>'Consolidated P&amp;l'!B19</f>
        <v>1464.17</v>
      </c>
      <c r="C7" s="33">
        <f>'Consolidated P&amp;l'!C19</f>
        <v>2071.61</v>
      </c>
      <c r="D7" s="33">
        <f>'Consolidated P&amp;l'!D19</f>
        <v>2504.4</v>
      </c>
      <c r="E7" s="33">
        <f>'Consolidated P&amp;l'!E19</f>
        <v>3153.12</v>
      </c>
      <c r="F7" s="33">
        <f>'Consolidated P&amp;l'!F19</f>
        <v>3632.94</v>
      </c>
    </row>
    <row r="8" spans="1:6" ht="14.25" customHeight="1" x14ac:dyDescent="0.3">
      <c r="A8" s="53" t="s">
        <v>219</v>
      </c>
      <c r="B8" s="33">
        <f>B5+B6+B7</f>
        <v>28477.769999999997</v>
      </c>
      <c r="C8" s="33">
        <f>C5+C6+C7</f>
        <v>39202.53</v>
      </c>
      <c r="D8" s="33">
        <f>D5+D6+D7</f>
        <v>46685.060000000005</v>
      </c>
      <c r="E8" s="33">
        <f>E5+E6+E7</f>
        <v>54870.720000000008</v>
      </c>
      <c r="F8" s="33">
        <f>F5+F6+F7</f>
        <v>63634.15</v>
      </c>
    </row>
    <row r="9" spans="1:6" ht="14.25" customHeight="1" x14ac:dyDescent="0.3">
      <c r="A9" s="53" t="s">
        <v>364</v>
      </c>
      <c r="B9" s="33">
        <f>B3-B8</f>
        <v>2498.5000000000036</v>
      </c>
      <c r="C9" s="33">
        <f>C3-C8</f>
        <v>3637.0299999999988</v>
      </c>
      <c r="D9" s="33">
        <f>D3-D8</f>
        <v>4103.7699999999968</v>
      </c>
      <c r="E9" s="33">
        <f>E3-E8</f>
        <v>4487.3299999999945</v>
      </c>
      <c r="F9" s="33">
        <f>F3-F8</f>
        <v>5186.5900000000038</v>
      </c>
    </row>
    <row r="10" spans="1:6" ht="14.25" customHeight="1" x14ac:dyDescent="0.3">
      <c r="A10" s="2" t="s">
        <v>365</v>
      </c>
      <c r="B10" s="33">
        <f>'Consolidated P&amp;l'!B18</f>
        <v>498.08</v>
      </c>
      <c r="C10" s="33">
        <f>'Consolidated P&amp;l'!C18</f>
        <v>638.87</v>
      </c>
      <c r="D10" s="33">
        <f>'Consolidated P&amp;l'!D18</f>
        <v>730.76</v>
      </c>
      <c r="E10" s="33">
        <f>'Consolidated P&amp;l'!E18</f>
        <v>869.52</v>
      </c>
      <c r="F10" s="33">
        <f>'Consolidated P&amp;l'!F18</f>
        <v>1037.02</v>
      </c>
    </row>
    <row r="11" spans="1:6" ht="14.25" customHeight="1" x14ac:dyDescent="0.3">
      <c r="A11" s="2" t="s">
        <v>366</v>
      </c>
      <c r="B11" s="33">
        <f>B9-B10</f>
        <v>2000.4200000000037</v>
      </c>
      <c r="C11" s="33">
        <f>C9-C10</f>
        <v>2998.1599999999989</v>
      </c>
      <c r="D11" s="33">
        <f>D9-D10</f>
        <v>3373.0099999999966</v>
      </c>
      <c r="E11" s="33">
        <f>E9-E10</f>
        <v>3617.8099999999945</v>
      </c>
      <c r="F11" s="33">
        <f>F9-F10</f>
        <v>4149.5700000000033</v>
      </c>
    </row>
    <row r="12" spans="1:6" ht="14.25" customHeight="1" x14ac:dyDescent="0.3">
      <c r="A12" s="2" t="s">
        <v>367</v>
      </c>
      <c r="B12" s="33">
        <f>'Consolidated P&amp;l'!B10</f>
        <v>117.49</v>
      </c>
      <c r="C12" s="33">
        <f>'Consolidated P&amp;l'!C10</f>
        <v>129.34</v>
      </c>
      <c r="D12" s="33">
        <f>'Consolidated P&amp;l'!D10</f>
        <v>146.44999999999999</v>
      </c>
      <c r="E12" s="33">
        <f>'Consolidated P&amp;l'!E10</f>
        <v>124.31</v>
      </c>
      <c r="F12" s="33">
        <f>'Consolidated P&amp;l'!F10</f>
        <v>74.099999999999994</v>
      </c>
    </row>
    <row r="13" spans="1:6" ht="14.25" customHeight="1" x14ac:dyDescent="0.3">
      <c r="A13" s="2" t="s">
        <v>368</v>
      </c>
      <c r="B13" s="33">
        <f>'Consolidated P&amp;l'!B17</f>
        <v>53.79</v>
      </c>
      <c r="C13" s="33">
        <f>'Consolidated P&amp;l'!C17</f>
        <v>67.41</v>
      </c>
      <c r="D13" s="33">
        <f>'Consolidated P&amp;l'!D17</f>
        <v>58.13</v>
      </c>
      <c r="E13" s="33">
        <f>'Consolidated P&amp;l'!E17</f>
        <v>69.45</v>
      </c>
      <c r="F13" s="33">
        <f>'Consolidated P&amp;l'!F17</f>
        <v>142.05000000000001</v>
      </c>
    </row>
    <row r="14" spans="1:6" ht="14.25" customHeight="1" x14ac:dyDescent="0.3">
      <c r="A14" s="2" t="s">
        <v>369</v>
      </c>
      <c r="B14" s="33">
        <f>B11+B12-B13</f>
        <v>2064.1200000000035</v>
      </c>
      <c r="C14" s="33">
        <f>C11+C12-C13</f>
        <v>3060.0899999999992</v>
      </c>
      <c r="D14" s="33">
        <f>D11+D12-D13</f>
        <v>3461.3299999999963</v>
      </c>
      <c r="E14" s="33">
        <f>E11+E12-E13</f>
        <v>3672.6699999999946</v>
      </c>
      <c r="F14" s="33">
        <f>F11+F12-F13</f>
        <v>4081.6200000000035</v>
      </c>
    </row>
    <row r="15" spans="1:6" ht="14.25" customHeight="1" x14ac:dyDescent="0.3">
      <c r="A15" s="53" t="s">
        <v>370</v>
      </c>
      <c r="B15" s="33">
        <f>'Consolidated P&amp;l'!B29</f>
        <v>571.72</v>
      </c>
      <c r="C15" s="33">
        <f>'Consolidated P&amp;l'!C29</f>
        <v>681.75</v>
      </c>
      <c r="D15" s="33">
        <f>'Consolidated P&amp;l'!D29</f>
        <v>925.72</v>
      </c>
      <c r="E15" s="33">
        <f>'Consolidated P&amp;l'!E29</f>
        <v>965.22</v>
      </c>
      <c r="F15" s="33">
        <f>'Consolidated P&amp;l'!F29</f>
        <v>1111.76</v>
      </c>
    </row>
    <row r="16" spans="1:6" ht="14.25" customHeight="1" x14ac:dyDescent="0.3">
      <c r="A16" s="2" t="s">
        <v>371</v>
      </c>
      <c r="B16" s="33">
        <f>'Consolidated P&amp;l'!B34</f>
        <v>0.15</v>
      </c>
      <c r="C16" s="33">
        <f>'Consolidated P&amp;l'!C34</f>
        <v>0.17</v>
      </c>
      <c r="D16" s="33">
        <f>'Consolidated P&amp;l'!D34</f>
        <v>0.56000000000000005</v>
      </c>
      <c r="E16" s="33">
        <f>'Consolidated P&amp;l'!E34</f>
        <v>0.56999999999999995</v>
      </c>
      <c r="F16" s="33">
        <f>'Consolidated P&amp;l'!F34</f>
        <v>0.63</v>
      </c>
    </row>
    <row r="17" spans="1:6" ht="14.25" customHeight="1" x14ac:dyDescent="0.3">
      <c r="A17" s="53" t="s">
        <v>372</v>
      </c>
      <c r="B17" s="33">
        <f>B14-B15-B16</f>
        <v>1492.2500000000034</v>
      </c>
      <c r="C17" s="33">
        <f>C14-C15-C16</f>
        <v>2378.1699999999992</v>
      </c>
      <c r="D17" s="33">
        <f>D14-D15-D16</f>
        <v>2535.0499999999961</v>
      </c>
      <c r="E17" s="33">
        <f>E14-E15-E16</f>
        <v>2706.8799999999942</v>
      </c>
      <c r="F17" s="33">
        <f>F14-F15-F16</f>
        <v>2969.2300000000032</v>
      </c>
    </row>
    <row r="18" spans="1:6" ht="14.25" customHeight="1" x14ac:dyDescent="0.3">
      <c r="A18" s="2"/>
      <c r="B18" s="2"/>
      <c r="C18" s="2"/>
      <c r="D18" s="2"/>
      <c r="E18" s="2"/>
      <c r="F18" s="2"/>
    </row>
    <row r="23" spans="1:6" ht="14.25" customHeight="1" x14ac:dyDescent="0.3">
      <c r="A23" s="197" t="s">
        <v>373</v>
      </c>
      <c r="B23" s="197"/>
      <c r="C23" s="197"/>
      <c r="D23" s="54"/>
      <c r="E23" s="54"/>
      <c r="F23" s="54"/>
    </row>
    <row r="24" spans="1:6" ht="14.25" customHeight="1" x14ac:dyDescent="0.3">
      <c r="A24" s="36" t="s">
        <v>374</v>
      </c>
      <c r="B24" s="55">
        <f>AVERAGE(C4:F4)</f>
        <v>0.22416967427158341</v>
      </c>
      <c r="C24" s="56"/>
      <c r="D24" s="54"/>
      <c r="E24" s="54"/>
      <c r="F24" s="54"/>
    </row>
    <row r="25" spans="1:6" ht="14.25" customHeight="1" x14ac:dyDescent="0.3">
      <c r="A25" s="36" t="s">
        <v>375</v>
      </c>
      <c r="B25" s="55">
        <f>(F3/B3)^(1/4)-1</f>
        <v>0.22087880497759294</v>
      </c>
      <c r="C25" s="55">
        <f>_xlfn.RRI(4,B3,F3)</f>
        <v>0.22087880497759294</v>
      </c>
      <c r="D25" s="54" t="s">
        <v>376</v>
      </c>
      <c r="E25" s="54"/>
      <c r="F25" s="54"/>
    </row>
    <row r="26" spans="1:6" ht="14.25" customHeight="1" x14ac:dyDescent="0.3">
      <c r="A26" s="54"/>
      <c r="B26" s="54"/>
      <c r="C26" s="54"/>
      <c r="D26" s="54"/>
      <c r="E26" s="54"/>
      <c r="F26" s="54"/>
    </row>
    <row r="27" spans="1:6" ht="14.25" customHeight="1" x14ac:dyDescent="0.3">
      <c r="A27" s="57" t="s">
        <v>377</v>
      </c>
      <c r="B27" s="54"/>
      <c r="C27" s="54"/>
      <c r="D27" s="54"/>
      <c r="E27" s="54"/>
      <c r="F27" s="54"/>
    </row>
    <row r="28" spans="1:6" ht="14.25" customHeight="1" x14ac:dyDescent="0.3">
      <c r="A28" s="58" t="s">
        <v>364</v>
      </c>
      <c r="B28" s="59">
        <f>B9/B3</f>
        <v>8.06585169873585E-2</v>
      </c>
      <c r="C28" s="59">
        <f>C9/C3</f>
        <v>8.4898864507478577E-2</v>
      </c>
      <c r="D28" s="59">
        <f>D9/D3</f>
        <v>8.080064061330014E-2</v>
      </c>
      <c r="E28" s="59">
        <f>E9/E3</f>
        <v>7.5597665354572699E-2</v>
      </c>
      <c r="F28" s="59">
        <f>F9/F3</f>
        <v>7.5363763888618512E-2</v>
      </c>
    </row>
    <row r="29" spans="1:6" ht="14.25" customHeight="1" x14ac:dyDescent="0.3">
      <c r="A29" s="58" t="s">
        <v>331</v>
      </c>
      <c r="B29" s="59">
        <f>B11/B3</f>
        <v>6.4579111687753363E-2</v>
      </c>
      <c r="C29" s="59">
        <f>C11/C3</f>
        <v>6.9985779499135828E-2</v>
      </c>
      <c r="D29" s="59">
        <f>D11/D3</f>
        <v>6.6412437537938879E-2</v>
      </c>
      <c r="E29" s="59">
        <f>E11/E3</f>
        <v>6.0948936159459323E-2</v>
      </c>
      <c r="F29" s="59">
        <f>F11/F3</f>
        <v>6.0295341200922906E-2</v>
      </c>
    </row>
    <row r="30" spans="1:6" ht="14.25" customHeight="1" x14ac:dyDescent="0.3">
      <c r="A30" s="58" t="s">
        <v>369</v>
      </c>
      <c r="B30" s="59">
        <f>B14/B3</f>
        <v>6.6635524548307581E-2</v>
      </c>
      <c r="C30" s="59">
        <f>C14/C3</f>
        <v>7.143140592480407E-2</v>
      </c>
      <c r="D30" s="59">
        <f>D14/D3</f>
        <v>6.8151402582024359E-2</v>
      </c>
      <c r="E30" s="59">
        <f>E14/E3</f>
        <v>6.1873157895180088E-2</v>
      </c>
      <c r="F30" s="59">
        <f>F14/F3</f>
        <v>5.9307993491496944E-2</v>
      </c>
    </row>
    <row r="31" spans="1:6" ht="14.25" customHeight="1" x14ac:dyDescent="0.3">
      <c r="A31" s="58" t="s">
        <v>378</v>
      </c>
      <c r="B31" s="59">
        <f>B17/B3</f>
        <v>4.8173973173658527E-2</v>
      </c>
      <c r="C31" s="59">
        <f>C17/C3</f>
        <v>5.5513408634449077E-2</v>
      </c>
      <c r="D31" s="59">
        <f>D17/D3</f>
        <v>4.9913534137328935E-2</v>
      </c>
      <c r="E31" s="59">
        <f>E17/E3</f>
        <v>4.5602576230182663E-2</v>
      </c>
      <c r="F31" s="59">
        <f>F17/F3</f>
        <v>4.3144406758776538E-2</v>
      </c>
    </row>
    <row r="32" spans="1:6" ht="14.25" customHeight="1" x14ac:dyDescent="0.3">
      <c r="A32" s="54"/>
      <c r="B32" s="54"/>
      <c r="C32" s="54"/>
      <c r="D32" s="54"/>
      <c r="E32" s="54"/>
      <c r="F32" s="54"/>
    </row>
    <row r="33" spans="1:8" ht="14.25" customHeight="1" x14ac:dyDescent="0.3">
      <c r="A33" s="57" t="s">
        <v>379</v>
      </c>
      <c r="B33" s="54"/>
      <c r="C33" s="54"/>
      <c r="D33" s="54"/>
      <c r="E33" s="54"/>
      <c r="F33" s="54"/>
    </row>
    <row r="34" spans="1:8" ht="14.25" customHeight="1" x14ac:dyDescent="0.3">
      <c r="A34" s="58" t="s">
        <v>380</v>
      </c>
      <c r="B34" s="59">
        <f>B15/B14</f>
        <v>0.27698002054144094</v>
      </c>
      <c r="C34" s="59">
        <f>C15/C14</f>
        <v>0.2227875650716156</v>
      </c>
      <c r="D34" s="59">
        <f>D15/D14</f>
        <v>0.26744632843444599</v>
      </c>
      <c r="E34" s="59">
        <f>E15/E14</f>
        <v>0.26281152404109309</v>
      </c>
      <c r="F34" s="59">
        <f>F15/F14</f>
        <v>0.27238204438433733</v>
      </c>
      <c r="G34" s="60">
        <f>AVERAGE(B34:F34)</f>
        <v>0.26048149649458657</v>
      </c>
      <c r="H34" s="1" t="s">
        <v>380</v>
      </c>
    </row>
    <row r="35" spans="1:8" ht="14.25" customHeight="1" x14ac:dyDescent="0.3">
      <c r="A35" s="58" t="s">
        <v>381</v>
      </c>
      <c r="B35" s="61">
        <v>0.26</v>
      </c>
      <c r="C35" s="61">
        <f>B35</f>
        <v>0.26</v>
      </c>
      <c r="D35" s="61">
        <f>C35</f>
        <v>0.26</v>
      </c>
      <c r="E35" s="61">
        <f>D35</f>
        <v>0.26</v>
      </c>
      <c r="F35" s="61">
        <f>E35</f>
        <v>0.26</v>
      </c>
    </row>
    <row r="36" spans="1:8" ht="14.25" customHeight="1" x14ac:dyDescent="0.3">
      <c r="A36" s="54"/>
      <c r="B36" s="54"/>
      <c r="C36" s="54"/>
      <c r="D36" s="54"/>
      <c r="E36" s="54"/>
      <c r="F36" s="54"/>
    </row>
    <row r="37" spans="1:8" ht="14.25" customHeight="1" x14ac:dyDescent="0.3">
      <c r="A37" s="57" t="s">
        <v>382</v>
      </c>
      <c r="B37" s="54"/>
      <c r="C37" s="54"/>
      <c r="D37" s="54"/>
      <c r="E37" s="54"/>
      <c r="F37" s="54"/>
    </row>
    <row r="38" spans="1:8" ht="14.25" customHeight="1" x14ac:dyDescent="0.3">
      <c r="A38" s="58" t="s">
        <v>383</v>
      </c>
      <c r="B38" s="62">
        <f>B11*(1-B35)</f>
        <v>1480.3108000000027</v>
      </c>
      <c r="C38" s="62">
        <f>C11*(1-C35)</f>
        <v>2218.6383999999994</v>
      </c>
      <c r="D38" s="62">
        <f>D11*(1-D35)</f>
        <v>2496.0273999999972</v>
      </c>
      <c r="E38" s="62">
        <f>E11*(1-E35)</f>
        <v>2677.1793999999959</v>
      </c>
      <c r="F38" s="62">
        <f>F11*(1-F35)</f>
        <v>3070.6818000000026</v>
      </c>
    </row>
    <row r="39" spans="1:8" ht="14.25" customHeight="1" x14ac:dyDescent="0.3">
      <c r="A39" s="58" t="s">
        <v>384</v>
      </c>
      <c r="B39" s="62">
        <f>'Consolidated Balance sheet'!B11</f>
        <v>13677.64</v>
      </c>
      <c r="C39" s="62">
        <f>'Consolidated Balance sheet'!C11</f>
        <v>16077.79</v>
      </c>
      <c r="D39" s="62">
        <f>'Consolidated Balance sheet'!D11</f>
        <v>18697.82</v>
      </c>
      <c r="E39" s="62">
        <f>'Consolidated Balance sheet'!E11</f>
        <v>21427.75</v>
      </c>
      <c r="F39" s="62">
        <f>'Consolidated Balance sheet'!F11</f>
        <v>24464.04</v>
      </c>
    </row>
    <row r="40" spans="1:8" ht="14.25" customHeight="1" x14ac:dyDescent="0.3">
      <c r="A40" s="58" t="s">
        <v>385</v>
      </c>
      <c r="B40" s="62">
        <f>'Consolidated Balance sheet'!B16+'Consolidated Balance sheet'!B23</f>
        <v>0</v>
      </c>
      <c r="C40" s="62">
        <f>'Consolidated Balance sheet'!C16+'Consolidated Balance sheet'!C23</f>
        <v>0</v>
      </c>
      <c r="D40" s="62">
        <f>'Consolidated Balance sheet'!D16+'Consolidated Balance sheet'!D23</f>
        <v>0</v>
      </c>
      <c r="E40" s="62">
        <f>'Consolidated Balance sheet'!E16+'Consolidated Balance sheet'!E23</f>
        <v>0</v>
      </c>
      <c r="F40" s="62">
        <f>'Consolidated Balance sheet'!F16+'Consolidated Balance sheet'!F23</f>
        <v>2424.9899999999998</v>
      </c>
    </row>
    <row r="41" spans="1:8" ht="14.25" customHeight="1" x14ac:dyDescent="0.3">
      <c r="A41" s="58" t="s">
        <v>386</v>
      </c>
      <c r="B41" s="62">
        <f>'Consolidated Balance sheet'!B45</f>
        <v>298.58</v>
      </c>
      <c r="C41" s="62">
        <f>'Consolidated Balance sheet'!C45</f>
        <v>1408.33</v>
      </c>
      <c r="D41" s="62">
        <f>'Consolidated Balance sheet'!D45</f>
        <v>638.17999999999995</v>
      </c>
      <c r="E41" s="62">
        <f>'Consolidated Balance sheet'!E45</f>
        <v>358.2</v>
      </c>
      <c r="F41" s="62">
        <f>'Consolidated Balance sheet'!F45</f>
        <v>303.77999999999997</v>
      </c>
    </row>
    <row r="42" spans="1:8" ht="14.25" customHeight="1" x14ac:dyDescent="0.3">
      <c r="A42" s="58" t="s">
        <v>387</v>
      </c>
      <c r="B42" s="62">
        <f>B39+B40-B41</f>
        <v>13379.06</v>
      </c>
      <c r="C42" s="62">
        <f>C39+C40-C41</f>
        <v>14669.460000000001</v>
      </c>
      <c r="D42" s="62">
        <f>D39+D40-D41</f>
        <v>18059.64</v>
      </c>
      <c r="E42" s="62">
        <f>E39+E40-E41</f>
        <v>21069.55</v>
      </c>
      <c r="F42" s="62">
        <f>F39+F40-F41</f>
        <v>26585.25</v>
      </c>
    </row>
    <row r="43" spans="1:8" ht="14.25" customHeight="1" x14ac:dyDescent="0.3">
      <c r="A43" s="54"/>
      <c r="B43" s="54"/>
      <c r="C43" s="54"/>
      <c r="D43" s="54"/>
      <c r="E43" s="54"/>
      <c r="F43" s="54"/>
    </row>
    <row r="44" spans="1:8" ht="14.25" customHeight="1" x14ac:dyDescent="0.3">
      <c r="A44" s="58" t="s">
        <v>388</v>
      </c>
      <c r="B44" s="59">
        <f>B11/B42</f>
        <v>0.14951872553079243</v>
      </c>
      <c r="C44" s="59">
        <f>C11/C42</f>
        <v>0.2043810746953193</v>
      </c>
      <c r="D44" s="59">
        <f>D11/D42</f>
        <v>0.18677061115282456</v>
      </c>
      <c r="E44" s="59">
        <f>E11/E42</f>
        <v>0.17170798616961419</v>
      </c>
      <c r="F44" s="59">
        <f>F11/F42</f>
        <v>0.15608542330803749</v>
      </c>
    </row>
    <row r="45" spans="1:8" ht="14.25" customHeight="1" x14ac:dyDescent="0.3">
      <c r="A45" s="58" t="s">
        <v>389</v>
      </c>
      <c r="B45" s="59">
        <f>B38/B42</f>
        <v>0.1106438568927864</v>
      </c>
      <c r="C45" s="59">
        <f>C38/C42</f>
        <v>0.1512419952745363</v>
      </c>
      <c r="D45" s="59">
        <f>D38/D42</f>
        <v>0.13821025225309017</v>
      </c>
      <c r="E45" s="59">
        <f>E38/E42</f>
        <v>0.12706390976551449</v>
      </c>
      <c r="F45" s="59">
        <f>F38/F42</f>
        <v>0.11550321324794774</v>
      </c>
    </row>
    <row r="46" spans="1:8" ht="14.25" customHeight="1" x14ac:dyDescent="0.3">
      <c r="A46" s="44"/>
      <c r="B46" s="54"/>
      <c r="C46" s="54"/>
      <c r="D46" s="54"/>
      <c r="E46" s="54"/>
      <c r="F46" s="54"/>
    </row>
    <row r="47" spans="1:8" ht="14.25" customHeight="1" x14ac:dyDescent="0.3">
      <c r="A47" s="18" t="s">
        <v>390</v>
      </c>
      <c r="B47" s="55">
        <f>((F29/B29)^1/5)-1</f>
        <v>-0.81326673710701669</v>
      </c>
      <c r="C47" s="59"/>
      <c r="D47" s="59"/>
      <c r="E47" s="59"/>
      <c r="F47" s="59"/>
    </row>
    <row r="48" spans="1:8" ht="14.25" customHeight="1" x14ac:dyDescent="0.3">
      <c r="A48" s="18" t="s">
        <v>391</v>
      </c>
      <c r="B48" s="55">
        <f>FCFF!C13*Assumptions!F45</f>
        <v>0.14451849074677264</v>
      </c>
      <c r="C48" s="59"/>
      <c r="D48" s="59"/>
      <c r="E48" s="59"/>
      <c r="F48" s="59"/>
    </row>
  </sheetData>
  <mergeCells count="2">
    <mergeCell ref="A1:F1"/>
    <mergeCell ref="A23:C23"/>
  </mergeCells>
  <pageMargins left="0.7" right="0.7" top="0.75" bottom="0.75" header="0.511811023622047" footer="0.511811023622047"/>
  <pageSetup paperSize="9" orientation="portrait" horizontalDpi="300" verticalDpi="30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J26"/>
  <sheetViews>
    <sheetView showGridLines="0" zoomScaleNormal="100" workbookViewId="0">
      <selection activeCell="D25" sqref="D25"/>
    </sheetView>
  </sheetViews>
  <sheetFormatPr defaultColWidth="9" defaultRowHeight="14.4" x14ac:dyDescent="0.3"/>
  <cols>
    <col min="1" max="1" width="33.6640625" style="1" customWidth="1"/>
    <col min="2" max="2" width="10.44140625" style="1" customWidth="1"/>
    <col min="3" max="3" width="21.77734375" style="1" customWidth="1"/>
    <col min="4" max="4" width="14.109375" style="1" customWidth="1"/>
    <col min="6" max="6" width="19" style="1" customWidth="1"/>
  </cols>
  <sheetData>
    <row r="1" spans="1:10" ht="14.25" customHeight="1" x14ac:dyDescent="0.3">
      <c r="A1" s="277" t="s">
        <v>392</v>
      </c>
      <c r="B1" s="277"/>
      <c r="C1" s="63"/>
      <c r="D1" s="63"/>
      <c r="E1" s="63"/>
    </row>
    <row r="2" spans="1:10" ht="14.25" customHeight="1" x14ac:dyDescent="0.3">
      <c r="A2" s="64" t="s">
        <v>393</v>
      </c>
      <c r="B2" s="33">
        <f>'Consolidated Balance sheet'!F16+'Consolidated Balance sheet'!F23</f>
        <v>2424.9899999999998</v>
      </c>
    </row>
    <row r="3" spans="1:10" ht="14.25" customHeight="1" x14ac:dyDescent="0.3">
      <c r="A3" s="64" t="s">
        <v>394</v>
      </c>
      <c r="B3" s="33">
        <f>'Consolidated Balance sheet'!F6/10*4200</f>
        <v>273823.2</v>
      </c>
    </row>
    <row r="4" spans="1:10" ht="14.25" customHeight="1" x14ac:dyDescent="0.3">
      <c r="A4" s="65" t="s">
        <v>395</v>
      </c>
      <c r="B4" s="33">
        <f>B2+B3</f>
        <v>276248.19</v>
      </c>
    </row>
    <row r="5" spans="1:10" ht="14.25" customHeight="1" x14ac:dyDescent="0.3">
      <c r="A5" s="66" t="s">
        <v>396</v>
      </c>
      <c r="B5" s="30">
        <f>B2/B4</f>
        <v>8.7783018596429528E-3</v>
      </c>
    </row>
    <row r="6" spans="1:10" ht="14.25" customHeight="1" x14ac:dyDescent="0.3">
      <c r="A6" s="66" t="s">
        <v>397</v>
      </c>
      <c r="B6" s="30">
        <f>B3/B4</f>
        <v>0.9912216981403571</v>
      </c>
    </row>
    <row r="7" spans="1:10" ht="14.25" customHeight="1" x14ac:dyDescent="0.3">
      <c r="A7" s="67" t="s">
        <v>398</v>
      </c>
      <c r="B7" s="32">
        <f>B2/B3</f>
        <v>8.856042877301849E-3</v>
      </c>
    </row>
    <row r="9" spans="1:10" ht="14.25" customHeight="1" x14ac:dyDescent="0.3">
      <c r="A9" s="278" t="s">
        <v>399</v>
      </c>
      <c r="B9" s="278"/>
    </row>
    <row r="10" spans="1:10" ht="14.25" customHeight="1" x14ac:dyDescent="0.3">
      <c r="A10" s="68" t="s">
        <v>400</v>
      </c>
      <c r="B10" s="69">
        <v>7.0000000000000007E-2</v>
      </c>
      <c r="D10" s="198" t="s">
        <v>401</v>
      </c>
      <c r="E10" s="198"/>
      <c r="F10" s="198"/>
      <c r="G10" s="198"/>
      <c r="H10" s="198"/>
      <c r="I10" s="198"/>
      <c r="J10" s="198"/>
    </row>
    <row r="11" spans="1:10" ht="14.25" customHeight="1" x14ac:dyDescent="0.3">
      <c r="A11" s="68" t="s">
        <v>402</v>
      </c>
      <c r="B11" s="70">
        <f>Beta!H5</f>
        <v>0.76280297262537133</v>
      </c>
    </row>
    <row r="12" spans="1:10" ht="14.25" customHeight="1" x14ac:dyDescent="0.3">
      <c r="A12" s="68" t="s">
        <v>403</v>
      </c>
      <c r="B12" s="69">
        <v>6.8500000000000005E-2</v>
      </c>
      <c r="D12" s="198" t="s">
        <v>404</v>
      </c>
      <c r="E12" s="198"/>
      <c r="F12" s="198"/>
      <c r="G12" s="198"/>
      <c r="H12" s="198"/>
      <c r="I12" s="198"/>
      <c r="J12" s="198"/>
    </row>
    <row r="13" spans="1:10" ht="14.25" customHeight="1" x14ac:dyDescent="0.3">
      <c r="A13" s="71" t="s">
        <v>405</v>
      </c>
      <c r="B13" s="72">
        <f>B10+B11*(B12)</f>
        <v>0.12225200362483796</v>
      </c>
    </row>
    <row r="15" spans="1:10" ht="14.25" customHeight="1" x14ac:dyDescent="0.3">
      <c r="A15" s="278" t="s">
        <v>406</v>
      </c>
      <c r="B15" s="278"/>
    </row>
    <row r="16" spans="1:10" ht="14.25" customHeight="1" x14ac:dyDescent="0.3">
      <c r="A16" s="73" t="s">
        <v>407</v>
      </c>
      <c r="B16" s="74">
        <f>'Consolidated P&amp;l'!F17</f>
        <v>142.05000000000001</v>
      </c>
    </row>
    <row r="17" spans="1:9" ht="14.25" customHeight="1" x14ac:dyDescent="0.3">
      <c r="A17" s="68" t="s">
        <v>408</v>
      </c>
      <c r="B17" s="75">
        <f>B2</f>
        <v>2424.9899999999998</v>
      </c>
    </row>
    <row r="18" spans="1:9" ht="14.25" customHeight="1" x14ac:dyDescent="0.3">
      <c r="A18" s="68" t="s">
        <v>409</v>
      </c>
      <c r="B18" s="76">
        <f>B16/B17</f>
        <v>5.8577561144582048E-2</v>
      </c>
    </row>
    <row r="19" spans="1:9" ht="14.25" customHeight="1" x14ac:dyDescent="0.3">
      <c r="A19" s="77" t="s">
        <v>379</v>
      </c>
      <c r="B19" s="78">
        <f>Assumptions!G34</f>
        <v>0.26048149649458657</v>
      </c>
    </row>
    <row r="20" spans="1:9" ht="14.25" customHeight="1" x14ac:dyDescent="0.3">
      <c r="A20" s="79" t="s">
        <v>410</v>
      </c>
      <c r="B20" s="80">
        <f>B18*(1-B19)</f>
        <v>4.3319190356638171E-2</v>
      </c>
    </row>
    <row r="22" spans="1:9" ht="17.25" customHeight="1" x14ac:dyDescent="0.3">
      <c r="A22" s="279" t="s">
        <v>411</v>
      </c>
      <c r="B22" s="279"/>
      <c r="C22" s="279"/>
      <c r="D22" s="279"/>
    </row>
    <row r="23" spans="1:9" ht="14.25" customHeight="1" x14ac:dyDescent="0.3">
      <c r="A23" s="81" t="s">
        <v>412</v>
      </c>
      <c r="B23" s="82" t="s">
        <v>413</v>
      </c>
      <c r="C23" s="82" t="s">
        <v>414</v>
      </c>
      <c r="D23" s="83" t="s">
        <v>415</v>
      </c>
    </row>
    <row r="24" spans="1:9" ht="14.25" customHeight="1" x14ac:dyDescent="0.3">
      <c r="A24" s="84" t="s">
        <v>416</v>
      </c>
      <c r="B24" s="85">
        <f>B5</f>
        <v>8.7783018596429528E-3</v>
      </c>
      <c r="C24" s="86">
        <f>B20</f>
        <v>4.3319190356638171E-2</v>
      </c>
      <c r="D24" s="87">
        <f>C24*B24</f>
        <v>3.8026892926590393E-4</v>
      </c>
    </row>
    <row r="25" spans="1:9" ht="14.25" customHeight="1" x14ac:dyDescent="0.3">
      <c r="A25" s="84" t="s">
        <v>417</v>
      </c>
      <c r="B25" s="85">
        <f>B6</f>
        <v>0.9912216981403571</v>
      </c>
      <c r="C25" s="86">
        <f>B13</f>
        <v>0.12225200362483796</v>
      </c>
      <c r="D25" s="87">
        <f>C25*B25</f>
        <v>0.12117883863407297</v>
      </c>
    </row>
    <row r="26" spans="1:9" ht="15" customHeight="1" x14ac:dyDescent="0.3">
      <c r="A26" s="280" t="s">
        <v>411</v>
      </c>
      <c r="B26" s="88">
        <f>B24+B25</f>
        <v>1</v>
      </c>
      <c r="C26" s="89"/>
      <c r="D26" s="90">
        <f>D24+D25</f>
        <v>0.12155910756333888</v>
      </c>
      <c r="F26" s="1" t="s">
        <v>418</v>
      </c>
      <c r="I26" s="91"/>
    </row>
  </sheetData>
  <mergeCells count="6">
    <mergeCell ref="A22:D22"/>
    <mergeCell ref="A1:B1"/>
    <mergeCell ref="A9:B9"/>
    <mergeCell ref="D10:J10"/>
    <mergeCell ref="D12:J12"/>
    <mergeCell ref="A15:B15"/>
  </mergeCells>
  <pageMargins left="0.7" right="0.7" top="0.75" bottom="0.75" header="0.511811023622047" footer="0.511811023622047"/>
  <pageSetup paperSize="9" orientation="portrait" horizontalDpi="300" verticalDpi="30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D3:Q17"/>
  <sheetViews>
    <sheetView showGridLines="0" zoomScaleNormal="100" workbookViewId="0">
      <selection activeCell="N4" sqref="N4"/>
    </sheetView>
  </sheetViews>
  <sheetFormatPr defaultColWidth="9" defaultRowHeight="14.4" x14ac:dyDescent="0.3"/>
  <cols>
    <col min="4" max="4" width="11" style="1" customWidth="1"/>
    <col min="6" max="6" width="14" style="1" customWidth="1"/>
    <col min="7" max="7" width="12" style="1" customWidth="1"/>
    <col min="8" max="8" width="2" style="1" customWidth="1"/>
    <col min="9" max="9" width="11" style="1" customWidth="1"/>
    <col min="11" max="11" width="14" style="1" customWidth="1"/>
    <col min="12" max="12" width="13.33203125" style="1" customWidth="1"/>
    <col min="13" max="13" width="2" style="1" customWidth="1"/>
    <col min="14" max="14" width="11" style="1" customWidth="1"/>
    <col min="16" max="16" width="14" style="1" customWidth="1"/>
    <col min="17" max="17" width="12" style="1" customWidth="1"/>
  </cols>
  <sheetData>
    <row r="3" spans="4:17" ht="14.25" customHeight="1" x14ac:dyDescent="0.3">
      <c r="D3" s="281" t="s">
        <v>419</v>
      </c>
      <c r="E3" s="281"/>
      <c r="F3" s="281"/>
      <c r="G3" s="281"/>
      <c r="I3" s="281" t="s">
        <v>420</v>
      </c>
      <c r="J3" s="281"/>
      <c r="K3" s="281"/>
      <c r="L3" s="281"/>
      <c r="N3" s="281" t="s">
        <v>421</v>
      </c>
      <c r="O3" s="281"/>
      <c r="P3" s="281"/>
      <c r="Q3" s="281"/>
    </row>
    <row r="4" spans="4:17" ht="14.25" customHeight="1" x14ac:dyDescent="0.3">
      <c r="D4" s="282" t="s">
        <v>422</v>
      </c>
      <c r="E4" s="282" t="s">
        <v>423</v>
      </c>
      <c r="F4" s="282" t="s">
        <v>424</v>
      </c>
      <c r="G4" s="282" t="s">
        <v>289</v>
      </c>
      <c r="I4" s="282" t="s">
        <v>422</v>
      </c>
      <c r="J4" s="282" t="s">
        <v>423</v>
      </c>
      <c r="K4" s="282" t="s">
        <v>364</v>
      </c>
      <c r="L4" s="282" t="s">
        <v>290</v>
      </c>
      <c r="N4" s="282" t="s">
        <v>422</v>
      </c>
      <c r="O4" s="282" t="s">
        <v>423</v>
      </c>
      <c r="P4" s="282" t="s">
        <v>425</v>
      </c>
      <c r="Q4" s="282" t="s">
        <v>426</v>
      </c>
    </row>
    <row r="5" spans="4:17" ht="14.25" customHeight="1" x14ac:dyDescent="0.3">
      <c r="D5" s="93">
        <v>1</v>
      </c>
      <c r="E5" s="94">
        <v>44621</v>
      </c>
      <c r="F5" s="95">
        <f>'Consolidated P&amp;l'!B9</f>
        <v>30976.27</v>
      </c>
      <c r="G5" s="96"/>
      <c r="I5" s="93">
        <v>1</v>
      </c>
      <c r="J5" s="94">
        <v>44621</v>
      </c>
      <c r="K5" s="95">
        <f>'Consolidated P&amp;l'!B23+'Consolidated P&amp;l'!B17+'Consolidated P&amp;l'!B18</f>
        <v>2615.9899999999998</v>
      </c>
      <c r="L5" s="96"/>
      <c r="N5" s="93">
        <v>1</v>
      </c>
      <c r="O5" s="94">
        <v>44621</v>
      </c>
      <c r="P5" s="95">
        <f>'Consolidated P&amp;l'!B39</f>
        <v>23</v>
      </c>
      <c r="Q5" s="96"/>
    </row>
    <row r="6" spans="4:17" ht="14.25" customHeight="1" x14ac:dyDescent="0.3">
      <c r="D6" s="93">
        <f t="shared" ref="D6:D14" si="0">D5+1</f>
        <v>2</v>
      </c>
      <c r="E6" s="94">
        <v>44986</v>
      </c>
      <c r="F6" s="95">
        <f>'Consolidated P&amp;l'!C9</f>
        <v>42839.56</v>
      </c>
      <c r="G6" s="31">
        <f t="shared" ref="G6:G14" si="1">(F6-F5)/F5</f>
        <v>0.38297993915987938</v>
      </c>
      <c r="I6" s="93">
        <f t="shared" ref="I6:I14" si="2">I5+1</f>
        <v>2</v>
      </c>
      <c r="J6" s="94">
        <v>44986</v>
      </c>
      <c r="K6" s="95">
        <f>'Consolidated P&amp;l'!C23+'Consolidated P&amp;l'!C17+'Consolidated P&amp;l'!C18</f>
        <v>3766.37</v>
      </c>
      <c r="L6" s="31">
        <f t="shared" ref="L6:L14" si="3">(K6-K5)/K5</f>
        <v>0.43974938742120584</v>
      </c>
      <c r="N6" s="93">
        <f t="shared" ref="N6:N14" si="4">N5+1</f>
        <v>2</v>
      </c>
      <c r="O6" s="94">
        <v>44986</v>
      </c>
      <c r="P6" s="95">
        <f>'Consolidated P&amp;l'!C39</f>
        <v>37</v>
      </c>
      <c r="Q6" s="31">
        <f t="shared" ref="Q6:Q14" si="5">(P6-P5)/P5</f>
        <v>0.60869565217391308</v>
      </c>
    </row>
    <row r="7" spans="4:17" ht="14.25" customHeight="1" x14ac:dyDescent="0.3">
      <c r="D7" s="93">
        <f t="shared" si="0"/>
        <v>3</v>
      </c>
      <c r="E7" s="94">
        <v>45352</v>
      </c>
      <c r="F7" s="95">
        <f>'Consolidated P&amp;l'!D9</f>
        <v>50788.83</v>
      </c>
      <c r="G7" s="31">
        <f t="shared" si="1"/>
        <v>0.18555909537819726</v>
      </c>
      <c r="I7" s="93">
        <f t="shared" si="2"/>
        <v>3</v>
      </c>
      <c r="J7" s="94">
        <v>45352</v>
      </c>
      <c r="K7" s="95">
        <f>'Consolidated P&amp;l'!D23+'Consolidated P&amp;l'!D17+'Consolidated P&amp;l'!D18</f>
        <v>4250.22</v>
      </c>
      <c r="L7" s="31">
        <f t="shared" si="3"/>
        <v>0.12846587032075987</v>
      </c>
      <c r="N7" s="93">
        <f t="shared" si="4"/>
        <v>3</v>
      </c>
      <c r="O7" s="94">
        <v>45352</v>
      </c>
      <c r="P7" s="95">
        <f>'Consolidated P&amp;l'!D39</f>
        <v>39</v>
      </c>
      <c r="Q7" s="31">
        <f t="shared" si="5"/>
        <v>5.4054054054054057E-2</v>
      </c>
    </row>
    <row r="8" spans="4:17" ht="14.25" customHeight="1" x14ac:dyDescent="0.3">
      <c r="D8" s="93">
        <f t="shared" si="0"/>
        <v>4</v>
      </c>
      <c r="E8" s="94">
        <v>45717</v>
      </c>
      <c r="F8" s="95">
        <f>'Consolidated P&amp;l'!E9</f>
        <v>59358.05</v>
      </c>
      <c r="G8" s="31">
        <f t="shared" si="1"/>
        <v>0.16872253210007004</v>
      </c>
      <c r="I8" s="93">
        <f t="shared" si="2"/>
        <v>4</v>
      </c>
      <c r="J8" s="94">
        <v>45717</v>
      </c>
      <c r="K8" s="95">
        <f>'Consolidated P&amp;l'!E23+'Consolidated P&amp;l'!E17+'Consolidated P&amp;l'!E18</f>
        <v>4611.6399999999994</v>
      </c>
      <c r="L8" s="31">
        <f t="shared" si="3"/>
        <v>8.5035598157271658E-2</v>
      </c>
      <c r="N8" s="93">
        <f t="shared" si="4"/>
        <v>4</v>
      </c>
      <c r="O8" s="94">
        <v>45717</v>
      </c>
      <c r="P8" s="95">
        <f>'Consolidated P&amp;l'!E39</f>
        <v>42</v>
      </c>
      <c r="Q8" s="31">
        <f t="shared" si="5"/>
        <v>7.6923076923076927E-2</v>
      </c>
    </row>
    <row r="9" spans="4:17" ht="14.25" customHeight="1" x14ac:dyDescent="0.3">
      <c r="D9" s="93">
        <f t="shared" si="0"/>
        <v>5</v>
      </c>
      <c r="E9" s="94">
        <v>46082</v>
      </c>
      <c r="F9" s="95">
        <f>'Consolidated P&amp;l'!F9</f>
        <v>68820.740000000005</v>
      </c>
      <c r="G9" s="31">
        <f t="shared" si="1"/>
        <v>0.15941713044818692</v>
      </c>
      <c r="I9" s="93">
        <f t="shared" si="2"/>
        <v>5</v>
      </c>
      <c r="J9" s="94">
        <v>46082</v>
      </c>
      <c r="K9" s="33">
        <f>'Consolidated P&amp;l'!F23+'Consolidated P&amp;l'!F17+'Consolidated P&amp;l'!F18</f>
        <v>5260.6900000000005</v>
      </c>
      <c r="L9" s="31">
        <f t="shared" si="3"/>
        <v>0.14074168842320761</v>
      </c>
      <c r="N9" s="93">
        <f t="shared" si="4"/>
        <v>5</v>
      </c>
      <c r="O9" s="94">
        <v>46082</v>
      </c>
      <c r="P9" s="33">
        <f>'Consolidated P&amp;l'!F39</f>
        <v>46</v>
      </c>
      <c r="Q9" s="31">
        <f t="shared" si="5"/>
        <v>9.5238095238095233E-2</v>
      </c>
    </row>
    <row r="10" spans="4:17" ht="14.25" customHeight="1" x14ac:dyDescent="0.3">
      <c r="D10" s="97">
        <f t="shared" si="0"/>
        <v>6</v>
      </c>
      <c r="E10" s="98">
        <v>46447</v>
      </c>
      <c r="F10" s="99">
        <f>FORECAST(D10,$F$5:$F$9,$D$5:$D$9)</f>
        <v>78218.919000000009</v>
      </c>
      <c r="G10" s="100">
        <f t="shared" si="1"/>
        <v>0.13656027238300553</v>
      </c>
      <c r="I10" s="97">
        <f t="shared" si="2"/>
        <v>6</v>
      </c>
      <c r="J10" s="98">
        <v>46447</v>
      </c>
      <c r="K10" s="99">
        <f>FORECAST(I10,$K$5:$K$9,$I$5:$I$9)</f>
        <v>5941.3829999999998</v>
      </c>
      <c r="L10" s="100">
        <f t="shared" si="3"/>
        <v>0.12939234206919611</v>
      </c>
      <c r="N10" s="97">
        <f t="shared" si="4"/>
        <v>6</v>
      </c>
      <c r="O10" s="98">
        <v>46447</v>
      </c>
      <c r="P10" s="99">
        <f>FORECAST(N10,$P$5:$P$9,$N$5:$N$9)</f>
        <v>52.7</v>
      </c>
      <c r="Q10" s="100">
        <f t="shared" si="5"/>
        <v>0.14565217391304355</v>
      </c>
    </row>
    <row r="11" spans="4:17" ht="14.25" customHeight="1" x14ac:dyDescent="0.3">
      <c r="D11" s="97">
        <f t="shared" si="0"/>
        <v>7</v>
      </c>
      <c r="E11" s="98">
        <v>46813</v>
      </c>
      <c r="F11" s="99">
        <f>FORECAST(D11,$F$5:$F$9,$D$5:$D$9)</f>
        <v>87439.662000000011</v>
      </c>
      <c r="G11" s="100">
        <f t="shared" si="1"/>
        <v>0.11788379483996705</v>
      </c>
      <c r="I11" s="97">
        <f t="shared" si="2"/>
        <v>7</v>
      </c>
      <c r="J11" s="98">
        <v>46813</v>
      </c>
      <c r="K11" s="99">
        <f>FORECAST(I11,$K$5:$K$9,$I$5:$I$9)</f>
        <v>6554.85</v>
      </c>
      <c r="L11" s="100">
        <f t="shared" si="3"/>
        <v>0.10325323245446398</v>
      </c>
      <c r="N11" s="97">
        <f t="shared" si="4"/>
        <v>7</v>
      </c>
      <c r="O11" s="98">
        <v>46813</v>
      </c>
      <c r="P11" s="99">
        <f>FORECAST(N11,$P$5:$P$9,$N$5:$N$9)</f>
        <v>57.8</v>
      </c>
      <c r="Q11" s="100">
        <f t="shared" si="5"/>
        <v>9.6774193548386983E-2</v>
      </c>
    </row>
    <row r="12" spans="4:17" ht="14.25" customHeight="1" x14ac:dyDescent="0.3">
      <c r="D12" s="97">
        <f t="shared" si="0"/>
        <v>8</v>
      </c>
      <c r="E12" s="98">
        <v>47178</v>
      </c>
      <c r="F12" s="99">
        <f>FORECAST(D12,$F$5:$F$9,$D$5:$D$9)</f>
        <v>96660.405000000013</v>
      </c>
      <c r="G12" s="100">
        <f t="shared" si="1"/>
        <v>0.10545263772863167</v>
      </c>
      <c r="I12" s="97">
        <f t="shared" si="2"/>
        <v>8</v>
      </c>
      <c r="J12" s="98">
        <v>47178</v>
      </c>
      <c r="K12" s="99">
        <f>FORECAST(I12,$K$5:$K$9,$I$5:$I$9)</f>
        <v>7168.3170000000009</v>
      </c>
      <c r="L12" s="100">
        <f t="shared" si="3"/>
        <v>9.3589784663264688E-2</v>
      </c>
      <c r="N12" s="97">
        <f t="shared" si="4"/>
        <v>8</v>
      </c>
      <c r="O12" s="98">
        <v>47178</v>
      </c>
      <c r="P12" s="99">
        <f>FORECAST(N12,$P$5:$P$9,$N$5:$N$9)</f>
        <v>62.9</v>
      </c>
      <c r="Q12" s="100">
        <f t="shared" si="5"/>
        <v>8.8235294117647092E-2</v>
      </c>
    </row>
    <row r="13" spans="4:17" ht="14.25" customHeight="1" x14ac:dyDescent="0.3">
      <c r="D13" s="97">
        <f t="shared" si="0"/>
        <v>9</v>
      </c>
      <c r="E13" s="98">
        <v>47543</v>
      </c>
      <c r="F13" s="99">
        <f>FORECAST(D13,$F$5:$F$9,$D$5:$D$9)</f>
        <v>105881.14800000002</v>
      </c>
      <c r="G13" s="100">
        <f t="shared" si="1"/>
        <v>9.5393175726917356E-2</v>
      </c>
      <c r="I13" s="97">
        <f t="shared" si="2"/>
        <v>9</v>
      </c>
      <c r="J13" s="98">
        <v>47543</v>
      </c>
      <c r="K13" s="99">
        <f>FORECAST(I13,$K$5:$K$9,$I$5:$I$9)</f>
        <v>7781.7840000000015</v>
      </c>
      <c r="L13" s="100">
        <f t="shared" si="3"/>
        <v>8.5580339150737955E-2</v>
      </c>
      <c r="N13" s="97">
        <f t="shared" si="4"/>
        <v>9</v>
      </c>
      <c r="O13" s="98">
        <v>47543</v>
      </c>
      <c r="P13" s="99">
        <f>FORECAST(N13,$P$5:$P$9,$N$5:$N$9)</f>
        <v>68</v>
      </c>
      <c r="Q13" s="100">
        <f t="shared" si="5"/>
        <v>8.1081081081081099E-2</v>
      </c>
    </row>
    <row r="14" spans="4:17" ht="14.25" customHeight="1" x14ac:dyDescent="0.3">
      <c r="D14" s="97">
        <f t="shared" si="0"/>
        <v>10</v>
      </c>
      <c r="E14" s="98">
        <v>47908</v>
      </c>
      <c r="F14" s="99">
        <f>FORECAST(D14,$F$5:$F$9,$D$5:$D$9)</f>
        <v>115101.89100000002</v>
      </c>
      <c r="G14" s="100">
        <f t="shared" si="1"/>
        <v>8.7085786036245103E-2</v>
      </c>
      <c r="I14" s="97">
        <f t="shared" si="2"/>
        <v>10</v>
      </c>
      <c r="J14" s="98">
        <v>47908</v>
      </c>
      <c r="K14" s="99">
        <f>FORECAST(I14,$K$5:$K$9,$I$5:$I$9)</f>
        <v>8395.2510000000002</v>
      </c>
      <c r="L14" s="100">
        <f t="shared" si="3"/>
        <v>7.8833722447191876E-2</v>
      </c>
      <c r="N14" s="97">
        <f t="shared" si="4"/>
        <v>10</v>
      </c>
      <c r="O14" s="98">
        <v>47908</v>
      </c>
      <c r="P14" s="99">
        <f>FORECAST(N14,$P$5:$P$9,$N$5:$N$9)</f>
        <v>73.099999999999994</v>
      </c>
      <c r="Q14" s="100">
        <f t="shared" si="5"/>
        <v>7.4999999999999914E-2</v>
      </c>
    </row>
    <row r="16" spans="4:17" ht="14.25" customHeight="1" x14ac:dyDescent="0.3">
      <c r="D16" s="39" t="s">
        <v>427</v>
      </c>
      <c r="F16" s="46">
        <f>AVERAGE(G6:G9)</f>
        <v>0.22416967427158341</v>
      </c>
      <c r="I16" s="39" t="s">
        <v>427</v>
      </c>
      <c r="K16" s="46">
        <f>AVERAGE(L6:L9)</f>
        <v>0.19849813608061123</v>
      </c>
      <c r="N16" s="39" t="s">
        <v>427</v>
      </c>
      <c r="P16" s="46">
        <f>AVERAGE(Q6:Q9)</f>
        <v>0.20872771959728484</v>
      </c>
    </row>
    <row r="17" spans="4:16" ht="14.25" customHeight="1" x14ac:dyDescent="0.3">
      <c r="D17" s="39" t="s">
        <v>428</v>
      </c>
      <c r="F17" s="46">
        <f>AVERAGE(G10:G14)</f>
        <v>0.10847513334295333</v>
      </c>
      <c r="I17" s="39" t="s">
        <v>428</v>
      </c>
      <c r="K17" s="46">
        <f>AVERAGE(L10:L14)</f>
        <v>9.8129884156970923E-2</v>
      </c>
      <c r="N17" s="39" t="s">
        <v>428</v>
      </c>
      <c r="P17" s="46">
        <f>AVERAGE(Q10:Q14)</f>
        <v>9.7348548532031717E-2</v>
      </c>
    </row>
  </sheetData>
  <mergeCells count="3">
    <mergeCell ref="D3:G3"/>
    <mergeCell ref="I3:L3"/>
    <mergeCell ref="N3:Q3"/>
  </mergeCells>
  <pageMargins left="0.7" right="0.7" top="0.75" bottom="0.75" header="0.511811023622047" footer="0.511811023622047"/>
  <pageSetup paperSize="9" orientation="portrait" horizontalDpi="300" verticalDpi="300"/>
  <drawing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P31"/>
  <sheetViews>
    <sheetView showGridLines="0" zoomScaleNormal="100" workbookViewId="0">
      <selection activeCell="B3" sqref="B3"/>
    </sheetView>
  </sheetViews>
  <sheetFormatPr defaultColWidth="9" defaultRowHeight="14.4" x14ac:dyDescent="0.3"/>
  <cols>
    <col min="1" max="1" width="22" style="1" customWidth="1"/>
    <col min="2" max="2" width="14" style="1" customWidth="1"/>
    <col min="3" max="12" width="13" style="1" customWidth="1"/>
    <col min="13" max="13" width="16" style="1" customWidth="1"/>
    <col min="14" max="16" width="14" style="1" customWidth="1"/>
  </cols>
  <sheetData>
    <row r="1" spans="1:16" ht="14.25" customHeight="1" x14ac:dyDescent="0.3">
      <c r="A1" s="101" t="s">
        <v>429</v>
      </c>
      <c r="B1" s="36"/>
      <c r="C1" s="36"/>
      <c r="D1" s="36"/>
      <c r="E1" s="36"/>
      <c r="F1" s="36"/>
      <c r="G1" s="36"/>
      <c r="H1" s="36"/>
      <c r="I1" s="36"/>
      <c r="J1" s="36"/>
      <c r="K1" s="36"/>
      <c r="L1" s="36"/>
    </row>
    <row r="2" spans="1:16" ht="14.25" customHeight="1" x14ac:dyDescent="0.3">
      <c r="A2" s="92" t="s">
        <v>430</v>
      </c>
      <c r="B2" s="92" t="s">
        <v>431</v>
      </c>
      <c r="C2" s="92" t="s">
        <v>432</v>
      </c>
      <c r="D2" s="92" t="s">
        <v>433</v>
      </c>
      <c r="E2" s="92" t="s">
        <v>434</v>
      </c>
      <c r="F2" s="92" t="s">
        <v>435</v>
      </c>
      <c r="G2" s="92" t="s">
        <v>436</v>
      </c>
      <c r="H2" s="92" t="s">
        <v>437</v>
      </c>
      <c r="I2" s="92" t="s">
        <v>438</v>
      </c>
      <c r="J2" s="92" t="s">
        <v>439</v>
      </c>
      <c r="K2" s="92" t="s">
        <v>440</v>
      </c>
      <c r="L2" s="92" t="s">
        <v>441</v>
      </c>
    </row>
    <row r="3" spans="1:16" ht="14.25" customHeight="1" x14ac:dyDescent="0.3">
      <c r="A3" s="102" t="s">
        <v>424</v>
      </c>
      <c r="B3" s="103">
        <f>Assumptions!F3</f>
        <v>68820.740000000005</v>
      </c>
      <c r="C3" s="103">
        <f t="shared" ref="C3:L3" si="0">B3*(1+C4)</f>
        <v>84021.782808873642</v>
      </c>
      <c r="D3" s="103">
        <f t="shared" si="0"/>
        <v>101206.38872268487</v>
      </c>
      <c r="E3" s="103">
        <f t="shared" si="0"/>
        <v>120250.63817578202</v>
      </c>
      <c r="F3" s="103">
        <f t="shared" si="0"/>
        <v>140912.00702567349</v>
      </c>
      <c r="G3" s="103">
        <f t="shared" si="0"/>
        <v>162819.03349959495</v>
      </c>
      <c r="H3" s="103">
        <f t="shared" si="0"/>
        <v>185469.24550321602</v>
      </c>
      <c r="I3" s="103">
        <f t="shared" si="0"/>
        <v>208237.37620122277</v>
      </c>
      <c r="J3" s="103">
        <f t="shared" si="0"/>
        <v>230395.1659785785</v>
      </c>
      <c r="K3" s="103">
        <f t="shared" si="0"/>
        <v>251142.98806690433</v>
      </c>
      <c r="L3" s="103">
        <f t="shared" si="0"/>
        <v>269652.22628743522</v>
      </c>
      <c r="M3" s="39" t="s">
        <v>375</v>
      </c>
      <c r="N3" s="104">
        <f>Assumptions!B25</f>
        <v>0.22087880497759294</v>
      </c>
      <c r="P3" s="105" t="s">
        <v>442</v>
      </c>
    </row>
    <row r="4" spans="1:16" ht="14.25" customHeight="1" x14ac:dyDescent="0.3">
      <c r="A4" s="102" t="s">
        <v>443</v>
      </c>
      <c r="B4" s="106"/>
      <c r="C4" s="107">
        <f>N3</f>
        <v>0.22087880497759294</v>
      </c>
      <c r="D4" s="107">
        <f t="shared" ref="D4:L4" si="1">C4-$O$4</f>
        <v>0.20452560442452705</v>
      </c>
      <c r="E4" s="107">
        <f t="shared" si="1"/>
        <v>0.18817240387146117</v>
      </c>
      <c r="F4" s="107">
        <f t="shared" si="1"/>
        <v>0.17181920331839529</v>
      </c>
      <c r="G4" s="107">
        <f t="shared" si="1"/>
        <v>0.1554660027653294</v>
      </c>
      <c r="H4" s="107">
        <f t="shared" si="1"/>
        <v>0.13911280221226352</v>
      </c>
      <c r="I4" s="107">
        <f t="shared" si="1"/>
        <v>0.12275960165919764</v>
      </c>
      <c r="J4" s="107">
        <f t="shared" si="1"/>
        <v>0.10640640110613175</v>
      </c>
      <c r="K4" s="107">
        <f t="shared" si="1"/>
        <v>9.0053200553065871E-2</v>
      </c>
      <c r="L4" s="107">
        <f t="shared" si="1"/>
        <v>7.3699999999999988E-2</v>
      </c>
      <c r="M4" s="60">
        <v>7.3700000000000002E-2</v>
      </c>
      <c r="N4" s="104">
        <f>N3-M4</f>
        <v>0.14717880497759295</v>
      </c>
      <c r="O4" s="104">
        <f>N4/9</f>
        <v>1.6353200553065883E-2</v>
      </c>
      <c r="P4" s="60">
        <f>M4</f>
        <v>7.3700000000000002E-2</v>
      </c>
    </row>
    <row r="5" spans="1:16" ht="14.25" customHeight="1" x14ac:dyDescent="0.3">
      <c r="A5" s="36"/>
      <c r="B5" s="108"/>
      <c r="C5" s="109"/>
      <c r="D5" s="109"/>
      <c r="E5" s="109"/>
      <c r="F5" s="109"/>
      <c r="G5" s="109"/>
      <c r="H5" s="109"/>
      <c r="I5" s="109"/>
      <c r="J5" s="109"/>
      <c r="K5" s="109"/>
      <c r="L5" s="109"/>
    </row>
    <row r="6" spans="1:16" ht="14.25" customHeight="1" x14ac:dyDescent="0.3">
      <c r="A6" s="110" t="s">
        <v>444</v>
      </c>
      <c r="B6" s="111"/>
      <c r="C6" s="111"/>
      <c r="D6" s="111"/>
      <c r="E6" s="111"/>
      <c r="F6" s="111"/>
      <c r="G6" s="111"/>
      <c r="H6" s="111"/>
      <c r="I6" s="111"/>
      <c r="J6" s="111"/>
      <c r="K6" s="111"/>
      <c r="L6" s="111"/>
    </row>
    <row r="7" spans="1:16" ht="14.25" customHeight="1" x14ac:dyDescent="0.3">
      <c r="A7" s="112" t="s">
        <v>430</v>
      </c>
      <c r="B7" s="112" t="s">
        <v>431</v>
      </c>
      <c r="C7" s="112" t="s">
        <v>432</v>
      </c>
      <c r="D7" s="112" t="s">
        <v>433</v>
      </c>
      <c r="E7" s="112" t="s">
        <v>434</v>
      </c>
      <c r="F7" s="112" t="s">
        <v>435</v>
      </c>
      <c r="G7" s="112" t="s">
        <v>436</v>
      </c>
      <c r="H7" s="112" t="s">
        <v>437</v>
      </c>
      <c r="I7" s="112" t="s">
        <v>438</v>
      </c>
      <c r="J7" s="112" t="s">
        <v>439</v>
      </c>
      <c r="K7" s="112" t="s">
        <v>440</v>
      </c>
      <c r="L7" s="112" t="s">
        <v>441</v>
      </c>
      <c r="M7" s="39" t="s">
        <v>445</v>
      </c>
      <c r="N7" s="104">
        <f>Assumptions!B24</f>
        <v>0.22416967427158341</v>
      </c>
    </row>
    <row r="8" spans="1:16" ht="14.25" customHeight="1" x14ac:dyDescent="0.3">
      <c r="A8" s="113" t="s">
        <v>424</v>
      </c>
      <c r="B8" s="114">
        <f>B3</f>
        <v>68820.740000000005</v>
      </c>
      <c r="C8" s="114">
        <f t="shared" ref="C8:L8" si="2">B8*(1+C9)</f>
        <v>84248.262868929334</v>
      </c>
      <c r="D8" s="114">
        <f t="shared" si="2"/>
        <v>101725.63421733346</v>
      </c>
      <c r="E8" s="114">
        <f t="shared" si="2"/>
        <v>121127.96471695838</v>
      </c>
      <c r="F8" s="114">
        <f t="shared" si="2"/>
        <v>142205.81931402526</v>
      </c>
      <c r="G8" s="114">
        <f t="shared" si="2"/>
        <v>164573.97892619393</v>
      </c>
      <c r="H8" s="114">
        <f t="shared" si="2"/>
        <v>187709.0336186557</v>
      </c>
      <c r="I8" s="114">
        <f t="shared" si="2"/>
        <v>210958.02844516156</v>
      </c>
      <c r="J8" s="114">
        <f t="shared" si="2"/>
        <v>233559.58754715195</v>
      </c>
      <c r="K8" s="114">
        <f t="shared" si="2"/>
        <v>254677.77748951319</v>
      </c>
      <c r="L8" s="114">
        <f t="shared" si="2"/>
        <v>273447.52969049034</v>
      </c>
      <c r="N8" s="104">
        <f>M4</f>
        <v>7.3700000000000002E-2</v>
      </c>
      <c r="O8" s="104">
        <f>N7-N8</f>
        <v>0.15046967427158342</v>
      </c>
      <c r="P8" s="104">
        <f>O8/9</f>
        <v>1.6718852696842604E-2</v>
      </c>
    </row>
    <row r="9" spans="1:16" ht="14.25" customHeight="1" x14ac:dyDescent="0.3">
      <c r="A9" s="113" t="s">
        <v>443</v>
      </c>
      <c r="B9" s="115"/>
      <c r="C9" s="116">
        <f>N7</f>
        <v>0.22416967427158341</v>
      </c>
      <c r="D9" s="116">
        <f t="shared" ref="D9:L9" si="3">C9-$P$8</f>
        <v>0.20745082157474082</v>
      </c>
      <c r="E9" s="116">
        <f t="shared" si="3"/>
        <v>0.19073196887789823</v>
      </c>
      <c r="F9" s="116">
        <f t="shared" si="3"/>
        <v>0.17401311618105564</v>
      </c>
      <c r="G9" s="116">
        <f t="shared" si="3"/>
        <v>0.15729426348421305</v>
      </c>
      <c r="H9" s="116">
        <f t="shared" si="3"/>
        <v>0.14057541078737046</v>
      </c>
      <c r="I9" s="116">
        <f t="shared" si="3"/>
        <v>0.12385655809052785</v>
      </c>
      <c r="J9" s="116">
        <f t="shared" si="3"/>
        <v>0.10713770539368525</v>
      </c>
      <c r="K9" s="116">
        <f t="shared" si="3"/>
        <v>9.0418852696842647E-2</v>
      </c>
      <c r="L9" s="116">
        <f t="shared" si="3"/>
        <v>7.3700000000000043E-2</v>
      </c>
    </row>
    <row r="10" spans="1:16" ht="14.25" customHeight="1" x14ac:dyDescent="0.3">
      <c r="A10" s="36"/>
      <c r="B10" s="108"/>
      <c r="C10" s="108"/>
      <c r="D10" s="108"/>
      <c r="E10" s="108"/>
      <c r="F10" s="108"/>
      <c r="G10" s="108"/>
      <c r="H10" s="108"/>
      <c r="I10" s="108"/>
      <c r="J10" s="108"/>
      <c r="K10" s="108"/>
      <c r="L10" s="108"/>
    </row>
    <row r="11" spans="1:16" ht="14.25" customHeight="1" x14ac:dyDescent="0.3">
      <c r="A11" s="117" t="s">
        <v>446</v>
      </c>
      <c r="B11" s="108"/>
      <c r="C11" s="108"/>
      <c r="D11" s="108"/>
      <c r="E11" s="108"/>
      <c r="F11" s="108"/>
      <c r="G11" s="108"/>
      <c r="H11" s="108"/>
      <c r="I11" s="108"/>
      <c r="J11" s="108"/>
      <c r="K11" s="108"/>
      <c r="L11" s="108"/>
    </row>
    <row r="12" spans="1:16" ht="14.25" customHeight="1" x14ac:dyDescent="0.3">
      <c r="A12" s="118" t="s">
        <v>430</v>
      </c>
      <c r="B12" s="118" t="s">
        <v>431</v>
      </c>
      <c r="C12" s="118" t="s">
        <v>432</v>
      </c>
      <c r="D12" s="118" t="s">
        <v>433</v>
      </c>
      <c r="E12" s="118" t="s">
        <v>434</v>
      </c>
      <c r="F12" s="118" t="s">
        <v>435</v>
      </c>
      <c r="G12" s="118" t="s">
        <v>436</v>
      </c>
      <c r="H12" s="118" t="s">
        <v>437</v>
      </c>
      <c r="I12" s="118" t="s">
        <v>438</v>
      </c>
      <c r="J12" s="118" t="s">
        <v>439</v>
      </c>
      <c r="K12" s="118" t="s">
        <v>440</v>
      </c>
      <c r="L12" s="118" t="s">
        <v>441</v>
      </c>
      <c r="N12" s="104">
        <f>Assumptions!B47</f>
        <v>-0.81326673710701669</v>
      </c>
    </row>
    <row r="13" spans="1:16" ht="14.25" customHeight="1" x14ac:dyDescent="0.3">
      <c r="A13" s="119" t="s">
        <v>424</v>
      </c>
      <c r="B13" s="120">
        <f>B8</f>
        <v>68820.740000000005</v>
      </c>
      <c r="C13" s="120">
        <f t="shared" ref="C13:L13" si="4">B13*(1+C14)</f>
        <v>12851.121334909652</v>
      </c>
      <c r="D13" s="120">
        <f t="shared" si="4"/>
        <v>3666.2337252114421</v>
      </c>
      <c r="E13" s="120">
        <f t="shared" si="4"/>
        <v>1407.2360893086955</v>
      </c>
      <c r="F13" s="120">
        <f t="shared" si="4"/>
        <v>678.83498744183157</v>
      </c>
      <c r="G13" s="120">
        <f t="shared" si="4"/>
        <v>394.36287387998118</v>
      </c>
      <c r="H13" s="120">
        <f t="shared" si="4"/>
        <v>267.96663924872558</v>
      </c>
      <c r="I13" s="120">
        <f t="shared" si="4"/>
        <v>208.48994867203157</v>
      </c>
      <c r="J13" s="120">
        <f t="shared" si="4"/>
        <v>182.7615135573289</v>
      </c>
      <c r="K13" s="120">
        <f t="shared" si="4"/>
        <v>178.21955006776136</v>
      </c>
      <c r="L13" s="120">
        <f t="shared" si="4"/>
        <v>191.35433090775535</v>
      </c>
      <c r="N13" s="104">
        <f>N8</f>
        <v>7.3700000000000002E-2</v>
      </c>
      <c r="O13" s="104">
        <f>N12-N13</f>
        <v>-0.88696673710701668</v>
      </c>
      <c r="P13" s="104">
        <f>O13/9</f>
        <v>-9.855185967855741E-2</v>
      </c>
    </row>
    <row r="14" spans="1:16" ht="14.25" customHeight="1" x14ac:dyDescent="0.3">
      <c r="A14" s="119" t="s">
        <v>443</v>
      </c>
      <c r="B14" s="121"/>
      <c r="C14" s="122">
        <f>N12</f>
        <v>-0.81326673710701669</v>
      </c>
      <c r="D14" s="122">
        <f t="shared" ref="D14:L14" si="5">C14-($P$13)</f>
        <v>-0.71471487742845929</v>
      </c>
      <c r="E14" s="122">
        <f t="shared" si="5"/>
        <v>-0.6161630177499019</v>
      </c>
      <c r="F14" s="122">
        <f t="shared" si="5"/>
        <v>-0.5176111580713445</v>
      </c>
      <c r="G14" s="122">
        <f t="shared" si="5"/>
        <v>-0.41905929839278711</v>
      </c>
      <c r="H14" s="122">
        <f t="shared" si="5"/>
        <v>-0.32050743871422971</v>
      </c>
      <c r="I14" s="122">
        <f t="shared" si="5"/>
        <v>-0.22195557903567231</v>
      </c>
      <c r="J14" s="122">
        <f t="shared" si="5"/>
        <v>-0.1234037193571149</v>
      </c>
      <c r="K14" s="122">
        <f t="shared" si="5"/>
        <v>-2.4851859678557492E-2</v>
      </c>
      <c r="L14" s="122">
        <f t="shared" si="5"/>
        <v>7.3699999999999918E-2</v>
      </c>
    </row>
    <row r="15" spans="1:16" ht="14.25" customHeight="1" x14ac:dyDescent="0.3">
      <c r="A15" s="36"/>
      <c r="B15" s="108"/>
      <c r="C15" s="108"/>
      <c r="D15" s="108"/>
      <c r="E15" s="108"/>
      <c r="F15" s="108"/>
      <c r="G15" s="108"/>
      <c r="H15" s="108"/>
      <c r="I15" s="108"/>
      <c r="J15" s="108"/>
      <c r="K15" s="108"/>
      <c r="L15" s="108"/>
    </row>
    <row r="16" spans="1:16" ht="15" customHeight="1" x14ac:dyDescent="0.3">
      <c r="A16" s="37" t="s">
        <v>447</v>
      </c>
      <c r="B16" s="123">
        <v>3</v>
      </c>
      <c r="C16" s="108"/>
      <c r="D16" s="108"/>
      <c r="E16" s="108"/>
      <c r="F16" s="108"/>
      <c r="G16" s="108"/>
      <c r="H16" s="108"/>
      <c r="I16" s="108"/>
      <c r="J16" s="108"/>
      <c r="K16" s="108"/>
      <c r="L16" s="108"/>
    </row>
    <row r="17" spans="1:12" ht="14.25" customHeight="1" x14ac:dyDescent="0.3">
      <c r="A17" s="124" t="s">
        <v>430</v>
      </c>
      <c r="B17" s="111"/>
      <c r="C17" s="124" t="s">
        <v>432</v>
      </c>
      <c r="D17" s="124" t="s">
        <v>433</v>
      </c>
      <c r="E17" s="124" t="s">
        <v>434</v>
      </c>
      <c r="F17" s="124" t="s">
        <v>435</v>
      </c>
      <c r="G17" s="124" t="s">
        <v>436</v>
      </c>
      <c r="H17" s="124" t="s">
        <v>437</v>
      </c>
      <c r="I17" s="124" t="s">
        <v>438</v>
      </c>
      <c r="J17" s="124" t="s">
        <v>439</v>
      </c>
      <c r="K17" s="124" t="s">
        <v>440</v>
      </c>
      <c r="L17" s="124" t="s">
        <v>441</v>
      </c>
    </row>
    <row r="18" spans="1:12" ht="14.25" customHeight="1" x14ac:dyDescent="0.3">
      <c r="A18" s="125" t="s">
        <v>424</v>
      </c>
      <c r="B18" s="126">
        <f>B13</f>
        <v>68820.740000000005</v>
      </c>
      <c r="C18" s="126">
        <f t="shared" ref="C18:L18" si="6">B18*(1+C19)</f>
        <v>12851.121334909652</v>
      </c>
      <c r="D18" s="126">
        <f t="shared" si="6"/>
        <v>3666.2337252114421</v>
      </c>
      <c r="E18" s="126">
        <f t="shared" si="6"/>
        <v>1407.2360893086955</v>
      </c>
      <c r="F18" s="126">
        <f t="shared" si="6"/>
        <v>678.83498744183157</v>
      </c>
      <c r="G18" s="126">
        <f t="shared" si="6"/>
        <v>394.36287387998118</v>
      </c>
      <c r="H18" s="126">
        <f t="shared" si="6"/>
        <v>267.96663924872558</v>
      </c>
      <c r="I18" s="126">
        <f t="shared" si="6"/>
        <v>208.48994867203157</v>
      </c>
      <c r="J18" s="126">
        <f t="shared" si="6"/>
        <v>182.7615135573289</v>
      </c>
      <c r="K18" s="126">
        <f t="shared" si="6"/>
        <v>178.21955006776136</v>
      </c>
      <c r="L18" s="126">
        <f t="shared" si="6"/>
        <v>191.35433090775535</v>
      </c>
    </row>
    <row r="19" spans="1:12" ht="14.25" customHeight="1" x14ac:dyDescent="0.3">
      <c r="A19" s="125" t="s">
        <v>443</v>
      </c>
      <c r="B19" s="127"/>
      <c r="C19" s="128">
        <f t="shared" ref="C19:L19" si="7">CHOOSE($B$16,C4,C9,C14)</f>
        <v>-0.81326673710701669</v>
      </c>
      <c r="D19" s="128">
        <f t="shared" si="7"/>
        <v>-0.71471487742845929</v>
      </c>
      <c r="E19" s="128">
        <f t="shared" si="7"/>
        <v>-0.6161630177499019</v>
      </c>
      <c r="F19" s="128">
        <f t="shared" si="7"/>
        <v>-0.5176111580713445</v>
      </c>
      <c r="G19" s="128">
        <f t="shared" si="7"/>
        <v>-0.41905929839278711</v>
      </c>
      <c r="H19" s="128">
        <f t="shared" si="7"/>
        <v>-0.32050743871422971</v>
      </c>
      <c r="I19" s="128">
        <f t="shared" si="7"/>
        <v>-0.22195557903567231</v>
      </c>
      <c r="J19" s="128">
        <f t="shared" si="7"/>
        <v>-0.1234037193571149</v>
      </c>
      <c r="K19" s="128">
        <f t="shared" si="7"/>
        <v>-2.4851859678557492E-2</v>
      </c>
      <c r="L19" s="128">
        <f t="shared" si="7"/>
        <v>7.3699999999999918E-2</v>
      </c>
    </row>
    <row r="25" spans="1:12" ht="14.25" customHeight="1" x14ac:dyDescent="0.3">
      <c r="A25" s="54" t="s">
        <v>448</v>
      </c>
      <c r="B25" s="1">
        <v>0</v>
      </c>
    </row>
    <row r="26" spans="1:12" ht="14.25" customHeight="1" x14ac:dyDescent="0.3">
      <c r="A26" s="54" t="s">
        <v>425</v>
      </c>
      <c r="B26" s="22">
        <v>45.55</v>
      </c>
    </row>
    <row r="27" spans="1:12" ht="14.25" customHeight="1" x14ac:dyDescent="0.3">
      <c r="A27" s="54" t="s">
        <v>449</v>
      </c>
      <c r="B27" s="129">
        <f>Assumptions!F17/SUM('Consolidated Balance sheet'!F6,'Consolidated Balance sheet'!F9)</f>
        <v>0.12137120442903147</v>
      </c>
    </row>
    <row r="28" spans="1:12" ht="14.25" customHeight="1" x14ac:dyDescent="0.3">
      <c r="A28" s="54" t="s">
        <v>450</v>
      </c>
      <c r="B28" s="1">
        <v>0</v>
      </c>
    </row>
    <row r="29" spans="1:12" ht="14.25" customHeight="1" x14ac:dyDescent="0.3">
      <c r="A29" s="54" t="s">
        <v>451</v>
      </c>
      <c r="B29" s="130">
        <v>1</v>
      </c>
    </row>
    <row r="31" spans="1:12" ht="14.25" customHeight="1" x14ac:dyDescent="0.3">
      <c r="A31" s="54" t="s">
        <v>452</v>
      </c>
      <c r="B31" s="60">
        <f>B29*B27</f>
        <v>0.12137120442903147</v>
      </c>
    </row>
  </sheetData>
  <pageMargins left="0.7" right="0.7" top="0.75" bottom="0.75" header="0.511811023622047" footer="0.511811023622047"/>
  <pageSetup paperSize="9" orientation="portrait" horizontalDpi="300" verticalDpi="30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V32"/>
  <sheetViews>
    <sheetView showGridLines="0" zoomScaleNormal="100" workbookViewId="0">
      <selection activeCell="P2" sqref="P2"/>
    </sheetView>
  </sheetViews>
  <sheetFormatPr defaultColWidth="9" defaultRowHeight="14.4" x14ac:dyDescent="0.3"/>
  <cols>
    <col min="1" max="1" width="36" style="1" customWidth="1"/>
    <col min="2" max="2" width="14" style="1" customWidth="1"/>
    <col min="3" max="12" width="13" style="1" customWidth="1"/>
    <col min="13" max="13" width="2" style="1" customWidth="1"/>
    <col min="14" max="14" width="14" style="1" customWidth="1"/>
    <col min="15" max="15" width="2" style="1" customWidth="1"/>
    <col min="16" max="16" width="38.77734375" style="1" customWidth="1"/>
    <col min="17" max="17" width="14" style="1" customWidth="1"/>
    <col min="18" max="19" width="13" style="1" customWidth="1"/>
    <col min="20" max="20" width="25.44140625" style="1" customWidth="1"/>
    <col min="21" max="21" width="13" style="1" customWidth="1"/>
  </cols>
  <sheetData>
    <row r="1" spans="1:21" ht="14.25" customHeight="1" x14ac:dyDescent="0.3">
      <c r="C1" s="131">
        <v>1</v>
      </c>
      <c r="D1" s="131">
        <v>2</v>
      </c>
      <c r="E1" s="131">
        <v>3</v>
      </c>
      <c r="F1" s="131">
        <v>4</v>
      </c>
      <c r="G1" s="131">
        <v>5</v>
      </c>
      <c r="H1" s="131">
        <v>6</v>
      </c>
      <c r="I1" s="131">
        <v>7</v>
      </c>
      <c r="J1" s="131">
        <v>8</v>
      </c>
      <c r="K1" s="131">
        <v>9</v>
      </c>
      <c r="L1" s="131">
        <v>10</v>
      </c>
    </row>
    <row r="2" spans="1:21" ht="14.25" customHeight="1" x14ac:dyDescent="0.3">
      <c r="A2" s="320" t="s">
        <v>430</v>
      </c>
      <c r="B2" s="320" t="s">
        <v>431</v>
      </c>
      <c r="C2" s="320" t="s">
        <v>432</v>
      </c>
      <c r="D2" s="320" t="s">
        <v>433</v>
      </c>
      <c r="E2" s="320" t="s">
        <v>434</v>
      </c>
      <c r="F2" s="320" t="s">
        <v>453</v>
      </c>
      <c r="G2" s="320" t="s">
        <v>436</v>
      </c>
      <c r="H2" s="320" t="s">
        <v>437</v>
      </c>
      <c r="I2" s="320" t="s">
        <v>438</v>
      </c>
      <c r="J2" s="320" t="s">
        <v>439</v>
      </c>
      <c r="K2" s="320" t="s">
        <v>440</v>
      </c>
      <c r="L2" s="320" t="s">
        <v>441</v>
      </c>
      <c r="M2" s="283"/>
      <c r="N2" s="320" t="s">
        <v>454</v>
      </c>
      <c r="O2" s="283"/>
      <c r="P2" s="321" t="s">
        <v>455</v>
      </c>
      <c r="Q2" s="322" t="s">
        <v>27</v>
      </c>
      <c r="R2" s="54" t="s">
        <v>456</v>
      </c>
      <c r="S2" s="54" t="s">
        <v>457</v>
      </c>
    </row>
    <row r="3" spans="1:21" ht="14.25" customHeight="1" x14ac:dyDescent="0.3">
      <c r="A3" s="284" t="s">
        <v>424</v>
      </c>
      <c r="B3" s="285">
        <f>'Growth Scenario'!B18</f>
        <v>68820.740000000005</v>
      </c>
      <c r="C3" s="285">
        <f>'Growth Scenario'!C18</f>
        <v>12851.121334909652</v>
      </c>
      <c r="D3" s="285">
        <f>'Growth Scenario'!D18</f>
        <v>3666.2337252114421</v>
      </c>
      <c r="E3" s="285">
        <f>'Growth Scenario'!E18</f>
        <v>1407.2360893086955</v>
      </c>
      <c r="F3" s="285">
        <f>'Growth Scenario'!F18</f>
        <v>678.83498744183157</v>
      </c>
      <c r="G3" s="285">
        <f>'Growth Scenario'!G18</f>
        <v>394.36287387998118</v>
      </c>
      <c r="H3" s="285">
        <f>'Growth Scenario'!H18</f>
        <v>267.96663924872558</v>
      </c>
      <c r="I3" s="285">
        <f>'Growth Scenario'!I18</f>
        <v>208.48994867203157</v>
      </c>
      <c r="J3" s="285">
        <f>'Growth Scenario'!J18</f>
        <v>182.7615135573289</v>
      </c>
      <c r="K3" s="285">
        <f>'Growth Scenario'!K18</f>
        <v>178.21955006776136</v>
      </c>
      <c r="L3" s="285">
        <f>'Growth Scenario'!L18</f>
        <v>191.35433090775535</v>
      </c>
      <c r="N3" s="133">
        <f>L3*(1+$Q$6)</f>
        <v>214.57923652274104</v>
      </c>
      <c r="P3" s="134" t="s">
        <v>458</v>
      </c>
      <c r="Q3" s="287">
        <f>wacc!D26</f>
        <v>0.12155910756333888</v>
      </c>
      <c r="R3" s="290" t="s">
        <v>459</v>
      </c>
      <c r="S3" s="290" t="s">
        <v>460</v>
      </c>
      <c r="T3" s="286"/>
      <c r="U3" s="286"/>
    </row>
    <row r="4" spans="1:21" ht="14.25" customHeight="1" x14ac:dyDescent="0.3">
      <c r="A4" s="284" t="s">
        <v>443</v>
      </c>
      <c r="B4" s="286"/>
      <c r="C4" s="287">
        <f>'Growth Scenario'!C19</f>
        <v>-0.81326673710701669</v>
      </c>
      <c r="D4" s="287">
        <f>'Growth Scenario'!D19</f>
        <v>-0.71471487742845929</v>
      </c>
      <c r="E4" s="287">
        <f>'Growth Scenario'!E19</f>
        <v>-0.6161630177499019</v>
      </c>
      <c r="F4" s="287">
        <f>'Growth Scenario'!F19</f>
        <v>-0.5176111580713445</v>
      </c>
      <c r="G4" s="287">
        <f>'Growth Scenario'!G19</f>
        <v>-0.41905929839278711</v>
      </c>
      <c r="H4" s="287">
        <f>'Growth Scenario'!H19</f>
        <v>-0.32050743871422971</v>
      </c>
      <c r="I4" s="287">
        <f>'Growth Scenario'!I19</f>
        <v>-0.22195557903567231</v>
      </c>
      <c r="J4" s="287">
        <f>'Growth Scenario'!J19</f>
        <v>-0.1234037193571149</v>
      </c>
      <c r="K4" s="287">
        <f>'Growth Scenario'!K19</f>
        <v>-2.4851859678557492E-2</v>
      </c>
      <c r="L4" s="287">
        <f>'Growth Scenario'!L19</f>
        <v>7.3699999999999918E-2</v>
      </c>
      <c r="N4" s="60">
        <f>$Q$6</f>
        <v>0.12137120442903147</v>
      </c>
      <c r="P4" s="134" t="s">
        <v>461</v>
      </c>
      <c r="Q4" s="287">
        <f>AVERAGE(Assumptions!B45:F45)</f>
        <v>0.12853264548677504</v>
      </c>
      <c r="R4" s="286"/>
      <c r="S4" s="287">
        <f>'Consolidated P&amp;l'!F31/('Consolidated Balance sheet'!F11)</f>
        <v>0.12139695651249753</v>
      </c>
      <c r="T4" s="286"/>
      <c r="U4" s="286"/>
    </row>
    <row r="5" spans="1:21" ht="14.25" customHeight="1" x14ac:dyDescent="0.3">
      <c r="A5" s="284" t="s">
        <v>331</v>
      </c>
      <c r="B5" s="286"/>
      <c r="C5" s="285">
        <f t="shared" ref="C5:L5" si="0">C3*C6</f>
        <v>828.18179130609985</v>
      </c>
      <c r="D5" s="285">
        <f t="shared" si="0"/>
        <v>236.26794384427885</v>
      </c>
      <c r="E5" s="285">
        <f t="shared" si="0"/>
        <v>90.68837456762364</v>
      </c>
      <c r="F5" s="285">
        <f t="shared" si="0"/>
        <v>43.747059984068102</v>
      </c>
      <c r="G5" s="285">
        <f t="shared" si="0"/>
        <v>25.414447720397348</v>
      </c>
      <c r="H5" s="285">
        <f t="shared" si="0"/>
        <v>17.268928175196098</v>
      </c>
      <c r="I5" s="285">
        <f t="shared" si="0"/>
        <v>13.435993222745012</v>
      </c>
      <c r="J5" s="285">
        <f t="shared" si="0"/>
        <v>11.777941685801288</v>
      </c>
      <c r="K5" s="285">
        <f t="shared" si="0"/>
        <v>11.485237931723521</v>
      </c>
      <c r="L5" s="285">
        <f t="shared" si="0"/>
        <v>12.331699967291543</v>
      </c>
      <c r="N5" s="133">
        <f>N6*N3</f>
        <v>13.828413244979165</v>
      </c>
      <c r="P5" s="134" t="s">
        <v>462</v>
      </c>
      <c r="Q5" s="287">
        <f>FCFF!C14</f>
        <v>1.2226018650278423</v>
      </c>
      <c r="R5" s="290" t="s">
        <v>463</v>
      </c>
      <c r="S5" s="291">
        <v>1</v>
      </c>
      <c r="T5" s="287">
        <f>S5*S4</f>
        <v>0.12139695651249753</v>
      </c>
      <c r="U5" s="286"/>
    </row>
    <row r="6" spans="1:21" ht="14.25" customHeight="1" x14ac:dyDescent="0.3">
      <c r="A6" s="284" t="s">
        <v>464</v>
      </c>
      <c r="B6" s="286"/>
      <c r="C6" s="287">
        <f>AVERAGE(Assumptions!B29:F29)</f>
        <v>6.444432121704205E-2</v>
      </c>
      <c r="D6" s="287">
        <f t="shared" ref="D6:L6" si="1">C6</f>
        <v>6.444432121704205E-2</v>
      </c>
      <c r="E6" s="287">
        <f t="shared" si="1"/>
        <v>6.444432121704205E-2</v>
      </c>
      <c r="F6" s="287">
        <f t="shared" si="1"/>
        <v>6.444432121704205E-2</v>
      </c>
      <c r="G6" s="287">
        <f t="shared" si="1"/>
        <v>6.444432121704205E-2</v>
      </c>
      <c r="H6" s="287">
        <f t="shared" si="1"/>
        <v>6.444432121704205E-2</v>
      </c>
      <c r="I6" s="287">
        <f t="shared" si="1"/>
        <v>6.444432121704205E-2</v>
      </c>
      <c r="J6" s="287">
        <f t="shared" si="1"/>
        <v>6.444432121704205E-2</v>
      </c>
      <c r="K6" s="287">
        <f t="shared" si="1"/>
        <v>6.444432121704205E-2</v>
      </c>
      <c r="L6" s="287">
        <f t="shared" si="1"/>
        <v>6.444432121704205E-2</v>
      </c>
      <c r="N6" s="60">
        <f>L6</f>
        <v>6.444432121704205E-2</v>
      </c>
      <c r="P6" s="134" t="s">
        <v>465</v>
      </c>
      <c r="Q6" s="292">
        <f>'Growth Scenario'!B31</f>
        <v>0.12137120442903147</v>
      </c>
      <c r="R6" s="286"/>
      <c r="S6" s="286"/>
      <c r="T6" s="286"/>
      <c r="U6" s="286"/>
    </row>
    <row r="7" spans="1:21" ht="14.25" customHeight="1" x14ac:dyDescent="0.3">
      <c r="A7" s="284" t="s">
        <v>332</v>
      </c>
      <c r="B7" s="286"/>
      <c r="C7" s="285">
        <f>Assumptions!$B$35*'DCF valuation'!C5</f>
        <v>215.32726573958598</v>
      </c>
      <c r="D7" s="285">
        <f>Assumptions!$B$35*'DCF valuation'!D5</f>
        <v>61.429665399512501</v>
      </c>
      <c r="E7" s="285">
        <f>Assumptions!$B$35*'DCF valuation'!E5</f>
        <v>23.578977387582146</v>
      </c>
      <c r="F7" s="285">
        <f>Assumptions!$B$35*'DCF valuation'!F5</f>
        <v>11.374235595857707</v>
      </c>
      <c r="G7" s="285">
        <f>Assumptions!$B$35*'DCF valuation'!G5</f>
        <v>6.6077564073033104</v>
      </c>
      <c r="H7" s="285">
        <f>Assumptions!$B$35*'DCF valuation'!H5</f>
        <v>4.489921325550986</v>
      </c>
      <c r="I7" s="285">
        <f>Assumptions!$B$35*'DCF valuation'!I5</f>
        <v>3.4933582379137031</v>
      </c>
      <c r="J7" s="285">
        <f>Assumptions!$B$35*'DCF valuation'!J5</f>
        <v>3.0622648383083351</v>
      </c>
      <c r="K7" s="285">
        <f>Assumptions!$B$35*'DCF valuation'!K5</f>
        <v>2.9861618622481156</v>
      </c>
      <c r="L7" s="285">
        <f>Assumptions!$B$35*'DCF valuation'!L5</f>
        <v>3.2062419914958014</v>
      </c>
      <c r="N7" s="133">
        <f>Assumptions!$B$35*N5</f>
        <v>3.595387443694583</v>
      </c>
      <c r="P7" s="134" t="s">
        <v>466</v>
      </c>
      <c r="Q7" s="287">
        <f>Q6/Q4</f>
        <v>0.9442830960910984</v>
      </c>
      <c r="R7" s="286"/>
      <c r="S7" s="286"/>
      <c r="T7" s="286"/>
      <c r="U7" s="286"/>
    </row>
    <row r="8" spans="1:21" ht="14.25" customHeight="1" x14ac:dyDescent="0.3">
      <c r="A8" s="284" t="s">
        <v>467</v>
      </c>
      <c r="B8" s="286"/>
      <c r="C8" s="285">
        <f t="shared" ref="C8:L8" si="2">C5-C7</f>
        <v>612.85452556651387</v>
      </c>
      <c r="D8" s="285">
        <f t="shared" si="2"/>
        <v>174.83827844476633</v>
      </c>
      <c r="E8" s="285">
        <f t="shared" si="2"/>
        <v>67.109397180041498</v>
      </c>
      <c r="F8" s="285">
        <f t="shared" si="2"/>
        <v>32.372824388210397</v>
      </c>
      <c r="G8" s="285">
        <f t="shared" si="2"/>
        <v>18.806691313094039</v>
      </c>
      <c r="H8" s="285">
        <f t="shared" si="2"/>
        <v>12.779006849645112</v>
      </c>
      <c r="I8" s="285">
        <f t="shared" si="2"/>
        <v>9.942634984831308</v>
      </c>
      <c r="J8" s="285">
        <f t="shared" si="2"/>
        <v>8.7156768474929525</v>
      </c>
      <c r="K8" s="285">
        <f t="shared" si="2"/>
        <v>8.4990760694754055</v>
      </c>
      <c r="L8" s="285">
        <f t="shared" si="2"/>
        <v>9.1254579757957419</v>
      </c>
      <c r="N8" s="285">
        <f>N5-N7</f>
        <v>10.233025801284583</v>
      </c>
      <c r="Q8" s="286"/>
      <c r="R8" s="286"/>
      <c r="S8" s="286"/>
      <c r="T8" s="286"/>
      <c r="U8" s="286"/>
    </row>
    <row r="9" spans="1:21" ht="14.25" customHeight="1" x14ac:dyDescent="0.3">
      <c r="A9" s="284" t="s">
        <v>334</v>
      </c>
      <c r="B9" s="286"/>
      <c r="C9" s="285">
        <f>C3*'Fixed Asset Scheduled'!$C$12</f>
        <v>595.82178155398492</v>
      </c>
      <c r="D9" s="285">
        <f>D3*'Fixed Asset Scheduled'!$C$12</f>
        <v>169.97908998142236</v>
      </c>
      <c r="E9" s="285">
        <f>E3*'Fixed Asset Scheduled'!$C$12</f>
        <v>65.244260944087046</v>
      </c>
      <c r="F9" s="285">
        <f>F3*'Fixed Asset Scheduled'!$C$12</f>
        <v>31.473103479309156</v>
      </c>
      <c r="G9" s="285">
        <f>G3*'Fixed Asset Scheduled'!$C$12</f>
        <v>18.284006817026274</v>
      </c>
      <c r="H9" s="285">
        <f>H3*'Fixed Asset Scheduled'!$C$12</f>
        <v>12.423846622667666</v>
      </c>
      <c r="I9" s="285">
        <f>I3*'Fixed Asset Scheduled'!$C$12</f>
        <v>9.6663045516830817</v>
      </c>
      <c r="J9" s="285">
        <f>J3*'Fixed Asset Scheduled'!$C$12</f>
        <v>8.4734466175667809</v>
      </c>
      <c r="K9" s="285">
        <f>K3*'Fixed Asset Scheduled'!$C$12</f>
        <v>8.2628657112332622</v>
      </c>
      <c r="L9" s="285">
        <f>L3*'Fixed Asset Scheduled'!$C$12</f>
        <v>8.8718389141511533</v>
      </c>
      <c r="N9" s="286"/>
      <c r="P9" s="323" t="s">
        <v>468</v>
      </c>
      <c r="Q9" s="286"/>
      <c r="R9" s="286"/>
      <c r="S9" s="286"/>
      <c r="T9" s="286"/>
      <c r="U9" s="286"/>
    </row>
    <row r="10" spans="1:21" ht="14.25" customHeight="1" x14ac:dyDescent="0.3">
      <c r="A10" s="284" t="s">
        <v>352</v>
      </c>
      <c r="B10" s="285">
        <f>'Change in working capital'!F6</f>
        <v>4711.75</v>
      </c>
      <c r="C10" s="285">
        <f>'Change in working capital'!$C$10*'DCF valuation'!C3</f>
        <v>786.63882559335525</v>
      </c>
      <c r="D10" s="285">
        <f>'Change in working capital'!$C$10*'DCF valuation'!D3</f>
        <v>224.4163537789332</v>
      </c>
      <c r="E10" s="285">
        <f>'Change in working capital'!$C$10*'DCF valuation'!E3</f>
        <v>86.139296002076122</v>
      </c>
      <c r="F10" s="285">
        <f>'Change in working capital'!$C$10*'DCF valuation'!F3</f>
        <v>41.552635242991158</v>
      </c>
      <c r="G10" s="285">
        <f>'Change in working capital'!$C$10*'DCF valuation'!G3</f>
        <v>24.139617071691887</v>
      </c>
      <c r="H10" s="285">
        <f>'Change in working capital'!$C$10*'DCF valuation'!H3</f>
        <v>16.402690232501623</v>
      </c>
      <c r="I10" s="285">
        <f>'Change in working capital'!$C$10*'DCF valuation'!I3</f>
        <v>12.762021624203959</v>
      </c>
      <c r="J10" s="285">
        <f>'Change in working capital'!$C$10*'DCF valuation'!J3</f>
        <v>11.187140689261263</v>
      </c>
      <c r="K10" s="285">
        <f>'Change in working capital'!$C$10*'DCF valuation'!K3</f>
        <v>10.909119438647458</v>
      </c>
      <c r="L10" s="285">
        <f>'Change in working capital'!$C$10*'DCF valuation'!L3</f>
        <v>11.713121541275775</v>
      </c>
      <c r="N10" s="286"/>
      <c r="P10" s="132" t="s">
        <v>469</v>
      </c>
      <c r="Q10" s="285">
        <f>C23</f>
        <v>5073.9033090365538</v>
      </c>
      <c r="R10" s="286"/>
      <c r="S10" s="286"/>
      <c r="T10" s="286"/>
      <c r="U10" s="286"/>
    </row>
    <row r="11" spans="1:21" ht="14.25" customHeight="1" x14ac:dyDescent="0.3">
      <c r="A11" s="284" t="s">
        <v>470</v>
      </c>
      <c r="B11" s="286"/>
      <c r="C11" s="285">
        <f t="shared" ref="C11:L11" si="3">C10-B10</f>
        <v>-3925.1111744066447</v>
      </c>
      <c r="D11" s="285">
        <f t="shared" si="3"/>
        <v>-562.22247181442208</v>
      </c>
      <c r="E11" s="285">
        <f t="shared" si="3"/>
        <v>-138.27705777685708</v>
      </c>
      <c r="F11" s="285">
        <f t="shared" si="3"/>
        <v>-44.586660759084964</v>
      </c>
      <c r="G11" s="285">
        <f t="shared" si="3"/>
        <v>-17.413018171299271</v>
      </c>
      <c r="H11" s="285">
        <f t="shared" si="3"/>
        <v>-7.7369268391902644</v>
      </c>
      <c r="I11" s="285">
        <f t="shared" si="3"/>
        <v>-3.6406686082976645</v>
      </c>
      <c r="J11" s="285">
        <f t="shared" si="3"/>
        <v>-1.574880934942696</v>
      </c>
      <c r="K11" s="285">
        <f t="shared" si="3"/>
        <v>-0.27802125061380423</v>
      </c>
      <c r="L11" s="285">
        <f t="shared" si="3"/>
        <v>0.80400210262831706</v>
      </c>
      <c r="N11" s="286"/>
      <c r="P11" s="132" t="s">
        <v>471</v>
      </c>
      <c r="Q11" s="285">
        <f>C27</f>
        <v>2954.3733090365536</v>
      </c>
      <c r="R11" s="286"/>
      <c r="S11" s="286"/>
      <c r="T11" s="286"/>
      <c r="U11" s="286"/>
    </row>
    <row r="12" spans="1:21" ht="14.25" customHeight="1" x14ac:dyDescent="0.3">
      <c r="A12" s="284" t="s">
        <v>336</v>
      </c>
      <c r="B12" s="286"/>
      <c r="C12" s="285">
        <f t="shared" ref="C12:L12" si="4">C9+C11</f>
        <v>-3329.2893928526601</v>
      </c>
      <c r="D12" s="285">
        <f t="shared" si="4"/>
        <v>-392.24338183299972</v>
      </c>
      <c r="E12" s="285">
        <f t="shared" si="4"/>
        <v>-73.032796832770032</v>
      </c>
      <c r="F12" s="285">
        <f t="shared" si="4"/>
        <v>-13.113557279775808</v>
      </c>
      <c r="G12" s="285">
        <f t="shared" si="4"/>
        <v>0.87098864572700307</v>
      </c>
      <c r="H12" s="285">
        <f t="shared" si="4"/>
        <v>4.6869197834774017</v>
      </c>
      <c r="I12" s="285">
        <f t="shared" si="4"/>
        <v>6.0256359433854172</v>
      </c>
      <c r="J12" s="285">
        <f t="shared" si="4"/>
        <v>6.8985656826240849</v>
      </c>
      <c r="K12" s="285">
        <f t="shared" si="4"/>
        <v>7.984844460619458</v>
      </c>
      <c r="L12" s="285">
        <f t="shared" si="4"/>
        <v>9.6758410167794704</v>
      </c>
      <c r="N12" s="285">
        <f>N8*$Q$7</f>
        <v>9.6628732860170992</v>
      </c>
      <c r="P12" s="132" t="s">
        <v>472</v>
      </c>
      <c r="Q12" s="285">
        <f>C29</f>
        <v>65.195999999999998</v>
      </c>
      <c r="R12" s="286"/>
      <c r="S12" s="286"/>
      <c r="T12" s="286"/>
      <c r="U12" s="286"/>
    </row>
    <row r="13" spans="1:21" ht="15" customHeight="1" x14ac:dyDescent="0.3">
      <c r="A13" s="284" t="s">
        <v>473</v>
      </c>
      <c r="B13" s="286"/>
      <c r="C13" s="285">
        <f t="shared" ref="C13:L13" si="5">C8-C12</f>
        <v>3942.143918419174</v>
      </c>
      <c r="D13" s="285">
        <f t="shared" si="5"/>
        <v>567.0816602777661</v>
      </c>
      <c r="E13" s="285">
        <f t="shared" si="5"/>
        <v>140.14219401281153</v>
      </c>
      <c r="F13" s="285">
        <f t="shared" si="5"/>
        <v>45.486381667986208</v>
      </c>
      <c r="G13" s="285">
        <f t="shared" si="5"/>
        <v>17.935702667367035</v>
      </c>
      <c r="H13" s="285">
        <f t="shared" si="5"/>
        <v>8.0920870661677107</v>
      </c>
      <c r="I13" s="285">
        <f t="shared" si="5"/>
        <v>3.9169990414458908</v>
      </c>
      <c r="J13" s="285">
        <f t="shared" si="5"/>
        <v>1.8171111648688676</v>
      </c>
      <c r="K13" s="285">
        <f t="shared" si="5"/>
        <v>0.51423160885594754</v>
      </c>
      <c r="L13" s="285">
        <f t="shared" si="5"/>
        <v>-0.55038304098372848</v>
      </c>
      <c r="N13" s="285">
        <f>N8-N12</f>
        <v>0.57015251526748401</v>
      </c>
      <c r="P13" s="135" t="s">
        <v>474</v>
      </c>
      <c r="Q13" s="293">
        <f>C30</f>
        <v>45.315254141919041</v>
      </c>
      <c r="R13" s="286"/>
      <c r="S13" s="286"/>
      <c r="T13" s="286"/>
      <c r="U13" s="286"/>
    </row>
    <row r="14" spans="1:21" ht="14.25" customHeight="1" x14ac:dyDescent="0.3">
      <c r="A14" s="284" t="s">
        <v>475</v>
      </c>
      <c r="B14" s="286"/>
      <c r="C14" s="287">
        <f t="shared" ref="C14:L14" si="6">C12/C8</f>
        <v>-5.4324301346638713</v>
      </c>
      <c r="D14" s="287">
        <f t="shared" si="6"/>
        <v>-2.2434639903922098</v>
      </c>
      <c r="E14" s="287">
        <f t="shared" si="6"/>
        <v>-1.0882648317766468</v>
      </c>
      <c r="F14" s="287">
        <f t="shared" si="6"/>
        <v>-0.40507918377834007</v>
      </c>
      <c r="G14" s="287">
        <f t="shared" si="6"/>
        <v>4.6312699625190468E-2</v>
      </c>
      <c r="H14" s="287">
        <f t="shared" si="6"/>
        <v>0.36676713915428905</v>
      </c>
      <c r="I14" s="287">
        <f t="shared" si="6"/>
        <v>0.60604014454701938</v>
      </c>
      <c r="J14" s="287">
        <f t="shared" si="6"/>
        <v>0.79151232925856396</v>
      </c>
      <c r="K14" s="287">
        <f t="shared" si="6"/>
        <v>0.93949558697293933</v>
      </c>
      <c r="L14" s="287">
        <f t="shared" si="6"/>
        <v>1.0603129226438341</v>
      </c>
      <c r="N14" s="60">
        <f>$Q$7</f>
        <v>0.9442830960910984</v>
      </c>
      <c r="P14" s="132" t="s">
        <v>476</v>
      </c>
      <c r="Q14" s="285">
        <f>C31</f>
        <v>4200</v>
      </c>
      <c r="R14" s="286"/>
      <c r="S14" s="286"/>
      <c r="T14" s="286"/>
      <c r="U14" s="286"/>
    </row>
    <row r="15" spans="1:21" ht="14.25" customHeight="1" x14ac:dyDescent="0.3">
      <c r="A15" s="286"/>
      <c r="B15" s="286"/>
      <c r="C15" s="286"/>
      <c r="D15" s="286"/>
      <c r="E15" s="286"/>
      <c r="F15" s="286"/>
      <c r="G15" s="286"/>
      <c r="H15" s="286"/>
      <c r="I15" s="286"/>
      <c r="J15" s="286"/>
      <c r="K15" s="286"/>
      <c r="L15" s="286"/>
      <c r="P15" s="132" t="s">
        <v>477</v>
      </c>
      <c r="Q15" s="294">
        <f>C32</f>
        <v>-0.98921065377573347</v>
      </c>
      <c r="R15" s="286"/>
      <c r="S15" s="286"/>
      <c r="T15" s="286"/>
      <c r="U15" s="286"/>
    </row>
    <row r="16" spans="1:21" ht="14.25" customHeight="1" x14ac:dyDescent="0.3">
      <c r="A16" s="273" t="s">
        <v>478</v>
      </c>
      <c r="B16" s="286"/>
      <c r="C16" s="286"/>
      <c r="D16" s="286"/>
      <c r="E16" s="286"/>
      <c r="F16" s="286"/>
      <c r="G16" s="286"/>
      <c r="H16" s="286"/>
      <c r="I16" s="286"/>
      <c r="J16" s="286"/>
      <c r="K16" s="286"/>
      <c r="L16" s="288">
        <f>N13/($Q$3-$Q$6)</f>
        <v>3034.2895416248793</v>
      </c>
      <c r="Q16" s="286"/>
      <c r="R16" s="286"/>
      <c r="S16" s="286"/>
      <c r="T16" s="286"/>
      <c r="U16" s="286"/>
    </row>
    <row r="17" spans="1:22" ht="14.25" customHeight="1" x14ac:dyDescent="0.3">
      <c r="A17" s="286"/>
      <c r="B17" s="286"/>
      <c r="C17" s="286"/>
      <c r="D17" s="286"/>
      <c r="E17" s="286"/>
      <c r="F17" s="286"/>
      <c r="G17" s="286"/>
      <c r="H17" s="286"/>
      <c r="I17" s="286"/>
      <c r="J17" s="286"/>
      <c r="K17" s="286"/>
      <c r="L17" s="286"/>
      <c r="P17" s="136" t="s">
        <v>479</v>
      </c>
    </row>
    <row r="18" spans="1:22" ht="14.25" customHeight="1" x14ac:dyDescent="0.3">
      <c r="A18" s="284" t="s">
        <v>480</v>
      </c>
      <c r="B18" s="286"/>
      <c r="C18" s="289">
        <f t="shared" ref="C18:L18" si="7">1/(1+$Q$3)^C1</f>
        <v>0.89161595965509655</v>
      </c>
      <c r="D18" s="289">
        <f t="shared" si="7"/>
        <v>0.7949790195116786</v>
      </c>
      <c r="E18" s="289">
        <f t="shared" si="7"/>
        <v>0.70881598138757296</v>
      </c>
      <c r="F18" s="289">
        <f t="shared" si="7"/>
        <v>0.63199164146374986</v>
      </c>
      <c r="G18" s="289">
        <f t="shared" si="7"/>
        <v>0.56349383389770102</v>
      </c>
      <c r="H18" s="289">
        <f t="shared" si="7"/>
        <v>0.50242009547042821</v>
      </c>
      <c r="I18" s="289">
        <f t="shared" si="7"/>
        <v>0.44796577557287104</v>
      </c>
      <c r="J18" s="289">
        <f t="shared" si="7"/>
        <v>0.39941343488004499</v>
      </c>
      <c r="K18" s="289">
        <f t="shared" si="7"/>
        <v>0.35612339303970969</v>
      </c>
      <c r="L18" s="289">
        <f t="shared" si="7"/>
        <v>0.31752530084072988</v>
      </c>
      <c r="P18" s="137" t="s">
        <v>481</v>
      </c>
      <c r="Q18" s="138">
        <f>$Q$3-0.02</f>
        <v>0.10155910756333887</v>
      </c>
      <c r="R18" s="138">
        <f>$Q$3-0.01</f>
        <v>0.11155910756333888</v>
      </c>
      <c r="S18" s="138">
        <f>$Q$3</f>
        <v>0.12155910756333888</v>
      </c>
      <c r="T18" s="138">
        <f>$Q$3+0.01</f>
        <v>0.13155910756333888</v>
      </c>
      <c r="U18" s="138">
        <f>$Q$3+0.02</f>
        <v>0.14155910756333887</v>
      </c>
      <c r="V18" s="139"/>
    </row>
    <row r="19" spans="1:22" ht="14.25" customHeight="1" x14ac:dyDescent="0.3">
      <c r="P19" s="140">
        <f>$Q$6-0.01</f>
        <v>0.11137120442903148</v>
      </c>
      <c r="Q19" s="141">
        <f>(SUMPRODUCT(C13:L13,1/(1+Q18)^{1,2,3,4,5,6,7,8,9,10})+(N13/(Q18-P19))/(1+Q18)^10+C24-C25-C26)/C29</f>
        <v>31.575132680635043</v>
      </c>
      <c r="R19" s="141">
        <f>(SUMPRODUCT(C13:L13,1/(1+R18)^{1,2,3,4,5,6,7,8,9,10})+(N13/(R18-P19))/(1+R18)^10+C24-C25-C26)/C29</f>
        <v>47.380531622454811</v>
      </c>
      <c r="S19" s="141">
        <f>(SUMPRODUCT(C13:L13,1/(1+S18)^{1,2,3,4,5,6,7,8,9,10})+(N13/(S18-P19))/(1+S18)^10+C24-C25-C26)/C29</f>
        <v>30.809857854967721</v>
      </c>
      <c r="T19" s="141">
        <f>(SUMPRODUCT(C13:L13,1/(1+T18)^{1,2,3,4,5,6,7,8,9,10})+(N13/(T18-P19))/(1+T18)^10+C24-C25-C26)/C29</f>
        <v>29.997283751001671</v>
      </c>
      <c r="U19" s="141">
        <f>(SUMPRODUCT(C13:L13,1/(1+U18)^{1,2,3,4,5,6,7,8,9,10})+(N13/(U18-P19))/(1+U18)^10+C24-C25-C26)/C29</f>
        <v>29.296916006341398</v>
      </c>
      <c r="V19" s="139"/>
    </row>
    <row r="20" spans="1:22" ht="14.25" customHeight="1" x14ac:dyDescent="0.3">
      <c r="A20" s="132" t="s">
        <v>482</v>
      </c>
      <c r="C20" s="133">
        <f>SUMPRODUCT(C18:L18,C13:L13)</f>
        <v>4110.4396094942331</v>
      </c>
      <c r="P20" s="140">
        <f>$Q$6-0.005</f>
        <v>0.11637120442903147</v>
      </c>
      <c r="Q20" s="141">
        <f>(SUMPRODUCT(C13:L13,1/(1+Q18)^{1,2,3,4,5,6,7,8,9,10})+(N13/(Q18-P20))/(1+Q18)^10+C24-C25-C26)/C29</f>
        <v>31.689495188933829</v>
      </c>
      <c r="R20" s="141">
        <f>(SUMPRODUCT(C13:L13,1/(1+R18)^{1,2,3,4,5,6,7,8,9,10})+(N13/(R18-P20))/(1+R18)^10+C24-C25-C26)/C29</f>
        <v>30.586842929721602</v>
      </c>
      <c r="S20" s="141">
        <f>(SUMPRODUCT(C13:L13,1/(1+S18)^{1,2,3,4,5,6,7,8,9,10})+(N13/(S18-P20))/(1+S18)^10+C24-C25-C26)/C29</f>
        <v>31.072546783049741</v>
      </c>
      <c r="T20" s="141">
        <f>(SUMPRODUCT(C13:L13,1/(1+T18)^{1,2,3,4,5,6,7,8,9,10})+(N13/(T18-P20))/(1+T18)^10+C24-C25-C26)/C29</f>
        <v>30.03871982712236</v>
      </c>
      <c r="U20" s="141">
        <f>(SUMPRODUCT(C13:L13,1/(1+U18)^{1,2,3,4,5,6,7,8,9,10})+(N13/(U18-P20))/(1+U18)^10+C24-C25-C26)/C29</f>
        <v>29.312217404032957</v>
      </c>
      <c r="V20" s="139"/>
    </row>
    <row r="21" spans="1:22" ht="14.25" customHeight="1" x14ac:dyDescent="0.3">
      <c r="A21" s="132" t="s">
        <v>483</v>
      </c>
      <c r="C21" s="133">
        <f>L16*L18</f>
        <v>963.46369954232023</v>
      </c>
      <c r="P21" s="140">
        <f>$Q$6</f>
        <v>0.12137120442903147</v>
      </c>
      <c r="Q21" s="141">
        <f>(SUMPRODUCT(C13:L13,1/(1+Q18)^{1,2,3,4,5,6,7,8,9,10})+(N13/(Q18-P21))/(1+Q18)^10+C24-C25-C26)/C29</f>
        <v>31.746134121038715</v>
      </c>
      <c r="R21" s="141">
        <f>(SUMPRODUCT(C13:L13,1/(1+R18)^{1,2,3,4,5,6,7,8,9,10})+(N13/(R18-P21))/(1+R18)^10+C24-C25-C26)/C29</f>
        <v>30.908444600102655</v>
      </c>
      <c r="S21" s="142">
        <f>(SUMPRODUCT(C13:L13,1/(1+S18)^{1,2,3,4,5,6,7,8,9,10})+(N13/(S18-P21))/(1+S18)^10+C24-C25-C26)/C29</f>
        <v>45.315254141919041</v>
      </c>
      <c r="T21" s="141">
        <f>(SUMPRODUCT(C13:L13,1/(1+T18)^{1,2,3,4,5,6,7,8,9,10})+(N13/(T18-P21))/(1+T18)^10+C24-C25-C26)/C29</f>
        <v>30.12082774275158</v>
      </c>
      <c r="U21" s="141">
        <f>(SUMPRODUCT(C13:L13,1/(1+U18)^{1,2,3,4,5,6,7,8,9,10})+(N13/(U18-P21))/(1+U18)^10+C24-C25-C26)/C29</f>
        <v>29.335098290089299</v>
      </c>
      <c r="V21" s="139"/>
    </row>
    <row r="22" spans="1:22" ht="14.25" customHeight="1" x14ac:dyDescent="0.3">
      <c r="P22" s="140">
        <f>$Q$6+0.005</f>
        <v>0.12637120442903146</v>
      </c>
      <c r="Q22" s="141">
        <f>(SUMPRODUCT(C13:L13,1/(1+Q18)^{1,2,3,4,5,6,7,8,9,10})+(N13/(Q18-P22))/(1+Q18)^10+C24-C25-C26)/C29</f>
        <v>31.779945908621514</v>
      </c>
      <c r="R22" s="141">
        <f>(SUMPRODUCT(C13:L13,1/(1+R18)^{1,2,3,4,5,6,7,8,9,10})+(N13/(R18-P22))/(1+R18)^10+C24-C25-C26)/C29</f>
        <v>31.01292530962505</v>
      </c>
      <c r="S22" s="141">
        <f>(SUMPRODUCT(C13:L13,1/(1+S18)^{1,2,3,4,5,6,7,8,9,10})+(N13/(S18-P22))/(1+S18)^10+C24-C25-C26)/C29</f>
        <v>29.960246084019875</v>
      </c>
      <c r="T22" s="141">
        <f>(SUMPRODUCT(C13:L13,1/(1+T18)^{1,2,3,4,5,6,7,8,9,10})+(N13/(T18-P22))/(1+T18)^10+C24-C25-C26)/C29</f>
        <v>30.361203678240763</v>
      </c>
      <c r="U22" s="141">
        <f>(SUMPRODUCT(C13:L13,1/(1+U18)^{1,2,3,4,5,6,7,8,9,10})+(N13/(U18-P22))/(1+U18)^10+C24-C25-C26)/C29</f>
        <v>29.373044380245243</v>
      </c>
      <c r="V22" s="139"/>
    </row>
    <row r="23" spans="1:22" ht="14.25" customHeight="1" x14ac:dyDescent="0.3">
      <c r="A23" s="39" t="s">
        <v>484</v>
      </c>
      <c r="C23" s="48">
        <f>C20+C21</f>
        <v>5073.9033090365538</v>
      </c>
      <c r="P23" s="140">
        <f>$Q$6+0.01</f>
        <v>0.13137120442903147</v>
      </c>
      <c r="Q23" s="143">
        <f>(SUMPRODUCT(C13:L13,1/(1+Q18)^{1,2,3,4,5,6,7,8,9,10})+(N13/(Q18-P23))/(1+Q18)^10+C24-C25-C26)/C29</f>
        <v>31.802416062727445</v>
      </c>
      <c r="R23" s="143">
        <f>(SUMPRODUCT(C13:L13,1/(1+R18)^{1,2,3,4,5,6,7,8,9,10})+(N13/(R18-P23))/(1+R18)^10+C24-C25-C26)/C29</f>
        <v>31.064670203130266</v>
      </c>
      <c r="S23" s="143">
        <f>(SUMPRODUCT(C13:L13,1/(1+S18)^{1,2,3,4,5,6,7,8,9,10})+(N13/(S18-P23))/(1+S18)^10+C24-C25-C26)/C29</f>
        <v>30.254296803339905</v>
      </c>
      <c r="T23" s="143">
        <f>(SUMPRODUCT(C13:L13,1/(1+T18)^{1,2,3,4,5,6,7,8,9,10})+(N13/(T18-P23))/(1+T18)^10+C24-C25-C26)/C29</f>
        <v>43.394124899106956</v>
      </c>
      <c r="U23" s="143">
        <f>(SUMPRODUCT(C13:L13,1/(1+U18)^{1,2,3,4,5,6,7,8,9,10})+(N13/(U18-P23))/(1+U18)^10+C24-C25-C26)/C29</f>
        <v>29.448236692372181</v>
      </c>
      <c r="V23" s="139"/>
    </row>
    <row r="24" spans="1:22" ht="14.25" customHeight="1" x14ac:dyDescent="0.3">
      <c r="A24" s="39" t="s">
        <v>485</v>
      </c>
      <c r="C24" s="144">
        <f>'Consolidated Balance sheet'!F45</f>
        <v>303.77999999999997</v>
      </c>
      <c r="P24" s="145"/>
      <c r="Q24" s="146"/>
      <c r="R24" s="146"/>
      <c r="S24" s="146"/>
      <c r="T24" s="146"/>
      <c r="U24" s="146"/>
      <c r="V24" s="54"/>
    </row>
    <row r="25" spans="1:22" ht="14.25" customHeight="1" x14ac:dyDescent="0.3">
      <c r="A25" s="39" t="s">
        <v>486</v>
      </c>
      <c r="C25" s="144">
        <f>'Consolidated Balance sheet'!F16+'Consolidated Balance sheet'!F23</f>
        <v>2424.9899999999998</v>
      </c>
      <c r="P25" s="145"/>
      <c r="Q25" s="146"/>
      <c r="R25" s="146"/>
      <c r="S25" s="146"/>
      <c r="T25" s="146"/>
      <c r="U25" s="146"/>
      <c r="V25" s="54"/>
    </row>
    <row r="26" spans="1:22" ht="14.25" customHeight="1" x14ac:dyDescent="0.3">
      <c r="A26" s="39" t="s">
        <v>487</v>
      </c>
      <c r="C26" s="144">
        <f>'Consolidated Balance sheet'!F13</f>
        <v>-1.68</v>
      </c>
      <c r="P26" s="145"/>
      <c r="Q26" s="146"/>
      <c r="R26" s="146"/>
      <c r="S26" s="147"/>
      <c r="T26" s="146"/>
      <c r="U26" s="146"/>
      <c r="V26" s="54"/>
    </row>
    <row r="27" spans="1:22" ht="14.25" customHeight="1" x14ac:dyDescent="0.3">
      <c r="A27" s="39" t="s">
        <v>471</v>
      </c>
      <c r="C27" s="288">
        <f>C23+C24-C25-C26</f>
        <v>2954.3733090365536</v>
      </c>
      <c r="P27" s="145"/>
      <c r="Q27" s="146"/>
      <c r="R27" s="146"/>
      <c r="S27" s="146"/>
      <c r="T27" s="146"/>
      <c r="U27" s="146"/>
      <c r="V27" s="54"/>
    </row>
    <row r="28" spans="1:22" ht="14.25" customHeight="1" x14ac:dyDescent="0.3">
      <c r="A28" s="44"/>
      <c r="P28" s="145"/>
      <c r="Q28" s="146"/>
      <c r="R28" s="146"/>
      <c r="S28" s="146"/>
      <c r="T28" s="146"/>
      <c r="U28" s="146"/>
      <c r="V28" s="54"/>
    </row>
    <row r="29" spans="1:22" ht="14.25" customHeight="1" x14ac:dyDescent="0.3">
      <c r="A29" s="39" t="s">
        <v>472</v>
      </c>
      <c r="C29" s="133">
        <f>'Consolidated Balance sheet'!F6/10</f>
        <v>65.195999999999998</v>
      </c>
    </row>
    <row r="30" spans="1:22" ht="14.25" customHeight="1" x14ac:dyDescent="0.3">
      <c r="A30" s="39" t="s">
        <v>474</v>
      </c>
      <c r="C30" s="295">
        <f>C27/C29</f>
        <v>45.315254141919041</v>
      </c>
    </row>
    <row r="31" spans="1:22" ht="14.25" customHeight="1" x14ac:dyDescent="0.3">
      <c r="A31" s="134" t="s">
        <v>488</v>
      </c>
      <c r="C31" s="133">
        <v>4200</v>
      </c>
    </row>
    <row r="32" spans="1:22" ht="14.25" customHeight="1" x14ac:dyDescent="0.3">
      <c r="A32" s="39" t="s">
        <v>477</v>
      </c>
      <c r="C32" s="60">
        <f>(C30-C31)/C31</f>
        <v>-0.98921065377573347</v>
      </c>
    </row>
  </sheetData>
  <pageMargins left="0.7" right="0.7" top="0.75" bottom="0.75" header="0.511811023622047" footer="0.511811023622047"/>
  <pageSetup paperSize="9" orientation="portrait" horizontalDpi="300" verticalDpi="30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Q44"/>
  <sheetViews>
    <sheetView showGridLines="0" zoomScaleNormal="100" workbookViewId="0">
      <selection activeCell="E27" sqref="E27"/>
    </sheetView>
  </sheetViews>
  <sheetFormatPr defaultColWidth="8.6640625" defaultRowHeight="14.4" x14ac:dyDescent="0.3"/>
  <cols>
    <col min="1" max="1" width="30.6640625" style="1" customWidth="1"/>
    <col min="2" max="3" width="8" style="1" customWidth="1"/>
    <col min="4" max="4" width="10.88671875" style="1" customWidth="1"/>
    <col min="5" max="5" width="10.44140625" style="1" customWidth="1"/>
    <col min="6" max="6" width="9.44140625" style="1" customWidth="1"/>
    <col min="7" max="7" width="8" style="1" customWidth="1"/>
    <col min="8" max="8" width="9" style="1" customWidth="1"/>
    <col min="9" max="9" width="6.44140625" style="1" customWidth="1"/>
    <col min="10" max="10" width="7.109375" style="1" customWidth="1"/>
    <col min="11" max="11" width="7.6640625" style="1" customWidth="1"/>
    <col min="12" max="12" width="10.88671875" style="1" customWidth="1"/>
    <col min="13" max="13" width="8.109375" style="1" customWidth="1"/>
    <col min="15" max="15" width="11.44140625" style="1" customWidth="1"/>
    <col min="16" max="16" width="10.21875" style="1" customWidth="1"/>
    <col min="17" max="17" width="9.5546875" style="1" customWidth="1"/>
  </cols>
  <sheetData>
    <row r="1" spans="1:17" ht="15" customHeight="1" x14ac:dyDescent="0.3">
      <c r="A1" s="296" t="s">
        <v>489</v>
      </c>
      <c r="B1" s="296"/>
      <c r="C1" s="296"/>
      <c r="D1" s="296"/>
      <c r="E1" s="296"/>
      <c r="F1" s="296"/>
      <c r="G1" s="296"/>
      <c r="H1" s="296"/>
      <c r="I1" s="296"/>
      <c r="J1" s="296"/>
      <c r="K1" s="296"/>
      <c r="L1" s="296"/>
      <c r="M1" s="296"/>
    </row>
    <row r="2" spans="1:17" ht="14.25" customHeight="1" x14ac:dyDescent="0.3">
      <c r="A2" s="7"/>
      <c r="B2" s="7"/>
      <c r="C2" s="7"/>
      <c r="D2" s="7"/>
      <c r="E2" s="7"/>
      <c r="F2" s="7"/>
      <c r="G2" s="7"/>
      <c r="H2" s="7"/>
      <c r="I2" s="7"/>
      <c r="J2" s="7"/>
      <c r="K2" s="7"/>
      <c r="L2" s="7"/>
      <c r="M2" s="7"/>
    </row>
    <row r="3" spans="1:17" ht="14.25" customHeight="1" x14ac:dyDescent="0.3">
      <c r="A3" s="297" t="s">
        <v>25</v>
      </c>
      <c r="B3" s="298" t="s">
        <v>490</v>
      </c>
      <c r="C3" s="298"/>
      <c r="D3" s="298"/>
      <c r="E3" s="298"/>
      <c r="F3" s="298" t="s">
        <v>491</v>
      </c>
      <c r="G3" s="298"/>
      <c r="H3" s="298"/>
      <c r="I3" s="298"/>
      <c r="J3" s="299" t="s">
        <v>492</v>
      </c>
      <c r="K3" s="299"/>
      <c r="L3" s="299"/>
      <c r="M3" s="299"/>
    </row>
    <row r="4" spans="1:17" ht="24" customHeight="1" x14ac:dyDescent="0.3">
      <c r="A4" s="297"/>
      <c r="B4" s="300" t="s">
        <v>493</v>
      </c>
      <c r="C4" s="300" t="s">
        <v>494</v>
      </c>
      <c r="D4" s="300" t="s">
        <v>495</v>
      </c>
      <c r="E4" s="300" t="s">
        <v>496</v>
      </c>
      <c r="F4" s="300" t="s">
        <v>497</v>
      </c>
      <c r="G4" s="300" t="s">
        <v>498</v>
      </c>
      <c r="H4" s="300" t="s">
        <v>499</v>
      </c>
      <c r="I4" s="300" t="s">
        <v>500</v>
      </c>
      <c r="J4" s="301" t="s">
        <v>501</v>
      </c>
      <c r="K4" s="301" t="s">
        <v>502</v>
      </c>
      <c r="L4" s="301" t="s">
        <v>503</v>
      </c>
      <c r="M4" s="301" t="s">
        <v>504</v>
      </c>
    </row>
    <row r="5" spans="1:17" ht="14.25" customHeight="1" x14ac:dyDescent="0.3">
      <c r="A5" s="148" t="s">
        <v>505</v>
      </c>
      <c r="B5" s="149">
        <v>4051.85</v>
      </c>
      <c r="C5" s="150">
        <v>65.2</v>
      </c>
      <c r="D5" s="149">
        <f>B5*C5</f>
        <v>264180.62</v>
      </c>
      <c r="E5" s="151">
        <f>'Consolidated Balance sheet'!E16+'Consolidated Balance sheet'!E23+D5-'Consolidated Balance sheet'!E45-'Consolidated Balance sheet'!E42</f>
        <v>263821.17</v>
      </c>
      <c r="F5" s="152">
        <f>Assumptions!E3</f>
        <v>59358.05</v>
      </c>
      <c r="G5" s="152">
        <f>Assumptions!E9</f>
        <v>4487.3299999999945</v>
      </c>
      <c r="H5" s="153">
        <f>Assumptions!E11</f>
        <v>3617.8099999999945</v>
      </c>
      <c r="I5" s="153">
        <f>'Consolidated P&amp;l'!E39</f>
        <v>42</v>
      </c>
      <c r="J5" s="154">
        <f>B5/I5</f>
        <v>96.472619047619048</v>
      </c>
      <c r="K5" s="154">
        <f>E5/F5</f>
        <v>4.4445727243398325</v>
      </c>
      <c r="L5" s="154">
        <f>E5/G5</f>
        <v>58.792460104338282</v>
      </c>
      <c r="M5" s="154">
        <f>E5/H5</f>
        <v>72.922892578659571</v>
      </c>
    </row>
    <row r="6" spans="1:17" ht="14.25" customHeight="1" x14ac:dyDescent="0.3">
      <c r="A6" s="155" t="s">
        <v>506</v>
      </c>
      <c r="B6" s="156">
        <v>118.85</v>
      </c>
      <c r="C6" s="150">
        <f>4673/10</f>
        <v>467.3</v>
      </c>
      <c r="D6" s="156">
        <f>B6*C6</f>
        <v>55538.604999999996</v>
      </c>
      <c r="E6" s="157">
        <v>57043</v>
      </c>
      <c r="F6" s="158">
        <v>12906</v>
      </c>
      <c r="G6" s="158">
        <v>1884</v>
      </c>
      <c r="H6" s="158">
        <f>1125+171</f>
        <v>1296</v>
      </c>
      <c r="I6" s="153">
        <v>1.8</v>
      </c>
      <c r="J6" s="154">
        <f>B6/I6</f>
        <v>66.027777777777771</v>
      </c>
      <c r="K6" s="154">
        <f>E6/F6</f>
        <v>4.4198822253215555</v>
      </c>
      <c r="L6" s="154">
        <f>E6/G6</f>
        <v>30.277600849256899</v>
      </c>
      <c r="M6" s="154">
        <f>E6/H6</f>
        <v>44.014660493827158</v>
      </c>
    </row>
    <row r="7" spans="1:17" ht="14.25" customHeight="1" x14ac:dyDescent="0.3">
      <c r="A7" s="148" t="s">
        <v>507</v>
      </c>
      <c r="B7" s="149">
        <v>682.5</v>
      </c>
      <c r="C7" s="150">
        <f>79/10</f>
        <v>7.9</v>
      </c>
      <c r="D7" s="149">
        <f>B7*C7</f>
        <v>5391.75</v>
      </c>
      <c r="E7" s="151">
        <v>6367</v>
      </c>
      <c r="F7" s="158">
        <v>3789</v>
      </c>
      <c r="G7" s="158">
        <v>513</v>
      </c>
      <c r="H7" s="2">
        <f>155+75</f>
        <v>230</v>
      </c>
      <c r="I7" s="153">
        <v>15.61</v>
      </c>
      <c r="J7" s="154">
        <f>B7/I7</f>
        <v>43.721973094170409</v>
      </c>
      <c r="K7" s="154">
        <f>E7/F7</f>
        <v>1.6803906043811032</v>
      </c>
      <c r="L7" s="154">
        <f>E7/G7</f>
        <v>12.41130604288499</v>
      </c>
      <c r="M7" s="154">
        <f>E7/H7</f>
        <v>27.682608695652174</v>
      </c>
    </row>
    <row r="8" spans="1:17" ht="14.25" customHeight="1" x14ac:dyDescent="0.3">
      <c r="A8" s="155" t="s">
        <v>508</v>
      </c>
      <c r="B8" s="156">
        <v>358.7</v>
      </c>
      <c r="C8" s="150">
        <f>55/5</f>
        <v>11</v>
      </c>
      <c r="D8" s="156">
        <f>B8*C8</f>
        <v>3945.7</v>
      </c>
      <c r="E8" s="159">
        <v>7285</v>
      </c>
      <c r="F8" s="158">
        <v>5043</v>
      </c>
      <c r="G8" s="158">
        <v>744</v>
      </c>
      <c r="H8" s="158">
        <f>-53+289</f>
        <v>236</v>
      </c>
      <c r="I8" s="153">
        <v>-3.28</v>
      </c>
      <c r="J8" s="154">
        <f>B8/I8</f>
        <v>-109.35975609756098</v>
      </c>
      <c r="K8" s="154">
        <f>E8/F8</f>
        <v>1.44457664088836</v>
      </c>
      <c r="L8" s="154">
        <f>E8/G8</f>
        <v>9.7916666666666661</v>
      </c>
      <c r="M8" s="154">
        <f>E8/H8</f>
        <v>30.868644067796609</v>
      </c>
    </row>
    <row r="9" spans="1:17" ht="14.25" customHeight="1" x14ac:dyDescent="0.3">
      <c r="A9" s="148" t="s">
        <v>509</v>
      </c>
      <c r="B9" s="149">
        <v>104.55</v>
      </c>
      <c r="C9" s="150">
        <f>385/10</f>
        <v>38.5</v>
      </c>
      <c r="D9" s="149">
        <f>B9*C9</f>
        <v>4025.1749999999997</v>
      </c>
      <c r="E9" s="151">
        <v>5921</v>
      </c>
      <c r="F9" s="50">
        <v>7183</v>
      </c>
      <c r="G9" s="50">
        <v>438</v>
      </c>
      <c r="H9" s="2">
        <f>143+154</f>
        <v>297</v>
      </c>
      <c r="I9" s="160">
        <v>2.78</v>
      </c>
      <c r="J9" s="154">
        <f>B9/I9</f>
        <v>37.60791366906475</v>
      </c>
      <c r="K9" s="154">
        <f>E9/F9</f>
        <v>0.82430739245440621</v>
      </c>
      <c r="L9" s="154">
        <f>E9/G9</f>
        <v>13.518264840182649</v>
      </c>
      <c r="M9" s="154">
        <f>E9/H9</f>
        <v>19.936026936026938</v>
      </c>
      <c r="O9" s="158"/>
    </row>
    <row r="10" spans="1:17" ht="14.25" customHeight="1" x14ac:dyDescent="0.3">
      <c r="A10" s="161" t="s">
        <v>510</v>
      </c>
      <c r="B10" s="162">
        <f t="shared" ref="B10:M10" si="0">AVERAGE(B6:B9)</f>
        <v>316.14999999999998</v>
      </c>
      <c r="C10" s="162">
        <f t="shared" si="0"/>
        <v>131.17500000000001</v>
      </c>
      <c r="D10" s="162">
        <f t="shared" si="0"/>
        <v>17225.307499999999</v>
      </c>
      <c r="E10" s="162">
        <f t="shared" si="0"/>
        <v>19154</v>
      </c>
      <c r="F10" s="162">
        <f t="shared" si="0"/>
        <v>7230.25</v>
      </c>
      <c r="G10" s="162">
        <f t="shared" si="0"/>
        <v>894.75</v>
      </c>
      <c r="H10" s="162">
        <f t="shared" si="0"/>
        <v>514.75</v>
      </c>
      <c r="I10" s="162">
        <f t="shared" si="0"/>
        <v>4.2275</v>
      </c>
      <c r="J10" s="162">
        <f t="shared" si="0"/>
        <v>9.4994771108629887</v>
      </c>
      <c r="K10" s="162">
        <f t="shared" si="0"/>
        <v>2.0922892157613564</v>
      </c>
      <c r="L10" s="162">
        <f t="shared" si="0"/>
        <v>16.499709599747799</v>
      </c>
      <c r="M10" s="162">
        <f t="shared" si="0"/>
        <v>30.625485048325718</v>
      </c>
    </row>
    <row r="11" spans="1:17" ht="14.25" customHeight="1" x14ac:dyDescent="0.3">
      <c r="A11" s="161" t="s">
        <v>511</v>
      </c>
      <c r="B11" s="162">
        <f t="shared" ref="B11:M11" si="1">MEDIAN(B6:B9)</f>
        <v>238.77499999999998</v>
      </c>
      <c r="C11" s="162">
        <f t="shared" si="1"/>
        <v>24.75</v>
      </c>
      <c r="D11" s="162">
        <f t="shared" si="1"/>
        <v>4708.4624999999996</v>
      </c>
      <c r="E11" s="162">
        <f t="shared" si="1"/>
        <v>6826</v>
      </c>
      <c r="F11" s="162">
        <f t="shared" si="1"/>
        <v>6113</v>
      </c>
      <c r="G11" s="162">
        <f t="shared" si="1"/>
        <v>628.5</v>
      </c>
      <c r="H11" s="162">
        <f t="shared" si="1"/>
        <v>266.5</v>
      </c>
      <c r="I11" s="162">
        <f t="shared" si="1"/>
        <v>2.29</v>
      </c>
      <c r="J11" s="162">
        <f t="shared" si="1"/>
        <v>40.664943381617576</v>
      </c>
      <c r="K11" s="162">
        <f t="shared" si="1"/>
        <v>1.5624836226347316</v>
      </c>
      <c r="L11" s="162">
        <f t="shared" si="1"/>
        <v>12.96478544153382</v>
      </c>
      <c r="M11" s="162">
        <f t="shared" si="1"/>
        <v>29.275626381724393</v>
      </c>
      <c r="P11" s="163"/>
      <c r="Q11" s="164"/>
    </row>
    <row r="12" spans="1:17" ht="14.25" customHeight="1" x14ac:dyDescent="0.3">
      <c r="P12" s="165"/>
    </row>
    <row r="13" spans="1:17" ht="14.25" customHeight="1" x14ac:dyDescent="0.3">
      <c r="A13" s="302" t="s">
        <v>512</v>
      </c>
      <c r="B13" s="302"/>
      <c r="C13" s="302"/>
      <c r="D13" s="302"/>
      <c r="E13" s="302"/>
      <c r="F13" s="302"/>
      <c r="G13" s="302"/>
      <c r="H13" s="302"/>
      <c r="I13" s="302"/>
      <c r="J13" s="302"/>
      <c r="K13" s="302"/>
      <c r="L13" s="302"/>
      <c r="M13" s="302"/>
    </row>
    <row r="14" spans="1:17" ht="36" customHeight="1" x14ac:dyDescent="0.3">
      <c r="A14" s="303" t="s">
        <v>513</v>
      </c>
      <c r="B14" s="300" t="s">
        <v>514</v>
      </c>
      <c r="C14" s="300" t="s">
        <v>515</v>
      </c>
      <c r="D14" s="303" t="s">
        <v>516</v>
      </c>
      <c r="E14" s="301" t="s">
        <v>517</v>
      </c>
      <c r="F14" s="301" t="s">
        <v>518</v>
      </c>
      <c r="G14" s="301" t="s">
        <v>519</v>
      </c>
      <c r="H14" s="301" t="s">
        <v>520</v>
      </c>
      <c r="I14" s="304" t="s">
        <v>521</v>
      </c>
      <c r="J14" s="304" t="s">
        <v>522</v>
      </c>
      <c r="K14" s="303" t="s">
        <v>523</v>
      </c>
      <c r="L14" s="301" t="s">
        <v>524</v>
      </c>
      <c r="M14" s="301" t="s">
        <v>525</v>
      </c>
    </row>
    <row r="15" spans="1:17" ht="14.25" customHeight="1" x14ac:dyDescent="0.3">
      <c r="A15" s="161" t="s">
        <v>526</v>
      </c>
      <c r="B15" s="166">
        <f>K10</f>
        <v>2.0922892157613564</v>
      </c>
      <c r="C15" s="166">
        <f>K11</f>
        <v>1.5624836226347316</v>
      </c>
      <c r="D15" s="166">
        <f>K5</f>
        <v>4.4445727243398325</v>
      </c>
      <c r="E15" s="167">
        <f>B15*F5</f>
        <v>124194.20788362338</v>
      </c>
      <c r="F15" s="167">
        <f>C15*F5</f>
        <v>92745.98099653353</v>
      </c>
      <c r="G15" s="167">
        <f>E15-(E5-D5)</f>
        <v>124553.6578836234</v>
      </c>
      <c r="H15" s="167">
        <f>F15-(E5-D5)</f>
        <v>93105.430996533541</v>
      </c>
      <c r="I15" s="168">
        <f>G15/C5</f>
        <v>1910.3321761291932</v>
      </c>
      <c r="J15" s="168">
        <f>H15/C5</f>
        <v>1427.9974079222934</v>
      </c>
      <c r="K15" s="168">
        <f>B5</f>
        <v>4051.85</v>
      </c>
      <c r="L15" s="169">
        <f>(B5-I15)/I15</f>
        <v>1.12101855930106</v>
      </c>
      <c r="M15" s="169">
        <f>(B5-J15)/J15</f>
        <v>1.8374351224456056</v>
      </c>
    </row>
    <row r="16" spans="1:17" ht="14.25" customHeight="1" x14ac:dyDescent="0.3">
      <c r="A16" s="161" t="s">
        <v>527</v>
      </c>
      <c r="B16" s="166">
        <f>L10</f>
        <v>16.499709599747799</v>
      </c>
      <c r="C16" s="166">
        <f>L11</f>
        <v>12.96478544153382</v>
      </c>
      <c r="D16" s="166">
        <f>L5</f>
        <v>58.792460104338282</v>
      </c>
      <c r="E16" s="167">
        <f>B16*G5</f>
        <v>74039.641878236202</v>
      </c>
      <c r="F16" s="167">
        <f>C16*G5</f>
        <v>58177.270655357883</v>
      </c>
      <c r="G16" s="167">
        <f>E16-(E5-D5)</f>
        <v>74399.091878236213</v>
      </c>
      <c r="H16" s="167">
        <f>F16-(E5-D5)</f>
        <v>58536.720655357894</v>
      </c>
      <c r="I16" s="168">
        <f>G16/C5</f>
        <v>1141.0903662306166</v>
      </c>
      <c r="J16" s="168">
        <f>H16/C5</f>
        <v>897.8024640392315</v>
      </c>
      <c r="K16" s="168">
        <f>K15</f>
        <v>4051.85</v>
      </c>
      <c r="L16" s="169">
        <f>(B5-I16)/I16</f>
        <v>2.550858126499258</v>
      </c>
      <c r="M16" s="169">
        <f>(B5-J16)/J16</f>
        <v>3.5130751610667725</v>
      </c>
    </row>
    <row r="17" spans="1:17" ht="14.25" customHeight="1" x14ac:dyDescent="0.3">
      <c r="A17" s="161" t="s">
        <v>528</v>
      </c>
      <c r="B17" s="166">
        <f>J10</f>
        <v>9.4994771108629887</v>
      </c>
      <c r="C17" s="166">
        <f>J11</f>
        <v>40.664943381617576</v>
      </c>
      <c r="D17" s="166">
        <f>J5</f>
        <v>96.472619047619048</v>
      </c>
      <c r="E17" s="168">
        <f>B17*I5</f>
        <v>398.97803865624553</v>
      </c>
      <c r="F17" s="168">
        <f>C17*I5</f>
        <v>1707.9276220279382</v>
      </c>
      <c r="G17" s="167">
        <f>E17*C5</f>
        <v>26013.368120387211</v>
      </c>
      <c r="H17" s="167">
        <f>F17*C5</f>
        <v>111356.88095622158</v>
      </c>
      <c r="I17" s="168">
        <f>E17</f>
        <v>398.97803865624553</v>
      </c>
      <c r="J17" s="168">
        <f>F17</f>
        <v>1707.9276220279382</v>
      </c>
      <c r="K17" s="168">
        <f>K16</f>
        <v>4051.85</v>
      </c>
      <c r="L17" s="169">
        <f>(B5-I17)/I17</f>
        <v>9.1555715037514211</v>
      </c>
      <c r="M17" s="169">
        <f>(B5-J17)/J17</f>
        <v>1.372378049128899</v>
      </c>
    </row>
    <row r="18" spans="1:17" ht="14.25" customHeight="1" x14ac:dyDescent="0.3">
      <c r="A18" s="170"/>
      <c r="B18" s="44"/>
      <c r="C18" s="171"/>
      <c r="D18" s="44"/>
      <c r="E18" s="44"/>
      <c r="F18" s="44"/>
      <c r="G18" s="44"/>
      <c r="H18" s="44"/>
      <c r="I18" s="44"/>
      <c r="J18" s="44"/>
      <c r="K18" s="44"/>
      <c r="L18" s="44"/>
      <c r="M18" s="172"/>
      <c r="N18" s="44"/>
      <c r="O18" s="173"/>
      <c r="P18" s="173"/>
      <c r="Q18" s="173"/>
    </row>
    <row r="19" spans="1:17" ht="14.25" customHeight="1" x14ac:dyDescent="0.3">
      <c r="A19" s="170"/>
      <c r="B19" s="44"/>
      <c r="C19" s="171"/>
      <c r="D19" s="44"/>
      <c r="E19" s="44"/>
      <c r="F19" s="44"/>
      <c r="G19" s="44"/>
      <c r="H19" s="44"/>
      <c r="I19" s="44"/>
      <c r="J19" s="44"/>
      <c r="K19" s="44"/>
      <c r="L19" s="44"/>
      <c r="M19" s="172"/>
      <c r="N19" s="44"/>
      <c r="O19" s="305" t="s">
        <v>529</v>
      </c>
      <c r="P19" s="305" t="s">
        <v>503</v>
      </c>
      <c r="Q19" s="305" t="s">
        <v>530</v>
      </c>
    </row>
    <row r="20" spans="1:17" ht="14.25" customHeight="1" x14ac:dyDescent="0.3">
      <c r="A20" s="44" t="s">
        <v>531</v>
      </c>
      <c r="B20" s="44"/>
      <c r="C20" s="44"/>
      <c r="D20" s="44"/>
      <c r="E20" s="44"/>
      <c r="F20" s="44"/>
      <c r="G20" s="44"/>
      <c r="H20" s="44"/>
      <c r="I20" s="44"/>
      <c r="J20" s="44"/>
      <c r="K20" s="44"/>
      <c r="L20" s="44"/>
      <c r="M20" s="44"/>
      <c r="N20" s="44"/>
      <c r="O20" s="173">
        <f>MAX(K6:K9)</f>
        <v>4.4198822253215555</v>
      </c>
      <c r="P20" s="173">
        <f>MAX(L6:L9)</f>
        <v>30.277600849256899</v>
      </c>
      <c r="Q20" s="173">
        <f>MAX(J6:J9)</f>
        <v>66.027777777777771</v>
      </c>
    </row>
    <row r="21" spans="1:17" ht="14.25" customHeight="1" x14ac:dyDescent="0.3">
      <c r="A21" s="44" t="s">
        <v>532</v>
      </c>
      <c r="B21" s="44"/>
      <c r="C21" s="44"/>
      <c r="D21" s="44"/>
      <c r="E21" s="44"/>
      <c r="F21" s="44"/>
      <c r="G21" s="44"/>
      <c r="H21" s="44"/>
      <c r="I21" s="44"/>
      <c r="J21" s="44"/>
      <c r="K21" s="44"/>
      <c r="L21" s="44"/>
      <c r="M21" s="44"/>
      <c r="N21" s="44"/>
      <c r="O21" s="174">
        <f>QUARTILE(K6:K9,3)</f>
        <v>2.3652635096162165</v>
      </c>
      <c r="P21" s="174">
        <f>QUARTILE(L6:L9,3)</f>
        <v>17.708098842451211</v>
      </c>
      <c r="Q21" s="174">
        <f>QUARTILE(J6:J9,3)</f>
        <v>49.298424265072249</v>
      </c>
    </row>
    <row r="22" spans="1:17" ht="14.25" customHeight="1" x14ac:dyDescent="0.3">
      <c r="A22" s="134" t="s">
        <v>533</v>
      </c>
      <c r="B22" s="44"/>
      <c r="C22" s="44"/>
      <c r="D22" s="44"/>
      <c r="E22" s="44"/>
      <c r="F22" s="44"/>
      <c r="G22" s="44"/>
      <c r="H22" s="44"/>
      <c r="I22" s="44"/>
      <c r="J22" s="44"/>
      <c r="K22" s="44"/>
      <c r="L22" s="44"/>
      <c r="M22" s="44"/>
      <c r="N22" s="44"/>
      <c r="O22" s="173">
        <f>AVERAGE(K6:K9)</f>
        <v>2.0922892157613564</v>
      </c>
      <c r="P22" s="173">
        <f>AVERAGE(L6:L9)</f>
        <v>16.499709599747799</v>
      </c>
      <c r="Q22" s="173">
        <f>AVERAGE(J6:J9)</f>
        <v>9.4994771108629887</v>
      </c>
    </row>
    <row r="23" spans="1:17" ht="14.25" customHeight="1" x14ac:dyDescent="0.3">
      <c r="A23" s="134" t="s">
        <v>534</v>
      </c>
      <c r="B23" s="44"/>
      <c r="C23" s="44"/>
      <c r="D23" s="44"/>
      <c r="E23" s="44"/>
      <c r="F23" s="44"/>
      <c r="G23" s="44"/>
      <c r="H23" s="44"/>
      <c r="I23" s="44"/>
      <c r="J23" s="44"/>
      <c r="K23" s="44"/>
      <c r="L23" s="173"/>
      <c r="M23" s="44"/>
      <c r="N23" s="44"/>
      <c r="O23" s="173">
        <f>MEDIAN(K6:K9)</f>
        <v>1.5624836226347316</v>
      </c>
      <c r="P23" s="173">
        <f>MEDIAN(L6:L9)</f>
        <v>12.96478544153382</v>
      </c>
      <c r="Q23" s="173">
        <f>MEDIAN(J6:J9)</f>
        <v>40.664943381617576</v>
      </c>
    </row>
    <row r="24" spans="1:17" ht="14.25" customHeight="1" x14ac:dyDescent="0.3">
      <c r="A24" s="44" t="s">
        <v>535</v>
      </c>
      <c r="B24" s="44"/>
      <c r="C24" s="44"/>
      <c r="D24" s="44"/>
      <c r="E24" s="44"/>
      <c r="F24" s="44"/>
      <c r="G24" s="44"/>
      <c r="H24" s="44"/>
      <c r="I24" s="44"/>
      <c r="J24" s="44"/>
      <c r="K24" s="44"/>
      <c r="L24" s="44"/>
      <c r="M24" s="44"/>
      <c r="N24" s="44"/>
      <c r="O24" s="173">
        <f>QUARTILE(K6:K9,1)</f>
        <v>1.2895093287798716</v>
      </c>
      <c r="P24" s="173">
        <f>QUARTILE(L6:L9,1)</f>
        <v>11.756396198830409</v>
      </c>
      <c r="Q24" s="173">
        <f>QUARTILE(J6:J9,1)</f>
        <v>0.86599622740833126</v>
      </c>
    </row>
    <row r="25" spans="1:17" ht="14.25" customHeight="1" x14ac:dyDescent="0.3">
      <c r="A25" s="44" t="s">
        <v>536</v>
      </c>
      <c r="B25" s="44"/>
      <c r="C25" s="44"/>
      <c r="D25" s="44"/>
      <c r="E25" s="44"/>
      <c r="F25" s="44"/>
      <c r="G25" s="44"/>
      <c r="H25" s="44"/>
      <c r="I25" s="44"/>
      <c r="J25" s="44"/>
      <c r="K25" s="44"/>
      <c r="L25" s="44"/>
      <c r="M25" s="44"/>
      <c r="N25" s="44"/>
      <c r="O25" s="173">
        <f>MIN(K6:K9)</f>
        <v>0.82430739245440621</v>
      </c>
      <c r="P25" s="173">
        <f>MIN(L6:L9)</f>
        <v>9.7916666666666661</v>
      </c>
      <c r="Q25" s="173">
        <f>MIN(J6:J9)</f>
        <v>-109.35975609756098</v>
      </c>
    </row>
    <row r="26" spans="1:17" ht="14.25" customHeight="1" x14ac:dyDescent="0.3">
      <c r="A26" s="44"/>
      <c r="B26" s="44"/>
      <c r="C26" s="44"/>
      <c r="D26" s="44"/>
      <c r="E26" s="44"/>
      <c r="F26" s="44"/>
      <c r="G26" s="44"/>
      <c r="H26" s="44"/>
      <c r="I26" s="44"/>
      <c r="J26" s="44"/>
      <c r="K26" s="44"/>
      <c r="L26" s="44"/>
      <c r="M26" s="44"/>
      <c r="N26" s="44"/>
      <c r="O26" s="44"/>
      <c r="P26" s="44"/>
      <c r="Q26" s="44"/>
    </row>
    <row r="27" spans="1:17" ht="14.25" customHeight="1" x14ac:dyDescent="0.3">
      <c r="A27" s="306" t="s">
        <v>537</v>
      </c>
      <c r="B27" s="306"/>
      <c r="C27" s="306"/>
      <c r="D27" s="306"/>
      <c r="E27" s="306"/>
      <c r="F27" s="306"/>
      <c r="G27" s="306"/>
      <c r="H27" s="306"/>
      <c r="I27" s="306"/>
      <c r="J27" s="306"/>
      <c r="K27" s="306"/>
      <c r="L27" s="306"/>
      <c r="M27" s="306"/>
      <c r="N27" s="306"/>
      <c r="O27" s="305" t="s">
        <v>529</v>
      </c>
      <c r="P27" s="305" t="s">
        <v>503</v>
      </c>
      <c r="Q27" s="305" t="s">
        <v>530</v>
      </c>
    </row>
    <row r="28" spans="1:17" ht="14.25" customHeight="1" x14ac:dyDescent="0.3">
      <c r="A28" s="307"/>
      <c r="B28" s="307"/>
      <c r="C28" s="307"/>
      <c r="D28" s="307"/>
      <c r="E28" s="307"/>
      <c r="F28" s="307"/>
      <c r="G28" s="307"/>
      <c r="H28" s="307"/>
      <c r="I28" s="307"/>
      <c r="J28" s="307"/>
      <c r="K28" s="307"/>
      <c r="L28" s="307"/>
      <c r="M28" s="307"/>
      <c r="N28" s="307"/>
      <c r="O28" s="305" t="s">
        <v>538</v>
      </c>
      <c r="P28" s="305"/>
      <c r="Q28" s="305"/>
    </row>
    <row r="29" spans="1:17" ht="14.25" customHeight="1" x14ac:dyDescent="0.3">
      <c r="A29" s="44" t="s">
        <v>539</v>
      </c>
      <c r="B29" s="44"/>
      <c r="C29" s="44"/>
      <c r="D29" s="44"/>
      <c r="E29" s="44"/>
      <c r="F29" s="44"/>
      <c r="G29" s="44"/>
      <c r="H29" s="44"/>
      <c r="I29" s="44"/>
      <c r="J29" s="44"/>
      <c r="K29" s="44"/>
      <c r="L29" s="44"/>
      <c r="M29" s="44"/>
      <c r="N29" s="44"/>
      <c r="O29" s="174">
        <f>O22*F5</f>
        <v>124194.20788362338</v>
      </c>
      <c r="P29" s="174">
        <f>P22*G5</f>
        <v>74039.641878236202</v>
      </c>
      <c r="Q29" s="174">
        <f>Q22*I5*C5</f>
        <v>26013.368120387211</v>
      </c>
    </row>
    <row r="30" spans="1:17" ht="14.25" customHeight="1" x14ac:dyDescent="0.3">
      <c r="A30" s="44" t="s">
        <v>540</v>
      </c>
      <c r="B30" s="44"/>
      <c r="C30" s="44"/>
      <c r="D30" s="44"/>
      <c r="E30" s="44"/>
      <c r="F30" s="44"/>
      <c r="G30" s="44"/>
      <c r="H30" s="44"/>
      <c r="I30" s="44"/>
      <c r="J30" s="44"/>
      <c r="K30" s="44"/>
      <c r="L30" s="44"/>
      <c r="M30" s="44"/>
      <c r="N30" s="44"/>
      <c r="O30" s="174">
        <f>E5-D5</f>
        <v>-359.45000000001164</v>
      </c>
      <c r="P30" s="174">
        <f>E5-D5</f>
        <v>-359.45000000001164</v>
      </c>
      <c r="Q30" s="174">
        <f>E5-D5</f>
        <v>-359.45000000001164</v>
      </c>
    </row>
    <row r="31" spans="1:17" ht="14.25" customHeight="1" x14ac:dyDescent="0.3">
      <c r="A31" s="44" t="s">
        <v>541</v>
      </c>
      <c r="B31" s="44"/>
      <c r="C31" s="44"/>
      <c r="D31" s="44"/>
      <c r="E31" s="44"/>
      <c r="F31" s="44"/>
      <c r="G31" s="44"/>
      <c r="H31" s="44"/>
      <c r="I31" s="44"/>
      <c r="J31" s="44"/>
      <c r="K31" s="44"/>
      <c r="L31" s="44"/>
      <c r="M31" s="44"/>
      <c r="N31" s="44"/>
      <c r="O31" s="174">
        <f>O29-O30</f>
        <v>124553.6578836234</v>
      </c>
      <c r="P31" s="174">
        <f>P29-P30</f>
        <v>74399.091878236213</v>
      </c>
      <c r="Q31" s="174">
        <f>Q29-Q30</f>
        <v>26372.818120387223</v>
      </c>
    </row>
    <row r="32" spans="1:17" ht="14.25" customHeight="1" x14ac:dyDescent="0.3">
      <c r="A32" s="44" t="s">
        <v>542</v>
      </c>
      <c r="B32" s="44"/>
      <c r="C32" s="44"/>
      <c r="D32" s="44"/>
      <c r="E32" s="44"/>
      <c r="F32" s="44"/>
      <c r="G32" s="44"/>
      <c r="H32" s="44"/>
      <c r="I32" s="44"/>
      <c r="J32" s="44"/>
      <c r="K32" s="44"/>
      <c r="L32" s="44"/>
      <c r="M32" s="44"/>
      <c r="N32" s="44"/>
      <c r="O32" s="174">
        <f>C5</f>
        <v>65.2</v>
      </c>
      <c r="P32" s="174">
        <f>C5</f>
        <v>65.2</v>
      </c>
      <c r="Q32" s="174">
        <f>C5</f>
        <v>65.2</v>
      </c>
    </row>
    <row r="33" spans="1:17" ht="14.25" customHeight="1" x14ac:dyDescent="0.3">
      <c r="A33" s="44"/>
      <c r="B33" s="44"/>
      <c r="C33" s="44"/>
      <c r="D33" s="44"/>
      <c r="E33" s="44"/>
      <c r="F33" s="44"/>
      <c r="G33" s="44"/>
      <c r="H33" s="44"/>
      <c r="I33" s="44"/>
      <c r="J33" s="44"/>
      <c r="K33" s="44"/>
      <c r="L33" s="44"/>
      <c r="M33" s="44"/>
      <c r="N33" s="44"/>
      <c r="O33" s="44"/>
      <c r="P33" s="44"/>
      <c r="Q33" s="44"/>
    </row>
    <row r="34" spans="1:17" ht="15" customHeight="1" x14ac:dyDescent="0.3">
      <c r="A34" s="175" t="s">
        <v>543</v>
      </c>
      <c r="B34" s="176"/>
      <c r="C34" s="176"/>
      <c r="D34" s="176"/>
      <c r="E34" s="176"/>
      <c r="F34" s="176"/>
      <c r="G34" s="176"/>
      <c r="H34" s="176"/>
      <c r="I34" s="176"/>
      <c r="J34" s="176"/>
      <c r="K34" s="176"/>
      <c r="L34" s="176"/>
      <c r="M34" s="176"/>
      <c r="N34" s="176"/>
      <c r="O34" s="177">
        <f>O31/O32</f>
        <v>1910.3321761291932</v>
      </c>
      <c r="P34" s="177">
        <f>P31/P32</f>
        <v>1141.0903662306166</v>
      </c>
      <c r="Q34" s="177">
        <f>Q22*I5</f>
        <v>398.97803865624553</v>
      </c>
    </row>
    <row r="35" spans="1:17" ht="15" customHeight="1" x14ac:dyDescent="0.3"/>
    <row r="39" spans="1:17" ht="15" customHeight="1" x14ac:dyDescent="0.3">
      <c r="A39" s="178"/>
      <c r="B39" s="179"/>
      <c r="C39" s="180"/>
      <c r="D39" s="180"/>
      <c r="E39" s="180"/>
      <c r="F39" s="180"/>
      <c r="G39" s="180"/>
      <c r="H39" s="180"/>
      <c r="I39" s="180"/>
      <c r="J39" s="180"/>
      <c r="K39" s="180"/>
    </row>
    <row r="40" spans="1:17" ht="14.25" customHeight="1" x14ac:dyDescent="0.3">
      <c r="A40" s="181"/>
      <c r="B40" s="182"/>
      <c r="C40" s="183"/>
      <c r="D40" s="183"/>
      <c r="E40" s="183"/>
      <c r="F40" s="183"/>
      <c r="G40" s="183"/>
      <c r="H40" s="183"/>
      <c r="I40" s="183"/>
      <c r="J40" s="183"/>
      <c r="K40" s="183"/>
    </row>
    <row r="41" spans="1:17" ht="14.25" customHeight="1" x14ac:dyDescent="0.3">
      <c r="A41" s="184"/>
      <c r="B41" s="185"/>
      <c r="C41" s="186"/>
      <c r="D41" s="186"/>
      <c r="E41" s="186"/>
      <c r="F41" s="186"/>
      <c r="G41" s="186"/>
      <c r="H41" s="186"/>
      <c r="I41" s="186"/>
      <c r="J41" s="186"/>
      <c r="K41" s="186"/>
    </row>
    <row r="42" spans="1:17" ht="14.25" customHeight="1" x14ac:dyDescent="0.3">
      <c r="A42" s="181"/>
      <c r="B42" s="182"/>
      <c r="C42" s="183"/>
      <c r="D42" s="183"/>
      <c r="E42" s="183"/>
      <c r="F42" s="183"/>
      <c r="G42" s="183"/>
      <c r="H42" s="183"/>
      <c r="I42" s="183"/>
      <c r="J42" s="183"/>
      <c r="K42" s="183"/>
    </row>
    <row r="43" spans="1:17" ht="15" customHeight="1" x14ac:dyDescent="0.3">
      <c r="A43" s="184"/>
      <c r="B43" s="185"/>
      <c r="C43" s="186"/>
      <c r="D43" s="186"/>
      <c r="E43" s="186"/>
      <c r="F43" s="186"/>
      <c r="G43" s="186"/>
      <c r="H43" s="186"/>
      <c r="I43" s="186"/>
      <c r="J43" s="186"/>
      <c r="K43" s="186"/>
    </row>
    <row r="44" spans="1:17" ht="15" customHeight="1" x14ac:dyDescent="0.3">
      <c r="A44" s="187"/>
      <c r="B44" s="188"/>
      <c r="C44" s="189"/>
      <c r="D44" s="189"/>
      <c r="E44" s="189"/>
      <c r="F44" s="189"/>
      <c r="G44" s="189"/>
      <c r="H44" s="189"/>
      <c r="I44" s="189"/>
      <c r="J44" s="189"/>
      <c r="K44" s="189"/>
    </row>
  </sheetData>
  <mergeCells count="6">
    <mergeCell ref="A13:M13"/>
    <mergeCell ref="A1:M1"/>
    <mergeCell ref="A3:A4"/>
    <mergeCell ref="B3:E3"/>
    <mergeCell ref="F3:I3"/>
    <mergeCell ref="J3:M3"/>
  </mergeCells>
  <hyperlinks>
    <hyperlink ref="A5" r:id="rId1" xr:uid="{00000000-0004-0000-1000-000000000000}"/>
    <hyperlink ref="A6" r:id="rId2" xr:uid="{00000000-0004-0000-1000-000001000000}"/>
    <hyperlink ref="A7" r:id="rId3" xr:uid="{00000000-0004-0000-1000-000002000000}"/>
    <hyperlink ref="A8" r:id="rId4" xr:uid="{00000000-0004-0000-1000-000003000000}"/>
    <hyperlink ref="A9" r:id="rId5" xr:uid="{00000000-0004-0000-1000-000004000000}"/>
  </hyperlinks>
  <pageMargins left="0.7" right="0.7" top="0.75" bottom="0.75" header="0.511811023622047" footer="0.511811023622047"/>
  <pageSetup paperSize="9" orientation="portrait" horizontalDpi="300" verticalDpi="30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R46"/>
  <sheetViews>
    <sheetView showGridLines="0" zoomScaleNormal="100" workbookViewId="0">
      <selection activeCell="D8" sqref="D8"/>
    </sheetView>
  </sheetViews>
  <sheetFormatPr defaultColWidth="8.6640625" defaultRowHeight="14.4" x14ac:dyDescent="0.3"/>
  <cols>
    <col min="1" max="1" width="11.88671875" style="1" bestFit="1" customWidth="1"/>
    <col min="2" max="18" width="13" style="1" customWidth="1"/>
  </cols>
  <sheetData>
    <row r="1" spans="1:18" ht="43.2" x14ac:dyDescent="0.3">
      <c r="A1" s="308" t="s">
        <v>26</v>
      </c>
      <c r="B1" s="308" t="s">
        <v>27</v>
      </c>
      <c r="D1" s="312" t="s">
        <v>544</v>
      </c>
      <c r="E1" s="313" t="s">
        <v>545</v>
      </c>
      <c r="F1" s="313" t="s">
        <v>546</v>
      </c>
      <c r="G1" s="313" t="s">
        <v>547</v>
      </c>
      <c r="H1" s="313" t="s">
        <v>548</v>
      </c>
      <c r="I1" s="313" t="s">
        <v>549</v>
      </c>
      <c r="J1" s="313" t="s">
        <v>550</v>
      </c>
    </row>
    <row r="2" spans="1:18" x14ac:dyDescent="0.3">
      <c r="A2" s="309" t="s">
        <v>551</v>
      </c>
      <c r="B2" s="310" t="s">
        <v>552</v>
      </c>
      <c r="D2" s="314" t="s">
        <v>553</v>
      </c>
      <c r="E2" s="315">
        <v>68821</v>
      </c>
      <c r="F2" s="316">
        <v>2970</v>
      </c>
      <c r="G2" s="317">
        <f t="shared" ref="G2:H5" si="0">(E2-E3)/E3</f>
        <v>0.15942248728056876</v>
      </c>
      <c r="H2" s="318">
        <f t="shared" si="0"/>
        <v>9.715552271887698E-2</v>
      </c>
      <c r="I2" s="319">
        <f>(J2-J3)/J3</f>
        <v>-1.0019409550008729E-2</v>
      </c>
      <c r="J2" s="266">
        <v>23283.7</v>
      </c>
    </row>
    <row r="3" spans="1:18" x14ac:dyDescent="0.3">
      <c r="A3" s="309" t="s">
        <v>554</v>
      </c>
      <c r="B3" s="310" t="s">
        <v>555</v>
      </c>
      <c r="D3" s="314" t="s">
        <v>556</v>
      </c>
      <c r="E3" s="315">
        <v>59358</v>
      </c>
      <c r="F3" s="316">
        <v>2707</v>
      </c>
      <c r="G3" s="317">
        <f t="shared" si="0"/>
        <v>0.16871763570851955</v>
      </c>
      <c r="H3" s="318">
        <f t="shared" si="0"/>
        <v>6.7429022082018925E-2</v>
      </c>
      <c r="I3" s="319">
        <f>(J3-J4)/J4</f>
        <v>5.3408668467185193E-2</v>
      </c>
      <c r="J3" s="266">
        <v>23519.35</v>
      </c>
    </row>
    <row r="4" spans="1:18" x14ac:dyDescent="0.3">
      <c r="A4" s="309" t="s">
        <v>557</v>
      </c>
      <c r="B4" s="310" t="s">
        <v>558</v>
      </c>
      <c r="D4" s="314" t="s">
        <v>559</v>
      </c>
      <c r="E4" s="315">
        <v>50789</v>
      </c>
      <c r="F4" s="316">
        <v>2536</v>
      </c>
      <c r="G4" s="317">
        <f t="shared" si="0"/>
        <v>0.18555088702147526</v>
      </c>
      <c r="H4" s="318">
        <f t="shared" si="0"/>
        <v>6.6442388561816654E-2</v>
      </c>
      <c r="I4" s="319">
        <f>(J4-J5)/J5</f>
        <v>0.28613027261337298</v>
      </c>
      <c r="J4" s="266">
        <v>22326.9</v>
      </c>
    </row>
    <row r="5" spans="1:18" x14ac:dyDescent="0.3">
      <c r="A5" s="309" t="s">
        <v>560</v>
      </c>
      <c r="B5" s="310">
        <v>88.2</v>
      </c>
      <c r="D5" s="314" t="s">
        <v>561</v>
      </c>
      <c r="E5" s="315">
        <v>42840</v>
      </c>
      <c r="F5" s="316">
        <v>2378</v>
      </c>
      <c r="G5" s="317">
        <f t="shared" si="0"/>
        <v>0.38300619834710742</v>
      </c>
      <c r="H5" s="318">
        <f t="shared" si="0"/>
        <v>0.59383378016085786</v>
      </c>
      <c r="I5" s="319">
        <f>(J5-J6)/J6</f>
        <v>-6.0121101075022547E-3</v>
      </c>
      <c r="J5" s="266">
        <v>17359.75</v>
      </c>
    </row>
    <row r="6" spans="1:18" x14ac:dyDescent="0.3">
      <c r="A6" s="309" t="s">
        <v>562</v>
      </c>
      <c r="B6" s="310">
        <v>375</v>
      </c>
      <c r="D6" s="314" t="s">
        <v>563</v>
      </c>
      <c r="E6" s="315">
        <v>30976</v>
      </c>
      <c r="F6" s="316">
        <v>1492</v>
      </c>
      <c r="G6" s="317"/>
      <c r="H6" s="318"/>
      <c r="I6" s="319"/>
      <c r="J6" s="266">
        <v>17464.75</v>
      </c>
    </row>
    <row r="7" spans="1:18" ht="28.8" x14ac:dyDescent="0.3">
      <c r="A7" s="309" t="s">
        <v>564</v>
      </c>
      <c r="B7" s="311">
        <v>0</v>
      </c>
    </row>
    <row r="8" spans="1:18" x14ac:dyDescent="0.3">
      <c r="A8" s="309" t="s">
        <v>565</v>
      </c>
      <c r="B8" s="310" t="s">
        <v>566</v>
      </c>
    </row>
    <row r="9" spans="1:18" x14ac:dyDescent="0.3">
      <c r="A9" s="309" t="s">
        <v>449</v>
      </c>
      <c r="B9" s="310" t="s">
        <v>567</v>
      </c>
    </row>
    <row r="10" spans="1:18" x14ac:dyDescent="0.3">
      <c r="A10" s="309" t="s">
        <v>568</v>
      </c>
      <c r="B10" s="310">
        <v>10</v>
      </c>
    </row>
    <row r="11" spans="1:18" ht="15" thickBot="1" x14ac:dyDescent="0.35"/>
    <row r="12" spans="1:18" ht="17.399999999999999" customHeight="1" x14ac:dyDescent="0.3">
      <c r="A12" s="209" t="s">
        <v>569</v>
      </c>
      <c r="B12" s="210"/>
      <c r="C12" s="210"/>
      <c r="D12" s="210"/>
      <c r="E12" s="210"/>
      <c r="F12" s="211"/>
      <c r="G12" s="190"/>
      <c r="H12" s="190"/>
      <c r="I12" s="190"/>
      <c r="J12" s="190"/>
      <c r="K12" s="190"/>
      <c r="L12" s="190"/>
      <c r="M12" s="190"/>
      <c r="N12" s="190"/>
      <c r="O12" s="190"/>
      <c r="P12" s="190"/>
      <c r="Q12" s="190"/>
      <c r="R12" s="190"/>
    </row>
    <row r="13" spans="1:18" ht="18" customHeight="1" x14ac:dyDescent="0.3">
      <c r="A13" s="212" t="s">
        <v>570</v>
      </c>
      <c r="B13" s="213"/>
      <c r="C13" s="213"/>
      <c r="D13" s="213"/>
      <c r="E13" s="213"/>
      <c r="F13" s="214"/>
      <c r="G13" s="190"/>
      <c r="H13" s="190"/>
      <c r="I13" s="190"/>
      <c r="J13" s="190"/>
      <c r="K13" s="190"/>
      <c r="L13" s="190"/>
      <c r="M13" s="190"/>
      <c r="N13" s="190"/>
      <c r="O13" s="190"/>
      <c r="P13" s="190"/>
      <c r="Q13" s="190"/>
      <c r="R13" s="190"/>
    </row>
    <row r="14" spans="1:18" x14ac:dyDescent="0.3">
      <c r="A14" s="191"/>
      <c r="B14" s="192"/>
      <c r="C14" s="192"/>
      <c r="D14" s="192"/>
      <c r="E14" s="192"/>
      <c r="F14" s="193"/>
      <c r="G14" s="190"/>
      <c r="H14" s="190"/>
      <c r="I14" s="190"/>
      <c r="J14" s="190"/>
      <c r="K14" s="190"/>
      <c r="L14" s="190"/>
      <c r="M14" s="190"/>
      <c r="N14" s="190"/>
      <c r="O14" s="190"/>
      <c r="P14" s="190"/>
      <c r="Q14" s="190"/>
      <c r="R14" s="190"/>
    </row>
    <row r="15" spans="1:18" x14ac:dyDescent="0.3">
      <c r="A15" s="200" t="s">
        <v>571</v>
      </c>
      <c r="B15" s="201"/>
      <c r="C15" s="201"/>
      <c r="D15" s="201"/>
      <c r="E15" s="201"/>
      <c r="F15" s="202"/>
      <c r="G15" s="190"/>
      <c r="H15" s="190"/>
      <c r="I15" s="190"/>
      <c r="J15" s="190"/>
      <c r="K15" s="190"/>
      <c r="L15" s="190"/>
      <c r="M15" s="190"/>
      <c r="N15" s="190"/>
      <c r="O15" s="190"/>
      <c r="P15" s="190"/>
      <c r="Q15" s="190"/>
      <c r="R15" s="190"/>
    </row>
    <row r="16" spans="1:18" x14ac:dyDescent="0.3">
      <c r="A16" s="200" t="s">
        <v>572</v>
      </c>
      <c r="B16" s="201"/>
      <c r="C16" s="201"/>
      <c r="D16" s="201"/>
      <c r="E16" s="201"/>
      <c r="F16" s="202"/>
      <c r="G16" s="190"/>
      <c r="H16" s="190"/>
      <c r="I16" s="190"/>
      <c r="J16" s="190"/>
      <c r="K16" s="190"/>
      <c r="L16" s="190"/>
      <c r="M16" s="190"/>
      <c r="N16" s="190"/>
      <c r="O16" s="190"/>
      <c r="P16" s="190"/>
      <c r="Q16" s="190"/>
      <c r="R16" s="190"/>
    </row>
    <row r="17" spans="1:18" x14ac:dyDescent="0.3">
      <c r="A17" s="200" t="s">
        <v>573</v>
      </c>
      <c r="B17" s="201"/>
      <c r="C17" s="201"/>
      <c r="D17" s="201"/>
      <c r="E17" s="201"/>
      <c r="F17" s="202"/>
      <c r="G17" s="190"/>
      <c r="H17" s="190"/>
      <c r="I17" s="190"/>
      <c r="J17" s="190"/>
      <c r="K17" s="190"/>
      <c r="L17" s="190"/>
      <c r="M17" s="190"/>
      <c r="N17" s="190"/>
      <c r="O17" s="190"/>
      <c r="P17" s="190"/>
      <c r="Q17" s="190"/>
      <c r="R17" s="190"/>
    </row>
    <row r="18" spans="1:18" x14ac:dyDescent="0.3">
      <c r="A18" s="200" t="s">
        <v>574</v>
      </c>
      <c r="B18" s="201"/>
      <c r="C18" s="201"/>
      <c r="D18" s="201"/>
      <c r="E18" s="201"/>
      <c r="F18" s="202"/>
      <c r="G18" s="190"/>
      <c r="H18" s="190"/>
      <c r="I18" s="190"/>
      <c r="J18" s="190"/>
      <c r="K18" s="190"/>
      <c r="L18" s="190"/>
      <c r="M18" s="190"/>
      <c r="N18" s="190"/>
      <c r="O18" s="190"/>
      <c r="P18" s="190"/>
      <c r="Q18" s="190"/>
      <c r="R18" s="190"/>
    </row>
    <row r="19" spans="1:18" x14ac:dyDescent="0.3">
      <c r="A19" s="200" t="s">
        <v>575</v>
      </c>
      <c r="B19" s="201"/>
      <c r="C19" s="201"/>
      <c r="D19" s="201"/>
      <c r="E19" s="201"/>
      <c r="F19" s="202"/>
      <c r="G19" s="190"/>
      <c r="H19" s="190"/>
      <c r="I19" s="190"/>
      <c r="J19" s="190"/>
      <c r="K19" s="190"/>
      <c r="L19" s="190"/>
      <c r="M19" s="190"/>
      <c r="N19" s="190"/>
      <c r="O19" s="190"/>
      <c r="P19" s="190"/>
      <c r="Q19" s="190"/>
      <c r="R19" s="190"/>
    </row>
    <row r="20" spans="1:18" x14ac:dyDescent="0.3">
      <c r="A20" s="200" t="s">
        <v>576</v>
      </c>
      <c r="B20" s="201"/>
      <c r="C20" s="201"/>
      <c r="D20" s="201"/>
      <c r="E20" s="201"/>
      <c r="F20" s="202"/>
      <c r="G20" s="190"/>
      <c r="H20" s="190"/>
      <c r="I20" s="190"/>
      <c r="J20" s="190"/>
      <c r="K20" s="190"/>
      <c r="L20" s="190"/>
      <c r="M20" s="190"/>
      <c r="N20" s="190"/>
      <c r="O20" s="190"/>
      <c r="P20" s="190"/>
      <c r="Q20" s="190"/>
      <c r="R20" s="190"/>
    </row>
    <row r="21" spans="1:18" x14ac:dyDescent="0.3">
      <c r="A21" s="200" t="s">
        <v>577</v>
      </c>
      <c r="B21" s="201"/>
      <c r="C21" s="201"/>
      <c r="D21" s="201"/>
      <c r="E21" s="201"/>
      <c r="F21" s="202"/>
      <c r="G21" s="190"/>
      <c r="H21" s="190"/>
      <c r="I21" s="190"/>
      <c r="J21" s="190"/>
      <c r="K21" s="190"/>
      <c r="L21" s="190"/>
      <c r="M21" s="190"/>
      <c r="N21" s="190"/>
      <c r="O21" s="190"/>
      <c r="P21" s="190"/>
      <c r="Q21" s="190"/>
      <c r="R21" s="190"/>
    </row>
    <row r="22" spans="1:18" x14ac:dyDescent="0.3">
      <c r="A22" s="200" t="s">
        <v>578</v>
      </c>
      <c r="B22" s="201"/>
      <c r="C22" s="201"/>
      <c r="D22" s="201"/>
      <c r="E22" s="201"/>
      <c r="F22" s="202"/>
      <c r="G22" s="190"/>
      <c r="H22" s="190"/>
      <c r="I22" s="190"/>
      <c r="J22" s="190"/>
      <c r="K22" s="190"/>
      <c r="L22" s="190"/>
      <c r="M22" s="190"/>
      <c r="N22" s="190"/>
      <c r="O22" s="190"/>
      <c r="P22" s="190"/>
      <c r="Q22" s="190"/>
      <c r="R22" s="190"/>
    </row>
    <row r="23" spans="1:18" x14ac:dyDescent="0.3">
      <c r="A23" s="200" t="s">
        <v>579</v>
      </c>
      <c r="B23" s="201"/>
      <c r="C23" s="201"/>
      <c r="D23" s="201"/>
      <c r="E23" s="201"/>
      <c r="F23" s="202"/>
      <c r="G23" s="190"/>
      <c r="H23" s="190"/>
      <c r="I23" s="190"/>
      <c r="J23" s="190"/>
      <c r="K23" s="190"/>
      <c r="L23" s="190"/>
      <c r="M23" s="190"/>
      <c r="N23" s="190"/>
      <c r="O23" s="190"/>
      <c r="P23" s="190"/>
      <c r="Q23" s="190"/>
      <c r="R23" s="190"/>
    </row>
    <row r="24" spans="1:18" x14ac:dyDescent="0.3">
      <c r="A24" s="200" t="s">
        <v>580</v>
      </c>
      <c r="B24" s="201"/>
      <c r="C24" s="201"/>
      <c r="D24" s="201"/>
      <c r="E24" s="201"/>
      <c r="F24" s="202"/>
      <c r="G24" s="190"/>
      <c r="H24" s="190"/>
      <c r="I24" s="190"/>
      <c r="J24" s="190"/>
      <c r="K24" s="190"/>
      <c r="L24" s="190"/>
      <c r="M24" s="190"/>
      <c r="N24" s="190"/>
      <c r="O24" s="190"/>
      <c r="P24" s="190"/>
      <c r="Q24" s="190"/>
      <c r="R24" s="190"/>
    </row>
    <row r="25" spans="1:18" x14ac:dyDescent="0.3">
      <c r="A25" s="191"/>
      <c r="B25" s="192"/>
      <c r="C25" s="192"/>
      <c r="D25" s="192"/>
      <c r="E25" s="192"/>
      <c r="F25" s="193"/>
      <c r="G25" s="190"/>
      <c r="H25" s="190"/>
      <c r="I25" s="190"/>
      <c r="J25" s="190"/>
      <c r="K25" s="190"/>
      <c r="L25" s="190"/>
      <c r="M25" s="190"/>
      <c r="N25" s="190"/>
      <c r="O25" s="190"/>
      <c r="P25" s="190"/>
      <c r="Q25" s="190"/>
      <c r="R25" s="190"/>
    </row>
    <row r="26" spans="1:18" x14ac:dyDescent="0.3">
      <c r="A26" s="203" t="s">
        <v>581</v>
      </c>
      <c r="B26" s="204"/>
      <c r="C26" s="204"/>
      <c r="D26" s="204"/>
      <c r="E26" s="204"/>
      <c r="F26" s="205"/>
      <c r="G26" s="190"/>
      <c r="H26" s="190"/>
      <c r="I26" s="190"/>
      <c r="J26" s="190"/>
      <c r="K26" s="190"/>
      <c r="L26" s="190"/>
      <c r="M26" s="190"/>
      <c r="N26" s="190"/>
      <c r="O26" s="190"/>
      <c r="P26" s="190"/>
      <c r="Q26" s="190"/>
      <c r="R26" s="190"/>
    </row>
    <row r="27" spans="1:18" x14ac:dyDescent="0.3">
      <c r="A27" s="200" t="s">
        <v>582</v>
      </c>
      <c r="B27" s="201"/>
      <c r="C27" s="201"/>
      <c r="D27" s="201"/>
      <c r="E27" s="201"/>
      <c r="F27" s="202"/>
      <c r="G27" s="190"/>
      <c r="H27" s="190"/>
      <c r="I27" s="190"/>
      <c r="J27" s="190"/>
      <c r="K27" s="190"/>
      <c r="L27" s="190"/>
      <c r="M27" s="190"/>
      <c r="N27" s="190"/>
      <c r="O27" s="190"/>
      <c r="P27" s="190"/>
      <c r="Q27" s="190"/>
      <c r="R27" s="190"/>
    </row>
    <row r="28" spans="1:18" ht="15" thickBot="1" x14ac:dyDescent="0.35">
      <c r="A28" s="206" t="s">
        <v>583</v>
      </c>
      <c r="B28" s="207"/>
      <c r="C28" s="207"/>
      <c r="D28" s="207"/>
      <c r="E28" s="207"/>
      <c r="F28" s="208"/>
      <c r="G28" s="190"/>
      <c r="H28" s="190"/>
      <c r="I28" s="190"/>
      <c r="J28" s="190"/>
      <c r="K28" s="190"/>
      <c r="L28" s="190"/>
      <c r="M28" s="190"/>
      <c r="N28" s="190"/>
      <c r="O28" s="190"/>
      <c r="P28" s="190"/>
      <c r="Q28" s="190"/>
      <c r="R28" s="190"/>
    </row>
    <row r="29" spans="1:18" x14ac:dyDescent="0.3">
      <c r="A29" s="190"/>
      <c r="B29" s="190"/>
      <c r="C29" s="190"/>
      <c r="D29" s="190"/>
      <c r="E29" s="190"/>
      <c r="F29" s="190"/>
      <c r="G29" s="190"/>
      <c r="H29" s="190"/>
      <c r="I29" s="190"/>
      <c r="J29" s="190"/>
      <c r="K29" s="190"/>
      <c r="L29" s="190"/>
      <c r="M29" s="190"/>
      <c r="N29" s="190"/>
      <c r="O29" s="190"/>
      <c r="P29" s="190"/>
      <c r="Q29" s="190"/>
      <c r="R29" s="190"/>
    </row>
    <row r="30" spans="1:18" x14ac:dyDescent="0.3">
      <c r="A30" s="199"/>
      <c r="B30" s="199"/>
      <c r="C30" s="199"/>
      <c r="D30" s="199"/>
      <c r="E30" s="199"/>
      <c r="F30" s="199"/>
      <c r="G30" s="190"/>
      <c r="H30" s="190"/>
      <c r="I30" s="190"/>
      <c r="J30" s="190"/>
      <c r="K30" s="190"/>
      <c r="L30" s="190"/>
      <c r="M30" s="190"/>
      <c r="N30" s="190"/>
      <c r="O30" s="190"/>
      <c r="P30" s="190"/>
      <c r="Q30" s="190"/>
      <c r="R30" s="190"/>
    </row>
    <row r="31" spans="1:18" x14ac:dyDescent="0.3">
      <c r="A31" s="190"/>
      <c r="B31" s="190"/>
      <c r="C31" s="190"/>
      <c r="D31" s="190"/>
      <c r="E31" s="190"/>
      <c r="F31" s="190"/>
      <c r="G31" s="190"/>
      <c r="H31" s="190"/>
      <c r="I31" s="190"/>
      <c r="J31" s="190"/>
      <c r="K31" s="190"/>
      <c r="L31" s="190"/>
      <c r="M31" s="190"/>
      <c r="N31" s="190"/>
      <c r="O31" s="190"/>
      <c r="P31" s="190"/>
      <c r="Q31" s="190"/>
      <c r="R31" s="190"/>
    </row>
    <row r="32" spans="1:18" x14ac:dyDescent="0.3">
      <c r="A32" s="190"/>
      <c r="B32" s="190"/>
      <c r="C32" s="190"/>
      <c r="D32" s="190"/>
      <c r="E32" s="190"/>
      <c r="F32" s="190"/>
      <c r="G32" s="190"/>
      <c r="H32" s="190"/>
      <c r="I32" s="190"/>
      <c r="J32" s="190"/>
      <c r="K32" s="190"/>
      <c r="L32" s="190"/>
      <c r="M32" s="190"/>
      <c r="N32" s="190"/>
      <c r="O32" s="190"/>
      <c r="P32" s="190"/>
      <c r="Q32" s="190"/>
      <c r="R32" s="190"/>
    </row>
    <row r="33" spans="1:18" x14ac:dyDescent="0.3">
      <c r="A33" s="190"/>
      <c r="B33" s="190"/>
      <c r="C33" s="190"/>
      <c r="D33" s="190"/>
      <c r="E33" s="190"/>
      <c r="F33" s="190"/>
      <c r="G33" s="190"/>
      <c r="H33" s="190"/>
      <c r="I33" s="190"/>
      <c r="J33" s="190"/>
      <c r="K33" s="190"/>
      <c r="L33" s="190"/>
      <c r="M33" s="190"/>
      <c r="N33" s="190"/>
      <c r="O33" s="190"/>
      <c r="P33" s="190"/>
      <c r="Q33" s="190"/>
      <c r="R33" s="190"/>
    </row>
    <row r="34" spans="1:18" x14ac:dyDescent="0.3">
      <c r="A34" s="190"/>
      <c r="B34" s="190"/>
      <c r="C34" s="190"/>
      <c r="D34" s="190"/>
      <c r="E34" s="190"/>
      <c r="F34" s="190"/>
      <c r="G34" s="190"/>
      <c r="H34" s="190"/>
      <c r="I34" s="190"/>
      <c r="J34" s="190"/>
      <c r="K34" s="190"/>
      <c r="L34" s="190"/>
      <c r="M34" s="190"/>
      <c r="N34" s="190"/>
      <c r="O34" s="190"/>
      <c r="P34" s="190"/>
      <c r="Q34" s="190"/>
      <c r="R34" s="190"/>
    </row>
    <row r="35" spans="1:18" x14ac:dyDescent="0.3">
      <c r="A35" s="190"/>
      <c r="B35" s="190"/>
      <c r="C35" s="190"/>
      <c r="D35" s="190"/>
      <c r="E35" s="190"/>
      <c r="F35" s="190"/>
      <c r="G35" s="190"/>
      <c r="H35" s="190"/>
      <c r="I35" s="190"/>
      <c r="J35" s="190"/>
      <c r="K35" s="190"/>
      <c r="L35" s="190"/>
      <c r="M35" s="190"/>
      <c r="N35" s="190"/>
      <c r="O35" s="190"/>
      <c r="P35" s="190"/>
      <c r="Q35" s="190"/>
      <c r="R35" s="190"/>
    </row>
    <row r="36" spans="1:18" x14ac:dyDescent="0.3">
      <c r="A36" s="190"/>
      <c r="B36" s="190"/>
      <c r="C36" s="190"/>
      <c r="D36" s="190"/>
      <c r="E36" s="190"/>
      <c r="F36" s="190"/>
      <c r="G36" s="190"/>
      <c r="H36" s="190"/>
      <c r="I36" s="190"/>
      <c r="J36" s="190"/>
      <c r="K36" s="190"/>
      <c r="L36" s="190"/>
      <c r="M36" s="190"/>
      <c r="N36" s="190"/>
      <c r="O36" s="190"/>
      <c r="P36" s="190"/>
      <c r="Q36" s="190"/>
      <c r="R36" s="190"/>
    </row>
    <row r="37" spans="1:18" x14ac:dyDescent="0.3">
      <c r="A37" s="190"/>
      <c r="B37" s="190"/>
      <c r="C37" s="190"/>
      <c r="D37" s="190"/>
      <c r="E37" s="190"/>
      <c r="F37" s="190"/>
      <c r="G37" s="190"/>
      <c r="H37" s="190"/>
      <c r="I37" s="190"/>
      <c r="J37" s="190"/>
      <c r="K37" s="190"/>
      <c r="L37" s="190"/>
      <c r="M37" s="190"/>
      <c r="N37" s="190"/>
      <c r="O37" s="190"/>
      <c r="P37" s="190"/>
      <c r="Q37" s="190"/>
      <c r="R37" s="190"/>
    </row>
    <row r="38" spans="1:18" x14ac:dyDescent="0.3">
      <c r="A38" s="190"/>
      <c r="B38" s="190"/>
      <c r="C38" s="190"/>
      <c r="D38" s="190"/>
      <c r="E38" s="190"/>
      <c r="F38" s="190"/>
      <c r="G38" s="190"/>
      <c r="H38" s="190"/>
      <c r="I38" s="190"/>
      <c r="J38" s="190"/>
      <c r="K38" s="190"/>
      <c r="L38" s="190"/>
      <c r="M38" s="190"/>
      <c r="N38" s="190"/>
      <c r="O38" s="190"/>
      <c r="P38" s="190"/>
      <c r="Q38" s="190"/>
      <c r="R38" s="190"/>
    </row>
    <row r="39" spans="1:18" x14ac:dyDescent="0.3">
      <c r="A39" s="190"/>
      <c r="B39" s="190"/>
      <c r="C39" s="190"/>
      <c r="D39" s="190"/>
      <c r="E39" s="190"/>
      <c r="F39" s="190"/>
      <c r="G39" s="190"/>
      <c r="H39" s="190"/>
      <c r="I39" s="190"/>
      <c r="J39" s="190"/>
      <c r="K39" s="190"/>
      <c r="L39" s="190"/>
      <c r="M39" s="190"/>
      <c r="N39" s="190"/>
      <c r="O39" s="190"/>
      <c r="P39" s="190"/>
      <c r="Q39" s="190"/>
      <c r="R39" s="190"/>
    </row>
    <row r="40" spans="1:18" x14ac:dyDescent="0.3">
      <c r="A40" s="190"/>
      <c r="B40" s="190"/>
      <c r="C40" s="190"/>
      <c r="D40" s="190"/>
      <c r="E40" s="190"/>
      <c r="F40" s="190"/>
      <c r="G40" s="190"/>
      <c r="H40" s="190"/>
      <c r="I40" s="190"/>
      <c r="J40" s="190"/>
      <c r="K40" s="190"/>
      <c r="L40" s="190"/>
      <c r="M40" s="190"/>
      <c r="N40" s="190"/>
      <c r="O40" s="190"/>
      <c r="P40" s="190"/>
      <c r="Q40" s="190"/>
      <c r="R40" s="190"/>
    </row>
    <row r="41" spans="1:18" x14ac:dyDescent="0.3">
      <c r="A41" s="190"/>
      <c r="B41" s="190"/>
      <c r="C41" s="190"/>
      <c r="D41" s="190"/>
      <c r="E41" s="190"/>
      <c r="F41" s="190"/>
      <c r="G41" s="190"/>
      <c r="H41" s="190"/>
      <c r="I41" s="190"/>
      <c r="J41" s="190"/>
      <c r="K41" s="190"/>
      <c r="L41" s="190"/>
      <c r="M41" s="190"/>
      <c r="N41" s="190"/>
      <c r="O41" s="190"/>
      <c r="P41" s="190"/>
      <c r="Q41" s="190"/>
      <c r="R41" s="190"/>
    </row>
    <row r="42" spans="1:18" x14ac:dyDescent="0.3">
      <c r="A42" s="190"/>
      <c r="B42" s="190"/>
      <c r="C42" s="190"/>
      <c r="D42" s="190"/>
      <c r="E42" s="190"/>
      <c r="F42" s="190"/>
      <c r="G42" s="190"/>
      <c r="H42" s="190"/>
      <c r="I42" s="190"/>
      <c r="J42" s="190"/>
      <c r="K42" s="190"/>
      <c r="L42" s="190"/>
      <c r="M42" s="190"/>
      <c r="N42" s="190"/>
      <c r="O42" s="190"/>
      <c r="P42" s="190"/>
      <c r="Q42" s="190"/>
      <c r="R42" s="190"/>
    </row>
    <row r="43" spans="1:18" x14ac:dyDescent="0.3">
      <c r="A43" s="190"/>
      <c r="B43" s="190"/>
      <c r="C43" s="190"/>
      <c r="D43" s="190"/>
      <c r="E43" s="190"/>
      <c r="F43" s="190"/>
      <c r="G43" s="190"/>
      <c r="H43" s="190"/>
      <c r="I43" s="190"/>
      <c r="J43" s="190"/>
      <c r="K43" s="190"/>
      <c r="L43" s="190"/>
      <c r="M43" s="190"/>
      <c r="N43" s="190"/>
      <c r="O43" s="190"/>
      <c r="P43" s="190"/>
      <c r="Q43" s="190"/>
      <c r="R43" s="190"/>
    </row>
    <row r="44" spans="1:18" x14ac:dyDescent="0.3">
      <c r="A44" s="190"/>
      <c r="B44" s="190"/>
      <c r="C44" s="190"/>
      <c r="D44" s="190"/>
      <c r="E44" s="190"/>
      <c r="F44" s="190"/>
      <c r="G44" s="190"/>
      <c r="H44" s="190"/>
      <c r="I44" s="190"/>
      <c r="J44" s="190"/>
      <c r="K44" s="190"/>
      <c r="L44" s="190"/>
      <c r="M44" s="190"/>
      <c r="N44" s="190"/>
      <c r="O44" s="190"/>
      <c r="P44" s="190"/>
      <c r="Q44" s="190"/>
      <c r="R44" s="190"/>
    </row>
    <row r="45" spans="1:18" x14ac:dyDescent="0.3">
      <c r="A45" s="190"/>
      <c r="B45" s="190"/>
      <c r="C45" s="190"/>
      <c r="D45" s="190"/>
      <c r="E45" s="190"/>
      <c r="F45" s="190"/>
      <c r="G45" s="190"/>
      <c r="H45" s="190"/>
      <c r="I45" s="190"/>
      <c r="J45" s="190"/>
      <c r="K45" s="190"/>
      <c r="L45" s="190"/>
      <c r="M45" s="190"/>
      <c r="N45" s="190"/>
      <c r="O45" s="190"/>
      <c r="P45" s="190"/>
      <c r="Q45" s="190"/>
      <c r="R45" s="190"/>
    </row>
    <row r="46" spans="1:18" x14ac:dyDescent="0.3">
      <c r="A46" s="190"/>
      <c r="B46" s="190"/>
      <c r="C46" s="190"/>
      <c r="D46" s="190"/>
      <c r="E46" s="190"/>
      <c r="F46" s="190"/>
      <c r="G46" s="190"/>
      <c r="H46" s="190"/>
      <c r="I46" s="190"/>
      <c r="J46" s="190"/>
      <c r="K46" s="190"/>
      <c r="L46" s="190"/>
      <c r="M46" s="190"/>
      <c r="N46" s="190"/>
      <c r="O46" s="190"/>
      <c r="P46" s="190"/>
      <c r="Q46" s="190"/>
      <c r="R46" s="190"/>
    </row>
  </sheetData>
  <mergeCells count="16">
    <mergeCell ref="A12:F12"/>
    <mergeCell ref="A13:F13"/>
    <mergeCell ref="A15:F15"/>
    <mergeCell ref="A16:F16"/>
    <mergeCell ref="A17:F17"/>
    <mergeCell ref="A18:F18"/>
    <mergeCell ref="A19:F19"/>
    <mergeCell ref="A20:F20"/>
    <mergeCell ref="A21:F21"/>
    <mergeCell ref="A22:F22"/>
    <mergeCell ref="A30:F30"/>
    <mergeCell ref="A23:F23"/>
    <mergeCell ref="A24:F24"/>
    <mergeCell ref="A26:F26"/>
    <mergeCell ref="A27:F27"/>
    <mergeCell ref="A28:F28"/>
  </mergeCells>
  <pageMargins left="0.7" right="0.7" top="0.75" bottom="0.75" header="0.511811023622047" footer="0.511811023622047"/>
  <pageSetup paperSize="9" orientation="portrait" horizontalDpi="300" verticalDpi="300"/>
  <drawing r:id="rId1"/>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Worksheets</vt:lpstr>
      </vt:variant>
      <vt:variant>
        <vt:i4>18</vt:i4>
      </vt:variant>
    </vt:vector>
  </HeadingPairs>
  <TitlesOfParts>
    <vt:vector size="18" baseType="lpstr">
      <vt:lpstr>About the Company</vt:lpstr>
      <vt:lpstr>Promoter</vt:lpstr>
      <vt:lpstr>Public</vt:lpstr>
      <vt:lpstr>Consolidated Balance sheet</vt:lpstr>
      <vt:lpstr>Consolidated P&amp;l</vt:lpstr>
      <vt:lpstr>Consolidated Cash flow</vt:lpstr>
      <vt:lpstr>Beta</vt:lpstr>
      <vt:lpstr>Ratio analysis</vt:lpstr>
      <vt:lpstr>FCFF</vt:lpstr>
      <vt:lpstr>Fixed Asset Scheduled</vt:lpstr>
      <vt:lpstr>Change in working capital</vt:lpstr>
      <vt:lpstr>Assumptions</vt:lpstr>
      <vt:lpstr>wacc</vt:lpstr>
      <vt:lpstr>Forecasting</vt:lpstr>
      <vt:lpstr>Growth Scenario</vt:lpstr>
      <vt:lpstr>DCF valuation</vt:lpstr>
      <vt:lpstr>Relative Valuation</vt:lpstr>
      <vt:lpstr>Stock Analysis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PRATHAM KUSHWAHA</dc:creator>
  <dc:description/>
  <cp:lastModifiedBy>PRATHAM KUSHWAHA</cp:lastModifiedBy>
  <cp:revision>1</cp:revision>
  <cp:lastPrinted>2026-05-26T05:48:00Z</cp:lastPrinted>
  <dcterms:created xsi:type="dcterms:W3CDTF">2026-05-25T10:58:00Z</dcterms:created>
  <dcterms:modified xsi:type="dcterms:W3CDTF">2026-06-29T07:39:12Z</dcterms:modified>
  <dc:language>en-US</dc:languag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alculationRule">
    <vt:i4>0</vt:i4>
  </property>
  <property fmtid="{D5CDD505-2E9C-101B-9397-08002B2CF9AE}" pid="3" name="ICV">
    <vt:lpwstr>E010EEF11464485F925B3E384D5CF6C2_12</vt:lpwstr>
  </property>
  <property fmtid="{D5CDD505-2E9C-101B-9397-08002B2CF9AE}" pid="4" name="KSOProductBuildVer">
    <vt:lpwstr>1033-12.1.0.26880</vt:lpwstr>
  </property>
</Properties>
</file>