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ATHAM\Downloads\CSA ADVISOR\"/>
    </mc:Choice>
  </mc:AlternateContent>
  <xr:revisionPtr revIDLastSave="0" documentId="13_ncr:1_{FE080C7A-792D-4731-8DA9-70F0C3CD0DDE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About the company" sheetId="1" r:id="rId1"/>
    <sheet name="Promoter" sheetId="2" r:id="rId2"/>
    <sheet name="Public" sheetId="3" r:id="rId3"/>
    <sheet name="Consolidated P&amp;L" sheetId="4" r:id="rId4"/>
    <sheet name="Consolidated Balance sheet" sheetId="5" r:id="rId5"/>
    <sheet name="Cash flow" sheetId="6" r:id="rId6"/>
    <sheet name="Consolidated Quarterly Result" sheetId="7" r:id="rId7"/>
    <sheet name="BEta" sheetId="8" r:id="rId8"/>
    <sheet name="WACC" sheetId="9" r:id="rId9"/>
    <sheet name="Ratio Analysis" sheetId="10" r:id="rId10"/>
    <sheet name="FCFF" sheetId="11" r:id="rId11"/>
    <sheet name="Change in working Capital" sheetId="12" r:id="rId12"/>
    <sheet name="Fixed Asset Scheduled" sheetId="13" r:id="rId13"/>
    <sheet name="Assumptions" sheetId="14" r:id="rId14"/>
    <sheet name="Forecasting" sheetId="15" r:id="rId15"/>
    <sheet name="Growth Scenario" sheetId="16" r:id="rId16"/>
    <sheet name="DCF Valuation" sheetId="17" r:id="rId17"/>
    <sheet name="Relative Valuation" sheetId="18" r:id="rId18"/>
    <sheet name="Stock Analysis" sheetId="19" r:id="rId19"/>
  </sheets>
  <calcPr calcId="181029" iterateDelta="1E-4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29" i="19" l="1"/>
  <c r="I5" i="19"/>
  <c r="H5" i="19"/>
  <c r="G5" i="19"/>
  <c r="I4" i="19"/>
  <c r="H4" i="19"/>
  <c r="G4" i="19"/>
  <c r="I3" i="19"/>
  <c r="H3" i="19"/>
  <c r="G3" i="19"/>
  <c r="I2" i="19"/>
  <c r="H2" i="19"/>
  <c r="G2" i="19"/>
  <c r="K15" i="18"/>
  <c r="K16" i="18" s="1"/>
  <c r="K17" i="18" s="1"/>
  <c r="I11" i="18"/>
  <c r="H11" i="18"/>
  <c r="G11" i="18"/>
  <c r="F11" i="18"/>
  <c r="E11" i="18"/>
  <c r="D11" i="18"/>
  <c r="B11" i="18"/>
  <c r="K10" i="18"/>
  <c r="B15" i="18" s="1"/>
  <c r="I10" i="18"/>
  <c r="H10" i="18"/>
  <c r="G10" i="18"/>
  <c r="F10" i="18"/>
  <c r="E10" i="18"/>
  <c r="D10" i="18"/>
  <c r="B10" i="18"/>
  <c r="M9" i="18"/>
  <c r="L9" i="18"/>
  <c r="K9" i="18"/>
  <c r="J9" i="18"/>
  <c r="C9" i="18"/>
  <c r="M8" i="18"/>
  <c r="M10" i="18" s="1"/>
  <c r="L8" i="18"/>
  <c r="L10" i="18" s="1"/>
  <c r="B16" i="18" s="1"/>
  <c r="K8" i="18"/>
  <c r="J8" i="18"/>
  <c r="C8" i="18"/>
  <c r="M7" i="18"/>
  <c r="L7" i="18"/>
  <c r="K7" i="18"/>
  <c r="J7" i="18"/>
  <c r="Q20" i="18" s="1"/>
  <c r="C7" i="18"/>
  <c r="C10" i="18" s="1"/>
  <c r="M6" i="18"/>
  <c r="L6" i="18"/>
  <c r="K6" i="18"/>
  <c r="J6" i="18"/>
  <c r="C6" i="18"/>
  <c r="J5" i="18"/>
  <c r="D17" i="18" s="1"/>
  <c r="I5" i="18"/>
  <c r="E5" i="18"/>
  <c r="C5" i="18"/>
  <c r="C29" i="17"/>
  <c r="C26" i="17"/>
  <c r="C24" i="17"/>
  <c r="B25" i="16"/>
  <c r="B26" i="16" s="1"/>
  <c r="B23" i="16"/>
  <c r="B22" i="16"/>
  <c r="P4" i="16"/>
  <c r="M4" i="16" s="1"/>
  <c r="N8" i="16" s="1"/>
  <c r="N13" i="16" s="1"/>
  <c r="R9" i="15"/>
  <c r="Q9" i="15"/>
  <c r="L9" i="15"/>
  <c r="H9" i="15"/>
  <c r="G9" i="15"/>
  <c r="Q8" i="15"/>
  <c r="R8" i="15" s="1"/>
  <c r="M8" i="15"/>
  <c r="L8" i="15"/>
  <c r="M9" i="15" s="1"/>
  <c r="G8" i="15"/>
  <c r="R7" i="15"/>
  <c r="Q7" i="15"/>
  <c r="L7" i="15"/>
  <c r="M7" i="15" s="1"/>
  <c r="H7" i="15"/>
  <c r="G7" i="15"/>
  <c r="H8" i="15" s="1"/>
  <c r="Q6" i="15"/>
  <c r="L6" i="15"/>
  <c r="G6" i="15"/>
  <c r="H6" i="15" s="1"/>
  <c r="G16" i="15" s="1"/>
  <c r="Q5" i="15"/>
  <c r="L5" i="15"/>
  <c r="L13" i="15" s="1"/>
  <c r="G5" i="15"/>
  <c r="G13" i="15" s="1"/>
  <c r="C42" i="14"/>
  <c r="F41" i="14"/>
  <c r="E41" i="14"/>
  <c r="D41" i="14"/>
  <c r="C41" i="14"/>
  <c r="B41" i="14"/>
  <c r="F40" i="14"/>
  <c r="C25" i="17" s="1"/>
  <c r="E40" i="14"/>
  <c r="D40" i="14"/>
  <c r="C40" i="14"/>
  <c r="B40" i="14"/>
  <c r="F39" i="14"/>
  <c r="F42" i="14" s="1"/>
  <c r="E39" i="14"/>
  <c r="E42" i="14" s="1"/>
  <c r="E30" i="10" s="1"/>
  <c r="D39" i="14"/>
  <c r="D42" i="14" s="1"/>
  <c r="D30" i="10" s="1"/>
  <c r="C39" i="14"/>
  <c r="B39" i="14"/>
  <c r="B42" i="14" s="1"/>
  <c r="C35" i="14"/>
  <c r="D35" i="14" s="1"/>
  <c r="E35" i="14" s="1"/>
  <c r="F35" i="14" s="1"/>
  <c r="F16" i="14"/>
  <c r="E16" i="14"/>
  <c r="D16" i="14"/>
  <c r="C16" i="14"/>
  <c r="B16" i="14"/>
  <c r="F15" i="14"/>
  <c r="E15" i="14"/>
  <c r="D15" i="14"/>
  <c r="C15" i="14"/>
  <c r="B15" i="14"/>
  <c r="F13" i="14"/>
  <c r="E13" i="14"/>
  <c r="D13" i="14"/>
  <c r="C13" i="14"/>
  <c r="B13" i="14"/>
  <c r="F12" i="14"/>
  <c r="E12" i="14"/>
  <c r="D12" i="14"/>
  <c r="C12" i="14"/>
  <c r="B12" i="14"/>
  <c r="F10" i="14"/>
  <c r="E10" i="14"/>
  <c r="D10" i="14"/>
  <c r="C10" i="14"/>
  <c r="B10" i="14"/>
  <c r="B17" i="10" s="1"/>
  <c r="F8" i="14"/>
  <c r="F28" i="10" s="1"/>
  <c r="F35" i="10" s="1"/>
  <c r="C8" i="14"/>
  <c r="C27" i="10" s="1"/>
  <c r="F7" i="14"/>
  <c r="E7" i="14"/>
  <c r="D7" i="14"/>
  <c r="C7" i="14"/>
  <c r="B7" i="14"/>
  <c r="F6" i="14"/>
  <c r="E6" i="14"/>
  <c r="D6" i="14"/>
  <c r="D8" i="14" s="1"/>
  <c r="C6" i="14"/>
  <c r="B6" i="14"/>
  <c r="F5" i="14"/>
  <c r="E5" i="14"/>
  <c r="E8" i="14" s="1"/>
  <c r="D5" i="14"/>
  <c r="C5" i="14"/>
  <c r="B5" i="14"/>
  <c r="B8" i="14" s="1"/>
  <c r="F3" i="14"/>
  <c r="F5" i="18" s="1"/>
  <c r="K5" i="18" s="1"/>
  <c r="D15" i="18" s="1"/>
  <c r="E3" i="14"/>
  <c r="E29" i="10" s="1"/>
  <c r="D3" i="14"/>
  <c r="C3" i="14"/>
  <c r="B3" i="14"/>
  <c r="B26" i="10" s="1"/>
  <c r="B33" i="10" s="1"/>
  <c r="F6" i="13"/>
  <c r="E6" i="13"/>
  <c r="D6" i="13"/>
  <c r="E2" i="13" s="1"/>
  <c r="E3" i="13" s="1"/>
  <c r="E8" i="13" s="1"/>
  <c r="C6" i="13"/>
  <c r="B6" i="13"/>
  <c r="C2" i="13" s="1"/>
  <c r="C3" i="13" s="1"/>
  <c r="C8" i="13" s="1"/>
  <c r="F5" i="13"/>
  <c r="E5" i="13"/>
  <c r="E4" i="13" s="1"/>
  <c r="D5" i="13"/>
  <c r="C5" i="13"/>
  <c r="C4" i="13" s="1"/>
  <c r="B5" i="13"/>
  <c r="B4" i="13" s="1"/>
  <c r="F4" i="13"/>
  <c r="F2" i="13"/>
  <c r="D2" i="13"/>
  <c r="E5" i="12"/>
  <c r="E6" i="12" s="1"/>
  <c r="F4" i="12"/>
  <c r="E4" i="12"/>
  <c r="D4" i="12"/>
  <c r="C4" i="12"/>
  <c r="B4" i="12"/>
  <c r="B5" i="12" s="1"/>
  <c r="F3" i="12"/>
  <c r="F5" i="12" s="1"/>
  <c r="E3" i="12"/>
  <c r="D3" i="12"/>
  <c r="C3" i="12"/>
  <c r="B3" i="12"/>
  <c r="F2" i="12"/>
  <c r="E2" i="12"/>
  <c r="D2" i="12"/>
  <c r="D5" i="12" s="1"/>
  <c r="D6" i="12" s="1"/>
  <c r="C2" i="12"/>
  <c r="C5" i="12" s="1"/>
  <c r="B2" i="12"/>
  <c r="J9" i="11"/>
  <c r="C34" i="10"/>
  <c r="F33" i="10"/>
  <c r="C30" i="10"/>
  <c r="F29" i="10"/>
  <c r="D29" i="10"/>
  <c r="C29" i="10"/>
  <c r="C28" i="10"/>
  <c r="C35" i="10" s="1"/>
  <c r="F27" i="10"/>
  <c r="F34" i="10" s="1"/>
  <c r="I26" i="10"/>
  <c r="F26" i="10"/>
  <c r="E26" i="10"/>
  <c r="E33" i="10" s="1"/>
  <c r="D26" i="10"/>
  <c r="D33" i="10" s="1"/>
  <c r="C26" i="10"/>
  <c r="C33" i="10" s="1"/>
  <c r="C36" i="10" s="1"/>
  <c r="F17" i="10"/>
  <c r="E17" i="10"/>
  <c r="D17" i="10"/>
  <c r="C17" i="10"/>
  <c r="F16" i="10"/>
  <c r="F10" i="10"/>
  <c r="F4" i="10"/>
  <c r="D4" i="10"/>
  <c r="C4" i="10"/>
  <c r="B17" i="9"/>
  <c r="B18" i="9" s="1"/>
  <c r="B16" i="9"/>
  <c r="B11" i="9"/>
  <c r="B13" i="9" s="1"/>
  <c r="C25" i="9" s="1"/>
  <c r="B7" i="9"/>
  <c r="B3" i="9"/>
  <c r="B4" i="9" s="1"/>
  <c r="B2" i="9"/>
  <c r="B5" i="9" s="1"/>
  <c r="B24" i="9" s="1"/>
  <c r="E1536" i="8"/>
  <c r="D1536" i="8"/>
  <c r="E1535" i="8"/>
  <c r="D1535" i="8"/>
  <c r="E1534" i="8"/>
  <c r="D1534" i="8"/>
  <c r="E1533" i="8"/>
  <c r="D1533" i="8"/>
  <c r="E1532" i="8"/>
  <c r="D1532" i="8"/>
  <c r="E1531" i="8"/>
  <c r="D1531" i="8"/>
  <c r="E1530" i="8"/>
  <c r="D1530" i="8"/>
  <c r="E1529" i="8"/>
  <c r="D1529" i="8"/>
  <c r="E1528" i="8"/>
  <c r="D1528" i="8"/>
  <c r="E1527" i="8"/>
  <c r="D1527" i="8"/>
  <c r="E1526" i="8"/>
  <c r="D1526" i="8"/>
  <c r="E1525" i="8"/>
  <c r="D1525" i="8"/>
  <c r="E1524" i="8"/>
  <c r="D1524" i="8"/>
  <c r="E1523" i="8"/>
  <c r="D1523" i="8"/>
  <c r="E1522" i="8"/>
  <c r="D1522" i="8"/>
  <c r="E1521" i="8"/>
  <c r="D1521" i="8"/>
  <c r="E1520" i="8"/>
  <c r="D1520" i="8"/>
  <c r="E1519" i="8"/>
  <c r="D1519" i="8"/>
  <c r="E1518" i="8"/>
  <c r="D1518" i="8"/>
  <c r="E1517" i="8"/>
  <c r="D1517" i="8"/>
  <c r="E1516" i="8"/>
  <c r="D1516" i="8"/>
  <c r="E1515" i="8"/>
  <c r="D1515" i="8"/>
  <c r="E1514" i="8"/>
  <c r="D1514" i="8"/>
  <c r="E1513" i="8"/>
  <c r="D1513" i="8"/>
  <c r="E1512" i="8"/>
  <c r="D1512" i="8"/>
  <c r="E1511" i="8"/>
  <c r="D1511" i="8"/>
  <c r="E1510" i="8"/>
  <c r="D1510" i="8"/>
  <c r="E1509" i="8"/>
  <c r="D1509" i="8"/>
  <c r="E1508" i="8"/>
  <c r="D1508" i="8"/>
  <c r="E1507" i="8"/>
  <c r="D1507" i="8"/>
  <c r="E1506" i="8"/>
  <c r="D1506" i="8"/>
  <c r="E1505" i="8"/>
  <c r="D1505" i="8"/>
  <c r="E1504" i="8"/>
  <c r="D1504" i="8"/>
  <c r="E1503" i="8"/>
  <c r="D1503" i="8"/>
  <c r="E1502" i="8"/>
  <c r="D1502" i="8"/>
  <c r="E1501" i="8"/>
  <c r="D1501" i="8"/>
  <c r="E1500" i="8"/>
  <c r="D1500" i="8"/>
  <c r="E1499" i="8"/>
  <c r="D1499" i="8"/>
  <c r="E1498" i="8"/>
  <c r="D1498" i="8"/>
  <c r="E1497" i="8"/>
  <c r="D1497" i="8"/>
  <c r="E1496" i="8"/>
  <c r="D1496" i="8"/>
  <c r="E1495" i="8"/>
  <c r="D1495" i="8"/>
  <c r="E1494" i="8"/>
  <c r="D1494" i="8"/>
  <c r="E1493" i="8"/>
  <c r="D1493" i="8"/>
  <c r="E1492" i="8"/>
  <c r="D1492" i="8"/>
  <c r="E1491" i="8"/>
  <c r="D1491" i="8"/>
  <c r="E1490" i="8"/>
  <c r="D1490" i="8"/>
  <c r="E1489" i="8"/>
  <c r="D1489" i="8"/>
  <c r="E1488" i="8"/>
  <c r="D1488" i="8"/>
  <c r="E1487" i="8"/>
  <c r="D1487" i="8"/>
  <c r="E1486" i="8"/>
  <c r="D1486" i="8"/>
  <c r="E1485" i="8"/>
  <c r="D1485" i="8"/>
  <c r="E1484" i="8"/>
  <c r="D1484" i="8"/>
  <c r="E1483" i="8"/>
  <c r="D1483" i="8"/>
  <c r="E1482" i="8"/>
  <c r="D1482" i="8"/>
  <c r="E1481" i="8"/>
  <c r="D1481" i="8"/>
  <c r="E1480" i="8"/>
  <c r="D1480" i="8"/>
  <c r="E1479" i="8"/>
  <c r="D1479" i="8"/>
  <c r="E1478" i="8"/>
  <c r="D1478" i="8"/>
  <c r="E1477" i="8"/>
  <c r="D1477" i="8"/>
  <c r="E1476" i="8"/>
  <c r="D1476" i="8"/>
  <c r="E1475" i="8"/>
  <c r="D1475" i="8"/>
  <c r="E1474" i="8"/>
  <c r="D1474" i="8"/>
  <c r="E1473" i="8"/>
  <c r="D1473" i="8"/>
  <c r="E1472" i="8"/>
  <c r="D1472" i="8"/>
  <c r="E1471" i="8"/>
  <c r="D1471" i="8"/>
  <c r="E1470" i="8"/>
  <c r="D1470" i="8"/>
  <c r="E1469" i="8"/>
  <c r="D1469" i="8"/>
  <c r="E1468" i="8"/>
  <c r="D1468" i="8"/>
  <c r="E1467" i="8"/>
  <c r="D1467" i="8"/>
  <c r="E1466" i="8"/>
  <c r="D1466" i="8"/>
  <c r="E1465" i="8"/>
  <c r="D1465" i="8"/>
  <c r="E1464" i="8"/>
  <c r="D1464" i="8"/>
  <c r="E1463" i="8"/>
  <c r="D1463" i="8"/>
  <c r="E1462" i="8"/>
  <c r="D1462" i="8"/>
  <c r="E1461" i="8"/>
  <c r="D1461" i="8"/>
  <c r="E1460" i="8"/>
  <c r="D1460" i="8"/>
  <c r="E1459" i="8"/>
  <c r="D1459" i="8"/>
  <c r="E1458" i="8"/>
  <c r="D1458" i="8"/>
  <c r="E1457" i="8"/>
  <c r="D1457" i="8"/>
  <c r="E1456" i="8"/>
  <c r="D1456" i="8"/>
  <c r="E1455" i="8"/>
  <c r="D1455" i="8"/>
  <c r="E1454" i="8"/>
  <c r="D1454" i="8"/>
  <c r="E1453" i="8"/>
  <c r="D1453" i="8"/>
  <c r="E1452" i="8"/>
  <c r="D1452" i="8"/>
  <c r="E1451" i="8"/>
  <c r="D1451" i="8"/>
  <c r="E1450" i="8"/>
  <c r="D1450" i="8"/>
  <c r="E1449" i="8"/>
  <c r="D1449" i="8"/>
  <c r="E1448" i="8"/>
  <c r="D1448" i="8"/>
  <c r="E1447" i="8"/>
  <c r="D1447" i="8"/>
  <c r="E1446" i="8"/>
  <c r="D1446" i="8"/>
  <c r="E1445" i="8"/>
  <c r="D1445" i="8"/>
  <c r="E1444" i="8"/>
  <c r="D1444" i="8"/>
  <c r="E1443" i="8"/>
  <c r="D1443" i="8"/>
  <c r="E1442" i="8"/>
  <c r="D1442" i="8"/>
  <c r="E1441" i="8"/>
  <c r="D1441" i="8"/>
  <c r="E1440" i="8"/>
  <c r="D1440" i="8"/>
  <c r="E1439" i="8"/>
  <c r="D1439" i="8"/>
  <c r="E1438" i="8"/>
  <c r="D1438" i="8"/>
  <c r="E1437" i="8"/>
  <c r="D1437" i="8"/>
  <c r="E1436" i="8"/>
  <c r="D1436" i="8"/>
  <c r="E1435" i="8"/>
  <c r="D1435" i="8"/>
  <c r="E1434" i="8"/>
  <c r="D1434" i="8"/>
  <c r="E1433" i="8"/>
  <c r="D1433" i="8"/>
  <c r="E1432" i="8"/>
  <c r="D1432" i="8"/>
  <c r="E1431" i="8"/>
  <c r="D1431" i="8"/>
  <c r="E1430" i="8"/>
  <c r="D1430" i="8"/>
  <c r="E1429" i="8"/>
  <c r="D1429" i="8"/>
  <c r="E1428" i="8"/>
  <c r="D1428" i="8"/>
  <c r="E1427" i="8"/>
  <c r="D1427" i="8"/>
  <c r="E1426" i="8"/>
  <c r="D1426" i="8"/>
  <c r="E1425" i="8"/>
  <c r="D1425" i="8"/>
  <c r="E1424" i="8"/>
  <c r="D1424" i="8"/>
  <c r="E1423" i="8"/>
  <c r="D1423" i="8"/>
  <c r="E1422" i="8"/>
  <c r="D1422" i="8"/>
  <c r="E1421" i="8"/>
  <c r="D1421" i="8"/>
  <c r="E1420" i="8"/>
  <c r="D1420" i="8"/>
  <c r="E1419" i="8"/>
  <c r="D1419" i="8"/>
  <c r="E1418" i="8"/>
  <c r="D1418" i="8"/>
  <c r="E1417" i="8"/>
  <c r="D1417" i="8"/>
  <c r="E1416" i="8"/>
  <c r="D1416" i="8"/>
  <c r="E1415" i="8"/>
  <c r="D1415" i="8"/>
  <c r="E1414" i="8"/>
  <c r="D1414" i="8"/>
  <c r="E1413" i="8"/>
  <c r="D1413" i="8"/>
  <c r="E1412" i="8"/>
  <c r="D1412" i="8"/>
  <c r="E1411" i="8"/>
  <c r="D1411" i="8"/>
  <c r="E1410" i="8"/>
  <c r="D1410" i="8"/>
  <c r="E1409" i="8"/>
  <c r="D1409" i="8"/>
  <c r="E1408" i="8"/>
  <c r="D1408" i="8"/>
  <c r="E1407" i="8"/>
  <c r="D1407" i="8"/>
  <c r="E1406" i="8"/>
  <c r="D1406" i="8"/>
  <c r="E1405" i="8"/>
  <c r="D1405" i="8"/>
  <c r="E1404" i="8"/>
  <c r="D1404" i="8"/>
  <c r="E1403" i="8"/>
  <c r="D1403" i="8"/>
  <c r="E1402" i="8"/>
  <c r="D1402" i="8"/>
  <c r="E1401" i="8"/>
  <c r="D1401" i="8"/>
  <c r="E1400" i="8"/>
  <c r="D1400" i="8"/>
  <c r="E1399" i="8"/>
  <c r="D1399" i="8"/>
  <c r="E1398" i="8"/>
  <c r="D1398" i="8"/>
  <c r="E1397" i="8"/>
  <c r="D1397" i="8"/>
  <c r="E1396" i="8"/>
  <c r="D1396" i="8"/>
  <c r="E1395" i="8"/>
  <c r="D1395" i="8"/>
  <c r="E1394" i="8"/>
  <c r="D1394" i="8"/>
  <c r="E1393" i="8"/>
  <c r="D1393" i="8"/>
  <c r="E1392" i="8"/>
  <c r="D1392" i="8"/>
  <c r="E1391" i="8"/>
  <c r="D1391" i="8"/>
  <c r="E1390" i="8"/>
  <c r="D1390" i="8"/>
  <c r="E1389" i="8"/>
  <c r="D1389" i="8"/>
  <c r="E1388" i="8"/>
  <c r="D1388" i="8"/>
  <c r="E1387" i="8"/>
  <c r="D1387" i="8"/>
  <c r="E1386" i="8"/>
  <c r="D1386" i="8"/>
  <c r="E1385" i="8"/>
  <c r="D1385" i="8"/>
  <c r="E1384" i="8"/>
  <c r="D1384" i="8"/>
  <c r="E1383" i="8"/>
  <c r="D1383" i="8"/>
  <c r="E1382" i="8"/>
  <c r="D1382" i="8"/>
  <c r="E1381" i="8"/>
  <c r="D1381" i="8"/>
  <c r="E1380" i="8"/>
  <c r="D1380" i="8"/>
  <c r="E1379" i="8"/>
  <c r="D1379" i="8"/>
  <c r="E1378" i="8"/>
  <c r="D1378" i="8"/>
  <c r="E1377" i="8"/>
  <c r="D1377" i="8"/>
  <c r="E1376" i="8"/>
  <c r="D1376" i="8"/>
  <c r="E1375" i="8"/>
  <c r="D1375" i="8"/>
  <c r="E1374" i="8"/>
  <c r="D1374" i="8"/>
  <c r="E1373" i="8"/>
  <c r="D1373" i="8"/>
  <c r="E1372" i="8"/>
  <c r="D1372" i="8"/>
  <c r="E1371" i="8"/>
  <c r="D1371" i="8"/>
  <c r="E1370" i="8"/>
  <c r="D1370" i="8"/>
  <c r="E1369" i="8"/>
  <c r="D1369" i="8"/>
  <c r="E1368" i="8"/>
  <c r="D1368" i="8"/>
  <c r="E1367" i="8"/>
  <c r="D1367" i="8"/>
  <c r="E1366" i="8"/>
  <c r="D1366" i="8"/>
  <c r="E1365" i="8"/>
  <c r="D1365" i="8"/>
  <c r="E1364" i="8"/>
  <c r="D1364" i="8"/>
  <c r="E1363" i="8"/>
  <c r="D1363" i="8"/>
  <c r="E1362" i="8"/>
  <c r="D1362" i="8"/>
  <c r="E1361" i="8"/>
  <c r="D1361" i="8"/>
  <c r="E1360" i="8"/>
  <c r="D1360" i="8"/>
  <c r="E1359" i="8"/>
  <c r="D1359" i="8"/>
  <c r="E1358" i="8"/>
  <c r="D1358" i="8"/>
  <c r="E1357" i="8"/>
  <c r="D1357" i="8"/>
  <c r="E1356" i="8"/>
  <c r="D1356" i="8"/>
  <c r="E1355" i="8"/>
  <c r="D1355" i="8"/>
  <c r="E1354" i="8"/>
  <c r="D1354" i="8"/>
  <c r="E1353" i="8"/>
  <c r="D1353" i="8"/>
  <c r="E1352" i="8"/>
  <c r="D1352" i="8"/>
  <c r="E1351" i="8"/>
  <c r="D1351" i="8"/>
  <c r="E1350" i="8"/>
  <c r="D1350" i="8"/>
  <c r="E1349" i="8"/>
  <c r="D1349" i="8"/>
  <c r="E1348" i="8"/>
  <c r="D1348" i="8"/>
  <c r="E1347" i="8"/>
  <c r="D1347" i="8"/>
  <c r="E1346" i="8"/>
  <c r="D1346" i="8"/>
  <c r="E1345" i="8"/>
  <c r="D1345" i="8"/>
  <c r="E1344" i="8"/>
  <c r="D1344" i="8"/>
  <c r="E1343" i="8"/>
  <c r="D1343" i="8"/>
  <c r="E1342" i="8"/>
  <c r="D1342" i="8"/>
  <c r="E1341" i="8"/>
  <c r="D1341" i="8"/>
  <c r="E1340" i="8"/>
  <c r="D1340" i="8"/>
  <c r="E1339" i="8"/>
  <c r="D1339" i="8"/>
  <c r="E1338" i="8"/>
  <c r="D1338" i="8"/>
  <c r="E1337" i="8"/>
  <c r="D1337" i="8"/>
  <c r="E1336" i="8"/>
  <c r="D1336" i="8"/>
  <c r="E1335" i="8"/>
  <c r="D1335" i="8"/>
  <c r="E1334" i="8"/>
  <c r="D1334" i="8"/>
  <c r="E1333" i="8"/>
  <c r="D1333" i="8"/>
  <c r="E1332" i="8"/>
  <c r="D1332" i="8"/>
  <c r="E1331" i="8"/>
  <c r="D1331" i="8"/>
  <c r="E1330" i="8"/>
  <c r="D1330" i="8"/>
  <c r="E1329" i="8"/>
  <c r="D1329" i="8"/>
  <c r="E1328" i="8"/>
  <c r="D1328" i="8"/>
  <c r="E1327" i="8"/>
  <c r="D1327" i="8"/>
  <c r="E1326" i="8"/>
  <c r="D1326" i="8"/>
  <c r="E1325" i="8"/>
  <c r="D1325" i="8"/>
  <c r="E1324" i="8"/>
  <c r="D1324" i="8"/>
  <c r="E1323" i="8"/>
  <c r="D1323" i="8"/>
  <c r="E1322" i="8"/>
  <c r="D1322" i="8"/>
  <c r="E1321" i="8"/>
  <c r="D1321" i="8"/>
  <c r="E1320" i="8"/>
  <c r="D1320" i="8"/>
  <c r="E1319" i="8"/>
  <c r="D1319" i="8"/>
  <c r="E1318" i="8"/>
  <c r="D1318" i="8"/>
  <c r="E1317" i="8"/>
  <c r="D1317" i="8"/>
  <c r="E1316" i="8"/>
  <c r="D1316" i="8"/>
  <c r="E1315" i="8"/>
  <c r="D1315" i="8"/>
  <c r="E1314" i="8"/>
  <c r="D1314" i="8"/>
  <c r="E1313" i="8"/>
  <c r="D1313" i="8"/>
  <c r="E1312" i="8"/>
  <c r="D1312" i="8"/>
  <c r="E1311" i="8"/>
  <c r="D1311" i="8"/>
  <c r="E1310" i="8"/>
  <c r="D1310" i="8"/>
  <c r="E1309" i="8"/>
  <c r="D1309" i="8"/>
  <c r="E1308" i="8"/>
  <c r="D1308" i="8"/>
  <c r="E1307" i="8"/>
  <c r="D1307" i="8"/>
  <c r="E1306" i="8"/>
  <c r="D1306" i="8"/>
  <c r="E1305" i="8"/>
  <c r="D1305" i="8"/>
  <c r="E1304" i="8"/>
  <c r="D1304" i="8"/>
  <c r="E1303" i="8"/>
  <c r="D1303" i="8"/>
  <c r="E1302" i="8"/>
  <c r="D1302" i="8"/>
  <c r="E1301" i="8"/>
  <c r="D1301" i="8"/>
  <c r="E1300" i="8"/>
  <c r="D1300" i="8"/>
  <c r="E1299" i="8"/>
  <c r="D1299" i="8"/>
  <c r="E1298" i="8"/>
  <c r="D1298" i="8"/>
  <c r="E1297" i="8"/>
  <c r="D1297" i="8"/>
  <c r="E1296" i="8"/>
  <c r="D1296" i="8"/>
  <c r="E1295" i="8"/>
  <c r="D1295" i="8"/>
  <c r="E1294" i="8"/>
  <c r="D1294" i="8"/>
  <c r="E1293" i="8"/>
  <c r="D1293" i="8"/>
  <c r="E1292" i="8"/>
  <c r="D1292" i="8"/>
  <c r="E1291" i="8"/>
  <c r="D1291" i="8"/>
  <c r="E1290" i="8"/>
  <c r="D1290" i="8"/>
  <c r="E1289" i="8"/>
  <c r="D1289" i="8"/>
  <c r="E1288" i="8"/>
  <c r="D1288" i="8"/>
  <c r="E1287" i="8"/>
  <c r="D1287" i="8"/>
  <c r="E1286" i="8"/>
  <c r="D1286" i="8"/>
  <c r="E1285" i="8"/>
  <c r="D1285" i="8"/>
  <c r="E1284" i="8"/>
  <c r="D1284" i="8"/>
  <c r="E1283" i="8"/>
  <c r="D1283" i="8"/>
  <c r="E1282" i="8"/>
  <c r="D1282" i="8"/>
  <c r="E1281" i="8"/>
  <c r="D1281" i="8"/>
  <c r="E1280" i="8"/>
  <c r="D1280" i="8"/>
  <c r="E1279" i="8"/>
  <c r="D1279" i="8"/>
  <c r="E1278" i="8"/>
  <c r="D1278" i="8"/>
  <c r="E1277" i="8"/>
  <c r="D1277" i="8"/>
  <c r="E1276" i="8"/>
  <c r="D1276" i="8"/>
  <c r="E1275" i="8"/>
  <c r="D1275" i="8"/>
  <c r="E1274" i="8"/>
  <c r="D1274" i="8"/>
  <c r="E1273" i="8"/>
  <c r="D1273" i="8"/>
  <c r="E1272" i="8"/>
  <c r="D1272" i="8"/>
  <c r="E1271" i="8"/>
  <c r="D1271" i="8"/>
  <c r="E1270" i="8"/>
  <c r="D1270" i="8"/>
  <c r="E1269" i="8"/>
  <c r="D1269" i="8"/>
  <c r="E1268" i="8"/>
  <c r="D1268" i="8"/>
  <c r="E1267" i="8"/>
  <c r="D1267" i="8"/>
  <c r="E1266" i="8"/>
  <c r="D1266" i="8"/>
  <c r="E1265" i="8"/>
  <c r="D1265" i="8"/>
  <c r="E1264" i="8"/>
  <c r="D1264" i="8"/>
  <c r="E1263" i="8"/>
  <c r="D1263" i="8"/>
  <c r="E1262" i="8"/>
  <c r="D1262" i="8"/>
  <c r="E1261" i="8"/>
  <c r="D1261" i="8"/>
  <c r="E1260" i="8"/>
  <c r="D1260" i="8"/>
  <c r="E1259" i="8"/>
  <c r="D1259" i="8"/>
  <c r="E1258" i="8"/>
  <c r="D1258" i="8"/>
  <c r="E1257" i="8"/>
  <c r="D1257" i="8"/>
  <c r="E1256" i="8"/>
  <c r="D1256" i="8"/>
  <c r="E1255" i="8"/>
  <c r="D1255" i="8"/>
  <c r="E1254" i="8"/>
  <c r="D1254" i="8"/>
  <c r="E1253" i="8"/>
  <c r="D1253" i="8"/>
  <c r="E1252" i="8"/>
  <c r="D1252" i="8"/>
  <c r="E1251" i="8"/>
  <c r="D1251" i="8"/>
  <c r="E1250" i="8"/>
  <c r="D1250" i="8"/>
  <c r="E1249" i="8"/>
  <c r="D1249" i="8"/>
  <c r="E1248" i="8"/>
  <c r="D1248" i="8"/>
  <c r="E1247" i="8"/>
  <c r="D1247" i="8"/>
  <c r="E1246" i="8"/>
  <c r="D1246" i="8"/>
  <c r="E1245" i="8"/>
  <c r="D1245" i="8"/>
  <c r="E1244" i="8"/>
  <c r="D1244" i="8"/>
  <c r="E1243" i="8"/>
  <c r="D1243" i="8"/>
  <c r="E1242" i="8"/>
  <c r="D1242" i="8"/>
  <c r="E1241" i="8"/>
  <c r="D1241" i="8"/>
  <c r="E1240" i="8"/>
  <c r="D1240" i="8"/>
  <c r="E1239" i="8"/>
  <c r="D1239" i="8"/>
  <c r="E1238" i="8"/>
  <c r="D1238" i="8"/>
  <c r="E1237" i="8"/>
  <c r="D1237" i="8"/>
  <c r="E1236" i="8"/>
  <c r="D1236" i="8"/>
  <c r="E1235" i="8"/>
  <c r="D1235" i="8"/>
  <c r="E1234" i="8"/>
  <c r="D1234" i="8"/>
  <c r="E1233" i="8"/>
  <c r="D1233" i="8"/>
  <c r="E1232" i="8"/>
  <c r="D1232" i="8"/>
  <c r="E1231" i="8"/>
  <c r="D1231" i="8"/>
  <c r="E1230" i="8"/>
  <c r="D1230" i="8"/>
  <c r="E1229" i="8"/>
  <c r="D1229" i="8"/>
  <c r="E1228" i="8"/>
  <c r="D1228" i="8"/>
  <c r="E1227" i="8"/>
  <c r="D1227" i="8"/>
  <c r="E1226" i="8"/>
  <c r="D1226" i="8"/>
  <c r="E1225" i="8"/>
  <c r="D1225" i="8"/>
  <c r="E1224" i="8"/>
  <c r="D1224" i="8"/>
  <c r="E1223" i="8"/>
  <c r="D1223" i="8"/>
  <c r="E1222" i="8"/>
  <c r="D1222" i="8"/>
  <c r="E1221" i="8"/>
  <c r="D1221" i="8"/>
  <c r="E1220" i="8"/>
  <c r="D1220" i="8"/>
  <c r="E1219" i="8"/>
  <c r="D1219" i="8"/>
  <c r="E1218" i="8"/>
  <c r="D1218" i="8"/>
  <c r="E1217" i="8"/>
  <c r="D1217" i="8"/>
  <c r="E1216" i="8"/>
  <c r="D1216" i="8"/>
  <c r="E1215" i="8"/>
  <c r="D1215" i="8"/>
  <c r="E1214" i="8"/>
  <c r="D1214" i="8"/>
  <c r="E1213" i="8"/>
  <c r="D1213" i="8"/>
  <c r="E1212" i="8"/>
  <c r="D1212" i="8"/>
  <c r="E1211" i="8"/>
  <c r="D1211" i="8"/>
  <c r="E1210" i="8"/>
  <c r="D1210" i="8"/>
  <c r="E1209" i="8"/>
  <c r="D1209" i="8"/>
  <c r="E1208" i="8"/>
  <c r="D1208" i="8"/>
  <c r="E1207" i="8"/>
  <c r="D1207" i="8"/>
  <c r="E1206" i="8"/>
  <c r="D1206" i="8"/>
  <c r="E1205" i="8"/>
  <c r="D1205" i="8"/>
  <c r="E1204" i="8"/>
  <c r="D1204" i="8"/>
  <c r="E1203" i="8"/>
  <c r="D1203" i="8"/>
  <c r="E1202" i="8"/>
  <c r="D1202" i="8"/>
  <c r="E1201" i="8"/>
  <c r="D1201" i="8"/>
  <c r="E1200" i="8"/>
  <c r="D1200" i="8"/>
  <c r="E1199" i="8"/>
  <c r="D1199" i="8"/>
  <c r="E1198" i="8"/>
  <c r="D1198" i="8"/>
  <c r="E1197" i="8"/>
  <c r="D1197" i="8"/>
  <c r="E1196" i="8"/>
  <c r="D1196" i="8"/>
  <c r="E1195" i="8"/>
  <c r="D1195" i="8"/>
  <c r="E1194" i="8"/>
  <c r="D1194" i="8"/>
  <c r="E1193" i="8"/>
  <c r="D1193" i="8"/>
  <c r="E1192" i="8"/>
  <c r="D1192" i="8"/>
  <c r="E1191" i="8"/>
  <c r="D1191" i="8"/>
  <c r="E1190" i="8"/>
  <c r="D1190" i="8"/>
  <c r="E1189" i="8"/>
  <c r="D1189" i="8"/>
  <c r="E1188" i="8"/>
  <c r="D1188" i="8"/>
  <c r="E1187" i="8"/>
  <c r="D1187" i="8"/>
  <c r="E1186" i="8"/>
  <c r="D1186" i="8"/>
  <c r="E1185" i="8"/>
  <c r="D1185" i="8"/>
  <c r="E1184" i="8"/>
  <c r="D1184" i="8"/>
  <c r="E1183" i="8"/>
  <c r="D1183" i="8"/>
  <c r="E1182" i="8"/>
  <c r="D1182" i="8"/>
  <c r="E1181" i="8"/>
  <c r="D1181" i="8"/>
  <c r="E1180" i="8"/>
  <c r="D1180" i="8"/>
  <c r="E1179" i="8"/>
  <c r="D1179" i="8"/>
  <c r="E1178" i="8"/>
  <c r="D1178" i="8"/>
  <c r="E1177" i="8"/>
  <c r="D1177" i="8"/>
  <c r="E1176" i="8"/>
  <c r="D1176" i="8"/>
  <c r="E1175" i="8"/>
  <c r="D1175" i="8"/>
  <c r="E1174" i="8"/>
  <c r="D1174" i="8"/>
  <c r="E1173" i="8"/>
  <c r="D1173" i="8"/>
  <c r="E1172" i="8"/>
  <c r="D1172" i="8"/>
  <c r="E1171" i="8"/>
  <c r="D1171" i="8"/>
  <c r="E1170" i="8"/>
  <c r="D1170" i="8"/>
  <c r="E1169" i="8"/>
  <c r="D1169" i="8"/>
  <c r="E1168" i="8"/>
  <c r="D1168" i="8"/>
  <c r="E1167" i="8"/>
  <c r="D1167" i="8"/>
  <c r="E1166" i="8"/>
  <c r="D1166" i="8"/>
  <c r="E1165" i="8"/>
  <c r="D1165" i="8"/>
  <c r="E1164" i="8"/>
  <c r="D1164" i="8"/>
  <c r="E1163" i="8"/>
  <c r="D1163" i="8"/>
  <c r="E1162" i="8"/>
  <c r="D1162" i="8"/>
  <c r="E1161" i="8"/>
  <c r="D1161" i="8"/>
  <c r="E1160" i="8"/>
  <c r="D1160" i="8"/>
  <c r="E1159" i="8"/>
  <c r="D1159" i="8"/>
  <c r="E1158" i="8"/>
  <c r="D1158" i="8"/>
  <c r="E1157" i="8"/>
  <c r="D1157" i="8"/>
  <c r="E1156" i="8"/>
  <c r="D1156" i="8"/>
  <c r="E1155" i="8"/>
  <c r="D1155" i="8"/>
  <c r="E1154" i="8"/>
  <c r="D1154" i="8"/>
  <c r="E1153" i="8"/>
  <c r="D1153" i="8"/>
  <c r="E1152" i="8"/>
  <c r="D1152" i="8"/>
  <c r="E1151" i="8"/>
  <c r="D1151" i="8"/>
  <c r="E1150" i="8"/>
  <c r="D1150" i="8"/>
  <c r="E1149" i="8"/>
  <c r="D1149" i="8"/>
  <c r="E1148" i="8"/>
  <c r="D1148" i="8"/>
  <c r="E1147" i="8"/>
  <c r="D1147" i="8"/>
  <c r="E1146" i="8"/>
  <c r="D1146" i="8"/>
  <c r="E1145" i="8"/>
  <c r="D1145" i="8"/>
  <c r="E1144" i="8"/>
  <c r="D1144" i="8"/>
  <c r="E1143" i="8"/>
  <c r="D1143" i="8"/>
  <c r="E1142" i="8"/>
  <c r="D1142" i="8"/>
  <c r="E1141" i="8"/>
  <c r="D1141" i="8"/>
  <c r="E1140" i="8"/>
  <c r="D1140" i="8"/>
  <c r="E1139" i="8"/>
  <c r="D1139" i="8"/>
  <c r="E1138" i="8"/>
  <c r="D1138" i="8"/>
  <c r="E1137" i="8"/>
  <c r="D1137" i="8"/>
  <c r="E1136" i="8"/>
  <c r="D1136" i="8"/>
  <c r="E1135" i="8"/>
  <c r="D1135" i="8"/>
  <c r="E1134" i="8"/>
  <c r="D1134" i="8"/>
  <c r="E1133" i="8"/>
  <c r="D1133" i="8"/>
  <c r="E1132" i="8"/>
  <c r="D1132" i="8"/>
  <c r="E1131" i="8"/>
  <c r="D1131" i="8"/>
  <c r="E1130" i="8"/>
  <c r="D1130" i="8"/>
  <c r="E1129" i="8"/>
  <c r="D1129" i="8"/>
  <c r="E1128" i="8"/>
  <c r="D1128" i="8"/>
  <c r="E1127" i="8"/>
  <c r="D1127" i="8"/>
  <c r="E1126" i="8"/>
  <c r="D1126" i="8"/>
  <c r="E1125" i="8"/>
  <c r="D1125" i="8"/>
  <c r="E1124" i="8"/>
  <c r="D1124" i="8"/>
  <c r="E1123" i="8"/>
  <c r="D1123" i="8"/>
  <c r="E1122" i="8"/>
  <c r="D1122" i="8"/>
  <c r="E1121" i="8"/>
  <c r="D1121" i="8"/>
  <c r="E1120" i="8"/>
  <c r="D1120" i="8"/>
  <c r="E1119" i="8"/>
  <c r="D1119" i="8"/>
  <c r="E1118" i="8"/>
  <c r="D1118" i="8"/>
  <c r="E1117" i="8"/>
  <c r="D1117" i="8"/>
  <c r="E1116" i="8"/>
  <c r="D1116" i="8"/>
  <c r="E1115" i="8"/>
  <c r="D1115" i="8"/>
  <c r="E1114" i="8"/>
  <c r="D1114" i="8"/>
  <c r="E1113" i="8"/>
  <c r="D1113" i="8"/>
  <c r="E1112" i="8"/>
  <c r="D1112" i="8"/>
  <c r="E1111" i="8"/>
  <c r="D1111" i="8"/>
  <c r="E1110" i="8"/>
  <c r="D1110" i="8"/>
  <c r="E1109" i="8"/>
  <c r="D1109" i="8"/>
  <c r="E1108" i="8"/>
  <c r="D1108" i="8"/>
  <c r="E1107" i="8"/>
  <c r="D1107" i="8"/>
  <c r="E1106" i="8"/>
  <c r="D1106" i="8"/>
  <c r="E1105" i="8"/>
  <c r="D1105" i="8"/>
  <c r="E1104" i="8"/>
  <c r="D1104" i="8"/>
  <c r="E1103" i="8"/>
  <c r="D1103" i="8"/>
  <c r="E1102" i="8"/>
  <c r="D1102" i="8"/>
  <c r="E1101" i="8"/>
  <c r="D1101" i="8"/>
  <c r="E1100" i="8"/>
  <c r="D1100" i="8"/>
  <c r="E1099" i="8"/>
  <c r="D1099" i="8"/>
  <c r="E1098" i="8"/>
  <c r="D1098" i="8"/>
  <c r="E1097" i="8"/>
  <c r="D1097" i="8"/>
  <c r="E1096" i="8"/>
  <c r="D1096" i="8"/>
  <c r="E1095" i="8"/>
  <c r="D1095" i="8"/>
  <c r="E1094" i="8"/>
  <c r="D1094" i="8"/>
  <c r="E1093" i="8"/>
  <c r="D1093" i="8"/>
  <c r="E1092" i="8"/>
  <c r="D1092" i="8"/>
  <c r="E1091" i="8"/>
  <c r="D1091" i="8"/>
  <c r="E1090" i="8"/>
  <c r="D1090" i="8"/>
  <c r="E1089" i="8"/>
  <c r="D1089" i="8"/>
  <c r="E1088" i="8"/>
  <c r="D1088" i="8"/>
  <c r="E1087" i="8"/>
  <c r="D1087" i="8"/>
  <c r="E1086" i="8"/>
  <c r="D1086" i="8"/>
  <c r="E1085" i="8"/>
  <c r="D1085" i="8"/>
  <c r="E1084" i="8"/>
  <c r="D1084" i="8"/>
  <c r="E1083" i="8"/>
  <c r="D1083" i="8"/>
  <c r="E1082" i="8"/>
  <c r="D1082" i="8"/>
  <c r="E1081" i="8"/>
  <c r="D1081" i="8"/>
  <c r="E1080" i="8"/>
  <c r="D1080" i="8"/>
  <c r="E1079" i="8"/>
  <c r="D1079" i="8"/>
  <c r="E1078" i="8"/>
  <c r="D1078" i="8"/>
  <c r="E1077" i="8"/>
  <c r="D1077" i="8"/>
  <c r="E1076" i="8"/>
  <c r="D1076" i="8"/>
  <c r="E1075" i="8"/>
  <c r="D1075" i="8"/>
  <c r="E1074" i="8"/>
  <c r="D1074" i="8"/>
  <c r="E1073" i="8"/>
  <c r="D1073" i="8"/>
  <c r="E1072" i="8"/>
  <c r="D1072" i="8"/>
  <c r="E1071" i="8"/>
  <c r="D1071" i="8"/>
  <c r="E1070" i="8"/>
  <c r="D1070" i="8"/>
  <c r="E1069" i="8"/>
  <c r="D1069" i="8"/>
  <c r="E1068" i="8"/>
  <c r="D1068" i="8"/>
  <c r="E1067" i="8"/>
  <c r="D1067" i="8"/>
  <c r="E1066" i="8"/>
  <c r="D1066" i="8"/>
  <c r="E1065" i="8"/>
  <c r="D1065" i="8"/>
  <c r="E1064" i="8"/>
  <c r="D1064" i="8"/>
  <c r="E1063" i="8"/>
  <c r="D1063" i="8"/>
  <c r="E1062" i="8"/>
  <c r="D1062" i="8"/>
  <c r="E1061" i="8"/>
  <c r="D1061" i="8"/>
  <c r="E1060" i="8"/>
  <c r="D1060" i="8"/>
  <c r="E1059" i="8"/>
  <c r="D1059" i="8"/>
  <c r="E1058" i="8"/>
  <c r="D1058" i="8"/>
  <c r="E1057" i="8"/>
  <c r="D1057" i="8"/>
  <c r="E1056" i="8"/>
  <c r="D1056" i="8"/>
  <c r="E1055" i="8"/>
  <c r="D1055" i="8"/>
  <c r="E1054" i="8"/>
  <c r="D1054" i="8"/>
  <c r="E1053" i="8"/>
  <c r="D1053" i="8"/>
  <c r="E1052" i="8"/>
  <c r="D1052" i="8"/>
  <c r="E1051" i="8"/>
  <c r="D1051" i="8"/>
  <c r="E1050" i="8"/>
  <c r="D1050" i="8"/>
  <c r="E1049" i="8"/>
  <c r="D1049" i="8"/>
  <c r="E1048" i="8"/>
  <c r="D1048" i="8"/>
  <c r="E1047" i="8"/>
  <c r="D1047" i="8"/>
  <c r="E1046" i="8"/>
  <c r="D1046" i="8"/>
  <c r="E1045" i="8"/>
  <c r="D1045" i="8"/>
  <c r="E1044" i="8"/>
  <c r="D1044" i="8"/>
  <c r="E1043" i="8"/>
  <c r="D1043" i="8"/>
  <c r="E1042" i="8"/>
  <c r="D1042" i="8"/>
  <c r="E1041" i="8"/>
  <c r="D1041" i="8"/>
  <c r="E1040" i="8"/>
  <c r="D1040" i="8"/>
  <c r="E1039" i="8"/>
  <c r="D1039" i="8"/>
  <c r="E1038" i="8"/>
  <c r="D1038" i="8"/>
  <c r="E1037" i="8"/>
  <c r="D1037" i="8"/>
  <c r="E1036" i="8"/>
  <c r="D1036" i="8"/>
  <c r="E1035" i="8"/>
  <c r="D1035" i="8"/>
  <c r="E1034" i="8"/>
  <c r="D1034" i="8"/>
  <c r="E1033" i="8"/>
  <c r="D1033" i="8"/>
  <c r="E1032" i="8"/>
  <c r="D1032" i="8"/>
  <c r="E1031" i="8"/>
  <c r="D1031" i="8"/>
  <c r="E1030" i="8"/>
  <c r="D1030" i="8"/>
  <c r="E1029" i="8"/>
  <c r="D1029" i="8"/>
  <c r="E1028" i="8"/>
  <c r="D1028" i="8"/>
  <c r="E1027" i="8"/>
  <c r="D1027" i="8"/>
  <c r="E1026" i="8"/>
  <c r="D1026" i="8"/>
  <c r="E1025" i="8"/>
  <c r="D1025" i="8"/>
  <c r="E1024" i="8"/>
  <c r="D1024" i="8"/>
  <c r="E1023" i="8"/>
  <c r="D1023" i="8"/>
  <c r="E1022" i="8"/>
  <c r="D1022" i="8"/>
  <c r="E1021" i="8"/>
  <c r="D1021" i="8"/>
  <c r="E1020" i="8"/>
  <c r="D1020" i="8"/>
  <c r="E1019" i="8"/>
  <c r="D1019" i="8"/>
  <c r="E1018" i="8"/>
  <c r="D1018" i="8"/>
  <c r="E1017" i="8"/>
  <c r="D1017" i="8"/>
  <c r="E1016" i="8"/>
  <c r="D1016" i="8"/>
  <c r="E1015" i="8"/>
  <c r="D1015" i="8"/>
  <c r="E1014" i="8"/>
  <c r="D1014" i="8"/>
  <c r="E1013" i="8"/>
  <c r="D1013" i="8"/>
  <c r="E1012" i="8"/>
  <c r="D1012" i="8"/>
  <c r="E1011" i="8"/>
  <c r="D1011" i="8"/>
  <c r="E1010" i="8"/>
  <c r="D1010" i="8"/>
  <c r="E1009" i="8"/>
  <c r="D1009" i="8"/>
  <c r="E1008" i="8"/>
  <c r="D1008" i="8"/>
  <c r="E1007" i="8"/>
  <c r="D1007" i="8"/>
  <c r="E1006" i="8"/>
  <c r="D1006" i="8"/>
  <c r="E1005" i="8"/>
  <c r="D1005" i="8"/>
  <c r="E1004" i="8"/>
  <c r="D1004" i="8"/>
  <c r="E1003" i="8"/>
  <c r="D1003" i="8"/>
  <c r="E1002" i="8"/>
  <c r="D1002" i="8"/>
  <c r="E1001" i="8"/>
  <c r="D1001" i="8"/>
  <c r="E1000" i="8"/>
  <c r="D1000" i="8"/>
  <c r="E999" i="8"/>
  <c r="D999" i="8"/>
  <c r="E998" i="8"/>
  <c r="D998" i="8"/>
  <c r="E997" i="8"/>
  <c r="D997" i="8"/>
  <c r="E996" i="8"/>
  <c r="D996" i="8"/>
  <c r="E995" i="8"/>
  <c r="D995" i="8"/>
  <c r="E994" i="8"/>
  <c r="D994" i="8"/>
  <c r="E993" i="8"/>
  <c r="D993" i="8"/>
  <c r="E992" i="8"/>
  <c r="D992" i="8"/>
  <c r="E991" i="8"/>
  <c r="D991" i="8"/>
  <c r="E990" i="8"/>
  <c r="D990" i="8"/>
  <c r="E989" i="8"/>
  <c r="D989" i="8"/>
  <c r="E988" i="8"/>
  <c r="D988" i="8"/>
  <c r="E987" i="8"/>
  <c r="D987" i="8"/>
  <c r="E986" i="8"/>
  <c r="D986" i="8"/>
  <c r="E985" i="8"/>
  <c r="D985" i="8"/>
  <c r="E984" i="8"/>
  <c r="D984" i="8"/>
  <c r="E983" i="8"/>
  <c r="D983" i="8"/>
  <c r="E982" i="8"/>
  <c r="D982" i="8"/>
  <c r="E981" i="8"/>
  <c r="D981" i="8"/>
  <c r="E980" i="8"/>
  <c r="D980" i="8"/>
  <c r="E979" i="8"/>
  <c r="D979" i="8"/>
  <c r="E978" i="8"/>
  <c r="D978" i="8"/>
  <c r="E977" i="8"/>
  <c r="D977" i="8"/>
  <c r="E976" i="8"/>
  <c r="D976" i="8"/>
  <c r="E975" i="8"/>
  <c r="D975" i="8"/>
  <c r="E974" i="8"/>
  <c r="D974" i="8"/>
  <c r="E973" i="8"/>
  <c r="D973" i="8"/>
  <c r="E972" i="8"/>
  <c r="D972" i="8"/>
  <c r="E971" i="8"/>
  <c r="D971" i="8"/>
  <c r="E970" i="8"/>
  <c r="D970" i="8"/>
  <c r="E969" i="8"/>
  <c r="D969" i="8"/>
  <c r="E968" i="8"/>
  <c r="D968" i="8"/>
  <c r="E967" i="8"/>
  <c r="D967" i="8"/>
  <c r="E966" i="8"/>
  <c r="D966" i="8"/>
  <c r="E965" i="8"/>
  <c r="D965" i="8"/>
  <c r="E964" i="8"/>
  <c r="D964" i="8"/>
  <c r="E963" i="8"/>
  <c r="D963" i="8"/>
  <c r="E962" i="8"/>
  <c r="D962" i="8"/>
  <c r="E961" i="8"/>
  <c r="D961" i="8"/>
  <c r="E960" i="8"/>
  <c r="D960" i="8"/>
  <c r="E959" i="8"/>
  <c r="D959" i="8"/>
  <c r="E958" i="8"/>
  <c r="D958" i="8"/>
  <c r="E957" i="8"/>
  <c r="D957" i="8"/>
  <c r="E956" i="8"/>
  <c r="D956" i="8"/>
  <c r="E955" i="8"/>
  <c r="D955" i="8"/>
  <c r="E954" i="8"/>
  <c r="D954" i="8"/>
  <c r="E953" i="8"/>
  <c r="D953" i="8"/>
  <c r="E952" i="8"/>
  <c r="D952" i="8"/>
  <c r="E951" i="8"/>
  <c r="D951" i="8"/>
  <c r="E950" i="8"/>
  <c r="D950" i="8"/>
  <c r="E949" i="8"/>
  <c r="D949" i="8"/>
  <c r="E948" i="8"/>
  <c r="D948" i="8"/>
  <c r="E947" i="8"/>
  <c r="D947" i="8"/>
  <c r="E946" i="8"/>
  <c r="D946" i="8"/>
  <c r="E945" i="8"/>
  <c r="D945" i="8"/>
  <c r="E944" i="8"/>
  <c r="D944" i="8"/>
  <c r="E943" i="8"/>
  <c r="D943" i="8"/>
  <c r="E942" i="8"/>
  <c r="D942" i="8"/>
  <c r="E941" i="8"/>
  <c r="D941" i="8"/>
  <c r="E940" i="8"/>
  <c r="D940" i="8"/>
  <c r="E939" i="8"/>
  <c r="D939" i="8"/>
  <c r="E938" i="8"/>
  <c r="D938" i="8"/>
  <c r="E937" i="8"/>
  <c r="D937" i="8"/>
  <c r="E936" i="8"/>
  <c r="D936" i="8"/>
  <c r="E935" i="8"/>
  <c r="D935" i="8"/>
  <c r="E934" i="8"/>
  <c r="D934" i="8"/>
  <c r="E933" i="8"/>
  <c r="D933" i="8"/>
  <c r="E932" i="8"/>
  <c r="D932" i="8"/>
  <c r="E931" i="8"/>
  <c r="D931" i="8"/>
  <c r="E930" i="8"/>
  <c r="D930" i="8"/>
  <c r="E929" i="8"/>
  <c r="D929" i="8"/>
  <c r="E928" i="8"/>
  <c r="D928" i="8"/>
  <c r="E927" i="8"/>
  <c r="D927" i="8"/>
  <c r="E926" i="8"/>
  <c r="D926" i="8"/>
  <c r="E925" i="8"/>
  <c r="D925" i="8"/>
  <c r="E924" i="8"/>
  <c r="D924" i="8"/>
  <c r="E923" i="8"/>
  <c r="D923" i="8"/>
  <c r="E922" i="8"/>
  <c r="D922" i="8"/>
  <c r="E921" i="8"/>
  <c r="D921" i="8"/>
  <c r="E920" i="8"/>
  <c r="D920" i="8"/>
  <c r="E919" i="8"/>
  <c r="D919" i="8"/>
  <c r="E918" i="8"/>
  <c r="D918" i="8"/>
  <c r="E917" i="8"/>
  <c r="D917" i="8"/>
  <c r="E916" i="8"/>
  <c r="D916" i="8"/>
  <c r="E915" i="8"/>
  <c r="D915" i="8"/>
  <c r="E914" i="8"/>
  <c r="D914" i="8"/>
  <c r="E913" i="8"/>
  <c r="D913" i="8"/>
  <c r="E912" i="8"/>
  <c r="D912" i="8"/>
  <c r="E911" i="8"/>
  <c r="D911" i="8"/>
  <c r="E910" i="8"/>
  <c r="D910" i="8"/>
  <c r="E909" i="8"/>
  <c r="D909" i="8"/>
  <c r="E908" i="8"/>
  <c r="D908" i="8"/>
  <c r="E907" i="8"/>
  <c r="D907" i="8"/>
  <c r="E906" i="8"/>
  <c r="D906" i="8"/>
  <c r="E905" i="8"/>
  <c r="D905" i="8"/>
  <c r="E904" i="8"/>
  <c r="D904" i="8"/>
  <c r="E903" i="8"/>
  <c r="D903" i="8"/>
  <c r="E902" i="8"/>
  <c r="D902" i="8"/>
  <c r="E901" i="8"/>
  <c r="D901" i="8"/>
  <c r="E900" i="8"/>
  <c r="D900" i="8"/>
  <c r="E899" i="8"/>
  <c r="D899" i="8"/>
  <c r="E898" i="8"/>
  <c r="D898" i="8"/>
  <c r="E897" i="8"/>
  <c r="D897" i="8"/>
  <c r="E896" i="8"/>
  <c r="D896" i="8"/>
  <c r="E895" i="8"/>
  <c r="D895" i="8"/>
  <c r="E894" i="8"/>
  <c r="D894" i="8"/>
  <c r="E893" i="8"/>
  <c r="D893" i="8"/>
  <c r="E892" i="8"/>
  <c r="D892" i="8"/>
  <c r="E891" i="8"/>
  <c r="D891" i="8"/>
  <c r="E890" i="8"/>
  <c r="D890" i="8"/>
  <c r="E889" i="8"/>
  <c r="D889" i="8"/>
  <c r="E888" i="8"/>
  <c r="D888" i="8"/>
  <c r="E887" i="8"/>
  <c r="D887" i="8"/>
  <c r="E886" i="8"/>
  <c r="D886" i="8"/>
  <c r="E885" i="8"/>
  <c r="D885" i="8"/>
  <c r="E884" i="8"/>
  <c r="D884" i="8"/>
  <c r="E883" i="8"/>
  <c r="D883" i="8"/>
  <c r="E882" i="8"/>
  <c r="D882" i="8"/>
  <c r="E881" i="8"/>
  <c r="D881" i="8"/>
  <c r="E880" i="8"/>
  <c r="D880" i="8"/>
  <c r="E879" i="8"/>
  <c r="D879" i="8"/>
  <c r="E878" i="8"/>
  <c r="D878" i="8"/>
  <c r="E877" i="8"/>
  <c r="D877" i="8"/>
  <c r="E876" i="8"/>
  <c r="D876" i="8"/>
  <c r="E875" i="8"/>
  <c r="D875" i="8"/>
  <c r="E874" i="8"/>
  <c r="D874" i="8"/>
  <c r="E873" i="8"/>
  <c r="D873" i="8"/>
  <c r="E872" i="8"/>
  <c r="D872" i="8"/>
  <c r="E871" i="8"/>
  <c r="D871" i="8"/>
  <c r="E870" i="8"/>
  <c r="D870" i="8"/>
  <c r="E869" i="8"/>
  <c r="D869" i="8"/>
  <c r="E868" i="8"/>
  <c r="D868" i="8"/>
  <c r="E867" i="8"/>
  <c r="D867" i="8"/>
  <c r="E866" i="8"/>
  <c r="D866" i="8"/>
  <c r="E865" i="8"/>
  <c r="D865" i="8"/>
  <c r="E864" i="8"/>
  <c r="D864" i="8"/>
  <c r="E863" i="8"/>
  <c r="D863" i="8"/>
  <c r="E862" i="8"/>
  <c r="D862" i="8"/>
  <c r="E861" i="8"/>
  <c r="D861" i="8"/>
  <c r="E860" i="8"/>
  <c r="D860" i="8"/>
  <c r="E859" i="8"/>
  <c r="D859" i="8"/>
  <c r="E858" i="8"/>
  <c r="D858" i="8"/>
  <c r="E857" i="8"/>
  <c r="D857" i="8"/>
  <c r="E856" i="8"/>
  <c r="D856" i="8"/>
  <c r="E855" i="8"/>
  <c r="D855" i="8"/>
  <c r="E854" i="8"/>
  <c r="D854" i="8"/>
  <c r="E853" i="8"/>
  <c r="D853" i="8"/>
  <c r="E852" i="8"/>
  <c r="D852" i="8"/>
  <c r="E851" i="8"/>
  <c r="D851" i="8"/>
  <c r="E850" i="8"/>
  <c r="D850" i="8"/>
  <c r="E849" i="8"/>
  <c r="D849" i="8"/>
  <c r="E848" i="8"/>
  <c r="D848" i="8"/>
  <c r="E847" i="8"/>
  <c r="D847" i="8"/>
  <c r="E846" i="8"/>
  <c r="D846" i="8"/>
  <c r="E845" i="8"/>
  <c r="D845" i="8"/>
  <c r="E844" i="8"/>
  <c r="D844" i="8"/>
  <c r="E843" i="8"/>
  <c r="D843" i="8"/>
  <c r="E842" i="8"/>
  <c r="D842" i="8"/>
  <c r="E841" i="8"/>
  <c r="D841" i="8"/>
  <c r="E840" i="8"/>
  <c r="D840" i="8"/>
  <c r="E839" i="8"/>
  <c r="D839" i="8"/>
  <c r="E838" i="8"/>
  <c r="D838" i="8"/>
  <c r="E837" i="8"/>
  <c r="D837" i="8"/>
  <c r="E836" i="8"/>
  <c r="D836" i="8"/>
  <c r="E835" i="8"/>
  <c r="D835" i="8"/>
  <c r="E834" i="8"/>
  <c r="D834" i="8"/>
  <c r="E833" i="8"/>
  <c r="D833" i="8"/>
  <c r="E832" i="8"/>
  <c r="D832" i="8"/>
  <c r="E831" i="8"/>
  <c r="D831" i="8"/>
  <c r="E830" i="8"/>
  <c r="D830" i="8"/>
  <c r="E829" i="8"/>
  <c r="D829" i="8"/>
  <c r="E828" i="8"/>
  <c r="D828" i="8"/>
  <c r="E827" i="8"/>
  <c r="D827" i="8"/>
  <c r="E826" i="8"/>
  <c r="D826" i="8"/>
  <c r="E825" i="8"/>
  <c r="D825" i="8"/>
  <c r="E824" i="8"/>
  <c r="D824" i="8"/>
  <c r="E823" i="8"/>
  <c r="D823" i="8"/>
  <c r="E822" i="8"/>
  <c r="D822" i="8"/>
  <c r="E821" i="8"/>
  <c r="D821" i="8"/>
  <c r="E820" i="8"/>
  <c r="D820" i="8"/>
  <c r="E819" i="8"/>
  <c r="D819" i="8"/>
  <c r="E818" i="8"/>
  <c r="D818" i="8"/>
  <c r="E817" i="8"/>
  <c r="D817" i="8"/>
  <c r="E816" i="8"/>
  <c r="D816" i="8"/>
  <c r="E815" i="8"/>
  <c r="D815" i="8"/>
  <c r="E814" i="8"/>
  <c r="D814" i="8"/>
  <c r="E813" i="8"/>
  <c r="D813" i="8"/>
  <c r="E812" i="8"/>
  <c r="D812" i="8"/>
  <c r="E811" i="8"/>
  <c r="D811" i="8"/>
  <c r="E810" i="8"/>
  <c r="D810" i="8"/>
  <c r="E809" i="8"/>
  <c r="D809" i="8"/>
  <c r="E808" i="8"/>
  <c r="D808" i="8"/>
  <c r="E807" i="8"/>
  <c r="D807" i="8"/>
  <c r="E806" i="8"/>
  <c r="D806" i="8"/>
  <c r="E805" i="8"/>
  <c r="D805" i="8"/>
  <c r="E804" i="8"/>
  <c r="D804" i="8"/>
  <c r="E803" i="8"/>
  <c r="D803" i="8"/>
  <c r="E802" i="8"/>
  <c r="D802" i="8"/>
  <c r="E801" i="8"/>
  <c r="D801" i="8"/>
  <c r="E800" i="8"/>
  <c r="D800" i="8"/>
  <c r="E799" i="8"/>
  <c r="D799" i="8"/>
  <c r="E798" i="8"/>
  <c r="D798" i="8"/>
  <c r="E797" i="8"/>
  <c r="D797" i="8"/>
  <c r="E796" i="8"/>
  <c r="D796" i="8"/>
  <c r="E795" i="8"/>
  <c r="D795" i="8"/>
  <c r="E794" i="8"/>
  <c r="D794" i="8"/>
  <c r="E793" i="8"/>
  <c r="D793" i="8"/>
  <c r="E792" i="8"/>
  <c r="D792" i="8"/>
  <c r="E791" i="8"/>
  <c r="D791" i="8"/>
  <c r="E790" i="8"/>
  <c r="D790" i="8"/>
  <c r="E789" i="8"/>
  <c r="D789" i="8"/>
  <c r="E788" i="8"/>
  <c r="D788" i="8"/>
  <c r="E787" i="8"/>
  <c r="D787" i="8"/>
  <c r="E786" i="8"/>
  <c r="D786" i="8"/>
  <c r="E785" i="8"/>
  <c r="D785" i="8"/>
  <c r="E784" i="8"/>
  <c r="D784" i="8"/>
  <c r="E783" i="8"/>
  <c r="D783" i="8"/>
  <c r="E782" i="8"/>
  <c r="D782" i="8"/>
  <c r="E781" i="8"/>
  <c r="D781" i="8"/>
  <c r="E780" i="8"/>
  <c r="D780" i="8"/>
  <c r="E779" i="8"/>
  <c r="D779" i="8"/>
  <c r="E778" i="8"/>
  <c r="D778" i="8"/>
  <c r="E777" i="8"/>
  <c r="D777" i="8"/>
  <c r="E776" i="8"/>
  <c r="D776" i="8"/>
  <c r="E775" i="8"/>
  <c r="D775" i="8"/>
  <c r="E774" i="8"/>
  <c r="D774" i="8"/>
  <c r="E773" i="8"/>
  <c r="D773" i="8"/>
  <c r="E772" i="8"/>
  <c r="D772" i="8"/>
  <c r="E771" i="8"/>
  <c r="D771" i="8"/>
  <c r="E770" i="8"/>
  <c r="D770" i="8"/>
  <c r="E769" i="8"/>
  <c r="D769" i="8"/>
  <c r="E768" i="8"/>
  <c r="D768" i="8"/>
  <c r="E767" i="8"/>
  <c r="D767" i="8"/>
  <c r="E766" i="8"/>
  <c r="D766" i="8"/>
  <c r="E765" i="8"/>
  <c r="D765" i="8"/>
  <c r="E764" i="8"/>
  <c r="D764" i="8"/>
  <c r="E763" i="8"/>
  <c r="D763" i="8"/>
  <c r="E762" i="8"/>
  <c r="D762" i="8"/>
  <c r="E761" i="8"/>
  <c r="D761" i="8"/>
  <c r="E760" i="8"/>
  <c r="D760" i="8"/>
  <c r="E759" i="8"/>
  <c r="D759" i="8"/>
  <c r="E758" i="8"/>
  <c r="D758" i="8"/>
  <c r="E757" i="8"/>
  <c r="D757" i="8"/>
  <c r="E756" i="8"/>
  <c r="D756" i="8"/>
  <c r="E755" i="8"/>
  <c r="D755" i="8"/>
  <c r="E754" i="8"/>
  <c r="D754" i="8"/>
  <c r="E753" i="8"/>
  <c r="D753" i="8"/>
  <c r="E752" i="8"/>
  <c r="D752" i="8"/>
  <c r="E751" i="8"/>
  <c r="D751" i="8"/>
  <c r="E750" i="8"/>
  <c r="D750" i="8"/>
  <c r="E749" i="8"/>
  <c r="D749" i="8"/>
  <c r="E748" i="8"/>
  <c r="D748" i="8"/>
  <c r="E747" i="8"/>
  <c r="D747" i="8"/>
  <c r="E746" i="8"/>
  <c r="D746" i="8"/>
  <c r="E745" i="8"/>
  <c r="D745" i="8"/>
  <c r="E744" i="8"/>
  <c r="D744" i="8"/>
  <c r="E743" i="8"/>
  <c r="D743" i="8"/>
  <c r="E742" i="8"/>
  <c r="D742" i="8"/>
  <c r="E741" i="8"/>
  <c r="D741" i="8"/>
  <c r="E740" i="8"/>
  <c r="D740" i="8"/>
  <c r="E739" i="8"/>
  <c r="D739" i="8"/>
  <c r="E738" i="8"/>
  <c r="D738" i="8"/>
  <c r="E737" i="8"/>
  <c r="D737" i="8"/>
  <c r="E736" i="8"/>
  <c r="D736" i="8"/>
  <c r="E735" i="8"/>
  <c r="D735" i="8"/>
  <c r="E734" i="8"/>
  <c r="D734" i="8"/>
  <c r="E733" i="8"/>
  <c r="D733" i="8"/>
  <c r="E732" i="8"/>
  <c r="D732" i="8"/>
  <c r="E731" i="8"/>
  <c r="D731" i="8"/>
  <c r="E730" i="8"/>
  <c r="D730" i="8"/>
  <c r="E729" i="8"/>
  <c r="D729" i="8"/>
  <c r="E728" i="8"/>
  <c r="D728" i="8"/>
  <c r="E727" i="8"/>
  <c r="D727" i="8"/>
  <c r="E726" i="8"/>
  <c r="D726" i="8"/>
  <c r="E725" i="8"/>
  <c r="D725" i="8"/>
  <c r="E724" i="8"/>
  <c r="D724" i="8"/>
  <c r="E723" i="8"/>
  <c r="D723" i="8"/>
  <c r="E722" i="8"/>
  <c r="D722" i="8"/>
  <c r="E721" i="8"/>
  <c r="D721" i="8"/>
  <c r="E720" i="8"/>
  <c r="D720" i="8"/>
  <c r="E719" i="8"/>
  <c r="D719" i="8"/>
  <c r="E718" i="8"/>
  <c r="D718" i="8"/>
  <c r="E717" i="8"/>
  <c r="D717" i="8"/>
  <c r="E716" i="8"/>
  <c r="D716" i="8"/>
  <c r="E715" i="8"/>
  <c r="D715" i="8"/>
  <c r="E714" i="8"/>
  <c r="D714" i="8"/>
  <c r="E713" i="8"/>
  <c r="D713" i="8"/>
  <c r="E712" i="8"/>
  <c r="D712" i="8"/>
  <c r="E711" i="8"/>
  <c r="D711" i="8"/>
  <c r="E710" i="8"/>
  <c r="D710" i="8"/>
  <c r="E709" i="8"/>
  <c r="D709" i="8"/>
  <c r="E708" i="8"/>
  <c r="D708" i="8"/>
  <c r="E707" i="8"/>
  <c r="D707" i="8"/>
  <c r="E706" i="8"/>
  <c r="D706" i="8"/>
  <c r="E705" i="8"/>
  <c r="D705" i="8"/>
  <c r="E704" i="8"/>
  <c r="D704" i="8"/>
  <c r="E703" i="8"/>
  <c r="D703" i="8"/>
  <c r="E702" i="8"/>
  <c r="D702" i="8"/>
  <c r="E701" i="8"/>
  <c r="D701" i="8"/>
  <c r="E700" i="8"/>
  <c r="D700" i="8"/>
  <c r="E699" i="8"/>
  <c r="D699" i="8"/>
  <c r="E698" i="8"/>
  <c r="D698" i="8"/>
  <c r="E697" i="8"/>
  <c r="D697" i="8"/>
  <c r="E696" i="8"/>
  <c r="D696" i="8"/>
  <c r="E695" i="8"/>
  <c r="D695" i="8"/>
  <c r="E694" i="8"/>
  <c r="D694" i="8"/>
  <c r="E693" i="8"/>
  <c r="D693" i="8"/>
  <c r="E692" i="8"/>
  <c r="D692" i="8"/>
  <c r="E691" i="8"/>
  <c r="D691" i="8"/>
  <c r="E690" i="8"/>
  <c r="D690" i="8"/>
  <c r="E689" i="8"/>
  <c r="D689" i="8"/>
  <c r="E688" i="8"/>
  <c r="D688" i="8"/>
  <c r="E687" i="8"/>
  <c r="D687" i="8"/>
  <c r="E686" i="8"/>
  <c r="D686" i="8"/>
  <c r="E685" i="8"/>
  <c r="D685" i="8"/>
  <c r="E684" i="8"/>
  <c r="D684" i="8"/>
  <c r="E683" i="8"/>
  <c r="D683" i="8"/>
  <c r="E682" i="8"/>
  <c r="D682" i="8"/>
  <c r="E681" i="8"/>
  <c r="D681" i="8"/>
  <c r="E680" i="8"/>
  <c r="D680" i="8"/>
  <c r="E679" i="8"/>
  <c r="D679" i="8"/>
  <c r="E678" i="8"/>
  <c r="D678" i="8"/>
  <c r="E677" i="8"/>
  <c r="D677" i="8"/>
  <c r="E676" i="8"/>
  <c r="D676" i="8"/>
  <c r="E675" i="8"/>
  <c r="D675" i="8"/>
  <c r="E674" i="8"/>
  <c r="D674" i="8"/>
  <c r="E673" i="8"/>
  <c r="D673" i="8"/>
  <c r="E672" i="8"/>
  <c r="D672" i="8"/>
  <c r="E671" i="8"/>
  <c r="D671" i="8"/>
  <c r="E670" i="8"/>
  <c r="D670" i="8"/>
  <c r="E669" i="8"/>
  <c r="D669" i="8"/>
  <c r="E668" i="8"/>
  <c r="D668" i="8"/>
  <c r="E667" i="8"/>
  <c r="D667" i="8"/>
  <c r="E666" i="8"/>
  <c r="D666" i="8"/>
  <c r="E665" i="8"/>
  <c r="D665" i="8"/>
  <c r="E664" i="8"/>
  <c r="D664" i="8"/>
  <c r="E663" i="8"/>
  <c r="D663" i="8"/>
  <c r="E662" i="8"/>
  <c r="D662" i="8"/>
  <c r="E661" i="8"/>
  <c r="D661" i="8"/>
  <c r="E660" i="8"/>
  <c r="D660" i="8"/>
  <c r="E659" i="8"/>
  <c r="D659" i="8"/>
  <c r="E658" i="8"/>
  <c r="D658" i="8"/>
  <c r="E657" i="8"/>
  <c r="D657" i="8"/>
  <c r="E656" i="8"/>
  <c r="D656" i="8"/>
  <c r="E655" i="8"/>
  <c r="D655" i="8"/>
  <c r="E654" i="8"/>
  <c r="D654" i="8"/>
  <c r="E653" i="8"/>
  <c r="D653" i="8"/>
  <c r="E652" i="8"/>
  <c r="D652" i="8"/>
  <c r="E651" i="8"/>
  <c r="D651" i="8"/>
  <c r="E650" i="8"/>
  <c r="D650" i="8"/>
  <c r="E649" i="8"/>
  <c r="D649" i="8"/>
  <c r="E648" i="8"/>
  <c r="D648" i="8"/>
  <c r="E647" i="8"/>
  <c r="D647" i="8"/>
  <c r="E646" i="8"/>
  <c r="D646" i="8"/>
  <c r="E645" i="8"/>
  <c r="D645" i="8"/>
  <c r="E644" i="8"/>
  <c r="D644" i="8"/>
  <c r="E643" i="8"/>
  <c r="D643" i="8"/>
  <c r="E642" i="8"/>
  <c r="D642" i="8"/>
  <c r="E641" i="8"/>
  <c r="D641" i="8"/>
  <c r="E640" i="8"/>
  <c r="D640" i="8"/>
  <c r="E639" i="8"/>
  <c r="D639" i="8"/>
  <c r="E638" i="8"/>
  <c r="D638" i="8"/>
  <c r="E637" i="8"/>
  <c r="D637" i="8"/>
  <c r="E636" i="8"/>
  <c r="D636" i="8"/>
  <c r="E635" i="8"/>
  <c r="D635" i="8"/>
  <c r="E634" i="8"/>
  <c r="D634" i="8"/>
  <c r="E633" i="8"/>
  <c r="D633" i="8"/>
  <c r="E632" i="8"/>
  <c r="D632" i="8"/>
  <c r="E631" i="8"/>
  <c r="D631" i="8"/>
  <c r="E630" i="8"/>
  <c r="D630" i="8"/>
  <c r="E629" i="8"/>
  <c r="D629" i="8"/>
  <c r="E628" i="8"/>
  <c r="D628" i="8"/>
  <c r="E627" i="8"/>
  <c r="D627" i="8"/>
  <c r="E626" i="8"/>
  <c r="D626" i="8"/>
  <c r="E625" i="8"/>
  <c r="D625" i="8"/>
  <c r="E624" i="8"/>
  <c r="D624" i="8"/>
  <c r="E623" i="8"/>
  <c r="D623" i="8"/>
  <c r="E622" i="8"/>
  <c r="D622" i="8"/>
  <c r="E621" i="8"/>
  <c r="D621" i="8"/>
  <c r="E620" i="8"/>
  <c r="D620" i="8"/>
  <c r="E619" i="8"/>
  <c r="D619" i="8"/>
  <c r="E618" i="8"/>
  <c r="D618" i="8"/>
  <c r="E617" i="8"/>
  <c r="D617" i="8"/>
  <c r="E616" i="8"/>
  <c r="D616" i="8"/>
  <c r="E615" i="8"/>
  <c r="D615" i="8"/>
  <c r="E614" i="8"/>
  <c r="D614" i="8"/>
  <c r="E613" i="8"/>
  <c r="D613" i="8"/>
  <c r="E612" i="8"/>
  <c r="D612" i="8"/>
  <c r="E611" i="8"/>
  <c r="D611" i="8"/>
  <c r="E610" i="8"/>
  <c r="D610" i="8"/>
  <c r="E609" i="8"/>
  <c r="D609" i="8"/>
  <c r="E608" i="8"/>
  <c r="D608" i="8"/>
  <c r="E607" i="8"/>
  <c r="D607" i="8"/>
  <c r="E606" i="8"/>
  <c r="D606" i="8"/>
  <c r="E605" i="8"/>
  <c r="D605" i="8"/>
  <c r="E604" i="8"/>
  <c r="D604" i="8"/>
  <c r="E603" i="8"/>
  <c r="D603" i="8"/>
  <c r="E602" i="8"/>
  <c r="D602" i="8"/>
  <c r="E601" i="8"/>
  <c r="D601" i="8"/>
  <c r="E600" i="8"/>
  <c r="D600" i="8"/>
  <c r="E599" i="8"/>
  <c r="D599" i="8"/>
  <c r="E598" i="8"/>
  <c r="D598" i="8"/>
  <c r="E597" i="8"/>
  <c r="D597" i="8"/>
  <c r="E596" i="8"/>
  <c r="D596" i="8"/>
  <c r="E595" i="8"/>
  <c r="D595" i="8"/>
  <c r="E594" i="8"/>
  <c r="D594" i="8"/>
  <c r="E593" i="8"/>
  <c r="D593" i="8"/>
  <c r="E592" i="8"/>
  <c r="D592" i="8"/>
  <c r="E591" i="8"/>
  <c r="D591" i="8"/>
  <c r="E590" i="8"/>
  <c r="D590" i="8"/>
  <c r="E589" i="8"/>
  <c r="D589" i="8"/>
  <c r="E588" i="8"/>
  <c r="D588" i="8"/>
  <c r="E587" i="8"/>
  <c r="D587" i="8"/>
  <c r="E586" i="8"/>
  <c r="D586" i="8"/>
  <c r="E585" i="8"/>
  <c r="D585" i="8"/>
  <c r="E584" i="8"/>
  <c r="D584" i="8"/>
  <c r="E583" i="8"/>
  <c r="D583" i="8"/>
  <c r="E582" i="8"/>
  <c r="D582" i="8"/>
  <c r="E581" i="8"/>
  <c r="D581" i="8"/>
  <c r="E580" i="8"/>
  <c r="D580" i="8"/>
  <c r="E579" i="8"/>
  <c r="D579" i="8"/>
  <c r="E578" i="8"/>
  <c r="D578" i="8"/>
  <c r="E577" i="8"/>
  <c r="D577" i="8"/>
  <c r="E576" i="8"/>
  <c r="D576" i="8"/>
  <c r="E575" i="8"/>
  <c r="D575" i="8"/>
  <c r="E574" i="8"/>
  <c r="D574" i="8"/>
  <c r="E573" i="8"/>
  <c r="D573" i="8"/>
  <c r="E572" i="8"/>
  <c r="D572" i="8"/>
  <c r="E571" i="8"/>
  <c r="D571" i="8"/>
  <c r="E570" i="8"/>
  <c r="D570" i="8"/>
  <c r="E569" i="8"/>
  <c r="D569" i="8"/>
  <c r="E568" i="8"/>
  <c r="D568" i="8"/>
  <c r="E567" i="8"/>
  <c r="D567" i="8"/>
  <c r="E566" i="8"/>
  <c r="D566" i="8"/>
  <c r="E565" i="8"/>
  <c r="D565" i="8"/>
  <c r="E564" i="8"/>
  <c r="D564" i="8"/>
  <c r="E563" i="8"/>
  <c r="D563" i="8"/>
  <c r="E562" i="8"/>
  <c r="D562" i="8"/>
  <c r="E561" i="8"/>
  <c r="D561" i="8"/>
  <c r="E560" i="8"/>
  <c r="D560" i="8"/>
  <c r="E559" i="8"/>
  <c r="D559" i="8"/>
  <c r="E558" i="8"/>
  <c r="D558" i="8"/>
  <c r="E557" i="8"/>
  <c r="D557" i="8"/>
  <c r="E556" i="8"/>
  <c r="D556" i="8"/>
  <c r="E555" i="8"/>
  <c r="D555" i="8"/>
  <c r="E554" i="8"/>
  <c r="D554" i="8"/>
  <c r="E553" i="8"/>
  <c r="D553" i="8"/>
  <c r="E552" i="8"/>
  <c r="D552" i="8"/>
  <c r="E551" i="8"/>
  <c r="D551" i="8"/>
  <c r="E550" i="8"/>
  <c r="D550" i="8"/>
  <c r="E549" i="8"/>
  <c r="D549" i="8"/>
  <c r="E548" i="8"/>
  <c r="D548" i="8"/>
  <c r="E547" i="8"/>
  <c r="D547" i="8"/>
  <c r="E546" i="8"/>
  <c r="D546" i="8"/>
  <c r="E545" i="8"/>
  <c r="D545" i="8"/>
  <c r="E544" i="8"/>
  <c r="D544" i="8"/>
  <c r="E543" i="8"/>
  <c r="D543" i="8"/>
  <c r="E542" i="8"/>
  <c r="D542" i="8"/>
  <c r="E541" i="8"/>
  <c r="D541" i="8"/>
  <c r="E540" i="8"/>
  <c r="D540" i="8"/>
  <c r="E539" i="8"/>
  <c r="D539" i="8"/>
  <c r="E538" i="8"/>
  <c r="D538" i="8"/>
  <c r="E537" i="8"/>
  <c r="D537" i="8"/>
  <c r="E536" i="8"/>
  <c r="D536" i="8"/>
  <c r="E535" i="8"/>
  <c r="D535" i="8"/>
  <c r="E534" i="8"/>
  <c r="D534" i="8"/>
  <c r="E533" i="8"/>
  <c r="D533" i="8"/>
  <c r="E532" i="8"/>
  <c r="D532" i="8"/>
  <c r="E531" i="8"/>
  <c r="D531" i="8"/>
  <c r="E530" i="8"/>
  <c r="D530" i="8"/>
  <c r="E529" i="8"/>
  <c r="D529" i="8"/>
  <c r="E528" i="8"/>
  <c r="D528" i="8"/>
  <c r="E527" i="8"/>
  <c r="D527" i="8"/>
  <c r="E526" i="8"/>
  <c r="D526" i="8"/>
  <c r="E525" i="8"/>
  <c r="D525" i="8"/>
  <c r="E524" i="8"/>
  <c r="D524" i="8"/>
  <c r="E523" i="8"/>
  <c r="D523" i="8"/>
  <c r="E522" i="8"/>
  <c r="D522" i="8"/>
  <c r="E521" i="8"/>
  <c r="D521" i="8"/>
  <c r="E520" i="8"/>
  <c r="D520" i="8"/>
  <c r="E519" i="8"/>
  <c r="D519" i="8"/>
  <c r="E518" i="8"/>
  <c r="D518" i="8"/>
  <c r="E517" i="8"/>
  <c r="D517" i="8"/>
  <c r="E516" i="8"/>
  <c r="D516" i="8"/>
  <c r="E515" i="8"/>
  <c r="D515" i="8"/>
  <c r="E514" i="8"/>
  <c r="D514" i="8"/>
  <c r="E513" i="8"/>
  <c r="D513" i="8"/>
  <c r="E512" i="8"/>
  <c r="D512" i="8"/>
  <c r="E511" i="8"/>
  <c r="D511" i="8"/>
  <c r="E510" i="8"/>
  <c r="D510" i="8"/>
  <c r="E509" i="8"/>
  <c r="D509" i="8"/>
  <c r="E508" i="8"/>
  <c r="D508" i="8"/>
  <c r="E507" i="8"/>
  <c r="D507" i="8"/>
  <c r="E506" i="8"/>
  <c r="D506" i="8"/>
  <c r="E505" i="8"/>
  <c r="D505" i="8"/>
  <c r="E504" i="8"/>
  <c r="D504" i="8"/>
  <c r="E503" i="8"/>
  <c r="D503" i="8"/>
  <c r="E502" i="8"/>
  <c r="D502" i="8"/>
  <c r="E501" i="8"/>
  <c r="D501" i="8"/>
  <c r="E500" i="8"/>
  <c r="D500" i="8"/>
  <c r="E499" i="8"/>
  <c r="D499" i="8"/>
  <c r="E498" i="8"/>
  <c r="D498" i="8"/>
  <c r="E497" i="8"/>
  <c r="D497" i="8"/>
  <c r="E496" i="8"/>
  <c r="D496" i="8"/>
  <c r="E495" i="8"/>
  <c r="D495" i="8"/>
  <c r="E494" i="8"/>
  <c r="D494" i="8"/>
  <c r="E493" i="8"/>
  <c r="D493" i="8"/>
  <c r="E492" i="8"/>
  <c r="D492" i="8"/>
  <c r="E491" i="8"/>
  <c r="D491" i="8"/>
  <c r="E490" i="8"/>
  <c r="D490" i="8"/>
  <c r="E489" i="8"/>
  <c r="D489" i="8"/>
  <c r="E488" i="8"/>
  <c r="D488" i="8"/>
  <c r="E487" i="8"/>
  <c r="D487" i="8"/>
  <c r="E486" i="8"/>
  <c r="D486" i="8"/>
  <c r="E485" i="8"/>
  <c r="D485" i="8"/>
  <c r="E484" i="8"/>
  <c r="D484" i="8"/>
  <c r="E483" i="8"/>
  <c r="D483" i="8"/>
  <c r="E482" i="8"/>
  <c r="D482" i="8"/>
  <c r="E481" i="8"/>
  <c r="D481" i="8"/>
  <c r="E480" i="8"/>
  <c r="D480" i="8"/>
  <c r="E479" i="8"/>
  <c r="D479" i="8"/>
  <c r="E478" i="8"/>
  <c r="D478" i="8"/>
  <c r="E477" i="8"/>
  <c r="D477" i="8"/>
  <c r="E476" i="8"/>
  <c r="D476" i="8"/>
  <c r="E475" i="8"/>
  <c r="D475" i="8"/>
  <c r="E474" i="8"/>
  <c r="D474" i="8"/>
  <c r="E473" i="8"/>
  <c r="D473" i="8"/>
  <c r="E472" i="8"/>
  <c r="D472" i="8"/>
  <c r="E471" i="8"/>
  <c r="D471" i="8"/>
  <c r="E470" i="8"/>
  <c r="D470" i="8"/>
  <c r="E469" i="8"/>
  <c r="D469" i="8"/>
  <c r="E468" i="8"/>
  <c r="D468" i="8"/>
  <c r="E467" i="8"/>
  <c r="D467" i="8"/>
  <c r="E466" i="8"/>
  <c r="D466" i="8"/>
  <c r="E465" i="8"/>
  <c r="D465" i="8"/>
  <c r="E464" i="8"/>
  <c r="D464" i="8"/>
  <c r="E463" i="8"/>
  <c r="D463" i="8"/>
  <c r="E462" i="8"/>
  <c r="D462" i="8"/>
  <c r="E461" i="8"/>
  <c r="D461" i="8"/>
  <c r="E460" i="8"/>
  <c r="D460" i="8"/>
  <c r="E459" i="8"/>
  <c r="D459" i="8"/>
  <c r="E458" i="8"/>
  <c r="D458" i="8"/>
  <c r="E457" i="8"/>
  <c r="D457" i="8"/>
  <c r="E456" i="8"/>
  <c r="D456" i="8"/>
  <c r="E455" i="8"/>
  <c r="D455" i="8"/>
  <c r="E454" i="8"/>
  <c r="D454" i="8"/>
  <c r="E453" i="8"/>
  <c r="D453" i="8"/>
  <c r="E452" i="8"/>
  <c r="D452" i="8"/>
  <c r="E451" i="8"/>
  <c r="D451" i="8"/>
  <c r="E450" i="8"/>
  <c r="D450" i="8"/>
  <c r="E449" i="8"/>
  <c r="D449" i="8"/>
  <c r="E448" i="8"/>
  <c r="D448" i="8"/>
  <c r="E447" i="8"/>
  <c r="D447" i="8"/>
  <c r="E446" i="8"/>
  <c r="D446" i="8"/>
  <c r="E445" i="8"/>
  <c r="D445" i="8"/>
  <c r="E444" i="8"/>
  <c r="D444" i="8"/>
  <c r="E443" i="8"/>
  <c r="D443" i="8"/>
  <c r="E442" i="8"/>
  <c r="D442" i="8"/>
  <c r="E441" i="8"/>
  <c r="D441" i="8"/>
  <c r="E440" i="8"/>
  <c r="D440" i="8"/>
  <c r="E439" i="8"/>
  <c r="D439" i="8"/>
  <c r="E438" i="8"/>
  <c r="D438" i="8"/>
  <c r="E437" i="8"/>
  <c r="D437" i="8"/>
  <c r="E436" i="8"/>
  <c r="D436" i="8"/>
  <c r="E435" i="8"/>
  <c r="D435" i="8"/>
  <c r="E434" i="8"/>
  <c r="D434" i="8"/>
  <c r="E433" i="8"/>
  <c r="D433" i="8"/>
  <c r="E432" i="8"/>
  <c r="D432" i="8"/>
  <c r="E431" i="8"/>
  <c r="D431" i="8"/>
  <c r="E430" i="8"/>
  <c r="D430" i="8"/>
  <c r="E429" i="8"/>
  <c r="D429" i="8"/>
  <c r="E428" i="8"/>
  <c r="D428" i="8"/>
  <c r="E427" i="8"/>
  <c r="D427" i="8"/>
  <c r="E426" i="8"/>
  <c r="D426" i="8"/>
  <c r="E425" i="8"/>
  <c r="D425" i="8"/>
  <c r="E424" i="8"/>
  <c r="D424" i="8"/>
  <c r="E423" i="8"/>
  <c r="D423" i="8"/>
  <c r="E422" i="8"/>
  <c r="D422" i="8"/>
  <c r="E421" i="8"/>
  <c r="D421" i="8"/>
  <c r="E420" i="8"/>
  <c r="D420" i="8"/>
  <c r="E419" i="8"/>
  <c r="D419" i="8"/>
  <c r="E418" i="8"/>
  <c r="D418" i="8"/>
  <c r="E417" i="8"/>
  <c r="D417" i="8"/>
  <c r="E416" i="8"/>
  <c r="D416" i="8"/>
  <c r="E415" i="8"/>
  <c r="D415" i="8"/>
  <c r="E414" i="8"/>
  <c r="D414" i="8"/>
  <c r="E413" i="8"/>
  <c r="D413" i="8"/>
  <c r="E412" i="8"/>
  <c r="D412" i="8"/>
  <c r="E411" i="8"/>
  <c r="D411" i="8"/>
  <c r="E410" i="8"/>
  <c r="D410" i="8"/>
  <c r="E409" i="8"/>
  <c r="D409" i="8"/>
  <c r="E408" i="8"/>
  <c r="D408" i="8"/>
  <c r="E407" i="8"/>
  <c r="D407" i="8"/>
  <c r="E406" i="8"/>
  <c r="D406" i="8"/>
  <c r="E405" i="8"/>
  <c r="D405" i="8"/>
  <c r="E404" i="8"/>
  <c r="D404" i="8"/>
  <c r="E403" i="8"/>
  <c r="D403" i="8"/>
  <c r="E402" i="8"/>
  <c r="D402" i="8"/>
  <c r="E401" i="8"/>
  <c r="D401" i="8"/>
  <c r="E400" i="8"/>
  <c r="D400" i="8"/>
  <c r="E399" i="8"/>
  <c r="D399" i="8"/>
  <c r="E398" i="8"/>
  <c r="D398" i="8"/>
  <c r="E397" i="8"/>
  <c r="D397" i="8"/>
  <c r="E396" i="8"/>
  <c r="D396" i="8"/>
  <c r="E395" i="8"/>
  <c r="D395" i="8"/>
  <c r="E394" i="8"/>
  <c r="D394" i="8"/>
  <c r="E393" i="8"/>
  <c r="D393" i="8"/>
  <c r="E392" i="8"/>
  <c r="D392" i="8"/>
  <c r="E391" i="8"/>
  <c r="D391" i="8"/>
  <c r="E390" i="8"/>
  <c r="D390" i="8"/>
  <c r="E389" i="8"/>
  <c r="D389" i="8"/>
  <c r="E388" i="8"/>
  <c r="D388" i="8"/>
  <c r="E387" i="8"/>
  <c r="D387" i="8"/>
  <c r="E386" i="8"/>
  <c r="D386" i="8"/>
  <c r="E385" i="8"/>
  <c r="D385" i="8"/>
  <c r="E384" i="8"/>
  <c r="D384" i="8"/>
  <c r="E383" i="8"/>
  <c r="D383" i="8"/>
  <c r="E382" i="8"/>
  <c r="D382" i="8"/>
  <c r="E381" i="8"/>
  <c r="D381" i="8"/>
  <c r="E380" i="8"/>
  <c r="D380" i="8"/>
  <c r="E379" i="8"/>
  <c r="D379" i="8"/>
  <c r="E378" i="8"/>
  <c r="D378" i="8"/>
  <c r="E377" i="8"/>
  <c r="D377" i="8"/>
  <c r="E376" i="8"/>
  <c r="D376" i="8"/>
  <c r="E375" i="8"/>
  <c r="D375" i="8"/>
  <c r="E374" i="8"/>
  <c r="D374" i="8"/>
  <c r="E373" i="8"/>
  <c r="D373" i="8"/>
  <c r="E372" i="8"/>
  <c r="D372" i="8"/>
  <c r="E371" i="8"/>
  <c r="D371" i="8"/>
  <c r="E370" i="8"/>
  <c r="D370" i="8"/>
  <c r="E369" i="8"/>
  <c r="D369" i="8"/>
  <c r="E368" i="8"/>
  <c r="D368" i="8"/>
  <c r="E367" i="8"/>
  <c r="D367" i="8"/>
  <c r="E366" i="8"/>
  <c r="D366" i="8"/>
  <c r="E365" i="8"/>
  <c r="D365" i="8"/>
  <c r="E364" i="8"/>
  <c r="D364" i="8"/>
  <c r="E363" i="8"/>
  <c r="D363" i="8"/>
  <c r="E362" i="8"/>
  <c r="D362" i="8"/>
  <c r="E361" i="8"/>
  <c r="D361" i="8"/>
  <c r="E360" i="8"/>
  <c r="D360" i="8"/>
  <c r="E359" i="8"/>
  <c r="D359" i="8"/>
  <c r="E358" i="8"/>
  <c r="D358" i="8"/>
  <c r="E357" i="8"/>
  <c r="D357" i="8"/>
  <c r="E356" i="8"/>
  <c r="D356" i="8"/>
  <c r="E355" i="8"/>
  <c r="D355" i="8"/>
  <c r="E354" i="8"/>
  <c r="D354" i="8"/>
  <c r="E353" i="8"/>
  <c r="D353" i="8"/>
  <c r="E352" i="8"/>
  <c r="D352" i="8"/>
  <c r="E351" i="8"/>
  <c r="D351" i="8"/>
  <c r="E350" i="8"/>
  <c r="D350" i="8"/>
  <c r="E349" i="8"/>
  <c r="D349" i="8"/>
  <c r="E348" i="8"/>
  <c r="D348" i="8"/>
  <c r="E347" i="8"/>
  <c r="D347" i="8"/>
  <c r="E346" i="8"/>
  <c r="D346" i="8"/>
  <c r="E345" i="8"/>
  <c r="D345" i="8"/>
  <c r="E344" i="8"/>
  <c r="D344" i="8"/>
  <c r="E343" i="8"/>
  <c r="D343" i="8"/>
  <c r="E342" i="8"/>
  <c r="D342" i="8"/>
  <c r="E341" i="8"/>
  <c r="D341" i="8"/>
  <c r="E340" i="8"/>
  <c r="D340" i="8"/>
  <c r="E339" i="8"/>
  <c r="D339" i="8"/>
  <c r="E338" i="8"/>
  <c r="D338" i="8"/>
  <c r="E337" i="8"/>
  <c r="D337" i="8"/>
  <c r="E336" i="8"/>
  <c r="D336" i="8"/>
  <c r="E335" i="8"/>
  <c r="D335" i="8"/>
  <c r="E334" i="8"/>
  <c r="D334" i="8"/>
  <c r="E333" i="8"/>
  <c r="D333" i="8"/>
  <c r="E332" i="8"/>
  <c r="D332" i="8"/>
  <c r="E331" i="8"/>
  <c r="D331" i="8"/>
  <c r="E330" i="8"/>
  <c r="D330" i="8"/>
  <c r="E329" i="8"/>
  <c r="D329" i="8"/>
  <c r="E328" i="8"/>
  <c r="D328" i="8"/>
  <c r="E327" i="8"/>
  <c r="D327" i="8"/>
  <c r="E326" i="8"/>
  <c r="D326" i="8"/>
  <c r="E325" i="8"/>
  <c r="D325" i="8"/>
  <c r="E324" i="8"/>
  <c r="D324" i="8"/>
  <c r="E323" i="8"/>
  <c r="D323" i="8"/>
  <c r="E322" i="8"/>
  <c r="D322" i="8"/>
  <c r="E321" i="8"/>
  <c r="D321" i="8"/>
  <c r="E320" i="8"/>
  <c r="D320" i="8"/>
  <c r="E319" i="8"/>
  <c r="D319" i="8"/>
  <c r="E318" i="8"/>
  <c r="D318" i="8"/>
  <c r="E317" i="8"/>
  <c r="D317" i="8"/>
  <c r="E316" i="8"/>
  <c r="D316" i="8"/>
  <c r="E315" i="8"/>
  <c r="D315" i="8"/>
  <c r="E314" i="8"/>
  <c r="D314" i="8"/>
  <c r="E313" i="8"/>
  <c r="D313" i="8"/>
  <c r="E312" i="8"/>
  <c r="D312" i="8"/>
  <c r="E311" i="8"/>
  <c r="D311" i="8"/>
  <c r="E310" i="8"/>
  <c r="D310" i="8"/>
  <c r="E309" i="8"/>
  <c r="D309" i="8"/>
  <c r="E308" i="8"/>
  <c r="D308" i="8"/>
  <c r="E307" i="8"/>
  <c r="D307" i="8"/>
  <c r="E306" i="8"/>
  <c r="D306" i="8"/>
  <c r="E305" i="8"/>
  <c r="D305" i="8"/>
  <c r="E304" i="8"/>
  <c r="D304" i="8"/>
  <c r="E303" i="8"/>
  <c r="D303" i="8"/>
  <c r="E302" i="8"/>
  <c r="D302" i="8"/>
  <c r="E301" i="8"/>
  <c r="D301" i="8"/>
  <c r="E300" i="8"/>
  <c r="D300" i="8"/>
  <c r="E299" i="8"/>
  <c r="D299" i="8"/>
  <c r="E298" i="8"/>
  <c r="D298" i="8"/>
  <c r="E297" i="8"/>
  <c r="D297" i="8"/>
  <c r="E296" i="8"/>
  <c r="D296" i="8"/>
  <c r="E295" i="8"/>
  <c r="D295" i="8"/>
  <c r="E294" i="8"/>
  <c r="D294" i="8"/>
  <c r="E293" i="8"/>
  <c r="D293" i="8"/>
  <c r="E292" i="8"/>
  <c r="D292" i="8"/>
  <c r="E291" i="8"/>
  <c r="D291" i="8"/>
  <c r="E290" i="8"/>
  <c r="D290" i="8"/>
  <c r="E289" i="8"/>
  <c r="D289" i="8"/>
  <c r="E288" i="8"/>
  <c r="D288" i="8"/>
  <c r="E287" i="8"/>
  <c r="D287" i="8"/>
  <c r="E286" i="8"/>
  <c r="D286" i="8"/>
  <c r="E285" i="8"/>
  <c r="D285" i="8"/>
  <c r="E284" i="8"/>
  <c r="D284" i="8"/>
  <c r="E283" i="8"/>
  <c r="D283" i="8"/>
  <c r="E282" i="8"/>
  <c r="D282" i="8"/>
  <c r="E281" i="8"/>
  <c r="D281" i="8"/>
  <c r="E280" i="8"/>
  <c r="D280" i="8"/>
  <c r="E279" i="8"/>
  <c r="D279" i="8"/>
  <c r="E278" i="8"/>
  <c r="D278" i="8"/>
  <c r="E277" i="8"/>
  <c r="D277" i="8"/>
  <c r="E276" i="8"/>
  <c r="D276" i="8"/>
  <c r="E275" i="8"/>
  <c r="D275" i="8"/>
  <c r="E274" i="8"/>
  <c r="D274" i="8"/>
  <c r="E273" i="8"/>
  <c r="D273" i="8"/>
  <c r="E272" i="8"/>
  <c r="D272" i="8"/>
  <c r="E271" i="8"/>
  <c r="D271" i="8"/>
  <c r="E270" i="8"/>
  <c r="D270" i="8"/>
  <c r="E269" i="8"/>
  <c r="D269" i="8"/>
  <c r="E268" i="8"/>
  <c r="D268" i="8"/>
  <c r="E267" i="8"/>
  <c r="D267" i="8"/>
  <c r="E266" i="8"/>
  <c r="D266" i="8"/>
  <c r="E265" i="8"/>
  <c r="D265" i="8"/>
  <c r="E264" i="8"/>
  <c r="D264" i="8"/>
  <c r="E263" i="8"/>
  <c r="D263" i="8"/>
  <c r="E262" i="8"/>
  <c r="D262" i="8"/>
  <c r="E261" i="8"/>
  <c r="D261" i="8"/>
  <c r="E260" i="8"/>
  <c r="D260" i="8"/>
  <c r="E259" i="8"/>
  <c r="D259" i="8"/>
  <c r="E258" i="8"/>
  <c r="D258" i="8"/>
  <c r="E257" i="8"/>
  <c r="D257" i="8"/>
  <c r="E256" i="8"/>
  <c r="D256" i="8"/>
  <c r="E255" i="8"/>
  <c r="D255" i="8"/>
  <c r="E254" i="8"/>
  <c r="D254" i="8"/>
  <c r="E253" i="8"/>
  <c r="D253" i="8"/>
  <c r="E252" i="8"/>
  <c r="D252" i="8"/>
  <c r="E251" i="8"/>
  <c r="D251" i="8"/>
  <c r="E250" i="8"/>
  <c r="D250" i="8"/>
  <c r="E249" i="8"/>
  <c r="D249" i="8"/>
  <c r="E248" i="8"/>
  <c r="D248" i="8"/>
  <c r="E247" i="8"/>
  <c r="D247" i="8"/>
  <c r="E246" i="8"/>
  <c r="D246" i="8"/>
  <c r="E245" i="8"/>
  <c r="D245" i="8"/>
  <c r="E244" i="8"/>
  <c r="D244" i="8"/>
  <c r="E243" i="8"/>
  <c r="D243" i="8"/>
  <c r="E242" i="8"/>
  <c r="D242" i="8"/>
  <c r="E241" i="8"/>
  <c r="D241" i="8"/>
  <c r="E240" i="8"/>
  <c r="D240" i="8"/>
  <c r="E239" i="8"/>
  <c r="D239" i="8"/>
  <c r="E238" i="8"/>
  <c r="D238" i="8"/>
  <c r="E237" i="8"/>
  <c r="D237" i="8"/>
  <c r="E236" i="8"/>
  <c r="D236" i="8"/>
  <c r="E235" i="8"/>
  <c r="D235" i="8"/>
  <c r="E234" i="8"/>
  <c r="D234" i="8"/>
  <c r="E233" i="8"/>
  <c r="D233" i="8"/>
  <c r="E232" i="8"/>
  <c r="D232" i="8"/>
  <c r="E231" i="8"/>
  <c r="D231" i="8"/>
  <c r="E230" i="8"/>
  <c r="D230" i="8"/>
  <c r="E229" i="8"/>
  <c r="D229" i="8"/>
  <c r="E228" i="8"/>
  <c r="D228" i="8"/>
  <c r="E227" i="8"/>
  <c r="D227" i="8"/>
  <c r="E226" i="8"/>
  <c r="D226" i="8"/>
  <c r="E225" i="8"/>
  <c r="D225" i="8"/>
  <c r="E224" i="8"/>
  <c r="D224" i="8"/>
  <c r="E223" i="8"/>
  <c r="D223" i="8"/>
  <c r="E222" i="8"/>
  <c r="D222" i="8"/>
  <c r="E221" i="8"/>
  <c r="D221" i="8"/>
  <c r="E220" i="8"/>
  <c r="D220" i="8"/>
  <c r="E219" i="8"/>
  <c r="D219" i="8"/>
  <c r="E218" i="8"/>
  <c r="D218" i="8"/>
  <c r="E217" i="8"/>
  <c r="D217" i="8"/>
  <c r="E216" i="8"/>
  <c r="D216" i="8"/>
  <c r="E215" i="8"/>
  <c r="D215" i="8"/>
  <c r="E214" i="8"/>
  <c r="D214" i="8"/>
  <c r="E213" i="8"/>
  <c r="D213" i="8"/>
  <c r="E212" i="8"/>
  <c r="D212" i="8"/>
  <c r="E211" i="8"/>
  <c r="D211" i="8"/>
  <c r="E210" i="8"/>
  <c r="D210" i="8"/>
  <c r="E209" i="8"/>
  <c r="D209" i="8"/>
  <c r="E208" i="8"/>
  <c r="D208" i="8"/>
  <c r="E207" i="8"/>
  <c r="D207" i="8"/>
  <c r="E206" i="8"/>
  <c r="D206" i="8"/>
  <c r="E205" i="8"/>
  <c r="D205" i="8"/>
  <c r="E204" i="8"/>
  <c r="D204" i="8"/>
  <c r="E203" i="8"/>
  <c r="D203" i="8"/>
  <c r="E202" i="8"/>
  <c r="D202" i="8"/>
  <c r="E201" i="8"/>
  <c r="D201" i="8"/>
  <c r="E200" i="8"/>
  <c r="D200" i="8"/>
  <c r="E199" i="8"/>
  <c r="D199" i="8"/>
  <c r="E198" i="8"/>
  <c r="D198" i="8"/>
  <c r="E197" i="8"/>
  <c r="D197" i="8"/>
  <c r="E196" i="8"/>
  <c r="D196" i="8"/>
  <c r="E195" i="8"/>
  <c r="D195" i="8"/>
  <c r="E194" i="8"/>
  <c r="D194" i="8"/>
  <c r="E193" i="8"/>
  <c r="D193" i="8"/>
  <c r="E192" i="8"/>
  <c r="D192" i="8"/>
  <c r="E191" i="8"/>
  <c r="D191" i="8"/>
  <c r="E190" i="8"/>
  <c r="D190" i="8"/>
  <c r="E189" i="8"/>
  <c r="D189" i="8"/>
  <c r="E188" i="8"/>
  <c r="D188" i="8"/>
  <c r="E187" i="8"/>
  <c r="D187" i="8"/>
  <c r="E186" i="8"/>
  <c r="D186" i="8"/>
  <c r="E185" i="8"/>
  <c r="D185" i="8"/>
  <c r="E184" i="8"/>
  <c r="D184" i="8"/>
  <c r="E183" i="8"/>
  <c r="D183" i="8"/>
  <c r="E182" i="8"/>
  <c r="D182" i="8"/>
  <c r="E181" i="8"/>
  <c r="D181" i="8"/>
  <c r="E180" i="8"/>
  <c r="D180" i="8"/>
  <c r="E179" i="8"/>
  <c r="D179" i="8"/>
  <c r="E178" i="8"/>
  <c r="D178" i="8"/>
  <c r="E177" i="8"/>
  <c r="D177" i="8"/>
  <c r="E176" i="8"/>
  <c r="D176" i="8"/>
  <c r="E175" i="8"/>
  <c r="D175" i="8"/>
  <c r="E174" i="8"/>
  <c r="D174" i="8"/>
  <c r="E173" i="8"/>
  <c r="D173" i="8"/>
  <c r="E172" i="8"/>
  <c r="D172" i="8"/>
  <c r="E171" i="8"/>
  <c r="D171" i="8"/>
  <c r="E170" i="8"/>
  <c r="D170" i="8"/>
  <c r="E169" i="8"/>
  <c r="D169" i="8"/>
  <c r="E168" i="8"/>
  <c r="D168" i="8"/>
  <c r="E167" i="8"/>
  <c r="D167" i="8"/>
  <c r="E166" i="8"/>
  <c r="D166" i="8"/>
  <c r="E165" i="8"/>
  <c r="D165" i="8"/>
  <c r="E164" i="8"/>
  <c r="D164" i="8"/>
  <c r="E163" i="8"/>
  <c r="D163" i="8"/>
  <c r="E162" i="8"/>
  <c r="D162" i="8"/>
  <c r="E161" i="8"/>
  <c r="D161" i="8"/>
  <c r="E160" i="8"/>
  <c r="D160" i="8"/>
  <c r="E159" i="8"/>
  <c r="D159" i="8"/>
  <c r="E158" i="8"/>
  <c r="D158" i="8"/>
  <c r="E157" i="8"/>
  <c r="D157" i="8"/>
  <c r="E156" i="8"/>
  <c r="D156" i="8"/>
  <c r="E155" i="8"/>
  <c r="D155" i="8"/>
  <c r="E154" i="8"/>
  <c r="D154" i="8"/>
  <c r="E153" i="8"/>
  <c r="D153" i="8"/>
  <c r="E152" i="8"/>
  <c r="D152" i="8"/>
  <c r="E151" i="8"/>
  <c r="D151" i="8"/>
  <c r="E150" i="8"/>
  <c r="D150" i="8"/>
  <c r="E149" i="8"/>
  <c r="D149" i="8"/>
  <c r="E148" i="8"/>
  <c r="D148" i="8"/>
  <c r="E147" i="8"/>
  <c r="D147" i="8"/>
  <c r="E146" i="8"/>
  <c r="D146" i="8"/>
  <c r="E145" i="8"/>
  <c r="D145" i="8"/>
  <c r="E144" i="8"/>
  <c r="D144" i="8"/>
  <c r="E143" i="8"/>
  <c r="D143" i="8"/>
  <c r="E142" i="8"/>
  <c r="D142" i="8"/>
  <c r="E141" i="8"/>
  <c r="D141" i="8"/>
  <c r="E140" i="8"/>
  <c r="D140" i="8"/>
  <c r="E139" i="8"/>
  <c r="D139" i="8"/>
  <c r="E138" i="8"/>
  <c r="D138" i="8"/>
  <c r="E137" i="8"/>
  <c r="D137" i="8"/>
  <c r="E136" i="8"/>
  <c r="D136" i="8"/>
  <c r="E135" i="8"/>
  <c r="D135" i="8"/>
  <c r="E134" i="8"/>
  <c r="D134" i="8"/>
  <c r="E133" i="8"/>
  <c r="D133" i="8"/>
  <c r="E132" i="8"/>
  <c r="D132" i="8"/>
  <c r="E131" i="8"/>
  <c r="D131" i="8"/>
  <c r="E130" i="8"/>
  <c r="D130" i="8"/>
  <c r="E129" i="8"/>
  <c r="D129" i="8"/>
  <c r="E128" i="8"/>
  <c r="D128" i="8"/>
  <c r="E127" i="8"/>
  <c r="D127" i="8"/>
  <c r="E126" i="8"/>
  <c r="D126" i="8"/>
  <c r="E125" i="8"/>
  <c r="D125" i="8"/>
  <c r="E124" i="8"/>
  <c r="D124" i="8"/>
  <c r="E123" i="8"/>
  <c r="D123" i="8"/>
  <c r="E122" i="8"/>
  <c r="D122" i="8"/>
  <c r="E121" i="8"/>
  <c r="D121" i="8"/>
  <c r="E120" i="8"/>
  <c r="D120" i="8"/>
  <c r="E119" i="8"/>
  <c r="D119" i="8"/>
  <c r="E118" i="8"/>
  <c r="D118" i="8"/>
  <c r="E117" i="8"/>
  <c r="D117" i="8"/>
  <c r="E116" i="8"/>
  <c r="D116" i="8"/>
  <c r="E115" i="8"/>
  <c r="D115" i="8"/>
  <c r="E114" i="8"/>
  <c r="D114" i="8"/>
  <c r="E113" i="8"/>
  <c r="D113" i="8"/>
  <c r="E112" i="8"/>
  <c r="D112" i="8"/>
  <c r="E111" i="8"/>
  <c r="D111" i="8"/>
  <c r="E110" i="8"/>
  <c r="D110" i="8"/>
  <c r="E109" i="8"/>
  <c r="D109" i="8"/>
  <c r="E108" i="8"/>
  <c r="D108" i="8"/>
  <c r="E107" i="8"/>
  <c r="D107" i="8"/>
  <c r="E106" i="8"/>
  <c r="D106" i="8"/>
  <c r="E105" i="8"/>
  <c r="D105" i="8"/>
  <c r="E104" i="8"/>
  <c r="D104" i="8"/>
  <c r="E103" i="8"/>
  <c r="D103" i="8"/>
  <c r="E102" i="8"/>
  <c r="D102" i="8"/>
  <c r="E101" i="8"/>
  <c r="D101" i="8"/>
  <c r="E100" i="8"/>
  <c r="D100" i="8"/>
  <c r="E99" i="8"/>
  <c r="D99" i="8"/>
  <c r="E98" i="8"/>
  <c r="D98" i="8"/>
  <c r="E97" i="8"/>
  <c r="D97" i="8"/>
  <c r="E96" i="8"/>
  <c r="D96" i="8"/>
  <c r="E95" i="8"/>
  <c r="D95" i="8"/>
  <c r="E94" i="8"/>
  <c r="D94" i="8"/>
  <c r="E93" i="8"/>
  <c r="D93" i="8"/>
  <c r="E92" i="8"/>
  <c r="D92" i="8"/>
  <c r="E91" i="8"/>
  <c r="D91" i="8"/>
  <c r="E90" i="8"/>
  <c r="D90" i="8"/>
  <c r="E89" i="8"/>
  <c r="D89" i="8"/>
  <c r="E88" i="8"/>
  <c r="D88" i="8"/>
  <c r="E87" i="8"/>
  <c r="D87" i="8"/>
  <c r="E86" i="8"/>
  <c r="D86" i="8"/>
  <c r="E85" i="8"/>
  <c r="D85" i="8"/>
  <c r="E84" i="8"/>
  <c r="D84" i="8"/>
  <c r="E83" i="8"/>
  <c r="D83" i="8"/>
  <c r="E82" i="8"/>
  <c r="D82" i="8"/>
  <c r="E81" i="8"/>
  <c r="D81" i="8"/>
  <c r="E80" i="8"/>
  <c r="D80" i="8"/>
  <c r="E79" i="8"/>
  <c r="D79" i="8"/>
  <c r="E78" i="8"/>
  <c r="D78" i="8"/>
  <c r="E77" i="8"/>
  <c r="D77" i="8"/>
  <c r="E76" i="8"/>
  <c r="D76" i="8"/>
  <c r="E75" i="8"/>
  <c r="D75" i="8"/>
  <c r="E74" i="8"/>
  <c r="D74" i="8"/>
  <c r="E73" i="8"/>
  <c r="D73" i="8"/>
  <c r="E72" i="8"/>
  <c r="D72" i="8"/>
  <c r="E71" i="8"/>
  <c r="D71" i="8"/>
  <c r="E70" i="8"/>
  <c r="D70" i="8"/>
  <c r="E69" i="8"/>
  <c r="D69" i="8"/>
  <c r="E68" i="8"/>
  <c r="D68" i="8"/>
  <c r="E67" i="8"/>
  <c r="D67" i="8"/>
  <c r="E66" i="8"/>
  <c r="D66" i="8"/>
  <c r="E65" i="8"/>
  <c r="D65" i="8"/>
  <c r="E64" i="8"/>
  <c r="D64" i="8"/>
  <c r="E63" i="8"/>
  <c r="D63" i="8"/>
  <c r="E62" i="8"/>
  <c r="D62" i="8"/>
  <c r="E61" i="8"/>
  <c r="D61" i="8"/>
  <c r="E60" i="8"/>
  <c r="D60" i="8"/>
  <c r="E59" i="8"/>
  <c r="D59" i="8"/>
  <c r="E58" i="8"/>
  <c r="D58" i="8"/>
  <c r="E57" i="8"/>
  <c r="D57" i="8"/>
  <c r="E56" i="8"/>
  <c r="D56" i="8"/>
  <c r="E55" i="8"/>
  <c r="D55" i="8"/>
  <c r="E54" i="8"/>
  <c r="D54" i="8"/>
  <c r="E53" i="8"/>
  <c r="D53" i="8"/>
  <c r="E52" i="8"/>
  <c r="D52" i="8"/>
  <c r="E51" i="8"/>
  <c r="D51" i="8"/>
  <c r="E50" i="8"/>
  <c r="D50" i="8"/>
  <c r="E49" i="8"/>
  <c r="D49" i="8"/>
  <c r="E48" i="8"/>
  <c r="D48" i="8"/>
  <c r="E47" i="8"/>
  <c r="D47" i="8"/>
  <c r="E46" i="8"/>
  <c r="D46" i="8"/>
  <c r="E45" i="8"/>
  <c r="D45" i="8"/>
  <c r="E44" i="8"/>
  <c r="D44" i="8"/>
  <c r="E43" i="8"/>
  <c r="D43" i="8"/>
  <c r="E42" i="8"/>
  <c r="D42" i="8"/>
  <c r="E41" i="8"/>
  <c r="D41" i="8"/>
  <c r="E40" i="8"/>
  <c r="D40" i="8"/>
  <c r="E39" i="8"/>
  <c r="D39" i="8"/>
  <c r="E38" i="8"/>
  <c r="D38" i="8"/>
  <c r="E37" i="8"/>
  <c r="D37" i="8"/>
  <c r="E36" i="8"/>
  <c r="D36" i="8"/>
  <c r="E35" i="8"/>
  <c r="D35" i="8"/>
  <c r="E34" i="8"/>
  <c r="D34" i="8"/>
  <c r="E33" i="8"/>
  <c r="D33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E12" i="8"/>
  <c r="D12" i="8"/>
  <c r="E11" i="8"/>
  <c r="D11" i="8"/>
  <c r="E10" i="8"/>
  <c r="D10" i="8"/>
  <c r="E9" i="8"/>
  <c r="D9" i="8"/>
  <c r="E8" i="8"/>
  <c r="D8" i="8"/>
  <c r="E7" i="8"/>
  <c r="D7" i="8"/>
  <c r="E6" i="8"/>
  <c r="D6" i="8"/>
  <c r="E5" i="8"/>
  <c r="D5" i="8"/>
  <c r="E4" i="8"/>
  <c r="D4" i="8"/>
  <c r="G3" i="8"/>
  <c r="F3" i="8"/>
  <c r="E3" i="8"/>
  <c r="D3" i="8"/>
  <c r="F36" i="10" l="1"/>
  <c r="H33" i="10"/>
  <c r="I33" i="10"/>
  <c r="E27" i="10"/>
  <c r="E34" i="10" s="1"/>
  <c r="E10" i="10"/>
  <c r="E28" i="10"/>
  <c r="E35" i="10" s="1"/>
  <c r="E36" i="10" s="1"/>
  <c r="E16" i="10"/>
  <c r="C9" i="13"/>
  <c r="C5" i="11"/>
  <c r="E7" i="12"/>
  <c r="E6" i="11"/>
  <c r="C6" i="12"/>
  <c r="F6" i="12"/>
  <c r="B10" i="17"/>
  <c r="D28" i="10"/>
  <c r="D35" i="10" s="1"/>
  <c r="D9" i="14"/>
  <c r="D16" i="10"/>
  <c r="D27" i="10"/>
  <c r="D34" i="10" s="1"/>
  <c r="D36" i="10" s="1"/>
  <c r="D10" i="10"/>
  <c r="D7" i="12"/>
  <c r="D6" i="11"/>
  <c r="E9" i="13"/>
  <c r="E5" i="11"/>
  <c r="B16" i="10"/>
  <c r="B27" i="10"/>
  <c r="B28" i="10"/>
  <c r="B10" i="10"/>
  <c r="B26" i="9"/>
  <c r="I17" i="10"/>
  <c r="H17" i="10"/>
  <c r="E4" i="14"/>
  <c r="E9" i="14"/>
  <c r="Q14" i="15"/>
  <c r="Q10" i="15"/>
  <c r="R10" i="15" s="1"/>
  <c r="L11" i="15"/>
  <c r="L14" i="15"/>
  <c r="M14" i="15" s="1"/>
  <c r="E15" i="18"/>
  <c r="G15" i="18" s="1"/>
  <c r="I15" i="18" s="1"/>
  <c r="B6" i="9"/>
  <c r="B25" i="9" s="1"/>
  <c r="D25" i="9" s="1"/>
  <c r="H26" i="10"/>
  <c r="D3" i="13"/>
  <c r="D8" i="13" s="1"/>
  <c r="F3" i="13"/>
  <c r="F8" i="13" s="1"/>
  <c r="F4" i="14"/>
  <c r="F9" i="14"/>
  <c r="B25" i="14"/>
  <c r="N3" i="16" s="1"/>
  <c r="G10" i="15"/>
  <c r="H10" i="15" s="1"/>
  <c r="C25" i="14"/>
  <c r="Q11" i="15"/>
  <c r="C10" i="10"/>
  <c r="C9" i="14"/>
  <c r="L10" i="15"/>
  <c r="M10" i="15" s="1"/>
  <c r="Q32" i="18"/>
  <c r="P32" i="18"/>
  <c r="O32" i="18"/>
  <c r="C11" i="18"/>
  <c r="E4" i="10"/>
  <c r="I4" i="10" s="1"/>
  <c r="D4" i="14"/>
  <c r="M6" i="15"/>
  <c r="L16" i="15" s="1"/>
  <c r="Q13" i="15"/>
  <c r="R13" i="15" s="1"/>
  <c r="O30" i="18"/>
  <c r="Q30" i="18"/>
  <c r="P30" i="18"/>
  <c r="Q21" i="18"/>
  <c r="B30" i="10"/>
  <c r="D4" i="13"/>
  <c r="L12" i="15"/>
  <c r="M12" i="15" s="1"/>
  <c r="O24" i="18"/>
  <c r="H4" i="10"/>
  <c r="C16" i="10"/>
  <c r="B3" i="16"/>
  <c r="F30" i="10"/>
  <c r="B9" i="14"/>
  <c r="G12" i="15"/>
  <c r="R6" i="15"/>
  <c r="Q16" i="15" s="1"/>
  <c r="G11" i="15"/>
  <c r="H11" i="15" s="1"/>
  <c r="G14" i="15"/>
  <c r="H14" i="15" s="1"/>
  <c r="P24" i="18"/>
  <c r="B29" i="10"/>
  <c r="C4" i="14"/>
  <c r="Q12" i="15"/>
  <c r="R12" i="15" s="1"/>
  <c r="M11" i="18"/>
  <c r="J10" i="18"/>
  <c r="B17" i="18" s="1"/>
  <c r="E17" i="18" s="1"/>
  <c r="O22" i="18"/>
  <c r="O29" i="18" s="1"/>
  <c r="O31" i="18" s="1"/>
  <c r="O34" i="18" s="1"/>
  <c r="Q24" i="18"/>
  <c r="P22" i="18"/>
  <c r="O25" i="18"/>
  <c r="J11" i="18"/>
  <c r="C17" i="18" s="1"/>
  <c r="F17" i="18" s="1"/>
  <c r="O20" i="18"/>
  <c r="Q22" i="18"/>
  <c r="P25" i="18"/>
  <c r="K11" i="18"/>
  <c r="C15" i="18" s="1"/>
  <c r="F15" i="18" s="1"/>
  <c r="H15" i="18" s="1"/>
  <c r="J15" i="18" s="1"/>
  <c r="M15" i="18" s="1"/>
  <c r="P20" i="18"/>
  <c r="O23" i="18"/>
  <c r="Q25" i="18"/>
  <c r="L11" i="18"/>
  <c r="C16" i="18" s="1"/>
  <c r="P23" i="18"/>
  <c r="O21" i="18"/>
  <c r="Q23" i="18"/>
  <c r="P21" i="18"/>
  <c r="G5" i="18" l="1"/>
  <c r="F18" i="10"/>
  <c r="F28" i="14"/>
  <c r="F11" i="10" s="1"/>
  <c r="F11" i="14"/>
  <c r="F5" i="10"/>
  <c r="M11" i="15"/>
  <c r="L17" i="15" s="1"/>
  <c r="H27" i="10"/>
  <c r="B34" i="10"/>
  <c r="I27" i="10"/>
  <c r="H12" i="15"/>
  <c r="F5" i="11"/>
  <c r="F7" i="11" s="1"/>
  <c r="F9" i="13"/>
  <c r="R14" i="15"/>
  <c r="E7" i="11"/>
  <c r="D18" i="10"/>
  <c r="D28" i="14"/>
  <c r="D11" i="10" s="1"/>
  <c r="D11" i="14"/>
  <c r="D5" i="10"/>
  <c r="M13" i="15"/>
  <c r="Q29" i="18"/>
  <c r="Q31" i="18" s="1"/>
  <c r="Q34" i="18"/>
  <c r="B11" i="14"/>
  <c r="B28" i="14"/>
  <c r="B11" i="10" s="1"/>
  <c r="B18" i="10"/>
  <c r="I30" i="10"/>
  <c r="H30" i="10"/>
  <c r="R11" i="15"/>
  <c r="Q17" i="15" s="1"/>
  <c r="D9" i="13"/>
  <c r="D5" i="11"/>
  <c r="D7" i="11" s="1"/>
  <c r="E18" i="10"/>
  <c r="E5" i="10"/>
  <c r="E28" i="14"/>
  <c r="E11" i="10" s="1"/>
  <c r="E11" i="14"/>
  <c r="I17" i="18"/>
  <c r="G17" i="18"/>
  <c r="F16" i="18"/>
  <c r="H16" i="18" s="1"/>
  <c r="J16" i="18" s="1"/>
  <c r="M16" i="18" s="1"/>
  <c r="C3" i="16"/>
  <c r="B8" i="16"/>
  <c r="F6" i="11"/>
  <c r="F7" i="12"/>
  <c r="C11" i="13"/>
  <c r="C12" i="13"/>
  <c r="C28" i="14"/>
  <c r="C11" i="10" s="1"/>
  <c r="C18" i="10"/>
  <c r="C11" i="14"/>
  <c r="C5" i="10"/>
  <c r="I16" i="10"/>
  <c r="H16" i="10"/>
  <c r="J17" i="18"/>
  <c r="M17" i="18" s="1"/>
  <c r="H17" i="18"/>
  <c r="B24" i="14"/>
  <c r="N7" i="16" s="1"/>
  <c r="I29" i="10"/>
  <c r="H29" i="10"/>
  <c r="P29" i="18"/>
  <c r="P31" i="18" s="1"/>
  <c r="P34" i="18" s="1"/>
  <c r="E31" i="19"/>
  <c r="H31" i="19" s="1"/>
  <c r="L15" i="18"/>
  <c r="H10" i="10"/>
  <c r="I10" i="10"/>
  <c r="C6" i="11"/>
  <c r="C7" i="11" s="1"/>
  <c r="C7" i="12"/>
  <c r="N4" i="16"/>
  <c r="O4" i="16" s="1"/>
  <c r="C4" i="16"/>
  <c r="B35" i="10"/>
  <c r="I28" i="10"/>
  <c r="H28" i="10"/>
  <c r="H13" i="15"/>
  <c r="G17" i="15" s="1"/>
  <c r="I11" i="10" l="1"/>
  <c r="H11" i="10"/>
  <c r="C9" i="16"/>
  <c r="O8" i="16"/>
  <c r="P8" i="16" s="1"/>
  <c r="E30" i="19"/>
  <c r="H30" i="19" s="1"/>
  <c r="L17" i="18"/>
  <c r="H5" i="18"/>
  <c r="M5" i="18" s="1"/>
  <c r="F29" i="14"/>
  <c r="F12" i="10" s="1"/>
  <c r="F2" i="11"/>
  <c r="F24" i="10"/>
  <c r="F14" i="14"/>
  <c r="F6" i="10"/>
  <c r="F44" i="14"/>
  <c r="F20" i="10" s="1"/>
  <c r="F38" i="14"/>
  <c r="F45" i="14" s="1"/>
  <c r="C10" i="12"/>
  <c r="C9" i="12"/>
  <c r="I35" i="10"/>
  <c r="H35" i="10"/>
  <c r="B36" i="10"/>
  <c r="C19" i="16"/>
  <c r="C4" i="17" s="1"/>
  <c r="D4" i="16"/>
  <c r="D3" i="16" s="1"/>
  <c r="I5" i="10"/>
  <c r="H5" i="10"/>
  <c r="E38" i="14"/>
  <c r="E45" i="14" s="1"/>
  <c r="E44" i="14"/>
  <c r="E20" i="10" s="1"/>
  <c r="E29" i="14"/>
  <c r="E12" i="10" s="1"/>
  <c r="E2" i="11"/>
  <c r="E24" i="10"/>
  <c r="E14" i="14"/>
  <c r="E6" i="10"/>
  <c r="D44" i="14"/>
  <c r="D20" i="10" s="1"/>
  <c r="D38" i="14"/>
  <c r="D45" i="14" s="1"/>
  <c r="D14" i="14"/>
  <c r="D6" i="10"/>
  <c r="D29" i="14"/>
  <c r="D12" i="10" s="1"/>
  <c r="D2" i="11"/>
  <c r="D24" i="10"/>
  <c r="L5" i="18"/>
  <c r="D16" i="18" s="1"/>
  <c r="E16" i="18"/>
  <c r="G16" i="18" s="1"/>
  <c r="I16" i="18" s="1"/>
  <c r="B14" i="14"/>
  <c r="B29" i="14"/>
  <c r="B2" i="11"/>
  <c r="B24" i="10"/>
  <c r="B44" i="14"/>
  <c r="B20" i="10" s="1"/>
  <c r="B38" i="14"/>
  <c r="B45" i="14" s="1"/>
  <c r="C2" i="11"/>
  <c r="C44" i="14"/>
  <c r="C20" i="10" s="1"/>
  <c r="C38" i="14"/>
  <c r="C45" i="14" s="1"/>
  <c r="C14" i="14"/>
  <c r="C6" i="10"/>
  <c r="C29" i="14"/>
  <c r="C12" i="10" s="1"/>
  <c r="C24" i="10"/>
  <c r="B13" i="16"/>
  <c r="C8" i="16"/>
  <c r="I18" i="10"/>
  <c r="H18" i="10"/>
  <c r="I34" i="10"/>
  <c r="H34" i="10"/>
  <c r="H6" i="10" l="1"/>
  <c r="I6" i="10"/>
  <c r="D9" i="16"/>
  <c r="E9" i="16" s="1"/>
  <c r="F9" i="16" s="1"/>
  <c r="G9" i="16" s="1"/>
  <c r="H9" i="16" s="1"/>
  <c r="I9" i="16" s="1"/>
  <c r="J9" i="16" s="1"/>
  <c r="K9" i="16" s="1"/>
  <c r="L9" i="16" s="1"/>
  <c r="D30" i="14"/>
  <c r="D13" i="10" s="1"/>
  <c r="D17" i="14"/>
  <c r="D34" i="14"/>
  <c r="I24" i="10"/>
  <c r="H24" i="10"/>
  <c r="B17" i="14"/>
  <c r="B30" i="14"/>
  <c r="B13" i="10" s="1"/>
  <c r="B34" i="14"/>
  <c r="H36" i="10"/>
  <c r="I36" i="10"/>
  <c r="E32" i="19"/>
  <c r="H32" i="19" s="1"/>
  <c r="L16" i="18"/>
  <c r="H20" i="10"/>
  <c r="I20" i="10"/>
  <c r="C17" i="14"/>
  <c r="C34" i="14"/>
  <c r="C30" i="14"/>
  <c r="C13" i="10" s="1"/>
  <c r="C6" i="17"/>
  <c r="D6" i="17" s="1"/>
  <c r="E6" i="17" s="1"/>
  <c r="F6" i="17" s="1"/>
  <c r="G6" i="17" s="1"/>
  <c r="H6" i="17" s="1"/>
  <c r="I6" i="17" s="1"/>
  <c r="J6" i="17" s="1"/>
  <c r="K6" i="17" s="1"/>
  <c r="L6" i="17" s="1"/>
  <c r="N6" i="17" s="1"/>
  <c r="B12" i="10"/>
  <c r="F30" i="14"/>
  <c r="F13" i="10" s="1"/>
  <c r="F17" i="14"/>
  <c r="F34" i="14"/>
  <c r="D8" i="16"/>
  <c r="E8" i="16" s="1"/>
  <c r="F8" i="16" s="1"/>
  <c r="G8" i="16" s="1"/>
  <c r="H8" i="16" s="1"/>
  <c r="I8" i="16" s="1"/>
  <c r="J8" i="16" s="1"/>
  <c r="K8" i="16" s="1"/>
  <c r="L8" i="16" s="1"/>
  <c r="B18" i="16"/>
  <c r="E34" i="14"/>
  <c r="E30" i="14"/>
  <c r="E13" i="10" s="1"/>
  <c r="E17" i="14"/>
  <c r="D19" i="16"/>
  <c r="D4" i="17" s="1"/>
  <c r="E4" i="16"/>
  <c r="G34" i="14" l="1"/>
  <c r="B19" i="9" s="1"/>
  <c r="B20" i="9" s="1"/>
  <c r="C24" i="9" s="1"/>
  <c r="D24" i="9" s="1"/>
  <c r="D26" i="9" s="1"/>
  <c r="Q3" i="17" s="1"/>
  <c r="J5" i="11"/>
  <c r="E19" i="16"/>
  <c r="E4" i="17" s="1"/>
  <c r="F4" i="16"/>
  <c r="B38" i="10"/>
  <c r="B21" i="10"/>
  <c r="B31" i="14"/>
  <c r="B14" i="10" s="1"/>
  <c r="B40" i="10"/>
  <c r="B22" i="10"/>
  <c r="B39" i="10"/>
  <c r="B24" i="16"/>
  <c r="B28" i="16" s="1"/>
  <c r="Q2" i="17" s="1"/>
  <c r="F38" i="10"/>
  <c r="F7" i="10"/>
  <c r="F39" i="10"/>
  <c r="F21" i="10"/>
  <c r="F22" i="10"/>
  <c r="F23" i="10" s="1"/>
  <c r="F31" i="14"/>
  <c r="F14" i="10" s="1"/>
  <c r="F40" i="10"/>
  <c r="E38" i="10"/>
  <c r="E7" i="10"/>
  <c r="E39" i="10"/>
  <c r="E21" i="10"/>
  <c r="E22" i="10"/>
  <c r="E23" i="10" s="1"/>
  <c r="E31" i="14"/>
  <c r="E14" i="10" s="1"/>
  <c r="E40" i="10"/>
  <c r="C38" i="10"/>
  <c r="C21" i="10"/>
  <c r="C7" i="10"/>
  <c r="C39" i="10"/>
  <c r="C31" i="14"/>
  <c r="C14" i="10" s="1"/>
  <c r="C40" i="10"/>
  <c r="C22" i="10"/>
  <c r="C23" i="10" s="1"/>
  <c r="I13" i="10"/>
  <c r="H13" i="10"/>
  <c r="I12" i="10"/>
  <c r="H12" i="10"/>
  <c r="D31" i="14"/>
  <c r="D14" i="10" s="1"/>
  <c r="D39" i="10"/>
  <c r="D38" i="10"/>
  <c r="D7" i="10"/>
  <c r="D40" i="10"/>
  <c r="D21" i="10"/>
  <c r="D22" i="10"/>
  <c r="D23" i="10" s="1"/>
  <c r="B3" i="17"/>
  <c r="C18" i="16"/>
  <c r="E3" i="16"/>
  <c r="F3" i="16" s="1"/>
  <c r="I40" i="10" l="1"/>
  <c r="H40" i="10"/>
  <c r="G3" i="16"/>
  <c r="I38" i="10"/>
  <c r="H38" i="10"/>
  <c r="D18" i="16"/>
  <c r="C3" i="17"/>
  <c r="I7" i="10"/>
  <c r="H7" i="10"/>
  <c r="G4" i="16"/>
  <c r="F19" i="16"/>
  <c r="F4" i="17" s="1"/>
  <c r="H27" i="17"/>
  <c r="Q4" i="17"/>
  <c r="N14" i="17" s="1"/>
  <c r="N4" i="17"/>
  <c r="I14" i="10"/>
  <c r="H14" i="10"/>
  <c r="I39" i="10"/>
  <c r="H39" i="10"/>
  <c r="C3" i="11"/>
  <c r="C4" i="11" s="1"/>
  <c r="F3" i="11"/>
  <c r="F4" i="11" s="1"/>
  <c r="E3" i="11"/>
  <c r="E4" i="11" s="1"/>
  <c r="D3" i="11"/>
  <c r="D4" i="11" s="1"/>
  <c r="B3" i="11"/>
  <c r="B4" i="11" s="1"/>
  <c r="I21" i="10"/>
  <c r="H21" i="10"/>
  <c r="B23" i="10"/>
  <c r="I22" i="10"/>
  <c r="H22" i="10"/>
  <c r="E18" i="17"/>
  <c r="J18" i="17"/>
  <c r="I18" i="17"/>
  <c r="H18" i="17"/>
  <c r="G18" i="17"/>
  <c r="F18" i="17"/>
  <c r="D18" i="17"/>
  <c r="L18" i="17"/>
  <c r="C18" i="17"/>
  <c r="K24" i="17"/>
  <c r="K18" i="17"/>
  <c r="E18" i="16" l="1"/>
  <c r="D3" i="17"/>
  <c r="L24" i="17"/>
  <c r="J24" i="17"/>
  <c r="E8" i="11"/>
  <c r="E10" i="11"/>
  <c r="C5" i="17"/>
  <c r="C9" i="17"/>
  <c r="C10" i="17"/>
  <c r="C11" i="17" s="1"/>
  <c r="D8" i="11"/>
  <c r="D10" i="11"/>
  <c r="F8" i="11"/>
  <c r="F10" i="11"/>
  <c r="H28" i="17"/>
  <c r="H29" i="17" s="1"/>
  <c r="H26" i="17"/>
  <c r="H25" i="17" s="1"/>
  <c r="H3" i="16"/>
  <c r="C8" i="11"/>
  <c r="C10" i="11"/>
  <c r="I23" i="10"/>
  <c r="H23" i="10"/>
  <c r="H4" i="16"/>
  <c r="G19" i="16"/>
  <c r="G4" i="17" s="1"/>
  <c r="I3" i="16" l="1"/>
  <c r="M24" i="17"/>
  <c r="I24" i="17"/>
  <c r="B13" i="11"/>
  <c r="B12" i="11"/>
  <c r="B47" i="14" s="1"/>
  <c r="N12" i="16" s="1"/>
  <c r="C12" i="17"/>
  <c r="H19" i="16"/>
  <c r="H4" i="17" s="1"/>
  <c r="I4" i="16"/>
  <c r="C7" i="17"/>
  <c r="C8" i="17" s="1"/>
  <c r="C13" i="17" s="1"/>
  <c r="D5" i="17"/>
  <c r="D9" i="17"/>
  <c r="D10" i="17"/>
  <c r="D11" i="17" s="1"/>
  <c r="F18" i="16"/>
  <c r="E3" i="17"/>
  <c r="C14" i="17" l="1"/>
  <c r="O13" i="16"/>
  <c r="P13" i="16" s="1"/>
  <c r="C14" i="16"/>
  <c r="D12" i="17"/>
  <c r="E5" i="17"/>
  <c r="E9" i="17"/>
  <c r="E10" i="17"/>
  <c r="E11" i="17" s="1"/>
  <c r="F3" i="17"/>
  <c r="G18" i="16"/>
  <c r="D7" i="17"/>
  <c r="D8" i="17" s="1"/>
  <c r="D13" i="17" s="1"/>
  <c r="I19" i="16"/>
  <c r="I4" i="17" s="1"/>
  <c r="J4" i="16"/>
  <c r="J3" i="16"/>
  <c r="D14" i="17" l="1"/>
  <c r="D14" i="16"/>
  <c r="E14" i="16" s="1"/>
  <c r="F14" i="16" s="1"/>
  <c r="G14" i="16" s="1"/>
  <c r="H14" i="16" s="1"/>
  <c r="I14" i="16" s="1"/>
  <c r="J14" i="16" s="1"/>
  <c r="K14" i="16" s="1"/>
  <c r="L14" i="16" s="1"/>
  <c r="C13" i="16"/>
  <c r="D13" i="16" s="1"/>
  <c r="E13" i="16" s="1"/>
  <c r="F13" i="16" s="1"/>
  <c r="G13" i="16" s="1"/>
  <c r="H13" i="16" s="1"/>
  <c r="I13" i="16" s="1"/>
  <c r="J13" i="16" s="1"/>
  <c r="K13" i="16" s="1"/>
  <c r="L13" i="16" s="1"/>
  <c r="F9" i="17"/>
  <c r="F5" i="17"/>
  <c r="F10" i="17"/>
  <c r="F11" i="17" s="1"/>
  <c r="J19" i="16"/>
  <c r="J4" i="17" s="1"/>
  <c r="K4" i="16"/>
  <c r="K3" i="16" s="1"/>
  <c r="E12" i="17"/>
  <c r="E7" i="17"/>
  <c r="E8" i="17"/>
  <c r="E13" i="17" s="1"/>
  <c r="E14" i="17" s="1"/>
  <c r="G3" i="17"/>
  <c r="H18" i="16"/>
  <c r="F7" i="17" l="1"/>
  <c r="F8" i="17"/>
  <c r="F13" i="17" s="1"/>
  <c r="F14" i="17" s="1"/>
  <c r="H3" i="17"/>
  <c r="I18" i="16"/>
  <c r="G5" i="17"/>
  <c r="G9" i="17"/>
  <c r="G10" i="17"/>
  <c r="G11" i="17" s="1"/>
  <c r="F12" i="17"/>
  <c r="K19" i="16"/>
  <c r="K4" i="17" s="1"/>
  <c r="L4" i="16"/>
  <c r="L19" i="16" s="1"/>
  <c r="L4" i="17" s="1"/>
  <c r="G7" i="17" l="1"/>
  <c r="G8" i="17" s="1"/>
  <c r="G13" i="17" s="1"/>
  <c r="G14" i="17" s="1"/>
  <c r="H5" i="17"/>
  <c r="H9" i="17"/>
  <c r="H10" i="17"/>
  <c r="H11" i="17" s="1"/>
  <c r="G12" i="17"/>
  <c r="I3" i="17"/>
  <c r="J18" i="16"/>
  <c r="L3" i="16"/>
  <c r="I5" i="17" l="1"/>
  <c r="I9" i="17"/>
  <c r="I10" i="17"/>
  <c r="I11" i="17" s="1"/>
  <c r="J3" i="17"/>
  <c r="K18" i="16"/>
  <c r="H12" i="17"/>
  <c r="H7" i="17"/>
  <c r="H8" i="17" s="1"/>
  <c r="H13" i="17" s="1"/>
  <c r="H14" i="17" s="1"/>
  <c r="J5" i="17" l="1"/>
  <c r="J9" i="17"/>
  <c r="J10" i="17"/>
  <c r="J11" i="17" s="1"/>
  <c r="L18" i="16"/>
  <c r="L3" i="17" s="1"/>
  <c r="K3" i="17"/>
  <c r="I12" i="17"/>
  <c r="I7" i="17"/>
  <c r="I8" i="17" s="1"/>
  <c r="I13" i="17" s="1"/>
  <c r="I14" i="17" s="1"/>
  <c r="N3" i="17" l="1"/>
  <c r="N5" i="17" s="1"/>
  <c r="L5" i="17"/>
  <c r="L9" i="17"/>
  <c r="L10" i="17"/>
  <c r="J12" i="17"/>
  <c r="K9" i="17"/>
  <c r="K5" i="17"/>
  <c r="K10" i="17"/>
  <c r="K11" i="17" s="1"/>
  <c r="J7" i="17"/>
  <c r="J8" i="17" s="1"/>
  <c r="J13" i="17" s="1"/>
  <c r="J14" i="17" s="1"/>
  <c r="K7" i="17" l="1"/>
  <c r="K8" i="17" s="1"/>
  <c r="K13" i="17" s="1"/>
  <c r="K14" i="17" s="1"/>
  <c r="L7" i="17"/>
  <c r="L8" i="17"/>
  <c r="K12" i="17"/>
  <c r="L11" i="17"/>
  <c r="L12" i="17" s="1"/>
  <c r="N8" i="17"/>
  <c r="N7" i="17"/>
  <c r="L13" i="17" l="1"/>
  <c r="N12" i="17"/>
  <c r="N13" i="17" s="1"/>
  <c r="L14" i="17" l="1"/>
  <c r="L16" i="17"/>
  <c r="C21" i="17" s="1"/>
  <c r="L29" i="17"/>
  <c r="J26" i="17"/>
  <c r="M25" i="17"/>
  <c r="L27" i="17"/>
  <c r="I27" i="17"/>
  <c r="J28" i="17"/>
  <c r="L28" i="17"/>
  <c r="K27" i="17"/>
  <c r="J27" i="17"/>
  <c r="M28" i="17"/>
  <c r="I28" i="17"/>
  <c r="M29" i="17"/>
  <c r="I29" i="17"/>
  <c r="K28" i="17"/>
  <c r="L26" i="17"/>
  <c r="M26" i="17"/>
  <c r="M27" i="17"/>
  <c r="J25" i="17"/>
  <c r="K26" i="17"/>
  <c r="I26" i="17"/>
  <c r="K29" i="17"/>
  <c r="L25" i="17"/>
  <c r="I25" i="17"/>
  <c r="K25" i="17"/>
  <c r="J29" i="17"/>
  <c r="C20" i="17"/>
  <c r="C23" i="17" s="1"/>
  <c r="C27" i="17" s="1"/>
  <c r="C30" i="17" s="1"/>
  <c r="E33" i="19" l="1"/>
  <c r="H33" i="19" s="1"/>
  <c r="H24" i="17"/>
</calcChain>
</file>

<file path=xl/sharedStrings.xml><?xml version="1.0" encoding="utf-8"?>
<sst xmlns="http://schemas.openxmlformats.org/spreadsheetml/2006/main" count="1035" uniqueCount="674">
  <si>
    <t>About the Company  Exide Industries Limited</t>
  </si>
  <si>
    <t xml:space="preserve">  Key Subsidiaries / Group Entities</t>
  </si>
  <si>
    <t>S.No</t>
  </si>
  <si>
    <t>Company Name</t>
  </si>
  <si>
    <t>Type</t>
  </si>
  <si>
    <t>FY26 Revenue / Status</t>
  </si>
  <si>
    <t>Exide Energy Solutions Limited (EESL)</t>
  </si>
  <si>
    <t>Wholly Owned Subsidiary</t>
  </si>
  <si>
    <t>Lithium-ion cell manufacturing platform for EV and stationary storage; Bengaluru facility (cylindrical + prismatic lines) in installation &amp; validation stage; cumulative investment ₹4,802 Crore by FY26; initial commercial dispatches targeted in FY2026-27</t>
  </si>
  <si>
    <t>Chloride Metals Limited (CML)</t>
  </si>
  <si>
    <t>Lead recycling and backward integration; operates 3 recycling plants; supplied ~50% of Exide's lead requirement in FY26; strengthens supply chain resilience and circularity</t>
  </si>
  <si>
    <t>Chloride International Limited</t>
  </si>
  <si>
    <t>Subsidiary</t>
  </si>
  <si>
    <t>International business and export operations; Exide exports batteries to 70+ countries through its international marketing network</t>
  </si>
  <si>
    <t>Caldyne Automatics Limited</t>
  </si>
  <si>
    <t>Engaged in battery-related automation and ancillary manufacturing activities supporting Exide's core operations</t>
  </si>
  <si>
    <t>Exide Life Insurance Company Limited</t>
  </si>
  <si>
    <t>Former Subsidiary (Divested)</t>
  </si>
  <si>
    <t>Insurance business divested in an earlier period; no longer part of the Group as of FY26</t>
  </si>
  <si>
    <t>Associated Battery Manufacturers (Ceylon) Limited</t>
  </si>
  <si>
    <t>Overseas Associate</t>
  </si>
  <si>
    <t>Overseas technical collaboration entity; Exide has 5 overseas technical collaborations as of FY26</t>
  </si>
  <si>
    <t>Key Group Entities (as on 31st March 2026)</t>
  </si>
  <si>
    <t>2 Material Subsidiaries (EESL, CML) | 5 Overseas Technical Collaborations</t>
  </si>
  <si>
    <t xml:space="preserve">  Registered Office</t>
  </si>
  <si>
    <t>Exide House, 59E Chowringhee Road, Kolkata – 700 020, India</t>
  </si>
  <si>
    <t>CIN: L31402WB1947PLC014919  |  Phone: (033) 2302 3400 / 2283 2118</t>
  </si>
  <si>
    <t>Website: www.exideindustries.com  |  Email: cosec@exide.co.in</t>
  </si>
  <si>
    <t xml:space="preserve">  Operational Footprint</t>
  </si>
  <si>
    <t>Entity</t>
  </si>
  <si>
    <t>Metric</t>
  </si>
  <si>
    <t>Value</t>
  </si>
  <si>
    <t>Details</t>
  </si>
  <si>
    <t>Exide Group</t>
  </si>
  <si>
    <t>Revenue (Standalone, FY26)</t>
  </si>
  <si>
    <t>₹17,269 Crore</t>
  </si>
  <si>
    <t>Standalone revenue for FY 2025-26</t>
  </si>
  <si>
    <t>EBITDA Margin</t>
  </si>
  <si>
    <t>11.3%</t>
  </si>
  <si>
    <t>Standalone EBITDA margin for FY26</t>
  </si>
  <si>
    <t>PAT (Standalone)</t>
  </si>
  <si>
    <t>₹1,111 Crore</t>
  </si>
  <si>
    <t>Profit After Tax for FY 2025-26</t>
  </si>
  <si>
    <t>Balance Sheet</t>
  </si>
  <si>
    <t>Zero-Debt</t>
  </si>
  <si>
    <t>Debt-free balance sheet as at March 31, 2026</t>
  </si>
  <si>
    <t>Market Capitalisation</t>
  </si>
  <si>
    <t>~₹33,341 Crore</t>
  </si>
  <si>
    <t>As on 1st June 2026</t>
  </si>
  <si>
    <t>Credit Rating (Long-Term)</t>
  </si>
  <si>
    <t>AAA (Stable)</t>
  </si>
  <si>
    <t>Rated by ICRA; Short-Term Rating: A1+</t>
  </si>
  <si>
    <t>Manufacturing Plants</t>
  </si>
  <si>
    <t>13^</t>
  </si>
  <si>
    <t>11 Exide plants + 2 EESL plants (excludes 3 CML plants)</t>
  </si>
  <si>
    <t>Automotive Battery Capacity</t>
  </si>
  <si>
    <t>66 Mn units</t>
  </si>
  <si>
    <t>Standalone manufacturing capacity</t>
  </si>
  <si>
    <t>Non-Auto &amp; Stationary Capacity</t>
  </si>
  <si>
    <t>7.6 Bn Ah</t>
  </si>
  <si>
    <t>Industrial and infrastructure battery capacity</t>
  </si>
  <si>
    <t>Channel Partners</t>
  </si>
  <si>
    <t>1,20,000+</t>
  </si>
  <si>
    <t>Pan-India distribution network</t>
  </si>
  <si>
    <t>Countries of Export</t>
  </si>
  <si>
    <t>70+</t>
  </si>
  <si>
    <t>International markets served</t>
  </si>
  <si>
    <t>Recycled Lead Used in Products</t>
  </si>
  <si>
    <t>~79%</t>
  </si>
  <si>
    <t>Circularity metric — recycled lead &amp; lead alloys</t>
  </si>
  <si>
    <t>Renewable Energy Mix</t>
  </si>
  <si>
    <t>24%+</t>
  </si>
  <si>
    <t>Renewable energy as % of total energy consumption</t>
  </si>
  <si>
    <t>Stock Exchanges</t>
  </si>
  <si>
    <t>BSE &amp; NSE</t>
  </si>
  <si>
    <t>BSE Code: 500086 | NSE Symbol: EXIDEIND</t>
  </si>
  <si>
    <t>Statutory Auditors</t>
  </si>
  <si>
    <t>B S R &amp; Co. LLP</t>
  </si>
  <si>
    <t>Chartered Accountants, Salt Lake, Kolkata 700 091</t>
  </si>
  <si>
    <t>Registrar &amp; Transfer Agent</t>
  </si>
  <si>
    <t>MUFG Intime India Pvt. Ltd.</t>
  </si>
  <si>
    <t>Rasoi Court, 5th Floor, 20 Sir R N Mukherjee Road, Kolkata – 700 001</t>
  </si>
  <si>
    <t xml:space="preserve">  Board of Directors</t>
  </si>
  <si>
    <t>Name</t>
  </si>
  <si>
    <t>Designation</t>
  </si>
  <si>
    <t>Mr. Sridhar Gorthi</t>
  </si>
  <si>
    <t>Chairman &amp; Independent Director</t>
  </si>
  <si>
    <t>Mr. Rajan B Raheja</t>
  </si>
  <si>
    <t>Vice-Chairman &amp; Non-Executive Non-Independent Director</t>
  </si>
  <si>
    <t>Mr. Avik Roy</t>
  </si>
  <si>
    <t>Managing Director &amp; Chief Executive Officer</t>
  </si>
  <si>
    <t>Mr. Surin Kapadia</t>
  </si>
  <si>
    <t>Independent Director</t>
  </si>
  <si>
    <t>Ms. Radhika Rajan</t>
  </si>
  <si>
    <t>Mr. Jaidit Brar</t>
  </si>
  <si>
    <t>Mr. Manoj Agarwal</t>
  </si>
  <si>
    <t>Director – Finance &amp; Chief Financial Officer</t>
  </si>
  <si>
    <t>Mr. Rajeev Khandelwal</t>
  </si>
  <si>
    <t>Executive Director</t>
  </si>
  <si>
    <t>Mr. Pravin Saraf</t>
  </si>
  <si>
    <t>Executive Director &amp; Managing Director &amp; CEO, EESL</t>
  </si>
  <si>
    <t>Mr. Jitendra Kumar</t>
  </si>
  <si>
    <t>Company Secretary &amp; President – Legal &amp; Corporate Affairs</t>
  </si>
  <si>
    <t>EXIDE INDUSTRIES LIMITED</t>
  </si>
  <si>
    <t>Shareholding Pattern – Promoter &amp; Promoter Group  |  As at March 31, 2026</t>
  </si>
  <si>
    <t xml:space="preserve">  (A)  PROMOTER &amp; PROMOTER GROUP SHAREHOLDING</t>
  </si>
  <si>
    <t>Category of Shareholder</t>
  </si>
  <si>
    <t>Entity Type</t>
  </si>
  <si>
    <t>No. of Shareholders</t>
  </si>
  <si>
    <t>No. of Fully Paid-up
Equity Shares Held</t>
  </si>
  <si>
    <t>Total No. of
Shares Held</t>
  </si>
  <si>
    <t>% of Total Shares
(SCRR, 1957)</t>
  </si>
  <si>
    <t>Voting Rights Held in Each Class of Securities</t>
  </si>
  <si>
    <t>Total Shares –
Fully Diluted Basis</t>
  </si>
  <si>
    <t>% – Fully
Diluted Basis</t>
  </si>
  <si>
    <t>No. of Shares in
Demat Form</t>
  </si>
  <si>
    <t>Class X</t>
  </si>
  <si>
    <t>Total</t>
  </si>
  <si>
    <t>A3) Indian</t>
  </si>
  <si>
    <t>A4) Foreign</t>
  </si>
  <si>
    <t>Individuals (NonResident Individuals/ Foreign Individuals)</t>
  </si>
  <si>
    <t>Chloride Eastern Limited</t>
  </si>
  <si>
    <t>Promoter</t>
  </si>
  <si>
    <t>Sub Total A2</t>
  </si>
  <si>
    <t>A=A1+A2</t>
  </si>
  <si>
    <t>Shareholding Pattern – Public Shareholders  |  As at March 31, 2026</t>
  </si>
  <si>
    <t>Category &amp; Name of Shareholder</t>
  </si>
  <si>
    <t>No. of
Shareholders</t>
  </si>
  <si>
    <t>No. of
Voting Rights</t>
  </si>
  <si>
    <t>Voting
Rights (%)</t>
  </si>
  <si>
    <t>No. of Shares
in Demat Form</t>
  </si>
  <si>
    <t>Sub-categorization of Shares</t>
  </si>
  <si>
    <t>Sub-Category I</t>
  </si>
  <si>
    <t>Sub-Category II</t>
  </si>
  <si>
    <t>Sub-Category III</t>
  </si>
  <si>
    <t>Institutions</t>
  </si>
  <si>
    <t>B2) Institutions (Domestic)</t>
  </si>
  <si>
    <t>Mutual Funds/</t>
  </si>
  <si>
    <t>-</t>
  </si>
  <si>
    <t>Bandhan Large &amp; Mid Cap Fund</t>
  </si>
  <si>
    <t>Aditya Birla Sun Life Trustee Private Limited A/C Aditya Birla Sun Life Flexi Cap Fund</t>
  </si>
  <si>
    <t>Venture Capital Funds</t>
  </si>
  <si>
    <t>Alternate Investment Funds</t>
  </si>
  <si>
    <t>Banks</t>
  </si>
  <si>
    <t>Insurance Companies</t>
  </si>
  <si>
    <t>Life Insurance Corporation Of India</t>
  </si>
  <si>
    <t>Provident Funds/ Pension Funds</t>
  </si>
  <si>
    <t>Asset reconstruction companies</t>
  </si>
  <si>
    <t>Sovereign Wealth Funds</t>
  </si>
  <si>
    <t>NBFCs registered with RBI</t>
  </si>
  <si>
    <t>Other Financial Institutions</t>
  </si>
  <si>
    <t>Any Other(Institutions (Domestic))</t>
  </si>
  <si>
    <t>Sub Total B1</t>
  </si>
  <si>
    <t>B18) Institutions (Foreign)</t>
  </si>
  <si>
    <t>Foreign Direct Investment</t>
  </si>
  <si>
    <t>Foreign Venture Capital Investors</t>
  </si>
  <si>
    <t>Foreign Portfolio Investors Category I</t>
  </si>
  <si>
    <t>Government Pension Fund Global</t>
  </si>
  <si>
    <t>Foreign Portfolio Investors Category II</t>
  </si>
  <si>
    <t>Overseas Depositories (holding DRs) (balancing figure)</t>
  </si>
  <si>
    <t>Any Other(Institutions (Foreign))</t>
  </si>
  <si>
    <t>Citibank N.A.</t>
  </si>
  <si>
    <t>Sub Total B2</t>
  </si>
  <si>
    <t>B29) Central Government/ State Government(s)/ President of India</t>
  </si>
  <si>
    <t>Central Government / President of India</t>
  </si>
  <si>
    <t>State Government / Governor</t>
  </si>
  <si>
    <t>Shareholding by Companies or Bodies Corporate where Central / State Government is a promoter</t>
  </si>
  <si>
    <t>Sub Total B3</t>
  </si>
  <si>
    <t>B34) Non-Institutions</t>
  </si>
  <si>
    <t>Associate companies / Subsidiaries</t>
  </si>
  <si>
    <t>Directors and their relatives (excluding independent directors and nominee directors)</t>
  </si>
  <si>
    <t>Key Managerial Personnel</t>
  </si>
  <si>
    <t>Relatives of promoters (other than 'immediate relatives' of promoters disclosed under 'Promoter and Promoter Group' category)</t>
  </si>
  <si>
    <t>Trusts where any person belonging to 'Promoter and Promoter Group' category is 'trustee', 'beneficiary', or 'author of the trust'</t>
  </si>
  <si>
    <t>Investor Education and Protection Fund (IEPF)</t>
  </si>
  <si>
    <t>Resident Individuals holding nominal share capital up to Rs. 2 lakhs</t>
  </si>
  <si>
    <t>Resident Individuals holding nominal share capital in excess of Rs. 2 lakhs</t>
  </si>
  <si>
    <t>Non Resident Indians (NRIs)</t>
  </si>
  <si>
    <t>Foreign Nationals</t>
  </si>
  <si>
    <t>Foreign Companies</t>
  </si>
  <si>
    <t>Bodies Corporate</t>
  </si>
  <si>
    <t>Hathway Investments Private Limited</t>
  </si>
  <si>
    <t>Any Other (specify)</t>
  </si>
  <si>
    <t>Trusts</t>
  </si>
  <si>
    <t>Unclaimed or Suspense or Escrow Account</t>
  </si>
  <si>
    <t>LLP</t>
  </si>
  <si>
    <t>HUF</t>
  </si>
  <si>
    <t>Clearing Members</t>
  </si>
  <si>
    <t>Sub Total B4</t>
  </si>
  <si>
    <t>B=B1+B2+B3+B4</t>
  </si>
  <si>
    <t>EXIDE INDUSTRIES LIMITED — Consolidated Profit &amp; Loss Account</t>
  </si>
  <si>
    <t>(₹ in Crores)</t>
  </si>
  <si>
    <t>Particulars</t>
  </si>
  <si>
    <t>Mar 22
12 mths</t>
  </si>
  <si>
    <t>Mar 23
12 mths</t>
  </si>
  <si>
    <t>Mar 24
12 mths</t>
  </si>
  <si>
    <t>Mar 25
12 mths</t>
  </si>
  <si>
    <t>Mar 26
12 mths</t>
  </si>
  <si>
    <t>INCOME</t>
  </si>
  <si>
    <t>Revenue From Operations [Gross]</t>
  </si>
  <si>
    <t>Revenue From Operations [Net]</t>
  </si>
  <si>
    <t>Other Operating Revenues</t>
  </si>
  <si>
    <t>Total Operating Revenues</t>
  </si>
  <si>
    <t>Other Income</t>
  </si>
  <si>
    <t>Total Revenue</t>
  </si>
  <si>
    <t>EXPENSES</t>
  </si>
  <si>
    <t>Cost Of Materials Consumed</t>
  </si>
  <si>
    <t>Purchase Of Stock-In Trade</t>
  </si>
  <si>
    <t>Changes In Inventories Of FG, WIP And Stock-In Trade</t>
  </si>
  <si>
    <t>Employee Benefit Expenses</t>
  </si>
  <si>
    <t>Finance Costs</t>
  </si>
  <si>
    <t>Depreciation And Amortisation Expenses</t>
  </si>
  <si>
    <t>Other Expenses</t>
  </si>
  <si>
    <t>Total Expenses</t>
  </si>
  <si>
    <t>PROFIT / LOSS</t>
  </si>
  <si>
    <t>Profit/Loss Before Exceptional, ExtraOrdinary Items And Tax</t>
  </si>
  <si>
    <t>Exceptional Items</t>
  </si>
  <si>
    <t>Profit/Loss Before Tax</t>
  </si>
  <si>
    <t>TAX EXPENSES — CONTINUED OPERATIONS</t>
  </si>
  <si>
    <t>Current Tax</t>
  </si>
  <si>
    <t>Deferred Tax</t>
  </si>
  <si>
    <t>Total Tax Expenses</t>
  </si>
  <si>
    <t>Profit/Loss After Tax And Before ExtraOrdinary Items</t>
  </si>
  <si>
    <t>Profit/Loss From Continuing Operations</t>
  </si>
  <si>
    <t>Profit Loss From Discontinuing Operations</t>
  </si>
  <si>
    <t>Total Tax Expenses Discontinuing Operations</t>
  </si>
  <si>
    <t>Net Profit Loss From Discontinuing Operations</t>
  </si>
  <si>
    <t>Profit/Loss For The Period</t>
  </si>
  <si>
    <t>Minority Interest</t>
  </si>
  <si>
    <t>Share Of Profit/Loss Of Associates</t>
  </si>
  <si>
    <t>Consolidated Profit/Loss After MI And Associates</t>
  </si>
  <si>
    <t>EARNINGS PER SHARE</t>
  </si>
  <si>
    <t>Basic EPS (₹)</t>
  </si>
  <si>
    <t>Diluted EPS (₹)</t>
  </si>
  <si>
    <t>DIVIDEND</t>
  </si>
  <si>
    <t>Equity Share Dividend (₹ Cr.)</t>
  </si>
  <si>
    <t>EXIDE INDUSTRIES LIMITED — Consolidated Balance Sheet</t>
  </si>
  <si>
    <t>EQUITIES AND LIABILITIES</t>
  </si>
  <si>
    <t>SHAREHOLDER'S FUNDS</t>
  </si>
  <si>
    <t>Equity Share Capital</t>
  </si>
  <si>
    <t>Total Share Capital</t>
  </si>
  <si>
    <t>Reserves and Surplus</t>
  </si>
  <si>
    <t>Total Reserves and Surplus</t>
  </si>
  <si>
    <t>Total Shareholders Funds</t>
  </si>
  <si>
    <t>NON-CURRENT LIABILITIES</t>
  </si>
  <si>
    <t>Long Term Borrowings</t>
  </si>
  <si>
    <t>Deferred Tax Liabilities [Net]</t>
  </si>
  <si>
    <t>Other Long Term Liabilities</t>
  </si>
  <si>
    <t>Long Term Provisions</t>
  </si>
  <si>
    <t>Total Non-Current Liabilities</t>
  </si>
  <si>
    <t>CURRENT LIABILITIES</t>
  </si>
  <si>
    <t>Short Term Borrowings</t>
  </si>
  <si>
    <t>Trade Payables</t>
  </si>
  <si>
    <t>Other Current Liabilities</t>
  </si>
  <si>
    <t>Short Term Provisions</t>
  </si>
  <si>
    <t>Total Current Liabilities</t>
  </si>
  <si>
    <t>Total Capital And Liabilities</t>
  </si>
  <si>
    <t>ASSETS</t>
  </si>
  <si>
    <t>NON-CURRENT ASSETS</t>
  </si>
  <si>
    <t>Tangible Assets</t>
  </si>
  <si>
    <t>Intangible Assets</t>
  </si>
  <si>
    <t>Capital Work-In-Progress</t>
  </si>
  <si>
    <t>Intangible Assets Under Development</t>
  </si>
  <si>
    <t>Fixed Assets</t>
  </si>
  <si>
    <t>Non-Current Investments</t>
  </si>
  <si>
    <t>Deferred Tax Assets [Net]</t>
  </si>
  <si>
    <t>Long Term Loans And Advances</t>
  </si>
  <si>
    <t>Other Non-Current Assets</t>
  </si>
  <si>
    <t>Total Non-Current Assets</t>
  </si>
  <si>
    <t>CURRENT ASSETS</t>
  </si>
  <si>
    <t>Current Investments</t>
  </si>
  <si>
    <t>Inventories</t>
  </si>
  <si>
    <t>Trade Receivables</t>
  </si>
  <si>
    <t>Cash And Cash Equivalents</t>
  </si>
  <si>
    <t>Short Term Loans And Advances</t>
  </si>
  <si>
    <t>Other Current Assets</t>
  </si>
  <si>
    <t>Total Current Assets</t>
  </si>
  <si>
    <t>Total Assets</t>
  </si>
  <si>
    <t>OTHER ADDITIONAL INFORMATION</t>
  </si>
  <si>
    <t>CONTINGENT LIABILITIES &amp; COMMITMENTS</t>
  </si>
  <si>
    <t>Contingent Liabilities</t>
  </si>
  <si>
    <t>BONUS DETAILS</t>
  </si>
  <si>
    <t>Bonus Equity Share Capital</t>
  </si>
  <si>
    <t>NON-CURRENT INVESTMENTS</t>
  </si>
  <si>
    <t>Non-Current Investments Quoted Market Value</t>
  </si>
  <si>
    <t>Non-Current Investments Unquoted Book Value</t>
  </si>
  <si>
    <t>CURRENT INVESTMENTS</t>
  </si>
  <si>
    <t>Current Investments Unquoted Book Value</t>
  </si>
  <si>
    <t>EXIDE INDUSTRIES LIMITED — Consolidated Cash Flow Statement</t>
  </si>
  <si>
    <t>CASH FLOW STATEMENT</t>
  </si>
  <si>
    <t>Net Profit Before Tax</t>
  </si>
  <si>
    <t>Net Cash From Operating Activities</t>
  </si>
  <si>
    <t>Net Cash (used in)/from Investing Activities</t>
  </si>
  <si>
    <t>Net Cash (used in)/from Financing Activities</t>
  </si>
  <si>
    <t>Net (decrease)/increase In Cash and Cash Equivalents</t>
  </si>
  <si>
    <t>Opening Cash &amp; Cash Equivalents</t>
  </si>
  <si>
    <t>Closing Cash &amp; Cash Equivalents</t>
  </si>
  <si>
    <t xml:space="preserve"> Consolidated Quarterly Results  (Rs. Crores)</t>
  </si>
  <si>
    <t>Quarter ended</t>
  </si>
  <si>
    <t>Years</t>
  </si>
  <si>
    <t>% CHANGE</t>
  </si>
  <si>
    <t>QTQ</t>
  </si>
  <si>
    <t>YOY</t>
  </si>
  <si>
    <t>Net Sales</t>
  </si>
  <si>
    <t>12.7%</t>
  </si>
  <si>
    <t>4.4%</t>
  </si>
  <si>
    <t>Total Income</t>
  </si>
  <si>
    <t>12.4%</t>
  </si>
  <si>
    <t>4.3%</t>
  </si>
  <si>
    <t>Expenditure</t>
  </si>
  <si>
    <t>-12.5%</t>
  </si>
  <si>
    <t>-4.1%</t>
  </si>
  <si>
    <t>Cost of Materials Consumed</t>
  </si>
  <si>
    <t>Changes in Inventories of FG, WIP &amp; Stock-in-Trade</t>
  </si>
  <si>
    <t>Purchases of Stock-in-Trade</t>
  </si>
  <si>
    <t>Depreciation and Amortisation Expenses</t>
  </si>
  <si>
    <t>Profit Before Tax (Before Exceptional Items)</t>
  </si>
  <si>
    <t>15.9%</t>
  </si>
  <si>
    <t>6.2%</t>
  </si>
  <si>
    <t>Tax</t>
  </si>
  <si>
    <t>Net Profit from Ordinary Activities after Tax</t>
  </si>
  <si>
    <t>Net Profit</t>
  </si>
  <si>
    <t>11.2%</t>
  </si>
  <si>
    <t>7.4%</t>
  </si>
  <si>
    <t>Share of Profit &amp; Loss of Associates</t>
  </si>
  <si>
    <t>Net Profit after Minority Interest &amp; Share of P&amp;L</t>
  </si>
  <si>
    <t>Any Other</t>
  </si>
  <si>
    <t>Income Attributable to Consolidated Group</t>
  </si>
  <si>
    <t>EPS after Extraordinary Items (in Rs.)</t>
  </si>
  <si>
    <t>Exceptional Item</t>
  </si>
  <si>
    <t>Profit after Interest but before Exceptional Items</t>
  </si>
  <si>
    <t>Net Profit from Continuing Operations</t>
  </si>
  <si>
    <t>Profit/(Loss) from Discontinuing Operations (before Tax)</t>
  </si>
  <si>
    <t>Tax Expense of Discontinuing Operations</t>
  </si>
  <si>
    <t>Net Profit/(Loss) from Discontinuing Operations after Tax</t>
  </si>
  <si>
    <t>Other Comprehensive Income Net of Taxes</t>
  </si>
  <si>
    <t>Any Other Comprehensive Item</t>
  </si>
  <si>
    <t>Total Comprehensive Income for the Period</t>
  </si>
  <si>
    <t>-750.7%</t>
  </si>
  <si>
    <t>-86.1%</t>
  </si>
  <si>
    <t>Items that will not be reclassified to P&amp;L</t>
  </si>
  <si>
    <t>Tax on items not reclassified to P&amp;L</t>
  </si>
  <si>
    <t>Items that will be reclassified to P&amp;L</t>
  </si>
  <si>
    <t>Tax on items reclassified to P&amp;L</t>
  </si>
  <si>
    <t>Net movement in regulatory deferral account balances</t>
  </si>
  <si>
    <t>Share of Profit/(Loss) of Associates and JVs</t>
  </si>
  <si>
    <t>Basic EPS for Continuing Operations</t>
  </si>
  <si>
    <t>Diluted EPS for Continuing Operations</t>
  </si>
  <si>
    <t>Basic EPS (Discontinued &amp; Continuing Operations)</t>
  </si>
  <si>
    <t>Diluted EPS (Discontinued &amp; Continuing Operations)</t>
  </si>
  <si>
    <t>Date</t>
  </si>
  <si>
    <t>Nifty50_Close</t>
  </si>
  <si>
    <t>Exide_Close</t>
  </si>
  <si>
    <t>Rm exide</t>
  </si>
  <si>
    <t>Rm nifty50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</si>
  <si>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</si>
  <si>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</si>
  <si>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</si>
  <si>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</si>
  <si>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</si>
  <si>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</si>
  <si>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</si>
  <si>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</si>
  <si>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</si>
  <si>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</si>
  <si>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</si>
  <si>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</si>
  <si>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</si>
  <si>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</si>
  <si>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</si>
  <si>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</si>
  <si>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</si>
  <si>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</si>
  <si>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</si>
  <si>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</si>
  <si>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</si>
  <si>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</si>
  <si>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</si>
  <si>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</si>
  <si>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Capital Structure</t>
  </si>
  <si>
    <t>Total Debt</t>
  </si>
  <si>
    <t>Total Equity</t>
  </si>
  <si>
    <t>CMP (₹) — Current Market Price (Input)</t>
  </si>
  <si>
    <t>Total Mix (Debt + Equity)</t>
  </si>
  <si>
    <t>% of Debt</t>
  </si>
  <si>
    <t>% of Equity</t>
  </si>
  <si>
    <t>Debt to Equity</t>
  </si>
  <si>
    <t>Cost of Equity (CAPM)</t>
  </si>
  <si>
    <t>Risk-free Rate (Rf)</t>
  </si>
  <si>
    <t>Source: RBI 10-year Government Securities yield (FY2025)</t>
  </si>
  <si>
    <t>Beta (β)</t>
  </si>
  <si>
    <t>Market Risk Premium (Rm - Rf)</t>
  </si>
  <si>
    <t>Source: India Equity Risk Premium (Damodaran estimate)</t>
  </si>
  <si>
    <t>Cost of Equity [Ke = Rf + β×(Rm-Rf)]</t>
  </si>
  <si>
    <t>Cost of Debt</t>
  </si>
  <si>
    <t>Finance Cost (FY2025)</t>
  </si>
  <si>
    <t>Total Debt (FY2025)</t>
  </si>
  <si>
    <t>Pre-tax Cost of Debt [Kd = FC/Debt]</t>
  </si>
  <si>
    <t>Tax Rate</t>
  </si>
  <si>
    <t>Post-tax Cost of Debt [Kd*(1-T)]</t>
  </si>
  <si>
    <t>WACC</t>
  </si>
  <si>
    <t>Source</t>
  </si>
  <si>
    <t>Weight</t>
  </si>
  <si>
    <t>Cost</t>
  </si>
  <si>
    <t>Weighted Cost</t>
  </si>
  <si>
    <t>Debt</t>
  </si>
  <si>
    <t>Equity</t>
  </si>
  <si>
    <t>wacc = we*ke+wd*kd</t>
  </si>
  <si>
    <t>Ratio Analysis- Exide Industries Ltd</t>
  </si>
  <si>
    <t>Trends</t>
  </si>
  <si>
    <t>Mean</t>
  </si>
  <si>
    <t>Median</t>
  </si>
  <si>
    <t>Sales Growth</t>
  </si>
  <si>
    <t>EBITDA Growth</t>
  </si>
  <si>
    <t>EBIT Growth</t>
  </si>
  <si>
    <t>Net Profit Growth</t>
  </si>
  <si>
    <t xml:space="preserve">Dividend Growth </t>
  </si>
  <si>
    <t>Gross Margin</t>
  </si>
  <si>
    <t>EBIT Margin</t>
  </si>
  <si>
    <t>EBT Margin</t>
  </si>
  <si>
    <t>Net Profit Margin</t>
  </si>
  <si>
    <t>Sales Expenses%Sales</t>
  </si>
  <si>
    <t>Depriciation%Sales</t>
  </si>
  <si>
    <t>Operating Income%Sales</t>
  </si>
  <si>
    <t xml:space="preserve">Return on Capital Employed </t>
  </si>
  <si>
    <t>Retained Earning %</t>
  </si>
  <si>
    <t>Return on Equity %</t>
  </si>
  <si>
    <t xml:space="preserve">Self Sustained Growth Rate </t>
  </si>
  <si>
    <t xml:space="preserve">Interest Coverage Ratio </t>
  </si>
  <si>
    <t>Debtor Turnover Ratio</t>
  </si>
  <si>
    <t>Creditor Turnover Ratio</t>
  </si>
  <si>
    <t>Inventory Turnover</t>
  </si>
  <si>
    <t>Fixed Asset Turnover</t>
  </si>
  <si>
    <t>Capital Turnover Ratio</t>
  </si>
  <si>
    <t>(In days)</t>
  </si>
  <si>
    <t>Debtors Day</t>
  </si>
  <si>
    <t>Payable Days</t>
  </si>
  <si>
    <t>Inventory Days</t>
  </si>
  <si>
    <t>Cash Conversion Cycle</t>
  </si>
  <si>
    <t>CFO/Sales</t>
  </si>
  <si>
    <t>CFO/Total Assets</t>
  </si>
  <si>
    <t>CFO/Total Debt</t>
  </si>
  <si>
    <t xml:space="preserve">Particular </t>
  </si>
  <si>
    <t>EBIT</t>
  </si>
  <si>
    <t>Less: Tax on EBIT</t>
  </si>
  <si>
    <t>EBIT * (1- Tax) NOPAT</t>
  </si>
  <si>
    <t xml:space="preserve">Less: Net Capital expenditure </t>
  </si>
  <si>
    <t>Avg of effective tax rate</t>
  </si>
  <si>
    <t xml:space="preserve">Less: Net Change in working Capital </t>
  </si>
  <si>
    <t>Reinvestment</t>
  </si>
  <si>
    <t>Free Cash Flow</t>
  </si>
  <si>
    <t>Marginal tax rate</t>
  </si>
  <si>
    <t xml:space="preserve">Reinvestment Rate </t>
  </si>
  <si>
    <t xml:space="preserve">Median Reinvestment rate   /Sales percentage </t>
  </si>
  <si>
    <t xml:space="preserve">Average Reinvestment rate   /Sales percentage </t>
  </si>
  <si>
    <t xml:space="preserve">Inventory </t>
  </si>
  <si>
    <t xml:space="preserve">Trade Receivables </t>
  </si>
  <si>
    <t>Trade Payable</t>
  </si>
  <si>
    <t xml:space="preserve">Non Cash working Capital </t>
  </si>
  <si>
    <t xml:space="preserve">Change in Working Capital </t>
  </si>
  <si>
    <t xml:space="preserve">change in working Capital /percentage of sales </t>
  </si>
  <si>
    <t xml:space="preserve">Median Non Cash working Capital  /Sales percentage </t>
  </si>
  <si>
    <t xml:space="preserve">Average  Non Cash working Capital  /Sales percentage </t>
  </si>
  <si>
    <t xml:space="preserve">Beginning balance </t>
  </si>
  <si>
    <t xml:space="preserve">Add: Net Purchases </t>
  </si>
  <si>
    <t xml:space="preserve">Total Fixed Assets </t>
  </si>
  <si>
    <t xml:space="preserve">Less: Depreciation </t>
  </si>
  <si>
    <t xml:space="preserve">Closing Balance(Fixed Asests ) </t>
  </si>
  <si>
    <t xml:space="preserve">Net Capital expenditure </t>
  </si>
  <si>
    <t xml:space="preserve">Net Capital expenditure / Sales percentage </t>
  </si>
  <si>
    <t xml:space="preserve">Median Capital expenditure /Sales percentage </t>
  </si>
  <si>
    <t xml:space="preserve">Average  Capital expenditure /Sales percentage </t>
  </si>
  <si>
    <t>Exide Industries Ltd</t>
  </si>
  <si>
    <t>Particulars (in RS Cr.)</t>
  </si>
  <si>
    <t>Mar 22</t>
  </si>
  <si>
    <t>Mar 23</t>
  </si>
  <si>
    <t>Mar 24</t>
  </si>
  <si>
    <t>Revenue from operations</t>
  </si>
  <si>
    <t>Revenue growth in %</t>
  </si>
  <si>
    <t>Less: Material cost</t>
  </si>
  <si>
    <t>Less: Employee costs</t>
  </si>
  <si>
    <t>Less: Other Expenses</t>
  </si>
  <si>
    <t>EBITDA</t>
  </si>
  <si>
    <t>Less: Depreciation And Amortization</t>
  </si>
  <si>
    <t xml:space="preserve">EBIT </t>
  </si>
  <si>
    <t>ADD: Non operating  income/ Other Income</t>
  </si>
  <si>
    <t xml:space="preserve">Less: Interest Expenses </t>
  </si>
  <si>
    <t>EBT</t>
  </si>
  <si>
    <t>Less: TAX</t>
  </si>
  <si>
    <t>Less:Non Controlling Interest/Minority Interest</t>
  </si>
  <si>
    <t>Net Profit- Pat</t>
  </si>
  <si>
    <t>Historical Growth</t>
  </si>
  <si>
    <t>Average Growth</t>
  </si>
  <si>
    <t>CAGR</t>
  </si>
  <si>
    <t>RRI</t>
  </si>
  <si>
    <t>Margins</t>
  </si>
  <si>
    <t>Net Proftt</t>
  </si>
  <si>
    <t>Effective tax rate</t>
  </si>
  <si>
    <t>Marginal Tax rate</t>
  </si>
  <si>
    <t>Return On Capital</t>
  </si>
  <si>
    <t>EBIT*(1-T)</t>
  </si>
  <si>
    <t>Book Equity</t>
  </si>
  <si>
    <t>Book Debt</t>
  </si>
  <si>
    <t>Cash and Cash equivalents</t>
  </si>
  <si>
    <t>Capital Employed</t>
  </si>
  <si>
    <t>Pre-Tax Return on capital</t>
  </si>
  <si>
    <t>Post Tax return On capital</t>
  </si>
  <si>
    <t>Growth In EBIT</t>
  </si>
  <si>
    <t>Sales Forecasting</t>
  </si>
  <si>
    <t>EBITDA Forecasting</t>
  </si>
  <si>
    <t>Earning per share Forecasting</t>
  </si>
  <si>
    <t>Year Weight</t>
  </si>
  <si>
    <t>Year</t>
  </si>
  <si>
    <t>Sales</t>
  </si>
  <si>
    <t>EPS</t>
  </si>
  <si>
    <t>EPS Growth</t>
  </si>
  <si>
    <t>Historical Avg Growth</t>
  </si>
  <si>
    <t>Forecast Avg Growth</t>
  </si>
  <si>
    <t>Scenario 1: High Growth</t>
  </si>
  <si>
    <t>INR Cr.</t>
  </si>
  <si>
    <t>LTM</t>
  </si>
  <si>
    <t>Y1E</t>
  </si>
  <si>
    <t>Y2E</t>
  </si>
  <si>
    <t>Y3E</t>
  </si>
  <si>
    <t>Y4W</t>
  </si>
  <si>
    <t>Y5E</t>
  </si>
  <si>
    <t>Y6E</t>
  </si>
  <si>
    <t>Y7E</t>
  </si>
  <si>
    <t>Y8E</t>
  </si>
  <si>
    <t>Y9E</t>
  </si>
  <si>
    <t>Y10E</t>
  </si>
  <si>
    <t>Risk free rate</t>
  </si>
  <si>
    <t>Sales Growth %</t>
  </si>
  <si>
    <t>Scenario 2: Average Growth</t>
  </si>
  <si>
    <t>Average rate</t>
  </si>
  <si>
    <t>Scenario 3: EBIT Growth</t>
  </si>
  <si>
    <t>Live Scenario</t>
  </si>
  <si>
    <t>Growth Rate (g = ROE x Retention Ratio)</t>
  </si>
  <si>
    <t>Dividend Per Share (Rs.)</t>
  </si>
  <si>
    <t>EPS (Rs.)</t>
  </si>
  <si>
    <t>ROE</t>
  </si>
  <si>
    <t>Payout Ratio (DPR)</t>
  </si>
  <si>
    <t>DPS/EPS</t>
  </si>
  <si>
    <t>Retention Ratio (b = 1 - DPR)</t>
  </si>
  <si>
    <t>Growth Rate (g)</t>
  </si>
  <si>
    <t>INR Cr</t>
  </si>
  <si>
    <t>Y4E</t>
  </si>
  <si>
    <t>Terminal Year</t>
  </si>
  <si>
    <t>Terminal growth rate %</t>
  </si>
  <si>
    <t xml:space="preserve">Sales </t>
  </si>
  <si>
    <t>Cost of Capital %</t>
  </si>
  <si>
    <t>Terminal reinvestment rate %</t>
  </si>
  <si>
    <t>EBIT Margin %</t>
  </si>
  <si>
    <t>Enterprise value = Equity Value + Minority interest</t>
  </si>
  <si>
    <t>EBIT(1-T)</t>
  </si>
  <si>
    <t>Less: Net Capital Expenditure</t>
  </si>
  <si>
    <t>Non Cash Working Capital</t>
  </si>
  <si>
    <t>Less: Change in Working Capital</t>
  </si>
  <si>
    <t>Free Cash Flow To Firm (FCFF)</t>
  </si>
  <si>
    <t>Implied Reinvestment rate %</t>
  </si>
  <si>
    <t>Terminal Value</t>
  </si>
  <si>
    <t>Present Value Interest Factor(PVIF)</t>
  </si>
  <si>
    <t>Present value of FCFF</t>
  </si>
  <si>
    <t>Present value of Terminal value</t>
  </si>
  <si>
    <t>Calculation of Sensitivity Analysis</t>
  </si>
  <si>
    <t>Value of operating assets</t>
  </si>
  <si>
    <t>Terminal
Growth ↓ / WACC →</t>
  </si>
  <si>
    <t>Add: Cash</t>
  </si>
  <si>
    <t>Less: Debt</t>
  </si>
  <si>
    <t>Less: Minority Interest</t>
  </si>
  <si>
    <t>Equity Value</t>
  </si>
  <si>
    <t>No. of Shares outstanding (Cr)</t>
  </si>
  <si>
    <t xml:space="preserve">intrinsic value per share </t>
  </si>
  <si>
    <t>RELATIVE VALUATION – Exide Industries LTd.  (FY2025  |  INR Crores)</t>
  </si>
  <si>
    <t>Company</t>
  </si>
  <si>
    <t>Market Data</t>
  </si>
  <si>
    <t>Financial Data</t>
  </si>
  <si>
    <t>Valuation Ratios</t>
  </si>
  <si>
    <t>Price
(₹)</t>
  </si>
  <si>
    <t>Shares
(Cr.)</t>
  </si>
  <si>
    <t>Mkt Cap
(Cr.)</t>
  </si>
  <si>
    <t>EV
(Cr.)</t>
  </si>
  <si>
    <t>Revenue
(Cr.)</t>
  </si>
  <si>
    <t>EBITDA
(Cr.)</t>
  </si>
  <si>
    <t>EBIT
(Cr.)</t>
  </si>
  <si>
    <t>EPS
(₹)</t>
  </si>
  <si>
    <t>P/E</t>
  </si>
  <si>
    <t>EV/Sales</t>
  </si>
  <si>
    <t>EV/EBITDA</t>
  </si>
  <si>
    <t>EV/EBIT</t>
  </si>
  <si>
    <t>Exide Ind</t>
  </si>
  <si>
    <t>Amara Raja</t>
  </si>
  <si>
    <t>HBL Eng</t>
  </si>
  <si>
    <t>Eveready Ind</t>
  </si>
  <si>
    <t>High Energy</t>
  </si>
  <si>
    <t>Peer Average</t>
  </si>
  <si>
    <t>Peer Median</t>
  </si>
  <si>
    <t>NMDC — IMPLIED SHARE PRICE FROM PEER MULTIPLES</t>
  </si>
  <si>
    <t>Valuation
Basis</t>
  </si>
  <si>
    <t>Peer Avg
Multiple</t>
  </si>
  <si>
    <t>Peer Median
Multiple</t>
  </si>
  <si>
    <t>NMDC
Actual</t>
  </si>
  <si>
    <t>Implied EV
(Avg)</t>
  </si>
  <si>
    <t>Implied EV
(Median)</t>
  </si>
  <si>
    <t>Implied Equity
(Avg)</t>
  </si>
  <si>
    <t>Implied Equity
(Median)</t>
  </si>
  <si>
    <t>Implied Price
(Avg) ₹</t>
  </si>
  <si>
    <t>Implied Price
(Med) ₹</t>
  </si>
  <si>
    <t>CMP ₹</t>
  </si>
  <si>
    <t>Premium/Disc
(vs Avg)</t>
  </si>
  <si>
    <t>Premium/Disc
(vs Med)</t>
  </si>
  <si>
    <t>EV / Sales</t>
  </si>
  <si>
    <t>EV / EBITDA</t>
  </si>
  <si>
    <t>P / E</t>
  </si>
  <si>
    <t>EV/Revenue</t>
  </si>
  <si>
    <t>P/E Ratio</t>
  </si>
  <si>
    <t>Max</t>
  </si>
  <si>
    <t>75th Percentile</t>
  </si>
  <si>
    <t>Average</t>
  </si>
  <si>
    <t>median</t>
  </si>
  <si>
    <t>25th Percentile</t>
  </si>
  <si>
    <t>Min.</t>
  </si>
  <si>
    <t xml:space="preserve"> Industry Comparable comps</t>
  </si>
  <si>
    <t xml:space="preserve"> </t>
  </si>
  <si>
    <t>Implied Enterprise Value</t>
  </si>
  <si>
    <t>Net Debt</t>
  </si>
  <si>
    <t>Implied Market Value</t>
  </si>
  <si>
    <t>Share Outstanding</t>
  </si>
  <si>
    <t>Implied Value per Share</t>
  </si>
  <si>
    <t>Financial Year</t>
  </si>
  <si>
    <t>Revenue (₹ Crore)</t>
  </si>
  <si>
    <t>Profit After Tax (PAT) (₹ Crore)</t>
  </si>
  <si>
    <t>Revenue Change (%)</t>
  </si>
  <si>
    <t>PAT Change (%)</t>
  </si>
  <si>
    <t>Nifty 50 Change (%)</t>
  </si>
  <si>
    <t>Nifty 50 Prices</t>
  </si>
  <si>
    <t>Market Cap</t>
  </si>
  <si>
    <t>FY 2025-26</t>
  </si>
  <si>
    <t>Current Price</t>
  </si>
  <si>
    <t>FY 2024-25</t>
  </si>
  <si>
    <t>High / Low</t>
  </si>
  <si>
    <t>431/287</t>
  </si>
  <si>
    <t>FY 2023-24</t>
  </si>
  <si>
    <t>Stock P/E</t>
  </si>
  <si>
    <t>FY 2022-23</t>
  </si>
  <si>
    <t>Book Value</t>
  </si>
  <si>
    <t>FY 2021-22</t>
  </si>
  <si>
    <t>Dividend Yield</t>
  </si>
  <si>
    <t>ROCE</t>
  </si>
  <si>
    <t>Face Value</t>
  </si>
  <si>
    <t>INVESTMENT VIEW &amp; RECOMMENDATION</t>
  </si>
  <si>
    <t>Investment Thesis — Why It Works</t>
  </si>
  <si>
    <t>•  Pan-India power-solutions leader with ~80-year legacy spanning Automotive OEM/Aftermarket, Industrial UPS, Solar, Telecom and Submarine batteries — sold through 1,20,000+ channel partners across 70+ export markets.</t>
  </si>
  <si>
    <t>•  Operating momentum is re-accelerating: Q4 FY26 net sales rose 12.7% QoQ to ₹4,735 Cr, while full-year FY26 revenue grew 4.4% YoY to ₹17,995 Cr and consolidated PAT grew 7.4% YoY to ₹860 Cr, recovering from a softer FY25.</t>
  </si>
  <si>
    <t>•  Standalone balance sheet is debt-free with AAA (Stable) / A1+ ratings from ICRA, giving Exide headroom to self-fund its lithium-ion transition through Exide Energy Solutions (EESL) without diluting shareholders.</t>
  </si>
  <si>
    <t>•  Backward integration via Chloride Metals (CML) supplies ~50% of Exide's lead requirement and underpins ~79% recycled-lead usage — a circularity moat that cushions margins against lead-price volatility.</t>
  </si>
  <si>
    <t>Key Risks &amp; Watch-Points</t>
  </si>
  <si>
    <t>•  Stock trades at ~38x trailing P/E vs. a peer average of ~22.5x and ~2.3x Book Value — rich largely because EESL's pre-revenue losses are depressing consolidated EPS, not because the core battery business is over-earning.</t>
  </si>
  <si>
    <t>•  EESL's Li-ion lines are still in installation &amp; validation, with commercial dispatches targeted for FY27 after ₹4,802 Cr cumulative capex — until then, consolidated ROE (~6%) stays well below peer levels.</t>
  </si>
  <si>
    <t>•  Working capital is stretching — payable days have lengthened from ~59 to ~83 over five years — and interest coverage has eased from ~15.8x to an 8–10x range as the EESL build-out tests the balance sheet.</t>
  </si>
  <si>
    <t>Valuation Snapshot (linked to DCF &amp; Relative Valuation sheets)</t>
  </si>
  <si>
    <t>Valuation Basis</t>
  </si>
  <si>
    <t>Implied Value / Share (₹)   |   Premium / (Discount) to CMP</t>
  </si>
  <si>
    <t>Current Market Price (CMP)</t>
  </si>
  <si>
    <t>—</t>
  </si>
  <si>
    <t>P/E — Peer Average (~22x)</t>
  </si>
  <si>
    <t>EV/Sales — Peer Average</t>
  </si>
  <si>
    <t>EV/EBITDA — Peer Average</t>
  </si>
  <si>
    <t>DCF Intrinsic Value (conservative growth scenario)</t>
  </si>
  <si>
    <t>RECOMMENDATION:  BUY — ACCUMULATE ON DIPS   |   LONG-TERM (3+ YEAR HORIZON)</t>
  </si>
  <si>
    <t>Exide's FY26 numbers point to a business stabilising after a soft FY25 — revenue and profit growth both turned positive again, Q4 momentum accelerated, and the core lead-acid franchise remains debt-free with industry-leading distribution reach. The Relative Valuation read-through is genuinely mixed: EV/Sales and EV/EBITDA suggest the market isn't over-paying for Exide's revenue and operating-profit base, even though the ~38x trailing P/E looks rich — that gap is better explained by EESL's pre-revenue losses temporarily depressing consolidated EPS than by genuine overvaluation of the core business. A staggered, SIP-style entry is more sensible than a one-time lump-sum buy, with FY27 Li-ion commercial dispatches the key catalyst to watch.</t>
  </si>
  <si>
    <t>SLOPE</t>
  </si>
  <si>
    <t>COVARIANCE</t>
  </si>
  <si>
    <t xml:space="preserve"> Exide Industries Limited is India's leading and largest manufacturer of storage batteries and power solutions, incorporated in 1947 and headquartered at Exide House, 59E Chowringhee Road, Kolkata – 700 020. Listed on BSE (500086) and NSE (EXIDEIND) with CIN: L31402WB1947PLC014919, Exide commands a near ~80-year brand legacy and serves a diverse range of industries through its comprehensive product portfolio spanning 2.5Ah to 20,200Ah. The Company operates 11 manufacturing plants (standalone), 3 lead recycling plants under Chloride Metals Limited (CML), and 2 Li-ion battery plants under Exide Energy Solutions Limited (EESL) in Bengaluru, with a pan-India distribution network of 1,20,000+ channel partners and 18,000+ rural touchpoints serving 70+ countries.
Business Model — Exide's business is organised across eight product verticals: Automotive OEM Batteries (2-wheeler, 3-wheeler, passenger vehicle, commercial vehicle and tractor OEMs); Automotive Aftermarket Batteries; Home Batteries &amp; Inverters; Industrial UPS (BFSI, healthcare, manufacturing, critical infrastructure); Solar Batteries and Inverters; Industrial Infrastructure (railways, traction, data centres, power &amp; projects, defence); Telecom Backup Power; and Submarine Batteries. The Company's circularity model is powered by Chloride Metals Limited (CML), which supplied ~50% of Exide's lead requirement in FY26. Through EESL, Exide is advancing its lithium-ion cell manufacturing platform for EV and stationary storage markets.
FY26 Key Highlights (Standalone) — Revenue: ₹17,269 Crore | EBITDA Margin: 11.3% | PAT: ₹1,111 Crore | Zero-Debt Balance Sheet | Long-Term Rating: AAA (Stable Outlook) by ICRA | Short-Term Rating: A1+ | Market Capitalisation: ₹33,341 Crore (as on 1st June 2026) | Automotive Battery Capacity: 66 Mn units | Non-Automotive &amp; Stationary Battery Capacity: 7.6 Bn Ah | Countries of Export: 70+ | Recycled Lead &amp; Lead Alloys Used in Products: 79% | Renewable Energy Mix: 24%+ | Scope 1 &amp; 2 Emissions Intensity: 22.46 tCO₂e/MAh (↓15.6% YoY) | Lives impacted through CSR: 4.05 Lakh+.
Strategic Direction — Exide's growth strategy rests on four pillars: (1) Strengthening the core lead-acid business across all segments; (2) Deepening channel reach and OEM partnerships; (3) Building a future-ready lithium-ion platform through EESL; and (4) Advancing sustainability through circularity (CML), renewable energy adoption and ESG commitments. The Company's S&amp;P Global Corporate Sustainability Assessment score improved by approximately 50% YoY, placing Exide in the top 14% of the 'Manufacture of Batteries &amp; Accumulators' industry globally. Exide's 79th Annual General Meeting is scheduled for FY 2025-26.
Vision &amp; Mission — Exide powers India's progress through trusted energy solutions, combining engineering strength, technological innovation and operational excellence to support evolving mobility and energy ecosystems.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</si>
</sst>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64" formatCode="#,##0;\(#,##0\);\-"/>
    <numFmt numFmtId="165" formatCode="0.00\%;\(0.00&quot;%)&quot;;\-"/>
    <numFmt numFmtId="166" formatCode="d\-mmm\-yy"/>
    <numFmt numFmtId="167" formatCode="mmm&quot; '&quot;yy"/>
    <numFmt numFmtId="168" formatCode="0.0%"/>
    <numFmt numFmtId="169" formatCode="yyyy\-mm\-dd"/>
    <numFmt numFmtId="170" formatCode="_ * #,##0.00_ ;_ * \-#,##0.00_ ;_ * \-??_ ;_ @_ "/>
    <numFmt numFmtId="171" formatCode="0.00\x"/>
    <numFmt numFmtId="172" formatCode="0.000000000000000%"/>
    <numFmt numFmtId="173" formatCode="mmm\-yy"/>
    <numFmt numFmtId="174" formatCode="#,##0.0"/>
    <numFmt numFmtId="175" formatCode="0.000%"/>
    <numFmt numFmtId="176" formatCode="yyyy\A"/>
    <numFmt numFmtId="177" formatCode="yyyy\E"/>
    <numFmt numFmtId="178" formatCode="0.0000"/>
    <numFmt numFmtId="179" formatCode="0.0"/>
    <numFmt numFmtId="180" formatCode="0.\X"/>
    <numFmt numFmtId="181" formatCode="&quot;₹ &quot;#,##0"/>
    <numFmt numFmtId="182" formatCode="0.0%;\(0.0%\)"/>
  </numFmts>
  <fonts count="65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FFFFFF"/>
      <name val="Arial"/>
      <family val="2"/>
      <charset val="1"/>
    </font>
    <font>
      <sz val="10"/>
      <color rgb="FF1A1A2E"/>
      <name val="Arial"/>
      <family val="2"/>
      <charset val="1"/>
    </font>
    <font>
      <sz val="11"/>
      <color theme="0"/>
      <name val="Calibri"/>
      <family val="2"/>
      <charset val="1"/>
    </font>
    <font>
      <b/>
      <sz val="11"/>
      <color rgb="FFFFFFFF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0"/>
      <color rgb="FF1A1A2E"/>
      <name val="Arial"/>
      <family val="2"/>
      <charset val="1"/>
    </font>
    <font>
      <b/>
      <sz val="16"/>
      <color rgb="FFFFFFFF"/>
      <name val="Arial"/>
      <family val="2"/>
      <charset val="1"/>
    </font>
    <font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0"/>
      <color rgb="FF555555"/>
      <name val="Arial"/>
      <family val="2"/>
      <charset val="1"/>
    </font>
    <font>
      <b/>
      <sz val="11"/>
      <name val="Calibri"/>
      <family val="2"/>
      <charset val="1"/>
    </font>
    <font>
      <sz val="11"/>
      <name val="Calibri"/>
      <family val="2"/>
      <charset val="1"/>
    </font>
    <font>
      <b/>
      <sz val="11"/>
      <color rgb="FF000000"/>
      <name val="Poppins"/>
    </font>
    <font>
      <sz val="11"/>
      <color rgb="FF000000"/>
      <name val="Poppins"/>
    </font>
    <font>
      <b/>
      <sz val="11"/>
      <color rgb="FFFFFFFF"/>
      <name val="Poppins"/>
    </font>
    <font>
      <i/>
      <sz val="11"/>
      <color theme="1"/>
      <name val="Calibri"/>
      <family val="2"/>
      <charset val="1"/>
    </font>
    <font>
      <b/>
      <sz val="11"/>
      <color theme="0"/>
      <name val="Calibri"/>
      <family val="2"/>
      <charset val="1"/>
    </font>
    <font>
      <sz val="10"/>
      <name val="Calibri"/>
      <family val="2"/>
      <charset val="1"/>
    </font>
    <font>
      <b/>
      <i/>
      <sz val="11"/>
      <color theme="1"/>
      <name val="Calibri"/>
      <family val="2"/>
      <charset val="1"/>
    </font>
    <font>
      <sz val="10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20"/>
      <color theme="0"/>
      <name val="Calibri"/>
      <family val="2"/>
      <charset val="1"/>
    </font>
    <font>
      <b/>
      <sz val="11"/>
      <color theme="1"/>
      <name val="Calibri"/>
      <family val="2"/>
      <charset val="1"/>
    </font>
    <font>
      <sz val="10"/>
      <color rgb="FF0000FF"/>
      <name val="Calibri"/>
      <family val="2"/>
      <charset val="1"/>
    </font>
    <font>
      <b/>
      <sz val="11"/>
      <color rgb="FF0070C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22222F"/>
      <name val="Calibri"/>
      <family val="2"/>
      <charset val="1"/>
    </font>
    <font>
      <b/>
      <sz val="11"/>
      <color rgb="FF22222F"/>
      <name val="Calibri"/>
      <family val="2"/>
      <charset val="1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0"/>
      <color rgb="FFFFFFFF"/>
      <name val="Arial"/>
      <family val="2"/>
    </font>
    <font>
      <b/>
      <sz val="10"/>
      <color rgb="FF1A1A2E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sz val="11"/>
      <color rgb="FF595959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1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b/>
      <i/>
      <sz val="11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i/>
      <sz val="11"/>
      <name val="Calibri"/>
      <family val="2"/>
      <charset val="1"/>
      <scheme val="minor"/>
    </font>
    <font>
      <u/>
      <sz val="11"/>
      <color theme="10"/>
      <name val="Calibri"/>
      <family val="2"/>
      <scheme val="minor"/>
    </font>
    <font>
      <sz val="11"/>
      <color rgb="FF22222F"/>
      <name val="Calibri"/>
      <family val="2"/>
      <scheme val="minor"/>
    </font>
    <font>
      <sz val="11"/>
      <color theme="0"/>
      <name val="Calibri"/>
      <family val="2"/>
      <scheme val="minor"/>
    </font>
    <font>
      <sz val="10.5"/>
      <color rgb="FF1A1A2E"/>
      <name val="Calibri"/>
      <family val="2"/>
      <scheme val="minor"/>
    </font>
    <font>
      <b/>
      <sz val="10"/>
      <name val="Arial"/>
      <family val="2"/>
      <charset val="1"/>
    </font>
    <font>
      <b/>
      <sz val="10"/>
      <color rgb="FFFFFFFF"/>
      <name val="Calibri"/>
      <family val="2"/>
      <scheme val="minor"/>
    </font>
    <font>
      <sz val="10"/>
      <color rgb="FF555555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1A1A2E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Arial"/>
      <family val="2"/>
      <charset val="1"/>
    </font>
    <font>
      <sz val="11"/>
      <color rgb="FF1A1A2E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1F3864"/>
        <bgColor rgb="FF203864"/>
      </patternFill>
    </fill>
    <fill>
      <patternFill patternType="solid">
        <fgColor rgb="FF2E5FA3"/>
        <bgColor rgb="FF2E5395"/>
      </patternFill>
    </fill>
    <fill>
      <patternFill patternType="solid">
        <fgColor rgb="FFD6E4F7"/>
        <bgColor rgb="FFD9E3F3"/>
      </patternFill>
    </fill>
    <fill>
      <patternFill patternType="solid">
        <fgColor rgb="FFD9E1F2"/>
        <bgColor rgb="FFD9E3F3"/>
      </patternFill>
    </fill>
    <fill>
      <patternFill patternType="solid">
        <fgColor rgb="FFFFFFFF"/>
        <bgColor rgb="FFF8F8FC"/>
      </patternFill>
    </fill>
    <fill>
      <patternFill patternType="solid">
        <fgColor rgb="FFFFF2CC"/>
        <bgColor rgb="FFFBE5D6"/>
      </patternFill>
    </fill>
    <fill>
      <patternFill patternType="solid">
        <fgColor rgb="FFE0E0E0"/>
        <bgColor rgb="FFDDDDDD"/>
      </patternFill>
    </fill>
    <fill>
      <patternFill patternType="solid">
        <fgColor rgb="FFA7A7A7"/>
        <bgColor rgb="FFBFBFBF"/>
      </patternFill>
    </fill>
    <fill>
      <patternFill patternType="solid">
        <fgColor theme="0" tint="-0.249977111117893"/>
        <bgColor rgb="FFB4C7E7"/>
      </patternFill>
    </fill>
    <fill>
      <patternFill patternType="solid">
        <fgColor rgb="FF002060"/>
        <bgColor rgb="FF1D324E"/>
      </patternFill>
    </fill>
    <fill>
      <patternFill patternType="solid">
        <fgColor rgb="FFDEEAF1"/>
        <bgColor rgb="FFDDEBF7"/>
      </patternFill>
    </fill>
    <fill>
      <patternFill patternType="solid">
        <fgColor rgb="FF1D324E"/>
        <bgColor rgb="FF1F3864"/>
      </patternFill>
    </fill>
    <fill>
      <patternFill patternType="solid">
        <fgColor theme="5" tint="-0.249977111117893"/>
        <bgColor rgb="FF7B3F00"/>
      </patternFill>
    </fill>
    <fill>
      <patternFill patternType="solid">
        <fgColor rgb="FFF8F8FC"/>
        <bgColor rgb="FFF2F2F2"/>
      </patternFill>
    </fill>
    <fill>
      <patternFill patternType="solid">
        <fgColor rgb="FFD5E8F5"/>
        <bgColor rgb="FFD6E4F7"/>
      </patternFill>
    </fill>
    <fill>
      <patternFill patternType="solid">
        <fgColor theme="4" tint="0.59978026673177287"/>
        <bgColor rgb="FFBDD7EE"/>
      </patternFill>
    </fill>
    <fill>
      <patternFill patternType="solid">
        <fgColor theme="4" tint="-0.249977111117893"/>
        <bgColor rgb="FF1F3864"/>
      </patternFill>
    </fill>
    <fill>
      <patternFill patternType="solid">
        <fgColor theme="4" tint="-0.249977111117893"/>
        <bgColor rgb="FF1F3F5A"/>
      </patternFill>
    </fill>
    <fill>
      <patternFill patternType="solid">
        <fgColor theme="4" tint="-0.249977111117893"/>
        <bgColor rgb="FF18507A"/>
      </patternFill>
    </fill>
    <fill>
      <patternFill patternType="solid">
        <fgColor theme="4" tint="-0.249977111117893"/>
        <bgColor rgb="FF2E5FA3"/>
      </patternFill>
    </fill>
    <fill>
      <patternFill patternType="solid">
        <fgColor theme="4" tint="-0.249977111117893"/>
        <bgColor rgb="FFC55A11"/>
      </patternFill>
    </fill>
    <fill>
      <patternFill patternType="solid">
        <fgColor theme="4" tint="-0.249977111117893"/>
        <bgColor rgb="FF1D324E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DEEAF1"/>
      </patternFill>
    </fill>
    <fill>
      <patternFill patternType="solid">
        <fgColor theme="4" tint="-0.249977111117893"/>
        <bgColor rgb="FF1A5276"/>
      </patternFill>
    </fill>
    <fill>
      <patternFill patternType="solid">
        <fgColor theme="0"/>
        <bgColor rgb="FF203864"/>
      </patternFill>
    </fill>
    <fill>
      <patternFill patternType="solid">
        <fgColor theme="0"/>
        <bgColor rgb="FFD9E3F3"/>
      </patternFill>
    </fill>
    <fill>
      <patternFill patternType="solid">
        <fgColor theme="0"/>
        <bgColor rgb="FFB4C7E7"/>
      </patternFill>
    </fill>
    <fill>
      <patternFill patternType="solid">
        <fgColor theme="0"/>
        <bgColor rgb="FFEBF3FB"/>
      </patternFill>
    </fill>
    <fill>
      <patternFill patternType="solid">
        <fgColor theme="4" tint="-0.249977111117893"/>
        <bgColor rgb="FF203864"/>
      </patternFill>
    </fill>
    <fill>
      <patternFill patternType="solid">
        <fgColor theme="4" tint="-0.249977111117893"/>
        <bgColor rgb="FF2E5395"/>
      </patternFill>
    </fill>
    <fill>
      <patternFill patternType="solid">
        <fgColor theme="0"/>
        <bgColor rgb="FF2E5395"/>
      </patternFill>
    </fill>
    <fill>
      <patternFill patternType="solid">
        <fgColor theme="0"/>
        <bgColor rgb="FFF8F8FC"/>
      </patternFill>
    </fill>
    <fill>
      <patternFill patternType="solid">
        <fgColor theme="4" tint="-0.249977111117893"/>
        <bgColor rgb="FF2E5090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rgb="FFB4C7E7"/>
      </patternFill>
    </fill>
    <fill>
      <patternFill patternType="solid">
        <fgColor theme="4" tint="-0.249977111117893"/>
        <bgColor rgb="FFD9E3F3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double">
        <color rgb="FFDDDDDD"/>
      </bottom>
      <diagonal/>
    </border>
    <border>
      <left style="double">
        <color rgb="FFDDDDDD"/>
      </left>
      <right style="double">
        <color rgb="FFDDDDDD"/>
      </right>
      <top style="double">
        <color rgb="FFDDDDDD"/>
      </top>
      <bottom style="double">
        <color rgb="FFDDDDD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F2F2F2"/>
      </left>
      <right style="medium">
        <color rgb="FFF2F2F2"/>
      </right>
      <top/>
      <bottom/>
      <diagonal/>
    </border>
    <border>
      <left style="double">
        <color rgb="FFDDDDDD"/>
      </left>
      <right style="double">
        <color rgb="FFDDDDDD"/>
      </right>
      <top style="double">
        <color rgb="FFDDDDDD"/>
      </top>
      <bottom/>
      <diagonal/>
    </border>
    <border>
      <left style="double">
        <color rgb="FFDDDDDD"/>
      </left>
      <right style="double">
        <color rgb="FFDDDDDD"/>
      </right>
      <top/>
      <bottom style="double">
        <color rgb="FFDDDDDD"/>
      </bottom>
      <diagonal/>
    </border>
  </borders>
  <cellStyleXfs count="1">
    <xf numFmtId="0" fontId="0" fillId="0" borderId="0"/>
  </cellStyleXfs>
  <cellXfs count="329">
    <xf numFmtId="0" fontId="0" fillId="0" borderId="0" xfId="0"/>
    <xf numFmtId="0" fontId="10" fillId="0" borderId="0" xfId="0" applyFont="1"/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164" fontId="4" fillId="0" borderId="2" xfId="0" applyNumberFormat="1" applyFont="1" applyBorder="1" applyAlignment="1">
      <alignment horizontal="right" vertical="center" wrapText="1"/>
    </xf>
    <xf numFmtId="165" fontId="4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right" vertical="center" wrapText="1"/>
    </xf>
    <xf numFmtId="165" fontId="4" fillId="0" borderId="0" xfId="0" applyNumberFormat="1" applyFont="1" applyAlignment="1">
      <alignment horizontal="right" vertical="center" wrapText="1"/>
    </xf>
    <xf numFmtId="0" fontId="10" fillId="0" borderId="3" xfId="0" applyFont="1" applyBorder="1"/>
    <xf numFmtId="0" fontId="4" fillId="0" borderId="4" xfId="0" applyFont="1" applyBorder="1" applyAlignment="1">
      <alignment horizontal="left" vertical="center" wrapText="1"/>
    </xf>
    <xf numFmtId="164" fontId="4" fillId="0" borderId="4" xfId="0" applyNumberFormat="1" applyFont="1" applyBorder="1" applyAlignment="1">
      <alignment horizontal="right" vertical="center" wrapText="1"/>
    </xf>
    <xf numFmtId="165" fontId="4" fillId="0" borderId="4" xfId="0" applyNumberFormat="1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/>
    </xf>
    <xf numFmtId="0" fontId="15" fillId="0" borderId="0" xfId="0" applyFont="1"/>
    <xf numFmtId="0" fontId="16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166" fontId="17" fillId="0" borderId="0" xfId="0" applyNumberFormat="1" applyFont="1" applyAlignment="1">
      <alignment horizontal="left" vertical="center" wrapText="1"/>
    </xf>
    <xf numFmtId="0" fontId="15" fillId="0" borderId="5" xfId="0" applyFont="1" applyBorder="1"/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168" fontId="15" fillId="0" borderId="5" xfId="0" applyNumberFormat="1" applyFont="1" applyBorder="1" applyAlignment="1">
      <alignment horizontal="right"/>
    </xf>
    <xf numFmtId="4" fontId="17" fillId="0" borderId="0" xfId="0" applyNumberFormat="1" applyFont="1" applyAlignment="1">
      <alignment horizontal="left" vertical="center" wrapText="1"/>
    </xf>
    <xf numFmtId="0" fontId="14" fillId="0" borderId="5" xfId="0" applyFont="1" applyBorder="1" applyAlignment="1">
      <alignment horizontal="center" vertical="top"/>
    </xf>
    <xf numFmtId="169" fontId="0" fillId="0" borderId="5" xfId="0" applyNumberFormat="1" applyBorder="1"/>
    <xf numFmtId="2" fontId="0" fillId="0" borderId="5" xfId="0" applyNumberFormat="1" applyBorder="1"/>
    <xf numFmtId="0" fontId="0" fillId="0" borderId="5" xfId="0" applyBorder="1"/>
    <xf numFmtId="0" fontId="19" fillId="0" borderId="7" xfId="0" applyFont="1" applyBorder="1" applyAlignment="1">
      <alignment horizontal="center"/>
    </xf>
    <xf numFmtId="0" fontId="0" fillId="0" borderId="8" xfId="0" applyFont="1" applyBorder="1"/>
    <xf numFmtId="10" fontId="15" fillId="0" borderId="5" xfId="0" applyNumberFormat="1" applyFont="1" applyBorder="1"/>
    <xf numFmtId="168" fontId="21" fillId="0" borderId="5" xfId="0" applyNumberFormat="1" applyFont="1" applyBorder="1"/>
    <xf numFmtId="168" fontId="15" fillId="0" borderId="5" xfId="0" applyNumberFormat="1" applyFont="1" applyBorder="1"/>
    <xf numFmtId="4" fontId="21" fillId="0" borderId="5" xfId="0" applyNumberFormat="1" applyFont="1" applyBorder="1"/>
    <xf numFmtId="0" fontId="22" fillId="0" borderId="5" xfId="0" applyFont="1" applyBorder="1"/>
    <xf numFmtId="174" fontId="21" fillId="0" borderId="5" xfId="0" applyNumberFormat="1" applyFont="1" applyBorder="1"/>
    <xf numFmtId="0" fontId="14" fillId="0" borderId="5" xfId="0" applyFont="1" applyBorder="1"/>
    <xf numFmtId="4" fontId="15" fillId="0" borderId="5" xfId="0" applyNumberFormat="1" applyFont="1" applyBorder="1"/>
    <xf numFmtId="168" fontId="23" fillId="0" borderId="0" xfId="0" applyNumberFormat="1" applyFont="1"/>
    <xf numFmtId="4" fontId="14" fillId="0" borderId="5" xfId="0" applyNumberFormat="1" applyFont="1" applyBorder="1"/>
    <xf numFmtId="168" fontId="21" fillId="0" borderId="0" xfId="0" applyNumberFormat="1" applyFont="1"/>
    <xf numFmtId="10" fontId="24" fillId="0" borderId="0" xfId="0" applyNumberFormat="1" applyFont="1"/>
    <xf numFmtId="168" fontId="23" fillId="0" borderId="5" xfId="0" applyNumberFormat="1" applyFont="1" applyBorder="1"/>
    <xf numFmtId="4" fontId="21" fillId="0" borderId="6" xfId="0" applyNumberFormat="1" applyFont="1" applyBorder="1"/>
    <xf numFmtId="4" fontId="23" fillId="0" borderId="5" xfId="0" applyNumberFormat="1" applyFont="1" applyBorder="1"/>
    <xf numFmtId="0" fontId="26" fillId="0" borderId="5" xfId="0" applyFont="1" applyBorder="1"/>
    <xf numFmtId="175" fontId="23" fillId="0" borderId="5" xfId="0" applyNumberFormat="1" applyFont="1" applyBorder="1"/>
    <xf numFmtId="0" fontId="14" fillId="0" borderId="21" xfId="0" applyFont="1" applyBorder="1"/>
    <xf numFmtId="0" fontId="15" fillId="0" borderId="6" xfId="0" applyFont="1" applyBorder="1"/>
    <xf numFmtId="168" fontId="27" fillId="0" borderId="5" xfId="0" applyNumberFormat="1" applyFont="1" applyBorder="1"/>
    <xf numFmtId="10" fontId="23" fillId="0" borderId="5" xfId="0" applyNumberFormat="1" applyFont="1" applyBorder="1"/>
    <xf numFmtId="10" fontId="24" fillId="0" borderId="5" xfId="0" applyNumberFormat="1" applyFont="1" applyBorder="1"/>
    <xf numFmtId="0" fontId="24" fillId="0" borderId="5" xfId="0" applyFont="1" applyBorder="1" applyAlignment="1">
      <alignment horizontal="left"/>
    </xf>
    <xf numFmtId="176" fontId="24" fillId="0" borderId="5" xfId="0" applyNumberFormat="1" applyFont="1" applyBorder="1" applyAlignment="1">
      <alignment horizontal="right"/>
    </xf>
    <xf numFmtId="4" fontId="28" fillId="0" borderId="5" xfId="0" applyNumberFormat="1" applyFont="1" applyBorder="1"/>
    <xf numFmtId="168" fontId="24" fillId="0" borderId="5" xfId="0" applyNumberFormat="1" applyFont="1" applyBorder="1"/>
    <xf numFmtId="0" fontId="29" fillId="12" borderId="5" xfId="0" applyFont="1" applyFill="1" applyBorder="1" applyAlignment="1">
      <alignment horizontal="left"/>
    </xf>
    <xf numFmtId="177" fontId="29" fillId="12" borderId="5" xfId="0" applyNumberFormat="1" applyFont="1" applyFill="1" applyBorder="1" applyAlignment="1">
      <alignment horizontal="right"/>
    </xf>
    <xf numFmtId="4" fontId="29" fillId="12" borderId="5" xfId="0" applyNumberFormat="1" applyFont="1" applyFill="1" applyBorder="1"/>
    <xf numFmtId="168" fontId="29" fillId="12" borderId="5" xfId="0" applyNumberFormat="1" applyFont="1" applyFill="1" applyBorder="1"/>
    <xf numFmtId="0" fontId="29" fillId="0" borderId="0" xfId="0" applyFont="1"/>
    <xf numFmtId="168" fontId="29" fillId="0" borderId="0" xfId="0" applyNumberFormat="1" applyFont="1"/>
    <xf numFmtId="0" fontId="26" fillId="17" borderId="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0" fontId="26" fillId="17" borderId="5" xfId="0" applyFont="1" applyFill="1" applyBorder="1" applyAlignment="1">
      <alignment horizontal="right" vertical="center" wrapText="1"/>
    </xf>
    <xf numFmtId="3" fontId="30" fillId="15" borderId="5" xfId="0" applyNumberFormat="1" applyFont="1" applyFill="1" applyBorder="1" applyAlignment="1">
      <alignment horizontal="right" vertical="center" wrapText="1"/>
    </xf>
    <xf numFmtId="3" fontId="30" fillId="6" borderId="5" xfId="0" applyNumberFormat="1" applyFont="1" applyFill="1" applyBorder="1" applyAlignment="1">
      <alignment horizontal="right" vertical="center" wrapText="1"/>
    </xf>
    <xf numFmtId="10" fontId="0" fillId="17" borderId="5" xfId="0" applyNumberFormat="1" applyFill="1" applyBorder="1" applyAlignment="1">
      <alignment horizontal="center" vertical="center" wrapText="1"/>
    </xf>
    <xf numFmtId="175" fontId="0" fillId="17" borderId="5" xfId="0" applyNumberFormat="1" applyFill="1" applyBorder="1" applyAlignment="1">
      <alignment horizontal="center" vertical="center" wrapText="1"/>
    </xf>
    <xf numFmtId="9" fontId="0" fillId="17" borderId="5" xfId="0" applyNumberFormat="1" applyFill="1" applyBorder="1" applyAlignment="1">
      <alignment horizontal="center" vertical="center" wrapText="1"/>
    </xf>
    <xf numFmtId="2" fontId="31" fillId="0" borderId="5" xfId="0" applyNumberFormat="1" applyFont="1" applyBorder="1" applyAlignment="1">
      <alignment horizontal="center"/>
    </xf>
    <xf numFmtId="10" fontId="30" fillId="0" borderId="5" xfId="0" applyNumberFormat="1" applyFont="1" applyBorder="1" applyAlignment="1">
      <alignment horizontal="center"/>
    </xf>
    <xf numFmtId="0" fontId="39" fillId="0" borderId="0" xfId="0" applyFont="1"/>
    <xf numFmtId="0" fontId="2" fillId="0" borderId="0" xfId="0" applyFont="1"/>
    <xf numFmtId="4" fontId="40" fillId="0" borderId="5" xfId="0" applyNumberFormat="1" applyFont="1" applyBorder="1"/>
    <xf numFmtId="0" fontId="41" fillId="0" borderId="0" xfId="0" applyFont="1"/>
    <xf numFmtId="4" fontId="42" fillId="0" borderId="0" xfId="0" applyNumberFormat="1" applyFont="1"/>
    <xf numFmtId="4" fontId="43" fillId="9" borderId="5" xfId="0" applyNumberFormat="1" applyFont="1" applyFill="1" applyBorder="1"/>
    <xf numFmtId="168" fontId="40" fillId="0" borderId="5" xfId="0" applyNumberFormat="1" applyFont="1" applyBorder="1"/>
    <xf numFmtId="171" fontId="43" fillId="9" borderId="5" xfId="0" applyNumberFormat="1" applyFont="1" applyFill="1" applyBorder="1"/>
    <xf numFmtId="0" fontId="40" fillId="0" borderId="0" xfId="0" applyFont="1"/>
    <xf numFmtId="168" fontId="40" fillId="6" borderId="5" xfId="0" applyNumberFormat="1" applyFont="1" applyFill="1" applyBorder="1" applyAlignment="1">
      <alignment horizontal="center"/>
    </xf>
    <xf numFmtId="2" fontId="40" fillId="6" borderId="5" xfId="0" applyNumberFormat="1" applyFont="1" applyFill="1" applyBorder="1" applyAlignment="1">
      <alignment horizontal="center"/>
    </xf>
    <xf numFmtId="168" fontId="43" fillId="9" borderId="5" xfId="0" applyNumberFormat="1" applyFont="1" applyFill="1" applyBorder="1" applyAlignment="1">
      <alignment horizontal="center"/>
    </xf>
    <xf numFmtId="4" fontId="40" fillId="6" borderId="5" xfId="0" applyNumberFormat="1" applyFont="1" applyFill="1" applyBorder="1" applyAlignment="1">
      <alignment horizontal="center" vertical="center"/>
    </xf>
    <xf numFmtId="4" fontId="40" fillId="6" borderId="5" xfId="0" applyNumberFormat="1" applyFont="1" applyFill="1" applyBorder="1" applyAlignment="1">
      <alignment horizontal="center"/>
    </xf>
    <xf numFmtId="168" fontId="40" fillId="10" borderId="5" xfId="0" applyNumberFormat="1" applyFont="1" applyFill="1" applyBorder="1" applyAlignment="1">
      <alignment horizontal="center"/>
    </xf>
    <xf numFmtId="168" fontId="44" fillId="9" borderId="5" xfId="0" applyNumberFormat="1" applyFont="1" applyFill="1" applyBorder="1"/>
    <xf numFmtId="168" fontId="45" fillId="6" borderId="18" xfId="0" applyNumberFormat="1" applyFont="1" applyFill="1" applyBorder="1" applyAlignment="1">
      <alignment horizontal="center"/>
    </xf>
    <xf numFmtId="168" fontId="45" fillId="6" borderId="16" xfId="0" applyNumberFormat="1" applyFont="1" applyFill="1" applyBorder="1" applyAlignment="1">
      <alignment horizontal="center"/>
    </xf>
    <xf numFmtId="168" fontId="45" fillId="6" borderId="17" xfId="0" applyNumberFormat="1" applyFont="1" applyFill="1" applyBorder="1" applyAlignment="1">
      <alignment horizontal="center"/>
    </xf>
    <xf numFmtId="168" fontId="43" fillId="10" borderId="19" xfId="0" applyNumberFormat="1" applyFont="1" applyFill="1" applyBorder="1"/>
    <xf numFmtId="170" fontId="40" fillId="10" borderId="19" xfId="0" applyNumberFormat="1" applyFont="1" applyFill="1" applyBorder="1"/>
    <xf numFmtId="168" fontId="43" fillId="7" borderId="20" xfId="0" applyNumberFormat="1" applyFont="1" applyFill="1" applyBorder="1"/>
    <xf numFmtId="172" fontId="2" fillId="0" borderId="0" xfId="0" applyNumberFormat="1" applyFont="1"/>
    <xf numFmtId="0" fontId="40" fillId="8" borderId="10" xfId="0" applyFont="1" applyFill="1" applyBorder="1"/>
    <xf numFmtId="170" fontId="43" fillId="9" borderId="11" xfId="0" applyNumberFormat="1" applyFont="1" applyFill="1" applyBorder="1" applyAlignment="1">
      <alignment horizontal="left"/>
    </xf>
    <xf numFmtId="0" fontId="40" fillId="8" borderId="12" xfId="0" applyFont="1" applyFill="1" applyBorder="1"/>
    <xf numFmtId="170" fontId="43" fillId="9" borderId="13" xfId="0" applyNumberFormat="1" applyFont="1" applyFill="1" applyBorder="1"/>
    <xf numFmtId="0" fontId="40" fillId="8" borderId="5" xfId="0" applyFont="1" applyFill="1" applyBorder="1"/>
    <xf numFmtId="10" fontId="43" fillId="9" borderId="5" xfId="0" applyNumberFormat="1" applyFont="1" applyFill="1" applyBorder="1"/>
    <xf numFmtId="10" fontId="40" fillId="8" borderId="5" xfId="0" applyNumberFormat="1" applyFont="1" applyFill="1" applyBorder="1" applyAlignment="1">
      <alignment horizontal="left" vertical="center"/>
    </xf>
    <xf numFmtId="170" fontId="40" fillId="8" borderId="5" xfId="0" applyNumberFormat="1" applyFont="1" applyFill="1" applyBorder="1"/>
    <xf numFmtId="0" fontId="44" fillId="9" borderId="5" xfId="0" applyFont="1" applyFill="1" applyBorder="1"/>
    <xf numFmtId="10" fontId="44" fillId="5" borderId="15" xfId="0" applyNumberFormat="1" applyFont="1" applyFill="1" applyBorder="1" applyAlignment="1">
      <alignment horizontal="center"/>
    </xf>
    <xf numFmtId="10" fontId="44" fillId="5" borderId="16" xfId="0" applyNumberFormat="1" applyFont="1" applyFill="1" applyBorder="1" applyAlignment="1">
      <alignment horizontal="center"/>
    </xf>
    <xf numFmtId="10" fontId="44" fillId="5" borderId="17" xfId="0" applyNumberFormat="1" applyFont="1" applyFill="1" applyBorder="1" applyAlignment="1">
      <alignment horizontal="center"/>
    </xf>
    <xf numFmtId="10" fontId="45" fillId="8" borderId="12" xfId="0" applyNumberFormat="1" applyFont="1" applyFill="1" applyBorder="1" applyAlignment="1">
      <alignment horizontal="left"/>
    </xf>
    <xf numFmtId="0" fontId="43" fillId="0" borderId="5" xfId="0" applyFont="1" applyBorder="1"/>
    <xf numFmtId="0" fontId="40" fillId="0" borderId="5" xfId="0" applyFont="1" applyBorder="1"/>
    <xf numFmtId="0" fontId="46" fillId="0" borderId="5" xfId="0" applyFont="1" applyBorder="1"/>
    <xf numFmtId="0" fontId="43" fillId="0" borderId="5" xfId="0" applyFont="1" applyBorder="1" applyAlignment="1">
      <alignment horizontal="right"/>
    </xf>
    <xf numFmtId="170" fontId="40" fillId="0" borderId="5" xfId="0" applyNumberFormat="1" applyFont="1" applyBorder="1" applyAlignment="1">
      <alignment horizontal="right"/>
    </xf>
    <xf numFmtId="3" fontId="40" fillId="0" borderId="5" xfId="0" applyNumberFormat="1" applyFont="1" applyBorder="1" applyAlignment="1">
      <alignment horizontal="right"/>
    </xf>
    <xf numFmtId="10" fontId="43" fillId="0" borderId="0" xfId="0" applyNumberFormat="1" applyFont="1"/>
    <xf numFmtId="10" fontId="40" fillId="0" borderId="0" xfId="0" applyNumberFormat="1" applyFont="1"/>
    <xf numFmtId="0" fontId="40" fillId="0" borderId="5" xfId="0" applyFont="1" applyBorder="1" applyAlignment="1">
      <alignment horizontal="right"/>
    </xf>
    <xf numFmtId="168" fontId="40" fillId="0" borderId="5" xfId="0" applyNumberFormat="1" applyFont="1" applyBorder="1" applyAlignment="1">
      <alignment horizontal="right"/>
    </xf>
    <xf numFmtId="168" fontId="40" fillId="0" borderId="0" xfId="0" applyNumberFormat="1" applyFont="1"/>
    <xf numFmtId="10" fontId="40" fillId="0" borderId="5" xfId="0" applyNumberFormat="1" applyFont="1" applyBorder="1" applyAlignment="1">
      <alignment horizontal="right"/>
    </xf>
    <xf numFmtId="0" fontId="43" fillId="0" borderId="0" xfId="0" applyFont="1"/>
    <xf numFmtId="0" fontId="37" fillId="13" borderId="5" xfId="0" applyFont="1" applyFill="1" applyBorder="1" applyAlignment="1">
      <alignment horizontal="right"/>
    </xf>
    <xf numFmtId="0" fontId="38" fillId="0" borderId="0" xfId="0" applyFont="1"/>
    <xf numFmtId="4" fontId="40" fillId="0" borderId="0" xfId="0" applyNumberFormat="1" applyFont="1"/>
    <xf numFmtId="168" fontId="43" fillId="0" borderId="0" xfId="0" applyNumberFormat="1" applyFont="1"/>
    <xf numFmtId="0" fontId="47" fillId="0" borderId="0" xfId="0" applyFont="1"/>
    <xf numFmtId="0" fontId="48" fillId="0" borderId="22" xfId="0" applyFont="1" applyBorder="1"/>
    <xf numFmtId="0" fontId="48" fillId="0" borderId="22" xfId="0" applyFont="1" applyBorder="1" applyAlignment="1">
      <alignment horizontal="right"/>
    </xf>
    <xf numFmtId="0" fontId="48" fillId="0" borderId="0" xfId="0" applyFont="1"/>
    <xf numFmtId="0" fontId="49" fillId="0" borderId="0" xfId="0" applyFont="1"/>
    <xf numFmtId="0" fontId="49" fillId="0" borderId="0" xfId="0" applyFont="1" applyAlignment="1">
      <alignment horizontal="left"/>
    </xf>
    <xf numFmtId="168" fontId="49" fillId="0" borderId="0" xfId="0" applyNumberFormat="1" applyFont="1"/>
    <xf numFmtId="3" fontId="49" fillId="0" borderId="0" xfId="0" applyNumberFormat="1" applyFont="1"/>
    <xf numFmtId="0" fontId="50" fillId="0" borderId="0" xfId="0" applyFont="1"/>
    <xf numFmtId="3" fontId="48" fillId="0" borderId="0" xfId="0" applyNumberFormat="1" applyFont="1"/>
    <xf numFmtId="178" fontId="49" fillId="0" borderId="0" xfId="0" applyNumberFormat="1" applyFont="1"/>
    <xf numFmtId="170" fontId="49" fillId="0" borderId="0" xfId="0" applyNumberFormat="1" applyFont="1"/>
    <xf numFmtId="0" fontId="51" fillId="11" borderId="0" xfId="0" applyFont="1" applyFill="1"/>
    <xf numFmtId="0" fontId="48" fillId="11" borderId="0" xfId="0" applyFont="1" applyFill="1"/>
    <xf numFmtId="170" fontId="48" fillId="0" borderId="0" xfId="0" applyNumberFormat="1" applyFont="1"/>
    <xf numFmtId="2" fontId="48" fillId="0" borderId="0" xfId="0" applyNumberFormat="1" applyFont="1" applyAlignment="1">
      <alignment wrapText="1"/>
    </xf>
    <xf numFmtId="10" fontId="48" fillId="0" borderId="0" xfId="0" applyNumberFormat="1" applyFont="1"/>
    <xf numFmtId="0" fontId="52" fillId="0" borderId="0" xfId="0" applyFont="1"/>
    <xf numFmtId="4" fontId="49" fillId="0" borderId="0" xfId="0" applyNumberFormat="1" applyFont="1" applyAlignment="1">
      <alignment horizontal="left"/>
    </xf>
    <xf numFmtId="168" fontId="49" fillId="0" borderId="0" xfId="0" applyNumberFormat="1" applyFont="1" applyAlignment="1">
      <alignment horizontal="left"/>
    </xf>
    <xf numFmtId="4" fontId="49" fillId="0" borderId="0" xfId="0" applyNumberFormat="1" applyFont="1"/>
    <xf numFmtId="4" fontId="49" fillId="10" borderId="0" xfId="0" applyNumberFormat="1" applyFont="1" applyFill="1"/>
    <xf numFmtId="0" fontId="48" fillId="0" borderId="23" xfId="0" applyFont="1" applyBorder="1"/>
    <xf numFmtId="0" fontId="49" fillId="0" borderId="23" xfId="0" applyFont="1" applyBorder="1"/>
    <xf numFmtId="3" fontId="48" fillId="0" borderId="23" xfId="0" applyNumberFormat="1" applyFont="1" applyBorder="1"/>
    <xf numFmtId="4" fontId="49" fillId="14" borderId="0" xfId="0" applyNumberFormat="1" applyFont="1" applyFill="1"/>
    <xf numFmtId="4" fontId="49" fillId="6" borderId="0" xfId="0" applyNumberFormat="1" applyFont="1" applyFill="1"/>
    <xf numFmtId="4" fontId="48" fillId="0" borderId="23" xfId="0" applyNumberFormat="1" applyFont="1" applyBorder="1"/>
    <xf numFmtId="0" fontId="53" fillId="0" borderId="0" xfId="0" applyFont="1"/>
    <xf numFmtId="0" fontId="54" fillId="15" borderId="5" xfId="0" applyFont="1" applyFill="1" applyBorder="1" applyAlignment="1">
      <alignment vertical="center" wrapText="1"/>
    </xf>
    <xf numFmtId="4" fontId="45" fillId="0" borderId="5" xfId="0" applyNumberFormat="1" applyFont="1" applyBorder="1"/>
    <xf numFmtId="3" fontId="40" fillId="0" borderId="5" xfId="0" applyNumberFormat="1" applyFont="1" applyBorder="1"/>
    <xf numFmtId="171" fontId="45" fillId="16" borderId="5" xfId="0" applyNumberFormat="1" applyFont="1" applyFill="1" applyBorder="1"/>
    <xf numFmtId="0" fontId="54" fillId="6" borderId="5" xfId="0" applyFont="1" applyFill="1" applyBorder="1" applyAlignment="1">
      <alignment vertical="center" wrapText="1"/>
    </xf>
    <xf numFmtId="3" fontId="54" fillId="0" borderId="5" xfId="0" applyNumberFormat="1" applyFont="1" applyBorder="1"/>
    <xf numFmtId="0" fontId="54" fillId="0" borderId="5" xfId="0" applyFont="1" applyBorder="1"/>
    <xf numFmtId="3" fontId="54" fillId="0" borderId="5" xfId="0" applyNumberFormat="1" applyFont="1" applyBorder="1" applyAlignment="1">
      <alignment horizontal="right"/>
    </xf>
    <xf numFmtId="0" fontId="54" fillId="0" borderId="5" xfId="0" applyFont="1" applyBorder="1" applyAlignment="1">
      <alignment horizontal="right"/>
    </xf>
    <xf numFmtId="174" fontId="40" fillId="0" borderId="5" xfId="0" applyNumberFormat="1" applyFont="1" applyBorder="1"/>
    <xf numFmtId="0" fontId="43" fillId="0" borderId="24" xfId="0" applyFont="1" applyBorder="1" applyAlignment="1">
      <alignment horizontal="left" vertical="center"/>
    </xf>
    <xf numFmtId="3" fontId="45" fillId="0" borderId="5" xfId="0" applyNumberFormat="1" applyFont="1" applyBorder="1"/>
    <xf numFmtId="171" fontId="45" fillId="0" borderId="5" xfId="0" applyNumberFormat="1" applyFont="1" applyBorder="1"/>
    <xf numFmtId="0" fontId="43" fillId="0" borderId="5" xfId="0" applyFont="1" applyBorder="1" applyAlignment="1">
      <alignment horizontal="left" vertical="center"/>
    </xf>
    <xf numFmtId="4" fontId="2" fillId="6" borderId="25" xfId="0" applyNumberFormat="1" applyFont="1" applyFill="1" applyBorder="1" applyAlignment="1">
      <alignment horizontal="right" vertical="center" wrapText="1"/>
    </xf>
    <xf numFmtId="0" fontId="2" fillId="6" borderId="25" xfId="0" applyFont="1" applyFill="1" applyBorder="1" applyAlignment="1">
      <alignment horizontal="right" vertical="center" wrapText="1"/>
    </xf>
    <xf numFmtId="4" fontId="45" fillId="0" borderId="0" xfId="0" applyNumberFormat="1" applyFont="1"/>
    <xf numFmtId="171" fontId="45" fillId="0" borderId="5" xfId="0" applyNumberFormat="1" applyFont="1" applyBorder="1" applyAlignment="1">
      <alignment horizontal="center" vertical="center"/>
    </xf>
    <xf numFmtId="3" fontId="45" fillId="0" borderId="5" xfId="0" applyNumberFormat="1" applyFont="1" applyBorder="1" applyAlignment="1">
      <alignment horizontal="center" vertical="center"/>
    </xf>
    <xf numFmtId="4" fontId="45" fillId="0" borderId="5" xfId="0" applyNumberFormat="1" applyFont="1" applyBorder="1" applyAlignment="1">
      <alignment horizontal="center" vertical="center"/>
    </xf>
    <xf numFmtId="168" fontId="45" fillId="0" borderId="5" xfId="0" applyNumberFormat="1" applyFont="1" applyBorder="1" applyAlignment="1">
      <alignment horizontal="center" vertical="center"/>
    </xf>
    <xf numFmtId="0" fontId="40" fillId="6" borderId="0" xfId="0" applyFont="1" applyFill="1" applyAlignment="1">
      <alignment horizontal="left" vertical="center"/>
    </xf>
    <xf numFmtId="179" fontId="40" fillId="0" borderId="0" xfId="0" applyNumberFormat="1" applyFont="1"/>
    <xf numFmtId="178" fontId="40" fillId="0" borderId="0" xfId="0" applyNumberFormat="1" applyFont="1"/>
    <xf numFmtId="180" fontId="40" fillId="0" borderId="0" xfId="0" applyNumberFormat="1" applyFont="1"/>
    <xf numFmtId="171" fontId="45" fillId="0" borderId="0" xfId="0" applyNumberFormat="1" applyFont="1"/>
    <xf numFmtId="3" fontId="45" fillId="0" borderId="0" xfId="0" applyNumberFormat="1" applyFont="1"/>
    <xf numFmtId="0" fontId="43" fillId="0" borderId="23" xfId="0" applyFont="1" applyBorder="1"/>
    <xf numFmtId="0" fontId="40" fillId="0" borderId="23" xfId="0" applyFont="1" applyBorder="1"/>
    <xf numFmtId="4" fontId="44" fillId="0" borderId="23" xfId="0" applyNumberFormat="1" applyFont="1" applyBorder="1"/>
    <xf numFmtId="0" fontId="8" fillId="4" borderId="0" xfId="0" applyFont="1" applyFill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top" wrapText="1"/>
    </xf>
    <xf numFmtId="0" fontId="7" fillId="0" borderId="0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32" fillId="2" borderId="0" xfId="0" applyFont="1" applyFill="1" applyBorder="1" applyAlignment="1">
      <alignment horizontal="center" vertical="center" wrapText="1"/>
    </xf>
    <xf numFmtId="0" fontId="33" fillId="3" borderId="0" xfId="0" applyFont="1" applyFill="1" applyBorder="1" applyAlignment="1">
      <alignment horizontal="left" vertical="center" wrapText="1"/>
    </xf>
    <xf numFmtId="0" fontId="34" fillId="6" borderId="0" xfId="0" applyFont="1" applyFill="1" applyBorder="1" applyAlignment="1">
      <alignment horizontal="left" vertical="center" wrapText="1"/>
    </xf>
    <xf numFmtId="0" fontId="35" fillId="2" borderId="0" xfId="0" applyFont="1" applyFill="1" applyBorder="1" applyAlignment="1">
      <alignment horizontal="center" vertical="center"/>
    </xf>
    <xf numFmtId="0" fontId="36" fillId="5" borderId="0" xfId="0" applyFont="1" applyFill="1" applyBorder="1" applyAlignment="1">
      <alignment horizontal="left" vertical="center" indent="1"/>
    </xf>
    <xf numFmtId="181" fontId="36" fillId="5" borderId="0" xfId="0" applyNumberFormat="1" applyFont="1" applyFill="1" applyBorder="1" applyAlignment="1">
      <alignment horizontal="center" vertical="center"/>
    </xf>
    <xf numFmtId="0" fontId="34" fillId="5" borderId="0" xfId="0" applyFont="1" applyFill="1" applyBorder="1" applyAlignment="1">
      <alignment horizontal="center" vertical="center"/>
    </xf>
    <xf numFmtId="0" fontId="34" fillId="6" borderId="0" xfId="0" applyFont="1" applyFill="1" applyBorder="1" applyAlignment="1">
      <alignment horizontal="left" vertical="center" indent="1"/>
    </xf>
    <xf numFmtId="181" fontId="34" fillId="6" borderId="0" xfId="0" applyNumberFormat="1" applyFont="1" applyFill="1" applyBorder="1" applyAlignment="1">
      <alignment horizontal="center" vertical="center"/>
    </xf>
    <xf numFmtId="182" fontId="34" fillId="6" borderId="0" xfId="0" applyNumberFormat="1" applyFont="1" applyFill="1" applyBorder="1" applyAlignment="1">
      <alignment horizontal="center" vertical="center"/>
    </xf>
    <xf numFmtId="0" fontId="20" fillId="18" borderId="5" xfId="0" applyFont="1" applyFill="1" applyBorder="1" applyAlignment="1">
      <alignment horizontal="center" vertical="center" wrapText="1"/>
    </xf>
    <xf numFmtId="0" fontId="20" fillId="18" borderId="5" xfId="0" applyFont="1" applyFill="1" applyBorder="1" applyAlignment="1">
      <alignment horizontal="right" vertical="center" wrapText="1"/>
    </xf>
    <xf numFmtId="0" fontId="32" fillId="19" borderId="0" xfId="0" applyFont="1" applyFill="1" applyBorder="1" applyAlignment="1">
      <alignment horizontal="center" vertical="center" wrapText="1"/>
    </xf>
    <xf numFmtId="0" fontId="56" fillId="6" borderId="0" xfId="0" applyFont="1" applyFill="1" applyBorder="1" applyAlignment="1">
      <alignment horizontal="left" vertical="center" wrapText="1"/>
    </xf>
    <xf numFmtId="4" fontId="40" fillId="0" borderId="5" xfId="0" applyNumberFormat="1" applyFont="1" applyBorder="1" applyAlignment="1">
      <alignment horizontal="right"/>
    </xf>
    <xf numFmtId="0" fontId="2" fillId="0" borderId="5" xfId="0" applyFont="1" applyBorder="1" applyAlignment="1">
      <alignment horizontal="right"/>
    </xf>
    <xf numFmtId="0" fontId="37" fillId="18" borderId="0" xfId="0" applyFont="1" applyFill="1" applyBorder="1" applyAlignment="1">
      <alignment horizontal="center" vertical="center"/>
    </xf>
    <xf numFmtId="0" fontId="37" fillId="18" borderId="5" xfId="0" applyFont="1" applyFill="1" applyBorder="1" applyAlignment="1">
      <alignment horizontal="center" vertical="center"/>
    </xf>
    <xf numFmtId="0" fontId="37" fillId="20" borderId="5" xfId="0" applyFont="1" applyFill="1" applyBorder="1" applyAlignment="1">
      <alignment horizontal="center" vertical="center"/>
    </xf>
    <xf numFmtId="0" fontId="37" fillId="21" borderId="5" xfId="0" applyFont="1" applyFill="1" applyBorder="1" applyAlignment="1">
      <alignment horizontal="center" vertical="center"/>
    </xf>
    <xf numFmtId="0" fontId="37" fillId="20" borderId="21" xfId="0" applyFont="1" applyFill="1" applyBorder="1" applyAlignment="1">
      <alignment horizontal="center" vertical="center" wrapText="1"/>
    </xf>
    <xf numFmtId="0" fontId="37" fillId="21" borderId="5" xfId="0" applyFont="1" applyFill="1" applyBorder="1" applyAlignment="1">
      <alignment horizontal="center" vertical="center" wrapText="1"/>
    </xf>
    <xf numFmtId="0" fontId="37" fillId="18" borderId="5" xfId="0" applyFont="1" applyFill="1" applyBorder="1" applyAlignment="1">
      <alignment horizontal="center" vertical="center" wrapText="1"/>
    </xf>
    <xf numFmtId="0" fontId="37" fillId="20" borderId="5" xfId="0" applyFont="1" applyFill="1" applyBorder="1" applyAlignment="1">
      <alignment horizontal="center" vertical="center" wrapText="1"/>
    </xf>
    <xf numFmtId="0" fontId="37" fillId="22" borderId="5" xfId="0" applyFont="1" applyFill="1" applyBorder="1" applyAlignment="1">
      <alignment horizontal="center" vertical="center" wrapText="1"/>
    </xf>
    <xf numFmtId="0" fontId="37" fillId="23" borderId="0" xfId="0" applyFont="1" applyFill="1" applyAlignment="1">
      <alignment horizontal="center"/>
    </xf>
    <xf numFmtId="0" fontId="37" fillId="23" borderId="0" xfId="0" applyFont="1" applyFill="1"/>
    <xf numFmtId="0" fontId="55" fillId="24" borderId="0" xfId="0" applyFont="1" applyFill="1"/>
    <xf numFmtId="0" fontId="20" fillId="23" borderId="5" xfId="0" applyFont="1" applyFill="1" applyBorder="1" applyAlignment="1">
      <alignment horizontal="center"/>
    </xf>
    <xf numFmtId="0" fontId="20" fillId="23" borderId="5" xfId="0" applyFont="1" applyFill="1" applyBorder="1" applyAlignment="1">
      <alignment horizontal="center"/>
    </xf>
    <xf numFmtId="0" fontId="25" fillId="23" borderId="5" xfId="0" applyFont="1" applyFill="1" applyBorder="1" applyAlignment="1">
      <alignment horizontal="center"/>
    </xf>
    <xf numFmtId="0" fontId="5" fillId="24" borderId="5" xfId="0" applyFont="1" applyFill="1" applyBorder="1"/>
    <xf numFmtId="0" fontId="20" fillId="23" borderId="5" xfId="0" applyFont="1" applyFill="1" applyBorder="1" applyAlignment="1">
      <alignment horizontal="center" vertical="center"/>
    </xf>
    <xf numFmtId="173" fontId="20" fillId="23" borderId="5" xfId="0" applyNumberFormat="1" applyFont="1" applyFill="1" applyBorder="1" applyAlignment="1">
      <alignment horizontal="center" vertical="center"/>
    </xf>
    <xf numFmtId="173" fontId="20" fillId="23" borderId="5" xfId="0" applyNumberFormat="1" applyFont="1" applyFill="1" applyBorder="1"/>
    <xf numFmtId="0" fontId="20" fillId="25" borderId="5" xfId="0" applyFont="1" applyFill="1" applyBorder="1"/>
    <xf numFmtId="0" fontId="20" fillId="23" borderId="5" xfId="0" applyFont="1" applyFill="1" applyBorder="1"/>
    <xf numFmtId="173" fontId="20" fillId="23" borderId="5" xfId="0" applyNumberFormat="1" applyFont="1" applyFill="1" applyBorder="1" applyAlignment="1">
      <alignment horizontal="center"/>
    </xf>
    <xf numFmtId="0" fontId="39" fillId="26" borderId="9" xfId="0" applyFont="1" applyFill="1" applyBorder="1" applyAlignment="1">
      <alignment horizontal="center"/>
    </xf>
    <xf numFmtId="0" fontId="43" fillId="26" borderId="5" xfId="0" applyFont="1" applyFill="1" applyBorder="1" applyAlignment="1">
      <alignment horizontal="center"/>
    </xf>
    <xf numFmtId="0" fontId="39" fillId="26" borderId="14" xfId="0" applyFont="1" applyFill="1" applyBorder="1" applyAlignment="1">
      <alignment horizontal="center"/>
    </xf>
    <xf numFmtId="10" fontId="39" fillId="26" borderId="13" xfId="0" applyNumberFormat="1" applyFont="1" applyFill="1" applyBorder="1"/>
    <xf numFmtId="0" fontId="15" fillId="0" borderId="5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 wrapText="1"/>
    </xf>
    <xf numFmtId="0" fontId="14" fillId="0" borderId="5" xfId="0" applyFont="1" applyFill="1" applyBorder="1" applyAlignment="1">
      <alignment horizontal="center" vertical="center"/>
    </xf>
    <xf numFmtId="4" fontId="15" fillId="0" borderId="5" xfId="0" applyNumberFormat="1" applyFont="1" applyFill="1" applyBorder="1" applyAlignment="1">
      <alignment horizontal="right"/>
    </xf>
    <xf numFmtId="4" fontId="15" fillId="0" borderId="6" xfId="0" applyNumberFormat="1" applyFont="1" applyFill="1" applyBorder="1" applyAlignment="1">
      <alignment horizontal="right"/>
    </xf>
    <xf numFmtId="0" fontId="15" fillId="0" borderId="5" xfId="0" applyFont="1" applyFill="1" applyBorder="1" applyAlignment="1">
      <alignment horizontal="center" vertical="center" wrapText="1"/>
    </xf>
    <xf numFmtId="2" fontId="15" fillId="0" borderId="5" xfId="0" applyNumberFormat="1" applyFont="1" applyFill="1" applyBorder="1" applyAlignment="1">
      <alignment horizontal="right"/>
    </xf>
    <xf numFmtId="2" fontId="15" fillId="0" borderId="6" xfId="0" applyNumberFormat="1" applyFont="1" applyFill="1" applyBorder="1" applyAlignment="1">
      <alignment horizontal="right"/>
    </xf>
    <xf numFmtId="0" fontId="0" fillId="0" borderId="0" xfId="0" applyFill="1"/>
    <xf numFmtId="0" fontId="20" fillId="24" borderId="5" xfId="0" applyFont="1" applyFill="1" applyBorder="1" applyAlignment="1">
      <alignment horizontal="center" vertical="center" wrapText="1"/>
    </xf>
    <xf numFmtId="0" fontId="5" fillId="24" borderId="0" xfId="0" applyFont="1" applyFill="1"/>
    <xf numFmtId="0" fontId="5" fillId="24" borderId="5" xfId="0" applyFont="1" applyFill="1" applyBorder="1" applyAlignment="1">
      <alignment horizontal="center" vertical="center"/>
    </xf>
    <xf numFmtId="0" fontId="20" fillId="24" borderId="5" xfId="0" applyFont="1" applyFill="1" applyBorder="1" applyAlignment="1">
      <alignment horizontal="center" vertical="center"/>
    </xf>
    <xf numFmtId="0" fontId="20" fillId="24" borderId="5" xfId="0" applyFont="1" applyFill="1" applyBorder="1" applyAlignment="1">
      <alignment horizontal="center"/>
    </xf>
    <xf numFmtId="0" fontId="20" fillId="24" borderId="5" xfId="0" applyFont="1" applyFill="1" applyBorder="1" applyAlignment="1">
      <alignment horizontal="center" vertical="center" wrapText="1"/>
    </xf>
    <xf numFmtId="167" fontId="20" fillId="24" borderId="5" xfId="0" applyNumberFormat="1" applyFont="1" applyFill="1" applyBorder="1" applyAlignment="1">
      <alignment horizontal="center"/>
    </xf>
    <xf numFmtId="167" fontId="20" fillId="24" borderId="6" xfId="0" applyNumberFormat="1" applyFont="1" applyFill="1" applyBorder="1" applyAlignment="1">
      <alignment horizontal="center"/>
    </xf>
    <xf numFmtId="0" fontId="20" fillId="24" borderId="5" xfId="0" applyFont="1" applyFill="1" applyBorder="1" applyAlignment="1">
      <alignment horizontal="center"/>
    </xf>
    <xf numFmtId="0" fontId="7" fillId="31" borderId="0" xfId="0" applyFont="1" applyFill="1" applyBorder="1" applyAlignment="1">
      <alignment horizontal="left" vertical="center"/>
    </xf>
    <xf numFmtId="0" fontId="58" fillId="32" borderId="0" xfId="0" applyFont="1" applyFill="1" applyAlignment="1">
      <alignment horizontal="center" vertical="center" wrapText="1"/>
    </xf>
    <xf numFmtId="0" fontId="58" fillId="31" borderId="0" xfId="0" applyFont="1" applyFill="1" applyBorder="1" applyAlignment="1">
      <alignment horizontal="left" vertical="center"/>
    </xf>
    <xf numFmtId="0" fontId="59" fillId="0" borderId="0" xfId="0" applyFont="1" applyAlignment="1">
      <alignment horizontal="left" vertical="center"/>
    </xf>
    <xf numFmtId="0" fontId="1" fillId="0" borderId="0" xfId="0" applyFont="1"/>
    <xf numFmtId="0" fontId="60" fillId="27" borderId="0" xfId="0" applyFont="1" applyFill="1" applyBorder="1" applyAlignment="1">
      <alignment horizontal="left" vertical="center"/>
    </xf>
    <xf numFmtId="0" fontId="61" fillId="28" borderId="0" xfId="0" applyFont="1" applyFill="1" applyAlignment="1">
      <alignment horizontal="left" vertical="center"/>
    </xf>
    <xf numFmtId="4" fontId="61" fillId="28" borderId="0" xfId="0" applyNumberFormat="1" applyFont="1" applyFill="1" applyAlignment="1">
      <alignment horizontal="right" vertical="center"/>
    </xf>
    <xf numFmtId="0" fontId="61" fillId="29" borderId="0" xfId="0" applyFont="1" applyFill="1" applyAlignment="1">
      <alignment horizontal="left" vertical="center"/>
    </xf>
    <xf numFmtId="4" fontId="61" fillId="29" borderId="0" xfId="0" applyNumberFormat="1" applyFont="1" applyFill="1" applyAlignment="1">
      <alignment horizontal="right" vertical="center"/>
    </xf>
    <xf numFmtId="0" fontId="61" fillId="30" borderId="0" xfId="0" applyFont="1" applyFill="1" applyAlignment="1">
      <alignment horizontal="left" vertical="center"/>
    </xf>
    <xf numFmtId="4" fontId="61" fillId="30" borderId="0" xfId="0" applyNumberFormat="1" applyFont="1" applyFill="1" applyAlignment="1">
      <alignment horizontal="right" vertical="center"/>
    </xf>
    <xf numFmtId="0" fontId="58" fillId="32" borderId="0" xfId="0" applyFont="1" applyFill="1" applyBorder="1" applyAlignment="1">
      <alignment horizontal="left" vertical="center"/>
    </xf>
    <xf numFmtId="0" fontId="62" fillId="30" borderId="5" xfId="0" applyFont="1" applyFill="1" applyBorder="1" applyAlignment="1">
      <alignment horizontal="left" vertical="center"/>
    </xf>
    <xf numFmtId="4" fontId="62" fillId="30" borderId="5" xfId="0" applyNumberFormat="1" applyFont="1" applyFill="1" applyBorder="1" applyAlignment="1">
      <alignment horizontal="right" vertical="center"/>
    </xf>
    <xf numFmtId="0" fontId="60" fillId="28" borderId="5" xfId="0" applyFont="1" applyFill="1" applyBorder="1" applyAlignment="1">
      <alignment horizontal="left" vertical="center"/>
    </xf>
    <xf numFmtId="4" fontId="60" fillId="28" borderId="5" xfId="0" applyNumberFormat="1" applyFont="1" applyFill="1" applyBorder="1" applyAlignment="1">
      <alignment horizontal="right" vertical="center"/>
    </xf>
    <xf numFmtId="0" fontId="60" fillId="29" borderId="5" xfId="0" applyFont="1" applyFill="1" applyBorder="1" applyAlignment="1">
      <alignment horizontal="left" vertical="center"/>
    </xf>
    <xf numFmtId="4" fontId="60" fillId="29" borderId="5" xfId="0" applyNumberFormat="1" applyFont="1" applyFill="1" applyBorder="1" applyAlignment="1">
      <alignment horizontal="right" vertical="center"/>
    </xf>
    <xf numFmtId="0" fontId="60" fillId="33" borderId="5" xfId="0" applyFont="1" applyFill="1" applyBorder="1" applyAlignment="1">
      <alignment horizontal="left" vertical="center"/>
    </xf>
    <xf numFmtId="0" fontId="62" fillId="34" borderId="5" xfId="0" applyFont="1" applyFill="1" applyBorder="1" applyAlignment="1">
      <alignment horizontal="left" vertical="center"/>
    </xf>
    <xf numFmtId="4" fontId="62" fillId="34" borderId="5" xfId="0" applyNumberFormat="1" applyFont="1" applyFill="1" applyBorder="1" applyAlignment="1">
      <alignment horizontal="right" vertical="center"/>
    </xf>
    <xf numFmtId="0" fontId="60" fillId="27" borderId="5" xfId="0" applyFont="1" applyFill="1" applyBorder="1" applyAlignment="1">
      <alignment horizontal="left" vertical="center"/>
    </xf>
    <xf numFmtId="0" fontId="7" fillId="32" borderId="5" xfId="0" applyFont="1" applyFill="1" applyBorder="1" applyAlignment="1">
      <alignment horizontal="center" vertical="center" wrapText="1"/>
    </xf>
    <xf numFmtId="0" fontId="7" fillId="31" borderId="5" xfId="0" applyFont="1" applyFill="1" applyBorder="1" applyAlignment="1">
      <alignment horizontal="left" vertical="center"/>
    </xf>
    <xf numFmtId="0" fontId="57" fillId="0" borderId="5" xfId="0" applyFont="1" applyFill="1" applyBorder="1" applyAlignment="1">
      <alignment horizontal="left" vertical="center"/>
    </xf>
    <xf numFmtId="4" fontId="57" fillId="0" borderId="5" xfId="0" applyNumberFormat="1" applyFont="1" applyFill="1" applyBorder="1" applyAlignment="1">
      <alignment horizontal="right" vertical="center"/>
    </xf>
    <xf numFmtId="0" fontId="10" fillId="0" borderId="5" xfId="0" applyFont="1" applyFill="1" applyBorder="1" applyAlignment="1">
      <alignment horizontal="left" vertical="center"/>
    </xf>
    <xf numFmtId="4" fontId="10" fillId="0" borderId="5" xfId="0" applyNumberFormat="1" applyFont="1" applyFill="1" applyBorder="1" applyAlignment="1">
      <alignment horizontal="right" vertical="center"/>
    </xf>
    <xf numFmtId="0" fontId="57" fillId="0" borderId="5" xfId="0" applyFont="1" applyFill="1" applyBorder="1" applyAlignment="1">
      <alignment horizontal="left" vertical="center"/>
    </xf>
    <xf numFmtId="0" fontId="12" fillId="31" borderId="3" xfId="0" applyFont="1" applyFill="1" applyBorder="1" applyAlignment="1">
      <alignment horizontal="center" vertical="center"/>
    </xf>
    <xf numFmtId="0" fontId="6" fillId="35" borderId="0" xfId="0" applyFont="1" applyFill="1" applyBorder="1" applyAlignment="1">
      <alignment horizontal="center" vertical="center"/>
    </xf>
    <xf numFmtId="0" fontId="7" fillId="31" borderId="4" xfId="0" applyFont="1" applyFill="1" applyBorder="1" applyAlignment="1">
      <alignment horizontal="center" vertical="center" wrapText="1"/>
    </xf>
    <xf numFmtId="0" fontId="7" fillId="31" borderId="4" xfId="0" applyFont="1" applyFill="1" applyBorder="1" applyAlignment="1">
      <alignment horizontal="center" vertical="center" wrapText="1"/>
    </xf>
    <xf numFmtId="0" fontId="8" fillId="28" borderId="4" xfId="0" applyFont="1" applyFill="1" applyBorder="1" applyAlignment="1">
      <alignment horizontal="left" vertical="center" wrapText="1"/>
    </xf>
    <xf numFmtId="0" fontId="4" fillId="36" borderId="4" xfId="0" applyFont="1" applyFill="1" applyBorder="1" applyAlignment="1">
      <alignment horizontal="left" vertical="center" wrapText="1"/>
    </xf>
    <xf numFmtId="164" fontId="4" fillId="36" borderId="4" xfId="0" applyNumberFormat="1" applyFont="1" applyFill="1" applyBorder="1" applyAlignment="1">
      <alignment horizontal="right" vertical="center" wrapText="1"/>
    </xf>
    <xf numFmtId="165" fontId="4" fillId="36" borderId="4" xfId="0" applyNumberFormat="1" applyFont="1" applyFill="1" applyBorder="1" applyAlignment="1">
      <alignment horizontal="right" vertical="center" wrapText="1"/>
    </xf>
    <xf numFmtId="0" fontId="4" fillId="36" borderId="4" xfId="0" applyFont="1" applyFill="1" applyBorder="1" applyAlignment="1">
      <alignment horizontal="center" vertical="center" wrapText="1"/>
    </xf>
    <xf numFmtId="0" fontId="4" fillId="36" borderId="4" xfId="0" applyFont="1" applyFill="1" applyBorder="1" applyAlignment="1">
      <alignment horizontal="right" vertical="center" wrapText="1"/>
    </xf>
    <xf numFmtId="0" fontId="63" fillId="37" borderId="4" xfId="0" applyFont="1" applyFill="1" applyBorder="1" applyAlignment="1">
      <alignment horizontal="left" vertical="center" wrapText="1"/>
    </xf>
    <xf numFmtId="164" fontId="63" fillId="37" borderId="4" xfId="0" applyNumberFormat="1" applyFont="1" applyFill="1" applyBorder="1" applyAlignment="1">
      <alignment horizontal="right" vertical="center" wrapText="1"/>
    </xf>
    <xf numFmtId="165" fontId="63" fillId="37" borderId="4" xfId="0" applyNumberFormat="1" applyFont="1" applyFill="1" applyBorder="1" applyAlignment="1">
      <alignment horizontal="right" vertical="center" wrapText="1"/>
    </xf>
    <xf numFmtId="0" fontId="63" fillId="37" borderId="4" xfId="0" applyFont="1" applyFill="1" applyBorder="1" applyAlignment="1">
      <alignment horizontal="center" vertical="center" wrapText="1"/>
    </xf>
    <xf numFmtId="0" fontId="63" fillId="38" borderId="4" xfId="0" applyFont="1" applyFill="1" applyBorder="1" applyAlignment="1">
      <alignment horizontal="left" vertical="center" wrapText="1"/>
    </xf>
    <xf numFmtId="0" fontId="7" fillId="31" borderId="0" xfId="0" applyFont="1" applyFill="1" applyAlignment="1">
      <alignment horizontal="left" vertical="center" wrapText="1"/>
    </xf>
    <xf numFmtId="164" fontId="7" fillId="31" borderId="0" xfId="0" applyNumberFormat="1" applyFont="1" applyFill="1" applyAlignment="1">
      <alignment horizontal="right" vertical="center" wrapText="1"/>
    </xf>
    <xf numFmtId="165" fontId="7" fillId="31" borderId="0" xfId="0" applyNumberFormat="1" applyFont="1" applyFill="1" applyAlignment="1">
      <alignment horizontal="right" vertical="center" wrapText="1"/>
    </xf>
    <xf numFmtId="0" fontId="7" fillId="31" borderId="0" xfId="0" applyFont="1" applyFill="1" applyAlignment="1">
      <alignment horizontal="center" vertical="center" wrapText="1"/>
    </xf>
    <xf numFmtId="0" fontId="63" fillId="37" borderId="0" xfId="0" applyFont="1" applyFill="1" applyAlignment="1">
      <alignment horizontal="left" vertical="center" wrapText="1"/>
    </xf>
    <xf numFmtId="164" fontId="63" fillId="37" borderId="0" xfId="0" applyNumberFormat="1" applyFont="1" applyFill="1" applyAlignment="1">
      <alignment horizontal="right" vertical="center" wrapText="1"/>
    </xf>
    <xf numFmtId="165" fontId="63" fillId="37" borderId="0" xfId="0" applyNumberFormat="1" applyFont="1" applyFill="1" applyAlignment="1">
      <alignment horizontal="right" vertical="center" wrapText="1"/>
    </xf>
    <xf numFmtId="0" fontId="63" fillId="37" borderId="0" xfId="0" applyFont="1" applyFill="1" applyAlignment="1">
      <alignment horizontal="center" vertical="center" wrapText="1"/>
    </xf>
    <xf numFmtId="0" fontId="63" fillId="31" borderId="0" xfId="0" applyFont="1" applyFill="1" applyAlignment="1">
      <alignment horizontal="left" vertical="center" wrapText="1"/>
    </xf>
    <xf numFmtId="164" fontId="63" fillId="31" borderId="0" xfId="0" applyNumberFormat="1" applyFont="1" applyFill="1" applyAlignment="1">
      <alignment horizontal="right" vertical="center" wrapText="1"/>
    </xf>
    <xf numFmtId="165" fontId="63" fillId="31" borderId="0" xfId="0" applyNumberFormat="1" applyFont="1" applyFill="1" applyAlignment="1">
      <alignment horizontal="right" vertical="center" wrapText="1"/>
    </xf>
    <xf numFmtId="0" fontId="63" fillId="31" borderId="0" xfId="0" applyFont="1" applyFill="1" applyAlignment="1">
      <alignment horizontal="center" vertical="center" wrapText="1"/>
    </xf>
    <xf numFmtId="0" fontId="9" fillId="31" borderId="1" xfId="0" applyFont="1" applyFill="1" applyBorder="1" applyAlignment="1">
      <alignment horizontal="left" vertical="center"/>
    </xf>
    <xf numFmtId="0" fontId="6" fillId="32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8" fillId="0" borderId="0" xfId="0" applyFont="1" applyFill="1" applyAlignment="1">
      <alignment horizontal="center" vertical="center" wrapText="1"/>
    </xf>
    <xf numFmtId="164" fontId="8" fillId="0" borderId="0" xfId="0" applyNumberFormat="1" applyFont="1" applyFill="1" applyAlignment="1">
      <alignment horizontal="right" vertical="center" wrapText="1"/>
    </xf>
    <xf numFmtId="165" fontId="8" fillId="0" borderId="0" xfId="0" applyNumberFormat="1" applyFont="1" applyFill="1" applyAlignment="1">
      <alignment horizontal="right" vertical="center" wrapText="1"/>
    </xf>
    <xf numFmtId="0" fontId="6" fillId="31" borderId="26" xfId="0" applyFont="1" applyFill="1" applyBorder="1" applyAlignment="1">
      <alignment horizontal="left" vertical="center"/>
    </xf>
    <xf numFmtId="0" fontId="57" fillId="0" borderId="27" xfId="0" applyFont="1" applyFill="1" applyBorder="1" applyAlignment="1">
      <alignment horizontal="left" vertical="center"/>
    </xf>
    <xf numFmtId="0" fontId="57" fillId="0" borderId="5" xfId="0" applyFont="1" applyFill="1" applyBorder="1" applyAlignment="1">
      <alignment horizontal="center" vertical="center" wrapText="1"/>
    </xf>
    <xf numFmtId="0" fontId="57" fillId="0" borderId="5" xfId="0" applyFont="1" applyFill="1" applyBorder="1" applyAlignment="1">
      <alignment horizontal="center" vertical="center" wrapText="1"/>
    </xf>
    <xf numFmtId="0" fontId="64" fillId="0" borderId="0" xfId="0" applyFont="1" applyFill="1" applyBorder="1" applyAlignment="1">
      <alignment horizontal="left" vertical="top" wrapText="1"/>
    </xf>
    <xf numFmtId="0" fontId="3" fillId="31" borderId="0" xfId="0" applyFont="1" applyFill="1" applyBorder="1" applyAlignment="1">
      <alignment horizontal="center" vertical="center"/>
    </xf>
    <xf numFmtId="0" fontId="6" fillId="31" borderId="0" xfId="0" applyFont="1" applyFill="1" applyBorder="1" applyAlignment="1">
      <alignment horizontal="left" vertical="center"/>
    </xf>
    <xf numFmtId="0" fontId="7" fillId="32" borderId="0" xfId="0" applyFont="1" applyFill="1" applyAlignment="1">
      <alignment horizontal="left" vertical="center" wrapText="1"/>
    </xf>
    <xf numFmtId="0" fontId="10" fillId="0" borderId="0" xfId="0" applyFont="1" applyFill="1" applyAlignment="1">
      <alignment horizontal="left" vertical="top" wrapText="1"/>
    </xf>
    <xf numFmtId="0" fontId="6" fillId="2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top" wrapText="1"/>
    </xf>
    <xf numFmtId="0" fontId="57" fillId="0" borderId="0" xfId="0" applyFont="1" applyFill="1" applyAlignment="1">
      <alignment horizontal="left" vertical="center" wrapText="1"/>
    </xf>
    <xf numFmtId="0" fontId="57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8F8FC"/>
      <rgbColor rgb="FFFF00FF"/>
      <rgbColor rgb="FFEBF3FB"/>
      <rgbColor rgb="FF800000"/>
      <rgbColor rgb="FF1E5631"/>
      <rgbColor rgb="FF1F3864"/>
      <rgbColor rgb="FF808000"/>
      <rgbColor rgb="FF800080"/>
      <rgbColor rgb="FF0070C0"/>
      <rgbColor rgb="FFBFBFBF"/>
      <rgbColor rgb="FF555555"/>
      <rgbColor rgb="FFD9E1F2"/>
      <rgbColor rgb="FF2E5090"/>
      <rgbColor rgb="FFFFF2CC"/>
      <rgbColor rgb="FFDDEBF7"/>
      <rgbColor rgb="FF18507A"/>
      <rgbColor rgb="FFD9E3F3"/>
      <rgbColor rgb="FF0563C1"/>
      <rgbColor rgb="FFBDD7EE"/>
      <rgbColor rgb="FF1F3F5A"/>
      <rgbColor rgb="FFFF00FF"/>
      <rgbColor rgb="FFEBF0FA"/>
      <rgbColor rgb="FF00FFFF"/>
      <rgbColor rgb="FF800080"/>
      <rgbColor rgb="FF800000"/>
      <rgbColor rgb="FF2E5FA3"/>
      <rgbColor rgb="FF0000FF"/>
      <rgbColor rgb="FF00CCFF"/>
      <rgbColor rgb="FFD5E8F5"/>
      <rgbColor rgb="FFDEEAF1"/>
      <rgbColor rgb="FFF2F2F2"/>
      <rgbColor rgb="FFB4C7E7"/>
      <rgbColor rgb="FFDDDDDD"/>
      <rgbColor rgb="FFD9D9D9"/>
      <rgbColor rgb="FFFBE5D6"/>
      <rgbColor rgb="FF3273B8"/>
      <rgbColor rgb="FFD6E4F7"/>
      <rgbColor rgb="FFDCE6F1"/>
      <rgbColor rgb="FFE0E0E0"/>
      <rgbColor rgb="FFE49C1D"/>
      <rgbColor rgb="FFC55A11"/>
      <rgbColor rgb="FF595959"/>
      <rgbColor rgb="FFA7A7A7"/>
      <rgbColor rgb="FF002060"/>
      <rgbColor rgb="FF2E5395"/>
      <rgbColor rgb="FF1A1A2E"/>
      <rgbColor rgb="FF22222F"/>
      <rgbColor rgb="FF7B3F00"/>
      <rgbColor rgb="FF1A5276"/>
      <rgbColor rgb="FF203864"/>
      <rgbColor rgb="FF1D324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</a:t>
            </a:r>
            <a:r>
              <a:rPr lang="en-IN" baseline="0"/>
              <a:t> Forecasting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Forecasting!$F$10:$F$14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Forecasting!$G$10:$G$14</c:f>
              <c:numCache>
                <c:formatCode>#,##0.00</c:formatCode>
                <c:ptCount val="5"/>
                <c:pt idx="0">
                  <c:v>19745.646999999997</c:v>
                </c:pt>
                <c:pt idx="1">
                  <c:v>21002.841999999997</c:v>
                </c:pt>
                <c:pt idx="2">
                  <c:v>22260.036999999997</c:v>
                </c:pt>
                <c:pt idx="3">
                  <c:v>23517.231999999996</c:v>
                </c:pt>
                <c:pt idx="4">
                  <c:v>24774.426999999996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3-4F3B-A32F-922EB12A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34998232"/>
        <c:axId val="316855960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Forecasting!$F$10:$F$14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Forecasting!$H$10:$H$14</c:f>
              <c:numCache>
                <c:formatCode>0.0%</c:formatCode>
                <c:ptCount val="5"/>
                <c:pt idx="0">
                  <c:v>9.7263848716473908E-2</c:v>
                </c:pt>
                <c:pt idx="1">
                  <c:v>6.366947611288705E-2</c:v>
                </c:pt>
                <c:pt idx="2">
                  <c:v>5.9858327744407157E-2</c:v>
                </c:pt>
                <c:pt idx="3">
                  <c:v>5.6477668927504471E-2</c:v>
                </c:pt>
                <c:pt idx="4">
                  <c:v>5.3458459737098306E-2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3-4F3B-A32F-922EB12AD5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2524456"/>
        <c:axId val="312529376"/>
      </c:lineChart>
      <c:dateAx>
        <c:axId val="434998232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6855960"/>
        <c:crosses val="autoZero"/>
        <c:auto val="1"/>
        <c:lblOffset val="100"/>
        <c:baseTimeUnit val="years"/>
      </c:dateAx>
      <c:valAx>
        <c:axId val="31685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998232"/>
        <c:crosses val="autoZero"/>
        <c:crossBetween val="between"/>
      </c:valAx>
      <c:valAx>
        <c:axId val="312529376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2524456"/>
        <c:crosses val="max"/>
        <c:crossBetween val="between"/>
      </c:valAx>
      <c:dateAx>
        <c:axId val="312524456"/>
        <c:scaling>
          <c:orientation val="minMax"/>
        </c:scaling>
        <c:delete val="1"/>
        <c:axPos val="b"/>
        <c:numFmt formatCode="yyyy\E" sourceLinked="1"/>
        <c:majorTickMark val="out"/>
        <c:minorTickMark val="none"/>
        <c:tickLblPos val="nextTo"/>
        <c:crossAx val="312529376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EBITDA</a:t>
            </a:r>
            <a:r>
              <a:rPr lang="en-IN" baseline="0"/>
              <a:t> Forecasting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Forecasting!$K$10:$K$14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Forecasting!$L$10:$L$14</c:f>
              <c:numCache>
                <c:formatCode>#,##0.00</c:formatCode>
                <c:ptCount val="5"/>
                <c:pt idx="0">
                  <c:v>2157.7359999999999</c:v>
                </c:pt>
                <c:pt idx="1">
                  <c:v>2279.3519999999999</c:v>
                </c:pt>
                <c:pt idx="2">
                  <c:v>2400.9679999999998</c:v>
                </c:pt>
                <c:pt idx="3">
                  <c:v>2522.5839999999998</c:v>
                </c:pt>
                <c:pt idx="4">
                  <c:v>2644.2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00-4285-B0AF-B7B044443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586112"/>
        <c:axId val="601586440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Forecasting!$K$10:$K$14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Forecasting!$M$10:$M$14</c:f>
              <c:numCache>
                <c:formatCode>0.0%</c:formatCode>
                <c:ptCount val="5"/>
                <c:pt idx="0">
                  <c:v>9.4575153452036695E-2</c:v>
                </c:pt>
                <c:pt idx="1">
                  <c:v>5.6362780247444538E-2</c:v>
                </c:pt>
                <c:pt idx="2">
                  <c:v>5.3355515076214638E-2</c:v>
                </c:pt>
                <c:pt idx="3">
                  <c:v>5.0652903328990639E-2</c:v>
                </c:pt>
                <c:pt idx="4">
                  <c:v>4.8210882174785849E-2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00-4285-B0AF-B7B044443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7780552"/>
        <c:axId val="607779240"/>
      </c:lineChart>
      <c:dateAx>
        <c:axId val="601586112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86440"/>
        <c:crosses val="autoZero"/>
        <c:auto val="1"/>
        <c:lblOffset val="100"/>
        <c:baseTimeUnit val="years"/>
      </c:dateAx>
      <c:valAx>
        <c:axId val="60158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1586112"/>
        <c:crosses val="autoZero"/>
        <c:crossBetween val="between"/>
      </c:valAx>
      <c:valAx>
        <c:axId val="60777924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7780552"/>
        <c:crosses val="max"/>
        <c:crossBetween val="between"/>
      </c:valAx>
      <c:dateAx>
        <c:axId val="607780552"/>
        <c:scaling>
          <c:orientation val="minMax"/>
        </c:scaling>
        <c:delete val="1"/>
        <c:axPos val="b"/>
        <c:numFmt formatCode="yyyy\E" sourceLinked="1"/>
        <c:majorTickMark val="out"/>
        <c:minorTickMark val="none"/>
        <c:tickLblPos val="nextTo"/>
        <c:crossAx val="607779240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EPS</a:t>
            </a:r>
            <a:r>
              <a:rPr lang="en-IN" baseline="0"/>
              <a:t> Forecasting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>
                    <a:lumMod val="102000"/>
                    <a:tint val="94000"/>
                  </a:schemeClr>
                </a:gs>
                <a:gs pos="50000">
                  <a:schemeClr val="accent1"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hade val="78000"/>
                  </a:schemeClr>
                </a:gs>
              </a:gsLst>
              <a:lin ang="5400000" scaled="0"/>
              <a:tileRect/>
            </a:gradFill>
            <a:ln>
              <a:noFill/>
            </a:ln>
            <a:effectLst/>
          </c:spPr>
          <c:invertIfNegative val="0"/>
          <c:cat>
            <c:numRef>
              <c:f>Forecasting!$P$10:$P$14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Forecasting!$Q$10:$Q$14</c:f>
              <c:numCache>
                <c:formatCode>#,##0.00</c:formatCode>
                <c:ptCount val="5"/>
                <c:pt idx="0">
                  <c:v>-6.8999999999999986</c:v>
                </c:pt>
                <c:pt idx="1">
                  <c:v>-15.200000000000003</c:v>
                </c:pt>
                <c:pt idx="2">
                  <c:v>-23.5</c:v>
                </c:pt>
                <c:pt idx="3">
                  <c:v>-31.799999999999997</c:v>
                </c:pt>
                <c:pt idx="4">
                  <c:v>-40.099999999999994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1F-40CF-873E-4597B0C42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0998176"/>
        <c:axId val="600998832"/>
      </c:barChart>
      <c:lineChart>
        <c:grouping val="standard"/>
        <c:varyColors val="0"/>
        <c:ser>
          <c:idx val="1"/>
          <c:order val="1"/>
          <c:spPr>
            <a:ln w="3492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Forecasting!$P$10:$P$14</c:f>
              <c:numCache>
                <c:formatCode>yyyy\E</c:formatCode>
                <c:ptCount val="5"/>
                <c:pt idx="0">
                  <c:v>46447</c:v>
                </c:pt>
                <c:pt idx="1">
                  <c:v>46813</c:v>
                </c:pt>
                <c:pt idx="2">
                  <c:v>47178</c:v>
                </c:pt>
                <c:pt idx="3">
                  <c:v>47543</c:v>
                </c:pt>
                <c:pt idx="4">
                  <c:v>47908</c:v>
                </c:pt>
              </c:numCache>
            </c:numRef>
          </c:cat>
          <c:val>
            <c:numRef>
              <c:f>Forecasting!$R$10:$R$14</c:f>
              <c:numCache>
                <c:formatCode>0.0%</c:formatCode>
                <c:ptCount val="5"/>
                <c:pt idx="0">
                  <c:v>-1.69</c:v>
                </c:pt>
                <c:pt idx="1">
                  <c:v>1.2028985507246386</c:v>
                </c:pt>
                <c:pt idx="2">
                  <c:v>0.54605263157894712</c:v>
                </c:pt>
                <c:pt idx="3">
                  <c:v>0.35319148936170203</c:v>
                </c:pt>
                <c:pt idx="4">
                  <c:v>0.26100628930817604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1F-40CF-873E-4597B0C424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0996864"/>
        <c:axId val="600995880"/>
      </c:lineChart>
      <c:dateAx>
        <c:axId val="600998176"/>
        <c:scaling>
          <c:orientation val="minMax"/>
        </c:scaling>
        <c:delete val="0"/>
        <c:axPos val="b"/>
        <c:numFmt formatCode="yyyy\E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98832"/>
        <c:crosses val="autoZero"/>
        <c:auto val="1"/>
        <c:lblOffset val="100"/>
        <c:baseTimeUnit val="years"/>
      </c:dateAx>
      <c:valAx>
        <c:axId val="6009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98176"/>
        <c:crosses val="autoZero"/>
        <c:crossBetween val="between"/>
      </c:valAx>
      <c:valAx>
        <c:axId val="600995880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996864"/>
        <c:crosses val="max"/>
        <c:crossBetween val="between"/>
      </c:valAx>
      <c:dateAx>
        <c:axId val="600996864"/>
        <c:scaling>
          <c:orientation val="minMax"/>
        </c:scaling>
        <c:delete val="1"/>
        <c:axPos val="b"/>
        <c:numFmt formatCode="yyyy\E" sourceLinked="1"/>
        <c:majorTickMark val="out"/>
        <c:minorTickMark val="none"/>
        <c:tickLblPos val="nextTo"/>
        <c:crossAx val="600995880"/>
        <c:crosses val="autoZero"/>
        <c:auto val="1"/>
        <c:lblOffset val="100"/>
        <c:baseTimeUnit val="year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17</xdr:row>
      <xdr:rowOff>3810</xdr:rowOff>
    </xdr:from>
    <xdr:to>
      <xdr:col>8</xdr:col>
      <xdr:colOff>220980</xdr:colOff>
      <xdr:row>32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2ECB80-1A87-4720-A598-D80AABBE1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259080</xdr:colOff>
      <xdr:row>17</xdr:row>
      <xdr:rowOff>3810</xdr:rowOff>
    </xdr:from>
    <xdr:to>
      <xdr:col>14</xdr:col>
      <xdr:colOff>396240</xdr:colOff>
      <xdr:row>32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89DBD9-498F-4D81-B71C-27E6CBDE81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419100</xdr:colOff>
      <xdr:row>17</xdr:row>
      <xdr:rowOff>26670</xdr:rowOff>
    </xdr:from>
    <xdr:to>
      <xdr:col>21</xdr:col>
      <xdr:colOff>274320</xdr:colOff>
      <xdr:row>32</xdr:row>
      <xdr:rowOff>26670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000A597-DDB8-4DA5-A367-04B7CF963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53280</xdr:colOff>
      <xdr:row>0</xdr:row>
      <xdr:rowOff>0</xdr:rowOff>
    </xdr:from>
    <xdr:to>
      <xdr:col>22</xdr:col>
      <xdr:colOff>113760</xdr:colOff>
      <xdr:row>15</xdr:row>
      <xdr:rowOff>174960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930440" y="0"/>
          <a:ext cx="7390800" cy="414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22</xdr:col>
      <xdr:colOff>7200</xdr:colOff>
      <xdr:row>40</xdr:row>
      <xdr:rowOff>159780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7877160" y="4505400"/>
          <a:ext cx="7337520" cy="72349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22</xdr:col>
      <xdr:colOff>76320</xdr:colOff>
      <xdr:row>0</xdr:row>
      <xdr:rowOff>0</xdr:rowOff>
    </xdr:from>
    <xdr:to>
      <xdr:col>36</xdr:col>
      <xdr:colOff>15120</xdr:colOff>
      <xdr:row>16</xdr:row>
      <xdr:rowOff>22680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5283800" y="0"/>
          <a:ext cx="8490960" cy="452808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neycontrol.com/india/stockpricequote/electric-equipment/hblengineering/HBL02" TargetMode="External"/><Relationship Id="rId2" Type="http://schemas.openxmlformats.org/officeDocument/2006/relationships/hyperlink" Target="https://www.moneycontrol.com/india/stockpricequote/auto-ancillaries/amararajaenergymobility/ARB" TargetMode="External"/><Relationship Id="rId1" Type="http://schemas.openxmlformats.org/officeDocument/2006/relationships/hyperlink" Target="https://www.moneycontrol.com/india/stockpricequote/auto-ancillaries/exideindustries/EI" TargetMode="External"/><Relationship Id="rId5" Type="http://schemas.openxmlformats.org/officeDocument/2006/relationships/hyperlink" Target="https://www.moneycontrol.com/india/stockpricequote/dry-cells/highenergybatteriesindia/HEB" TargetMode="External"/><Relationship Id="rId4" Type="http://schemas.openxmlformats.org/officeDocument/2006/relationships/hyperlink" Target="https://www.moneycontrol.com/india/stockpricequote/dry-cells/evereadyindustriesindia/EII02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2"/>
  <sheetViews>
    <sheetView zoomScaleNormal="100" workbookViewId="0">
      <selection activeCell="L17" sqref="L17"/>
    </sheetView>
  </sheetViews>
  <sheetFormatPr defaultColWidth="8.6640625" defaultRowHeight="14.4" x14ac:dyDescent="0.3"/>
  <cols>
    <col min="1" max="1" width="16" customWidth="1"/>
    <col min="2" max="2" width="24" customWidth="1"/>
    <col min="3" max="3" width="18" customWidth="1"/>
    <col min="4" max="4" width="34" customWidth="1"/>
    <col min="5" max="10" width="13" customWidth="1"/>
  </cols>
  <sheetData>
    <row r="1" spans="1:10" ht="22.8" x14ac:dyDescent="0.3">
      <c r="A1" s="321" t="s">
        <v>0</v>
      </c>
      <c r="B1" s="321"/>
      <c r="C1" s="321"/>
      <c r="D1" s="321"/>
      <c r="E1" s="321"/>
      <c r="F1" s="321"/>
      <c r="G1" s="321"/>
      <c r="H1" s="321"/>
      <c r="I1" s="321"/>
      <c r="J1" s="321"/>
    </row>
    <row r="3" spans="1:10" x14ac:dyDescent="0.3">
      <c r="A3" s="320" t="s">
        <v>673</v>
      </c>
      <c r="B3" s="320"/>
      <c r="C3" s="320"/>
      <c r="D3" s="320"/>
      <c r="E3" s="320"/>
      <c r="F3" s="320"/>
      <c r="G3" s="320"/>
      <c r="H3" s="320"/>
      <c r="I3" s="320"/>
      <c r="J3" s="320"/>
    </row>
    <row r="4" spans="1:10" x14ac:dyDescent="0.3">
      <c r="A4" s="320"/>
      <c r="B4" s="320"/>
      <c r="C4" s="320"/>
      <c r="D4" s="320"/>
      <c r="E4" s="320"/>
      <c r="F4" s="320"/>
      <c r="G4" s="320"/>
      <c r="H4" s="320"/>
      <c r="I4" s="320"/>
      <c r="J4" s="320"/>
    </row>
    <row r="5" spans="1:10" x14ac:dyDescent="0.3">
      <c r="A5" s="320"/>
      <c r="B5" s="320"/>
      <c r="C5" s="320"/>
      <c r="D5" s="320"/>
      <c r="E5" s="320"/>
      <c r="F5" s="320"/>
      <c r="G5" s="320"/>
      <c r="H5" s="320"/>
      <c r="I5" s="320"/>
      <c r="J5" s="320"/>
    </row>
    <row r="6" spans="1:10" x14ac:dyDescent="0.3">
      <c r="A6" s="320"/>
      <c r="B6" s="320"/>
      <c r="C6" s="320"/>
      <c r="D6" s="320"/>
      <c r="E6" s="320"/>
      <c r="F6" s="320"/>
      <c r="G6" s="320"/>
      <c r="H6" s="320"/>
      <c r="I6" s="320"/>
      <c r="J6" s="320"/>
    </row>
    <row r="7" spans="1:10" x14ac:dyDescent="0.3">
      <c r="A7" s="320"/>
      <c r="B7" s="320"/>
      <c r="C7" s="320"/>
      <c r="D7" s="320"/>
      <c r="E7" s="320"/>
      <c r="F7" s="320"/>
      <c r="G7" s="320"/>
      <c r="H7" s="320"/>
      <c r="I7" s="320"/>
      <c r="J7" s="320"/>
    </row>
    <row r="8" spans="1:10" x14ac:dyDescent="0.3">
      <c r="A8" s="320"/>
      <c r="B8" s="320"/>
      <c r="C8" s="320"/>
      <c r="D8" s="320"/>
      <c r="E8" s="320"/>
      <c r="F8" s="320"/>
      <c r="G8" s="320"/>
      <c r="H8" s="320"/>
      <c r="I8" s="320"/>
      <c r="J8" s="320"/>
    </row>
    <row r="9" spans="1:10" x14ac:dyDescent="0.3">
      <c r="A9" s="320"/>
      <c r="B9" s="320"/>
      <c r="C9" s="320"/>
      <c r="D9" s="320"/>
      <c r="E9" s="320"/>
      <c r="F9" s="320"/>
      <c r="G9" s="320"/>
      <c r="H9" s="320"/>
      <c r="I9" s="320"/>
      <c r="J9" s="320"/>
    </row>
    <row r="10" spans="1:10" x14ac:dyDescent="0.3">
      <c r="A10" s="320"/>
      <c r="B10" s="320"/>
      <c r="C10" s="320"/>
      <c r="D10" s="320"/>
      <c r="E10" s="320"/>
      <c r="F10" s="320"/>
      <c r="G10" s="320"/>
      <c r="H10" s="320"/>
      <c r="I10" s="320"/>
      <c r="J10" s="320"/>
    </row>
    <row r="11" spans="1:10" x14ac:dyDescent="0.3">
      <c r="A11" s="320"/>
      <c r="B11" s="320"/>
      <c r="C11" s="320"/>
      <c r="D11" s="320"/>
      <c r="E11" s="320"/>
      <c r="F11" s="320"/>
      <c r="G11" s="320"/>
      <c r="H11" s="320"/>
      <c r="I11" s="320"/>
      <c r="J11" s="320"/>
    </row>
    <row r="12" spans="1:10" x14ac:dyDescent="0.3">
      <c r="A12" s="320"/>
      <c r="B12" s="320"/>
      <c r="C12" s="320"/>
      <c r="D12" s="320"/>
      <c r="E12" s="320"/>
      <c r="F12" s="320"/>
      <c r="G12" s="320"/>
      <c r="H12" s="320"/>
      <c r="I12" s="320"/>
      <c r="J12" s="320"/>
    </row>
    <row r="13" spans="1:10" x14ac:dyDescent="0.3">
      <c r="A13" s="320"/>
      <c r="B13" s="320"/>
      <c r="C13" s="320"/>
      <c r="D13" s="320"/>
      <c r="E13" s="320"/>
      <c r="F13" s="320"/>
      <c r="G13" s="320"/>
      <c r="H13" s="320"/>
      <c r="I13" s="320"/>
      <c r="J13" s="320"/>
    </row>
    <row r="14" spans="1:10" x14ac:dyDescent="0.3">
      <c r="A14" s="320"/>
      <c r="B14" s="320"/>
      <c r="C14" s="320"/>
      <c r="D14" s="320"/>
      <c r="E14" s="320"/>
      <c r="F14" s="320"/>
      <c r="G14" s="320"/>
      <c r="H14" s="320"/>
      <c r="I14" s="320"/>
      <c r="J14" s="320"/>
    </row>
    <row r="15" spans="1:10" ht="134.4" customHeight="1" x14ac:dyDescent="0.3">
      <c r="A15" s="320"/>
      <c r="B15" s="320"/>
      <c r="C15" s="320"/>
      <c r="D15" s="320"/>
      <c r="E15" s="320"/>
      <c r="F15" s="320"/>
      <c r="G15" s="320"/>
      <c r="H15" s="320"/>
      <c r="I15" s="320"/>
      <c r="J15" s="320"/>
    </row>
    <row r="17" spans="1:10" x14ac:dyDescent="0.3">
      <c r="A17" s="322" t="s">
        <v>1</v>
      </c>
      <c r="B17" s="322"/>
      <c r="C17" s="322"/>
      <c r="D17" s="322"/>
      <c r="E17" s="322"/>
      <c r="F17" s="322"/>
      <c r="G17" s="322"/>
      <c r="H17" s="322"/>
      <c r="I17" s="322"/>
      <c r="J17" s="322"/>
    </row>
    <row r="18" spans="1:10" x14ac:dyDescent="0.3">
      <c r="A18" s="323" t="s">
        <v>2</v>
      </c>
      <c r="B18" s="323" t="s">
        <v>3</v>
      </c>
      <c r="C18" s="323" t="s">
        <v>4</v>
      </c>
      <c r="D18" s="323" t="s">
        <v>5</v>
      </c>
    </row>
    <row r="19" spans="1:10" ht="105.6" x14ac:dyDescent="0.3">
      <c r="A19" s="324">
        <v>1</v>
      </c>
      <c r="B19" s="324" t="s">
        <v>6</v>
      </c>
      <c r="C19" s="324" t="s">
        <v>7</v>
      </c>
      <c r="D19" s="324" t="s">
        <v>8</v>
      </c>
    </row>
    <row r="20" spans="1:10" ht="66" x14ac:dyDescent="0.3">
      <c r="A20" s="324">
        <v>2</v>
      </c>
      <c r="B20" s="324" t="s">
        <v>9</v>
      </c>
      <c r="C20" s="324" t="s">
        <v>7</v>
      </c>
      <c r="D20" s="324" t="s">
        <v>10</v>
      </c>
    </row>
    <row r="21" spans="1:10" ht="52.8" x14ac:dyDescent="0.3">
      <c r="A21" s="324">
        <v>3</v>
      </c>
      <c r="B21" s="324" t="s">
        <v>11</v>
      </c>
      <c r="C21" s="324" t="s">
        <v>12</v>
      </c>
      <c r="D21" s="324" t="s">
        <v>13</v>
      </c>
    </row>
    <row r="22" spans="1:10" ht="39.6" x14ac:dyDescent="0.3">
      <c r="A22" s="324">
        <v>4</v>
      </c>
      <c r="B22" s="324" t="s">
        <v>14</v>
      </c>
      <c r="C22" s="324" t="s">
        <v>12</v>
      </c>
      <c r="D22" s="324" t="s">
        <v>15</v>
      </c>
    </row>
    <row r="23" spans="1:10" ht="39.6" x14ac:dyDescent="0.3">
      <c r="A23" s="324">
        <v>5</v>
      </c>
      <c r="B23" s="324" t="s">
        <v>16</v>
      </c>
      <c r="C23" s="324" t="s">
        <v>17</v>
      </c>
      <c r="D23" s="324" t="s">
        <v>18</v>
      </c>
    </row>
    <row r="24" spans="1:10" ht="39.6" x14ac:dyDescent="0.3">
      <c r="A24" s="324">
        <v>6</v>
      </c>
      <c r="B24" s="324" t="s">
        <v>19</v>
      </c>
      <c r="C24" s="324" t="s">
        <v>20</v>
      </c>
      <c r="D24" s="324" t="s">
        <v>21</v>
      </c>
    </row>
    <row r="25" spans="1:10" ht="32.4" customHeight="1" x14ac:dyDescent="0.3">
      <c r="A25" s="186" t="s">
        <v>22</v>
      </c>
      <c r="B25" s="186"/>
      <c r="C25" s="186" t="s">
        <v>23</v>
      </c>
      <c r="D25" s="186"/>
    </row>
    <row r="27" spans="1:10" x14ac:dyDescent="0.3">
      <c r="A27" s="325" t="s">
        <v>24</v>
      </c>
      <c r="B27" s="325"/>
      <c r="C27" s="325"/>
      <c r="D27" s="325"/>
      <c r="E27" s="325"/>
      <c r="F27" s="325"/>
      <c r="G27" s="325"/>
      <c r="H27" s="325"/>
      <c r="I27" s="325"/>
      <c r="J27" s="325"/>
    </row>
    <row r="28" spans="1:10" x14ac:dyDescent="0.3">
      <c r="A28" s="326" t="s">
        <v>25</v>
      </c>
      <c r="B28" s="326"/>
      <c r="C28" s="326"/>
      <c r="D28" s="326"/>
    </row>
    <row r="29" spans="1:10" x14ac:dyDescent="0.3">
      <c r="A29" s="326" t="s">
        <v>26</v>
      </c>
      <c r="B29" s="326"/>
      <c r="C29" s="326"/>
      <c r="D29" s="326"/>
    </row>
    <row r="30" spans="1:10" x14ac:dyDescent="0.3">
      <c r="A30" s="326" t="s">
        <v>27</v>
      </c>
      <c r="B30" s="326"/>
      <c r="C30" s="326"/>
      <c r="D30" s="326"/>
    </row>
    <row r="32" spans="1:10" x14ac:dyDescent="0.3">
      <c r="A32" s="325" t="s">
        <v>28</v>
      </c>
      <c r="B32" s="325"/>
      <c r="C32" s="325"/>
      <c r="D32" s="325"/>
      <c r="E32" s="325"/>
      <c r="F32" s="325"/>
      <c r="G32" s="325"/>
      <c r="H32" s="325"/>
      <c r="I32" s="325"/>
      <c r="J32" s="325"/>
    </row>
    <row r="33" spans="1:4" x14ac:dyDescent="0.3">
      <c r="A33" s="327" t="s">
        <v>29</v>
      </c>
      <c r="B33" s="327" t="s">
        <v>30</v>
      </c>
      <c r="C33" s="327" t="s">
        <v>31</v>
      </c>
      <c r="D33" s="327" t="s">
        <v>32</v>
      </c>
    </row>
    <row r="34" spans="1:4" ht="26.4" x14ac:dyDescent="0.3">
      <c r="A34" s="324" t="s">
        <v>33</v>
      </c>
      <c r="B34" s="324" t="s">
        <v>34</v>
      </c>
      <c r="C34" s="324" t="s">
        <v>35</v>
      </c>
      <c r="D34" s="324" t="s">
        <v>36</v>
      </c>
    </row>
    <row r="35" spans="1:4" x14ac:dyDescent="0.3">
      <c r="A35" s="324" t="s">
        <v>33</v>
      </c>
      <c r="B35" s="324" t="s">
        <v>37</v>
      </c>
      <c r="C35" s="324" t="s">
        <v>38</v>
      </c>
      <c r="D35" s="324" t="s">
        <v>39</v>
      </c>
    </row>
    <row r="36" spans="1:4" x14ac:dyDescent="0.3">
      <c r="A36" s="324" t="s">
        <v>33</v>
      </c>
      <c r="B36" s="324" t="s">
        <v>40</v>
      </c>
      <c r="C36" s="324" t="s">
        <v>41</v>
      </c>
      <c r="D36" s="324" t="s">
        <v>42</v>
      </c>
    </row>
    <row r="37" spans="1:4" ht="26.4" x14ac:dyDescent="0.3">
      <c r="A37" s="324" t="s">
        <v>33</v>
      </c>
      <c r="B37" s="324" t="s">
        <v>43</v>
      </c>
      <c r="C37" s="324" t="s">
        <v>44</v>
      </c>
      <c r="D37" s="324" t="s">
        <v>45</v>
      </c>
    </row>
    <row r="38" spans="1:4" x14ac:dyDescent="0.3">
      <c r="A38" s="324" t="s">
        <v>33</v>
      </c>
      <c r="B38" s="324" t="s">
        <v>46</v>
      </c>
      <c r="C38" s="324" t="s">
        <v>47</v>
      </c>
      <c r="D38" s="324" t="s">
        <v>48</v>
      </c>
    </row>
    <row r="39" spans="1:4" ht="26.4" x14ac:dyDescent="0.3">
      <c r="A39" s="324" t="s">
        <v>33</v>
      </c>
      <c r="B39" s="324" t="s">
        <v>49</v>
      </c>
      <c r="C39" s="324" t="s">
        <v>50</v>
      </c>
      <c r="D39" s="324" t="s">
        <v>51</v>
      </c>
    </row>
    <row r="40" spans="1:4" ht="26.4" x14ac:dyDescent="0.3">
      <c r="A40" s="324" t="s">
        <v>33</v>
      </c>
      <c r="B40" s="324" t="s">
        <v>52</v>
      </c>
      <c r="C40" s="324" t="s">
        <v>53</v>
      </c>
      <c r="D40" s="324" t="s">
        <v>54</v>
      </c>
    </row>
    <row r="41" spans="1:4" ht="26.4" x14ac:dyDescent="0.3">
      <c r="A41" s="324" t="s">
        <v>33</v>
      </c>
      <c r="B41" s="324" t="s">
        <v>55</v>
      </c>
      <c r="C41" s="324" t="s">
        <v>56</v>
      </c>
      <c r="D41" s="324" t="s">
        <v>57</v>
      </c>
    </row>
    <row r="42" spans="1:4" ht="26.4" x14ac:dyDescent="0.3">
      <c r="A42" s="324" t="s">
        <v>33</v>
      </c>
      <c r="B42" s="324" t="s">
        <v>58</v>
      </c>
      <c r="C42" s="324" t="s">
        <v>59</v>
      </c>
      <c r="D42" s="324" t="s">
        <v>60</v>
      </c>
    </row>
    <row r="43" spans="1:4" x14ac:dyDescent="0.3">
      <c r="A43" s="324" t="s">
        <v>33</v>
      </c>
      <c r="B43" s="324" t="s">
        <v>61</v>
      </c>
      <c r="C43" s="324" t="s">
        <v>62</v>
      </c>
      <c r="D43" s="324" t="s">
        <v>63</v>
      </c>
    </row>
    <row r="44" spans="1:4" x14ac:dyDescent="0.3">
      <c r="A44" s="324" t="s">
        <v>33</v>
      </c>
      <c r="B44" s="324" t="s">
        <v>64</v>
      </c>
      <c r="C44" s="324" t="s">
        <v>65</v>
      </c>
      <c r="D44" s="324" t="s">
        <v>66</v>
      </c>
    </row>
    <row r="45" spans="1:4" ht="26.4" x14ac:dyDescent="0.3">
      <c r="A45" s="324" t="s">
        <v>33</v>
      </c>
      <c r="B45" s="324" t="s">
        <v>67</v>
      </c>
      <c r="C45" s="324" t="s">
        <v>68</v>
      </c>
      <c r="D45" s="324" t="s">
        <v>69</v>
      </c>
    </row>
    <row r="46" spans="1:4" ht="26.4" x14ac:dyDescent="0.3">
      <c r="A46" s="324" t="s">
        <v>33</v>
      </c>
      <c r="B46" s="324" t="s">
        <v>70</v>
      </c>
      <c r="C46" s="324" t="s">
        <v>71</v>
      </c>
      <c r="D46" s="324" t="s">
        <v>72</v>
      </c>
    </row>
    <row r="47" spans="1:4" ht="26.4" x14ac:dyDescent="0.3">
      <c r="A47" s="324" t="s">
        <v>33</v>
      </c>
      <c r="B47" s="324" t="s">
        <v>73</v>
      </c>
      <c r="C47" s="324" t="s">
        <v>74</v>
      </c>
      <c r="D47" s="324" t="s">
        <v>75</v>
      </c>
    </row>
    <row r="48" spans="1:4" ht="26.4" x14ac:dyDescent="0.3">
      <c r="A48" s="324" t="s">
        <v>33</v>
      </c>
      <c r="B48" s="324" t="s">
        <v>76</v>
      </c>
      <c r="C48" s="324" t="s">
        <v>77</v>
      </c>
      <c r="D48" s="324" t="s">
        <v>78</v>
      </c>
    </row>
    <row r="49" spans="1:10" ht="26.4" x14ac:dyDescent="0.3">
      <c r="A49" s="324" t="s">
        <v>33</v>
      </c>
      <c r="B49" s="324" t="s">
        <v>79</v>
      </c>
      <c r="C49" s="324" t="s">
        <v>80</v>
      </c>
      <c r="D49" s="324" t="s">
        <v>81</v>
      </c>
    </row>
    <row r="51" spans="1:10" x14ac:dyDescent="0.3">
      <c r="A51" s="325" t="s">
        <v>82</v>
      </c>
      <c r="B51" s="325"/>
      <c r="C51" s="325"/>
      <c r="D51" s="325"/>
      <c r="E51" s="325"/>
      <c r="F51" s="325"/>
      <c r="G51" s="325"/>
      <c r="H51" s="325"/>
      <c r="I51" s="325"/>
      <c r="J51" s="325"/>
    </row>
    <row r="52" spans="1:10" x14ac:dyDescent="0.3">
      <c r="A52" s="328" t="s">
        <v>83</v>
      </c>
      <c r="B52" s="328"/>
      <c r="C52" s="328" t="s">
        <v>84</v>
      </c>
      <c r="D52" s="328"/>
    </row>
    <row r="53" spans="1:10" x14ac:dyDescent="0.3">
      <c r="A53" s="326" t="s">
        <v>85</v>
      </c>
      <c r="B53" s="326"/>
      <c r="C53" s="326" t="s">
        <v>86</v>
      </c>
      <c r="D53" s="326"/>
    </row>
    <row r="54" spans="1:10" x14ac:dyDescent="0.3">
      <c r="A54" s="326" t="s">
        <v>87</v>
      </c>
      <c r="B54" s="326"/>
      <c r="C54" s="326" t="s">
        <v>88</v>
      </c>
      <c r="D54" s="326"/>
    </row>
    <row r="55" spans="1:10" x14ac:dyDescent="0.3">
      <c r="A55" s="326" t="s">
        <v>89</v>
      </c>
      <c r="B55" s="326"/>
      <c r="C55" s="326" t="s">
        <v>90</v>
      </c>
      <c r="D55" s="326"/>
    </row>
    <row r="56" spans="1:10" x14ac:dyDescent="0.3">
      <c r="A56" s="326" t="s">
        <v>91</v>
      </c>
      <c r="B56" s="326"/>
      <c r="C56" s="326" t="s">
        <v>92</v>
      </c>
      <c r="D56" s="326"/>
    </row>
    <row r="57" spans="1:10" x14ac:dyDescent="0.3">
      <c r="A57" s="326" t="s">
        <v>93</v>
      </c>
      <c r="B57" s="326"/>
      <c r="C57" s="326" t="s">
        <v>92</v>
      </c>
      <c r="D57" s="326"/>
    </row>
    <row r="58" spans="1:10" x14ac:dyDescent="0.3">
      <c r="A58" s="326" t="s">
        <v>94</v>
      </c>
      <c r="B58" s="326"/>
      <c r="C58" s="326" t="s">
        <v>92</v>
      </c>
      <c r="D58" s="326"/>
    </row>
    <row r="59" spans="1:10" x14ac:dyDescent="0.3">
      <c r="A59" s="326" t="s">
        <v>95</v>
      </c>
      <c r="B59" s="326"/>
      <c r="C59" s="326" t="s">
        <v>96</v>
      </c>
      <c r="D59" s="326"/>
    </row>
    <row r="60" spans="1:10" x14ac:dyDescent="0.3">
      <c r="A60" s="326" t="s">
        <v>97</v>
      </c>
      <c r="B60" s="326"/>
      <c r="C60" s="326" t="s">
        <v>98</v>
      </c>
      <c r="D60" s="326"/>
    </row>
    <row r="61" spans="1:10" x14ac:dyDescent="0.3">
      <c r="A61" s="326" t="s">
        <v>99</v>
      </c>
      <c r="B61" s="326"/>
      <c r="C61" s="326" t="s">
        <v>100</v>
      </c>
      <c r="D61" s="326"/>
    </row>
    <row r="62" spans="1:10" x14ac:dyDescent="0.3">
      <c r="A62" s="326" t="s">
        <v>101</v>
      </c>
      <c r="B62" s="326"/>
      <c r="C62" s="326" t="s">
        <v>102</v>
      </c>
      <c r="D62" s="326"/>
    </row>
  </sheetData>
  <mergeCells count="33">
    <mergeCell ref="A60:B60"/>
    <mergeCell ref="C60:D60"/>
    <mergeCell ref="A61:B61"/>
    <mergeCell ref="C61:D61"/>
    <mergeCell ref="A62:B62"/>
    <mergeCell ref="C62:D62"/>
    <mergeCell ref="A57:B57"/>
    <mergeCell ref="C57:D57"/>
    <mergeCell ref="A58:B58"/>
    <mergeCell ref="C58:D58"/>
    <mergeCell ref="A59:B59"/>
    <mergeCell ref="C59:D59"/>
    <mergeCell ref="A54:B54"/>
    <mergeCell ref="C54:D54"/>
    <mergeCell ref="A55:B55"/>
    <mergeCell ref="C55:D55"/>
    <mergeCell ref="A56:B56"/>
    <mergeCell ref="C56:D56"/>
    <mergeCell ref="A51:J51"/>
    <mergeCell ref="A52:B52"/>
    <mergeCell ref="C52:D52"/>
    <mergeCell ref="A53:B53"/>
    <mergeCell ref="C53:D53"/>
    <mergeCell ref="A27:J27"/>
    <mergeCell ref="A28:D28"/>
    <mergeCell ref="A29:D29"/>
    <mergeCell ref="A30:D30"/>
    <mergeCell ref="A32:J32"/>
    <mergeCell ref="A1:J1"/>
    <mergeCell ref="A3:J15"/>
    <mergeCell ref="A17:J17"/>
    <mergeCell ref="A25:B25"/>
    <mergeCell ref="C25:D2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5"/>
  <sheetViews>
    <sheetView showGridLines="0" zoomScaleNormal="100" workbookViewId="0">
      <selection activeCell="A5" sqref="A5:K7"/>
    </sheetView>
  </sheetViews>
  <sheetFormatPr defaultColWidth="8.6640625" defaultRowHeight="14.4" x14ac:dyDescent="0.3"/>
  <cols>
    <col min="1" max="1" width="40" customWidth="1"/>
    <col min="2" max="3" width="14" customWidth="1"/>
    <col min="4" max="4" width="18" customWidth="1"/>
    <col min="5" max="5" width="16" customWidth="1"/>
    <col min="6" max="6" width="14" customWidth="1"/>
    <col min="7" max="7" width="13" customWidth="1"/>
    <col min="8" max="8" width="11" customWidth="1"/>
    <col min="9" max="9" width="18" customWidth="1"/>
    <col min="10" max="10" width="14" customWidth="1"/>
    <col min="11" max="11" width="16" customWidth="1"/>
  </cols>
  <sheetData>
    <row r="1" spans="1:11" ht="30" customHeight="1" x14ac:dyDescent="0.3">
      <c r="A1" s="309" t="s">
        <v>103</v>
      </c>
      <c r="B1" s="309"/>
      <c r="C1" s="309"/>
      <c r="D1" s="309"/>
      <c r="E1" s="309"/>
      <c r="F1" s="309"/>
      <c r="G1" s="309"/>
      <c r="H1" s="309"/>
      <c r="I1" s="309"/>
      <c r="J1" s="309"/>
      <c r="K1" s="309"/>
    </row>
    <row r="2" spans="1:11" ht="21.75" customHeight="1" x14ac:dyDescent="0.3">
      <c r="A2" s="310" t="s">
        <v>104</v>
      </c>
      <c r="B2" s="310"/>
      <c r="C2" s="310"/>
      <c r="D2" s="310"/>
      <c r="E2" s="310"/>
      <c r="F2" s="310"/>
      <c r="G2" s="310"/>
      <c r="H2" s="310"/>
      <c r="I2" s="310"/>
      <c r="J2" s="310"/>
      <c r="K2" s="310"/>
    </row>
    <row r="3" spans="1:11" ht="7.5" customHeight="1" thickBot="1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21.75" customHeight="1" thickTop="1" x14ac:dyDescent="0.3">
      <c r="A4" s="316" t="s">
        <v>105</v>
      </c>
      <c r="B4" s="316"/>
      <c r="C4" s="316"/>
      <c r="D4" s="316"/>
      <c r="E4" s="316"/>
      <c r="F4" s="316"/>
      <c r="G4" s="316"/>
      <c r="H4" s="316"/>
      <c r="I4" s="316"/>
      <c r="J4" s="316"/>
      <c r="K4" s="316"/>
    </row>
    <row r="5" spans="1:11" ht="30" customHeight="1" x14ac:dyDescent="0.3">
      <c r="A5" s="318" t="s">
        <v>106</v>
      </c>
      <c r="B5" s="318" t="s">
        <v>107</v>
      </c>
      <c r="C5" s="318" t="s">
        <v>108</v>
      </c>
      <c r="D5" s="318" t="s">
        <v>109</v>
      </c>
      <c r="E5" s="318" t="s">
        <v>110</v>
      </c>
      <c r="F5" s="318" t="s">
        <v>111</v>
      </c>
      <c r="G5" s="318" t="s">
        <v>112</v>
      </c>
      <c r="H5" s="318"/>
      <c r="I5" s="318" t="s">
        <v>113</v>
      </c>
      <c r="J5" s="318" t="s">
        <v>114</v>
      </c>
      <c r="K5" s="318" t="s">
        <v>115</v>
      </c>
    </row>
    <row r="6" spans="1:11" ht="18" customHeight="1" x14ac:dyDescent="0.3">
      <c r="A6" s="318"/>
      <c r="B6" s="318"/>
      <c r="C6" s="318"/>
      <c r="D6" s="318"/>
      <c r="E6" s="318"/>
      <c r="F6" s="318"/>
      <c r="G6" s="319" t="s">
        <v>116</v>
      </c>
      <c r="H6" s="319" t="s">
        <v>117</v>
      </c>
      <c r="I6" s="318"/>
      <c r="J6" s="318"/>
      <c r="K6" s="318"/>
    </row>
    <row r="7" spans="1:11" ht="18" customHeight="1" x14ac:dyDescent="0.3">
      <c r="A7" s="281" t="s">
        <v>118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8" customHeight="1" thickBot="1" x14ac:dyDescent="0.35">
      <c r="A8" s="317" t="s">
        <v>119</v>
      </c>
      <c r="B8" s="317"/>
      <c r="C8" s="317"/>
      <c r="D8" s="317"/>
      <c r="E8" s="317"/>
      <c r="F8" s="317"/>
      <c r="G8" s="317"/>
      <c r="H8" s="317"/>
      <c r="I8" s="317"/>
      <c r="J8" s="317"/>
      <c r="K8" s="317"/>
    </row>
    <row r="9" spans="1:11" ht="31.5" customHeight="1" thickTop="1" thickBot="1" x14ac:dyDescent="0.35">
      <c r="A9" s="2" t="s">
        <v>120</v>
      </c>
      <c r="B9" s="2"/>
      <c r="C9" s="3">
        <v>1</v>
      </c>
      <c r="D9" s="4">
        <v>390954666</v>
      </c>
      <c r="E9" s="4">
        <v>390954666</v>
      </c>
      <c r="F9" s="5">
        <v>45.99</v>
      </c>
      <c r="G9" s="4">
        <v>390954666</v>
      </c>
      <c r="H9" s="5">
        <v>45.99</v>
      </c>
      <c r="I9" s="4">
        <v>390954666</v>
      </c>
      <c r="J9" s="5">
        <v>45.99</v>
      </c>
      <c r="K9" s="4">
        <v>390954666</v>
      </c>
    </row>
    <row r="10" spans="1:11" ht="18.75" customHeight="1" x14ac:dyDescent="0.3">
      <c r="A10" s="6" t="s">
        <v>121</v>
      </c>
      <c r="B10" s="6" t="s">
        <v>122</v>
      </c>
      <c r="C10" s="7">
        <v>1</v>
      </c>
      <c r="D10" s="8">
        <v>390954666</v>
      </c>
      <c r="E10" s="8">
        <v>390954666</v>
      </c>
      <c r="F10" s="9">
        <v>45.99</v>
      </c>
      <c r="G10" s="8">
        <v>390954666</v>
      </c>
      <c r="H10" s="9">
        <v>45.99</v>
      </c>
      <c r="I10" s="8">
        <v>390954666</v>
      </c>
      <c r="J10" s="9">
        <v>45.99</v>
      </c>
      <c r="K10" s="8">
        <v>390954666</v>
      </c>
    </row>
    <row r="11" spans="1:11" ht="18.75" customHeight="1" x14ac:dyDescent="0.3">
      <c r="A11" s="312" t="s">
        <v>123</v>
      </c>
      <c r="B11" s="312"/>
      <c r="C11" s="313">
        <v>1</v>
      </c>
      <c r="D11" s="314">
        <v>390954666</v>
      </c>
      <c r="E11" s="314">
        <v>390954666</v>
      </c>
      <c r="F11" s="315">
        <v>45.99</v>
      </c>
      <c r="G11" s="314">
        <v>390954666</v>
      </c>
      <c r="H11" s="315">
        <v>45.99</v>
      </c>
      <c r="I11" s="314">
        <v>390954666</v>
      </c>
      <c r="J11" s="315">
        <v>45.99</v>
      </c>
      <c r="K11" s="314">
        <v>390954666</v>
      </c>
    </row>
    <row r="12" spans="1:11" ht="19.5" customHeight="1" x14ac:dyDescent="0.3">
      <c r="A12" s="297" t="s">
        <v>124</v>
      </c>
      <c r="B12" s="297"/>
      <c r="C12" s="300">
        <v>1</v>
      </c>
      <c r="D12" s="298">
        <v>390954666</v>
      </c>
      <c r="E12" s="298">
        <v>390954666</v>
      </c>
      <c r="F12" s="299">
        <v>45.99</v>
      </c>
      <c r="G12" s="298">
        <v>390954666</v>
      </c>
      <c r="H12" s="299">
        <v>45.99</v>
      </c>
      <c r="I12" s="298">
        <v>390954666</v>
      </c>
      <c r="J12" s="299">
        <v>45.99</v>
      </c>
      <c r="K12" s="298">
        <v>390954666</v>
      </c>
    </row>
    <row r="14" spans="1:11" ht="18" customHeight="1" x14ac:dyDescent="0.3">
      <c r="A14" s="311"/>
      <c r="B14" s="311"/>
      <c r="C14" s="311"/>
      <c r="D14" s="311"/>
      <c r="E14" s="311"/>
      <c r="F14" s="311"/>
      <c r="G14" s="311"/>
      <c r="H14" s="311"/>
      <c r="I14" s="311"/>
      <c r="J14" s="311"/>
      <c r="K14" s="311"/>
    </row>
    <row r="15" spans="1:11" ht="31.5" customHeight="1" x14ac:dyDescent="0.3">
      <c r="A15" s="187"/>
      <c r="B15" s="187"/>
      <c r="C15" s="187"/>
      <c r="D15" s="187"/>
      <c r="E15" s="187"/>
      <c r="F15" s="187"/>
      <c r="G15" s="187"/>
      <c r="H15" s="187"/>
      <c r="I15" s="187"/>
      <c r="J15" s="187"/>
      <c r="K15" s="187"/>
    </row>
  </sheetData>
  <mergeCells count="17">
    <mergeCell ref="A1:K1"/>
    <mergeCell ref="A2:K2"/>
    <mergeCell ref="A4:K4"/>
    <mergeCell ref="A5:A6"/>
    <mergeCell ref="B5:B6"/>
    <mergeCell ref="C5:C6"/>
    <mergeCell ref="D5:D6"/>
    <mergeCell ref="E5:E6"/>
    <mergeCell ref="F5:F6"/>
    <mergeCell ref="G5:H5"/>
    <mergeCell ref="I5:I6"/>
    <mergeCell ref="J5:J6"/>
    <mergeCell ref="K5:K6"/>
    <mergeCell ref="A7:K7"/>
    <mergeCell ref="A8:K8"/>
    <mergeCell ref="A14:K14"/>
    <mergeCell ref="A15:K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3"/>
  <sheetViews>
    <sheetView showGridLines="0" zoomScaleNormal="100" workbookViewId="0">
      <selection activeCell="A59" sqref="A59:M60"/>
    </sheetView>
  </sheetViews>
  <sheetFormatPr defaultColWidth="8.6640625" defaultRowHeight="14.4" x14ac:dyDescent="0.3"/>
  <cols>
    <col min="1" max="1" width="46" customWidth="1"/>
    <col min="2" max="2" width="14.109375" customWidth="1"/>
    <col min="3" max="4" width="16" customWidth="1"/>
    <col min="5" max="5" width="12" customWidth="1"/>
    <col min="6" max="6" width="14" customWidth="1"/>
    <col min="7" max="7" width="11" customWidth="1"/>
    <col min="8" max="8" width="16" customWidth="1"/>
    <col min="9" max="9" width="12" customWidth="1"/>
    <col min="10" max="10" width="15" customWidth="1"/>
    <col min="11" max="12" width="11" customWidth="1"/>
    <col min="13" max="13" width="12" customWidth="1"/>
  </cols>
  <sheetData>
    <row r="1" spans="1:13" ht="17.399999999999999" x14ac:dyDescent="0.3">
      <c r="A1" s="282" t="s">
        <v>103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2"/>
    </row>
    <row r="2" spans="1:13" x14ac:dyDescent="0.3">
      <c r="A2" s="283" t="s">
        <v>125</v>
      </c>
      <c r="B2" s="283"/>
      <c r="C2" s="283"/>
      <c r="D2" s="283"/>
      <c r="E2" s="283"/>
      <c r="F2" s="283"/>
      <c r="G2" s="283"/>
      <c r="H2" s="283"/>
      <c r="I2" s="283"/>
      <c r="J2" s="283"/>
      <c r="K2" s="283"/>
      <c r="L2" s="283"/>
      <c r="M2" s="283"/>
    </row>
    <row r="3" spans="1:1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0"/>
      <c r="L3" s="10"/>
      <c r="M3" s="10"/>
    </row>
    <row r="4" spans="1:13" ht="28.2" customHeight="1" x14ac:dyDescent="0.3">
      <c r="A4" s="284" t="s">
        <v>126</v>
      </c>
      <c r="B4" s="284" t="s">
        <v>127</v>
      </c>
      <c r="C4" s="284" t="s">
        <v>109</v>
      </c>
      <c r="D4" s="284" t="s">
        <v>110</v>
      </c>
      <c r="E4" s="284" t="s">
        <v>111</v>
      </c>
      <c r="F4" s="284" t="s">
        <v>128</v>
      </c>
      <c r="G4" s="284" t="s">
        <v>129</v>
      </c>
      <c r="H4" s="284" t="s">
        <v>113</v>
      </c>
      <c r="I4" s="284" t="s">
        <v>114</v>
      </c>
      <c r="J4" s="284" t="s">
        <v>130</v>
      </c>
      <c r="K4" s="284" t="s">
        <v>131</v>
      </c>
      <c r="L4" s="284"/>
      <c r="M4" s="284"/>
    </row>
    <row r="5" spans="1:13" ht="26.4" x14ac:dyDescent="0.3">
      <c r="A5" s="284"/>
      <c r="B5" s="284"/>
      <c r="C5" s="284"/>
      <c r="D5" s="284"/>
      <c r="E5" s="284"/>
      <c r="F5" s="284"/>
      <c r="G5" s="284"/>
      <c r="H5" s="284"/>
      <c r="I5" s="284"/>
      <c r="J5" s="284"/>
      <c r="K5" s="285" t="s">
        <v>132</v>
      </c>
      <c r="L5" s="285" t="s">
        <v>133</v>
      </c>
      <c r="M5" s="285" t="s">
        <v>134</v>
      </c>
    </row>
    <row r="6" spans="1:13" x14ac:dyDescent="0.3">
      <c r="A6" s="286" t="s">
        <v>135</v>
      </c>
      <c r="B6" s="286"/>
      <c r="C6" s="286"/>
      <c r="D6" s="286"/>
      <c r="E6" s="286"/>
      <c r="F6" s="286"/>
      <c r="G6" s="286"/>
      <c r="H6" s="286"/>
      <c r="I6" s="286"/>
      <c r="J6" s="286"/>
      <c r="K6" s="286"/>
      <c r="L6" s="286"/>
      <c r="M6" s="286"/>
    </row>
    <row r="7" spans="1:13" x14ac:dyDescent="0.3">
      <c r="A7" s="286" t="s">
        <v>136</v>
      </c>
      <c r="B7" s="286"/>
      <c r="C7" s="286"/>
      <c r="D7" s="286"/>
      <c r="E7" s="286"/>
      <c r="F7" s="286"/>
      <c r="G7" s="286"/>
      <c r="H7" s="286"/>
      <c r="I7" s="286"/>
      <c r="J7" s="286"/>
      <c r="K7" s="286"/>
      <c r="L7" s="286"/>
      <c r="M7" s="286"/>
    </row>
    <row r="8" spans="1:13" x14ac:dyDescent="0.3">
      <c r="A8" s="287" t="s">
        <v>137</v>
      </c>
      <c r="B8" s="288">
        <v>37</v>
      </c>
      <c r="C8" s="288">
        <v>75766162</v>
      </c>
      <c r="D8" s="288">
        <v>75766162</v>
      </c>
      <c r="E8" s="289">
        <v>8.91</v>
      </c>
      <c r="F8" s="288">
        <v>75766162</v>
      </c>
      <c r="G8" s="289">
        <v>8.91</v>
      </c>
      <c r="H8" s="288">
        <v>75766162</v>
      </c>
      <c r="I8" s="289">
        <v>8.91</v>
      </c>
      <c r="J8" s="288">
        <v>75766162</v>
      </c>
      <c r="K8" s="290" t="s">
        <v>138</v>
      </c>
      <c r="L8" s="290" t="s">
        <v>138</v>
      </c>
      <c r="M8" s="290" t="s">
        <v>138</v>
      </c>
    </row>
    <row r="9" spans="1:13" x14ac:dyDescent="0.3">
      <c r="A9" s="287" t="s">
        <v>139</v>
      </c>
      <c r="B9" s="288">
        <v>1</v>
      </c>
      <c r="C9" s="288">
        <v>10488530</v>
      </c>
      <c r="D9" s="288">
        <v>10488530</v>
      </c>
      <c r="E9" s="289">
        <v>1.23</v>
      </c>
      <c r="F9" s="288">
        <v>10488530</v>
      </c>
      <c r="G9" s="289">
        <v>1.23</v>
      </c>
      <c r="H9" s="288">
        <v>10488530</v>
      </c>
      <c r="I9" s="289">
        <v>1.23</v>
      </c>
      <c r="J9" s="288">
        <v>10488530</v>
      </c>
      <c r="K9" s="290" t="s">
        <v>138</v>
      </c>
      <c r="L9" s="290" t="s">
        <v>138</v>
      </c>
      <c r="M9" s="290" t="s">
        <v>138</v>
      </c>
    </row>
    <row r="10" spans="1:13" ht="26.4" x14ac:dyDescent="0.3">
      <c r="A10" s="287" t="s">
        <v>140</v>
      </c>
      <c r="B10" s="288">
        <v>1</v>
      </c>
      <c r="C10" s="288">
        <v>12202799</v>
      </c>
      <c r="D10" s="288">
        <v>12202799</v>
      </c>
      <c r="E10" s="289">
        <v>1.44</v>
      </c>
      <c r="F10" s="288">
        <v>12202799</v>
      </c>
      <c r="G10" s="289">
        <v>1.44</v>
      </c>
      <c r="H10" s="288">
        <v>12202799</v>
      </c>
      <c r="I10" s="289">
        <v>1.44</v>
      </c>
      <c r="J10" s="288">
        <v>12202799</v>
      </c>
      <c r="K10" s="290" t="s">
        <v>138</v>
      </c>
      <c r="L10" s="290" t="s">
        <v>138</v>
      </c>
      <c r="M10" s="290" t="s">
        <v>138</v>
      </c>
    </row>
    <row r="11" spans="1:13" x14ac:dyDescent="0.3">
      <c r="A11" s="287" t="s">
        <v>141</v>
      </c>
      <c r="B11" s="288">
        <v>0</v>
      </c>
      <c r="C11" s="288">
        <v>0</v>
      </c>
      <c r="D11" s="291" t="s">
        <v>138</v>
      </c>
      <c r="E11" s="289">
        <v>0</v>
      </c>
      <c r="F11" s="291" t="s">
        <v>138</v>
      </c>
      <c r="G11" s="289">
        <v>0</v>
      </c>
      <c r="H11" s="291" t="s">
        <v>138</v>
      </c>
      <c r="I11" s="289">
        <v>0</v>
      </c>
      <c r="J11" s="291" t="s">
        <v>138</v>
      </c>
      <c r="K11" s="290" t="s">
        <v>138</v>
      </c>
      <c r="L11" s="290" t="s">
        <v>138</v>
      </c>
      <c r="M11" s="290" t="s">
        <v>138</v>
      </c>
    </row>
    <row r="12" spans="1:13" x14ac:dyDescent="0.3">
      <c r="A12" s="287" t="s">
        <v>142</v>
      </c>
      <c r="B12" s="288">
        <v>8</v>
      </c>
      <c r="C12" s="288">
        <v>1086983</v>
      </c>
      <c r="D12" s="288">
        <v>1086983</v>
      </c>
      <c r="E12" s="289">
        <v>0.13</v>
      </c>
      <c r="F12" s="288">
        <v>1086983</v>
      </c>
      <c r="G12" s="289">
        <v>0.13</v>
      </c>
      <c r="H12" s="288">
        <v>1086983</v>
      </c>
      <c r="I12" s="289">
        <v>0.13</v>
      </c>
      <c r="J12" s="288">
        <v>1086983</v>
      </c>
      <c r="K12" s="290" t="s">
        <v>138</v>
      </c>
      <c r="L12" s="290" t="s">
        <v>138</v>
      </c>
      <c r="M12" s="290" t="s">
        <v>138</v>
      </c>
    </row>
    <row r="13" spans="1:13" x14ac:dyDescent="0.3">
      <c r="A13" s="287" t="s">
        <v>143</v>
      </c>
      <c r="B13" s="288">
        <v>18</v>
      </c>
      <c r="C13" s="288">
        <v>194015</v>
      </c>
      <c r="D13" s="288">
        <v>194015</v>
      </c>
      <c r="E13" s="289">
        <v>0.02</v>
      </c>
      <c r="F13" s="288">
        <v>194015</v>
      </c>
      <c r="G13" s="289">
        <v>0.02</v>
      </c>
      <c r="H13" s="288">
        <v>194015</v>
      </c>
      <c r="I13" s="289">
        <v>0.02</v>
      </c>
      <c r="J13" s="288">
        <v>147045</v>
      </c>
      <c r="K13" s="290" t="s">
        <v>138</v>
      </c>
      <c r="L13" s="290" t="s">
        <v>138</v>
      </c>
      <c r="M13" s="290" t="s">
        <v>138</v>
      </c>
    </row>
    <row r="14" spans="1:13" x14ac:dyDescent="0.3">
      <c r="A14" s="287" t="s">
        <v>144</v>
      </c>
      <c r="B14" s="288">
        <v>17</v>
      </c>
      <c r="C14" s="288">
        <v>85453221</v>
      </c>
      <c r="D14" s="288">
        <v>85453221</v>
      </c>
      <c r="E14" s="289">
        <v>10.050000000000001</v>
      </c>
      <c r="F14" s="288">
        <v>85453221</v>
      </c>
      <c r="G14" s="289">
        <v>10.050000000000001</v>
      </c>
      <c r="H14" s="288">
        <v>85453221</v>
      </c>
      <c r="I14" s="289">
        <v>10.050000000000001</v>
      </c>
      <c r="J14" s="288">
        <v>85453221</v>
      </c>
      <c r="K14" s="290" t="s">
        <v>138</v>
      </c>
      <c r="L14" s="290" t="s">
        <v>138</v>
      </c>
      <c r="M14" s="290" t="s">
        <v>138</v>
      </c>
    </row>
    <row r="15" spans="1:13" x14ac:dyDescent="0.3">
      <c r="A15" s="287" t="s">
        <v>145</v>
      </c>
      <c r="B15" s="288">
        <v>1</v>
      </c>
      <c r="C15" s="288">
        <v>50611447</v>
      </c>
      <c r="D15" s="288">
        <v>50611447</v>
      </c>
      <c r="E15" s="289">
        <v>5.95</v>
      </c>
      <c r="F15" s="288">
        <v>50611447</v>
      </c>
      <c r="G15" s="289">
        <v>5.95</v>
      </c>
      <c r="H15" s="288">
        <v>50611447</v>
      </c>
      <c r="I15" s="289">
        <v>5.95</v>
      </c>
      <c r="J15" s="288">
        <v>50611447</v>
      </c>
      <c r="K15" s="290" t="s">
        <v>138</v>
      </c>
      <c r="L15" s="290" t="s">
        <v>138</v>
      </c>
      <c r="M15" s="290" t="s">
        <v>138</v>
      </c>
    </row>
    <row r="16" spans="1:13" x14ac:dyDescent="0.3">
      <c r="A16" s="287" t="s">
        <v>146</v>
      </c>
      <c r="B16" s="288">
        <v>0</v>
      </c>
      <c r="C16" s="288">
        <v>0</v>
      </c>
      <c r="D16" s="291" t="s">
        <v>138</v>
      </c>
      <c r="E16" s="289">
        <v>0</v>
      </c>
      <c r="F16" s="291" t="s">
        <v>138</v>
      </c>
      <c r="G16" s="289">
        <v>0</v>
      </c>
      <c r="H16" s="291" t="s">
        <v>138</v>
      </c>
      <c r="I16" s="289">
        <v>0</v>
      </c>
      <c r="J16" s="291" t="s">
        <v>138</v>
      </c>
      <c r="K16" s="290" t="s">
        <v>138</v>
      </c>
      <c r="L16" s="290" t="s">
        <v>138</v>
      </c>
      <c r="M16" s="290" t="s">
        <v>138</v>
      </c>
    </row>
    <row r="17" spans="1:13" x14ac:dyDescent="0.3">
      <c r="A17" s="287" t="s">
        <v>147</v>
      </c>
      <c r="B17" s="288">
        <v>0</v>
      </c>
      <c r="C17" s="288">
        <v>0</v>
      </c>
      <c r="D17" s="291" t="s">
        <v>138</v>
      </c>
      <c r="E17" s="289">
        <v>0</v>
      </c>
      <c r="F17" s="291" t="s">
        <v>138</v>
      </c>
      <c r="G17" s="289">
        <v>0</v>
      </c>
      <c r="H17" s="291" t="s">
        <v>138</v>
      </c>
      <c r="I17" s="289">
        <v>0</v>
      </c>
      <c r="J17" s="291" t="s">
        <v>138</v>
      </c>
      <c r="K17" s="290" t="s">
        <v>138</v>
      </c>
      <c r="L17" s="290" t="s">
        <v>138</v>
      </c>
      <c r="M17" s="290" t="s">
        <v>138</v>
      </c>
    </row>
    <row r="18" spans="1:13" x14ac:dyDescent="0.3">
      <c r="A18" s="287" t="s">
        <v>148</v>
      </c>
      <c r="B18" s="288">
        <v>0</v>
      </c>
      <c r="C18" s="288">
        <v>0</v>
      </c>
      <c r="D18" s="291" t="s">
        <v>138</v>
      </c>
      <c r="E18" s="289">
        <v>0</v>
      </c>
      <c r="F18" s="291" t="s">
        <v>138</v>
      </c>
      <c r="G18" s="289">
        <v>0</v>
      </c>
      <c r="H18" s="291" t="s">
        <v>138</v>
      </c>
      <c r="I18" s="289">
        <v>0</v>
      </c>
      <c r="J18" s="291" t="s">
        <v>138</v>
      </c>
      <c r="K18" s="290" t="s">
        <v>138</v>
      </c>
      <c r="L18" s="290" t="s">
        <v>138</v>
      </c>
      <c r="M18" s="290" t="s">
        <v>138</v>
      </c>
    </row>
    <row r="19" spans="1:13" x14ac:dyDescent="0.3">
      <c r="A19" s="287" t="s">
        <v>149</v>
      </c>
      <c r="B19" s="288">
        <v>8</v>
      </c>
      <c r="C19" s="288">
        <v>108435</v>
      </c>
      <c r="D19" s="288">
        <v>108435</v>
      </c>
      <c r="E19" s="289">
        <v>0.01</v>
      </c>
      <c r="F19" s="288">
        <v>108435</v>
      </c>
      <c r="G19" s="289">
        <v>0.01</v>
      </c>
      <c r="H19" s="288">
        <v>108435</v>
      </c>
      <c r="I19" s="289">
        <v>0.01</v>
      </c>
      <c r="J19" s="288">
        <v>108435</v>
      </c>
      <c r="K19" s="290" t="s">
        <v>138</v>
      </c>
      <c r="L19" s="290" t="s">
        <v>138</v>
      </c>
      <c r="M19" s="290" t="s">
        <v>138</v>
      </c>
    </row>
    <row r="20" spans="1:13" x14ac:dyDescent="0.3">
      <c r="A20" s="287" t="s">
        <v>150</v>
      </c>
      <c r="B20" s="288">
        <v>0</v>
      </c>
      <c r="C20" s="288">
        <v>0</v>
      </c>
      <c r="D20" s="291" t="s">
        <v>138</v>
      </c>
      <c r="E20" s="289">
        <v>0</v>
      </c>
      <c r="F20" s="291" t="s">
        <v>138</v>
      </c>
      <c r="G20" s="289">
        <v>0</v>
      </c>
      <c r="H20" s="291" t="s">
        <v>138</v>
      </c>
      <c r="I20" s="289">
        <v>0</v>
      </c>
      <c r="J20" s="291" t="s">
        <v>138</v>
      </c>
      <c r="K20" s="290" t="s">
        <v>138</v>
      </c>
      <c r="L20" s="290" t="s">
        <v>138</v>
      </c>
      <c r="M20" s="290" t="s">
        <v>138</v>
      </c>
    </row>
    <row r="21" spans="1:13" x14ac:dyDescent="0.3">
      <c r="A21" s="287" t="s">
        <v>151</v>
      </c>
      <c r="B21" s="288">
        <v>0</v>
      </c>
      <c r="C21" s="288">
        <v>0</v>
      </c>
      <c r="D21" s="291" t="s">
        <v>138</v>
      </c>
      <c r="E21" s="289">
        <v>0</v>
      </c>
      <c r="F21" s="291" t="s">
        <v>138</v>
      </c>
      <c r="G21" s="289">
        <v>0</v>
      </c>
      <c r="H21" s="291" t="s">
        <v>138</v>
      </c>
      <c r="I21" s="289">
        <v>0</v>
      </c>
      <c r="J21" s="291" t="s">
        <v>138</v>
      </c>
      <c r="K21" s="290" t="s">
        <v>138</v>
      </c>
      <c r="L21" s="290" t="s">
        <v>138</v>
      </c>
      <c r="M21" s="290" t="s">
        <v>138</v>
      </c>
    </row>
    <row r="22" spans="1:13" x14ac:dyDescent="0.3">
      <c r="A22" s="292" t="s">
        <v>152</v>
      </c>
      <c r="B22" s="293">
        <v>88</v>
      </c>
      <c r="C22" s="293">
        <v>162608816</v>
      </c>
      <c r="D22" s="293">
        <v>162608816</v>
      </c>
      <c r="E22" s="294">
        <v>19.13</v>
      </c>
      <c r="F22" s="293">
        <v>162608816</v>
      </c>
      <c r="G22" s="294">
        <v>19.13</v>
      </c>
      <c r="H22" s="293">
        <v>162608816</v>
      </c>
      <c r="I22" s="294">
        <v>19.13</v>
      </c>
      <c r="J22" s="293">
        <v>162561846</v>
      </c>
      <c r="K22" s="295" t="s">
        <v>138</v>
      </c>
      <c r="L22" s="295" t="s">
        <v>138</v>
      </c>
      <c r="M22" s="295" t="s">
        <v>138</v>
      </c>
    </row>
    <row r="23" spans="1:13" x14ac:dyDescent="0.3">
      <c r="A23" s="296" t="s">
        <v>153</v>
      </c>
      <c r="B23" s="296"/>
      <c r="C23" s="296"/>
      <c r="D23" s="296"/>
      <c r="E23" s="296"/>
      <c r="F23" s="296"/>
      <c r="G23" s="296"/>
      <c r="H23" s="296"/>
      <c r="I23" s="296"/>
      <c r="J23" s="296"/>
      <c r="K23" s="296"/>
      <c r="L23" s="296"/>
      <c r="M23" s="296"/>
    </row>
    <row r="24" spans="1:13" x14ac:dyDescent="0.3">
      <c r="A24" s="11" t="s">
        <v>154</v>
      </c>
      <c r="B24" s="12">
        <v>0</v>
      </c>
      <c r="C24" s="12">
        <v>0</v>
      </c>
      <c r="D24" s="15" t="s">
        <v>138</v>
      </c>
      <c r="E24" s="13">
        <v>0</v>
      </c>
      <c r="F24" s="15" t="s">
        <v>138</v>
      </c>
      <c r="G24" s="13">
        <v>0</v>
      </c>
      <c r="H24" s="15" t="s">
        <v>138</v>
      </c>
      <c r="I24" s="13">
        <v>0</v>
      </c>
      <c r="J24" s="15" t="s">
        <v>138</v>
      </c>
      <c r="K24" s="14" t="s">
        <v>138</v>
      </c>
      <c r="L24" s="14" t="s">
        <v>138</v>
      </c>
      <c r="M24" s="14" t="s">
        <v>138</v>
      </c>
    </row>
    <row r="25" spans="1:13" x14ac:dyDescent="0.3">
      <c r="A25" s="11" t="s">
        <v>155</v>
      </c>
      <c r="B25" s="12">
        <v>0</v>
      </c>
      <c r="C25" s="12">
        <v>0</v>
      </c>
      <c r="D25" s="15" t="s">
        <v>138</v>
      </c>
      <c r="E25" s="13">
        <v>0</v>
      </c>
      <c r="F25" s="15" t="s">
        <v>138</v>
      </c>
      <c r="G25" s="13">
        <v>0</v>
      </c>
      <c r="H25" s="15" t="s">
        <v>138</v>
      </c>
      <c r="I25" s="13">
        <v>0</v>
      </c>
      <c r="J25" s="15" t="s">
        <v>138</v>
      </c>
      <c r="K25" s="14" t="s">
        <v>138</v>
      </c>
      <c r="L25" s="14" t="s">
        <v>138</v>
      </c>
      <c r="M25" s="14" t="s">
        <v>138</v>
      </c>
    </row>
    <row r="26" spans="1:13" x14ac:dyDescent="0.3">
      <c r="A26" s="11" t="s">
        <v>148</v>
      </c>
      <c r="B26" s="12">
        <v>0</v>
      </c>
      <c r="C26" s="12">
        <v>0</v>
      </c>
      <c r="D26" s="15" t="s">
        <v>138</v>
      </c>
      <c r="E26" s="13">
        <v>0</v>
      </c>
      <c r="F26" s="15" t="s">
        <v>138</v>
      </c>
      <c r="G26" s="13">
        <v>0</v>
      </c>
      <c r="H26" s="15" t="s">
        <v>138</v>
      </c>
      <c r="I26" s="13">
        <v>0</v>
      </c>
      <c r="J26" s="15" t="s">
        <v>138</v>
      </c>
      <c r="K26" s="14" t="s">
        <v>138</v>
      </c>
      <c r="L26" s="14" t="s">
        <v>138</v>
      </c>
      <c r="M26" s="14" t="s">
        <v>138</v>
      </c>
    </row>
    <row r="27" spans="1:13" x14ac:dyDescent="0.3">
      <c r="A27" s="11" t="s">
        <v>156</v>
      </c>
      <c r="B27" s="12">
        <v>190</v>
      </c>
      <c r="C27" s="12">
        <v>85360645</v>
      </c>
      <c r="D27" s="12">
        <v>85360645</v>
      </c>
      <c r="E27" s="13">
        <v>10.039999999999999</v>
      </c>
      <c r="F27" s="12">
        <v>85360645</v>
      </c>
      <c r="G27" s="13">
        <v>10.039999999999999</v>
      </c>
      <c r="H27" s="12">
        <v>85360645</v>
      </c>
      <c r="I27" s="13">
        <v>10.039999999999999</v>
      </c>
      <c r="J27" s="12">
        <v>85360645</v>
      </c>
      <c r="K27" s="14" t="s">
        <v>138</v>
      </c>
      <c r="L27" s="14" t="s">
        <v>138</v>
      </c>
      <c r="M27" s="14" t="s">
        <v>138</v>
      </c>
    </row>
    <row r="28" spans="1:13" x14ac:dyDescent="0.3">
      <c r="A28" s="11" t="s">
        <v>157</v>
      </c>
      <c r="B28" s="12">
        <v>1</v>
      </c>
      <c r="C28" s="12">
        <v>20520739</v>
      </c>
      <c r="D28" s="12">
        <v>20520739</v>
      </c>
      <c r="E28" s="13">
        <v>2.41</v>
      </c>
      <c r="F28" s="12">
        <v>20520739</v>
      </c>
      <c r="G28" s="13">
        <v>2.41</v>
      </c>
      <c r="H28" s="12">
        <v>20520739</v>
      </c>
      <c r="I28" s="13">
        <v>2.41</v>
      </c>
      <c r="J28" s="12">
        <v>20520739</v>
      </c>
      <c r="K28" s="14" t="s">
        <v>138</v>
      </c>
      <c r="L28" s="14" t="s">
        <v>138</v>
      </c>
      <c r="M28" s="14" t="s">
        <v>138</v>
      </c>
    </row>
    <row r="29" spans="1:13" x14ac:dyDescent="0.3">
      <c r="A29" s="11" t="s">
        <v>158</v>
      </c>
      <c r="B29" s="12">
        <v>13</v>
      </c>
      <c r="C29" s="12">
        <v>2168921</v>
      </c>
      <c r="D29" s="12">
        <v>2168921</v>
      </c>
      <c r="E29" s="13">
        <v>0.26</v>
      </c>
      <c r="F29" s="12">
        <v>2168921</v>
      </c>
      <c r="G29" s="13">
        <v>0.26</v>
      </c>
      <c r="H29" s="12">
        <v>2168921</v>
      </c>
      <c r="I29" s="13">
        <v>0.26</v>
      </c>
      <c r="J29" s="12">
        <v>2168921</v>
      </c>
      <c r="K29" s="14" t="s">
        <v>138</v>
      </c>
      <c r="L29" s="14" t="s">
        <v>138</v>
      </c>
      <c r="M29" s="14" t="s">
        <v>138</v>
      </c>
    </row>
    <row r="30" spans="1:13" ht="26.4" x14ac:dyDescent="0.3">
      <c r="A30" s="11" t="s">
        <v>159</v>
      </c>
      <c r="B30" s="12">
        <v>0</v>
      </c>
      <c r="C30" s="12">
        <v>0</v>
      </c>
      <c r="D30" s="15" t="s">
        <v>138</v>
      </c>
      <c r="E30" s="13">
        <v>0</v>
      </c>
      <c r="F30" s="15" t="s">
        <v>138</v>
      </c>
      <c r="G30" s="13">
        <v>0</v>
      </c>
      <c r="H30" s="15" t="s">
        <v>138</v>
      </c>
      <c r="I30" s="13">
        <v>0</v>
      </c>
      <c r="J30" s="15" t="s">
        <v>138</v>
      </c>
      <c r="K30" s="14" t="s">
        <v>138</v>
      </c>
      <c r="L30" s="14" t="s">
        <v>138</v>
      </c>
      <c r="M30" s="14" t="s">
        <v>138</v>
      </c>
    </row>
    <row r="31" spans="1:13" x14ac:dyDescent="0.3">
      <c r="A31" s="11" t="s">
        <v>160</v>
      </c>
      <c r="B31" s="12">
        <v>1</v>
      </c>
      <c r="C31" s="12">
        <v>560</v>
      </c>
      <c r="D31" s="12">
        <v>560</v>
      </c>
      <c r="E31" s="13">
        <v>0</v>
      </c>
      <c r="F31" s="12">
        <v>560</v>
      </c>
      <c r="G31" s="13">
        <v>0</v>
      </c>
      <c r="H31" s="12">
        <v>560</v>
      </c>
      <c r="I31" s="13">
        <v>0</v>
      </c>
      <c r="J31" s="12">
        <v>560</v>
      </c>
      <c r="K31" s="14" t="s">
        <v>138</v>
      </c>
      <c r="L31" s="14" t="s">
        <v>138</v>
      </c>
      <c r="M31" s="14" t="s">
        <v>138</v>
      </c>
    </row>
    <row r="32" spans="1:13" x14ac:dyDescent="0.3">
      <c r="A32" s="11" t="s">
        <v>161</v>
      </c>
      <c r="B32" s="12">
        <v>1</v>
      </c>
      <c r="C32" s="12">
        <v>560</v>
      </c>
      <c r="D32" s="12">
        <v>560</v>
      </c>
      <c r="E32" s="13">
        <v>0</v>
      </c>
      <c r="F32" s="12">
        <v>560</v>
      </c>
      <c r="G32" s="13">
        <v>0</v>
      </c>
      <c r="H32" s="12">
        <v>560</v>
      </c>
      <c r="I32" s="13">
        <v>0</v>
      </c>
      <c r="J32" s="12">
        <v>560</v>
      </c>
      <c r="K32" s="14" t="s">
        <v>138</v>
      </c>
      <c r="L32" s="14" t="s">
        <v>138</v>
      </c>
      <c r="M32" s="14" t="s">
        <v>138</v>
      </c>
    </row>
    <row r="33" spans="1:13" x14ac:dyDescent="0.3">
      <c r="A33" s="292" t="s">
        <v>162</v>
      </c>
      <c r="B33" s="293">
        <v>204</v>
      </c>
      <c r="C33" s="293">
        <v>87530126</v>
      </c>
      <c r="D33" s="293">
        <v>87530126</v>
      </c>
      <c r="E33" s="294">
        <v>10.3</v>
      </c>
      <c r="F33" s="293">
        <v>87530126</v>
      </c>
      <c r="G33" s="294">
        <v>10.3</v>
      </c>
      <c r="H33" s="293">
        <v>87530126</v>
      </c>
      <c r="I33" s="294">
        <v>10.3</v>
      </c>
      <c r="J33" s="293">
        <v>87530126</v>
      </c>
      <c r="K33" s="295" t="s">
        <v>138</v>
      </c>
      <c r="L33" s="295" t="s">
        <v>138</v>
      </c>
      <c r="M33" s="295" t="s">
        <v>138</v>
      </c>
    </row>
    <row r="34" spans="1:13" x14ac:dyDescent="0.3">
      <c r="A34" s="296" t="s">
        <v>163</v>
      </c>
      <c r="B34" s="296"/>
      <c r="C34" s="296"/>
      <c r="D34" s="296"/>
      <c r="E34" s="296"/>
      <c r="F34" s="296"/>
      <c r="G34" s="296"/>
      <c r="H34" s="296"/>
      <c r="I34" s="296"/>
      <c r="J34" s="296"/>
      <c r="K34" s="296"/>
      <c r="L34" s="296"/>
      <c r="M34" s="296"/>
    </row>
    <row r="35" spans="1:13" x14ac:dyDescent="0.3">
      <c r="A35" s="11" t="s">
        <v>164</v>
      </c>
      <c r="B35" s="12">
        <v>1</v>
      </c>
      <c r="C35" s="12">
        <v>90</v>
      </c>
      <c r="D35" s="12">
        <v>90</v>
      </c>
      <c r="E35" s="13">
        <v>0</v>
      </c>
      <c r="F35" s="12">
        <v>90</v>
      </c>
      <c r="G35" s="13">
        <v>0</v>
      </c>
      <c r="H35" s="12">
        <v>90</v>
      </c>
      <c r="I35" s="13">
        <v>0</v>
      </c>
      <c r="J35" s="12">
        <v>90</v>
      </c>
      <c r="K35" s="14" t="s">
        <v>138</v>
      </c>
      <c r="L35" s="14" t="s">
        <v>138</v>
      </c>
      <c r="M35" s="14" t="s">
        <v>138</v>
      </c>
    </row>
    <row r="36" spans="1:13" x14ac:dyDescent="0.3">
      <c r="A36" s="11" t="s">
        <v>165</v>
      </c>
      <c r="B36" s="12">
        <v>0</v>
      </c>
      <c r="C36" s="12">
        <v>0</v>
      </c>
      <c r="D36" s="15" t="s">
        <v>138</v>
      </c>
      <c r="E36" s="13">
        <v>0</v>
      </c>
      <c r="F36" s="15" t="s">
        <v>138</v>
      </c>
      <c r="G36" s="13">
        <v>0</v>
      </c>
      <c r="H36" s="15" t="s">
        <v>138</v>
      </c>
      <c r="I36" s="13">
        <v>0</v>
      </c>
      <c r="J36" s="15" t="s">
        <v>138</v>
      </c>
      <c r="K36" s="14" t="s">
        <v>138</v>
      </c>
      <c r="L36" s="14" t="s">
        <v>138</v>
      </c>
      <c r="M36" s="14" t="s">
        <v>138</v>
      </c>
    </row>
    <row r="37" spans="1:13" ht="26.4" x14ac:dyDescent="0.3">
      <c r="A37" s="11" t="s">
        <v>166</v>
      </c>
      <c r="B37" s="12">
        <v>0</v>
      </c>
      <c r="C37" s="12">
        <v>0</v>
      </c>
      <c r="D37" s="15" t="s">
        <v>138</v>
      </c>
      <c r="E37" s="13">
        <v>0</v>
      </c>
      <c r="F37" s="15" t="s">
        <v>138</v>
      </c>
      <c r="G37" s="13">
        <v>0</v>
      </c>
      <c r="H37" s="15" t="s">
        <v>138</v>
      </c>
      <c r="I37" s="13">
        <v>0</v>
      </c>
      <c r="J37" s="15" t="s">
        <v>138</v>
      </c>
      <c r="K37" s="14" t="s">
        <v>138</v>
      </c>
      <c r="L37" s="14" t="s">
        <v>138</v>
      </c>
      <c r="M37" s="14" t="s">
        <v>138</v>
      </c>
    </row>
    <row r="38" spans="1:13" x14ac:dyDescent="0.3">
      <c r="A38" s="292" t="s">
        <v>167</v>
      </c>
      <c r="B38" s="293">
        <v>1</v>
      </c>
      <c r="C38" s="293">
        <v>90</v>
      </c>
      <c r="D38" s="293">
        <v>90</v>
      </c>
      <c r="E38" s="294">
        <v>0</v>
      </c>
      <c r="F38" s="293">
        <v>90</v>
      </c>
      <c r="G38" s="294">
        <v>0</v>
      </c>
      <c r="H38" s="293">
        <v>90</v>
      </c>
      <c r="I38" s="294">
        <v>0</v>
      </c>
      <c r="J38" s="293">
        <v>90</v>
      </c>
      <c r="K38" s="295" t="s">
        <v>138</v>
      </c>
      <c r="L38" s="295" t="s">
        <v>138</v>
      </c>
      <c r="M38" s="295" t="s">
        <v>138</v>
      </c>
    </row>
    <row r="39" spans="1:13" x14ac:dyDescent="0.3">
      <c r="A39" s="296" t="s">
        <v>168</v>
      </c>
      <c r="B39" s="296"/>
      <c r="C39" s="296"/>
      <c r="D39" s="296"/>
      <c r="E39" s="296"/>
      <c r="F39" s="296"/>
      <c r="G39" s="296"/>
      <c r="H39" s="296"/>
      <c r="I39" s="296"/>
      <c r="J39" s="296"/>
      <c r="K39" s="296"/>
      <c r="L39" s="296"/>
      <c r="M39" s="296"/>
    </row>
    <row r="40" spans="1:13" x14ac:dyDescent="0.3">
      <c r="A40" s="11" t="s">
        <v>169</v>
      </c>
      <c r="B40" s="12">
        <v>0</v>
      </c>
      <c r="C40" s="12">
        <v>0</v>
      </c>
      <c r="D40" s="15" t="s">
        <v>138</v>
      </c>
      <c r="E40" s="13">
        <v>0</v>
      </c>
      <c r="F40" s="15" t="s">
        <v>138</v>
      </c>
      <c r="G40" s="13">
        <v>0</v>
      </c>
      <c r="H40" s="15" t="s">
        <v>138</v>
      </c>
      <c r="I40" s="13">
        <v>0</v>
      </c>
      <c r="J40" s="15" t="s">
        <v>138</v>
      </c>
      <c r="K40" s="14" t="s">
        <v>138</v>
      </c>
      <c r="L40" s="14" t="s">
        <v>138</v>
      </c>
      <c r="M40" s="14" t="s">
        <v>138</v>
      </c>
    </row>
    <row r="41" spans="1:13" ht="26.4" x14ac:dyDescent="0.3">
      <c r="A41" s="11" t="s">
        <v>170</v>
      </c>
      <c r="B41" s="12">
        <v>1</v>
      </c>
      <c r="C41" s="12">
        <v>350</v>
      </c>
      <c r="D41" s="12">
        <v>350</v>
      </c>
      <c r="E41" s="13">
        <v>0</v>
      </c>
      <c r="F41" s="12">
        <v>350</v>
      </c>
      <c r="G41" s="13">
        <v>0</v>
      </c>
      <c r="H41" s="12">
        <v>350</v>
      </c>
      <c r="I41" s="13">
        <v>0</v>
      </c>
      <c r="J41" s="12">
        <v>350</v>
      </c>
      <c r="K41" s="14" t="s">
        <v>138</v>
      </c>
      <c r="L41" s="14" t="s">
        <v>138</v>
      </c>
      <c r="M41" s="14" t="s">
        <v>138</v>
      </c>
    </row>
    <row r="42" spans="1:13" x14ac:dyDescent="0.3">
      <c r="A42" s="11" t="s">
        <v>171</v>
      </c>
      <c r="B42" s="12">
        <v>0</v>
      </c>
      <c r="C42" s="12">
        <v>0</v>
      </c>
      <c r="D42" s="15" t="s">
        <v>138</v>
      </c>
      <c r="E42" s="13">
        <v>0</v>
      </c>
      <c r="F42" s="15" t="s">
        <v>138</v>
      </c>
      <c r="G42" s="13">
        <v>0</v>
      </c>
      <c r="H42" s="15" t="s">
        <v>138</v>
      </c>
      <c r="I42" s="13">
        <v>0</v>
      </c>
      <c r="J42" s="15" t="s">
        <v>138</v>
      </c>
      <c r="K42" s="14" t="s">
        <v>138</v>
      </c>
      <c r="L42" s="14" t="s">
        <v>138</v>
      </c>
      <c r="M42" s="14" t="s">
        <v>138</v>
      </c>
    </row>
    <row r="43" spans="1:13" ht="39.6" x14ac:dyDescent="0.3">
      <c r="A43" s="11" t="s">
        <v>172</v>
      </c>
      <c r="B43" s="12">
        <v>0</v>
      </c>
      <c r="C43" s="12">
        <v>0</v>
      </c>
      <c r="D43" s="15" t="s">
        <v>138</v>
      </c>
      <c r="E43" s="13">
        <v>0</v>
      </c>
      <c r="F43" s="15" t="s">
        <v>138</v>
      </c>
      <c r="G43" s="13">
        <v>0</v>
      </c>
      <c r="H43" s="15" t="s">
        <v>138</v>
      </c>
      <c r="I43" s="13">
        <v>0</v>
      </c>
      <c r="J43" s="15" t="s">
        <v>138</v>
      </c>
      <c r="K43" s="14" t="s">
        <v>138</v>
      </c>
      <c r="L43" s="14" t="s">
        <v>138</v>
      </c>
      <c r="M43" s="14" t="s">
        <v>138</v>
      </c>
    </row>
    <row r="44" spans="1:13" ht="39.6" x14ac:dyDescent="0.3">
      <c r="A44" s="11" t="s">
        <v>173</v>
      </c>
      <c r="B44" s="12">
        <v>0</v>
      </c>
      <c r="C44" s="12">
        <v>0</v>
      </c>
      <c r="D44" s="15" t="s">
        <v>138</v>
      </c>
      <c r="E44" s="13">
        <v>0</v>
      </c>
      <c r="F44" s="15" t="s">
        <v>138</v>
      </c>
      <c r="G44" s="13">
        <v>0</v>
      </c>
      <c r="H44" s="15" t="s">
        <v>138</v>
      </c>
      <c r="I44" s="13">
        <v>0</v>
      </c>
      <c r="J44" s="15" t="s">
        <v>138</v>
      </c>
      <c r="K44" s="14" t="s">
        <v>138</v>
      </c>
      <c r="L44" s="14" t="s">
        <v>138</v>
      </c>
      <c r="M44" s="14" t="s">
        <v>138</v>
      </c>
    </row>
    <row r="45" spans="1:13" x14ac:dyDescent="0.3">
      <c r="A45" s="11" t="s">
        <v>174</v>
      </c>
      <c r="B45" s="12">
        <v>1</v>
      </c>
      <c r="C45" s="12">
        <v>5358903</v>
      </c>
      <c r="D45" s="12">
        <v>5358903</v>
      </c>
      <c r="E45" s="13">
        <v>0.63</v>
      </c>
      <c r="F45" s="12">
        <v>5358903</v>
      </c>
      <c r="G45" s="13">
        <v>0.63</v>
      </c>
      <c r="H45" s="12">
        <v>5358903</v>
      </c>
      <c r="I45" s="13">
        <v>0.63</v>
      </c>
      <c r="J45" s="12">
        <v>5358903</v>
      </c>
      <c r="K45" s="14" t="s">
        <v>138</v>
      </c>
      <c r="L45" s="14" t="s">
        <v>138</v>
      </c>
      <c r="M45" s="14" t="s">
        <v>138</v>
      </c>
    </row>
    <row r="46" spans="1:13" ht="26.4" x14ac:dyDescent="0.3">
      <c r="A46" s="11" t="s">
        <v>175</v>
      </c>
      <c r="B46" s="12">
        <v>1179695</v>
      </c>
      <c r="C46" s="12">
        <v>145153941</v>
      </c>
      <c r="D46" s="12">
        <v>145153941</v>
      </c>
      <c r="E46" s="13">
        <v>17.079999999999998</v>
      </c>
      <c r="F46" s="12">
        <v>145153941</v>
      </c>
      <c r="G46" s="13">
        <v>17.079999999999998</v>
      </c>
      <c r="H46" s="12">
        <v>145153941</v>
      </c>
      <c r="I46" s="13">
        <v>17.079999999999998</v>
      </c>
      <c r="J46" s="12">
        <v>141221832</v>
      </c>
      <c r="K46" s="14" t="s">
        <v>138</v>
      </c>
      <c r="L46" s="14" t="s">
        <v>138</v>
      </c>
      <c r="M46" s="14" t="s">
        <v>138</v>
      </c>
    </row>
    <row r="47" spans="1:13" ht="26.4" x14ac:dyDescent="0.3">
      <c r="A47" s="11" t="s">
        <v>176</v>
      </c>
      <c r="B47" s="12">
        <v>9</v>
      </c>
      <c r="C47" s="12">
        <v>4925232</v>
      </c>
      <c r="D47" s="12">
        <v>4925232</v>
      </c>
      <c r="E47" s="13">
        <v>0.57999999999999996</v>
      </c>
      <c r="F47" s="12">
        <v>4925232</v>
      </c>
      <c r="G47" s="13">
        <v>0.57999999999999996</v>
      </c>
      <c r="H47" s="12">
        <v>4925232</v>
      </c>
      <c r="I47" s="13">
        <v>0.57999999999999996</v>
      </c>
      <c r="J47" s="12">
        <v>4925232</v>
      </c>
      <c r="K47" s="14" t="s">
        <v>138</v>
      </c>
      <c r="L47" s="14" t="s">
        <v>138</v>
      </c>
      <c r="M47" s="14" t="s">
        <v>138</v>
      </c>
    </row>
    <row r="48" spans="1:13" x14ac:dyDescent="0.3">
      <c r="A48" s="11" t="s">
        <v>177</v>
      </c>
      <c r="B48" s="12">
        <v>14148</v>
      </c>
      <c r="C48" s="12">
        <v>6870636</v>
      </c>
      <c r="D48" s="12">
        <v>6870636</v>
      </c>
      <c r="E48" s="13">
        <v>0.81</v>
      </c>
      <c r="F48" s="12">
        <v>6870636</v>
      </c>
      <c r="G48" s="13">
        <v>0.81</v>
      </c>
      <c r="H48" s="12">
        <v>6870636</v>
      </c>
      <c r="I48" s="13">
        <v>0.81</v>
      </c>
      <c r="J48" s="12">
        <v>6836129</v>
      </c>
      <c r="K48" s="14" t="s">
        <v>138</v>
      </c>
      <c r="L48" s="14" t="s">
        <v>138</v>
      </c>
      <c r="M48" s="14" t="s">
        <v>138</v>
      </c>
    </row>
    <row r="49" spans="1:13" x14ac:dyDescent="0.3">
      <c r="A49" s="11" t="s">
        <v>178</v>
      </c>
      <c r="B49" s="12">
        <v>4</v>
      </c>
      <c r="C49" s="12">
        <v>76934</v>
      </c>
      <c r="D49" s="12">
        <v>76934</v>
      </c>
      <c r="E49" s="13">
        <v>0.01</v>
      </c>
      <c r="F49" s="12">
        <v>76934</v>
      </c>
      <c r="G49" s="13">
        <v>0.01</v>
      </c>
      <c r="H49" s="12">
        <v>76934</v>
      </c>
      <c r="I49" s="13">
        <v>0.01</v>
      </c>
      <c r="J49" s="12">
        <v>2174</v>
      </c>
      <c r="K49" s="14" t="s">
        <v>138</v>
      </c>
      <c r="L49" s="14" t="s">
        <v>138</v>
      </c>
      <c r="M49" s="14" t="s">
        <v>138</v>
      </c>
    </row>
    <row r="50" spans="1:13" x14ac:dyDescent="0.3">
      <c r="A50" s="11" t="s">
        <v>179</v>
      </c>
      <c r="B50" s="12">
        <v>0</v>
      </c>
      <c r="C50" s="12">
        <v>0</v>
      </c>
      <c r="D50" s="15" t="s">
        <v>138</v>
      </c>
      <c r="E50" s="13">
        <v>0</v>
      </c>
      <c r="F50" s="15" t="s">
        <v>138</v>
      </c>
      <c r="G50" s="13">
        <v>0</v>
      </c>
      <c r="H50" s="15" t="s">
        <v>138</v>
      </c>
      <c r="I50" s="13">
        <v>0</v>
      </c>
      <c r="J50" s="15" t="s">
        <v>138</v>
      </c>
      <c r="K50" s="14" t="s">
        <v>138</v>
      </c>
      <c r="L50" s="14" t="s">
        <v>138</v>
      </c>
      <c r="M50" s="14" t="s">
        <v>138</v>
      </c>
    </row>
    <row r="51" spans="1:13" x14ac:dyDescent="0.3">
      <c r="A51" s="11" t="s">
        <v>180</v>
      </c>
      <c r="B51" s="12">
        <v>1304</v>
      </c>
      <c r="C51" s="12">
        <v>42645694</v>
      </c>
      <c r="D51" s="12">
        <v>42645694</v>
      </c>
      <c r="E51" s="13">
        <v>5.0199999999999996</v>
      </c>
      <c r="F51" s="12">
        <v>42645694</v>
      </c>
      <c r="G51" s="13">
        <v>5.0199999999999996</v>
      </c>
      <c r="H51" s="12">
        <v>42645694</v>
      </c>
      <c r="I51" s="13">
        <v>5.0199999999999996</v>
      </c>
      <c r="J51" s="12">
        <v>42611570</v>
      </c>
      <c r="K51" s="14" t="s">
        <v>138</v>
      </c>
      <c r="L51" s="14" t="s">
        <v>138</v>
      </c>
      <c r="M51" s="14" t="s">
        <v>138</v>
      </c>
    </row>
    <row r="52" spans="1:13" x14ac:dyDescent="0.3">
      <c r="A52" s="11" t="s">
        <v>181</v>
      </c>
      <c r="B52" s="12">
        <v>1</v>
      </c>
      <c r="C52" s="12">
        <v>36752730</v>
      </c>
      <c r="D52" s="12">
        <v>36752730</v>
      </c>
      <c r="E52" s="13">
        <v>4.32</v>
      </c>
      <c r="F52" s="12">
        <v>36752730</v>
      </c>
      <c r="G52" s="13">
        <v>4.32</v>
      </c>
      <c r="H52" s="12">
        <v>36752730</v>
      </c>
      <c r="I52" s="13">
        <v>4.32</v>
      </c>
      <c r="J52" s="12">
        <v>36752730</v>
      </c>
      <c r="K52" s="14" t="s">
        <v>138</v>
      </c>
      <c r="L52" s="14" t="s">
        <v>138</v>
      </c>
      <c r="M52" s="14" t="s">
        <v>138</v>
      </c>
    </row>
    <row r="53" spans="1:13" x14ac:dyDescent="0.3">
      <c r="A53" s="11" t="s">
        <v>182</v>
      </c>
      <c r="B53" s="12">
        <v>7661</v>
      </c>
      <c r="C53" s="12">
        <v>3874612</v>
      </c>
      <c r="D53" s="12">
        <v>3874612</v>
      </c>
      <c r="E53" s="13">
        <v>0.46</v>
      </c>
      <c r="F53" s="12">
        <v>3874612</v>
      </c>
      <c r="G53" s="13">
        <v>0.46</v>
      </c>
      <c r="H53" s="12">
        <v>3874612</v>
      </c>
      <c r="I53" s="13">
        <v>0.46</v>
      </c>
      <c r="J53" s="12">
        <v>3874612</v>
      </c>
      <c r="K53" s="14" t="s">
        <v>138</v>
      </c>
      <c r="L53" s="14" t="s">
        <v>138</v>
      </c>
      <c r="M53" s="14" t="s">
        <v>138</v>
      </c>
    </row>
    <row r="54" spans="1:13" x14ac:dyDescent="0.3">
      <c r="A54" s="11" t="s">
        <v>183</v>
      </c>
      <c r="B54" s="12">
        <v>17</v>
      </c>
      <c r="C54" s="12">
        <v>158716</v>
      </c>
      <c r="D54" s="12">
        <v>158716</v>
      </c>
      <c r="E54" s="13">
        <v>0.02</v>
      </c>
      <c r="F54" s="12">
        <v>158716</v>
      </c>
      <c r="G54" s="13">
        <v>0.02</v>
      </c>
      <c r="H54" s="12">
        <v>158716</v>
      </c>
      <c r="I54" s="13">
        <v>0.02</v>
      </c>
      <c r="J54" s="12">
        <v>158716</v>
      </c>
      <c r="K54" s="14" t="s">
        <v>138</v>
      </c>
      <c r="L54" s="14" t="s">
        <v>138</v>
      </c>
      <c r="M54" s="14" t="s">
        <v>138</v>
      </c>
    </row>
    <row r="55" spans="1:13" x14ac:dyDescent="0.3">
      <c r="A55" s="11" t="s">
        <v>184</v>
      </c>
      <c r="B55" s="12">
        <v>1</v>
      </c>
      <c r="C55" s="12">
        <v>4087</v>
      </c>
      <c r="D55" s="12">
        <v>4087</v>
      </c>
      <c r="E55" s="13">
        <v>0</v>
      </c>
      <c r="F55" s="12">
        <v>4087</v>
      </c>
      <c r="G55" s="13">
        <v>0</v>
      </c>
      <c r="H55" s="12">
        <v>4087</v>
      </c>
      <c r="I55" s="13">
        <v>0</v>
      </c>
      <c r="J55" s="12">
        <v>4087</v>
      </c>
      <c r="K55" s="14" t="s">
        <v>138</v>
      </c>
      <c r="L55" s="14" t="s">
        <v>138</v>
      </c>
      <c r="M55" s="14" t="s">
        <v>138</v>
      </c>
    </row>
    <row r="56" spans="1:13" x14ac:dyDescent="0.3">
      <c r="A56" s="11" t="s">
        <v>185</v>
      </c>
      <c r="B56" s="12">
        <v>139</v>
      </c>
      <c r="C56" s="12">
        <v>350019</v>
      </c>
      <c r="D56" s="12">
        <v>350019</v>
      </c>
      <c r="E56" s="13">
        <v>0.04</v>
      </c>
      <c r="F56" s="12">
        <v>350019</v>
      </c>
      <c r="G56" s="13">
        <v>0.04</v>
      </c>
      <c r="H56" s="12">
        <v>350019</v>
      </c>
      <c r="I56" s="13">
        <v>0.04</v>
      </c>
      <c r="J56" s="12">
        <v>350019</v>
      </c>
      <c r="K56" s="14" t="s">
        <v>138</v>
      </c>
      <c r="L56" s="14" t="s">
        <v>138</v>
      </c>
      <c r="M56" s="14" t="s">
        <v>138</v>
      </c>
    </row>
    <row r="57" spans="1:13" x14ac:dyDescent="0.3">
      <c r="A57" s="11" t="s">
        <v>186</v>
      </c>
      <c r="B57" s="12">
        <v>7456</v>
      </c>
      <c r="C57" s="12">
        <v>3261202</v>
      </c>
      <c r="D57" s="12">
        <v>3261202</v>
      </c>
      <c r="E57" s="13">
        <v>0.38</v>
      </c>
      <c r="F57" s="12">
        <v>3261202</v>
      </c>
      <c r="G57" s="13">
        <v>0.38</v>
      </c>
      <c r="H57" s="12">
        <v>3261202</v>
      </c>
      <c r="I57" s="13">
        <v>0.38</v>
      </c>
      <c r="J57" s="12">
        <v>3261202</v>
      </c>
      <c r="K57" s="14" t="s">
        <v>138</v>
      </c>
      <c r="L57" s="14" t="s">
        <v>138</v>
      </c>
      <c r="M57" s="14" t="s">
        <v>138</v>
      </c>
    </row>
    <row r="58" spans="1:13" x14ac:dyDescent="0.3">
      <c r="A58" s="11" t="s">
        <v>187</v>
      </c>
      <c r="B58" s="12">
        <v>48</v>
      </c>
      <c r="C58" s="12">
        <v>100588</v>
      </c>
      <c r="D58" s="12">
        <v>100588</v>
      </c>
      <c r="E58" s="13">
        <v>0.01</v>
      </c>
      <c r="F58" s="12">
        <v>100588</v>
      </c>
      <c r="G58" s="13">
        <v>0.01</v>
      </c>
      <c r="H58" s="12">
        <v>100588</v>
      </c>
      <c r="I58" s="13">
        <v>0.01</v>
      </c>
      <c r="J58" s="12">
        <v>100588</v>
      </c>
      <c r="K58" s="14" t="s">
        <v>138</v>
      </c>
      <c r="L58" s="14" t="s">
        <v>138</v>
      </c>
      <c r="M58" s="14" t="s">
        <v>138</v>
      </c>
    </row>
    <row r="59" spans="1:13" x14ac:dyDescent="0.3">
      <c r="A59" s="301" t="s">
        <v>188</v>
      </c>
      <c r="B59" s="302">
        <v>1202823</v>
      </c>
      <c r="C59" s="302">
        <v>208906302</v>
      </c>
      <c r="D59" s="302">
        <v>208906302</v>
      </c>
      <c r="E59" s="303">
        <v>24.58</v>
      </c>
      <c r="F59" s="302">
        <v>208906302</v>
      </c>
      <c r="G59" s="303">
        <v>24.58</v>
      </c>
      <c r="H59" s="302">
        <v>208906302</v>
      </c>
      <c r="I59" s="303">
        <v>24.58</v>
      </c>
      <c r="J59" s="302">
        <v>204830802</v>
      </c>
      <c r="K59" s="304" t="s">
        <v>138</v>
      </c>
      <c r="L59" s="304" t="s">
        <v>138</v>
      </c>
      <c r="M59" s="304" t="s">
        <v>138</v>
      </c>
    </row>
    <row r="60" spans="1:13" x14ac:dyDescent="0.3">
      <c r="A60" s="305" t="s">
        <v>189</v>
      </c>
      <c r="B60" s="306">
        <v>1203116</v>
      </c>
      <c r="C60" s="306">
        <v>459045334</v>
      </c>
      <c r="D60" s="306">
        <v>459045334</v>
      </c>
      <c r="E60" s="307">
        <v>54.01</v>
      </c>
      <c r="F60" s="306">
        <v>459045334</v>
      </c>
      <c r="G60" s="307">
        <v>54.01</v>
      </c>
      <c r="H60" s="306">
        <v>459045334</v>
      </c>
      <c r="I60" s="307">
        <v>54.01</v>
      </c>
      <c r="J60" s="306">
        <v>454922864</v>
      </c>
      <c r="K60" s="308" t="s">
        <v>138</v>
      </c>
      <c r="L60" s="308" t="s">
        <v>138</v>
      </c>
      <c r="M60" s="308" t="s">
        <v>138</v>
      </c>
    </row>
    <row r="62" spans="1:13" x14ac:dyDescent="0.3">
      <c r="A62" s="188"/>
      <c r="B62" s="188"/>
      <c r="C62" s="188"/>
      <c r="D62" s="188"/>
      <c r="E62" s="188"/>
      <c r="F62" s="188"/>
      <c r="G62" s="188"/>
      <c r="H62" s="188"/>
      <c r="I62" s="188"/>
      <c r="J62" s="188"/>
      <c r="K62" s="188"/>
      <c r="L62" s="188"/>
      <c r="M62" s="188"/>
    </row>
    <row r="63" spans="1:13" x14ac:dyDescent="0.3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</row>
  </sheetData>
  <mergeCells count="20">
    <mergeCell ref="A62:M62"/>
    <mergeCell ref="A63:M63"/>
    <mergeCell ref="A6:M6"/>
    <mergeCell ref="A7:M7"/>
    <mergeCell ref="A23:M23"/>
    <mergeCell ref="A34:M34"/>
    <mergeCell ref="A39:M39"/>
    <mergeCell ref="A1:M1"/>
    <mergeCell ref="A2:M2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M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zoomScaleNormal="100" workbookViewId="0">
      <selection activeCell="I14" sqref="I14"/>
    </sheetView>
  </sheetViews>
  <sheetFormatPr defaultColWidth="8.6640625" defaultRowHeight="14.4" x14ac:dyDescent="0.3"/>
  <cols>
    <col min="1" max="1" width="55" customWidth="1"/>
    <col min="2" max="6" width="14" customWidth="1"/>
  </cols>
  <sheetData>
    <row r="1" spans="1:6" ht="21.75" customHeight="1" x14ac:dyDescent="0.3">
      <c r="A1" s="252" t="s">
        <v>190</v>
      </c>
      <c r="B1" s="252"/>
      <c r="C1" s="252"/>
      <c r="D1" s="252"/>
      <c r="E1" s="252"/>
      <c r="F1" s="252"/>
    </row>
    <row r="2" spans="1:6" ht="13.5" customHeight="1" x14ac:dyDescent="0.3">
      <c r="A2" s="16" t="s">
        <v>191</v>
      </c>
    </row>
    <row r="3" spans="1:6" ht="30" customHeight="1" x14ac:dyDescent="0.3">
      <c r="A3" s="275" t="s">
        <v>192</v>
      </c>
      <c r="B3" s="275" t="s">
        <v>193</v>
      </c>
      <c r="C3" s="275" t="s">
        <v>194</v>
      </c>
      <c r="D3" s="275" t="s">
        <v>195</v>
      </c>
      <c r="E3" s="275" t="s">
        <v>196</v>
      </c>
      <c r="F3" s="275" t="s">
        <v>197</v>
      </c>
    </row>
    <row r="4" spans="1:6" ht="18" customHeight="1" x14ac:dyDescent="0.3">
      <c r="A4" s="276" t="s">
        <v>198</v>
      </c>
      <c r="B4" s="276"/>
      <c r="C4" s="276"/>
      <c r="D4" s="276"/>
      <c r="E4" s="276"/>
      <c r="F4" s="276"/>
    </row>
    <row r="5" spans="1:6" ht="15.75" customHeight="1" x14ac:dyDescent="0.3">
      <c r="A5" s="277" t="s">
        <v>199</v>
      </c>
      <c r="B5" s="278">
        <v>12712.75</v>
      </c>
      <c r="C5" s="278">
        <v>14980.73</v>
      </c>
      <c r="D5" s="278">
        <v>16672.96</v>
      </c>
      <c r="E5" s="278">
        <v>17144.52</v>
      </c>
      <c r="F5" s="278">
        <v>17907.990000000002</v>
      </c>
    </row>
    <row r="6" spans="1:6" ht="15.75" customHeight="1" x14ac:dyDescent="0.3">
      <c r="A6" s="277" t="s">
        <v>200</v>
      </c>
      <c r="B6" s="278">
        <v>12712.75</v>
      </c>
      <c r="C6" s="278">
        <v>14980.73</v>
      </c>
      <c r="D6" s="278">
        <v>16672.96</v>
      </c>
      <c r="E6" s="278">
        <v>17144.52</v>
      </c>
      <c r="F6" s="278">
        <v>17907.990000000002</v>
      </c>
    </row>
    <row r="7" spans="1:6" ht="15.75" customHeight="1" x14ac:dyDescent="0.3">
      <c r="A7" s="279" t="s">
        <v>201</v>
      </c>
      <c r="B7" s="280">
        <v>76.47</v>
      </c>
      <c r="C7" s="280">
        <v>97.43</v>
      </c>
      <c r="D7" s="280">
        <v>96.77</v>
      </c>
      <c r="E7" s="280">
        <v>93.33</v>
      </c>
      <c r="F7" s="280">
        <v>87.36</v>
      </c>
    </row>
    <row r="8" spans="1:6" ht="15.75" customHeight="1" x14ac:dyDescent="0.3">
      <c r="A8" s="277" t="s">
        <v>202</v>
      </c>
      <c r="B8" s="278">
        <v>12789.22</v>
      </c>
      <c r="C8" s="278">
        <v>15078.16</v>
      </c>
      <c r="D8" s="278">
        <v>16769.73</v>
      </c>
      <c r="E8" s="278">
        <v>17237.849999999999</v>
      </c>
      <c r="F8" s="278">
        <v>17995.349999999999</v>
      </c>
    </row>
    <row r="9" spans="1:6" ht="15.75" customHeight="1" x14ac:dyDescent="0.3">
      <c r="A9" s="279" t="s">
        <v>203</v>
      </c>
      <c r="B9" s="280">
        <v>62.07</v>
      </c>
      <c r="C9" s="280">
        <v>124.74</v>
      </c>
      <c r="D9" s="280">
        <v>89.95</v>
      </c>
      <c r="E9" s="280">
        <v>112.8</v>
      </c>
      <c r="F9" s="280">
        <v>100.86</v>
      </c>
    </row>
    <row r="10" spans="1:6" ht="15.75" customHeight="1" x14ac:dyDescent="0.3">
      <c r="A10" s="277" t="s">
        <v>204</v>
      </c>
      <c r="B10" s="278">
        <v>12851.29</v>
      </c>
      <c r="C10" s="278">
        <v>15202.9</v>
      </c>
      <c r="D10" s="278">
        <v>16859.68</v>
      </c>
      <c r="E10" s="278">
        <v>17350.650000000001</v>
      </c>
      <c r="F10" s="278">
        <v>18096.21</v>
      </c>
    </row>
    <row r="11" spans="1:6" ht="18" customHeight="1" x14ac:dyDescent="0.3">
      <c r="A11" s="281" t="s">
        <v>205</v>
      </c>
      <c r="B11" s="281"/>
      <c r="C11" s="281"/>
      <c r="D11" s="281"/>
      <c r="E11" s="281"/>
      <c r="F11" s="281"/>
    </row>
    <row r="12" spans="1:6" ht="15.75" customHeight="1" x14ac:dyDescent="0.3">
      <c r="A12" s="279" t="s">
        <v>206</v>
      </c>
      <c r="B12" s="280">
        <v>8882.49</v>
      </c>
      <c r="C12" s="280">
        <v>10585.52</v>
      </c>
      <c r="D12" s="280">
        <v>11481.61</v>
      </c>
      <c r="E12" s="280">
        <v>11697.3</v>
      </c>
      <c r="F12" s="280">
        <v>12173.73</v>
      </c>
    </row>
    <row r="13" spans="1:6" ht="15.75" customHeight="1" x14ac:dyDescent="0.3">
      <c r="A13" s="279" t="s">
        <v>207</v>
      </c>
      <c r="B13" s="280">
        <v>63.92</v>
      </c>
      <c r="C13" s="280">
        <v>77.77</v>
      </c>
      <c r="D13" s="280">
        <v>216.31</v>
      </c>
      <c r="E13" s="280">
        <v>119.62</v>
      </c>
      <c r="F13" s="280">
        <v>106.02</v>
      </c>
    </row>
    <row r="14" spans="1:6" ht="15.75" customHeight="1" x14ac:dyDescent="0.3">
      <c r="A14" s="279" t="s">
        <v>208</v>
      </c>
      <c r="B14" s="280">
        <v>-269.63</v>
      </c>
      <c r="C14" s="280">
        <v>-310</v>
      </c>
      <c r="D14" s="280">
        <v>-300.33</v>
      </c>
      <c r="E14" s="280">
        <v>-219.5</v>
      </c>
      <c r="F14" s="280">
        <v>-87.55</v>
      </c>
    </row>
    <row r="15" spans="1:6" ht="15.75" customHeight="1" x14ac:dyDescent="0.3">
      <c r="A15" s="279" t="s">
        <v>209</v>
      </c>
      <c r="B15" s="280">
        <v>906.36</v>
      </c>
      <c r="C15" s="280">
        <v>1002.62</v>
      </c>
      <c r="D15" s="280">
        <v>1166.6300000000001</v>
      </c>
      <c r="E15" s="280">
        <v>1296.31</v>
      </c>
      <c r="F15" s="280">
        <v>1372.17</v>
      </c>
    </row>
    <row r="16" spans="1:6" ht="15.75" customHeight="1" x14ac:dyDescent="0.3">
      <c r="A16" s="279" t="s">
        <v>210</v>
      </c>
      <c r="B16" s="280">
        <v>60.93</v>
      </c>
      <c r="C16" s="280">
        <v>73.84</v>
      </c>
      <c r="D16" s="280">
        <v>116</v>
      </c>
      <c r="E16" s="280">
        <v>153.03</v>
      </c>
      <c r="F16" s="280">
        <v>123.83</v>
      </c>
    </row>
    <row r="17" spans="1:6" ht="15.75" customHeight="1" x14ac:dyDescent="0.3">
      <c r="A17" s="279" t="s">
        <v>211</v>
      </c>
      <c r="B17" s="280">
        <v>439.52</v>
      </c>
      <c r="C17" s="280">
        <v>502.12</v>
      </c>
      <c r="D17" s="280">
        <v>560.41999999999996</v>
      </c>
      <c r="E17" s="280">
        <v>582.34</v>
      </c>
      <c r="F17" s="280">
        <v>588.75</v>
      </c>
    </row>
    <row r="18" spans="1:6" ht="15.75" customHeight="1" x14ac:dyDescent="0.3">
      <c r="A18" s="279" t="s">
        <v>212</v>
      </c>
      <c r="B18" s="280">
        <v>1806.15</v>
      </c>
      <c r="C18" s="280">
        <v>2133.7199999999998</v>
      </c>
      <c r="D18" s="280">
        <v>2388.42</v>
      </c>
      <c r="E18" s="280">
        <v>2546.09</v>
      </c>
      <c r="F18" s="280">
        <v>2560.54</v>
      </c>
    </row>
    <row r="19" spans="1:6" ht="15.75" customHeight="1" x14ac:dyDescent="0.3">
      <c r="A19" s="277" t="s">
        <v>213</v>
      </c>
      <c r="B19" s="278">
        <v>11889.74</v>
      </c>
      <c r="C19" s="278">
        <v>14065.59</v>
      </c>
      <c r="D19" s="278">
        <v>15629.06</v>
      </c>
      <c r="E19" s="278">
        <v>16175.19</v>
      </c>
      <c r="F19" s="278">
        <v>16837.490000000002</v>
      </c>
    </row>
    <row r="20" spans="1:6" ht="18" customHeight="1" x14ac:dyDescent="0.3">
      <c r="A20" s="281" t="s">
        <v>214</v>
      </c>
      <c r="B20" s="281"/>
      <c r="C20" s="281"/>
      <c r="D20" s="281"/>
      <c r="E20" s="281"/>
      <c r="F20" s="281"/>
    </row>
    <row r="21" spans="1:6" ht="15.75" customHeight="1" x14ac:dyDescent="0.3">
      <c r="A21" s="277" t="s">
        <v>215</v>
      </c>
      <c r="B21" s="278">
        <v>961.55</v>
      </c>
      <c r="C21" s="278">
        <v>1137.31</v>
      </c>
      <c r="D21" s="278">
        <v>1230.6199999999999</v>
      </c>
      <c r="E21" s="278">
        <v>1175.46</v>
      </c>
      <c r="F21" s="278">
        <v>1258.72</v>
      </c>
    </row>
    <row r="22" spans="1:6" ht="15.75" customHeight="1" x14ac:dyDescent="0.3">
      <c r="A22" s="279" t="s">
        <v>216</v>
      </c>
      <c r="B22" s="280">
        <v>0</v>
      </c>
      <c r="C22" s="280">
        <v>0</v>
      </c>
      <c r="D22" s="280">
        <v>0</v>
      </c>
      <c r="E22" s="280">
        <v>0</v>
      </c>
      <c r="F22" s="280">
        <v>-10.38</v>
      </c>
    </row>
    <row r="23" spans="1:6" ht="15.75" customHeight="1" x14ac:dyDescent="0.3">
      <c r="A23" s="277" t="s">
        <v>217</v>
      </c>
      <c r="B23" s="278">
        <v>961.55</v>
      </c>
      <c r="C23" s="278">
        <v>1137.31</v>
      </c>
      <c r="D23" s="278">
        <v>1230.6199999999999</v>
      </c>
      <c r="E23" s="278">
        <v>1175.46</v>
      </c>
      <c r="F23" s="278">
        <v>1248.3399999999999</v>
      </c>
    </row>
    <row r="24" spans="1:6" ht="18" customHeight="1" x14ac:dyDescent="0.3">
      <c r="A24" s="281" t="s">
        <v>218</v>
      </c>
      <c r="B24" s="281"/>
      <c r="C24" s="281"/>
      <c r="D24" s="281"/>
      <c r="E24" s="281"/>
      <c r="F24" s="281"/>
    </row>
    <row r="25" spans="1:6" ht="15.75" customHeight="1" x14ac:dyDescent="0.3">
      <c r="A25" s="279" t="s">
        <v>219</v>
      </c>
      <c r="B25" s="280">
        <v>265.86</v>
      </c>
      <c r="C25" s="280">
        <v>327.99</v>
      </c>
      <c r="D25" s="280">
        <v>393.98</v>
      </c>
      <c r="E25" s="280">
        <v>394.41</v>
      </c>
      <c r="F25" s="280">
        <v>412.43</v>
      </c>
    </row>
    <row r="26" spans="1:6" ht="15.75" customHeight="1" x14ac:dyDescent="0.3">
      <c r="A26" s="279" t="s">
        <v>220</v>
      </c>
      <c r="B26" s="280">
        <v>0.44</v>
      </c>
      <c r="C26" s="280">
        <v>-13.17</v>
      </c>
      <c r="D26" s="280">
        <v>-45.63</v>
      </c>
      <c r="E26" s="280">
        <v>-18.95</v>
      </c>
      <c r="F26" s="280">
        <v>-23.54</v>
      </c>
    </row>
    <row r="27" spans="1:6" ht="15.75" customHeight="1" x14ac:dyDescent="0.3">
      <c r="A27" s="277" t="s">
        <v>221</v>
      </c>
      <c r="B27" s="278">
        <v>266.3</v>
      </c>
      <c r="C27" s="278">
        <v>314.82</v>
      </c>
      <c r="D27" s="278">
        <v>348.35</v>
      </c>
      <c r="E27" s="278">
        <v>375.46</v>
      </c>
      <c r="F27" s="278">
        <v>388.89</v>
      </c>
    </row>
    <row r="28" spans="1:6" ht="15.75" customHeight="1" x14ac:dyDescent="0.3">
      <c r="A28" s="277" t="s">
        <v>222</v>
      </c>
      <c r="B28" s="278">
        <v>695.25</v>
      </c>
      <c r="C28" s="278">
        <v>822.49</v>
      </c>
      <c r="D28" s="278">
        <v>882.27</v>
      </c>
      <c r="E28" s="278">
        <v>800</v>
      </c>
      <c r="F28" s="278">
        <v>859.45</v>
      </c>
    </row>
    <row r="29" spans="1:6" ht="15.75" customHeight="1" x14ac:dyDescent="0.3">
      <c r="A29" s="277" t="s">
        <v>223</v>
      </c>
      <c r="B29" s="278">
        <v>695.25</v>
      </c>
      <c r="C29" s="278">
        <v>822.49</v>
      </c>
      <c r="D29" s="278">
        <v>882.27</v>
      </c>
      <c r="E29" s="278">
        <v>800</v>
      </c>
      <c r="F29" s="278">
        <v>859.45</v>
      </c>
    </row>
    <row r="30" spans="1:6" ht="15.75" customHeight="1" x14ac:dyDescent="0.3">
      <c r="A30" s="279" t="s">
        <v>224</v>
      </c>
      <c r="B30" s="280">
        <v>4437.09</v>
      </c>
      <c r="C30" s="280">
        <v>0</v>
      </c>
      <c r="D30" s="280">
        <v>0</v>
      </c>
      <c r="E30" s="280">
        <v>0</v>
      </c>
      <c r="F30" s="280">
        <v>0</v>
      </c>
    </row>
    <row r="31" spans="1:6" ht="15.75" customHeight="1" x14ac:dyDescent="0.3">
      <c r="A31" s="279" t="s">
        <v>225</v>
      </c>
      <c r="B31" s="280">
        <v>774.56</v>
      </c>
      <c r="C31" s="280">
        <v>0</v>
      </c>
      <c r="D31" s="280">
        <v>0</v>
      </c>
      <c r="E31" s="280">
        <v>0</v>
      </c>
      <c r="F31" s="280">
        <v>0</v>
      </c>
    </row>
    <row r="32" spans="1:6" ht="15.75" customHeight="1" x14ac:dyDescent="0.3">
      <c r="A32" s="279" t="s">
        <v>226</v>
      </c>
      <c r="B32" s="280">
        <v>3662.53</v>
      </c>
      <c r="C32" s="280">
        <v>0</v>
      </c>
      <c r="D32" s="280">
        <v>0</v>
      </c>
      <c r="E32" s="280">
        <v>0</v>
      </c>
      <c r="F32" s="280">
        <v>0</v>
      </c>
    </row>
    <row r="33" spans="1:6" ht="15.75" customHeight="1" x14ac:dyDescent="0.3">
      <c r="A33" s="277" t="s">
        <v>227</v>
      </c>
      <c r="B33" s="278">
        <v>4357.78</v>
      </c>
      <c r="C33" s="278">
        <v>822.49</v>
      </c>
      <c r="D33" s="278">
        <v>882.27</v>
      </c>
      <c r="E33" s="278">
        <v>800</v>
      </c>
      <c r="F33" s="278">
        <v>859.45</v>
      </c>
    </row>
    <row r="34" spans="1:6" ht="15.75" customHeight="1" x14ac:dyDescent="0.3">
      <c r="A34" s="279" t="s">
        <v>228</v>
      </c>
      <c r="B34" s="280">
        <v>10.09</v>
      </c>
      <c r="C34" s="280">
        <v>-7.0000000000000007E-2</v>
      </c>
      <c r="D34" s="280">
        <v>-6.14</v>
      </c>
      <c r="E34" s="280">
        <v>-5.48</v>
      </c>
      <c r="F34" s="280">
        <v>-5.73</v>
      </c>
    </row>
    <row r="35" spans="1:6" ht="15.75" customHeight="1" x14ac:dyDescent="0.3">
      <c r="A35" s="279" t="s">
        <v>229</v>
      </c>
      <c r="B35" s="280">
        <v>-0.94</v>
      </c>
      <c r="C35" s="280">
        <v>0.28000000000000003</v>
      </c>
      <c r="D35" s="280">
        <v>0.55000000000000004</v>
      </c>
      <c r="E35" s="280">
        <v>0.5</v>
      </c>
      <c r="F35" s="280">
        <v>0.47</v>
      </c>
    </row>
    <row r="36" spans="1:6" ht="15.75" customHeight="1" x14ac:dyDescent="0.3">
      <c r="A36" s="277" t="s">
        <v>230</v>
      </c>
      <c r="B36" s="278">
        <v>4366.93</v>
      </c>
      <c r="C36" s="278">
        <v>822.7</v>
      </c>
      <c r="D36" s="278">
        <v>876.68</v>
      </c>
      <c r="E36" s="278">
        <v>795.02</v>
      </c>
      <c r="F36" s="278">
        <v>854.19</v>
      </c>
    </row>
    <row r="37" spans="1:6" ht="18" customHeight="1" x14ac:dyDescent="0.3">
      <c r="A37" s="281" t="s">
        <v>231</v>
      </c>
      <c r="B37" s="281"/>
      <c r="C37" s="281"/>
      <c r="D37" s="281"/>
      <c r="E37" s="281"/>
      <c r="F37" s="281"/>
    </row>
    <row r="38" spans="1:6" ht="15.75" customHeight="1" x14ac:dyDescent="0.3">
      <c r="A38" s="279" t="s">
        <v>232</v>
      </c>
      <c r="B38" s="280">
        <v>51</v>
      </c>
      <c r="C38" s="280">
        <v>10</v>
      </c>
      <c r="D38" s="280">
        <v>10</v>
      </c>
      <c r="E38" s="280">
        <v>9</v>
      </c>
      <c r="F38" s="280">
        <v>10</v>
      </c>
    </row>
    <row r="39" spans="1:6" ht="15.75" customHeight="1" x14ac:dyDescent="0.3">
      <c r="A39" s="279" t="s">
        <v>233</v>
      </c>
      <c r="B39" s="280">
        <v>51</v>
      </c>
      <c r="C39" s="280">
        <v>10</v>
      </c>
      <c r="D39" s="280">
        <v>10</v>
      </c>
      <c r="E39" s="280">
        <v>9</v>
      </c>
      <c r="F39" s="280">
        <v>10</v>
      </c>
    </row>
    <row r="40" spans="1:6" ht="18" customHeight="1" x14ac:dyDescent="0.3">
      <c r="A40" s="281" t="s">
        <v>234</v>
      </c>
      <c r="B40" s="281"/>
      <c r="C40" s="281"/>
      <c r="D40" s="281"/>
      <c r="E40" s="281"/>
      <c r="F40" s="281"/>
    </row>
    <row r="41" spans="1:6" ht="15.75" customHeight="1" x14ac:dyDescent="0.3">
      <c r="A41" s="279" t="s">
        <v>235</v>
      </c>
      <c r="B41" s="280">
        <v>0</v>
      </c>
      <c r="C41" s="280">
        <v>0</v>
      </c>
      <c r="D41" s="280">
        <v>170</v>
      </c>
      <c r="E41" s="280">
        <v>0</v>
      </c>
      <c r="F41" s="280">
        <v>0</v>
      </c>
    </row>
  </sheetData>
  <mergeCells count="7">
    <mergeCell ref="A37:F37"/>
    <mergeCell ref="A40:F40"/>
    <mergeCell ref="A1:F1"/>
    <mergeCell ref="A4:F4"/>
    <mergeCell ref="A11:F11"/>
    <mergeCell ref="A20:F20"/>
    <mergeCell ref="A24:F2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5"/>
  <sheetViews>
    <sheetView tabSelected="1" zoomScaleNormal="100" workbookViewId="0">
      <selection activeCell="M5" sqref="M5"/>
    </sheetView>
  </sheetViews>
  <sheetFormatPr defaultColWidth="8.6640625" defaultRowHeight="14.4" x14ac:dyDescent="0.3"/>
  <cols>
    <col min="1" max="1" width="55" customWidth="1"/>
    <col min="2" max="6" width="14" customWidth="1"/>
  </cols>
  <sheetData>
    <row r="1" spans="1:6" ht="21.75" customHeight="1" x14ac:dyDescent="0.3">
      <c r="A1" s="254" t="s">
        <v>236</v>
      </c>
      <c r="B1" s="254"/>
      <c r="C1" s="254"/>
      <c r="D1" s="254"/>
      <c r="E1" s="254"/>
      <c r="F1" s="254"/>
    </row>
    <row r="2" spans="1:6" ht="13.5" customHeight="1" x14ac:dyDescent="0.3">
      <c r="A2" s="255" t="s">
        <v>191</v>
      </c>
      <c r="B2" s="256"/>
      <c r="C2" s="256"/>
      <c r="D2" s="256"/>
      <c r="E2" s="256"/>
      <c r="F2" s="256"/>
    </row>
    <row r="3" spans="1:6" ht="30" customHeight="1" x14ac:dyDescent="0.3">
      <c r="A3" s="253" t="s">
        <v>192</v>
      </c>
      <c r="B3" s="253" t="s">
        <v>193</v>
      </c>
      <c r="C3" s="253" t="s">
        <v>194</v>
      </c>
      <c r="D3" s="253" t="s">
        <v>195</v>
      </c>
      <c r="E3" s="253" t="s">
        <v>196</v>
      </c>
      <c r="F3" s="253" t="s">
        <v>197</v>
      </c>
    </row>
    <row r="4" spans="1:6" ht="18" customHeight="1" x14ac:dyDescent="0.3">
      <c r="A4" s="254" t="s">
        <v>237</v>
      </c>
      <c r="B4" s="254"/>
      <c r="C4" s="254"/>
      <c r="D4" s="254"/>
      <c r="E4" s="254"/>
      <c r="F4" s="254"/>
    </row>
    <row r="5" spans="1:6" ht="18" customHeight="1" x14ac:dyDescent="0.3">
      <c r="A5" s="264" t="s">
        <v>238</v>
      </c>
      <c r="B5" s="264"/>
      <c r="C5" s="264"/>
      <c r="D5" s="264"/>
      <c r="E5" s="264"/>
      <c r="F5" s="264"/>
    </row>
    <row r="6" spans="1:6" ht="15.75" customHeight="1" x14ac:dyDescent="0.3">
      <c r="A6" s="265" t="s">
        <v>239</v>
      </c>
      <c r="B6" s="266">
        <v>85</v>
      </c>
      <c r="C6" s="266">
        <v>85</v>
      </c>
      <c r="D6" s="266">
        <v>85</v>
      </c>
      <c r="E6" s="266">
        <v>85</v>
      </c>
      <c r="F6" s="266">
        <v>85</v>
      </c>
    </row>
    <row r="7" spans="1:6" ht="15.75" customHeight="1" x14ac:dyDescent="0.3">
      <c r="A7" s="267" t="s">
        <v>240</v>
      </c>
      <c r="B7" s="268">
        <v>85</v>
      </c>
      <c r="C7" s="268">
        <v>85</v>
      </c>
      <c r="D7" s="268">
        <v>85</v>
      </c>
      <c r="E7" s="268">
        <v>85</v>
      </c>
      <c r="F7" s="268">
        <v>85</v>
      </c>
    </row>
    <row r="8" spans="1:6" ht="15.75" customHeight="1" x14ac:dyDescent="0.3">
      <c r="A8" s="265" t="s">
        <v>241</v>
      </c>
      <c r="B8" s="266">
        <v>10498.74</v>
      </c>
      <c r="C8" s="266">
        <v>11047.28</v>
      </c>
      <c r="D8" s="266">
        <v>12801.34</v>
      </c>
      <c r="E8" s="266">
        <v>13828.48</v>
      </c>
      <c r="F8" s="266">
        <v>13819.85</v>
      </c>
    </row>
    <row r="9" spans="1:6" ht="15.75" customHeight="1" x14ac:dyDescent="0.3">
      <c r="A9" s="267" t="s">
        <v>242</v>
      </c>
      <c r="B9" s="268">
        <v>10498.74</v>
      </c>
      <c r="C9" s="268">
        <v>11047.28</v>
      </c>
      <c r="D9" s="268">
        <v>12801.34</v>
      </c>
      <c r="E9" s="268">
        <v>13828.48</v>
      </c>
      <c r="F9" s="268">
        <v>13819.85</v>
      </c>
    </row>
    <row r="10" spans="1:6" ht="15.75" customHeight="1" x14ac:dyDescent="0.3">
      <c r="A10" s="269" t="s">
        <v>243</v>
      </c>
      <c r="B10" s="270">
        <v>10583.74</v>
      </c>
      <c r="C10" s="270">
        <v>11132.28</v>
      </c>
      <c r="D10" s="270">
        <v>12886.34</v>
      </c>
      <c r="E10" s="270">
        <v>13913.48</v>
      </c>
      <c r="F10" s="270">
        <v>13904.85</v>
      </c>
    </row>
    <row r="11" spans="1:6" ht="15.75" customHeight="1" x14ac:dyDescent="0.3">
      <c r="A11" s="265" t="s">
        <v>228</v>
      </c>
      <c r="B11" s="266">
        <v>40.21</v>
      </c>
      <c r="C11" s="266">
        <v>9.02</v>
      </c>
      <c r="D11" s="266">
        <v>15.16</v>
      </c>
      <c r="E11" s="266">
        <v>20.64</v>
      </c>
      <c r="F11" s="266">
        <v>26.37</v>
      </c>
    </row>
    <row r="12" spans="1:6" ht="18" customHeight="1" x14ac:dyDescent="0.3">
      <c r="A12" s="271" t="s">
        <v>244</v>
      </c>
      <c r="B12" s="271"/>
      <c r="C12" s="271"/>
      <c r="D12" s="271"/>
      <c r="E12" s="271"/>
      <c r="F12" s="271"/>
    </row>
    <row r="13" spans="1:6" ht="15.75" customHeight="1" x14ac:dyDescent="0.3">
      <c r="A13" s="265" t="s">
        <v>245</v>
      </c>
      <c r="B13" s="266">
        <v>82.36</v>
      </c>
      <c r="C13" s="266">
        <v>141.29</v>
      </c>
      <c r="D13" s="266">
        <v>221.54</v>
      </c>
      <c r="E13" s="266">
        <v>943.07</v>
      </c>
      <c r="F13" s="266">
        <v>906.45</v>
      </c>
    </row>
    <row r="14" spans="1:6" ht="15.75" customHeight="1" x14ac:dyDescent="0.3">
      <c r="A14" s="272" t="s">
        <v>246</v>
      </c>
      <c r="B14" s="273">
        <v>8.1999999999999993</v>
      </c>
      <c r="C14" s="273">
        <v>7.73</v>
      </c>
      <c r="D14" s="273">
        <v>0.89</v>
      </c>
      <c r="E14" s="273">
        <v>12.83</v>
      </c>
      <c r="F14" s="273">
        <v>2.2999999999999998</v>
      </c>
    </row>
    <row r="15" spans="1:6" ht="15.75" customHeight="1" x14ac:dyDescent="0.3">
      <c r="A15" s="265" t="s">
        <v>247</v>
      </c>
      <c r="B15" s="266">
        <v>316.66000000000003</v>
      </c>
      <c r="C15" s="266">
        <v>387.77</v>
      </c>
      <c r="D15" s="266">
        <v>509.33</v>
      </c>
      <c r="E15" s="266">
        <v>525.04999999999995</v>
      </c>
      <c r="F15" s="266">
        <v>503.4</v>
      </c>
    </row>
    <row r="16" spans="1:6" ht="15.75" customHeight="1" x14ac:dyDescent="0.3">
      <c r="A16" s="272" t="s">
        <v>248</v>
      </c>
      <c r="B16" s="273">
        <v>61.6</v>
      </c>
      <c r="C16" s="273">
        <v>65.2</v>
      </c>
      <c r="D16" s="273">
        <v>69.2</v>
      </c>
      <c r="E16" s="273">
        <v>100.89</v>
      </c>
      <c r="F16" s="273">
        <v>95.09</v>
      </c>
    </row>
    <row r="17" spans="1:6" ht="15.75" customHeight="1" x14ac:dyDescent="0.3">
      <c r="A17" s="267" t="s">
        <v>249</v>
      </c>
      <c r="B17" s="268">
        <v>468.82</v>
      </c>
      <c r="C17" s="268">
        <v>601.99</v>
      </c>
      <c r="D17" s="268">
        <v>800.96</v>
      </c>
      <c r="E17" s="268">
        <v>1581.84</v>
      </c>
      <c r="F17" s="268">
        <v>1507.24</v>
      </c>
    </row>
    <row r="18" spans="1:6" ht="18" customHeight="1" x14ac:dyDescent="0.3">
      <c r="A18" s="271" t="s">
        <v>250</v>
      </c>
      <c r="B18" s="271"/>
      <c r="C18" s="271"/>
      <c r="D18" s="271"/>
      <c r="E18" s="271"/>
      <c r="F18" s="271"/>
    </row>
    <row r="19" spans="1:6" ht="15.75" customHeight="1" x14ac:dyDescent="0.3">
      <c r="A19" s="265" t="s">
        <v>251</v>
      </c>
      <c r="B19" s="266">
        <v>126.87</v>
      </c>
      <c r="C19" s="266">
        <v>138.09</v>
      </c>
      <c r="D19" s="266">
        <v>475.42</v>
      </c>
      <c r="E19" s="266">
        <v>618.1</v>
      </c>
      <c r="F19" s="266">
        <v>186.7</v>
      </c>
    </row>
    <row r="20" spans="1:6" ht="15.75" customHeight="1" x14ac:dyDescent="0.3">
      <c r="A20" s="272" t="s">
        <v>252</v>
      </c>
      <c r="B20" s="273">
        <v>1846.33</v>
      </c>
      <c r="C20" s="273">
        <v>1855.61</v>
      </c>
      <c r="D20" s="273">
        <v>2707.74</v>
      </c>
      <c r="E20" s="273">
        <v>3344.96</v>
      </c>
      <c r="F20" s="273">
        <v>3676.19</v>
      </c>
    </row>
    <row r="21" spans="1:6" ht="15.75" customHeight="1" x14ac:dyDescent="0.3">
      <c r="A21" s="265" t="s">
        <v>253</v>
      </c>
      <c r="B21" s="266">
        <v>576</v>
      </c>
      <c r="C21" s="266">
        <v>742.48</v>
      </c>
      <c r="D21" s="266">
        <v>941.13</v>
      </c>
      <c r="E21" s="266">
        <v>1518.31</v>
      </c>
      <c r="F21" s="266">
        <v>1507</v>
      </c>
    </row>
    <row r="22" spans="1:6" ht="15.75" customHeight="1" x14ac:dyDescent="0.3">
      <c r="A22" s="272" t="s">
        <v>254</v>
      </c>
      <c r="B22" s="273">
        <v>268.64</v>
      </c>
      <c r="C22" s="273">
        <v>288.20999999999998</v>
      </c>
      <c r="D22" s="273">
        <v>323.27</v>
      </c>
      <c r="E22" s="273">
        <v>399</v>
      </c>
      <c r="F22" s="273">
        <v>411.53</v>
      </c>
    </row>
    <row r="23" spans="1:6" ht="15.75" customHeight="1" x14ac:dyDescent="0.3">
      <c r="A23" s="267" t="s">
        <v>255</v>
      </c>
      <c r="B23" s="268">
        <v>2817.84</v>
      </c>
      <c r="C23" s="268">
        <v>3024.39</v>
      </c>
      <c r="D23" s="268">
        <v>4447.5600000000004</v>
      </c>
      <c r="E23" s="268">
        <v>5880.37</v>
      </c>
      <c r="F23" s="268">
        <v>5781.42</v>
      </c>
    </row>
    <row r="24" spans="1:6" ht="15.75" customHeight="1" x14ac:dyDescent="0.3">
      <c r="A24" s="269" t="s">
        <v>256</v>
      </c>
      <c r="B24" s="270">
        <v>13910.61</v>
      </c>
      <c r="C24" s="270">
        <v>14767.68</v>
      </c>
      <c r="D24" s="270">
        <v>18150.02</v>
      </c>
      <c r="E24" s="270">
        <v>21396.33</v>
      </c>
      <c r="F24" s="270">
        <v>21219.88</v>
      </c>
    </row>
    <row r="25" spans="1:6" ht="18" customHeight="1" x14ac:dyDescent="0.3">
      <c r="A25" s="274" t="s">
        <v>257</v>
      </c>
      <c r="B25" s="274"/>
      <c r="C25" s="274"/>
      <c r="D25" s="274"/>
      <c r="E25" s="274"/>
      <c r="F25" s="274"/>
    </row>
    <row r="26" spans="1:6" ht="18" customHeight="1" x14ac:dyDescent="0.3">
      <c r="A26" s="271" t="s">
        <v>258</v>
      </c>
      <c r="B26" s="271"/>
      <c r="C26" s="271"/>
      <c r="D26" s="271"/>
      <c r="E26" s="271"/>
      <c r="F26" s="271"/>
    </row>
    <row r="27" spans="1:6" ht="15.75" customHeight="1" x14ac:dyDescent="0.3">
      <c r="A27" s="265" t="s">
        <v>259</v>
      </c>
      <c r="B27" s="266">
        <v>3240.18</v>
      </c>
      <c r="C27" s="266">
        <v>3582.06</v>
      </c>
      <c r="D27" s="266">
        <v>3760.47</v>
      </c>
      <c r="E27" s="266">
        <v>3853.63</v>
      </c>
      <c r="F27" s="266">
        <v>3936.74</v>
      </c>
    </row>
    <row r="28" spans="1:6" ht="15.75" customHeight="1" x14ac:dyDescent="0.3">
      <c r="A28" s="272" t="s">
        <v>260</v>
      </c>
      <c r="B28" s="273">
        <v>74.28</v>
      </c>
      <c r="C28" s="273">
        <v>56.94</v>
      </c>
      <c r="D28" s="273">
        <v>46.55</v>
      </c>
      <c r="E28" s="273">
        <v>35.89</v>
      </c>
      <c r="F28" s="273">
        <v>23.54</v>
      </c>
    </row>
    <row r="29" spans="1:6" ht="15.75" customHeight="1" x14ac:dyDescent="0.3">
      <c r="A29" s="265" t="s">
        <v>261</v>
      </c>
      <c r="B29" s="266">
        <v>322.42</v>
      </c>
      <c r="C29" s="266">
        <v>335.38</v>
      </c>
      <c r="D29" s="266">
        <v>1164.54</v>
      </c>
      <c r="E29" s="266">
        <v>3426.05</v>
      </c>
      <c r="F29" s="266">
        <v>3937.84</v>
      </c>
    </row>
    <row r="30" spans="1:6" ht="15.75" customHeight="1" x14ac:dyDescent="0.3">
      <c r="A30" s="272" t="s">
        <v>262</v>
      </c>
      <c r="B30" s="273">
        <v>18.52</v>
      </c>
      <c r="C30" s="273">
        <v>189.67</v>
      </c>
      <c r="D30" s="273">
        <v>187.44</v>
      </c>
      <c r="E30" s="273">
        <v>217.36</v>
      </c>
      <c r="F30" s="273">
        <v>260.52999999999997</v>
      </c>
    </row>
    <row r="31" spans="1:6" ht="15.75" customHeight="1" x14ac:dyDescent="0.3">
      <c r="A31" s="267" t="s">
        <v>263</v>
      </c>
      <c r="B31" s="268">
        <v>3655.4</v>
      </c>
      <c r="C31" s="268">
        <v>4164.05</v>
      </c>
      <c r="D31" s="268">
        <v>5159</v>
      </c>
      <c r="E31" s="268">
        <v>7532.93</v>
      </c>
      <c r="F31" s="268">
        <v>8158.65</v>
      </c>
    </row>
    <row r="32" spans="1:6" ht="15.75" customHeight="1" x14ac:dyDescent="0.3">
      <c r="A32" s="265" t="s">
        <v>264</v>
      </c>
      <c r="B32" s="266">
        <v>4846.8999999999996</v>
      </c>
      <c r="C32" s="266">
        <v>4502.66</v>
      </c>
      <c r="D32" s="266">
        <v>5681.11</v>
      </c>
      <c r="E32" s="266">
        <v>6149.69</v>
      </c>
      <c r="F32" s="266">
        <v>5299.56</v>
      </c>
    </row>
    <row r="33" spans="1:6" ht="15.75" customHeight="1" x14ac:dyDescent="0.3">
      <c r="A33" s="272" t="s">
        <v>265</v>
      </c>
      <c r="B33" s="273">
        <v>65.38</v>
      </c>
      <c r="C33" s="273">
        <v>115.98</v>
      </c>
      <c r="D33" s="273">
        <v>23.04</v>
      </c>
      <c r="E33" s="273">
        <v>6.65</v>
      </c>
      <c r="F33" s="273">
        <v>141.01</v>
      </c>
    </row>
    <row r="34" spans="1:6" ht="15.75" customHeight="1" x14ac:dyDescent="0.3">
      <c r="A34" s="265" t="s">
        <v>266</v>
      </c>
      <c r="B34" s="266">
        <v>0.09</v>
      </c>
      <c r="C34" s="266">
        <v>7.0000000000000007E-2</v>
      </c>
      <c r="D34" s="266">
        <v>0.25</v>
      </c>
      <c r="E34" s="266">
        <v>0.19</v>
      </c>
      <c r="F34" s="266">
        <v>0.11</v>
      </c>
    </row>
    <row r="35" spans="1:6" ht="15.75" customHeight="1" x14ac:dyDescent="0.3">
      <c r="A35" s="272" t="s">
        <v>267</v>
      </c>
      <c r="B35" s="273">
        <v>174.82</v>
      </c>
      <c r="C35" s="273">
        <v>248.11</v>
      </c>
      <c r="D35" s="273">
        <v>989.28</v>
      </c>
      <c r="E35" s="273">
        <v>457</v>
      </c>
      <c r="F35" s="273">
        <v>496.26</v>
      </c>
    </row>
    <row r="36" spans="1:6" ht="15.75" customHeight="1" x14ac:dyDescent="0.3">
      <c r="A36" s="267" t="s">
        <v>268</v>
      </c>
      <c r="B36" s="268">
        <v>8789.36</v>
      </c>
      <c r="C36" s="268">
        <v>9076.69</v>
      </c>
      <c r="D36" s="268">
        <v>11898.5</v>
      </c>
      <c r="E36" s="268">
        <v>14192.28</v>
      </c>
      <c r="F36" s="268">
        <v>14141.41</v>
      </c>
    </row>
    <row r="37" spans="1:6" ht="18" customHeight="1" x14ac:dyDescent="0.3">
      <c r="A37" s="271" t="s">
        <v>269</v>
      </c>
      <c r="B37" s="271"/>
      <c r="C37" s="271"/>
      <c r="D37" s="271"/>
      <c r="E37" s="271"/>
      <c r="F37" s="271"/>
    </row>
    <row r="38" spans="1:6" ht="15.75" customHeight="1" x14ac:dyDescent="0.3">
      <c r="A38" s="265" t="s">
        <v>270</v>
      </c>
      <c r="B38" s="266">
        <v>711.54</v>
      </c>
      <c r="C38" s="266">
        <v>603.25</v>
      </c>
      <c r="D38" s="266">
        <v>258.89999999999998</v>
      </c>
      <c r="E38" s="266">
        <v>318.27</v>
      </c>
      <c r="F38" s="266">
        <v>831.21</v>
      </c>
    </row>
    <row r="39" spans="1:6" ht="15.75" customHeight="1" x14ac:dyDescent="0.3">
      <c r="A39" s="272" t="s">
        <v>271</v>
      </c>
      <c r="B39" s="273">
        <v>2855.29</v>
      </c>
      <c r="C39" s="273">
        <v>3436.4</v>
      </c>
      <c r="D39" s="273">
        <v>3868.53</v>
      </c>
      <c r="E39" s="273">
        <v>4564.8999999999996</v>
      </c>
      <c r="F39" s="273">
        <v>4004.05</v>
      </c>
    </row>
    <row r="40" spans="1:6" ht="15.75" customHeight="1" x14ac:dyDescent="0.3">
      <c r="A40" s="265" t="s">
        <v>272</v>
      </c>
      <c r="B40" s="266">
        <v>1097.8499999999999</v>
      </c>
      <c r="C40" s="266">
        <v>1229.55</v>
      </c>
      <c r="D40" s="266">
        <v>1382.27</v>
      </c>
      <c r="E40" s="266">
        <v>1686.39</v>
      </c>
      <c r="F40" s="266">
        <v>1574.81</v>
      </c>
    </row>
    <row r="41" spans="1:6" ht="15.75" customHeight="1" x14ac:dyDescent="0.3">
      <c r="A41" s="272" t="s">
        <v>273</v>
      </c>
      <c r="B41" s="273">
        <v>198.99</v>
      </c>
      <c r="C41" s="273">
        <v>140.31</v>
      </c>
      <c r="D41" s="273">
        <v>330.51</v>
      </c>
      <c r="E41" s="273">
        <v>188.02</v>
      </c>
      <c r="F41" s="273">
        <v>257.81</v>
      </c>
    </row>
    <row r="42" spans="1:6" ht="15.75" customHeight="1" x14ac:dyDescent="0.3">
      <c r="A42" s="265" t="s">
        <v>274</v>
      </c>
      <c r="B42" s="266">
        <v>0.28000000000000003</v>
      </c>
      <c r="C42" s="266">
        <v>0.26</v>
      </c>
      <c r="D42" s="266">
        <v>0.36</v>
      </c>
      <c r="E42" s="266">
        <v>0.34</v>
      </c>
      <c r="F42" s="266">
        <v>0.26</v>
      </c>
    </row>
    <row r="43" spans="1:6" ht="15.75" customHeight="1" x14ac:dyDescent="0.3">
      <c r="A43" s="272" t="s">
        <v>275</v>
      </c>
      <c r="B43" s="273">
        <v>257.3</v>
      </c>
      <c r="C43" s="273">
        <v>281.22000000000003</v>
      </c>
      <c r="D43" s="273">
        <v>410.95</v>
      </c>
      <c r="E43" s="273">
        <v>446.13</v>
      </c>
      <c r="F43" s="273">
        <v>410.33</v>
      </c>
    </row>
    <row r="44" spans="1:6" ht="15.75" customHeight="1" x14ac:dyDescent="0.3">
      <c r="A44" s="267" t="s">
        <v>276</v>
      </c>
      <c r="B44" s="268">
        <v>5121.25</v>
      </c>
      <c r="C44" s="268">
        <v>5690.99</v>
      </c>
      <c r="D44" s="268">
        <v>6251.52</v>
      </c>
      <c r="E44" s="268">
        <v>7204.05</v>
      </c>
      <c r="F44" s="268">
        <v>7078.47</v>
      </c>
    </row>
    <row r="45" spans="1:6" ht="15.75" customHeight="1" x14ac:dyDescent="0.3">
      <c r="A45" s="269" t="s">
        <v>277</v>
      </c>
      <c r="B45" s="270">
        <v>13910.61</v>
      </c>
      <c r="C45" s="270">
        <v>14767.68</v>
      </c>
      <c r="D45" s="270">
        <v>18150.02</v>
      </c>
      <c r="E45" s="270">
        <v>21396.33</v>
      </c>
      <c r="F45" s="270">
        <v>21219.88</v>
      </c>
    </row>
    <row r="46" spans="1:6" ht="18" customHeight="1" x14ac:dyDescent="0.3">
      <c r="A46" s="274" t="s">
        <v>278</v>
      </c>
      <c r="B46" s="274"/>
      <c r="C46" s="274"/>
      <c r="D46" s="274"/>
      <c r="E46" s="274"/>
      <c r="F46" s="274"/>
    </row>
    <row r="47" spans="1:6" ht="18" customHeight="1" x14ac:dyDescent="0.3">
      <c r="A47" s="271" t="s">
        <v>279</v>
      </c>
      <c r="B47" s="271"/>
      <c r="C47" s="271"/>
      <c r="D47" s="271"/>
      <c r="E47" s="271"/>
      <c r="F47" s="271"/>
    </row>
    <row r="48" spans="1:6" ht="15.75" customHeight="1" x14ac:dyDescent="0.3">
      <c r="A48" s="265" t="s">
        <v>280</v>
      </c>
      <c r="B48" s="266">
        <v>665.59</v>
      </c>
      <c r="C48" s="266">
        <v>812.21</v>
      </c>
      <c r="D48" s="266">
        <v>2487.96</v>
      </c>
      <c r="E48" s="266">
        <v>994.01</v>
      </c>
      <c r="F48" s="266">
        <v>907.42</v>
      </c>
    </row>
    <row r="49" spans="1:6" ht="18" customHeight="1" x14ac:dyDescent="0.3">
      <c r="A49" s="271" t="s">
        <v>281</v>
      </c>
      <c r="B49" s="271"/>
      <c r="C49" s="271"/>
      <c r="D49" s="271"/>
      <c r="E49" s="271"/>
      <c r="F49" s="271"/>
    </row>
    <row r="50" spans="1:6" ht="15.75" customHeight="1" x14ac:dyDescent="0.3">
      <c r="A50" s="265" t="s">
        <v>282</v>
      </c>
      <c r="B50" s="266">
        <v>54.15</v>
      </c>
      <c r="C50" s="266">
        <v>54.15</v>
      </c>
      <c r="D50" s="266">
        <v>54.15</v>
      </c>
      <c r="E50" s="266">
        <v>54.15</v>
      </c>
      <c r="F50" s="266">
        <v>54.15</v>
      </c>
    </row>
    <row r="51" spans="1:6" ht="18" customHeight="1" x14ac:dyDescent="0.3">
      <c r="A51" s="271" t="s">
        <v>283</v>
      </c>
      <c r="B51" s="271"/>
      <c r="C51" s="271"/>
      <c r="D51" s="271"/>
      <c r="E51" s="271"/>
      <c r="F51" s="271"/>
    </row>
    <row r="52" spans="1:6" ht="15.75" customHeight="1" x14ac:dyDescent="0.3">
      <c r="A52" s="265" t="s">
        <v>284</v>
      </c>
      <c r="B52" s="266">
        <v>4693</v>
      </c>
      <c r="C52" s="266">
        <v>4351.25</v>
      </c>
      <c r="D52" s="266">
        <v>5522.32</v>
      </c>
      <c r="E52" s="266">
        <v>5974.27</v>
      </c>
      <c r="F52" s="266">
        <v>5144.43</v>
      </c>
    </row>
    <row r="53" spans="1:6" ht="15.75" customHeight="1" x14ac:dyDescent="0.3">
      <c r="A53" s="272" t="s">
        <v>285</v>
      </c>
      <c r="B53" s="273">
        <v>129.34</v>
      </c>
      <c r="C53" s="273">
        <v>126.57</v>
      </c>
      <c r="D53" s="273">
        <v>133.13</v>
      </c>
      <c r="E53" s="273">
        <v>147.76</v>
      </c>
      <c r="F53" s="273">
        <v>127</v>
      </c>
    </row>
    <row r="54" spans="1:6" ht="18" customHeight="1" x14ac:dyDescent="0.3">
      <c r="A54" s="271" t="s">
        <v>286</v>
      </c>
      <c r="B54" s="271"/>
      <c r="C54" s="271"/>
      <c r="D54" s="271"/>
      <c r="E54" s="271"/>
      <c r="F54" s="271"/>
    </row>
    <row r="55" spans="1:6" ht="15.75" customHeight="1" x14ac:dyDescent="0.3">
      <c r="A55" s="265" t="s">
        <v>287</v>
      </c>
      <c r="B55" s="266">
        <v>711.54</v>
      </c>
      <c r="C55" s="266">
        <v>603.25</v>
      </c>
      <c r="D55" s="266">
        <v>258.89999999999998</v>
      </c>
      <c r="E55" s="266">
        <v>318.27</v>
      </c>
      <c r="F55" s="266">
        <v>831.21</v>
      </c>
    </row>
  </sheetData>
  <mergeCells count="13">
    <mergeCell ref="A49:F49"/>
    <mergeCell ref="A51:F51"/>
    <mergeCell ref="A54:F54"/>
    <mergeCell ref="A25:F25"/>
    <mergeCell ref="A26:F26"/>
    <mergeCell ref="A37:F37"/>
    <mergeCell ref="A46:F46"/>
    <mergeCell ref="A47:F47"/>
    <mergeCell ref="A1:F1"/>
    <mergeCell ref="A4:F4"/>
    <mergeCell ref="A5:F5"/>
    <mergeCell ref="A12:F12"/>
    <mergeCell ref="A18:F1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"/>
  <sheetViews>
    <sheetView zoomScaleNormal="100" workbookViewId="0">
      <selection activeCell="A20" sqref="A20"/>
    </sheetView>
  </sheetViews>
  <sheetFormatPr defaultColWidth="8.6640625" defaultRowHeight="14.4" x14ac:dyDescent="0.3"/>
  <cols>
    <col min="1" max="1" width="55" customWidth="1"/>
    <col min="2" max="6" width="14" customWidth="1"/>
  </cols>
  <sheetData>
    <row r="1" spans="1:6" ht="21.75" customHeight="1" x14ac:dyDescent="0.3">
      <c r="A1" s="254" t="s">
        <v>288</v>
      </c>
      <c r="B1" s="254"/>
      <c r="C1" s="254"/>
      <c r="D1" s="254"/>
      <c r="E1" s="254"/>
      <c r="F1" s="254"/>
    </row>
    <row r="2" spans="1:6" ht="13.5" customHeight="1" x14ac:dyDescent="0.3">
      <c r="A2" s="255" t="s">
        <v>191</v>
      </c>
      <c r="B2" s="256"/>
      <c r="C2" s="256"/>
      <c r="D2" s="256"/>
      <c r="E2" s="256"/>
      <c r="F2" s="256"/>
    </row>
    <row r="3" spans="1:6" ht="30" customHeight="1" x14ac:dyDescent="0.3">
      <c r="A3" s="253" t="s">
        <v>192</v>
      </c>
      <c r="B3" s="253" t="s">
        <v>193</v>
      </c>
      <c r="C3" s="253" t="s">
        <v>194</v>
      </c>
      <c r="D3" s="253" t="s">
        <v>195</v>
      </c>
      <c r="E3" s="253" t="s">
        <v>196</v>
      </c>
      <c r="F3" s="253" t="s">
        <v>197</v>
      </c>
    </row>
    <row r="4" spans="1:6" ht="18" customHeight="1" x14ac:dyDescent="0.3">
      <c r="A4" s="257" t="s">
        <v>289</v>
      </c>
      <c r="B4" s="257"/>
      <c r="C4" s="257"/>
      <c r="D4" s="257"/>
      <c r="E4" s="257"/>
      <c r="F4" s="257"/>
    </row>
    <row r="5" spans="1:6" ht="15.75" customHeight="1" x14ac:dyDescent="0.3">
      <c r="A5" s="258" t="s">
        <v>290</v>
      </c>
      <c r="B5" s="259">
        <v>960.61</v>
      </c>
      <c r="C5" s="259">
        <v>1137.5899999999999</v>
      </c>
      <c r="D5" s="259">
        <v>1231.17</v>
      </c>
      <c r="E5" s="259">
        <v>1175.96</v>
      </c>
      <c r="F5" s="259">
        <v>1248.81</v>
      </c>
    </row>
    <row r="6" spans="1:6" ht="15.75" customHeight="1" x14ac:dyDescent="0.3">
      <c r="A6" s="258" t="s">
        <v>291</v>
      </c>
      <c r="B6" s="259">
        <v>61.25</v>
      </c>
      <c r="C6" s="259">
        <v>768.24</v>
      </c>
      <c r="D6" s="259">
        <v>1531.41</v>
      </c>
      <c r="E6" s="259">
        <v>1272.9000000000001</v>
      </c>
      <c r="F6" s="259">
        <v>2413.16</v>
      </c>
    </row>
    <row r="7" spans="1:6" ht="15.75" customHeight="1" x14ac:dyDescent="0.3">
      <c r="A7" s="258" t="s">
        <v>292</v>
      </c>
      <c r="B7" s="259">
        <v>66.33</v>
      </c>
      <c r="C7" s="259">
        <v>-798.82</v>
      </c>
      <c r="D7" s="259">
        <v>-1458.27</v>
      </c>
      <c r="E7" s="259">
        <v>-1933.92</v>
      </c>
      <c r="F7" s="259">
        <v>-1551.2</v>
      </c>
    </row>
    <row r="8" spans="1:6" ht="15.75" customHeight="1" x14ac:dyDescent="0.3">
      <c r="A8" s="258" t="s">
        <v>293</v>
      </c>
      <c r="B8" s="259">
        <v>-172.32</v>
      </c>
      <c r="C8" s="259">
        <v>-30.1</v>
      </c>
      <c r="D8" s="259">
        <v>109.83</v>
      </c>
      <c r="E8" s="259">
        <v>514.62</v>
      </c>
      <c r="F8" s="259">
        <v>-804.51</v>
      </c>
    </row>
    <row r="9" spans="1:6" ht="15.75" customHeight="1" x14ac:dyDescent="0.3">
      <c r="A9" s="260" t="s">
        <v>294</v>
      </c>
      <c r="B9" s="261">
        <v>-56.85</v>
      </c>
      <c r="C9" s="261">
        <v>-60.68</v>
      </c>
      <c r="D9" s="261">
        <v>182.97</v>
      </c>
      <c r="E9" s="261">
        <v>-146.4</v>
      </c>
      <c r="F9" s="261">
        <v>69.989999999999995</v>
      </c>
    </row>
    <row r="10" spans="1:6" ht="15.75" customHeight="1" x14ac:dyDescent="0.3">
      <c r="A10" s="262" t="s">
        <v>295</v>
      </c>
      <c r="B10" s="263">
        <v>245.96</v>
      </c>
      <c r="C10" s="263">
        <v>189.11</v>
      </c>
      <c r="D10" s="263">
        <v>131.78</v>
      </c>
      <c r="E10" s="263">
        <v>322.99</v>
      </c>
      <c r="F10" s="263">
        <v>180.82</v>
      </c>
    </row>
    <row r="11" spans="1:6" ht="15.75" customHeight="1" x14ac:dyDescent="0.3">
      <c r="A11" s="260" t="s">
        <v>296</v>
      </c>
      <c r="B11" s="261">
        <v>189.11</v>
      </c>
      <c r="C11" s="261">
        <v>128.43</v>
      </c>
      <c r="D11" s="261">
        <v>314.75</v>
      </c>
      <c r="E11" s="261">
        <v>176.59</v>
      </c>
      <c r="F11" s="261">
        <v>250.81</v>
      </c>
    </row>
  </sheetData>
  <mergeCells count="2">
    <mergeCell ref="A1:F1"/>
    <mergeCell ref="A4:F4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7"/>
  <sheetViews>
    <sheetView zoomScale="92" zoomScaleNormal="92" workbookViewId="0">
      <selection sqref="A1:F1"/>
    </sheetView>
  </sheetViews>
  <sheetFormatPr defaultColWidth="8.6640625" defaultRowHeight="14.4" x14ac:dyDescent="0.3"/>
  <cols>
    <col min="1" max="1" width="47.77734375" customWidth="1"/>
    <col min="2" max="4" width="9.21875" customWidth="1"/>
    <col min="5" max="6" width="10.21875" customWidth="1"/>
    <col min="7" max="7" width="8" customWidth="1"/>
    <col min="8" max="8" width="6.88671875" customWidth="1"/>
    <col min="12" max="12" width="11.33203125" customWidth="1"/>
    <col min="14" max="14" width="22.6640625" customWidth="1"/>
    <col min="15" max="15" width="9.21875" customWidth="1"/>
    <col min="17" max="17" width="22.6640625" customWidth="1"/>
    <col min="18" max="18" width="10.6640625" customWidth="1"/>
    <col min="20" max="20" width="22.6640625" customWidth="1"/>
    <col min="21" max="21" width="10.77734375" customWidth="1"/>
    <col min="23" max="23" width="22.6640625" customWidth="1"/>
    <col min="24" max="24" width="10.109375" customWidth="1"/>
  </cols>
  <sheetData>
    <row r="1" spans="1:24" ht="14.25" customHeight="1" x14ac:dyDescent="0.3">
      <c r="A1" s="243" t="s">
        <v>297</v>
      </c>
      <c r="B1" s="243"/>
      <c r="C1" s="243"/>
      <c r="D1" s="243"/>
      <c r="E1" s="243"/>
      <c r="F1" s="243"/>
      <c r="G1" s="244"/>
      <c r="H1" s="244"/>
      <c r="K1" s="18"/>
      <c r="L1" s="19"/>
      <c r="N1" s="18"/>
      <c r="O1" s="19"/>
      <c r="Q1" s="18"/>
      <c r="R1" s="19"/>
      <c r="T1" s="18"/>
      <c r="U1" s="19"/>
      <c r="W1" s="18"/>
      <c r="X1" s="19"/>
    </row>
    <row r="2" spans="1:24" ht="14.25" customHeight="1" x14ac:dyDescent="0.3">
      <c r="A2" s="245"/>
      <c r="B2" s="246" t="s">
        <v>298</v>
      </c>
      <c r="C2" s="246"/>
      <c r="D2" s="246"/>
      <c r="E2" s="246" t="s">
        <v>299</v>
      </c>
      <c r="F2" s="246"/>
      <c r="G2" s="247" t="s">
        <v>300</v>
      </c>
      <c r="H2" s="247"/>
      <c r="K2" s="18"/>
      <c r="L2" s="20"/>
      <c r="N2" s="18"/>
      <c r="O2" s="20"/>
      <c r="Q2" s="18"/>
      <c r="R2" s="20"/>
      <c r="T2" s="18"/>
      <c r="U2" s="20"/>
      <c r="W2" s="18"/>
      <c r="X2" s="20"/>
    </row>
    <row r="3" spans="1:24" ht="14.25" customHeight="1" x14ac:dyDescent="0.3">
      <c r="A3" s="248" t="s">
        <v>192</v>
      </c>
      <c r="B3" s="249">
        <v>46082</v>
      </c>
      <c r="C3" s="249">
        <v>45992</v>
      </c>
      <c r="D3" s="249">
        <v>45901</v>
      </c>
      <c r="E3" s="249">
        <v>46082</v>
      </c>
      <c r="F3" s="250">
        <v>45717</v>
      </c>
      <c r="G3" s="251" t="s">
        <v>301</v>
      </c>
      <c r="H3" s="251" t="s">
        <v>302</v>
      </c>
      <c r="K3" s="18"/>
      <c r="L3" s="20"/>
      <c r="N3" s="18"/>
      <c r="O3" s="20"/>
      <c r="Q3" s="18"/>
      <c r="R3" s="20"/>
      <c r="T3" s="18"/>
      <c r="U3" s="20"/>
      <c r="W3" s="18"/>
      <c r="X3" s="20"/>
    </row>
    <row r="4" spans="1:24" ht="14.25" customHeight="1" x14ac:dyDescent="0.3">
      <c r="A4" s="236"/>
      <c r="B4" s="237"/>
      <c r="C4" s="237"/>
      <c r="D4" s="237"/>
      <c r="E4" s="237"/>
      <c r="F4" s="238"/>
      <c r="G4" s="21"/>
      <c r="H4" s="21"/>
      <c r="K4" s="22"/>
      <c r="L4" s="23"/>
      <c r="N4" s="22"/>
      <c r="O4" s="23"/>
      <c r="Q4" s="22"/>
      <c r="R4" s="23"/>
      <c r="T4" s="22"/>
      <c r="U4" s="23"/>
      <c r="W4" s="22"/>
      <c r="X4" s="23"/>
    </row>
    <row r="5" spans="1:24" ht="14.25" customHeight="1" x14ac:dyDescent="0.3">
      <c r="A5" s="239" t="s">
        <v>303</v>
      </c>
      <c r="B5" s="237">
        <v>4735.13</v>
      </c>
      <c r="C5" s="237">
        <v>4200.59</v>
      </c>
      <c r="D5" s="237">
        <v>4364.51</v>
      </c>
      <c r="E5" s="237">
        <v>17995.349999999999</v>
      </c>
      <c r="F5" s="238">
        <v>17237.849999999999</v>
      </c>
      <c r="G5" s="24" t="s">
        <v>304</v>
      </c>
      <c r="H5" s="24" t="s">
        <v>305</v>
      </c>
      <c r="K5" s="19"/>
      <c r="L5" s="25"/>
      <c r="N5" s="19"/>
      <c r="O5" s="25"/>
      <c r="Q5" s="19"/>
      <c r="R5" s="25"/>
      <c r="T5" s="19"/>
      <c r="U5" s="25"/>
      <c r="W5" s="19"/>
      <c r="X5" s="25"/>
    </row>
    <row r="6" spans="1:24" ht="14.25" customHeight="1" x14ac:dyDescent="0.3">
      <c r="A6" s="239" t="s">
        <v>203</v>
      </c>
      <c r="B6" s="237">
        <v>4.24</v>
      </c>
      <c r="C6" s="237">
        <v>15.39</v>
      </c>
      <c r="D6" s="237">
        <v>53.66</v>
      </c>
      <c r="E6" s="237">
        <v>100.86</v>
      </c>
      <c r="F6" s="238">
        <v>112.8</v>
      </c>
      <c r="G6" s="21"/>
      <c r="H6" s="21"/>
      <c r="K6" s="19"/>
      <c r="L6" s="19"/>
      <c r="N6" s="19"/>
      <c r="O6" s="19"/>
      <c r="Q6" s="19"/>
      <c r="R6" s="19"/>
      <c r="T6" s="19"/>
      <c r="U6" s="25"/>
      <c r="W6" s="19"/>
      <c r="X6" s="25"/>
    </row>
    <row r="7" spans="1:24" ht="14.25" customHeight="1" x14ac:dyDescent="0.3">
      <c r="A7" s="239" t="s">
        <v>306</v>
      </c>
      <c r="B7" s="237">
        <v>4739.37</v>
      </c>
      <c r="C7" s="237">
        <v>4215.9799999999996</v>
      </c>
      <c r="D7" s="237">
        <v>4418.17</v>
      </c>
      <c r="E7" s="237">
        <v>18096.21</v>
      </c>
      <c r="F7" s="238">
        <v>17350.650000000001</v>
      </c>
      <c r="G7" s="24" t="s">
        <v>307</v>
      </c>
      <c r="H7" s="24" t="s">
        <v>308</v>
      </c>
      <c r="K7" s="19"/>
      <c r="L7" s="25"/>
      <c r="N7" s="19"/>
      <c r="O7" s="25"/>
      <c r="Q7" s="19"/>
      <c r="R7" s="25"/>
      <c r="T7" s="19"/>
      <c r="U7" s="25"/>
      <c r="W7" s="19"/>
      <c r="X7" s="25"/>
    </row>
    <row r="8" spans="1:24" ht="14.25" customHeight="1" x14ac:dyDescent="0.3">
      <c r="A8" s="234" t="s">
        <v>309</v>
      </c>
      <c r="B8" s="237">
        <v>-4411.63</v>
      </c>
      <c r="C8" s="237">
        <v>-3922.81</v>
      </c>
      <c r="D8" s="237">
        <v>-4164.93</v>
      </c>
      <c r="E8" s="237">
        <v>-16837.490000000002</v>
      </c>
      <c r="F8" s="238">
        <v>-16175.19</v>
      </c>
      <c r="G8" s="21" t="s">
        <v>310</v>
      </c>
      <c r="H8" s="21" t="s">
        <v>311</v>
      </c>
      <c r="K8" s="18"/>
      <c r="L8" s="25"/>
      <c r="N8" s="18"/>
      <c r="O8" s="25"/>
      <c r="Q8" s="18"/>
      <c r="R8" s="25"/>
      <c r="T8" s="18"/>
      <c r="U8" s="25"/>
      <c r="W8" s="18"/>
      <c r="X8" s="25"/>
    </row>
    <row r="9" spans="1:24" ht="14.25" customHeight="1" x14ac:dyDescent="0.3">
      <c r="A9" s="235" t="s">
        <v>312</v>
      </c>
      <c r="B9" s="237"/>
      <c r="C9" s="237">
        <v>-2951.71</v>
      </c>
      <c r="D9" s="237">
        <v>-2960.63</v>
      </c>
      <c r="E9" s="237">
        <v>-12173.73</v>
      </c>
      <c r="F9" s="238">
        <v>-11697.3</v>
      </c>
      <c r="G9" s="21"/>
      <c r="H9" s="21"/>
      <c r="K9" s="19"/>
      <c r="L9" s="25"/>
      <c r="N9" s="19"/>
      <c r="O9" s="25"/>
      <c r="Q9" s="19"/>
      <c r="R9" s="25"/>
      <c r="T9" s="19"/>
      <c r="U9" s="25"/>
      <c r="W9" s="19"/>
      <c r="X9" s="25"/>
    </row>
    <row r="10" spans="1:24" ht="14.25" customHeight="1" x14ac:dyDescent="0.3">
      <c r="A10" s="239" t="s">
        <v>210</v>
      </c>
      <c r="B10" s="237"/>
      <c r="C10" s="237">
        <v>-25.07</v>
      </c>
      <c r="D10" s="237">
        <v>-39.74</v>
      </c>
      <c r="E10" s="237">
        <v>-123.83</v>
      </c>
      <c r="F10" s="238">
        <v>-153.03</v>
      </c>
      <c r="G10" s="21"/>
      <c r="H10" s="21"/>
      <c r="K10" s="19"/>
      <c r="L10" s="25"/>
      <c r="N10" s="19"/>
      <c r="O10" s="19"/>
      <c r="Q10" s="19"/>
      <c r="R10" s="19"/>
      <c r="T10" s="19"/>
      <c r="U10" s="25"/>
      <c r="W10" s="19"/>
      <c r="X10" s="25"/>
    </row>
    <row r="11" spans="1:24" ht="14.25" customHeight="1" x14ac:dyDescent="0.3">
      <c r="A11" s="239" t="s">
        <v>212</v>
      </c>
      <c r="B11" s="237"/>
      <c r="C11" s="237">
        <v>-605.64</v>
      </c>
      <c r="D11" s="237">
        <v>-656.2</v>
      </c>
      <c r="E11" s="237">
        <v>-2560.54</v>
      </c>
      <c r="F11" s="238">
        <v>-2546.09</v>
      </c>
      <c r="G11" s="21"/>
      <c r="H11" s="21"/>
      <c r="K11" s="19"/>
      <c r="L11" s="25"/>
      <c r="N11" s="19"/>
      <c r="O11" s="25"/>
      <c r="Q11" s="19"/>
      <c r="R11" s="25"/>
      <c r="T11" s="19"/>
      <c r="U11" s="25"/>
      <c r="W11" s="19"/>
      <c r="X11" s="25"/>
    </row>
    <row r="12" spans="1:24" ht="14.25" customHeight="1" x14ac:dyDescent="0.3">
      <c r="A12" s="239" t="s">
        <v>209</v>
      </c>
      <c r="B12" s="237"/>
      <c r="C12" s="237">
        <v>-334.09</v>
      </c>
      <c r="D12" s="237">
        <v>-342.25</v>
      </c>
      <c r="E12" s="237">
        <v>-1372.17</v>
      </c>
      <c r="F12" s="238">
        <v>-1296.31</v>
      </c>
      <c r="G12" s="21"/>
      <c r="H12" s="21"/>
      <c r="K12" s="19"/>
      <c r="L12" s="25"/>
      <c r="N12" s="19"/>
      <c r="O12" s="25"/>
      <c r="Q12" s="19"/>
      <c r="R12" s="25"/>
      <c r="T12" s="19"/>
      <c r="U12" s="19"/>
      <c r="W12" s="19"/>
      <c r="X12" s="25"/>
    </row>
    <row r="13" spans="1:24" ht="14.25" customHeight="1" x14ac:dyDescent="0.3">
      <c r="A13" s="239" t="s">
        <v>313</v>
      </c>
      <c r="B13" s="237"/>
      <c r="C13" s="237">
        <v>162.46</v>
      </c>
      <c r="D13" s="237">
        <v>-5.27</v>
      </c>
      <c r="E13" s="237">
        <v>87.55</v>
      </c>
      <c r="F13" s="238">
        <v>219.5</v>
      </c>
      <c r="G13" s="21"/>
      <c r="H13" s="21"/>
      <c r="K13" s="19"/>
      <c r="L13" s="19"/>
      <c r="N13" s="19"/>
      <c r="O13" s="25"/>
      <c r="Q13" s="19"/>
      <c r="R13" s="19"/>
      <c r="T13" s="19"/>
      <c r="U13" s="25"/>
      <c r="W13" s="19"/>
      <c r="X13" s="25"/>
    </row>
    <row r="14" spans="1:24" ht="14.25" customHeight="1" x14ac:dyDescent="0.3">
      <c r="A14" s="234" t="s">
        <v>314</v>
      </c>
      <c r="B14" s="237"/>
      <c r="C14" s="237">
        <v>-19.43</v>
      </c>
      <c r="D14" s="237">
        <v>-8.74</v>
      </c>
      <c r="E14" s="237">
        <v>-106.02</v>
      </c>
      <c r="F14" s="238">
        <v>-119.62</v>
      </c>
      <c r="G14" s="24"/>
      <c r="H14" s="24"/>
      <c r="K14" s="19"/>
      <c r="L14" s="19"/>
      <c r="N14" s="19"/>
      <c r="O14" s="19"/>
      <c r="Q14" s="19"/>
      <c r="R14" s="19"/>
      <c r="T14" s="19"/>
      <c r="U14" s="25"/>
      <c r="W14" s="19"/>
      <c r="X14" s="25"/>
    </row>
    <row r="15" spans="1:24" ht="14.25" customHeight="1" x14ac:dyDescent="0.3">
      <c r="A15" s="239" t="s">
        <v>315</v>
      </c>
      <c r="B15" s="237"/>
      <c r="C15" s="237">
        <v>-149.33000000000001</v>
      </c>
      <c r="D15" s="237">
        <v>-152.1</v>
      </c>
      <c r="E15" s="237">
        <v>-588.75</v>
      </c>
      <c r="F15" s="238">
        <v>-582.34</v>
      </c>
      <c r="G15" s="24"/>
      <c r="H15" s="24"/>
      <c r="K15" s="19"/>
      <c r="L15" s="25"/>
      <c r="N15" s="19"/>
      <c r="O15" s="25"/>
      <c r="Q15" s="19"/>
      <c r="R15" s="25"/>
      <c r="T15" s="19"/>
      <c r="U15" s="25"/>
      <c r="W15" s="19"/>
      <c r="X15" s="25"/>
    </row>
    <row r="16" spans="1:24" ht="14.25" customHeight="1" x14ac:dyDescent="0.3">
      <c r="A16" s="239" t="s">
        <v>316</v>
      </c>
      <c r="B16" s="237">
        <v>327.74</v>
      </c>
      <c r="C16" s="237">
        <v>282.79000000000002</v>
      </c>
      <c r="D16" s="237">
        <v>253.24</v>
      </c>
      <c r="E16" s="237">
        <v>1248.3399999999999</v>
      </c>
      <c r="F16" s="238">
        <v>1175.46</v>
      </c>
      <c r="G16" s="21" t="s">
        <v>317</v>
      </c>
      <c r="H16" s="21" t="s">
        <v>318</v>
      </c>
      <c r="K16" s="19"/>
      <c r="L16" s="19"/>
      <c r="N16" s="19"/>
      <c r="O16" s="25"/>
      <c r="Q16" s="19"/>
      <c r="R16" s="25"/>
      <c r="T16" s="19"/>
      <c r="U16" s="25"/>
      <c r="W16" s="19"/>
      <c r="X16" s="25"/>
    </row>
    <row r="17" spans="1:24" ht="14.25" customHeight="1" x14ac:dyDescent="0.3">
      <c r="A17" s="239" t="s">
        <v>319</v>
      </c>
      <c r="B17" s="237">
        <v>-110.72</v>
      </c>
      <c r="C17" s="237">
        <v>-88.15</v>
      </c>
      <c r="D17" s="237">
        <v>-79.69</v>
      </c>
      <c r="E17" s="237">
        <v>-388.89</v>
      </c>
      <c r="F17" s="238">
        <v>-375.46</v>
      </c>
      <c r="G17" s="21"/>
      <c r="H17" s="21"/>
      <c r="K17" s="19"/>
      <c r="L17" s="25"/>
      <c r="N17" s="19"/>
      <c r="O17" s="19"/>
      <c r="Q17" s="19"/>
      <c r="R17" s="19"/>
      <c r="T17" s="19"/>
      <c r="U17" s="25"/>
      <c r="W17" s="19"/>
      <c r="X17" s="25"/>
    </row>
    <row r="18" spans="1:24" ht="14.25" customHeight="1" x14ac:dyDescent="0.3">
      <c r="A18" s="239" t="s">
        <v>320</v>
      </c>
      <c r="B18" s="237">
        <v>217.02</v>
      </c>
      <c r="C18" s="237">
        <v>194.64</v>
      </c>
      <c r="D18" s="237">
        <v>173.55</v>
      </c>
      <c r="E18" s="237">
        <v>859.45</v>
      </c>
      <c r="F18" s="238">
        <v>800</v>
      </c>
      <c r="G18" s="21"/>
      <c r="H18" s="21"/>
      <c r="K18" s="18"/>
      <c r="L18" s="19"/>
      <c r="N18" s="19"/>
      <c r="O18" s="25"/>
      <c r="Q18" s="19"/>
      <c r="R18" s="25"/>
      <c r="T18" s="19"/>
      <c r="U18" s="25"/>
      <c r="W18" s="19"/>
      <c r="X18" s="25"/>
    </row>
    <row r="19" spans="1:24" ht="14.25" customHeight="1" x14ac:dyDescent="0.3">
      <c r="A19" s="239" t="s">
        <v>321</v>
      </c>
      <c r="B19" s="237">
        <v>216.73</v>
      </c>
      <c r="C19" s="237">
        <v>194.97</v>
      </c>
      <c r="D19" s="237">
        <v>173.64</v>
      </c>
      <c r="E19" s="237">
        <v>859.92</v>
      </c>
      <c r="F19" s="238">
        <v>800.5</v>
      </c>
      <c r="G19" s="21" t="s">
        <v>322</v>
      </c>
      <c r="H19" s="21" t="s">
        <v>323</v>
      </c>
      <c r="K19" s="19"/>
      <c r="L19" s="19"/>
      <c r="N19" s="19"/>
      <c r="O19" s="25"/>
      <c r="Q19" s="19"/>
      <c r="R19" s="25"/>
      <c r="T19" s="19"/>
      <c r="U19" s="25"/>
      <c r="W19" s="19"/>
      <c r="X19" s="25"/>
    </row>
    <row r="20" spans="1:24" ht="14.25" customHeight="1" x14ac:dyDescent="0.3">
      <c r="A20" s="239" t="s">
        <v>219</v>
      </c>
      <c r="B20" s="237"/>
      <c r="C20" s="237">
        <v>-98.42</v>
      </c>
      <c r="D20" s="237">
        <v>-86.36</v>
      </c>
      <c r="E20" s="237">
        <v>-412.43</v>
      </c>
      <c r="F20" s="238">
        <v>-394.41</v>
      </c>
      <c r="G20" s="21"/>
      <c r="H20" s="21"/>
      <c r="K20" s="19"/>
      <c r="L20" s="25"/>
      <c r="N20" s="19"/>
      <c r="O20" s="19"/>
      <c r="Q20" s="19"/>
      <c r="R20" s="19"/>
      <c r="T20" s="19"/>
      <c r="U20" s="25"/>
      <c r="W20" s="19"/>
      <c r="X20" s="25"/>
    </row>
    <row r="21" spans="1:24" ht="14.25" customHeight="1" x14ac:dyDescent="0.3">
      <c r="A21" s="239" t="s">
        <v>220</v>
      </c>
      <c r="B21" s="237"/>
      <c r="C21" s="237">
        <v>10.27</v>
      </c>
      <c r="D21" s="237">
        <v>6.67</v>
      </c>
      <c r="E21" s="237">
        <v>23.54</v>
      </c>
      <c r="F21" s="238">
        <v>18.95</v>
      </c>
      <c r="G21" s="24"/>
      <c r="H21" s="24"/>
      <c r="K21" s="19"/>
      <c r="L21" s="25"/>
      <c r="N21" s="19"/>
      <c r="O21" s="19"/>
      <c r="Q21" s="19"/>
      <c r="R21" s="19"/>
      <c r="T21" s="19"/>
      <c r="U21" s="19"/>
      <c r="W21" s="19"/>
      <c r="X21" s="19"/>
    </row>
    <row r="22" spans="1:24" ht="14.25" customHeight="1" x14ac:dyDescent="0.3">
      <c r="A22" s="239" t="s">
        <v>228</v>
      </c>
      <c r="B22" s="237">
        <v>0</v>
      </c>
      <c r="C22" s="237">
        <v>0</v>
      </c>
      <c r="D22" s="237">
        <v>0</v>
      </c>
      <c r="E22" s="237">
        <v>0</v>
      </c>
      <c r="F22" s="238">
        <v>0</v>
      </c>
      <c r="G22" s="21"/>
      <c r="H22" s="21"/>
      <c r="K22" s="19"/>
      <c r="L22" s="19"/>
      <c r="N22" s="19"/>
      <c r="O22" s="19"/>
      <c r="Q22" s="19"/>
      <c r="R22" s="19"/>
      <c r="T22" s="19"/>
      <c r="U22" s="19"/>
      <c r="W22" s="19"/>
      <c r="X22" s="19"/>
    </row>
    <row r="23" spans="1:24" ht="14.25" customHeight="1" x14ac:dyDescent="0.3">
      <c r="A23" s="234" t="s">
        <v>324</v>
      </c>
      <c r="B23" s="237">
        <v>0</v>
      </c>
      <c r="C23" s="237">
        <v>0</v>
      </c>
      <c r="D23" s="237">
        <v>0</v>
      </c>
      <c r="E23" s="237">
        <v>0</v>
      </c>
      <c r="F23" s="238">
        <v>0</v>
      </c>
      <c r="G23" s="21"/>
      <c r="H23" s="21"/>
      <c r="K23" s="19"/>
      <c r="L23" s="19"/>
      <c r="N23" s="19"/>
      <c r="O23" s="19"/>
      <c r="Q23" s="19"/>
      <c r="R23" s="19"/>
      <c r="T23" s="19"/>
      <c r="U23" s="19"/>
      <c r="W23" s="19"/>
      <c r="X23" s="19"/>
    </row>
    <row r="24" spans="1:24" ht="14.25" customHeight="1" x14ac:dyDescent="0.3">
      <c r="A24" s="235" t="s">
        <v>325</v>
      </c>
      <c r="B24" s="237">
        <v>216.73</v>
      </c>
      <c r="C24" s="237">
        <v>194.97</v>
      </c>
      <c r="D24" s="237">
        <v>173.64</v>
      </c>
      <c r="E24" s="237">
        <v>859.92</v>
      </c>
      <c r="F24" s="238">
        <v>800.5</v>
      </c>
      <c r="G24" s="21" t="s">
        <v>322</v>
      </c>
      <c r="H24" s="21" t="s">
        <v>323</v>
      </c>
      <c r="K24" s="19"/>
      <c r="L24" s="19"/>
      <c r="N24" s="19"/>
      <c r="O24" s="25"/>
      <c r="Q24" s="19"/>
      <c r="R24" s="25"/>
      <c r="T24" s="19"/>
      <c r="U24" s="25"/>
      <c r="W24" s="19"/>
      <c r="X24" s="25"/>
    </row>
    <row r="25" spans="1:24" ht="14.25" customHeight="1" x14ac:dyDescent="0.3">
      <c r="A25" s="239" t="s">
        <v>326</v>
      </c>
      <c r="B25" s="237">
        <v>0</v>
      </c>
      <c r="C25" s="237">
        <v>0</v>
      </c>
      <c r="D25" s="237">
        <v>0</v>
      </c>
      <c r="E25" s="237">
        <v>0</v>
      </c>
      <c r="F25" s="238">
        <v>0</v>
      </c>
      <c r="G25" s="24"/>
      <c r="H25" s="24"/>
      <c r="K25" s="19"/>
      <c r="L25" s="25"/>
      <c r="N25" s="19"/>
      <c r="O25" s="19"/>
      <c r="Q25" s="19"/>
      <c r="R25" s="19"/>
      <c r="T25" s="19"/>
      <c r="U25" s="19"/>
      <c r="W25" s="19"/>
      <c r="X25" s="19"/>
    </row>
    <row r="26" spans="1:24" ht="14.25" customHeight="1" x14ac:dyDescent="0.3">
      <c r="A26" s="239" t="s">
        <v>327</v>
      </c>
      <c r="B26" s="237">
        <v>216.73</v>
      </c>
      <c r="C26" s="237">
        <v>194.97</v>
      </c>
      <c r="D26" s="237">
        <v>173.64</v>
      </c>
      <c r="E26" s="237">
        <v>859.92</v>
      </c>
      <c r="F26" s="238">
        <v>800.5</v>
      </c>
      <c r="G26" s="24"/>
      <c r="H26" s="24"/>
      <c r="K26" s="19"/>
      <c r="L26" s="19"/>
      <c r="N26" s="19"/>
      <c r="O26" s="25"/>
      <c r="Q26" s="19"/>
      <c r="R26" s="25"/>
      <c r="T26" s="19"/>
      <c r="U26" s="25"/>
      <c r="W26" s="19"/>
      <c r="X26" s="25"/>
    </row>
    <row r="27" spans="1:24" ht="14.25" customHeight="1" x14ac:dyDescent="0.3">
      <c r="A27" s="239" t="s">
        <v>328</v>
      </c>
      <c r="B27" s="237" t="s">
        <v>138</v>
      </c>
      <c r="C27" s="237" t="s">
        <v>138</v>
      </c>
      <c r="D27" s="237" t="s">
        <v>138</v>
      </c>
      <c r="E27" s="237" t="s">
        <v>138</v>
      </c>
      <c r="F27" s="238" t="s">
        <v>138</v>
      </c>
      <c r="G27" s="24"/>
      <c r="H27" s="24"/>
      <c r="K27" s="19"/>
      <c r="L27" s="25"/>
      <c r="N27" s="18"/>
      <c r="O27" s="19"/>
      <c r="Q27" s="18"/>
      <c r="R27" s="19"/>
      <c r="T27" s="18"/>
      <c r="U27" s="19"/>
      <c r="W27" s="18"/>
      <c r="X27" s="19"/>
    </row>
    <row r="28" spans="1:24" ht="14.25" customHeight="1" x14ac:dyDescent="0.3">
      <c r="A28" s="239" t="s">
        <v>329</v>
      </c>
      <c r="B28" s="237">
        <v>0</v>
      </c>
      <c r="C28" s="237">
        <v>-10.38</v>
      </c>
      <c r="D28" s="237">
        <v>0</v>
      </c>
      <c r="E28" s="237">
        <v>-10.38</v>
      </c>
      <c r="F28" s="238">
        <v>0</v>
      </c>
      <c r="G28" s="24"/>
      <c r="H28" s="24"/>
      <c r="K28" s="19"/>
      <c r="L28" s="19"/>
      <c r="N28" s="19"/>
      <c r="O28" s="19"/>
      <c r="Q28" s="19"/>
      <c r="R28" s="19"/>
      <c r="T28" s="19"/>
      <c r="U28" s="19"/>
      <c r="W28" s="19"/>
      <c r="X28" s="19"/>
    </row>
    <row r="29" spans="1:24" ht="14.25" customHeight="1" x14ac:dyDescent="0.3">
      <c r="A29" s="239" t="s">
        <v>330</v>
      </c>
      <c r="B29" s="237">
        <v>327.74</v>
      </c>
      <c r="C29" s="237">
        <v>293.17</v>
      </c>
      <c r="D29" s="237">
        <v>253.24</v>
      </c>
      <c r="E29" s="237">
        <v>1258.72</v>
      </c>
      <c r="F29" s="238">
        <v>1175.46</v>
      </c>
      <c r="G29" s="24"/>
      <c r="H29" s="24"/>
      <c r="K29" s="19"/>
      <c r="L29" s="19"/>
      <c r="N29" s="19"/>
      <c r="O29" s="25"/>
      <c r="Q29" s="19"/>
      <c r="R29" s="25"/>
      <c r="T29" s="19"/>
      <c r="U29" s="25"/>
      <c r="W29" s="19"/>
      <c r="X29" s="25"/>
    </row>
    <row r="30" spans="1:24" ht="14.25" customHeight="1" x14ac:dyDescent="0.3">
      <c r="A30" s="239" t="s">
        <v>331</v>
      </c>
      <c r="B30" s="237">
        <v>217.02</v>
      </c>
      <c r="C30" s="237">
        <v>194.64</v>
      </c>
      <c r="D30" s="237">
        <v>173.55</v>
      </c>
      <c r="E30" s="237">
        <v>859.45</v>
      </c>
      <c r="F30" s="238">
        <v>800</v>
      </c>
      <c r="G30" s="24"/>
      <c r="H30" s="24"/>
      <c r="K30" s="19"/>
      <c r="L30" s="19"/>
      <c r="N30" s="19"/>
      <c r="O30" s="25"/>
      <c r="Q30" s="19"/>
      <c r="R30" s="25"/>
      <c r="T30" s="19"/>
      <c r="U30" s="25"/>
      <c r="W30" s="19"/>
      <c r="X30" s="25"/>
    </row>
    <row r="31" spans="1:24" ht="14.25" customHeight="1" x14ac:dyDescent="0.3">
      <c r="A31" s="239" t="s">
        <v>332</v>
      </c>
      <c r="B31" s="237">
        <v>0</v>
      </c>
      <c r="C31" s="237">
        <v>0</v>
      </c>
      <c r="D31" s="237">
        <v>0</v>
      </c>
      <c r="E31" s="237">
        <v>0</v>
      </c>
      <c r="F31" s="238">
        <v>0</v>
      </c>
      <c r="G31" s="24"/>
      <c r="H31" s="24"/>
      <c r="K31" s="19"/>
      <c r="L31" s="19"/>
      <c r="N31" s="19"/>
      <c r="O31" s="19"/>
      <c r="Q31" s="19"/>
      <c r="R31" s="19"/>
      <c r="T31" s="19"/>
      <c r="U31" s="19"/>
      <c r="W31" s="19"/>
      <c r="X31" s="19"/>
    </row>
    <row r="32" spans="1:24" ht="14.25" customHeight="1" x14ac:dyDescent="0.3">
      <c r="A32" s="239" t="s">
        <v>333</v>
      </c>
      <c r="B32" s="237">
        <v>0</v>
      </c>
      <c r="C32" s="237">
        <v>0</v>
      </c>
      <c r="D32" s="237">
        <v>0</v>
      </c>
      <c r="E32" s="237">
        <v>0</v>
      </c>
      <c r="F32" s="238">
        <v>0</v>
      </c>
      <c r="G32" s="24"/>
      <c r="H32" s="24"/>
      <c r="K32" s="19"/>
      <c r="L32" s="19"/>
      <c r="N32" s="19"/>
      <c r="O32" s="19"/>
      <c r="Q32" s="19"/>
      <c r="R32" s="19"/>
      <c r="T32" s="19"/>
      <c r="U32" s="19"/>
      <c r="W32" s="19"/>
      <c r="X32" s="19"/>
    </row>
    <row r="33" spans="1:24" ht="14.25" customHeight="1" x14ac:dyDescent="0.3">
      <c r="A33" s="239" t="s">
        <v>334</v>
      </c>
      <c r="B33" s="237">
        <v>0</v>
      </c>
      <c r="C33" s="237">
        <v>0</v>
      </c>
      <c r="D33" s="237">
        <v>0</v>
      </c>
      <c r="E33" s="237">
        <v>0</v>
      </c>
      <c r="F33" s="238">
        <v>0</v>
      </c>
      <c r="G33" s="24"/>
      <c r="H33" s="24"/>
      <c r="K33" s="19"/>
      <c r="L33" s="19"/>
      <c r="N33" s="19"/>
      <c r="O33" s="19"/>
      <c r="Q33" s="19"/>
      <c r="R33" s="19"/>
      <c r="T33" s="19"/>
      <c r="U33" s="19"/>
      <c r="W33" s="19"/>
      <c r="X33" s="19"/>
    </row>
    <row r="34" spans="1:24" ht="14.25" customHeight="1" x14ac:dyDescent="0.3">
      <c r="A34" s="239" t="s">
        <v>335</v>
      </c>
      <c r="B34" s="237">
        <v>-1182.57</v>
      </c>
      <c r="C34" s="237">
        <v>-46.53</v>
      </c>
      <c r="D34" s="237">
        <v>-430.51</v>
      </c>
      <c r="E34" s="237">
        <v>-692.82</v>
      </c>
      <c r="F34" s="238">
        <v>402.12</v>
      </c>
      <c r="G34" s="21"/>
      <c r="H34" s="21"/>
      <c r="N34" s="19"/>
      <c r="O34" s="19"/>
      <c r="Q34" s="19"/>
      <c r="R34" s="25"/>
      <c r="T34" s="19"/>
      <c r="U34" s="25"/>
      <c r="W34" s="19"/>
      <c r="X34" s="25"/>
    </row>
    <row r="35" spans="1:24" ht="14.25" customHeight="1" x14ac:dyDescent="0.3">
      <c r="A35" s="239" t="s">
        <v>336</v>
      </c>
      <c r="B35" s="237">
        <v>0</v>
      </c>
      <c r="C35" s="237">
        <v>0</v>
      </c>
      <c r="D35" s="237">
        <v>0</v>
      </c>
      <c r="E35" s="237">
        <v>0</v>
      </c>
      <c r="F35" s="238">
        <v>0</v>
      </c>
      <c r="G35" s="21"/>
      <c r="H35" s="21"/>
      <c r="N35" s="19"/>
      <c r="O35" s="19"/>
      <c r="Q35" s="19"/>
      <c r="R35" s="19"/>
      <c r="T35" s="19"/>
      <c r="U35" s="19"/>
      <c r="W35" s="19"/>
      <c r="X35" s="19"/>
    </row>
    <row r="36" spans="1:24" ht="14.25" customHeight="1" x14ac:dyDescent="0.3">
      <c r="A36" s="239" t="s">
        <v>337</v>
      </c>
      <c r="B36" s="237">
        <v>-965.84</v>
      </c>
      <c r="C36" s="237">
        <v>148.44</v>
      </c>
      <c r="D36" s="237">
        <v>-256.87</v>
      </c>
      <c r="E36" s="237">
        <v>167.1</v>
      </c>
      <c r="F36" s="238">
        <v>1202.6199999999999</v>
      </c>
      <c r="G36" s="24" t="s">
        <v>338</v>
      </c>
      <c r="H36" s="24" t="s">
        <v>339</v>
      </c>
      <c r="N36" s="19"/>
      <c r="O36" s="25"/>
      <c r="Q36" s="19"/>
      <c r="R36" s="25"/>
      <c r="T36" s="19"/>
      <c r="U36" s="25"/>
      <c r="W36" s="19"/>
      <c r="X36" s="25"/>
    </row>
    <row r="37" spans="1:24" ht="14.25" customHeight="1" x14ac:dyDescent="0.3">
      <c r="A37" s="239" t="s">
        <v>340</v>
      </c>
      <c r="B37" s="237">
        <v>0</v>
      </c>
      <c r="C37" s="237">
        <v>0</v>
      </c>
      <c r="D37" s="237">
        <v>0</v>
      </c>
      <c r="E37" s="237">
        <v>0</v>
      </c>
      <c r="F37" s="238">
        <v>0</v>
      </c>
      <c r="G37" s="21"/>
      <c r="H37" s="21"/>
      <c r="N37" s="19"/>
      <c r="O37" s="19"/>
      <c r="Q37" s="19"/>
      <c r="R37" s="19"/>
      <c r="T37" s="19"/>
      <c r="U37" s="19"/>
      <c r="W37" s="19"/>
      <c r="X37" s="19"/>
    </row>
    <row r="38" spans="1:24" ht="14.25" customHeight="1" x14ac:dyDescent="0.3">
      <c r="A38" s="239" t="s">
        <v>341</v>
      </c>
      <c r="B38" s="237">
        <v>0</v>
      </c>
      <c r="C38" s="237">
        <v>0</v>
      </c>
      <c r="D38" s="237">
        <v>0</v>
      </c>
      <c r="E38" s="237">
        <v>0</v>
      </c>
      <c r="F38" s="238">
        <v>0</v>
      </c>
      <c r="G38" s="24"/>
      <c r="H38" s="24"/>
      <c r="N38" s="19"/>
      <c r="O38" s="19"/>
      <c r="Q38" s="19"/>
      <c r="R38" s="19"/>
      <c r="T38" s="19"/>
      <c r="U38" s="19"/>
      <c r="W38" s="19"/>
      <c r="X38" s="19"/>
    </row>
    <row r="39" spans="1:24" ht="14.25" customHeight="1" x14ac:dyDescent="0.3">
      <c r="A39" s="239" t="s">
        <v>342</v>
      </c>
      <c r="B39" s="237">
        <v>0</v>
      </c>
      <c r="C39" s="237">
        <v>0</v>
      </c>
      <c r="D39" s="237">
        <v>0</v>
      </c>
      <c r="E39" s="237">
        <v>0</v>
      </c>
      <c r="F39" s="238">
        <v>0</v>
      </c>
      <c r="G39" s="21"/>
      <c r="H39" s="24"/>
      <c r="N39" s="19"/>
      <c r="O39" s="19"/>
      <c r="Q39" s="19"/>
      <c r="R39" s="19"/>
      <c r="T39" s="19"/>
      <c r="U39" s="19"/>
      <c r="W39" s="19"/>
      <c r="X39" s="19"/>
    </row>
    <row r="40" spans="1:24" ht="14.25" customHeight="1" x14ac:dyDescent="0.3">
      <c r="A40" s="239" t="s">
        <v>343</v>
      </c>
      <c r="B40" s="237">
        <v>0</v>
      </c>
      <c r="C40" s="237">
        <v>0</v>
      </c>
      <c r="D40" s="237">
        <v>0</v>
      </c>
      <c r="E40" s="237">
        <v>0</v>
      </c>
      <c r="F40" s="238">
        <v>0</v>
      </c>
      <c r="G40" s="24"/>
      <c r="H40" s="24"/>
      <c r="N40" s="19"/>
      <c r="O40" s="19"/>
      <c r="Q40" s="19"/>
      <c r="R40" s="19"/>
      <c r="T40" s="19"/>
      <c r="U40" s="19"/>
      <c r="W40" s="19"/>
      <c r="X40" s="19"/>
    </row>
    <row r="41" spans="1:24" ht="14.25" customHeight="1" x14ac:dyDescent="0.3">
      <c r="A41" s="234" t="s">
        <v>344</v>
      </c>
      <c r="B41" s="237">
        <v>0</v>
      </c>
      <c r="C41" s="237">
        <v>0</v>
      </c>
      <c r="D41" s="237">
        <v>0</v>
      </c>
      <c r="E41" s="237">
        <v>0</v>
      </c>
      <c r="F41" s="238">
        <v>0</v>
      </c>
      <c r="G41" s="21"/>
      <c r="H41" s="21"/>
      <c r="N41" s="19"/>
      <c r="O41" s="19"/>
      <c r="Q41" s="19"/>
      <c r="R41" s="19"/>
      <c r="T41" s="19"/>
      <c r="U41" s="19"/>
      <c r="W41" s="19"/>
      <c r="X41" s="19"/>
    </row>
    <row r="42" spans="1:24" ht="14.25" customHeight="1" x14ac:dyDescent="0.3">
      <c r="A42" s="239" t="s">
        <v>345</v>
      </c>
      <c r="B42" s="237">
        <v>-0.28999999999999998</v>
      </c>
      <c r="C42" s="237">
        <v>0.33</v>
      </c>
      <c r="D42" s="237">
        <v>0.09</v>
      </c>
      <c r="E42" s="237">
        <v>0.47</v>
      </c>
      <c r="F42" s="238">
        <v>0.5</v>
      </c>
      <c r="G42" s="24"/>
      <c r="H42" s="24"/>
      <c r="N42" s="19"/>
      <c r="O42" s="19"/>
      <c r="Q42" s="19"/>
      <c r="R42" s="19"/>
      <c r="T42" s="19"/>
      <c r="U42" s="19"/>
      <c r="W42" s="19"/>
      <c r="X42" s="19"/>
    </row>
    <row r="43" spans="1:24" ht="14.25" customHeight="1" x14ac:dyDescent="0.3">
      <c r="A43" s="234" t="s">
        <v>346</v>
      </c>
      <c r="B43" s="240"/>
      <c r="C43" s="240">
        <v>2.29</v>
      </c>
      <c r="D43" s="240">
        <v>2.02</v>
      </c>
      <c r="E43" s="240">
        <v>10.050000000000001</v>
      </c>
      <c r="F43" s="241">
        <v>9.35</v>
      </c>
      <c r="G43" s="21"/>
      <c r="H43" s="21"/>
      <c r="N43" s="19"/>
      <c r="O43" s="19"/>
      <c r="Q43" s="19"/>
      <c r="R43" s="19"/>
      <c r="T43" s="19"/>
      <c r="U43" s="19"/>
      <c r="W43" s="19"/>
      <c r="X43" s="19"/>
    </row>
    <row r="44" spans="1:24" ht="14.25" customHeight="1" x14ac:dyDescent="0.3">
      <c r="A44" s="239" t="s">
        <v>347</v>
      </c>
      <c r="B44" s="240"/>
      <c r="C44" s="240">
        <v>2.29</v>
      </c>
      <c r="D44" s="240">
        <v>2.02</v>
      </c>
      <c r="E44" s="240">
        <v>10.050000000000001</v>
      </c>
      <c r="F44" s="241">
        <v>9.35</v>
      </c>
      <c r="G44" s="21"/>
      <c r="H44" s="21"/>
      <c r="N44" s="19"/>
      <c r="O44" s="19"/>
      <c r="Q44" s="19"/>
      <c r="R44" s="19"/>
      <c r="T44" s="19"/>
      <c r="U44" s="19"/>
      <c r="W44" s="19"/>
      <c r="X44" s="19"/>
    </row>
    <row r="45" spans="1:24" ht="14.25" customHeight="1" x14ac:dyDescent="0.3">
      <c r="A45" s="239" t="s">
        <v>348</v>
      </c>
      <c r="B45" s="240">
        <v>0</v>
      </c>
      <c r="C45" s="240">
        <v>0</v>
      </c>
      <c r="D45" s="240">
        <v>0</v>
      </c>
      <c r="E45" s="240">
        <v>0</v>
      </c>
      <c r="F45" s="241">
        <v>0</v>
      </c>
      <c r="G45" s="21"/>
      <c r="H45" s="21"/>
      <c r="N45" s="19"/>
      <c r="O45" s="19"/>
      <c r="Q45" s="19"/>
      <c r="R45" s="19"/>
      <c r="T45" s="19"/>
      <c r="U45" s="19"/>
      <c r="W45" s="19"/>
      <c r="X45" s="19"/>
    </row>
    <row r="46" spans="1:24" ht="78" customHeight="1" x14ac:dyDescent="0.3">
      <c r="A46" s="242" t="s">
        <v>349</v>
      </c>
      <c r="B46" s="242">
        <v>0</v>
      </c>
      <c r="C46" s="242">
        <v>0</v>
      </c>
      <c r="D46" s="242">
        <v>0</v>
      </c>
      <c r="E46" s="242">
        <v>0</v>
      </c>
      <c r="F46" s="242">
        <v>0</v>
      </c>
      <c r="N46" s="19"/>
      <c r="O46" s="19"/>
      <c r="Q46" s="19"/>
      <c r="R46" s="19"/>
      <c r="T46" s="19"/>
      <c r="U46" s="19"/>
      <c r="W46" s="19"/>
      <c r="X46" s="19"/>
    </row>
    <row r="47" spans="1:24" ht="15.75" customHeight="1" x14ac:dyDescent="0.3">
      <c r="N47" s="19"/>
      <c r="Q47" s="19"/>
      <c r="T47" s="19"/>
      <c r="W47" s="19"/>
    </row>
  </sheetData>
  <mergeCells count="4">
    <mergeCell ref="A1:F1"/>
    <mergeCell ref="B2:D2"/>
    <mergeCell ref="E2:F2"/>
    <mergeCell ref="G2:H2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1536"/>
  <sheetViews>
    <sheetView zoomScaleNormal="100" workbookViewId="0">
      <selection activeCell="G6" sqref="G6"/>
    </sheetView>
  </sheetViews>
  <sheetFormatPr defaultColWidth="8.6640625" defaultRowHeight="14.4" x14ac:dyDescent="0.3"/>
  <cols>
    <col min="1" max="1" width="10.33203125" customWidth="1"/>
    <col min="2" max="2" width="12.5546875" customWidth="1"/>
    <col min="3" max="3" width="10.88671875" customWidth="1"/>
    <col min="5" max="5" width="10.109375" customWidth="1"/>
    <col min="7" max="7" width="12" bestFit="1" customWidth="1"/>
    <col min="8" max="8" width="17.44140625" customWidth="1"/>
    <col min="9" max="9" width="12" customWidth="1"/>
    <col min="10" max="10" width="13.44140625" customWidth="1"/>
    <col min="13" max="13" width="12.6640625" customWidth="1"/>
    <col min="14" max="14" width="12" customWidth="1"/>
    <col min="15" max="15" width="12.6640625" customWidth="1"/>
    <col min="16" max="16" width="12.109375" customWidth="1"/>
  </cols>
  <sheetData>
    <row r="1" spans="1:13" ht="14.25" customHeight="1" x14ac:dyDescent="0.3">
      <c r="A1" s="26" t="s">
        <v>350</v>
      </c>
      <c r="B1" s="26" t="s">
        <v>351</v>
      </c>
      <c r="C1" s="26" t="s">
        <v>352</v>
      </c>
      <c r="D1" s="26" t="s">
        <v>353</v>
      </c>
      <c r="E1" s="26" t="s">
        <v>354</v>
      </c>
    </row>
    <row r="2" spans="1:13" ht="14.25" customHeight="1" x14ac:dyDescent="0.3">
      <c r="A2" s="27">
        <v>43922</v>
      </c>
      <c r="B2" s="28">
        <v>8253.7998046875</v>
      </c>
      <c r="C2" s="28">
        <v>126.76605224609401</v>
      </c>
      <c r="D2" s="29"/>
      <c r="E2" s="29"/>
      <c r="F2" t="s">
        <v>671</v>
      </c>
      <c r="G2" t="s">
        <v>672</v>
      </c>
    </row>
    <row r="3" spans="1:13" ht="14.25" customHeight="1" x14ac:dyDescent="0.3">
      <c r="A3" s="27">
        <v>43924</v>
      </c>
      <c r="B3" s="28">
        <v>8083.7998046875</v>
      </c>
      <c r="C3" s="28">
        <v>123.68711090087901</v>
      </c>
      <c r="D3" s="29">
        <f t="shared" ref="D3:D66" si="0">(C3-C2)/C2</f>
        <v>-2.428837445562931E-2</v>
      </c>
      <c r="E3" s="29">
        <f t="shared" ref="E3:E66" si="1">(B3-B2)/B2</f>
        <v>-2.0596574186770748E-2</v>
      </c>
      <c r="F3" s="29">
        <f>SLOPE(D3:D1536,E3:E1536)</f>
        <v>1.0178952961871812</v>
      </c>
      <c r="G3" s="29">
        <f>_xlfn.COVARIANCE.S(D3:D1536,E3:E1536)/_xlfn.VAR.S(E3:E1536)</f>
        <v>1.0178952961871803</v>
      </c>
      <c r="H3" t="s">
        <v>355</v>
      </c>
    </row>
    <row r="4" spans="1:13" ht="15" customHeight="1" x14ac:dyDescent="0.3">
      <c r="A4" s="27">
        <v>43928</v>
      </c>
      <c r="B4" s="28">
        <v>8792.2001953125</v>
      </c>
      <c r="C4" s="28">
        <v>134.22288513183599</v>
      </c>
      <c r="D4" s="29">
        <f t="shared" si="0"/>
        <v>8.5180858007106328E-2</v>
      </c>
      <c r="E4" s="29">
        <f t="shared" si="1"/>
        <v>8.7632104671150374E-2</v>
      </c>
    </row>
    <row r="5" spans="1:13" ht="14.25" customHeight="1" x14ac:dyDescent="0.3">
      <c r="A5" s="27">
        <v>43929</v>
      </c>
      <c r="B5" s="28">
        <v>8748.75</v>
      </c>
      <c r="C5" s="28">
        <v>134.559646606445</v>
      </c>
      <c r="D5" s="29">
        <f t="shared" si="0"/>
        <v>2.5089721047065311E-3</v>
      </c>
      <c r="E5" s="29">
        <f t="shared" si="1"/>
        <v>-4.9419024075071866E-3</v>
      </c>
      <c r="H5" s="189" t="s">
        <v>356</v>
      </c>
      <c r="I5" s="189"/>
    </row>
    <row r="6" spans="1:13" ht="14.25" customHeight="1" x14ac:dyDescent="0.3">
      <c r="A6" s="27">
        <v>43930</v>
      </c>
      <c r="B6" s="28">
        <v>9111.900390625</v>
      </c>
      <c r="C6" s="28">
        <v>142.40133666992199</v>
      </c>
      <c r="D6" s="29">
        <f t="shared" si="0"/>
        <v>5.8276684438775837E-2</v>
      </c>
      <c r="E6" s="29">
        <f t="shared" si="1"/>
        <v>4.1508831618802686E-2</v>
      </c>
      <c r="H6" t="s">
        <v>357</v>
      </c>
      <c r="I6">
        <v>0.52664950687539902</v>
      </c>
    </row>
    <row r="7" spans="1:13" ht="14.25" customHeight="1" x14ac:dyDescent="0.3">
      <c r="A7" s="27">
        <v>43934</v>
      </c>
      <c r="B7" s="28">
        <v>8993.849609375</v>
      </c>
      <c r="C7" s="28">
        <v>137.44616699218801</v>
      </c>
      <c r="D7" s="29">
        <f t="shared" si="0"/>
        <v>-3.479721323978701E-2</v>
      </c>
      <c r="E7" s="29">
        <f t="shared" si="1"/>
        <v>-1.2955670737079107E-2</v>
      </c>
      <c r="H7" t="s">
        <v>358</v>
      </c>
      <c r="I7">
        <v>0.27735970309210101</v>
      </c>
    </row>
    <row r="8" spans="1:13" ht="14.25" customHeight="1" x14ac:dyDescent="0.3">
      <c r="A8" s="27">
        <v>43936</v>
      </c>
      <c r="B8" s="28">
        <v>8925.2998046875</v>
      </c>
      <c r="C8" s="28">
        <v>135.13693237304699</v>
      </c>
      <c r="D8" s="29">
        <f t="shared" si="0"/>
        <v>-1.6801011404503352E-2</v>
      </c>
      <c r="E8" s="29">
        <f t="shared" si="1"/>
        <v>-7.6218535626885646E-3</v>
      </c>
      <c r="H8" t="s">
        <v>359</v>
      </c>
      <c r="I8">
        <v>0.27688800577035899</v>
      </c>
    </row>
    <row r="9" spans="1:13" ht="14.25" customHeight="1" x14ac:dyDescent="0.3">
      <c r="A9" s="27">
        <v>43937</v>
      </c>
      <c r="B9" s="28">
        <v>8992.7998046875</v>
      </c>
      <c r="C9" s="28">
        <v>137.20562744140599</v>
      </c>
      <c r="D9" s="29">
        <f t="shared" si="0"/>
        <v>1.5308139914322977E-2</v>
      </c>
      <c r="E9" s="29">
        <f t="shared" si="1"/>
        <v>7.5627711647903986E-3</v>
      </c>
      <c r="H9" t="s">
        <v>360</v>
      </c>
      <c r="I9">
        <v>1.6100448711109699E-2</v>
      </c>
    </row>
    <row r="10" spans="1:13" ht="15" customHeight="1" x14ac:dyDescent="0.3">
      <c r="A10" s="27">
        <v>43938</v>
      </c>
      <c r="B10" s="28">
        <v>9266.75</v>
      </c>
      <c r="C10" s="28">
        <v>140.66943359375</v>
      </c>
      <c r="D10" s="29">
        <f t="shared" si="0"/>
        <v>2.5245365054893488E-2</v>
      </c>
      <c r="E10" s="29">
        <f t="shared" si="1"/>
        <v>3.0463281876874804E-2</v>
      </c>
      <c r="H10" s="31" t="s">
        <v>361</v>
      </c>
      <c r="I10" s="31">
        <v>1534</v>
      </c>
    </row>
    <row r="11" spans="1:13" ht="14.25" customHeight="1" x14ac:dyDescent="0.3">
      <c r="A11" s="27">
        <v>43941</v>
      </c>
      <c r="B11" s="28">
        <v>9261.849609375</v>
      </c>
      <c r="C11" s="28">
        <v>144.08514404296901</v>
      </c>
      <c r="D11" s="29">
        <f t="shared" si="0"/>
        <v>2.4281824145844625E-2</v>
      </c>
      <c r="E11" s="29">
        <f t="shared" si="1"/>
        <v>-5.2881437666927461E-4</v>
      </c>
    </row>
    <row r="12" spans="1:13" ht="15" customHeight="1" x14ac:dyDescent="0.3">
      <c r="A12" s="27">
        <v>43942</v>
      </c>
      <c r="B12" s="28">
        <v>8981.4501953125</v>
      </c>
      <c r="C12" s="28">
        <v>135.810470581055</v>
      </c>
      <c r="D12" s="29">
        <f t="shared" si="0"/>
        <v>-5.7429053611844513E-2</v>
      </c>
      <c r="E12" s="29">
        <f t="shared" si="1"/>
        <v>-3.0274667144095602E-2</v>
      </c>
      <c r="H12" t="s">
        <v>362</v>
      </c>
    </row>
    <row r="13" spans="1:13" ht="14.25" customHeight="1" x14ac:dyDescent="0.3">
      <c r="A13" s="27">
        <v>43943</v>
      </c>
      <c r="B13" s="28">
        <v>9187.2998046875</v>
      </c>
      <c r="C13" s="28">
        <v>141.631591796875</v>
      </c>
      <c r="D13" s="29">
        <f t="shared" si="0"/>
        <v>4.2862094438777552E-2</v>
      </c>
      <c r="E13" s="29">
        <f t="shared" si="1"/>
        <v>2.2919417788725787E-2</v>
      </c>
      <c r="H13" s="30"/>
      <c r="I13" s="30" t="s">
        <v>363</v>
      </c>
      <c r="J13" s="30" t="s">
        <v>364</v>
      </c>
      <c r="K13" s="30" t="s">
        <v>365</v>
      </c>
      <c r="L13" s="30" t="s">
        <v>366</v>
      </c>
      <c r="M13" s="30" t="s">
        <v>367</v>
      </c>
    </row>
    <row r="14" spans="1:13" ht="14.25" customHeight="1" x14ac:dyDescent="0.3">
      <c r="A14" s="27">
        <v>43944</v>
      </c>
      <c r="B14" s="28">
        <v>9313.900390625</v>
      </c>
      <c r="C14" s="28">
        <v>143.84460449218801</v>
      </c>
      <c r="D14" s="29">
        <f t="shared" si="0"/>
        <v>1.5625134669720205E-2</v>
      </c>
      <c r="E14" s="29">
        <f t="shared" si="1"/>
        <v>1.3779955877014752E-2</v>
      </c>
      <c r="H14" t="s">
        <v>368</v>
      </c>
      <c r="I14">
        <v>1</v>
      </c>
      <c r="J14">
        <v>0.1524248979408</v>
      </c>
      <c r="K14">
        <v>0.1524248979408</v>
      </c>
      <c r="L14">
        <v>588.00355717120203</v>
      </c>
      <c r="M14">
        <v>3.32177456609409E-110</v>
      </c>
    </row>
    <row r="15" spans="1:13" ht="14.25" customHeight="1" x14ac:dyDescent="0.3">
      <c r="A15" s="27">
        <v>43945</v>
      </c>
      <c r="B15" s="28">
        <v>9154.400390625</v>
      </c>
      <c r="C15" s="28">
        <v>142.83432006835901</v>
      </c>
      <c r="D15" s="29">
        <f t="shared" si="0"/>
        <v>-7.0234433011623536E-3</v>
      </c>
      <c r="E15" s="29">
        <f t="shared" si="1"/>
        <v>-1.7124941572334865E-2</v>
      </c>
      <c r="H15" t="s">
        <v>369</v>
      </c>
      <c r="I15">
        <v>1532</v>
      </c>
      <c r="J15">
        <v>0.39713185540698398</v>
      </c>
      <c r="K15">
        <v>2.5922444869907601E-4</v>
      </c>
    </row>
    <row r="16" spans="1:13" ht="15" customHeight="1" x14ac:dyDescent="0.3">
      <c r="A16" s="27">
        <v>43948</v>
      </c>
      <c r="B16" s="28">
        <v>9282.2998046875</v>
      </c>
      <c r="C16" s="28">
        <v>142.40133666992199</v>
      </c>
      <c r="D16" s="29">
        <f t="shared" si="0"/>
        <v>-3.0313680789728656E-3</v>
      </c>
      <c r="E16" s="29">
        <f t="shared" si="1"/>
        <v>1.3971358975458566E-2</v>
      </c>
      <c r="H16" s="31" t="s">
        <v>117</v>
      </c>
      <c r="I16" s="31">
        <v>1533</v>
      </c>
      <c r="J16" s="31">
        <v>0.54955675334778398</v>
      </c>
      <c r="K16" s="31"/>
      <c r="L16" s="31"/>
      <c r="M16" s="31"/>
    </row>
    <row r="17" spans="1:16" ht="15" customHeight="1" x14ac:dyDescent="0.3">
      <c r="A17" s="27">
        <v>43949</v>
      </c>
      <c r="B17" s="28">
        <v>9380.900390625</v>
      </c>
      <c r="C17" s="28">
        <v>140.57321166992199</v>
      </c>
      <c r="D17" s="29">
        <f t="shared" si="0"/>
        <v>-1.2837835955413027E-2</v>
      </c>
      <c r="E17" s="29">
        <f t="shared" si="1"/>
        <v>1.0622430648890199E-2</v>
      </c>
    </row>
    <row r="18" spans="1:16" ht="14.25" customHeight="1" x14ac:dyDescent="0.3">
      <c r="A18" s="27">
        <v>43950</v>
      </c>
      <c r="B18" s="28">
        <v>9553.349609375</v>
      </c>
      <c r="C18" s="28">
        <v>149.37707519531301</v>
      </c>
      <c r="D18" s="29">
        <f t="shared" si="0"/>
        <v>6.2628316026977118E-2</v>
      </c>
      <c r="E18" s="29">
        <f t="shared" si="1"/>
        <v>1.838301352419654E-2</v>
      </c>
      <c r="H18" s="30"/>
      <c r="I18" s="30" t="s">
        <v>370</v>
      </c>
      <c r="J18" s="30" t="s">
        <v>360</v>
      </c>
      <c r="K18" s="30" t="s">
        <v>371</v>
      </c>
      <c r="L18" s="30" t="s">
        <v>372</v>
      </c>
      <c r="M18" s="30" t="s">
        <v>373</v>
      </c>
      <c r="N18" s="30" t="s">
        <v>374</v>
      </c>
      <c r="O18" s="30" t="s">
        <v>375</v>
      </c>
      <c r="P18" s="30" t="s">
        <v>376</v>
      </c>
    </row>
    <row r="19" spans="1:16" ht="14.25" customHeight="1" x14ac:dyDescent="0.3">
      <c r="A19" s="27">
        <v>43951</v>
      </c>
      <c r="B19" s="28">
        <v>9859.900390625</v>
      </c>
      <c r="C19" s="28">
        <v>151.30142211914099</v>
      </c>
      <c r="D19" s="29">
        <f t="shared" si="0"/>
        <v>1.2882478260548797E-2</v>
      </c>
      <c r="E19" s="29">
        <f t="shared" si="1"/>
        <v>3.2088303452139151E-2</v>
      </c>
      <c r="H19" t="s">
        <v>377</v>
      </c>
      <c r="I19">
        <v>1.39560704366501E-4</v>
      </c>
      <c r="J19">
        <v>4.1227808883982902E-4</v>
      </c>
      <c r="K19">
        <v>0.33851108789029299</v>
      </c>
      <c r="L19">
        <v>0.735024458920015</v>
      </c>
      <c r="M19">
        <v>-6.6912840180778101E-4</v>
      </c>
      <c r="N19">
        <v>9.48249810540783E-4</v>
      </c>
      <c r="O19">
        <v>-6.6912840180778101E-4</v>
      </c>
      <c r="P19">
        <v>9.48249810540783E-4</v>
      </c>
    </row>
    <row r="20" spans="1:16" ht="15" customHeight="1" x14ac:dyDescent="0.3">
      <c r="A20" s="27">
        <v>43955</v>
      </c>
      <c r="B20" s="28">
        <v>9293.5</v>
      </c>
      <c r="C20" s="28">
        <v>141.67970275878901</v>
      </c>
      <c r="D20" s="29">
        <f t="shared" si="0"/>
        <v>-6.3593053030099406E-2</v>
      </c>
      <c r="E20" s="29">
        <f t="shared" si="1"/>
        <v>-5.7444839013134998E-2</v>
      </c>
      <c r="H20" s="31" t="s">
        <v>378</v>
      </c>
      <c r="I20" s="31">
        <v>1.0178952961871801</v>
      </c>
      <c r="J20" s="31">
        <v>4.19771675460359E-2</v>
      </c>
      <c r="K20" s="31">
        <v>24.248784653487299</v>
      </c>
      <c r="L20" s="31">
        <v>3.3217745660963603E-110</v>
      </c>
      <c r="M20" s="31">
        <v>0.93555650831208603</v>
      </c>
      <c r="N20" s="31">
        <v>1.10023408406227</v>
      </c>
      <c r="O20" s="31">
        <v>0.93555650831208603</v>
      </c>
      <c r="P20" s="31">
        <v>1.10023408406227</v>
      </c>
    </row>
    <row r="21" spans="1:16" ht="14.25" customHeight="1" x14ac:dyDescent="0.3">
      <c r="A21" s="27">
        <v>43956</v>
      </c>
      <c r="B21" s="28">
        <v>9205.599609375</v>
      </c>
      <c r="C21" s="28">
        <v>141.48727416992199</v>
      </c>
      <c r="D21" s="29">
        <f t="shared" si="0"/>
        <v>-1.3581944704855035E-3</v>
      </c>
      <c r="E21" s="29">
        <f t="shared" si="1"/>
        <v>-9.4582655216011186E-3</v>
      </c>
    </row>
    <row r="22" spans="1:16" ht="14.25" customHeight="1" x14ac:dyDescent="0.3">
      <c r="A22" s="27">
        <v>43957</v>
      </c>
      <c r="B22" s="28">
        <v>9270.900390625</v>
      </c>
      <c r="C22" s="28">
        <v>141.82403564453099</v>
      </c>
      <c r="D22" s="29">
        <f t="shared" si="0"/>
        <v>2.3801538094837069E-3</v>
      </c>
      <c r="E22" s="29">
        <f t="shared" si="1"/>
        <v>7.0935934671216378E-3</v>
      </c>
    </row>
    <row r="23" spans="1:16" ht="14.25" customHeight="1" x14ac:dyDescent="0.3">
      <c r="A23" s="27">
        <v>43958</v>
      </c>
      <c r="B23" s="28">
        <v>9199.0498046875</v>
      </c>
      <c r="C23" s="28">
        <v>141.48727416992199</v>
      </c>
      <c r="D23" s="29">
        <f t="shared" si="0"/>
        <v>-2.3745021291952757E-3</v>
      </c>
      <c r="E23" s="29">
        <f t="shared" si="1"/>
        <v>-7.7501195040513404E-3</v>
      </c>
    </row>
    <row r="24" spans="1:16" ht="14.25" customHeight="1" x14ac:dyDescent="0.3">
      <c r="A24" s="27">
        <v>43959</v>
      </c>
      <c r="B24" s="28">
        <v>9251.5</v>
      </c>
      <c r="C24" s="28">
        <v>141.15051269531301</v>
      </c>
      <c r="D24" s="29">
        <f t="shared" si="0"/>
        <v>-2.3801538094835061E-3</v>
      </c>
      <c r="E24" s="29">
        <f t="shared" si="1"/>
        <v>5.7016970693835461E-3</v>
      </c>
    </row>
    <row r="25" spans="1:16" ht="14.25" customHeight="1" x14ac:dyDescent="0.3">
      <c r="A25" s="27">
        <v>43962</v>
      </c>
      <c r="B25" s="28">
        <v>9239.2001953125</v>
      </c>
      <c r="C25" s="28">
        <v>142.68998718261699</v>
      </c>
      <c r="D25" s="29">
        <f t="shared" si="0"/>
        <v>1.0906616333920665E-2</v>
      </c>
      <c r="E25" s="29">
        <f t="shared" si="1"/>
        <v>-1.3294930214019349E-3</v>
      </c>
    </row>
    <row r="26" spans="1:16" ht="14.25" customHeight="1" x14ac:dyDescent="0.3">
      <c r="A26" s="27">
        <v>43963</v>
      </c>
      <c r="B26" s="28">
        <v>9196.5498046875</v>
      </c>
      <c r="C26" s="28">
        <v>146.58677673339801</v>
      </c>
      <c r="D26" s="29">
        <f t="shared" si="0"/>
        <v>2.7309481398956517E-2</v>
      </c>
      <c r="E26" s="29">
        <f t="shared" si="1"/>
        <v>-4.6162427183511663E-3</v>
      </c>
    </row>
    <row r="27" spans="1:16" ht="14.25" customHeight="1" x14ac:dyDescent="0.3">
      <c r="A27" s="27">
        <v>43964</v>
      </c>
      <c r="B27" s="28">
        <v>9383.5498046875</v>
      </c>
      <c r="C27" s="28">
        <v>147.11598205566401</v>
      </c>
      <c r="D27" s="29">
        <f t="shared" si="0"/>
        <v>3.6101845886718476E-3</v>
      </c>
      <c r="E27" s="29">
        <f t="shared" si="1"/>
        <v>2.0333712530397619E-2</v>
      </c>
    </row>
    <row r="28" spans="1:16" ht="14.25" customHeight="1" x14ac:dyDescent="0.3">
      <c r="A28" s="27">
        <v>43965</v>
      </c>
      <c r="B28" s="28">
        <v>9142.75</v>
      </c>
      <c r="C28" s="28">
        <v>145.191650390625</v>
      </c>
      <c r="D28" s="29">
        <f t="shared" si="0"/>
        <v>-1.3080371270001785E-2</v>
      </c>
      <c r="E28" s="29">
        <f t="shared" si="1"/>
        <v>-2.5661909373274686E-2</v>
      </c>
    </row>
    <row r="29" spans="1:16" ht="14.25" customHeight="1" x14ac:dyDescent="0.3">
      <c r="A29" s="27">
        <v>43966</v>
      </c>
      <c r="B29" s="28">
        <v>9136.849609375</v>
      </c>
      <c r="C29" s="28">
        <v>148.94410705566401</v>
      </c>
      <c r="D29" s="29">
        <f t="shared" si="0"/>
        <v>2.5844851649136576E-2</v>
      </c>
      <c r="E29" s="29">
        <f t="shared" si="1"/>
        <v>-6.453627874545405E-4</v>
      </c>
    </row>
    <row r="30" spans="1:16" ht="14.25" customHeight="1" x14ac:dyDescent="0.3">
      <c r="A30" s="27">
        <v>43969</v>
      </c>
      <c r="B30" s="28">
        <v>8823.25</v>
      </c>
      <c r="C30" s="28">
        <v>145.528396606445</v>
      </c>
      <c r="D30" s="29">
        <f t="shared" si="0"/>
        <v>-2.2932833777320725E-2</v>
      </c>
      <c r="E30" s="29">
        <f t="shared" si="1"/>
        <v>-3.4322509703259917E-2</v>
      </c>
    </row>
    <row r="31" spans="1:16" ht="14.25" customHeight="1" x14ac:dyDescent="0.3">
      <c r="A31" s="27">
        <v>43970</v>
      </c>
      <c r="B31" s="28">
        <v>8879.099609375</v>
      </c>
      <c r="C31" s="28">
        <v>144.22944641113301</v>
      </c>
      <c r="D31" s="29">
        <f t="shared" si="0"/>
        <v>-8.925750751069994E-3</v>
      </c>
      <c r="E31" s="29">
        <f t="shared" si="1"/>
        <v>6.3298228402232735E-3</v>
      </c>
    </row>
    <row r="32" spans="1:16" ht="14.25" customHeight="1" x14ac:dyDescent="0.3">
      <c r="A32" s="27">
        <v>43971</v>
      </c>
      <c r="B32" s="28">
        <v>9066.5498046875</v>
      </c>
      <c r="C32" s="28">
        <v>143.74838256835901</v>
      </c>
      <c r="D32" s="29">
        <f t="shared" si="0"/>
        <v>-3.3354065674128029E-3</v>
      </c>
      <c r="E32" s="29">
        <f t="shared" si="1"/>
        <v>2.1111396826157987E-2</v>
      </c>
    </row>
    <row r="33" spans="1:5" ht="14.25" customHeight="1" x14ac:dyDescent="0.3">
      <c r="A33" s="27">
        <v>43972</v>
      </c>
      <c r="B33" s="28">
        <v>9106.25</v>
      </c>
      <c r="C33" s="28">
        <v>149.184646606445</v>
      </c>
      <c r="D33" s="29">
        <f t="shared" si="0"/>
        <v>3.7817914476364969E-2</v>
      </c>
      <c r="E33" s="29">
        <f t="shared" si="1"/>
        <v>4.378754451001261E-3</v>
      </c>
    </row>
    <row r="34" spans="1:5" ht="14.25" customHeight="1" x14ac:dyDescent="0.3">
      <c r="A34" s="27">
        <v>43973</v>
      </c>
      <c r="B34" s="28">
        <v>9039.25</v>
      </c>
      <c r="C34" s="28">
        <v>148.27059936523401</v>
      </c>
      <c r="D34" s="29">
        <f t="shared" si="0"/>
        <v>-6.1269524847438698E-3</v>
      </c>
      <c r="E34" s="29">
        <f t="shared" si="1"/>
        <v>-7.3575840768702813E-3</v>
      </c>
    </row>
    <row r="35" spans="1:5" ht="14.25" customHeight="1" x14ac:dyDescent="0.3">
      <c r="A35" s="27">
        <v>43977</v>
      </c>
      <c r="B35" s="28">
        <v>9029.0498046875</v>
      </c>
      <c r="C35" s="28">
        <v>153.46630859375</v>
      </c>
      <c r="D35" s="29">
        <f t="shared" si="0"/>
        <v>3.5042073416844011E-2</v>
      </c>
      <c r="E35" s="29">
        <f t="shared" si="1"/>
        <v>-1.1284338094974694E-3</v>
      </c>
    </row>
    <row r="36" spans="1:5" ht="14.25" customHeight="1" x14ac:dyDescent="0.3">
      <c r="A36" s="27">
        <v>43978</v>
      </c>
      <c r="B36" s="28">
        <v>9314.9501953125</v>
      </c>
      <c r="C36" s="28">
        <v>150.098709106445</v>
      </c>
      <c r="D36" s="29">
        <f t="shared" si="0"/>
        <v>-2.1943575226140204E-2</v>
      </c>
      <c r="E36" s="29">
        <f t="shared" si="1"/>
        <v>3.1664504771761547E-2</v>
      </c>
    </row>
    <row r="37" spans="1:5" ht="14.25" customHeight="1" x14ac:dyDescent="0.3">
      <c r="A37" s="27">
        <v>43979</v>
      </c>
      <c r="B37" s="28">
        <v>9490.099609375</v>
      </c>
      <c r="C37" s="28">
        <v>152.69656372070301</v>
      </c>
      <c r="D37" s="29">
        <f t="shared" si="0"/>
        <v>1.7307641283015297E-2</v>
      </c>
      <c r="E37" s="29">
        <f t="shared" si="1"/>
        <v>1.8803043536468854E-2</v>
      </c>
    </row>
    <row r="38" spans="1:5" ht="14.25" customHeight="1" x14ac:dyDescent="0.3">
      <c r="A38" s="27">
        <v>43980</v>
      </c>
      <c r="B38" s="28">
        <v>9580.2998046875</v>
      </c>
      <c r="C38" s="28">
        <v>156.73768615722699</v>
      </c>
      <c r="D38" s="29">
        <f t="shared" si="0"/>
        <v>2.6465051590260975E-2</v>
      </c>
      <c r="E38" s="29">
        <f t="shared" si="1"/>
        <v>9.5046626511057671E-3</v>
      </c>
    </row>
    <row r="39" spans="1:5" ht="14.25" customHeight="1" x14ac:dyDescent="0.3">
      <c r="A39" s="27">
        <v>43983</v>
      </c>
      <c r="B39" s="28">
        <v>9826.150390625</v>
      </c>
      <c r="C39" s="28">
        <v>167.27346801757801</v>
      </c>
      <c r="D39" s="29">
        <f t="shared" si="0"/>
        <v>6.7219199917130018E-2</v>
      </c>
      <c r="E39" s="29">
        <f t="shared" si="1"/>
        <v>2.5662097319460599E-2</v>
      </c>
    </row>
    <row r="40" spans="1:5" ht="14.25" customHeight="1" x14ac:dyDescent="0.3">
      <c r="A40" s="27">
        <v>43984</v>
      </c>
      <c r="B40" s="28">
        <v>9979.099609375</v>
      </c>
      <c r="C40" s="28">
        <v>164.19450378418</v>
      </c>
      <c r="D40" s="29">
        <f t="shared" si="0"/>
        <v>-1.8406769883401095E-2</v>
      </c>
      <c r="E40" s="29">
        <f t="shared" si="1"/>
        <v>1.556552797074293E-2</v>
      </c>
    </row>
    <row r="41" spans="1:5" ht="14.25" customHeight="1" x14ac:dyDescent="0.3">
      <c r="A41" s="27">
        <v>43985</v>
      </c>
      <c r="B41" s="28">
        <v>10061.5498046875</v>
      </c>
      <c r="C41" s="28">
        <v>162.60693359375</v>
      </c>
      <c r="D41" s="29">
        <f t="shared" si="0"/>
        <v>-9.6688388091036772E-3</v>
      </c>
      <c r="E41" s="29">
        <f t="shared" si="1"/>
        <v>8.262288035990847E-3</v>
      </c>
    </row>
    <row r="42" spans="1:5" ht="14.25" customHeight="1" x14ac:dyDescent="0.3">
      <c r="A42" s="27">
        <v>43986</v>
      </c>
      <c r="B42" s="28">
        <v>10029.099609375</v>
      </c>
      <c r="C42" s="28">
        <v>164.86804199218801</v>
      </c>
      <c r="D42" s="29">
        <f t="shared" si="0"/>
        <v>1.3905362757083073E-2</v>
      </c>
      <c r="E42" s="29">
        <f t="shared" si="1"/>
        <v>-3.2251686810099594E-3</v>
      </c>
    </row>
    <row r="43" spans="1:5" ht="14.25" customHeight="1" x14ac:dyDescent="0.3">
      <c r="A43" s="27">
        <v>43987</v>
      </c>
      <c r="B43" s="28">
        <v>10142.150390625</v>
      </c>
      <c r="C43" s="28">
        <v>166.59994506835901</v>
      </c>
      <c r="D43" s="29">
        <f t="shared" si="0"/>
        <v>1.0504783433123183E-2</v>
      </c>
      <c r="E43" s="29">
        <f t="shared" si="1"/>
        <v>1.1272276241460641E-2</v>
      </c>
    </row>
    <row r="44" spans="1:5" ht="14.25" customHeight="1" x14ac:dyDescent="0.3">
      <c r="A44" s="27">
        <v>43990</v>
      </c>
      <c r="B44" s="28">
        <v>10167.4501953125</v>
      </c>
      <c r="C44" s="28">
        <v>152.69656372070301</v>
      </c>
      <c r="D44" s="29">
        <f t="shared" si="0"/>
        <v>-8.3453697070255226E-2</v>
      </c>
      <c r="E44" s="29">
        <f t="shared" si="1"/>
        <v>2.4945207587225419E-3</v>
      </c>
    </row>
    <row r="45" spans="1:5" ht="14.25" customHeight="1" x14ac:dyDescent="0.3">
      <c r="A45" s="27">
        <v>43991</v>
      </c>
      <c r="B45" s="28">
        <v>10046.650390625</v>
      </c>
      <c r="C45" s="28">
        <v>152.69656372070301</v>
      </c>
      <c r="D45" s="29">
        <f t="shared" si="0"/>
        <v>0</v>
      </c>
      <c r="E45" s="29">
        <f t="shared" si="1"/>
        <v>-1.1881032349997872E-2</v>
      </c>
    </row>
    <row r="46" spans="1:5" ht="14.25" customHeight="1" x14ac:dyDescent="0.3">
      <c r="A46" s="27">
        <v>43992</v>
      </c>
      <c r="B46" s="28">
        <v>10116.150390625</v>
      </c>
      <c r="C46" s="28">
        <v>152.31172180175801</v>
      </c>
      <c r="D46" s="29">
        <f t="shared" si="0"/>
        <v>-2.5203050387493557E-3</v>
      </c>
      <c r="E46" s="29">
        <f t="shared" si="1"/>
        <v>6.9177285262014996E-3</v>
      </c>
    </row>
    <row r="47" spans="1:5" ht="14.25" customHeight="1" x14ac:dyDescent="0.3">
      <c r="A47" s="27">
        <v>43993</v>
      </c>
      <c r="B47" s="28">
        <v>9902</v>
      </c>
      <c r="C47" s="28">
        <v>145.528396606445</v>
      </c>
      <c r="D47" s="29">
        <f t="shared" si="0"/>
        <v>-4.4535805354113708E-2</v>
      </c>
      <c r="E47" s="29">
        <f t="shared" si="1"/>
        <v>-2.1169158460066079E-2</v>
      </c>
    </row>
    <row r="48" spans="1:5" ht="14.25" customHeight="1" x14ac:dyDescent="0.3">
      <c r="A48" s="27">
        <v>43994</v>
      </c>
      <c r="B48" s="28">
        <v>9972.900390625</v>
      </c>
      <c r="C48" s="28">
        <v>148.70356750488301</v>
      </c>
      <c r="D48" s="29">
        <f t="shared" si="0"/>
        <v>2.1818222233456485E-2</v>
      </c>
      <c r="E48" s="29">
        <f t="shared" si="1"/>
        <v>7.1602091117955969E-3</v>
      </c>
    </row>
    <row r="49" spans="1:5" ht="14.25" customHeight="1" x14ac:dyDescent="0.3">
      <c r="A49" s="27">
        <v>43997</v>
      </c>
      <c r="B49" s="28">
        <v>9813.7001953125</v>
      </c>
      <c r="C49" s="28">
        <v>144.037033081055</v>
      </c>
      <c r="D49" s="29">
        <f t="shared" si="0"/>
        <v>-3.1381455752060389E-2</v>
      </c>
      <c r="E49" s="29">
        <f t="shared" si="1"/>
        <v>-1.5963279394844428E-2</v>
      </c>
    </row>
    <row r="50" spans="1:5" ht="14.25" customHeight="1" x14ac:dyDescent="0.3">
      <c r="A50" s="27">
        <v>43998</v>
      </c>
      <c r="B50" s="28">
        <v>9914</v>
      </c>
      <c r="C50" s="28">
        <v>145.28785705566401</v>
      </c>
      <c r="D50" s="29">
        <f t="shared" si="0"/>
        <v>8.6840442895343463E-3</v>
      </c>
      <c r="E50" s="29">
        <f t="shared" si="1"/>
        <v>1.0220386061458048E-2</v>
      </c>
    </row>
    <row r="51" spans="1:5" ht="14.25" customHeight="1" x14ac:dyDescent="0.3">
      <c r="A51" s="27">
        <v>43999</v>
      </c>
      <c r="B51" s="28">
        <v>9881.150390625</v>
      </c>
      <c r="C51" s="28">
        <v>142.35321044921901</v>
      </c>
      <c r="D51" s="29">
        <f t="shared" si="0"/>
        <v>-2.0198842944738674E-2</v>
      </c>
      <c r="E51" s="29">
        <f t="shared" si="1"/>
        <v>-3.3134566648174301E-3</v>
      </c>
    </row>
    <row r="52" spans="1:5" ht="14.25" customHeight="1" x14ac:dyDescent="0.3">
      <c r="A52" s="27">
        <v>44000</v>
      </c>
      <c r="B52" s="28">
        <v>10091.650390625</v>
      </c>
      <c r="C52" s="28">
        <v>142.59378051757801</v>
      </c>
      <c r="D52" s="29">
        <f t="shared" si="0"/>
        <v>1.6899518289741906E-3</v>
      </c>
      <c r="E52" s="29">
        <f t="shared" si="1"/>
        <v>2.1303187551898549E-2</v>
      </c>
    </row>
    <row r="53" spans="1:5" ht="14.25" customHeight="1" x14ac:dyDescent="0.3">
      <c r="A53" s="27">
        <v>44001</v>
      </c>
      <c r="B53" s="28">
        <v>10244.400390625</v>
      </c>
      <c r="C53" s="28">
        <v>146.25003051757801</v>
      </c>
      <c r="D53" s="29">
        <f t="shared" si="0"/>
        <v>2.5641020153394992E-2</v>
      </c>
      <c r="E53" s="29">
        <f t="shared" si="1"/>
        <v>1.5136275444292302E-2</v>
      </c>
    </row>
    <row r="54" spans="1:5" ht="14.25" customHeight="1" x14ac:dyDescent="0.3">
      <c r="A54" s="27">
        <v>44004</v>
      </c>
      <c r="B54" s="28">
        <v>10311.2001953125</v>
      </c>
      <c r="C54" s="28">
        <v>148.36679077148401</v>
      </c>
      <c r="D54" s="29">
        <f t="shared" si="0"/>
        <v>1.44735713655224E-2</v>
      </c>
      <c r="E54" s="29">
        <f t="shared" si="1"/>
        <v>6.5206163504338216E-3</v>
      </c>
    </row>
    <row r="55" spans="1:5" ht="14.25" customHeight="1" x14ac:dyDescent="0.3">
      <c r="A55" s="27">
        <v>44005</v>
      </c>
      <c r="B55" s="28">
        <v>10471</v>
      </c>
      <c r="C55" s="28">
        <v>148.55921936035199</v>
      </c>
      <c r="D55" s="29">
        <f t="shared" si="0"/>
        <v>1.2969788445742129E-3</v>
      </c>
      <c r="E55" s="29">
        <f t="shared" si="1"/>
        <v>1.5497691991291706E-2</v>
      </c>
    </row>
    <row r="56" spans="1:5" ht="14.25" customHeight="1" x14ac:dyDescent="0.3">
      <c r="A56" s="27">
        <v>44006</v>
      </c>
      <c r="B56" s="28">
        <v>10305.2998046875</v>
      </c>
      <c r="C56" s="28">
        <v>143.89271545410199</v>
      </c>
      <c r="D56" s="29">
        <f t="shared" si="0"/>
        <v>-3.1411742242201182E-2</v>
      </c>
      <c r="E56" s="29">
        <f t="shared" si="1"/>
        <v>-1.5824677233549803E-2</v>
      </c>
    </row>
    <row r="57" spans="1:5" ht="14.25" customHeight="1" x14ac:dyDescent="0.3">
      <c r="A57" s="27">
        <v>44007</v>
      </c>
      <c r="B57" s="28">
        <v>10288.900390625</v>
      </c>
      <c r="C57" s="28">
        <v>144.42190551757801</v>
      </c>
      <c r="D57" s="29">
        <f t="shared" si="0"/>
        <v>3.6776709773388093E-3</v>
      </c>
      <c r="E57" s="29">
        <f t="shared" si="1"/>
        <v>-1.5913572989929427E-3</v>
      </c>
    </row>
    <row r="58" spans="1:5" ht="14.25" customHeight="1" x14ac:dyDescent="0.3">
      <c r="A58" s="27">
        <v>44008</v>
      </c>
      <c r="B58" s="28">
        <v>10383</v>
      </c>
      <c r="C58" s="28">
        <v>143.26728820800801</v>
      </c>
      <c r="D58" s="29">
        <f t="shared" si="0"/>
        <v>-7.9947519417645965E-3</v>
      </c>
      <c r="E58" s="29">
        <f t="shared" si="1"/>
        <v>9.1457401473865295E-3</v>
      </c>
    </row>
    <row r="59" spans="1:5" ht="14.25" customHeight="1" x14ac:dyDescent="0.3">
      <c r="A59" s="27">
        <v>44011</v>
      </c>
      <c r="B59" s="28">
        <v>10312.400390625</v>
      </c>
      <c r="C59" s="28">
        <v>141.67970275878901</v>
      </c>
      <c r="D59" s="29">
        <f t="shared" si="0"/>
        <v>-1.108128358592235E-2</v>
      </c>
      <c r="E59" s="29">
        <f t="shared" si="1"/>
        <v>-6.7995386087835886E-3</v>
      </c>
    </row>
    <row r="60" spans="1:5" ht="14.25" customHeight="1" x14ac:dyDescent="0.3">
      <c r="A60" s="27">
        <v>44012</v>
      </c>
      <c r="B60" s="28">
        <v>10302.099609375</v>
      </c>
      <c r="C60" s="28">
        <v>142.59378051757801</v>
      </c>
      <c r="D60" s="29">
        <f t="shared" si="0"/>
        <v>6.4517199075807734E-3</v>
      </c>
      <c r="E60" s="29">
        <f t="shared" si="1"/>
        <v>-9.9887328457149869E-4</v>
      </c>
    </row>
    <row r="61" spans="1:5" ht="14.25" customHeight="1" x14ac:dyDescent="0.3">
      <c r="A61" s="27">
        <v>44013</v>
      </c>
      <c r="B61" s="28">
        <v>10430.0498046875</v>
      </c>
      <c r="C61" s="28">
        <v>143.122970581055</v>
      </c>
      <c r="D61" s="29">
        <f t="shared" si="0"/>
        <v>3.7111721251527783E-3</v>
      </c>
      <c r="E61" s="29">
        <f t="shared" si="1"/>
        <v>1.2419817334717306E-2</v>
      </c>
    </row>
    <row r="62" spans="1:5" ht="14.25" customHeight="1" x14ac:dyDescent="0.3">
      <c r="A62" s="27">
        <v>44014</v>
      </c>
      <c r="B62" s="28">
        <v>10551.7001953125</v>
      </c>
      <c r="C62" s="28">
        <v>147.26031494140599</v>
      </c>
      <c r="D62" s="29">
        <f t="shared" si="0"/>
        <v>2.8907619395783062E-2</v>
      </c>
      <c r="E62" s="29">
        <f t="shared" si="1"/>
        <v>1.1663452514898594E-2</v>
      </c>
    </row>
    <row r="63" spans="1:5" ht="14.25" customHeight="1" x14ac:dyDescent="0.3">
      <c r="A63" s="27">
        <v>44015</v>
      </c>
      <c r="B63" s="28">
        <v>10607.349609375</v>
      </c>
      <c r="C63" s="28">
        <v>147.50082397460901</v>
      </c>
      <c r="D63" s="29">
        <f t="shared" si="0"/>
        <v>1.6332236780744931E-3</v>
      </c>
      <c r="E63" s="29">
        <f t="shared" si="1"/>
        <v>5.2739760448483703E-3</v>
      </c>
    </row>
    <row r="64" spans="1:5" ht="14.25" customHeight="1" x14ac:dyDescent="0.3">
      <c r="A64" s="27">
        <v>44018</v>
      </c>
      <c r="B64" s="28">
        <v>10763.650390625</v>
      </c>
      <c r="C64" s="28">
        <v>151.68629455566401</v>
      </c>
      <c r="D64" s="29">
        <f t="shared" si="0"/>
        <v>2.837591322049491E-2</v>
      </c>
      <c r="E64" s="29">
        <f t="shared" si="1"/>
        <v>1.4735139974255027E-2</v>
      </c>
    </row>
    <row r="65" spans="1:5" ht="14.25" customHeight="1" x14ac:dyDescent="0.3">
      <c r="A65" s="27">
        <v>44019</v>
      </c>
      <c r="B65" s="28">
        <v>10799.650390625</v>
      </c>
      <c r="C65" s="28">
        <v>149.37707519531301</v>
      </c>
      <c r="D65" s="29">
        <f t="shared" si="0"/>
        <v>-1.522365199252451E-2</v>
      </c>
      <c r="E65" s="29">
        <f t="shared" si="1"/>
        <v>3.3445902359812369E-3</v>
      </c>
    </row>
    <row r="66" spans="1:5" ht="14.25" customHeight="1" x14ac:dyDescent="0.3">
      <c r="A66" s="27">
        <v>44020</v>
      </c>
      <c r="B66" s="28">
        <v>10705.75</v>
      </c>
      <c r="C66" s="28">
        <v>149.08843994140599</v>
      </c>
      <c r="D66" s="29">
        <f t="shared" si="0"/>
        <v>-1.9322593746705912E-3</v>
      </c>
      <c r="E66" s="29">
        <f t="shared" si="1"/>
        <v>-8.6947620736420681E-3</v>
      </c>
    </row>
    <row r="67" spans="1:5" ht="14.25" customHeight="1" x14ac:dyDescent="0.3">
      <c r="A67" s="27">
        <v>44021</v>
      </c>
      <c r="B67" s="28">
        <v>10813.4501953125</v>
      </c>
      <c r="C67" s="28">
        <v>150.57978820800801</v>
      </c>
      <c r="D67" s="29">
        <f t="shared" ref="D67:D130" si="2">(C67-C66)/C66</f>
        <v>1.0003111355837781E-2</v>
      </c>
      <c r="E67" s="29">
        <f t="shared" ref="E67:E130" si="3">(B67-B66)/B66</f>
        <v>1.0060032721901781E-2</v>
      </c>
    </row>
    <row r="68" spans="1:5" ht="14.25" customHeight="1" x14ac:dyDescent="0.3">
      <c r="A68" s="27">
        <v>44022</v>
      </c>
      <c r="B68" s="28">
        <v>10768.0498046875</v>
      </c>
      <c r="C68" s="28">
        <v>148.79977416992199</v>
      </c>
      <c r="D68" s="29">
        <f t="shared" si="2"/>
        <v>-1.1821068811885601E-2</v>
      </c>
      <c r="E68" s="29">
        <f t="shared" si="3"/>
        <v>-4.198511095439319E-3</v>
      </c>
    </row>
    <row r="69" spans="1:5" ht="14.25" customHeight="1" x14ac:dyDescent="0.3">
      <c r="A69" s="27">
        <v>44025</v>
      </c>
      <c r="B69" s="28">
        <v>10802.7001953125</v>
      </c>
      <c r="C69" s="28">
        <v>150.29113769531301</v>
      </c>
      <c r="D69" s="29">
        <f t="shared" si="2"/>
        <v>1.0022619548386945E-2</v>
      </c>
      <c r="E69" s="29">
        <f t="shared" si="3"/>
        <v>3.2178891492418752E-3</v>
      </c>
    </row>
    <row r="70" spans="1:5" ht="14.25" customHeight="1" x14ac:dyDescent="0.3">
      <c r="A70" s="27">
        <v>44026</v>
      </c>
      <c r="B70" s="28">
        <v>10607.349609375</v>
      </c>
      <c r="C70" s="28">
        <v>147.64515686035199</v>
      </c>
      <c r="D70" s="29">
        <f t="shared" si="2"/>
        <v>-1.7605701011627516E-2</v>
      </c>
      <c r="E70" s="29">
        <f t="shared" si="3"/>
        <v>-1.8083496015400519E-2</v>
      </c>
    </row>
    <row r="71" spans="1:5" ht="14.25" customHeight="1" x14ac:dyDescent="0.3">
      <c r="A71" s="27">
        <v>44027</v>
      </c>
      <c r="B71" s="28">
        <v>10618.2001953125</v>
      </c>
      <c r="C71" s="28">
        <v>149.37707519531301</v>
      </c>
      <c r="D71" s="29">
        <f t="shared" si="2"/>
        <v>1.1730275288332908E-2</v>
      </c>
      <c r="E71" s="29">
        <f t="shared" si="3"/>
        <v>1.0229309240368605E-3</v>
      </c>
    </row>
    <row r="72" spans="1:5" ht="14.25" customHeight="1" x14ac:dyDescent="0.3">
      <c r="A72" s="27">
        <v>44028</v>
      </c>
      <c r="B72" s="28">
        <v>10739.9501953125</v>
      </c>
      <c r="C72" s="28">
        <v>149.47328186035199</v>
      </c>
      <c r="D72" s="29">
        <f t="shared" si="2"/>
        <v>6.4405240839791129E-4</v>
      </c>
      <c r="E72" s="29">
        <f t="shared" si="3"/>
        <v>1.1466161662100478E-2</v>
      </c>
    </row>
    <row r="73" spans="1:5" ht="14.25" customHeight="1" x14ac:dyDescent="0.3">
      <c r="A73" s="27">
        <v>44029</v>
      </c>
      <c r="B73" s="28">
        <v>10901.7001953125</v>
      </c>
      <c r="C73" s="28">
        <v>153.418212890625</v>
      </c>
      <c r="D73" s="29">
        <f t="shared" si="2"/>
        <v>2.639221525863486E-2</v>
      </c>
      <c r="E73" s="29">
        <f t="shared" si="3"/>
        <v>1.5060591255869745E-2</v>
      </c>
    </row>
    <row r="74" spans="1:5" ht="14.25" customHeight="1" x14ac:dyDescent="0.3">
      <c r="A74" s="27">
        <v>44032</v>
      </c>
      <c r="B74" s="28">
        <v>11022.2001953125</v>
      </c>
      <c r="C74" s="28">
        <v>152.45600891113301</v>
      </c>
      <c r="D74" s="29">
        <f t="shared" si="2"/>
        <v>-6.2717715280516499E-3</v>
      </c>
      <c r="E74" s="29">
        <f t="shared" si="3"/>
        <v>1.1053321760931606E-2</v>
      </c>
    </row>
    <row r="75" spans="1:5" ht="14.25" customHeight="1" x14ac:dyDescent="0.3">
      <c r="A75" s="27">
        <v>44033</v>
      </c>
      <c r="B75" s="28">
        <v>11162.25</v>
      </c>
      <c r="C75" s="28">
        <v>154.57278442382801</v>
      </c>
      <c r="D75" s="29">
        <f t="shared" si="2"/>
        <v>1.3884500373670897E-2</v>
      </c>
      <c r="E75" s="29">
        <f t="shared" si="3"/>
        <v>1.2706156865764434E-2</v>
      </c>
    </row>
    <row r="76" spans="1:5" ht="14.25" customHeight="1" x14ac:dyDescent="0.3">
      <c r="A76" s="27">
        <v>44034</v>
      </c>
      <c r="B76" s="28">
        <v>11132.599609375</v>
      </c>
      <c r="C76" s="28">
        <v>152.64845275878901</v>
      </c>
      <c r="D76" s="29">
        <f t="shared" si="2"/>
        <v>-1.2449356283591423E-2</v>
      </c>
      <c r="E76" s="29">
        <f t="shared" si="3"/>
        <v>-2.6563094918139263E-3</v>
      </c>
    </row>
    <row r="77" spans="1:5" ht="14.25" customHeight="1" x14ac:dyDescent="0.3">
      <c r="A77" s="27">
        <v>44035</v>
      </c>
      <c r="B77" s="28">
        <v>11215.4501953125</v>
      </c>
      <c r="C77" s="28">
        <v>153.08145141601599</v>
      </c>
      <c r="D77" s="29">
        <f t="shared" si="2"/>
        <v>2.8365741637172157E-3</v>
      </c>
      <c r="E77" s="29">
        <f t="shared" si="3"/>
        <v>7.4421598588464239E-3</v>
      </c>
    </row>
    <row r="78" spans="1:5" ht="14.25" customHeight="1" x14ac:dyDescent="0.3">
      <c r="A78" s="27">
        <v>44036</v>
      </c>
      <c r="B78" s="28">
        <v>11194.150390625</v>
      </c>
      <c r="C78" s="28">
        <v>152.16737365722699</v>
      </c>
      <c r="D78" s="29">
        <f t="shared" si="2"/>
        <v>-5.9711856030479939E-3</v>
      </c>
      <c r="E78" s="29">
        <f t="shared" si="3"/>
        <v>-1.8991484351116158E-3</v>
      </c>
    </row>
    <row r="79" spans="1:5" ht="14.25" customHeight="1" x14ac:dyDescent="0.3">
      <c r="A79" s="27">
        <v>44039</v>
      </c>
      <c r="B79" s="28">
        <v>11131.7998046875</v>
      </c>
      <c r="C79" s="28">
        <v>147.693283081055</v>
      </c>
      <c r="D79" s="29">
        <f t="shared" si="2"/>
        <v>-2.9402430157271085E-2</v>
      </c>
      <c r="E79" s="29">
        <f t="shared" si="3"/>
        <v>-5.5699256988469672E-3</v>
      </c>
    </row>
    <row r="80" spans="1:5" ht="14.25" customHeight="1" x14ac:dyDescent="0.3">
      <c r="A80" s="27">
        <v>44040</v>
      </c>
      <c r="B80" s="28">
        <v>11300.5498046875</v>
      </c>
      <c r="C80" s="28">
        <v>148.27059936523401</v>
      </c>
      <c r="D80" s="29">
        <f t="shared" si="2"/>
        <v>3.9088865257478943E-3</v>
      </c>
      <c r="E80" s="29">
        <f t="shared" si="3"/>
        <v>1.515927369884436E-2</v>
      </c>
    </row>
    <row r="81" spans="1:5" ht="14.25" customHeight="1" x14ac:dyDescent="0.3">
      <c r="A81" s="27">
        <v>44041</v>
      </c>
      <c r="B81" s="28">
        <v>11202.849609375</v>
      </c>
      <c r="C81" s="28">
        <v>147.98194885253901</v>
      </c>
      <c r="D81" s="29">
        <f t="shared" si="2"/>
        <v>-1.9467818564890868E-3</v>
      </c>
      <c r="E81" s="29">
        <f t="shared" si="3"/>
        <v>-8.6456143286031701E-3</v>
      </c>
    </row>
    <row r="82" spans="1:5" ht="14.25" customHeight="1" x14ac:dyDescent="0.3">
      <c r="A82" s="27">
        <v>44042</v>
      </c>
      <c r="B82" s="28">
        <v>11102.150390625</v>
      </c>
      <c r="C82" s="28">
        <v>148.12625122070301</v>
      </c>
      <c r="D82" s="29">
        <f t="shared" si="2"/>
        <v>9.7513493559812502E-4</v>
      </c>
      <c r="E82" s="29">
        <f t="shared" si="3"/>
        <v>-8.988714680747906E-3</v>
      </c>
    </row>
    <row r="83" spans="1:5" ht="14.25" customHeight="1" x14ac:dyDescent="0.3">
      <c r="A83" s="27">
        <v>44043</v>
      </c>
      <c r="B83" s="28">
        <v>11073.4501953125</v>
      </c>
      <c r="C83" s="28">
        <v>149.76193237304699</v>
      </c>
      <c r="D83" s="29">
        <f t="shared" si="2"/>
        <v>1.1042479903895419E-2</v>
      </c>
      <c r="E83" s="29">
        <f t="shared" si="3"/>
        <v>-2.5851023723057593E-3</v>
      </c>
    </row>
    <row r="84" spans="1:5" ht="14.25" customHeight="1" x14ac:dyDescent="0.3">
      <c r="A84" s="27">
        <v>44046</v>
      </c>
      <c r="B84" s="28">
        <v>10891.599609375</v>
      </c>
      <c r="C84" s="28">
        <v>148.70356750488301</v>
      </c>
      <c r="D84" s="29">
        <f t="shared" si="2"/>
        <v>-7.0669819185269385E-3</v>
      </c>
      <c r="E84" s="29">
        <f t="shared" si="3"/>
        <v>-1.6422215545294015E-2</v>
      </c>
    </row>
    <row r="85" spans="1:5" ht="14.25" customHeight="1" x14ac:dyDescent="0.3">
      <c r="A85" s="27">
        <v>44047</v>
      </c>
      <c r="B85" s="28">
        <v>11095.25</v>
      </c>
      <c r="C85" s="28">
        <v>149.76193237304699</v>
      </c>
      <c r="D85" s="29">
        <f t="shared" si="2"/>
        <v>7.117279604803183E-3</v>
      </c>
      <c r="E85" s="29">
        <f t="shared" si="3"/>
        <v>1.8697932161379389E-2</v>
      </c>
    </row>
    <row r="86" spans="1:5" ht="14.25" customHeight="1" x14ac:dyDescent="0.3">
      <c r="A86" s="27">
        <v>44048</v>
      </c>
      <c r="B86" s="28">
        <v>11101.650390625</v>
      </c>
      <c r="C86" s="28">
        <v>148.60733032226599</v>
      </c>
      <c r="D86" s="29">
        <f t="shared" si="2"/>
        <v>-7.7095830194348555E-3</v>
      </c>
      <c r="E86" s="29">
        <f t="shared" si="3"/>
        <v>5.7685862193280904E-4</v>
      </c>
    </row>
    <row r="87" spans="1:5" ht="14.25" customHeight="1" x14ac:dyDescent="0.3">
      <c r="A87" s="27">
        <v>44049</v>
      </c>
      <c r="B87" s="28">
        <v>11200.150390625</v>
      </c>
      <c r="C87" s="28">
        <v>151.39764404296901</v>
      </c>
      <c r="D87" s="29">
        <f t="shared" si="2"/>
        <v>1.8776420481089389E-2</v>
      </c>
      <c r="E87" s="29">
        <f t="shared" si="3"/>
        <v>8.872554668374371E-3</v>
      </c>
    </row>
    <row r="88" spans="1:5" ht="14.25" customHeight="1" x14ac:dyDescent="0.3">
      <c r="A88" s="27">
        <v>44050</v>
      </c>
      <c r="B88" s="28">
        <v>11214.0498046875</v>
      </c>
      <c r="C88" s="28">
        <v>155.77551269531301</v>
      </c>
      <c r="D88" s="29">
        <f t="shared" si="2"/>
        <v>2.8916359168056134E-2</v>
      </c>
      <c r="E88" s="29">
        <f t="shared" si="3"/>
        <v>1.2410024488719721E-3</v>
      </c>
    </row>
    <row r="89" spans="1:5" ht="14.25" customHeight="1" x14ac:dyDescent="0.3">
      <c r="A89" s="27">
        <v>44053</v>
      </c>
      <c r="B89" s="28">
        <v>11270.150390625</v>
      </c>
      <c r="C89" s="28">
        <v>156.88201904296901</v>
      </c>
      <c r="D89" s="29">
        <f t="shared" si="2"/>
        <v>7.1032110792679602E-3</v>
      </c>
      <c r="E89" s="29">
        <f t="shared" si="3"/>
        <v>5.0027052594371233E-3</v>
      </c>
    </row>
    <row r="90" spans="1:5" ht="14.25" customHeight="1" x14ac:dyDescent="0.3">
      <c r="A90" s="27">
        <v>44054</v>
      </c>
      <c r="B90" s="28">
        <v>11322.5</v>
      </c>
      <c r="C90" s="28">
        <v>156.73768615722699</v>
      </c>
      <c r="D90" s="29">
        <f t="shared" si="2"/>
        <v>-9.2000910379974837E-4</v>
      </c>
      <c r="E90" s="29">
        <f t="shared" si="3"/>
        <v>4.6449787767292505E-3</v>
      </c>
    </row>
    <row r="91" spans="1:5" ht="14.25" customHeight="1" x14ac:dyDescent="0.3">
      <c r="A91" s="27">
        <v>44055</v>
      </c>
      <c r="B91" s="28">
        <v>11308.400390625</v>
      </c>
      <c r="C91" s="28">
        <v>161.50042724609401</v>
      </c>
      <c r="D91" s="29">
        <f t="shared" si="2"/>
        <v>3.0386700261029805E-2</v>
      </c>
      <c r="E91" s="29">
        <f t="shared" si="3"/>
        <v>-1.2452735151247515E-3</v>
      </c>
    </row>
    <row r="92" spans="1:5" ht="14.25" customHeight="1" x14ac:dyDescent="0.3">
      <c r="A92" s="27">
        <v>44056</v>
      </c>
      <c r="B92" s="28">
        <v>11300.4501953125</v>
      </c>
      <c r="C92" s="28">
        <v>159.86474609375</v>
      </c>
      <c r="D92" s="29">
        <f t="shared" si="2"/>
        <v>-1.0128029877292884E-2</v>
      </c>
      <c r="E92" s="29">
        <f t="shared" si="3"/>
        <v>-7.0303447330101151E-4</v>
      </c>
    </row>
    <row r="93" spans="1:5" ht="14.25" customHeight="1" x14ac:dyDescent="0.3">
      <c r="A93" s="27">
        <v>44057</v>
      </c>
      <c r="B93" s="28">
        <v>11178.400390625</v>
      </c>
      <c r="C93" s="28">
        <v>156.73768615722699</v>
      </c>
      <c r="D93" s="29">
        <f t="shared" si="2"/>
        <v>-1.9560659951188983E-2</v>
      </c>
      <c r="E93" s="29">
        <f t="shared" si="3"/>
        <v>-1.0800437378868946E-2</v>
      </c>
    </row>
    <row r="94" spans="1:5" ht="14.25" customHeight="1" x14ac:dyDescent="0.3">
      <c r="A94" s="27">
        <v>44060</v>
      </c>
      <c r="B94" s="28">
        <v>11247.099609375</v>
      </c>
      <c r="C94" s="28">
        <v>158.08473205566401</v>
      </c>
      <c r="D94" s="29">
        <f t="shared" si="2"/>
        <v>8.5942693902330905E-3</v>
      </c>
      <c r="E94" s="29">
        <f t="shared" si="3"/>
        <v>6.1457110453492112E-3</v>
      </c>
    </row>
    <row r="95" spans="1:5" ht="14.25" customHeight="1" x14ac:dyDescent="0.3">
      <c r="A95" s="27">
        <v>44061</v>
      </c>
      <c r="B95" s="28">
        <v>11385.349609375</v>
      </c>
      <c r="C95" s="28">
        <v>162.55882263183599</v>
      </c>
      <c r="D95" s="29">
        <f t="shared" si="2"/>
        <v>2.8301851279329077E-2</v>
      </c>
      <c r="E95" s="29">
        <f t="shared" si="3"/>
        <v>1.2292057935075276E-2</v>
      </c>
    </row>
    <row r="96" spans="1:5" ht="14.25" customHeight="1" x14ac:dyDescent="0.3">
      <c r="A96" s="27">
        <v>44062</v>
      </c>
      <c r="B96" s="28">
        <v>11408.400390625</v>
      </c>
      <c r="C96" s="28">
        <v>160.00907897949199</v>
      </c>
      <c r="D96" s="29">
        <f t="shared" si="2"/>
        <v>-1.5685052407882392E-2</v>
      </c>
      <c r="E96" s="29">
        <f t="shared" si="3"/>
        <v>2.0246002135076617E-3</v>
      </c>
    </row>
    <row r="97" spans="1:5" ht="14.25" customHeight="1" x14ac:dyDescent="0.3">
      <c r="A97" s="27">
        <v>44063</v>
      </c>
      <c r="B97" s="28">
        <v>11312.2001953125</v>
      </c>
      <c r="C97" s="28">
        <v>163.42478942871099</v>
      </c>
      <c r="D97" s="29">
        <f t="shared" si="2"/>
        <v>2.1346979002715153E-2</v>
      </c>
      <c r="E97" s="29">
        <f t="shared" si="3"/>
        <v>-8.432399987605076E-3</v>
      </c>
    </row>
    <row r="98" spans="1:5" ht="14.25" customHeight="1" x14ac:dyDescent="0.3">
      <c r="A98" s="27">
        <v>44064</v>
      </c>
      <c r="B98" s="28">
        <v>11371.599609375</v>
      </c>
      <c r="C98" s="28">
        <v>164.24263000488301</v>
      </c>
      <c r="D98" s="29">
        <f t="shared" si="2"/>
        <v>5.0043850693090516E-3</v>
      </c>
      <c r="E98" s="29">
        <f t="shared" si="3"/>
        <v>5.2509160938571144E-3</v>
      </c>
    </row>
    <row r="99" spans="1:5" ht="14.25" customHeight="1" x14ac:dyDescent="0.3">
      <c r="A99" s="27">
        <v>44067</v>
      </c>
      <c r="B99" s="28">
        <v>11466.4501953125</v>
      </c>
      <c r="C99" s="28">
        <v>166.93670654296901</v>
      </c>
      <c r="D99" s="29">
        <f t="shared" si="2"/>
        <v>1.6403028482957792E-2</v>
      </c>
      <c r="E99" s="29">
        <f t="shared" si="3"/>
        <v>8.341006471886599E-3</v>
      </c>
    </row>
    <row r="100" spans="1:5" ht="14.25" customHeight="1" x14ac:dyDescent="0.3">
      <c r="A100" s="27">
        <v>44068</v>
      </c>
      <c r="B100" s="28">
        <v>11472.25</v>
      </c>
      <c r="C100" s="28">
        <v>164.53128051757801</v>
      </c>
      <c r="D100" s="29">
        <f t="shared" si="2"/>
        <v>-1.4409209784978267E-2</v>
      </c>
      <c r="E100" s="29">
        <f t="shared" si="3"/>
        <v>5.0580646919575584E-4</v>
      </c>
    </row>
    <row r="101" spans="1:5" ht="14.25" customHeight="1" x14ac:dyDescent="0.3">
      <c r="A101" s="27">
        <v>44069</v>
      </c>
      <c r="B101" s="28">
        <v>11549.599609375</v>
      </c>
      <c r="C101" s="28">
        <v>163.42478942871099</v>
      </c>
      <c r="D101" s="29">
        <f t="shared" si="2"/>
        <v>-6.7251107837138779E-3</v>
      </c>
      <c r="E101" s="29">
        <f t="shared" si="3"/>
        <v>6.7423225064830354E-3</v>
      </c>
    </row>
    <row r="102" spans="1:5" ht="14.25" customHeight="1" x14ac:dyDescent="0.3">
      <c r="A102" s="27">
        <v>44070</v>
      </c>
      <c r="B102" s="28">
        <v>11559.25</v>
      </c>
      <c r="C102" s="28">
        <v>167.75457763671901</v>
      </c>
      <c r="D102" s="29">
        <f t="shared" si="2"/>
        <v>2.6494072430160588E-2</v>
      </c>
      <c r="E102" s="29">
        <f t="shared" si="3"/>
        <v>8.3556062126747827E-4</v>
      </c>
    </row>
    <row r="103" spans="1:5" ht="14.25" customHeight="1" x14ac:dyDescent="0.3">
      <c r="A103" s="27">
        <v>44071</v>
      </c>
      <c r="B103" s="28">
        <v>11647.599609375</v>
      </c>
      <c r="C103" s="28">
        <v>165.83020019531301</v>
      </c>
      <c r="D103" s="29">
        <f t="shared" si="2"/>
        <v>-1.147138557120826E-2</v>
      </c>
      <c r="E103" s="29">
        <f t="shared" si="3"/>
        <v>7.6431956549949179E-3</v>
      </c>
    </row>
    <row r="104" spans="1:5" ht="14.25" customHeight="1" x14ac:dyDescent="0.3">
      <c r="A104" s="27">
        <v>44074</v>
      </c>
      <c r="B104" s="28">
        <v>11387.5</v>
      </c>
      <c r="C104" s="28">
        <v>157.84417724609401</v>
      </c>
      <c r="D104" s="29">
        <f t="shared" si="2"/>
        <v>-4.8157832166958459E-2</v>
      </c>
      <c r="E104" s="29">
        <f t="shared" si="3"/>
        <v>-2.2330747801946185E-2</v>
      </c>
    </row>
    <row r="105" spans="1:5" ht="14.25" customHeight="1" x14ac:dyDescent="0.3">
      <c r="A105" s="27">
        <v>44075</v>
      </c>
      <c r="B105" s="28">
        <v>11470.25</v>
      </c>
      <c r="C105" s="28">
        <v>158.66201782226599</v>
      </c>
      <c r="D105" s="29">
        <f t="shared" si="2"/>
        <v>5.1813160956637495E-3</v>
      </c>
      <c r="E105" s="29">
        <f t="shared" si="3"/>
        <v>7.2667398463227223E-3</v>
      </c>
    </row>
    <row r="106" spans="1:5" ht="14.25" customHeight="1" x14ac:dyDescent="0.3">
      <c r="A106" s="27">
        <v>44076</v>
      </c>
      <c r="B106" s="28">
        <v>11535</v>
      </c>
      <c r="C106" s="28">
        <v>160.29774475097699</v>
      </c>
      <c r="D106" s="29">
        <f t="shared" si="2"/>
        <v>1.0309505394941744E-2</v>
      </c>
      <c r="E106" s="29">
        <f t="shared" si="3"/>
        <v>5.6450382511279177E-3</v>
      </c>
    </row>
    <row r="107" spans="1:5" ht="14.25" customHeight="1" x14ac:dyDescent="0.3">
      <c r="A107" s="27">
        <v>44077</v>
      </c>
      <c r="B107" s="28">
        <v>11527.4501953125</v>
      </c>
      <c r="C107" s="28">
        <v>158.56582641601599</v>
      </c>
      <c r="D107" s="29">
        <f t="shared" si="2"/>
        <v>-1.0804383665232063E-2</v>
      </c>
      <c r="E107" s="29">
        <f t="shared" si="3"/>
        <v>-6.5451276007802341E-4</v>
      </c>
    </row>
    <row r="108" spans="1:5" ht="14.25" customHeight="1" x14ac:dyDescent="0.3">
      <c r="A108" s="27">
        <v>44078</v>
      </c>
      <c r="B108" s="28">
        <v>11333.849609375</v>
      </c>
      <c r="C108" s="28">
        <v>157.45933532714801</v>
      </c>
      <c r="D108" s="29">
        <f t="shared" si="2"/>
        <v>-6.9781182608979978E-3</v>
      </c>
      <c r="E108" s="29">
        <f t="shared" si="3"/>
        <v>-1.6794744948559863E-2</v>
      </c>
    </row>
    <row r="109" spans="1:5" ht="14.25" customHeight="1" x14ac:dyDescent="0.3">
      <c r="A109" s="27">
        <v>44081</v>
      </c>
      <c r="B109" s="28">
        <v>11355.0498046875</v>
      </c>
      <c r="C109" s="28">
        <v>155.15010070800801</v>
      </c>
      <c r="D109" s="29">
        <f t="shared" si="2"/>
        <v>-1.4665593591781522E-2</v>
      </c>
      <c r="E109" s="29">
        <f t="shared" si="3"/>
        <v>1.870520259503344E-3</v>
      </c>
    </row>
    <row r="110" spans="1:5" ht="14.25" customHeight="1" x14ac:dyDescent="0.3">
      <c r="A110" s="27">
        <v>44082</v>
      </c>
      <c r="B110" s="28">
        <v>11317.349609375</v>
      </c>
      <c r="C110" s="28">
        <v>151.97494506835901</v>
      </c>
      <c r="D110" s="29">
        <f t="shared" si="2"/>
        <v>-2.0465056903988987E-2</v>
      </c>
      <c r="E110" s="29">
        <f t="shared" si="3"/>
        <v>-3.3201259317186711E-3</v>
      </c>
    </row>
    <row r="111" spans="1:5" ht="14.25" customHeight="1" x14ac:dyDescent="0.3">
      <c r="A111" s="27">
        <v>44083</v>
      </c>
      <c r="B111" s="28">
        <v>11278</v>
      </c>
      <c r="C111" s="28">
        <v>149.858154296875</v>
      </c>
      <c r="D111" s="29">
        <f t="shared" si="2"/>
        <v>-1.3928550989321718E-2</v>
      </c>
      <c r="E111" s="29">
        <f t="shared" si="3"/>
        <v>-3.4769279675166877E-3</v>
      </c>
    </row>
    <row r="112" spans="1:5" ht="14.25" customHeight="1" x14ac:dyDescent="0.3">
      <c r="A112" s="27">
        <v>44084</v>
      </c>
      <c r="B112" s="28">
        <v>11449.25</v>
      </c>
      <c r="C112" s="28">
        <v>150.29113769531301</v>
      </c>
      <c r="D112" s="29">
        <f t="shared" si="2"/>
        <v>2.8892882103716167E-3</v>
      </c>
      <c r="E112" s="29">
        <f t="shared" si="3"/>
        <v>1.5184429863450966E-2</v>
      </c>
    </row>
    <row r="113" spans="1:5" ht="14.25" customHeight="1" x14ac:dyDescent="0.3">
      <c r="A113" s="27">
        <v>44085</v>
      </c>
      <c r="B113" s="28">
        <v>11464.4501953125</v>
      </c>
      <c r="C113" s="28">
        <v>149.76193237304699</v>
      </c>
      <c r="D113" s="29">
        <f t="shared" si="2"/>
        <v>-3.5212011192495398E-3</v>
      </c>
      <c r="E113" s="29">
        <f t="shared" si="3"/>
        <v>1.3276149365678974E-3</v>
      </c>
    </row>
    <row r="114" spans="1:5" ht="14.25" customHeight="1" x14ac:dyDescent="0.3">
      <c r="A114" s="27">
        <v>44088</v>
      </c>
      <c r="B114" s="28">
        <v>11440.0498046875</v>
      </c>
      <c r="C114" s="28">
        <v>154.18792724609401</v>
      </c>
      <c r="D114" s="29">
        <f t="shared" si="2"/>
        <v>2.9553537423797117E-2</v>
      </c>
      <c r="E114" s="29">
        <f t="shared" si="3"/>
        <v>-2.1283524468514552E-3</v>
      </c>
    </row>
    <row r="115" spans="1:5" ht="14.25" customHeight="1" x14ac:dyDescent="0.3">
      <c r="A115" s="27">
        <v>44089</v>
      </c>
      <c r="B115" s="28">
        <v>11521.7998046875</v>
      </c>
      <c r="C115" s="28">
        <v>156.97821044921901</v>
      </c>
      <c r="D115" s="29">
        <f t="shared" si="2"/>
        <v>1.8096638647145998E-2</v>
      </c>
      <c r="E115" s="29">
        <f t="shared" si="3"/>
        <v>7.1459479106903336E-3</v>
      </c>
    </row>
    <row r="116" spans="1:5" ht="14.25" customHeight="1" x14ac:dyDescent="0.3">
      <c r="A116" s="27">
        <v>44090</v>
      </c>
      <c r="B116" s="28">
        <v>11604.5498046875</v>
      </c>
      <c r="C116" s="28">
        <v>159.81663513183599</v>
      </c>
      <c r="D116" s="29">
        <f t="shared" si="2"/>
        <v>1.8081647602519922E-2</v>
      </c>
      <c r="E116" s="29">
        <f t="shared" si="3"/>
        <v>7.1820376506050903E-3</v>
      </c>
    </row>
    <row r="117" spans="1:5" ht="14.25" customHeight="1" x14ac:dyDescent="0.3">
      <c r="A117" s="27">
        <v>44091</v>
      </c>
      <c r="B117" s="28">
        <v>11516.099609375</v>
      </c>
      <c r="C117" s="28">
        <v>161.01936340332</v>
      </c>
      <c r="D117" s="29">
        <f t="shared" si="2"/>
        <v>7.525676350849525E-3</v>
      </c>
      <c r="E117" s="29">
        <f t="shared" si="3"/>
        <v>-7.6220272911209138E-3</v>
      </c>
    </row>
    <row r="118" spans="1:5" ht="14.25" customHeight="1" x14ac:dyDescent="0.3">
      <c r="A118" s="27">
        <v>44092</v>
      </c>
      <c r="B118" s="28">
        <v>11504.9501953125</v>
      </c>
      <c r="C118" s="28">
        <v>160.92314147949199</v>
      </c>
      <c r="D118" s="29">
        <f t="shared" si="2"/>
        <v>-5.9757983011642774E-4</v>
      </c>
      <c r="E118" s="29">
        <f t="shared" si="3"/>
        <v>-9.6815887676271147E-4</v>
      </c>
    </row>
    <row r="119" spans="1:5" ht="14.25" customHeight="1" x14ac:dyDescent="0.3">
      <c r="A119" s="27">
        <v>44095</v>
      </c>
      <c r="B119" s="28">
        <v>11250.5498046875</v>
      </c>
      <c r="C119" s="28">
        <v>153.80307006835901</v>
      </c>
      <c r="D119" s="29">
        <f t="shared" si="2"/>
        <v>-4.4245167883702814E-2</v>
      </c>
      <c r="E119" s="29">
        <f t="shared" si="3"/>
        <v>-2.2112254838673809E-2</v>
      </c>
    </row>
    <row r="120" spans="1:5" ht="14.25" customHeight="1" x14ac:dyDescent="0.3">
      <c r="A120" s="27">
        <v>44096</v>
      </c>
      <c r="B120" s="28">
        <v>11153.650390625</v>
      </c>
      <c r="C120" s="28">
        <v>150.82034301757801</v>
      </c>
      <c r="D120" s="29">
        <f t="shared" si="2"/>
        <v>-1.9393156778049342E-2</v>
      </c>
      <c r="E120" s="29">
        <f t="shared" si="3"/>
        <v>-8.6128603263573144E-3</v>
      </c>
    </row>
    <row r="121" spans="1:5" ht="14.25" customHeight="1" x14ac:dyDescent="0.3">
      <c r="A121" s="27">
        <v>44097</v>
      </c>
      <c r="B121" s="28">
        <v>11131.849609375</v>
      </c>
      <c r="C121" s="28">
        <v>151.49386596679699</v>
      </c>
      <c r="D121" s="29">
        <f t="shared" si="2"/>
        <v>4.4657301246190557E-3</v>
      </c>
      <c r="E121" s="29">
        <f t="shared" si="3"/>
        <v>-1.9545871070447262E-3</v>
      </c>
    </row>
    <row r="122" spans="1:5" ht="14.25" customHeight="1" x14ac:dyDescent="0.3">
      <c r="A122" s="27">
        <v>44098</v>
      </c>
      <c r="B122" s="28">
        <v>10805.5498046875</v>
      </c>
      <c r="C122" s="28">
        <v>148.89599609375</v>
      </c>
      <c r="D122" s="29">
        <f t="shared" si="2"/>
        <v>-1.714835024156269E-2</v>
      </c>
      <c r="E122" s="29">
        <f t="shared" si="3"/>
        <v>-2.9312272096516417E-2</v>
      </c>
    </row>
    <row r="123" spans="1:5" ht="14.25" customHeight="1" x14ac:dyDescent="0.3">
      <c r="A123" s="27">
        <v>44099</v>
      </c>
      <c r="B123" s="28">
        <v>11050.25</v>
      </c>
      <c r="C123" s="28">
        <v>155.00576782226599</v>
      </c>
      <c r="D123" s="29">
        <f t="shared" si="2"/>
        <v>4.1033821518404526E-2</v>
      </c>
      <c r="E123" s="29">
        <f t="shared" si="3"/>
        <v>2.264578848235449E-2</v>
      </c>
    </row>
    <row r="124" spans="1:5" ht="14.25" customHeight="1" x14ac:dyDescent="0.3">
      <c r="A124" s="27">
        <v>44102</v>
      </c>
      <c r="B124" s="28">
        <v>11227.5498046875</v>
      </c>
      <c r="C124" s="28">
        <v>157.94039916992199</v>
      </c>
      <c r="D124" s="29">
        <f t="shared" si="2"/>
        <v>1.8932400960852795E-2</v>
      </c>
      <c r="E124" s="29">
        <f t="shared" si="3"/>
        <v>1.6044868187371327E-2</v>
      </c>
    </row>
    <row r="125" spans="1:5" ht="14.25" customHeight="1" x14ac:dyDescent="0.3">
      <c r="A125" s="27">
        <v>44103</v>
      </c>
      <c r="B125" s="28">
        <v>11222.400390625</v>
      </c>
      <c r="C125" s="28">
        <v>158.03662109375</v>
      </c>
      <c r="D125" s="29">
        <f t="shared" si="2"/>
        <v>6.0922933165750612E-4</v>
      </c>
      <c r="E125" s="29">
        <f t="shared" si="3"/>
        <v>-4.5864094589454597E-4</v>
      </c>
    </row>
    <row r="126" spans="1:5" ht="14.25" customHeight="1" x14ac:dyDescent="0.3">
      <c r="A126" s="27">
        <v>44104</v>
      </c>
      <c r="B126" s="28">
        <v>11247.5498046875</v>
      </c>
      <c r="C126" s="28">
        <v>158.66201782226599</v>
      </c>
      <c r="D126" s="29">
        <f t="shared" si="2"/>
        <v>3.9572899255103568E-3</v>
      </c>
      <c r="E126" s="29">
        <f t="shared" si="3"/>
        <v>2.2410013176422921E-3</v>
      </c>
    </row>
    <row r="127" spans="1:5" ht="14.25" customHeight="1" x14ac:dyDescent="0.3">
      <c r="A127" s="27">
        <v>44105</v>
      </c>
      <c r="B127" s="28">
        <v>11416.9501953125</v>
      </c>
      <c r="C127" s="28">
        <v>156.833908081055</v>
      </c>
      <c r="D127" s="29">
        <f t="shared" si="2"/>
        <v>-1.1522037638893841E-2</v>
      </c>
      <c r="E127" s="29">
        <f t="shared" si="3"/>
        <v>1.5061092732783554E-2</v>
      </c>
    </row>
    <row r="128" spans="1:5" ht="14.25" customHeight="1" x14ac:dyDescent="0.3">
      <c r="A128" s="27">
        <v>44109</v>
      </c>
      <c r="B128" s="28">
        <v>11503.349609375</v>
      </c>
      <c r="C128" s="28">
        <v>159.76852416992199</v>
      </c>
      <c r="D128" s="29">
        <f t="shared" si="2"/>
        <v>1.871161743511689E-2</v>
      </c>
      <c r="E128" s="29">
        <f t="shared" si="3"/>
        <v>7.5676439490796176E-3</v>
      </c>
    </row>
    <row r="129" spans="1:5" ht="14.25" customHeight="1" x14ac:dyDescent="0.3">
      <c r="A129" s="27">
        <v>44110</v>
      </c>
      <c r="B129" s="28">
        <v>11662.400390625</v>
      </c>
      <c r="C129" s="28">
        <v>158.08473205566401</v>
      </c>
      <c r="D129" s="29">
        <f t="shared" si="2"/>
        <v>-1.0538947661976173E-2</v>
      </c>
      <c r="E129" s="29">
        <f t="shared" si="3"/>
        <v>1.3826475474619739E-2</v>
      </c>
    </row>
    <row r="130" spans="1:5" ht="14.25" customHeight="1" x14ac:dyDescent="0.3">
      <c r="A130" s="27">
        <v>44111</v>
      </c>
      <c r="B130" s="28">
        <v>11738.849609375</v>
      </c>
      <c r="C130" s="28">
        <v>157.60363769531301</v>
      </c>
      <c r="D130" s="29">
        <f t="shared" si="2"/>
        <v>-3.0432689741447866E-3</v>
      </c>
      <c r="E130" s="29">
        <f t="shared" si="3"/>
        <v>6.5551872847252682E-3</v>
      </c>
    </row>
    <row r="131" spans="1:5" ht="14.25" customHeight="1" x14ac:dyDescent="0.3">
      <c r="A131" s="27">
        <v>44112</v>
      </c>
      <c r="B131" s="28">
        <v>11834.599609375</v>
      </c>
      <c r="C131" s="28">
        <v>159.86474609375</v>
      </c>
      <c r="D131" s="29">
        <f t="shared" ref="D131:D194" si="4">(C131-C130)/C130</f>
        <v>1.4346803357472451E-2</v>
      </c>
      <c r="E131" s="29">
        <f t="shared" ref="E131:E194" si="5">(B131-B130)/B130</f>
        <v>8.1566766068398352E-3</v>
      </c>
    </row>
    <row r="132" spans="1:5" ht="14.25" customHeight="1" x14ac:dyDescent="0.3">
      <c r="A132" s="27">
        <v>44113</v>
      </c>
      <c r="B132" s="28">
        <v>11914.2001953125</v>
      </c>
      <c r="C132" s="28">
        <v>158.13285827636699</v>
      </c>
      <c r="D132" s="29">
        <f t="shared" si="4"/>
        <v>-1.0833456779566489E-2</v>
      </c>
      <c r="E132" s="29">
        <f t="shared" si="5"/>
        <v>6.7260903253915667E-3</v>
      </c>
    </row>
    <row r="133" spans="1:5" ht="14.25" customHeight="1" x14ac:dyDescent="0.3">
      <c r="A133" s="27">
        <v>44116</v>
      </c>
      <c r="B133" s="28">
        <v>11930.9501953125</v>
      </c>
      <c r="C133" s="28">
        <v>154.81332397460901</v>
      </c>
      <c r="D133" s="29">
        <f t="shared" si="4"/>
        <v>-2.0992059069446976E-2</v>
      </c>
      <c r="E133" s="29">
        <f t="shared" si="5"/>
        <v>1.4058853909967107E-3</v>
      </c>
    </row>
    <row r="134" spans="1:5" ht="14.25" customHeight="1" x14ac:dyDescent="0.3">
      <c r="A134" s="27">
        <v>44117</v>
      </c>
      <c r="B134" s="28">
        <v>11934.5</v>
      </c>
      <c r="C134" s="28">
        <v>154.57278442382801</v>
      </c>
      <c r="D134" s="29">
        <f t="shared" si="4"/>
        <v>-1.5537393333176232E-3</v>
      </c>
      <c r="E134" s="29">
        <f t="shared" si="5"/>
        <v>2.9752908438882491E-4</v>
      </c>
    </row>
    <row r="135" spans="1:5" ht="14.25" customHeight="1" x14ac:dyDescent="0.3">
      <c r="A135" s="27">
        <v>44118</v>
      </c>
      <c r="B135" s="28">
        <v>11971.0498046875</v>
      </c>
      <c r="C135" s="28">
        <v>154.71711730957</v>
      </c>
      <c r="D135" s="29">
        <f t="shared" si="4"/>
        <v>9.3375354710721679E-4</v>
      </c>
      <c r="E135" s="29">
        <f t="shared" si="5"/>
        <v>3.0625333853533873E-3</v>
      </c>
    </row>
    <row r="136" spans="1:5" ht="14.25" customHeight="1" x14ac:dyDescent="0.3">
      <c r="A136" s="27">
        <v>44119</v>
      </c>
      <c r="B136" s="28">
        <v>11680.349609375</v>
      </c>
      <c r="C136" s="28">
        <v>150.53167724609401</v>
      </c>
      <c r="D136" s="29">
        <f t="shared" si="4"/>
        <v>-2.7052210746025221E-2</v>
      </c>
      <c r="E136" s="29">
        <f t="shared" si="5"/>
        <v>-2.4283600858353342E-2</v>
      </c>
    </row>
    <row r="137" spans="1:5" ht="14.25" customHeight="1" x14ac:dyDescent="0.3">
      <c r="A137" s="27">
        <v>44120</v>
      </c>
      <c r="B137" s="28">
        <v>11762.4501953125</v>
      </c>
      <c r="C137" s="28">
        <v>153.754959106445</v>
      </c>
      <c r="D137" s="29">
        <f t="shared" si="4"/>
        <v>2.1412648283201347E-2</v>
      </c>
      <c r="E137" s="29">
        <f t="shared" si="5"/>
        <v>7.0289493622351512E-3</v>
      </c>
    </row>
    <row r="138" spans="1:5" ht="14.25" customHeight="1" x14ac:dyDescent="0.3">
      <c r="A138" s="27">
        <v>44123</v>
      </c>
      <c r="B138" s="28">
        <v>11873.0498046875</v>
      </c>
      <c r="C138" s="28">
        <v>152.93713378906301</v>
      </c>
      <c r="D138" s="29">
        <f t="shared" si="4"/>
        <v>-5.3190174946864998E-3</v>
      </c>
      <c r="E138" s="29">
        <f t="shared" si="5"/>
        <v>9.4027696218493221E-3</v>
      </c>
    </row>
    <row r="139" spans="1:5" ht="14.25" customHeight="1" x14ac:dyDescent="0.3">
      <c r="A139" s="27">
        <v>44124</v>
      </c>
      <c r="B139" s="28">
        <v>11896.7998046875</v>
      </c>
      <c r="C139" s="28">
        <v>152.40792846679699</v>
      </c>
      <c r="D139" s="29">
        <f t="shared" si="4"/>
        <v>-3.4602801108848031E-3</v>
      </c>
      <c r="E139" s="29">
        <f t="shared" si="5"/>
        <v>2.000328507897226E-3</v>
      </c>
    </row>
    <row r="140" spans="1:5" ht="14.25" customHeight="1" x14ac:dyDescent="0.3">
      <c r="A140" s="27">
        <v>44125</v>
      </c>
      <c r="B140" s="28">
        <v>11937.650390625</v>
      </c>
      <c r="C140" s="28">
        <v>151.44573974609401</v>
      </c>
      <c r="D140" s="29">
        <f t="shared" si="4"/>
        <v>-6.3132458421452904E-3</v>
      </c>
      <c r="E140" s="29">
        <f t="shared" si="5"/>
        <v>3.4337457642520234E-3</v>
      </c>
    </row>
    <row r="141" spans="1:5" ht="14.25" customHeight="1" x14ac:dyDescent="0.3">
      <c r="A141" s="27">
        <v>44126</v>
      </c>
      <c r="B141" s="28">
        <v>11896.4501953125</v>
      </c>
      <c r="C141" s="28">
        <v>154.47659301757801</v>
      </c>
      <c r="D141" s="29">
        <f t="shared" si="4"/>
        <v>2.0012799809128835E-2</v>
      </c>
      <c r="E141" s="29">
        <f t="shared" si="5"/>
        <v>-3.4512817819539903E-3</v>
      </c>
    </row>
    <row r="142" spans="1:5" ht="14.25" customHeight="1" x14ac:dyDescent="0.3">
      <c r="A142" s="27">
        <v>44127</v>
      </c>
      <c r="B142" s="28">
        <v>11930.349609375</v>
      </c>
      <c r="C142" s="28">
        <v>155.919845581055</v>
      </c>
      <c r="D142" s="29">
        <f t="shared" si="4"/>
        <v>9.3428559970426071E-3</v>
      </c>
      <c r="E142" s="29">
        <f t="shared" si="5"/>
        <v>2.8495402835256875E-3</v>
      </c>
    </row>
    <row r="143" spans="1:5" ht="14.25" customHeight="1" x14ac:dyDescent="0.3">
      <c r="A143" s="27">
        <v>44130</v>
      </c>
      <c r="B143" s="28">
        <v>11767.75</v>
      </c>
      <c r="C143" s="28">
        <v>153.51441955566401</v>
      </c>
      <c r="D143" s="29">
        <f t="shared" si="4"/>
        <v>-1.5427324317997305E-2</v>
      </c>
      <c r="E143" s="29">
        <f t="shared" si="5"/>
        <v>-1.3629073304543183E-2</v>
      </c>
    </row>
    <row r="144" spans="1:5" ht="14.25" customHeight="1" x14ac:dyDescent="0.3">
      <c r="A144" s="27">
        <v>44131</v>
      </c>
      <c r="B144" s="28">
        <v>11889.400390625</v>
      </c>
      <c r="C144" s="28">
        <v>156.20851135253901</v>
      </c>
      <c r="D144" s="29">
        <f t="shared" si="4"/>
        <v>1.7549438057173045E-2</v>
      </c>
      <c r="E144" s="29">
        <f t="shared" si="5"/>
        <v>1.0337608346965222E-2</v>
      </c>
    </row>
    <row r="145" spans="1:5" ht="14.25" customHeight="1" x14ac:dyDescent="0.3">
      <c r="A145" s="27">
        <v>44132</v>
      </c>
      <c r="B145" s="28">
        <v>11729.599609375</v>
      </c>
      <c r="C145" s="28">
        <v>152.84091186523401</v>
      </c>
      <c r="D145" s="29">
        <f t="shared" si="4"/>
        <v>-2.1558361053098041E-2</v>
      </c>
      <c r="E145" s="29">
        <f t="shared" si="5"/>
        <v>-1.3440608945763632E-2</v>
      </c>
    </row>
    <row r="146" spans="1:5" ht="14.25" customHeight="1" x14ac:dyDescent="0.3">
      <c r="A146" s="27">
        <v>44133</v>
      </c>
      <c r="B146" s="28">
        <v>11670.7998046875</v>
      </c>
      <c r="C146" s="28">
        <v>151.10899353027301</v>
      </c>
      <c r="D146" s="29">
        <f t="shared" si="4"/>
        <v>-1.1331510089969214E-2</v>
      </c>
      <c r="E146" s="29">
        <f t="shared" si="5"/>
        <v>-5.012942184360979E-3</v>
      </c>
    </row>
    <row r="147" spans="1:5" ht="14.25" customHeight="1" x14ac:dyDescent="0.3">
      <c r="A147" s="27">
        <v>44134</v>
      </c>
      <c r="B147" s="28">
        <v>11642.400390625</v>
      </c>
      <c r="C147" s="28">
        <v>153.03334045410199</v>
      </c>
      <c r="D147" s="29">
        <f t="shared" si="4"/>
        <v>1.2734827218893865E-2</v>
      </c>
      <c r="E147" s="29">
        <f t="shared" si="5"/>
        <v>-2.4333734223676395E-3</v>
      </c>
    </row>
    <row r="148" spans="1:5" ht="14.25" customHeight="1" x14ac:dyDescent="0.3">
      <c r="A148" s="27">
        <v>44137</v>
      </c>
      <c r="B148" s="28">
        <v>11669.150390625</v>
      </c>
      <c r="C148" s="28">
        <v>153.27388000488301</v>
      </c>
      <c r="D148" s="29">
        <f t="shared" si="4"/>
        <v>1.5718114109465292E-3</v>
      </c>
      <c r="E148" s="29">
        <f t="shared" si="5"/>
        <v>2.2976361491175257E-3</v>
      </c>
    </row>
    <row r="149" spans="1:5" ht="14.25" customHeight="1" x14ac:dyDescent="0.3">
      <c r="A149" s="27">
        <v>44138</v>
      </c>
      <c r="B149" s="28">
        <v>11813.5</v>
      </c>
      <c r="C149" s="28">
        <v>154.09170532226599</v>
      </c>
      <c r="D149" s="29">
        <f t="shared" si="4"/>
        <v>5.3357122384905288E-3</v>
      </c>
      <c r="E149" s="29">
        <f t="shared" si="5"/>
        <v>1.2370190163199074E-2</v>
      </c>
    </row>
    <row r="150" spans="1:5" ht="14.25" customHeight="1" x14ac:dyDescent="0.3">
      <c r="A150" s="27">
        <v>44139</v>
      </c>
      <c r="B150" s="28">
        <v>11908.5</v>
      </c>
      <c r="C150" s="28">
        <v>156.833908081055</v>
      </c>
      <c r="D150" s="29">
        <f t="shared" si="4"/>
        <v>1.7795914147708262E-2</v>
      </c>
      <c r="E150" s="29">
        <f t="shared" si="5"/>
        <v>8.041647267956151E-3</v>
      </c>
    </row>
    <row r="151" spans="1:5" ht="14.25" customHeight="1" x14ac:dyDescent="0.3">
      <c r="A151" s="27">
        <v>44140</v>
      </c>
      <c r="B151" s="28">
        <v>12120.2998046875</v>
      </c>
      <c r="C151" s="28">
        <v>156.833908081055</v>
      </c>
      <c r="D151" s="29">
        <f t="shared" si="4"/>
        <v>0</v>
      </c>
      <c r="E151" s="29">
        <f t="shared" si="5"/>
        <v>1.7785598915690475E-2</v>
      </c>
    </row>
    <row r="152" spans="1:5" ht="14.25" customHeight="1" x14ac:dyDescent="0.3">
      <c r="A152" s="27">
        <v>44141</v>
      </c>
      <c r="B152" s="28">
        <v>12263.5498046875</v>
      </c>
      <c r="C152" s="28">
        <v>157.98851013183599</v>
      </c>
      <c r="D152" s="29">
        <f t="shared" si="4"/>
        <v>7.3619414634765847E-3</v>
      </c>
      <c r="E152" s="29">
        <f t="shared" si="5"/>
        <v>1.1819014571289595E-2</v>
      </c>
    </row>
    <row r="153" spans="1:5" ht="14.25" customHeight="1" x14ac:dyDescent="0.3">
      <c r="A153" s="27">
        <v>44144</v>
      </c>
      <c r="B153" s="28">
        <v>12461.0498046875</v>
      </c>
      <c r="C153" s="28">
        <v>159.96095275878901</v>
      </c>
      <c r="D153" s="29">
        <f t="shared" si="4"/>
        <v>1.2484721992169403E-2</v>
      </c>
      <c r="E153" s="29">
        <f t="shared" si="5"/>
        <v>1.6104635537461554E-2</v>
      </c>
    </row>
    <row r="154" spans="1:5" ht="14.25" customHeight="1" x14ac:dyDescent="0.3">
      <c r="A154" s="27">
        <v>44145</v>
      </c>
      <c r="B154" s="28">
        <v>12631.099609375</v>
      </c>
      <c r="C154" s="28">
        <v>156.16038513183599</v>
      </c>
      <c r="D154" s="29">
        <f t="shared" si="4"/>
        <v>-2.3759346024176457E-2</v>
      </c>
      <c r="E154" s="29">
        <f t="shared" si="5"/>
        <v>1.3646507104363872E-2</v>
      </c>
    </row>
    <row r="155" spans="1:5" ht="14.25" customHeight="1" x14ac:dyDescent="0.3">
      <c r="A155" s="27">
        <v>44146</v>
      </c>
      <c r="B155" s="28">
        <v>12749.150390625</v>
      </c>
      <c r="C155" s="28">
        <v>157.31500244140599</v>
      </c>
      <c r="D155" s="29">
        <f t="shared" si="4"/>
        <v>7.3937913805427156E-3</v>
      </c>
      <c r="E155" s="29">
        <f t="shared" si="5"/>
        <v>9.3460415087203378E-3</v>
      </c>
    </row>
    <row r="156" spans="1:5" ht="14.25" customHeight="1" x14ac:dyDescent="0.3">
      <c r="A156" s="27">
        <v>44147</v>
      </c>
      <c r="B156" s="28">
        <v>12690.7998046875</v>
      </c>
      <c r="C156" s="28">
        <v>163.71342468261699</v>
      </c>
      <c r="D156" s="29">
        <f t="shared" si="4"/>
        <v>4.0672676743555777E-2</v>
      </c>
      <c r="E156" s="29">
        <f t="shared" si="5"/>
        <v>-4.5768215253314216E-3</v>
      </c>
    </row>
    <row r="157" spans="1:5" ht="14.25" customHeight="1" x14ac:dyDescent="0.3">
      <c r="A157" s="27">
        <v>44148</v>
      </c>
      <c r="B157" s="28">
        <v>12719.9501953125</v>
      </c>
      <c r="C157" s="28">
        <v>162.36637878418</v>
      </c>
      <c r="D157" s="29">
        <f t="shared" si="4"/>
        <v>-8.2280723224038513E-3</v>
      </c>
      <c r="E157" s="29">
        <f t="shared" si="5"/>
        <v>2.2969703307614193E-3</v>
      </c>
    </row>
    <row r="158" spans="1:5" ht="14.25" customHeight="1" x14ac:dyDescent="0.3">
      <c r="A158" s="27">
        <v>44152</v>
      </c>
      <c r="B158" s="28">
        <v>12874.2001953125</v>
      </c>
      <c r="C158" s="28">
        <v>163.90585327148401</v>
      </c>
      <c r="D158" s="29">
        <f t="shared" si="4"/>
        <v>9.4814856304105896E-3</v>
      </c>
      <c r="E158" s="29">
        <f t="shared" si="5"/>
        <v>1.2126619808373427E-2</v>
      </c>
    </row>
    <row r="159" spans="1:5" ht="14.25" customHeight="1" x14ac:dyDescent="0.3">
      <c r="A159" s="27">
        <v>44153</v>
      </c>
      <c r="B159" s="28">
        <v>12938.25</v>
      </c>
      <c r="C159" s="28">
        <v>163.95397949218801</v>
      </c>
      <c r="D159" s="29">
        <f t="shared" si="4"/>
        <v>2.9362112300097441E-4</v>
      </c>
      <c r="E159" s="29">
        <f t="shared" si="5"/>
        <v>4.9750511655722541E-3</v>
      </c>
    </row>
    <row r="160" spans="1:5" ht="14.25" customHeight="1" x14ac:dyDescent="0.3">
      <c r="A160" s="27">
        <v>44154</v>
      </c>
      <c r="B160" s="28">
        <v>12771.7001953125</v>
      </c>
      <c r="C160" s="28">
        <v>163.85775756835901</v>
      </c>
      <c r="D160" s="29">
        <f t="shared" si="4"/>
        <v>-5.8688373485677305E-4</v>
      </c>
      <c r="E160" s="29">
        <f t="shared" si="5"/>
        <v>-1.2872668613413716E-2</v>
      </c>
    </row>
    <row r="161" spans="1:5" ht="14.25" customHeight="1" x14ac:dyDescent="0.3">
      <c r="A161" s="27">
        <v>44155</v>
      </c>
      <c r="B161" s="28">
        <v>12859.0498046875</v>
      </c>
      <c r="C161" s="28">
        <v>165.30101013183599</v>
      </c>
      <c r="D161" s="29">
        <f t="shared" si="4"/>
        <v>8.807959933632592E-3</v>
      </c>
      <c r="E161" s="29">
        <f t="shared" si="5"/>
        <v>6.83930941371919E-3</v>
      </c>
    </row>
    <row r="162" spans="1:5" ht="14.25" customHeight="1" x14ac:dyDescent="0.3">
      <c r="A162" s="27">
        <v>44158</v>
      </c>
      <c r="B162" s="28">
        <v>12926.4501953125</v>
      </c>
      <c r="C162" s="28">
        <v>167.36967468261699</v>
      </c>
      <c r="D162" s="29">
        <f t="shared" si="4"/>
        <v>1.2514530607714548E-2</v>
      </c>
      <c r="E162" s="29">
        <f t="shared" si="5"/>
        <v>5.241475198302023E-3</v>
      </c>
    </row>
    <row r="163" spans="1:5" ht="14.25" customHeight="1" x14ac:dyDescent="0.3">
      <c r="A163" s="27">
        <v>44159</v>
      </c>
      <c r="B163" s="28">
        <v>13055.150390625</v>
      </c>
      <c r="C163" s="28">
        <v>168.23564147949199</v>
      </c>
      <c r="D163" s="29">
        <f t="shared" si="4"/>
        <v>5.1739766986888891E-3</v>
      </c>
      <c r="E163" s="29">
        <f t="shared" si="5"/>
        <v>9.9563448098976444E-3</v>
      </c>
    </row>
    <row r="164" spans="1:5" ht="14.25" customHeight="1" x14ac:dyDescent="0.3">
      <c r="A164" s="27">
        <v>44160</v>
      </c>
      <c r="B164" s="28">
        <v>12858.400390625</v>
      </c>
      <c r="C164" s="28">
        <v>164.86804199218801</v>
      </c>
      <c r="D164" s="29">
        <f t="shared" si="4"/>
        <v>-2.0017158419516526E-2</v>
      </c>
      <c r="E164" s="29">
        <f t="shared" si="5"/>
        <v>-1.507068046809232E-2</v>
      </c>
    </row>
    <row r="165" spans="1:5" ht="14.25" customHeight="1" x14ac:dyDescent="0.3">
      <c r="A165" s="27">
        <v>44161</v>
      </c>
      <c r="B165" s="28">
        <v>12987</v>
      </c>
      <c r="C165" s="28">
        <v>166.11886596679699</v>
      </c>
      <c r="D165" s="29">
        <f t="shared" si="4"/>
        <v>7.5868188855439025E-3</v>
      </c>
      <c r="E165" s="29">
        <f t="shared" si="5"/>
        <v>1.0001213639976662E-2</v>
      </c>
    </row>
    <row r="166" spans="1:5" ht="14.25" customHeight="1" x14ac:dyDescent="0.3">
      <c r="A166" s="27">
        <v>44162</v>
      </c>
      <c r="B166" s="28">
        <v>12968.9501953125</v>
      </c>
      <c r="C166" s="28">
        <v>177.85736083984401</v>
      </c>
      <c r="D166" s="29">
        <f t="shared" si="4"/>
        <v>7.0663225424337103E-2</v>
      </c>
      <c r="E166" s="29">
        <f t="shared" si="5"/>
        <v>-1.3898363507738507E-3</v>
      </c>
    </row>
    <row r="167" spans="1:5" ht="14.25" customHeight="1" x14ac:dyDescent="0.3">
      <c r="A167" s="27">
        <v>44166</v>
      </c>
      <c r="B167" s="28">
        <v>13109.0498046875</v>
      </c>
      <c r="C167" s="28">
        <v>176.89518737793</v>
      </c>
      <c r="D167" s="29">
        <f t="shared" si="4"/>
        <v>-5.4098039989495753E-3</v>
      </c>
      <c r="E167" s="29">
        <f t="shared" si="5"/>
        <v>1.0802694687318455E-2</v>
      </c>
    </row>
    <row r="168" spans="1:5" ht="14.25" customHeight="1" x14ac:dyDescent="0.3">
      <c r="A168" s="27">
        <v>44167</v>
      </c>
      <c r="B168" s="28">
        <v>13113.75</v>
      </c>
      <c r="C168" s="28">
        <v>176.75083923339801</v>
      </c>
      <c r="D168" s="29">
        <f t="shared" si="4"/>
        <v>-8.1600944984215151E-4</v>
      </c>
      <c r="E168" s="29">
        <f t="shared" si="5"/>
        <v>3.5854584295036521E-4</v>
      </c>
    </row>
    <row r="169" spans="1:5" ht="14.25" customHeight="1" x14ac:dyDescent="0.3">
      <c r="A169" s="27">
        <v>44168</v>
      </c>
      <c r="B169" s="28">
        <v>13133.900390625</v>
      </c>
      <c r="C169" s="28">
        <v>176.84706115722699</v>
      </c>
      <c r="D169" s="29">
        <f t="shared" si="4"/>
        <v>5.4439302379728674E-4</v>
      </c>
      <c r="E169" s="29">
        <f t="shared" si="5"/>
        <v>1.5365849299399485E-3</v>
      </c>
    </row>
    <row r="170" spans="1:5" ht="14.25" customHeight="1" x14ac:dyDescent="0.3">
      <c r="A170" s="27">
        <v>44169</v>
      </c>
      <c r="B170" s="28">
        <v>13258.5498046875</v>
      </c>
      <c r="C170" s="28">
        <v>179.78170776367199</v>
      </c>
      <c r="D170" s="29">
        <f t="shared" si="4"/>
        <v>1.65942627897895E-2</v>
      </c>
      <c r="E170" s="29">
        <f t="shared" si="5"/>
        <v>9.4906623588736031E-3</v>
      </c>
    </row>
    <row r="171" spans="1:5" ht="14.25" customHeight="1" x14ac:dyDescent="0.3">
      <c r="A171" s="27">
        <v>44172</v>
      </c>
      <c r="B171" s="28">
        <v>13355.75</v>
      </c>
      <c r="C171" s="28">
        <v>181.75413513183599</v>
      </c>
      <c r="D171" s="29">
        <f t="shared" si="4"/>
        <v>1.0971235019954399E-2</v>
      </c>
      <c r="E171" s="29">
        <f t="shared" si="5"/>
        <v>7.3311332494399436E-3</v>
      </c>
    </row>
    <row r="172" spans="1:5" ht="14.25" customHeight="1" x14ac:dyDescent="0.3">
      <c r="A172" s="27">
        <v>44173</v>
      </c>
      <c r="B172" s="28">
        <v>13392.9501953125</v>
      </c>
      <c r="C172" s="28">
        <v>184.59254455566401</v>
      </c>
      <c r="D172" s="29">
        <f t="shared" si="4"/>
        <v>1.5616752938078472E-2</v>
      </c>
      <c r="E172" s="29">
        <f t="shared" si="5"/>
        <v>2.7853318093330587E-3</v>
      </c>
    </row>
    <row r="173" spans="1:5" ht="14.25" customHeight="1" x14ac:dyDescent="0.3">
      <c r="A173" s="27">
        <v>44174</v>
      </c>
      <c r="B173" s="28">
        <v>13529.099609375</v>
      </c>
      <c r="C173" s="28">
        <v>185.45849609375</v>
      </c>
      <c r="D173" s="29">
        <f t="shared" si="4"/>
        <v>4.6911512064067469E-3</v>
      </c>
      <c r="E173" s="29">
        <f t="shared" si="5"/>
        <v>1.0165752285866931E-2</v>
      </c>
    </row>
    <row r="174" spans="1:5" ht="14.25" customHeight="1" x14ac:dyDescent="0.3">
      <c r="A174" s="27">
        <v>44175</v>
      </c>
      <c r="B174" s="28">
        <v>13478.2998046875</v>
      </c>
      <c r="C174" s="28">
        <v>184.06335449218801</v>
      </c>
      <c r="D174" s="29">
        <f t="shared" si="4"/>
        <v>-7.5226621101075839E-3</v>
      </c>
      <c r="E174" s="29">
        <f t="shared" si="5"/>
        <v>-3.7548548058806688E-3</v>
      </c>
    </row>
    <row r="175" spans="1:5" ht="14.25" customHeight="1" x14ac:dyDescent="0.3">
      <c r="A175" s="27">
        <v>44176</v>
      </c>
      <c r="B175" s="28">
        <v>13513.849609375</v>
      </c>
      <c r="C175" s="28">
        <v>186.37255859375</v>
      </c>
      <c r="D175" s="29">
        <f t="shared" si="4"/>
        <v>1.2545702581227244E-2</v>
      </c>
      <c r="E175" s="29">
        <f t="shared" si="5"/>
        <v>2.6375585350265351E-3</v>
      </c>
    </row>
    <row r="176" spans="1:5" ht="14.25" customHeight="1" x14ac:dyDescent="0.3">
      <c r="A176" s="27">
        <v>44179</v>
      </c>
      <c r="B176" s="28">
        <v>13558.150390625</v>
      </c>
      <c r="C176" s="28">
        <v>186.32443237304699</v>
      </c>
      <c r="D176" s="29">
        <f t="shared" si="4"/>
        <v>-2.5822589476767114E-4</v>
      </c>
      <c r="E176" s="29">
        <f t="shared" si="5"/>
        <v>3.2781762806703943E-3</v>
      </c>
    </row>
    <row r="177" spans="1:5" ht="14.25" customHeight="1" x14ac:dyDescent="0.3">
      <c r="A177" s="27">
        <v>44180</v>
      </c>
      <c r="B177" s="28">
        <v>13567.849609375</v>
      </c>
      <c r="C177" s="28">
        <v>186.22824096679699</v>
      </c>
      <c r="D177" s="29">
        <f t="shared" si="4"/>
        <v>-5.1625761058223245E-4</v>
      </c>
      <c r="E177" s="29">
        <f t="shared" si="5"/>
        <v>7.1537919779284052E-4</v>
      </c>
    </row>
    <row r="178" spans="1:5" ht="14.25" customHeight="1" x14ac:dyDescent="0.3">
      <c r="A178" s="27">
        <v>44181</v>
      </c>
      <c r="B178" s="28">
        <v>13682.7001953125</v>
      </c>
      <c r="C178" s="28">
        <v>185.65092468261699</v>
      </c>
      <c r="D178" s="29">
        <f t="shared" si="4"/>
        <v>-3.1000469165304045E-3</v>
      </c>
      <c r="E178" s="29">
        <f t="shared" si="5"/>
        <v>8.4649070592691042E-3</v>
      </c>
    </row>
    <row r="179" spans="1:5" ht="14.25" customHeight="1" x14ac:dyDescent="0.3">
      <c r="A179" s="27">
        <v>44182</v>
      </c>
      <c r="B179" s="28">
        <v>13740.7001953125</v>
      </c>
      <c r="C179" s="28">
        <v>184.40010070800801</v>
      </c>
      <c r="D179" s="29">
        <f t="shared" si="4"/>
        <v>-6.7375046838433292E-3</v>
      </c>
      <c r="E179" s="29">
        <f t="shared" si="5"/>
        <v>4.2389293905504104E-3</v>
      </c>
    </row>
    <row r="180" spans="1:5" ht="14.25" customHeight="1" x14ac:dyDescent="0.3">
      <c r="A180" s="27">
        <v>44183</v>
      </c>
      <c r="B180" s="28">
        <v>13760.5498046875</v>
      </c>
      <c r="C180" s="28">
        <v>183.14930725097699</v>
      </c>
      <c r="D180" s="29">
        <f t="shared" si="4"/>
        <v>-6.7830410733431016E-3</v>
      </c>
      <c r="E180" s="29">
        <f t="shared" si="5"/>
        <v>1.4445849987885983E-3</v>
      </c>
    </row>
    <row r="181" spans="1:5" ht="14.25" customHeight="1" x14ac:dyDescent="0.3">
      <c r="A181" s="27">
        <v>44186</v>
      </c>
      <c r="B181" s="28">
        <v>13328.400390625</v>
      </c>
      <c r="C181" s="28">
        <v>174.68217468261699</v>
      </c>
      <c r="D181" s="29">
        <f t="shared" si="4"/>
        <v>-4.6230764917702595E-2</v>
      </c>
      <c r="E181" s="29">
        <f t="shared" si="5"/>
        <v>-3.1404952577933277E-2</v>
      </c>
    </row>
    <row r="182" spans="1:5" ht="14.25" customHeight="1" x14ac:dyDescent="0.3">
      <c r="A182" s="27">
        <v>44187</v>
      </c>
      <c r="B182" s="28">
        <v>13466.2998046875</v>
      </c>
      <c r="C182" s="28">
        <v>177.32815551757801</v>
      </c>
      <c r="D182" s="29">
        <f t="shared" si="4"/>
        <v>1.5147400355923839E-2</v>
      </c>
      <c r="E182" s="29">
        <f t="shared" si="5"/>
        <v>1.034628387660806E-2</v>
      </c>
    </row>
    <row r="183" spans="1:5" ht="14.25" customHeight="1" x14ac:dyDescent="0.3">
      <c r="A183" s="27">
        <v>44188</v>
      </c>
      <c r="B183" s="28">
        <v>13601.099609375</v>
      </c>
      <c r="C183" s="28">
        <v>178.48274230957</v>
      </c>
      <c r="D183" s="29">
        <f t="shared" si="4"/>
        <v>6.5110178844528599E-3</v>
      </c>
      <c r="E183" s="29">
        <f t="shared" si="5"/>
        <v>1.0010159185716136E-2</v>
      </c>
    </row>
    <row r="184" spans="1:5" ht="14.25" customHeight="1" x14ac:dyDescent="0.3">
      <c r="A184" s="27">
        <v>44189</v>
      </c>
      <c r="B184" s="28">
        <v>13749.25</v>
      </c>
      <c r="C184" s="28">
        <v>176.46218872070301</v>
      </c>
      <c r="D184" s="29">
        <f t="shared" si="4"/>
        <v>-1.1320722455969623E-2</v>
      </c>
      <c r="E184" s="29">
        <f t="shared" si="5"/>
        <v>1.0892530374741357E-2</v>
      </c>
    </row>
    <row r="185" spans="1:5" ht="14.25" customHeight="1" x14ac:dyDescent="0.3">
      <c r="A185" s="27">
        <v>44193</v>
      </c>
      <c r="B185" s="28">
        <v>13873.2001953125</v>
      </c>
      <c r="C185" s="28">
        <v>179.30061340332</v>
      </c>
      <c r="D185" s="29">
        <f t="shared" si="4"/>
        <v>1.6085172144779007E-2</v>
      </c>
      <c r="E185" s="29">
        <f t="shared" si="5"/>
        <v>9.0150513891666811E-3</v>
      </c>
    </row>
    <row r="186" spans="1:5" ht="14.25" customHeight="1" x14ac:dyDescent="0.3">
      <c r="A186" s="27">
        <v>44194</v>
      </c>
      <c r="B186" s="28">
        <v>13932.599609375</v>
      </c>
      <c r="C186" s="28">
        <v>184.11146545410199</v>
      </c>
      <c r="D186" s="29">
        <f t="shared" si="4"/>
        <v>2.683120798901243E-2</v>
      </c>
      <c r="E186" s="29">
        <f t="shared" si="5"/>
        <v>4.281594241144878E-3</v>
      </c>
    </row>
    <row r="187" spans="1:5" ht="14.25" customHeight="1" x14ac:dyDescent="0.3">
      <c r="A187" s="27">
        <v>44195</v>
      </c>
      <c r="B187" s="28">
        <v>13981.9501953125</v>
      </c>
      <c r="C187" s="28">
        <v>184.11146545410199</v>
      </c>
      <c r="D187" s="29">
        <f t="shared" si="4"/>
        <v>0</v>
      </c>
      <c r="E187" s="29">
        <f t="shared" si="5"/>
        <v>3.542094606974341E-3</v>
      </c>
    </row>
    <row r="188" spans="1:5" ht="14.25" customHeight="1" x14ac:dyDescent="0.3">
      <c r="A188" s="27">
        <v>44196</v>
      </c>
      <c r="B188" s="28">
        <v>13981.75</v>
      </c>
      <c r="C188" s="28">
        <v>184.01524353027301</v>
      </c>
      <c r="D188" s="29">
        <f t="shared" si="4"/>
        <v>-5.2262863473304577E-4</v>
      </c>
      <c r="E188" s="29">
        <f t="shared" si="5"/>
        <v>-1.4318125133010144E-5</v>
      </c>
    </row>
    <row r="189" spans="1:5" ht="14.25" customHeight="1" x14ac:dyDescent="0.3">
      <c r="A189" s="27">
        <v>44197</v>
      </c>
      <c r="B189" s="28">
        <v>14018.5</v>
      </c>
      <c r="C189" s="28">
        <v>184.11146545410199</v>
      </c>
      <c r="D189" s="29">
        <f t="shared" si="4"/>
        <v>5.2290191824867945E-4</v>
      </c>
      <c r="E189" s="29">
        <f t="shared" si="5"/>
        <v>2.6284263414808589E-3</v>
      </c>
    </row>
    <row r="190" spans="1:5" ht="14.25" customHeight="1" x14ac:dyDescent="0.3">
      <c r="A190" s="27">
        <v>44200</v>
      </c>
      <c r="B190" s="28">
        <v>14132.900390625</v>
      </c>
      <c r="C190" s="28">
        <v>188.92231750488301</v>
      </c>
      <c r="D190" s="29">
        <f t="shared" si="4"/>
        <v>2.6130105688503918E-2</v>
      </c>
      <c r="E190" s="29">
        <f t="shared" si="5"/>
        <v>8.1606727271106034E-3</v>
      </c>
    </row>
    <row r="191" spans="1:5" ht="14.25" customHeight="1" x14ac:dyDescent="0.3">
      <c r="A191" s="27">
        <v>44201</v>
      </c>
      <c r="B191" s="28">
        <v>14199.5</v>
      </c>
      <c r="C191" s="28">
        <v>188.68176269531301</v>
      </c>
      <c r="D191" s="29">
        <f t="shared" si="4"/>
        <v>-1.2733001201077386E-3</v>
      </c>
      <c r="E191" s="29">
        <f t="shared" si="5"/>
        <v>4.7123808655142414E-3</v>
      </c>
    </row>
    <row r="192" spans="1:5" ht="14.25" customHeight="1" x14ac:dyDescent="0.3">
      <c r="A192" s="27">
        <v>44202</v>
      </c>
      <c r="B192" s="28">
        <v>14146.25</v>
      </c>
      <c r="C192" s="28">
        <v>186.46878051757801</v>
      </c>
      <c r="D192" s="29">
        <f t="shared" si="4"/>
        <v>-1.172864905501528E-2</v>
      </c>
      <c r="E192" s="29">
        <f t="shared" si="5"/>
        <v>-3.7501320469030598E-3</v>
      </c>
    </row>
    <row r="193" spans="1:5" ht="14.25" customHeight="1" x14ac:dyDescent="0.3">
      <c r="A193" s="27">
        <v>44203</v>
      </c>
      <c r="B193" s="28">
        <v>14137.349609375</v>
      </c>
      <c r="C193" s="28">
        <v>189.59585571289099</v>
      </c>
      <c r="D193" s="29">
        <f t="shared" si="4"/>
        <v>1.6769966461051642E-2</v>
      </c>
      <c r="E193" s="29">
        <f t="shared" si="5"/>
        <v>-6.2916961208800914E-4</v>
      </c>
    </row>
    <row r="194" spans="1:5" ht="14.25" customHeight="1" x14ac:dyDescent="0.3">
      <c r="A194" s="27">
        <v>44204</v>
      </c>
      <c r="B194" s="28">
        <v>14347.25</v>
      </c>
      <c r="C194" s="28">
        <v>190.84666442871099</v>
      </c>
      <c r="D194" s="29">
        <f t="shared" si="4"/>
        <v>6.5972365857728766E-3</v>
      </c>
      <c r="E194" s="29">
        <f t="shared" si="5"/>
        <v>1.4847223590326102E-2</v>
      </c>
    </row>
    <row r="195" spans="1:5" ht="14.25" customHeight="1" x14ac:dyDescent="0.3">
      <c r="A195" s="27">
        <v>44207</v>
      </c>
      <c r="B195" s="28">
        <v>14484.75</v>
      </c>
      <c r="C195" s="28">
        <v>191.231521606445</v>
      </c>
      <c r="D195" s="29">
        <f t="shared" ref="D195:D258" si="6">(C195-C194)/C194</f>
        <v>2.0165779626594698E-3</v>
      </c>
      <c r="E195" s="29">
        <f t="shared" ref="E195:E258" si="7">(B195-B194)/B194</f>
        <v>9.5837181341372046E-3</v>
      </c>
    </row>
    <row r="196" spans="1:5" ht="14.25" customHeight="1" x14ac:dyDescent="0.3">
      <c r="A196" s="27">
        <v>44208</v>
      </c>
      <c r="B196" s="28">
        <v>14563.4501953125</v>
      </c>
      <c r="C196" s="28">
        <v>196.57157897949199</v>
      </c>
      <c r="D196" s="29">
        <f t="shared" si="6"/>
        <v>2.7924566662377144E-2</v>
      </c>
      <c r="E196" s="29">
        <f t="shared" si="7"/>
        <v>5.4333140242323824E-3</v>
      </c>
    </row>
    <row r="197" spans="1:5" ht="14.25" customHeight="1" x14ac:dyDescent="0.3">
      <c r="A197" s="27">
        <v>44209</v>
      </c>
      <c r="B197" s="28">
        <v>14564.849609375</v>
      </c>
      <c r="C197" s="28">
        <v>193.34829711914099</v>
      </c>
      <c r="D197" s="29">
        <f t="shared" si="6"/>
        <v>-1.6397496917330424E-2</v>
      </c>
      <c r="E197" s="29">
        <f t="shared" si="7"/>
        <v>9.6090833128981056E-5</v>
      </c>
    </row>
    <row r="198" spans="1:5" ht="14.25" customHeight="1" x14ac:dyDescent="0.3">
      <c r="A198" s="27">
        <v>44210</v>
      </c>
      <c r="B198" s="28">
        <v>14595.599609375</v>
      </c>
      <c r="C198" s="28">
        <v>195.27264404296901</v>
      </c>
      <c r="D198" s="29">
        <f t="shared" si="6"/>
        <v>9.9527482398369966E-3</v>
      </c>
      <c r="E198" s="29">
        <f t="shared" si="7"/>
        <v>2.1112473403231747E-3</v>
      </c>
    </row>
    <row r="199" spans="1:5" ht="14.25" customHeight="1" x14ac:dyDescent="0.3">
      <c r="A199" s="27">
        <v>44211</v>
      </c>
      <c r="B199" s="28">
        <v>14433.7001953125</v>
      </c>
      <c r="C199" s="28">
        <v>192.72288513183599</v>
      </c>
      <c r="D199" s="29">
        <f t="shared" si="6"/>
        <v>-1.3057430156842383E-2</v>
      </c>
      <c r="E199" s="29">
        <f t="shared" si="7"/>
        <v>-1.1092344158201577E-2</v>
      </c>
    </row>
    <row r="200" spans="1:5" ht="14.25" customHeight="1" x14ac:dyDescent="0.3">
      <c r="A200" s="27">
        <v>44214</v>
      </c>
      <c r="B200" s="28">
        <v>14281.2998046875</v>
      </c>
      <c r="C200" s="28">
        <v>187.28663635253901</v>
      </c>
      <c r="D200" s="29">
        <f t="shared" si="6"/>
        <v>-2.8207593382478746E-2</v>
      </c>
      <c r="E200" s="29">
        <f t="shared" si="7"/>
        <v>-1.0558650142566607E-2</v>
      </c>
    </row>
    <row r="201" spans="1:5" ht="14.25" customHeight="1" x14ac:dyDescent="0.3">
      <c r="A201" s="27">
        <v>44215</v>
      </c>
      <c r="B201" s="28">
        <v>14521.150390625</v>
      </c>
      <c r="C201" s="28">
        <v>191.76072692871099</v>
      </c>
      <c r="D201" s="29">
        <f t="shared" si="6"/>
        <v>2.388900064257753E-2</v>
      </c>
      <c r="E201" s="29">
        <f t="shared" si="7"/>
        <v>1.6794730817062932E-2</v>
      </c>
    </row>
    <row r="202" spans="1:5" ht="14.25" customHeight="1" x14ac:dyDescent="0.3">
      <c r="A202" s="27">
        <v>44216</v>
      </c>
      <c r="B202" s="28">
        <v>14644.7001953125</v>
      </c>
      <c r="C202" s="28">
        <v>192.67478942871099</v>
      </c>
      <c r="D202" s="29">
        <f t="shared" si="6"/>
        <v>4.766682493542132E-3</v>
      </c>
      <c r="E202" s="29">
        <f t="shared" si="7"/>
        <v>8.5082656238630369E-3</v>
      </c>
    </row>
    <row r="203" spans="1:5" ht="14.25" customHeight="1" x14ac:dyDescent="0.3">
      <c r="A203" s="27">
        <v>44217</v>
      </c>
      <c r="B203" s="28">
        <v>14590.349609375</v>
      </c>
      <c r="C203" s="28">
        <v>190.12504577636699</v>
      </c>
      <c r="D203" s="29">
        <f t="shared" si="6"/>
        <v>-1.3233405677536251E-2</v>
      </c>
      <c r="E203" s="29">
        <f t="shared" si="7"/>
        <v>-3.7112802046228729E-3</v>
      </c>
    </row>
    <row r="204" spans="1:5" ht="14.25" customHeight="1" x14ac:dyDescent="0.3">
      <c r="A204" s="27">
        <v>44218</v>
      </c>
      <c r="B204" s="28">
        <v>14371.900390625</v>
      </c>
      <c r="C204" s="28">
        <v>193.059646606445</v>
      </c>
      <c r="D204" s="29">
        <f t="shared" si="6"/>
        <v>1.5435109130912774E-2</v>
      </c>
      <c r="E204" s="29">
        <f t="shared" si="7"/>
        <v>-1.4972171647596155E-2</v>
      </c>
    </row>
    <row r="205" spans="1:5" ht="14.25" customHeight="1" x14ac:dyDescent="0.3">
      <c r="A205" s="27">
        <v>44221</v>
      </c>
      <c r="B205" s="28">
        <v>14238.900390625</v>
      </c>
      <c r="C205" s="28">
        <v>192.28991699218801</v>
      </c>
      <c r="D205" s="29">
        <f t="shared" si="6"/>
        <v>-3.9870041605643966E-3</v>
      </c>
      <c r="E205" s="29">
        <f t="shared" si="7"/>
        <v>-9.2541693433081298E-3</v>
      </c>
    </row>
    <row r="206" spans="1:5" ht="14.25" customHeight="1" x14ac:dyDescent="0.3">
      <c r="A206" s="27">
        <v>44223</v>
      </c>
      <c r="B206" s="28">
        <v>13967.5</v>
      </c>
      <c r="C206" s="28">
        <v>189.40341186523401</v>
      </c>
      <c r="D206" s="29">
        <f t="shared" si="6"/>
        <v>-1.5011214171314419E-2</v>
      </c>
      <c r="E206" s="29">
        <f t="shared" si="7"/>
        <v>-1.9060488041878015E-2</v>
      </c>
    </row>
    <row r="207" spans="1:5" ht="14.25" customHeight="1" x14ac:dyDescent="0.3">
      <c r="A207" s="27">
        <v>44224</v>
      </c>
      <c r="B207" s="28">
        <v>13817.5498046875</v>
      </c>
      <c r="C207" s="28">
        <v>190.60612487793</v>
      </c>
      <c r="D207" s="29">
        <f t="shared" si="6"/>
        <v>6.350007113661499E-3</v>
      </c>
      <c r="E207" s="29">
        <f t="shared" si="7"/>
        <v>-1.0735650281904421E-2</v>
      </c>
    </row>
    <row r="208" spans="1:5" ht="14.25" customHeight="1" x14ac:dyDescent="0.3">
      <c r="A208" s="27">
        <v>44225</v>
      </c>
      <c r="B208" s="28">
        <v>13634.599609375</v>
      </c>
      <c r="C208" s="28">
        <v>186.18014526367199</v>
      </c>
      <c r="D208" s="29">
        <f t="shared" si="6"/>
        <v>-2.322055294441637E-2</v>
      </c>
      <c r="E208" s="29">
        <f t="shared" si="7"/>
        <v>-1.3240422354072899E-2</v>
      </c>
    </row>
    <row r="209" spans="1:5" ht="14.25" customHeight="1" x14ac:dyDescent="0.3">
      <c r="A209" s="27">
        <v>44228</v>
      </c>
      <c r="B209" s="28">
        <v>14281.2001953125</v>
      </c>
      <c r="C209" s="28">
        <v>187.28663635253901</v>
      </c>
      <c r="D209" s="29">
        <f t="shared" si="6"/>
        <v>5.9431207731629092E-3</v>
      </c>
      <c r="E209" s="29">
        <f t="shared" si="7"/>
        <v>4.7423511101338432E-2</v>
      </c>
    </row>
    <row r="210" spans="1:5" ht="14.25" customHeight="1" x14ac:dyDescent="0.3">
      <c r="A210" s="27">
        <v>44229</v>
      </c>
      <c r="B210" s="28">
        <v>14647.849609375</v>
      </c>
      <c r="C210" s="28">
        <v>193.78126525878901</v>
      </c>
      <c r="D210" s="29">
        <f t="shared" si="6"/>
        <v>3.4677481707903787E-2</v>
      </c>
      <c r="E210" s="29">
        <f t="shared" si="7"/>
        <v>2.5673571481957438E-2</v>
      </c>
    </row>
    <row r="211" spans="1:5" ht="14.25" customHeight="1" x14ac:dyDescent="0.3">
      <c r="A211" s="27">
        <v>44230</v>
      </c>
      <c r="B211" s="28">
        <v>14789.9501953125</v>
      </c>
      <c r="C211" s="28">
        <v>196.76402282714801</v>
      </c>
      <c r="D211" s="29">
        <f t="shared" si="6"/>
        <v>1.5392393915766951E-2</v>
      </c>
      <c r="E211" s="29">
        <f t="shared" si="7"/>
        <v>9.7011226717232252E-3</v>
      </c>
    </row>
    <row r="212" spans="1:5" ht="14.25" customHeight="1" x14ac:dyDescent="0.3">
      <c r="A212" s="27">
        <v>44231</v>
      </c>
      <c r="B212" s="28">
        <v>14895.650390625</v>
      </c>
      <c r="C212" s="28">
        <v>197.58995056152301</v>
      </c>
      <c r="D212" s="29">
        <f t="shared" si="6"/>
        <v>4.1975546266430812E-3</v>
      </c>
      <c r="E212" s="29">
        <f t="shared" si="7"/>
        <v>7.146758029381358E-3</v>
      </c>
    </row>
    <row r="213" spans="1:5" ht="14.25" customHeight="1" x14ac:dyDescent="0.3">
      <c r="A213" s="27">
        <v>44232</v>
      </c>
      <c r="B213" s="28">
        <v>14924.25</v>
      </c>
      <c r="C213" s="28">
        <v>197.97860717773401</v>
      </c>
      <c r="D213" s="29">
        <f t="shared" si="6"/>
        <v>1.9669857455122926E-3</v>
      </c>
      <c r="E213" s="29">
        <f t="shared" si="7"/>
        <v>1.919997356610892E-3</v>
      </c>
    </row>
    <row r="214" spans="1:5" ht="14.25" customHeight="1" x14ac:dyDescent="0.3">
      <c r="A214" s="27">
        <v>44235</v>
      </c>
      <c r="B214" s="28">
        <v>15115.7998046875</v>
      </c>
      <c r="C214" s="28">
        <v>208.47270202636699</v>
      </c>
      <c r="D214" s="29">
        <f t="shared" si="6"/>
        <v>5.3006206065547158E-2</v>
      </c>
      <c r="E214" s="29">
        <f t="shared" si="7"/>
        <v>1.2834802732968156E-2</v>
      </c>
    </row>
    <row r="215" spans="1:5" ht="14.25" customHeight="1" x14ac:dyDescent="0.3">
      <c r="A215" s="27">
        <v>44236</v>
      </c>
      <c r="B215" s="28">
        <v>15109.2998046875</v>
      </c>
      <c r="C215" s="28">
        <v>205.46047973632801</v>
      </c>
      <c r="D215" s="29">
        <f t="shared" si="6"/>
        <v>-1.4449001047906985E-2</v>
      </c>
      <c r="E215" s="29">
        <f t="shared" si="7"/>
        <v>-4.3001363368045607E-4</v>
      </c>
    </row>
    <row r="216" spans="1:5" ht="14.25" customHeight="1" x14ac:dyDescent="0.3">
      <c r="A216" s="27">
        <v>44237</v>
      </c>
      <c r="B216" s="28">
        <v>15106.5</v>
      </c>
      <c r="C216" s="28">
        <v>208.42410278320301</v>
      </c>
      <c r="D216" s="29">
        <f t="shared" si="6"/>
        <v>1.4424297318288573E-2</v>
      </c>
      <c r="E216" s="29">
        <f t="shared" si="7"/>
        <v>-1.8530340410820298E-4</v>
      </c>
    </row>
    <row r="217" spans="1:5" ht="14.25" customHeight="1" x14ac:dyDescent="0.3">
      <c r="A217" s="27">
        <v>44238</v>
      </c>
      <c r="B217" s="28">
        <v>15173.2998046875</v>
      </c>
      <c r="C217" s="28">
        <v>206.23783874511699</v>
      </c>
      <c r="D217" s="29">
        <f t="shared" si="6"/>
        <v>-1.0489497178549039E-2</v>
      </c>
      <c r="E217" s="29">
        <f t="shared" si="7"/>
        <v>4.4219246475027309E-3</v>
      </c>
    </row>
    <row r="218" spans="1:5" ht="14.25" customHeight="1" x14ac:dyDescent="0.3">
      <c r="A218" s="27">
        <v>44239</v>
      </c>
      <c r="B218" s="28">
        <v>15163.2998046875</v>
      </c>
      <c r="C218" s="28">
        <v>205.36334228515599</v>
      </c>
      <c r="D218" s="29">
        <f t="shared" si="6"/>
        <v>-4.2402328558231147E-3</v>
      </c>
      <c r="E218" s="29">
        <f t="shared" si="7"/>
        <v>-6.590524229219205E-4</v>
      </c>
    </row>
    <row r="219" spans="1:5" ht="14.25" customHeight="1" x14ac:dyDescent="0.3">
      <c r="A219" s="27">
        <v>44242</v>
      </c>
      <c r="B219" s="28">
        <v>15314.7001953125</v>
      </c>
      <c r="C219" s="28">
        <v>206.18925476074199</v>
      </c>
      <c r="D219" s="29">
        <f t="shared" si="6"/>
        <v>4.0217132541560344E-3</v>
      </c>
      <c r="E219" s="29">
        <f t="shared" si="7"/>
        <v>9.984659841533761E-3</v>
      </c>
    </row>
    <row r="220" spans="1:5" ht="14.25" customHeight="1" x14ac:dyDescent="0.3">
      <c r="A220" s="27">
        <v>44243</v>
      </c>
      <c r="B220" s="28">
        <v>15313.4501953125</v>
      </c>
      <c r="C220" s="28">
        <v>205.41191101074199</v>
      </c>
      <c r="D220" s="29">
        <f t="shared" si="6"/>
        <v>-3.770049757937263E-3</v>
      </c>
      <c r="E220" s="29">
        <f t="shared" si="7"/>
        <v>-8.1620925258634719E-5</v>
      </c>
    </row>
    <row r="221" spans="1:5" ht="14.25" customHeight="1" x14ac:dyDescent="0.3">
      <c r="A221" s="27">
        <v>44244</v>
      </c>
      <c r="B221" s="28">
        <v>15208.900390625</v>
      </c>
      <c r="C221" s="28">
        <v>203.56571960449199</v>
      </c>
      <c r="D221" s="29">
        <f t="shared" si="6"/>
        <v>-8.9877524490459253E-3</v>
      </c>
      <c r="E221" s="29">
        <f t="shared" si="7"/>
        <v>-6.8273186874309392E-3</v>
      </c>
    </row>
    <row r="222" spans="1:5" ht="14.25" customHeight="1" x14ac:dyDescent="0.3">
      <c r="A222" s="27">
        <v>44245</v>
      </c>
      <c r="B222" s="28">
        <v>15118.9501953125</v>
      </c>
      <c r="C222" s="28">
        <v>204.24591064453099</v>
      </c>
      <c r="D222" s="29">
        <f t="shared" si="6"/>
        <v>3.341383025396169E-3</v>
      </c>
      <c r="E222" s="29">
        <f t="shared" si="7"/>
        <v>-5.9143128695843573E-3</v>
      </c>
    </row>
    <row r="223" spans="1:5" ht="14.25" customHeight="1" x14ac:dyDescent="0.3">
      <c r="A223" s="27">
        <v>44246</v>
      </c>
      <c r="B223" s="28">
        <v>14981.75</v>
      </c>
      <c r="C223" s="28">
        <v>198.658767700195</v>
      </c>
      <c r="D223" s="29">
        <f t="shared" si="6"/>
        <v>-2.735498070294216E-2</v>
      </c>
      <c r="E223" s="29">
        <f t="shared" si="7"/>
        <v>-9.0747170630297962E-3</v>
      </c>
    </row>
    <row r="224" spans="1:5" ht="14.25" customHeight="1" x14ac:dyDescent="0.3">
      <c r="A224" s="27">
        <v>44249</v>
      </c>
      <c r="B224" s="28">
        <v>14675.7001953125</v>
      </c>
      <c r="C224" s="28">
        <v>196.66682434082</v>
      </c>
      <c r="D224" s="29">
        <f t="shared" si="6"/>
        <v>-1.0026959204645488E-2</v>
      </c>
      <c r="E224" s="29">
        <f t="shared" si="7"/>
        <v>-2.0428174591586429E-2</v>
      </c>
    </row>
    <row r="225" spans="1:5" ht="14.25" customHeight="1" x14ac:dyDescent="0.3">
      <c r="A225" s="27">
        <v>44250</v>
      </c>
      <c r="B225" s="28">
        <v>14707.7998046875</v>
      </c>
      <c r="C225" s="28">
        <v>194.91783142089801</v>
      </c>
      <c r="D225" s="29">
        <f t="shared" si="6"/>
        <v>-8.8931772086328909E-3</v>
      </c>
      <c r="E225" s="29">
        <f t="shared" si="7"/>
        <v>2.1872625461000351E-3</v>
      </c>
    </row>
    <row r="226" spans="1:5" ht="14.25" customHeight="1" x14ac:dyDescent="0.3">
      <c r="A226" s="27">
        <v>44251</v>
      </c>
      <c r="B226" s="28">
        <v>14982</v>
      </c>
      <c r="C226" s="28">
        <v>197.83285522460901</v>
      </c>
      <c r="D226" s="29">
        <f t="shared" si="6"/>
        <v>1.4955141776723366E-2</v>
      </c>
      <c r="E226" s="29">
        <f t="shared" si="7"/>
        <v>1.8643182457862263E-2</v>
      </c>
    </row>
    <row r="227" spans="1:5" ht="14.25" customHeight="1" x14ac:dyDescent="0.3">
      <c r="A227" s="27">
        <v>44252</v>
      </c>
      <c r="B227" s="28">
        <v>15097.349609375</v>
      </c>
      <c r="C227" s="28">
        <v>202.059646606445</v>
      </c>
      <c r="D227" s="29">
        <f t="shared" si="6"/>
        <v>2.1365467212395624E-2</v>
      </c>
      <c r="E227" s="29">
        <f t="shared" si="7"/>
        <v>7.6992130139500736E-3</v>
      </c>
    </row>
    <row r="228" spans="1:5" ht="14.25" customHeight="1" x14ac:dyDescent="0.3">
      <c r="A228" s="27">
        <v>44253</v>
      </c>
      <c r="B228" s="28">
        <v>14529.150390625</v>
      </c>
      <c r="C228" s="28">
        <v>196.95832824707</v>
      </c>
      <c r="D228" s="29">
        <f t="shared" si="6"/>
        <v>-2.5246596463226148E-2</v>
      </c>
      <c r="E228" s="29">
        <f t="shared" si="7"/>
        <v>-3.7635693247586012E-2</v>
      </c>
    </row>
    <row r="229" spans="1:5" ht="14.25" customHeight="1" x14ac:dyDescent="0.3">
      <c r="A229" s="27">
        <v>44256</v>
      </c>
      <c r="B229" s="28">
        <v>14761.5498046875</v>
      </c>
      <c r="C229" s="28">
        <v>200.69931030273401</v>
      </c>
      <c r="D229" s="29">
        <f t="shared" si="6"/>
        <v>1.899377441390147E-2</v>
      </c>
      <c r="E229" s="29">
        <f t="shared" si="7"/>
        <v>1.5995389118723471E-2</v>
      </c>
    </row>
    <row r="230" spans="1:5" ht="14.25" customHeight="1" x14ac:dyDescent="0.3">
      <c r="A230" s="27">
        <v>44257</v>
      </c>
      <c r="B230" s="28">
        <v>14919.099609375</v>
      </c>
      <c r="C230" s="28">
        <v>202.83695983886699</v>
      </c>
      <c r="D230" s="29">
        <f t="shared" si="6"/>
        <v>1.0651005889898483E-2</v>
      </c>
      <c r="E230" s="29">
        <f t="shared" si="7"/>
        <v>1.0672985341787783E-2</v>
      </c>
    </row>
    <row r="231" spans="1:5" ht="14.25" customHeight="1" x14ac:dyDescent="0.3">
      <c r="A231" s="27">
        <v>44258</v>
      </c>
      <c r="B231" s="28">
        <v>15245.599609375</v>
      </c>
      <c r="C231" s="28">
        <v>201.62237548828099</v>
      </c>
      <c r="D231" s="29">
        <f t="shared" si="6"/>
        <v>-5.9879834106706005E-3</v>
      </c>
      <c r="E231" s="29">
        <f t="shared" si="7"/>
        <v>2.1884698711632098E-2</v>
      </c>
    </row>
    <row r="232" spans="1:5" ht="14.25" customHeight="1" x14ac:dyDescent="0.3">
      <c r="A232" s="27">
        <v>44259</v>
      </c>
      <c r="B232" s="28">
        <v>15080.75</v>
      </c>
      <c r="C232" s="28">
        <v>203.37138366699199</v>
      </c>
      <c r="D232" s="29">
        <f t="shared" si="6"/>
        <v>8.6746730092595939E-3</v>
      </c>
      <c r="E232" s="29">
        <f t="shared" si="7"/>
        <v>-1.0812930524138177E-2</v>
      </c>
    </row>
    <row r="233" spans="1:5" ht="14.25" customHeight="1" x14ac:dyDescent="0.3">
      <c r="A233" s="27">
        <v>44260</v>
      </c>
      <c r="B233" s="28">
        <v>14938.099609375</v>
      </c>
      <c r="C233" s="28">
        <v>198.31869506835901</v>
      </c>
      <c r="D233" s="29">
        <f t="shared" si="6"/>
        <v>-2.4844638943433885E-2</v>
      </c>
      <c r="E233" s="29">
        <f t="shared" si="7"/>
        <v>-9.4591045289524733E-3</v>
      </c>
    </row>
    <row r="234" spans="1:5" ht="14.25" customHeight="1" x14ac:dyDescent="0.3">
      <c r="A234" s="27">
        <v>44263</v>
      </c>
      <c r="B234" s="28">
        <v>14956.2001953125</v>
      </c>
      <c r="C234" s="28">
        <v>199.09602355957</v>
      </c>
      <c r="D234" s="29">
        <f t="shared" si="6"/>
        <v>3.9195926079639383E-3</v>
      </c>
      <c r="E234" s="29">
        <f t="shared" si="7"/>
        <v>1.2117060677611399E-3</v>
      </c>
    </row>
    <row r="235" spans="1:5" ht="14.25" customHeight="1" x14ac:dyDescent="0.3">
      <c r="A235" s="27">
        <v>44264</v>
      </c>
      <c r="B235" s="28">
        <v>15098.400390625</v>
      </c>
      <c r="C235" s="28">
        <v>197.34701538085901</v>
      </c>
      <c r="D235" s="29">
        <f t="shared" si="6"/>
        <v>-8.7847469147855021E-3</v>
      </c>
      <c r="E235" s="29">
        <f t="shared" si="7"/>
        <v>9.5077756017914027E-3</v>
      </c>
    </row>
    <row r="236" spans="1:5" ht="14.25" customHeight="1" x14ac:dyDescent="0.3">
      <c r="A236" s="27">
        <v>44265</v>
      </c>
      <c r="B236" s="28">
        <v>15174.7998046875</v>
      </c>
      <c r="C236" s="28">
        <v>197.05552673339801</v>
      </c>
      <c r="D236" s="29">
        <f t="shared" si="6"/>
        <v>-1.4770360063386409E-3</v>
      </c>
      <c r="E236" s="29">
        <f t="shared" si="7"/>
        <v>5.0600998838220262E-3</v>
      </c>
    </row>
    <row r="237" spans="1:5" ht="14.25" customHeight="1" x14ac:dyDescent="0.3">
      <c r="A237" s="27">
        <v>44267</v>
      </c>
      <c r="B237" s="28">
        <v>15030.9501953125</v>
      </c>
      <c r="C237" s="28">
        <v>195.74374389648401</v>
      </c>
      <c r="D237" s="29">
        <f t="shared" si="6"/>
        <v>-6.656919796463023E-3</v>
      </c>
      <c r="E237" s="29">
        <f t="shared" si="7"/>
        <v>-9.4795062357636382E-3</v>
      </c>
    </row>
    <row r="238" spans="1:5" ht="14.25" customHeight="1" x14ac:dyDescent="0.3">
      <c r="A238" s="27">
        <v>44270</v>
      </c>
      <c r="B238" s="28">
        <v>14929.5</v>
      </c>
      <c r="C238" s="28">
        <v>194.14048767089801</v>
      </c>
      <c r="D238" s="29">
        <f t="shared" si="6"/>
        <v>-8.1905873141664802E-3</v>
      </c>
      <c r="E238" s="29">
        <f t="shared" si="7"/>
        <v>-6.7494199630930788E-3</v>
      </c>
    </row>
    <row r="239" spans="1:5" ht="14.25" customHeight="1" x14ac:dyDescent="0.3">
      <c r="A239" s="27">
        <v>44271</v>
      </c>
      <c r="B239" s="28">
        <v>14910.4501953125</v>
      </c>
      <c r="C239" s="28">
        <v>192.00280761718801</v>
      </c>
      <c r="D239" s="29">
        <f t="shared" si="6"/>
        <v>-1.1010995590645369E-2</v>
      </c>
      <c r="E239" s="29">
        <f t="shared" si="7"/>
        <v>-1.2759841044576174E-3</v>
      </c>
    </row>
    <row r="240" spans="1:5" ht="14.25" customHeight="1" x14ac:dyDescent="0.3">
      <c r="A240" s="27">
        <v>44272</v>
      </c>
      <c r="B240" s="28">
        <v>14721.2998046875</v>
      </c>
      <c r="C240" s="28">
        <v>187.04727172851599</v>
      </c>
      <c r="D240" s="29">
        <f t="shared" si="6"/>
        <v>-2.5809705338019233E-2</v>
      </c>
      <c r="E240" s="29">
        <f t="shared" si="7"/>
        <v>-1.2685759862868828E-2</v>
      </c>
    </row>
    <row r="241" spans="1:5" ht="14.25" customHeight="1" x14ac:dyDescent="0.3">
      <c r="A241" s="27">
        <v>44273</v>
      </c>
      <c r="B241" s="28">
        <v>14557.849609375</v>
      </c>
      <c r="C241" s="28">
        <v>183.063400268555</v>
      </c>
      <c r="D241" s="29">
        <f t="shared" si="6"/>
        <v>-2.1298741345681119E-2</v>
      </c>
      <c r="E241" s="29">
        <f t="shared" si="7"/>
        <v>-1.1102973071742945E-2</v>
      </c>
    </row>
    <row r="242" spans="1:5" ht="14.25" customHeight="1" x14ac:dyDescent="0.3">
      <c r="A242" s="27">
        <v>44274</v>
      </c>
      <c r="B242" s="28">
        <v>14744</v>
      </c>
      <c r="C242" s="28">
        <v>181.89739990234401</v>
      </c>
      <c r="D242" s="29">
        <f t="shared" si="6"/>
        <v>-6.3693800317292564E-3</v>
      </c>
      <c r="E242" s="29">
        <f t="shared" si="7"/>
        <v>1.2786942826028538E-2</v>
      </c>
    </row>
    <row r="243" spans="1:5" ht="14.25" customHeight="1" x14ac:dyDescent="0.3">
      <c r="A243" s="27">
        <v>44277</v>
      </c>
      <c r="B243" s="28">
        <v>14736.400390625</v>
      </c>
      <c r="C243" s="28">
        <v>184.035079956055</v>
      </c>
      <c r="D243" s="29">
        <f t="shared" si="6"/>
        <v>1.1752119903080853E-2</v>
      </c>
      <c r="E243" s="29">
        <f t="shared" si="7"/>
        <v>-5.1543742369777532E-4</v>
      </c>
    </row>
    <row r="244" spans="1:5" ht="14.25" customHeight="1" x14ac:dyDescent="0.3">
      <c r="A244" s="27">
        <v>44278</v>
      </c>
      <c r="B244" s="28">
        <v>14814.75</v>
      </c>
      <c r="C244" s="28">
        <v>184.132247924805</v>
      </c>
      <c r="D244" s="29">
        <f t="shared" si="6"/>
        <v>5.2798612510833454E-4</v>
      </c>
      <c r="E244" s="29">
        <f t="shared" si="7"/>
        <v>5.3167399974314239E-3</v>
      </c>
    </row>
    <row r="245" spans="1:5" ht="14.25" customHeight="1" x14ac:dyDescent="0.3">
      <c r="A245" s="27">
        <v>44279</v>
      </c>
      <c r="B245" s="28">
        <v>14549.400390625</v>
      </c>
      <c r="C245" s="28">
        <v>178.35078430175801</v>
      </c>
      <c r="D245" s="29">
        <f t="shared" si="6"/>
        <v>-3.1398430683407468E-2</v>
      </c>
      <c r="E245" s="29">
        <f t="shared" si="7"/>
        <v>-1.7911176994211849E-2</v>
      </c>
    </row>
    <row r="246" spans="1:5" ht="14.25" customHeight="1" x14ac:dyDescent="0.3">
      <c r="A246" s="27">
        <v>44280</v>
      </c>
      <c r="B246" s="28">
        <v>14324.900390625</v>
      </c>
      <c r="C246" s="28">
        <v>175.97018432617199</v>
      </c>
      <c r="D246" s="29">
        <f t="shared" si="6"/>
        <v>-1.3347852575507609E-2</v>
      </c>
      <c r="E246" s="29">
        <f t="shared" si="7"/>
        <v>-1.5430189146808966E-2</v>
      </c>
    </row>
    <row r="247" spans="1:5" ht="14.25" customHeight="1" x14ac:dyDescent="0.3">
      <c r="A247" s="27">
        <v>44281</v>
      </c>
      <c r="B247" s="28">
        <v>14507.2998046875</v>
      </c>
      <c r="C247" s="28">
        <v>177.23335266113301</v>
      </c>
      <c r="D247" s="29">
        <f t="shared" si="6"/>
        <v>7.1783088697552275E-3</v>
      </c>
      <c r="E247" s="29">
        <f t="shared" si="7"/>
        <v>1.2733031929623202E-2</v>
      </c>
    </row>
    <row r="248" spans="1:5" ht="14.25" customHeight="1" x14ac:dyDescent="0.3">
      <c r="A248" s="27">
        <v>44285</v>
      </c>
      <c r="B248" s="28">
        <v>14845.099609375</v>
      </c>
      <c r="C248" s="28">
        <v>180.92572021484401</v>
      </c>
      <c r="D248" s="29">
        <f t="shared" si="6"/>
        <v>2.0833367412344417E-2</v>
      </c>
      <c r="E248" s="29">
        <f t="shared" si="7"/>
        <v>2.3284815867550514E-2</v>
      </c>
    </row>
    <row r="249" spans="1:5" ht="14.25" customHeight="1" x14ac:dyDescent="0.3">
      <c r="A249" s="27">
        <v>44286</v>
      </c>
      <c r="B249" s="28">
        <v>14690.7001953125</v>
      </c>
      <c r="C249" s="28">
        <v>178.39938354492199</v>
      </c>
      <c r="D249" s="29">
        <f t="shared" si="6"/>
        <v>-1.3963391533951425E-2</v>
      </c>
      <c r="E249" s="29">
        <f t="shared" si="7"/>
        <v>-1.0400699094332345E-2</v>
      </c>
    </row>
    <row r="250" spans="1:5" ht="14.25" customHeight="1" x14ac:dyDescent="0.3">
      <c r="A250" s="27">
        <v>44287</v>
      </c>
      <c r="B250" s="28">
        <v>14867.349609375</v>
      </c>
      <c r="C250" s="28">
        <v>180.53704833984401</v>
      </c>
      <c r="D250" s="29">
        <f t="shared" si="6"/>
        <v>1.1982467385509439E-2</v>
      </c>
      <c r="E250" s="29">
        <f t="shared" si="7"/>
        <v>1.2024574166918552E-2</v>
      </c>
    </row>
    <row r="251" spans="1:5" ht="14.25" customHeight="1" x14ac:dyDescent="0.3">
      <c r="A251" s="27">
        <v>44291</v>
      </c>
      <c r="B251" s="28">
        <v>14637.7998046875</v>
      </c>
      <c r="C251" s="28">
        <v>177.47625732421901</v>
      </c>
      <c r="D251" s="29">
        <f t="shared" si="6"/>
        <v>-1.6953811108417753E-2</v>
      </c>
      <c r="E251" s="29">
        <f t="shared" si="7"/>
        <v>-1.5439860548026079E-2</v>
      </c>
    </row>
    <row r="252" spans="1:5" ht="14.25" customHeight="1" x14ac:dyDescent="0.3">
      <c r="A252" s="27">
        <v>44292</v>
      </c>
      <c r="B252" s="28">
        <v>14683.5</v>
      </c>
      <c r="C252" s="28">
        <v>178.39938354492199</v>
      </c>
      <c r="D252" s="29">
        <f t="shared" si="6"/>
        <v>5.2014068508137844E-3</v>
      </c>
      <c r="E252" s="29">
        <f t="shared" si="7"/>
        <v>3.1220672452334885E-3</v>
      </c>
    </row>
    <row r="253" spans="1:5" ht="14.25" customHeight="1" x14ac:dyDescent="0.3">
      <c r="A253" s="27">
        <v>44293</v>
      </c>
      <c r="B253" s="28">
        <v>14819.0498046875</v>
      </c>
      <c r="C253" s="28">
        <v>180.29414367675801</v>
      </c>
      <c r="D253" s="29">
        <f t="shared" si="6"/>
        <v>1.0620889457047431E-2</v>
      </c>
      <c r="E253" s="29">
        <f t="shared" si="7"/>
        <v>9.231436965811966E-3</v>
      </c>
    </row>
    <row r="254" spans="1:5" ht="14.25" customHeight="1" x14ac:dyDescent="0.3">
      <c r="A254" s="27">
        <v>44294</v>
      </c>
      <c r="B254" s="28">
        <v>14873.7998046875</v>
      </c>
      <c r="C254" s="28">
        <v>181.02288818359401</v>
      </c>
      <c r="D254" s="29">
        <f t="shared" si="6"/>
        <v>4.0419754739373596E-3</v>
      </c>
      <c r="E254" s="29">
        <f t="shared" si="7"/>
        <v>3.6945688638337464E-3</v>
      </c>
    </row>
    <row r="255" spans="1:5" ht="14.25" customHeight="1" x14ac:dyDescent="0.3">
      <c r="A255" s="27">
        <v>44295</v>
      </c>
      <c r="B255" s="28">
        <v>14834.849609375</v>
      </c>
      <c r="C255" s="28">
        <v>180.97431945800801</v>
      </c>
      <c r="D255" s="29">
        <f t="shared" si="6"/>
        <v>-2.6830157265381703E-4</v>
      </c>
      <c r="E255" s="29">
        <f t="shared" si="7"/>
        <v>-2.6187118170183242E-3</v>
      </c>
    </row>
    <row r="256" spans="1:5" ht="14.25" customHeight="1" x14ac:dyDescent="0.3">
      <c r="A256" s="27">
        <v>44298</v>
      </c>
      <c r="B256" s="28">
        <v>14310.7998046875</v>
      </c>
      <c r="C256" s="28">
        <v>171.30615234375</v>
      </c>
      <c r="D256" s="29">
        <f t="shared" si="6"/>
        <v>-5.3422867637865849E-2</v>
      </c>
      <c r="E256" s="29">
        <f t="shared" si="7"/>
        <v>-3.5325589304007678E-2</v>
      </c>
    </row>
    <row r="257" spans="1:5" ht="14.25" customHeight="1" x14ac:dyDescent="0.3">
      <c r="A257" s="27">
        <v>44299</v>
      </c>
      <c r="B257" s="28">
        <v>14504.7998046875</v>
      </c>
      <c r="C257" s="28">
        <v>174.36691284179699</v>
      </c>
      <c r="D257" s="29">
        <f t="shared" si="6"/>
        <v>1.7867195405248143E-2</v>
      </c>
      <c r="E257" s="29">
        <f t="shared" si="7"/>
        <v>1.3556195506030022E-2</v>
      </c>
    </row>
    <row r="258" spans="1:5" ht="14.25" customHeight="1" x14ac:dyDescent="0.3">
      <c r="A258" s="27">
        <v>44301</v>
      </c>
      <c r="B258" s="28">
        <v>14581.4501953125</v>
      </c>
      <c r="C258" s="28">
        <v>172.61788940429699</v>
      </c>
      <c r="D258" s="29">
        <f t="shared" si="6"/>
        <v>-1.0030707139300495E-2</v>
      </c>
      <c r="E258" s="29">
        <f t="shared" si="7"/>
        <v>5.2844845607747703E-3</v>
      </c>
    </row>
    <row r="259" spans="1:5" ht="14.25" customHeight="1" x14ac:dyDescent="0.3">
      <c r="A259" s="27">
        <v>44302</v>
      </c>
      <c r="B259" s="28">
        <v>14617.849609375</v>
      </c>
      <c r="C259" s="28">
        <v>172.47215270996099</v>
      </c>
      <c r="D259" s="29">
        <f t="shared" ref="D259:D322" si="8">(C259-C258)/C258</f>
        <v>-8.4427341128390893E-4</v>
      </c>
      <c r="E259" s="29">
        <f t="shared" ref="E259:E322" si="9">(B259-B258)/B258</f>
        <v>2.4962821650072447E-3</v>
      </c>
    </row>
    <row r="260" spans="1:5" ht="14.25" customHeight="1" x14ac:dyDescent="0.3">
      <c r="A260" s="27">
        <v>44305</v>
      </c>
      <c r="B260" s="28">
        <v>14359.4501953125</v>
      </c>
      <c r="C260" s="28">
        <v>168.148193359375</v>
      </c>
      <c r="D260" s="29">
        <f t="shared" si="8"/>
        <v>-2.5070478234578603E-2</v>
      </c>
      <c r="E260" s="29">
        <f t="shared" si="9"/>
        <v>-1.7676978554819603E-2</v>
      </c>
    </row>
    <row r="261" spans="1:5" ht="14.25" customHeight="1" x14ac:dyDescent="0.3">
      <c r="A261" s="27">
        <v>44306</v>
      </c>
      <c r="B261" s="28">
        <v>14296.400390625</v>
      </c>
      <c r="C261" s="28">
        <v>168.53688049316401</v>
      </c>
      <c r="D261" s="29">
        <f t="shared" si="8"/>
        <v>2.3115748437349155E-3</v>
      </c>
      <c r="E261" s="29">
        <f t="shared" si="9"/>
        <v>-4.390823034999069E-3</v>
      </c>
    </row>
    <row r="262" spans="1:5" ht="14.25" customHeight="1" x14ac:dyDescent="0.3">
      <c r="A262" s="27">
        <v>44308</v>
      </c>
      <c r="B262" s="28">
        <v>14406.150390625</v>
      </c>
      <c r="C262" s="28">
        <v>166.98220825195301</v>
      </c>
      <c r="D262" s="29">
        <f t="shared" si="8"/>
        <v>-9.2245224704633894E-3</v>
      </c>
      <c r="E262" s="29">
        <f t="shared" si="9"/>
        <v>7.6767575754222439E-3</v>
      </c>
    </row>
    <row r="263" spans="1:5" ht="14.25" customHeight="1" x14ac:dyDescent="0.3">
      <c r="A263" s="27">
        <v>44309</v>
      </c>
      <c r="B263" s="28">
        <v>14341.349609375</v>
      </c>
      <c r="C263" s="28">
        <v>166.25343322753901</v>
      </c>
      <c r="D263" s="29">
        <f t="shared" si="8"/>
        <v>-4.3643872724115924E-3</v>
      </c>
      <c r="E263" s="29">
        <f t="shared" si="9"/>
        <v>-4.4981330537941623E-3</v>
      </c>
    </row>
    <row r="264" spans="1:5" ht="14.25" customHeight="1" x14ac:dyDescent="0.3">
      <c r="A264" s="27">
        <v>44312</v>
      </c>
      <c r="B264" s="28">
        <v>14485</v>
      </c>
      <c r="C264" s="28">
        <v>166.69070434570301</v>
      </c>
      <c r="D264" s="29">
        <f t="shared" si="8"/>
        <v>2.6301478993552238E-3</v>
      </c>
      <c r="E264" s="29">
        <f t="shared" si="9"/>
        <v>1.001651828716979E-2</v>
      </c>
    </row>
    <row r="265" spans="1:5" ht="14.25" customHeight="1" x14ac:dyDescent="0.3">
      <c r="A265" s="27">
        <v>44313</v>
      </c>
      <c r="B265" s="28">
        <v>14653.0498046875</v>
      </c>
      <c r="C265" s="28">
        <v>168.19679260253901</v>
      </c>
      <c r="D265" s="29">
        <f t="shared" si="8"/>
        <v>9.0352264257789038E-3</v>
      </c>
      <c r="E265" s="29">
        <f t="shared" si="9"/>
        <v>1.1601643402657923E-2</v>
      </c>
    </row>
    <row r="266" spans="1:5" ht="14.25" customHeight="1" x14ac:dyDescent="0.3">
      <c r="A266" s="27">
        <v>44314</v>
      </c>
      <c r="B266" s="28">
        <v>14864.5498046875</v>
      </c>
      <c r="C266" s="28">
        <v>171.79197692871099</v>
      </c>
      <c r="D266" s="29">
        <f t="shared" si="8"/>
        <v>2.137486851290717E-2</v>
      </c>
      <c r="E266" s="29">
        <f t="shared" si="9"/>
        <v>1.4433855260107101E-2</v>
      </c>
    </row>
    <row r="267" spans="1:5" ht="14.25" customHeight="1" x14ac:dyDescent="0.3">
      <c r="A267" s="27">
        <v>44315</v>
      </c>
      <c r="B267" s="28">
        <v>14894.900390625</v>
      </c>
      <c r="C267" s="28">
        <v>173.15232849121099</v>
      </c>
      <c r="D267" s="29">
        <f t="shared" si="8"/>
        <v>7.9185977530516986E-3</v>
      </c>
      <c r="E267" s="29">
        <f t="shared" si="9"/>
        <v>2.0418099664161384E-3</v>
      </c>
    </row>
    <row r="268" spans="1:5" ht="14.25" customHeight="1" x14ac:dyDescent="0.3">
      <c r="A268" s="27">
        <v>44316</v>
      </c>
      <c r="B268" s="28">
        <v>14631.099609375</v>
      </c>
      <c r="C268" s="28">
        <v>172.90939331054699</v>
      </c>
      <c r="D268" s="29">
        <f t="shared" si="8"/>
        <v>-1.4030142290366991E-3</v>
      </c>
      <c r="E268" s="29">
        <f t="shared" si="9"/>
        <v>-1.7710812045177479E-2</v>
      </c>
    </row>
    <row r="269" spans="1:5" ht="14.25" customHeight="1" x14ac:dyDescent="0.3">
      <c r="A269" s="27">
        <v>44319</v>
      </c>
      <c r="B269" s="28">
        <v>14634.150390625</v>
      </c>
      <c r="C269" s="28">
        <v>176.55319213867199</v>
      </c>
      <c r="D269" s="29">
        <f t="shared" si="8"/>
        <v>2.1073457944420063E-2</v>
      </c>
      <c r="E269" s="29">
        <f t="shared" si="9"/>
        <v>2.0851346320171222E-4</v>
      </c>
    </row>
    <row r="270" spans="1:5" ht="14.25" customHeight="1" x14ac:dyDescent="0.3">
      <c r="A270" s="27">
        <v>44320</v>
      </c>
      <c r="B270" s="28">
        <v>14496.5</v>
      </c>
      <c r="C270" s="28">
        <v>176.31027221679699</v>
      </c>
      <c r="D270" s="29">
        <f t="shared" si="8"/>
        <v>-1.3759021795777043E-3</v>
      </c>
      <c r="E270" s="29">
        <f t="shared" si="9"/>
        <v>-9.4061074234403283E-3</v>
      </c>
    </row>
    <row r="271" spans="1:5" ht="14.25" customHeight="1" x14ac:dyDescent="0.3">
      <c r="A271" s="27">
        <v>44321</v>
      </c>
      <c r="B271" s="28">
        <v>14617.849609375</v>
      </c>
      <c r="C271" s="28">
        <v>177.62202453613301</v>
      </c>
      <c r="D271" s="29">
        <f t="shared" si="8"/>
        <v>7.4400220863084388E-3</v>
      </c>
      <c r="E271" s="29">
        <f t="shared" si="9"/>
        <v>8.3709591539337085E-3</v>
      </c>
    </row>
    <row r="272" spans="1:5" ht="14.25" customHeight="1" x14ac:dyDescent="0.3">
      <c r="A272" s="27">
        <v>44322</v>
      </c>
      <c r="B272" s="28">
        <v>14724.7998046875</v>
      </c>
      <c r="C272" s="28">
        <v>177.62202453613301</v>
      </c>
      <c r="D272" s="29">
        <f t="shared" si="8"/>
        <v>0</v>
      </c>
      <c r="E272" s="29">
        <f t="shared" si="9"/>
        <v>7.3164109749705355E-3</v>
      </c>
    </row>
    <row r="273" spans="1:5" ht="14.25" customHeight="1" x14ac:dyDescent="0.3">
      <c r="A273" s="27">
        <v>44323</v>
      </c>
      <c r="B273" s="28">
        <v>14823.150390625</v>
      </c>
      <c r="C273" s="28">
        <v>178.20503234863301</v>
      </c>
      <c r="D273" s="29">
        <f t="shared" si="8"/>
        <v>3.2822946029499897E-3</v>
      </c>
      <c r="E273" s="29">
        <f t="shared" si="9"/>
        <v>6.6792477481555316E-3</v>
      </c>
    </row>
    <row r="274" spans="1:5" ht="14.25" customHeight="1" x14ac:dyDescent="0.3">
      <c r="A274" s="27">
        <v>44326</v>
      </c>
      <c r="B274" s="28">
        <v>14942.349609375</v>
      </c>
      <c r="C274" s="28">
        <v>180.24554443359401</v>
      </c>
      <c r="D274" s="29">
        <f t="shared" si="8"/>
        <v>1.1450361743820008E-2</v>
      </c>
      <c r="E274" s="29">
        <f t="shared" si="9"/>
        <v>8.041422748121637E-3</v>
      </c>
    </row>
    <row r="275" spans="1:5" ht="14.25" customHeight="1" x14ac:dyDescent="0.3">
      <c r="A275" s="27">
        <v>44327</v>
      </c>
      <c r="B275" s="28">
        <v>14850.75</v>
      </c>
      <c r="C275" s="28">
        <v>181.31439208984401</v>
      </c>
      <c r="D275" s="29">
        <f t="shared" si="8"/>
        <v>5.9299532735123135E-3</v>
      </c>
      <c r="E275" s="29">
        <f t="shared" si="9"/>
        <v>-6.1302011912189071E-3</v>
      </c>
    </row>
    <row r="276" spans="1:5" ht="14.25" customHeight="1" x14ac:dyDescent="0.3">
      <c r="A276" s="27">
        <v>44328</v>
      </c>
      <c r="B276" s="28">
        <v>14696.5</v>
      </c>
      <c r="C276" s="28">
        <v>181.07147216796901</v>
      </c>
      <c r="D276" s="29">
        <f t="shared" si="8"/>
        <v>-1.3397718684936468E-3</v>
      </c>
      <c r="E276" s="29">
        <f t="shared" si="9"/>
        <v>-1.0386680807366631E-2</v>
      </c>
    </row>
    <row r="277" spans="1:5" ht="14.25" customHeight="1" x14ac:dyDescent="0.3">
      <c r="A277" s="27">
        <v>44330</v>
      </c>
      <c r="B277" s="28">
        <v>14677.7998046875</v>
      </c>
      <c r="C277" s="28">
        <v>176.21310424804699</v>
      </c>
      <c r="D277" s="29">
        <f t="shared" si="8"/>
        <v>-2.6831216766245787E-2</v>
      </c>
      <c r="E277" s="29">
        <f t="shared" si="9"/>
        <v>-1.2724250884564353E-3</v>
      </c>
    </row>
    <row r="278" spans="1:5" ht="14.25" customHeight="1" x14ac:dyDescent="0.3">
      <c r="A278" s="27">
        <v>44333</v>
      </c>
      <c r="B278" s="28">
        <v>14923.150390625</v>
      </c>
      <c r="C278" s="28">
        <v>178.64228820800801</v>
      </c>
      <c r="D278" s="29">
        <f t="shared" si="8"/>
        <v>1.3785489849503891E-2</v>
      </c>
      <c r="E278" s="29">
        <f t="shared" si="9"/>
        <v>1.6715760481972569E-2</v>
      </c>
    </row>
    <row r="279" spans="1:5" ht="14.25" customHeight="1" x14ac:dyDescent="0.3">
      <c r="A279" s="27">
        <v>44334</v>
      </c>
      <c r="B279" s="28">
        <v>15108.099609375</v>
      </c>
      <c r="C279" s="28">
        <v>182.04315185546901</v>
      </c>
      <c r="D279" s="29">
        <f t="shared" si="8"/>
        <v>1.9037282166365261E-2</v>
      </c>
      <c r="E279" s="29">
        <f t="shared" si="9"/>
        <v>1.239344333527514E-2</v>
      </c>
    </row>
    <row r="280" spans="1:5" ht="14.25" customHeight="1" x14ac:dyDescent="0.3">
      <c r="A280" s="27">
        <v>44335</v>
      </c>
      <c r="B280" s="28">
        <v>15030.150390625</v>
      </c>
      <c r="C280" s="28">
        <v>181.94598388671901</v>
      </c>
      <c r="D280" s="29">
        <f t="shared" si="8"/>
        <v>-5.3376338389891952E-4</v>
      </c>
      <c r="E280" s="29">
        <f t="shared" si="9"/>
        <v>-5.1594324081388979E-3</v>
      </c>
    </row>
    <row r="281" spans="1:5" ht="14.25" customHeight="1" x14ac:dyDescent="0.3">
      <c r="A281" s="27">
        <v>44336</v>
      </c>
      <c r="B281" s="28">
        <v>14906.0498046875</v>
      </c>
      <c r="C281" s="28">
        <v>181.65446472168</v>
      </c>
      <c r="D281" s="29">
        <f t="shared" si="8"/>
        <v>-1.6022291825935975E-3</v>
      </c>
      <c r="E281" s="29">
        <f t="shared" si="9"/>
        <v>-8.2567760609306533E-3</v>
      </c>
    </row>
    <row r="282" spans="1:5" ht="14.25" customHeight="1" x14ac:dyDescent="0.3">
      <c r="A282" s="27">
        <v>44337</v>
      </c>
      <c r="B282" s="28">
        <v>15175.2998046875</v>
      </c>
      <c r="C282" s="28">
        <v>181.84881591796901</v>
      </c>
      <c r="D282" s="29">
        <f t="shared" si="8"/>
        <v>1.0698949601199114E-3</v>
      </c>
      <c r="E282" s="29">
        <f t="shared" si="9"/>
        <v>1.8063135674974671E-2</v>
      </c>
    </row>
    <row r="283" spans="1:5" ht="14.25" customHeight="1" x14ac:dyDescent="0.3">
      <c r="A283" s="27">
        <v>44340</v>
      </c>
      <c r="B283" s="28">
        <v>15197.7001953125</v>
      </c>
      <c r="C283" s="28">
        <v>187.33876037597699</v>
      </c>
      <c r="D283" s="29">
        <f t="shared" si="8"/>
        <v>3.0189607946000962E-2</v>
      </c>
      <c r="E283" s="29">
        <f t="shared" si="9"/>
        <v>1.4761086049898495E-3</v>
      </c>
    </row>
    <row r="284" spans="1:5" ht="14.25" customHeight="1" x14ac:dyDescent="0.3">
      <c r="A284" s="27">
        <v>44341</v>
      </c>
      <c r="B284" s="28">
        <v>15208.4501953125</v>
      </c>
      <c r="C284" s="28">
        <v>185.05532836914099</v>
      </c>
      <c r="D284" s="29">
        <f t="shared" si="8"/>
        <v>-1.2188785717666175E-2</v>
      </c>
      <c r="E284" s="29">
        <f t="shared" si="9"/>
        <v>7.0734386531165255E-4</v>
      </c>
    </row>
    <row r="285" spans="1:5" ht="14.25" customHeight="1" x14ac:dyDescent="0.3">
      <c r="A285" s="27">
        <v>44342</v>
      </c>
      <c r="B285" s="28">
        <v>15301.4501953125</v>
      </c>
      <c r="C285" s="28">
        <v>184.812423706055</v>
      </c>
      <c r="D285" s="29">
        <f t="shared" si="8"/>
        <v>-1.3126056149080874E-3</v>
      </c>
      <c r="E285" s="29">
        <f t="shared" si="9"/>
        <v>6.1150215048647203E-3</v>
      </c>
    </row>
    <row r="286" spans="1:5" ht="14.25" customHeight="1" x14ac:dyDescent="0.3">
      <c r="A286" s="27">
        <v>44343</v>
      </c>
      <c r="B286" s="28">
        <v>15337.849609375</v>
      </c>
      <c r="C286" s="28">
        <v>183.50067138671901</v>
      </c>
      <c r="D286" s="29">
        <f t="shared" si="8"/>
        <v>-7.0977496698076013E-3</v>
      </c>
      <c r="E286" s="29">
        <f t="shared" si="9"/>
        <v>2.3788211965458492E-3</v>
      </c>
    </row>
    <row r="287" spans="1:5" ht="14.25" customHeight="1" x14ac:dyDescent="0.3">
      <c r="A287" s="27">
        <v>44344</v>
      </c>
      <c r="B287" s="28">
        <v>15435.650390625</v>
      </c>
      <c r="C287" s="28">
        <v>186.46424865722699</v>
      </c>
      <c r="D287" s="29">
        <f t="shared" si="8"/>
        <v>1.6150225762729682E-2</v>
      </c>
      <c r="E287" s="29">
        <f t="shared" si="9"/>
        <v>6.3764337075140533E-3</v>
      </c>
    </row>
    <row r="288" spans="1:5" ht="14.25" customHeight="1" x14ac:dyDescent="0.3">
      <c r="A288" s="27">
        <v>44347</v>
      </c>
      <c r="B288" s="28">
        <v>15582.7998046875</v>
      </c>
      <c r="C288" s="28">
        <v>185.88125610351599</v>
      </c>
      <c r="D288" s="29">
        <f t="shared" si="8"/>
        <v>-3.1265647860609269E-3</v>
      </c>
      <c r="E288" s="29">
        <f t="shared" si="9"/>
        <v>9.5330880357249285E-3</v>
      </c>
    </row>
    <row r="289" spans="1:5" ht="14.25" customHeight="1" x14ac:dyDescent="0.3">
      <c r="A289" s="27">
        <v>44348</v>
      </c>
      <c r="B289" s="28">
        <v>15574.849609375</v>
      </c>
      <c r="C289" s="28">
        <v>184.618087768555</v>
      </c>
      <c r="D289" s="29">
        <f t="shared" si="8"/>
        <v>-6.7955659512949742E-3</v>
      </c>
      <c r="E289" s="29">
        <f t="shared" si="9"/>
        <v>-5.1019042868717874E-4</v>
      </c>
    </row>
    <row r="290" spans="1:5" ht="14.25" customHeight="1" x14ac:dyDescent="0.3">
      <c r="A290" s="27">
        <v>44349</v>
      </c>
      <c r="B290" s="28">
        <v>15576.2001953125</v>
      </c>
      <c r="C290" s="28">
        <v>187.67884826660199</v>
      </c>
      <c r="D290" s="29">
        <f t="shared" si="8"/>
        <v>1.6578876615188903E-2</v>
      </c>
      <c r="E290" s="29">
        <f t="shared" si="9"/>
        <v>8.6715825280716621E-5</v>
      </c>
    </row>
    <row r="291" spans="1:5" ht="14.25" customHeight="1" x14ac:dyDescent="0.3">
      <c r="A291" s="27">
        <v>44350</v>
      </c>
      <c r="B291" s="28">
        <v>15690.349609375</v>
      </c>
      <c r="C291" s="28">
        <v>187.38737487793</v>
      </c>
      <c r="D291" s="29">
        <f t="shared" si="8"/>
        <v>-1.5530433576507474E-3</v>
      </c>
      <c r="E291" s="29">
        <f t="shared" si="9"/>
        <v>7.3284506253875779E-3</v>
      </c>
    </row>
    <row r="292" spans="1:5" ht="14.25" customHeight="1" x14ac:dyDescent="0.3">
      <c r="A292" s="27">
        <v>44351</v>
      </c>
      <c r="B292" s="28">
        <v>15670.25</v>
      </c>
      <c r="C292" s="28">
        <v>188.06753540039099</v>
      </c>
      <c r="D292" s="29">
        <f t="shared" si="8"/>
        <v>3.6297030304420037E-3</v>
      </c>
      <c r="E292" s="29">
        <f t="shared" si="9"/>
        <v>-1.2810173052479636E-3</v>
      </c>
    </row>
    <row r="293" spans="1:5" ht="14.25" customHeight="1" x14ac:dyDescent="0.3">
      <c r="A293" s="27">
        <v>44354</v>
      </c>
      <c r="B293" s="28">
        <v>15751.650390625</v>
      </c>
      <c r="C293" s="28">
        <v>191.32263183593801</v>
      </c>
      <c r="D293" s="29">
        <f t="shared" si="8"/>
        <v>1.7308125129714705E-2</v>
      </c>
      <c r="E293" s="29">
        <f t="shared" si="9"/>
        <v>5.1945814919991708E-3</v>
      </c>
    </row>
    <row r="294" spans="1:5" ht="14.25" customHeight="1" x14ac:dyDescent="0.3">
      <c r="A294" s="27">
        <v>44355</v>
      </c>
      <c r="B294" s="28">
        <v>15740.099609375</v>
      </c>
      <c r="C294" s="28">
        <v>191.12828063964801</v>
      </c>
      <c r="D294" s="29">
        <f t="shared" si="8"/>
        <v>-1.0158296194496188E-3</v>
      </c>
      <c r="E294" s="29">
        <f t="shared" si="9"/>
        <v>-7.3330609577741419E-4</v>
      </c>
    </row>
    <row r="295" spans="1:5" ht="14.25" customHeight="1" x14ac:dyDescent="0.3">
      <c r="A295" s="27">
        <v>44356</v>
      </c>
      <c r="B295" s="28">
        <v>15635.349609375</v>
      </c>
      <c r="C295" s="28">
        <v>188.50477600097699</v>
      </c>
      <c r="D295" s="29">
        <f t="shared" si="8"/>
        <v>-1.3726407363112111E-2</v>
      </c>
      <c r="E295" s="29">
        <f t="shared" si="9"/>
        <v>-6.6549769442125761E-3</v>
      </c>
    </row>
    <row r="296" spans="1:5" ht="14.25" customHeight="1" x14ac:dyDescent="0.3">
      <c r="A296" s="27">
        <v>44357</v>
      </c>
      <c r="B296" s="28">
        <v>15737.75</v>
      </c>
      <c r="C296" s="28">
        <v>186.80435180664099</v>
      </c>
      <c r="D296" s="29">
        <f t="shared" si="8"/>
        <v>-9.0205894535382025E-3</v>
      </c>
      <c r="E296" s="29">
        <f t="shared" si="9"/>
        <v>6.5492869160789623E-3</v>
      </c>
    </row>
    <row r="297" spans="1:5" ht="14.25" customHeight="1" x14ac:dyDescent="0.3">
      <c r="A297" s="27">
        <v>44358</v>
      </c>
      <c r="B297" s="28">
        <v>15799.349609375</v>
      </c>
      <c r="C297" s="28">
        <v>186.12417602539099</v>
      </c>
      <c r="D297" s="29">
        <f t="shared" si="8"/>
        <v>-3.6411131468395449E-3</v>
      </c>
      <c r="E297" s="29">
        <f t="shared" si="9"/>
        <v>3.9141306333497486E-3</v>
      </c>
    </row>
    <row r="298" spans="1:5" ht="14.25" customHeight="1" x14ac:dyDescent="0.3">
      <c r="A298" s="27">
        <v>44361</v>
      </c>
      <c r="B298" s="28">
        <v>15811.849609375</v>
      </c>
      <c r="C298" s="28">
        <v>185.78408813476599</v>
      </c>
      <c r="D298" s="29">
        <f t="shared" si="8"/>
        <v>-1.8272096505002409E-3</v>
      </c>
      <c r="E298" s="29">
        <f t="shared" si="9"/>
        <v>7.9117180827385227E-4</v>
      </c>
    </row>
    <row r="299" spans="1:5" ht="14.25" customHeight="1" x14ac:dyDescent="0.3">
      <c r="A299" s="27">
        <v>44362</v>
      </c>
      <c r="B299" s="28">
        <v>15869.25</v>
      </c>
      <c r="C299" s="28">
        <v>187.82460021972699</v>
      </c>
      <c r="D299" s="29">
        <f t="shared" si="8"/>
        <v>1.0983244611781965E-2</v>
      </c>
      <c r="E299" s="29">
        <f t="shared" si="9"/>
        <v>3.630213545097643E-3</v>
      </c>
    </row>
    <row r="300" spans="1:5" ht="14.25" customHeight="1" x14ac:dyDescent="0.3">
      <c r="A300" s="27">
        <v>44363</v>
      </c>
      <c r="B300" s="28">
        <v>15767.5498046875</v>
      </c>
      <c r="C300" s="28">
        <v>185.63833618164099</v>
      </c>
      <c r="D300" s="29">
        <f t="shared" si="8"/>
        <v>-1.1639923820034164E-2</v>
      </c>
      <c r="E300" s="29">
        <f t="shared" si="9"/>
        <v>-6.4086327528081041E-3</v>
      </c>
    </row>
    <row r="301" spans="1:5" ht="14.25" customHeight="1" x14ac:dyDescent="0.3">
      <c r="A301" s="27">
        <v>44364</v>
      </c>
      <c r="B301" s="28">
        <v>15691.400390625</v>
      </c>
      <c r="C301" s="28">
        <v>182.43182373046901</v>
      </c>
      <c r="D301" s="29">
        <f t="shared" si="8"/>
        <v>-1.7272900183906637E-2</v>
      </c>
      <c r="E301" s="29">
        <f t="shared" si="9"/>
        <v>-4.829502047290931E-3</v>
      </c>
    </row>
    <row r="302" spans="1:5" ht="14.25" customHeight="1" x14ac:dyDescent="0.3">
      <c r="A302" s="27">
        <v>44365</v>
      </c>
      <c r="B302" s="28">
        <v>15683.349609375</v>
      </c>
      <c r="C302" s="28">
        <v>179.66255187988301</v>
      </c>
      <c r="D302" s="29">
        <f t="shared" si="8"/>
        <v>-1.5179763014798399E-2</v>
      </c>
      <c r="E302" s="29">
        <f t="shared" si="9"/>
        <v>-5.1306964640390079E-4</v>
      </c>
    </row>
    <row r="303" spans="1:5" ht="14.25" customHeight="1" x14ac:dyDescent="0.3">
      <c r="A303" s="27">
        <v>44368</v>
      </c>
      <c r="B303" s="28">
        <v>15746.5</v>
      </c>
      <c r="C303" s="28">
        <v>180.24554443359401</v>
      </c>
      <c r="D303" s="29">
        <f t="shared" si="8"/>
        <v>3.2449308306650663E-3</v>
      </c>
      <c r="E303" s="29">
        <f t="shared" si="9"/>
        <v>4.0265882096545708E-3</v>
      </c>
    </row>
    <row r="304" spans="1:5" ht="14.25" customHeight="1" x14ac:dyDescent="0.3">
      <c r="A304" s="27">
        <v>44369</v>
      </c>
      <c r="B304" s="28">
        <v>15772.75</v>
      </c>
      <c r="C304" s="28">
        <v>180.58563232421901</v>
      </c>
      <c r="D304" s="29">
        <f t="shared" si="8"/>
        <v>1.8868033142993726E-3</v>
      </c>
      <c r="E304" s="29">
        <f t="shared" si="9"/>
        <v>1.6670371193598578E-3</v>
      </c>
    </row>
    <row r="305" spans="1:5" ht="14.25" customHeight="1" x14ac:dyDescent="0.3">
      <c r="A305" s="27">
        <v>44370</v>
      </c>
      <c r="B305" s="28">
        <v>15686.9501953125</v>
      </c>
      <c r="C305" s="28">
        <v>179.46820068359401</v>
      </c>
      <c r="D305" s="29">
        <f t="shared" si="8"/>
        <v>-6.1878214021965526E-3</v>
      </c>
      <c r="E305" s="29">
        <f t="shared" si="9"/>
        <v>-5.4397492312691191E-3</v>
      </c>
    </row>
    <row r="306" spans="1:5" ht="14.25" customHeight="1" x14ac:dyDescent="0.3">
      <c r="A306" s="27">
        <v>44371</v>
      </c>
      <c r="B306" s="28">
        <v>15790.4501953125</v>
      </c>
      <c r="C306" s="28">
        <v>176.74751281738301</v>
      </c>
      <c r="D306" s="29">
        <f t="shared" si="8"/>
        <v>-1.5159721086230874E-2</v>
      </c>
      <c r="E306" s="29">
        <f t="shared" si="9"/>
        <v>6.5978407983297719E-3</v>
      </c>
    </row>
    <row r="307" spans="1:5" ht="14.25" customHeight="1" x14ac:dyDescent="0.3">
      <c r="A307" s="27">
        <v>44372</v>
      </c>
      <c r="B307" s="28">
        <v>15860.349609375</v>
      </c>
      <c r="C307" s="28">
        <v>177.57344055175801</v>
      </c>
      <c r="D307" s="29">
        <f t="shared" si="8"/>
        <v>4.672924225125337E-3</v>
      </c>
      <c r="E307" s="29">
        <f t="shared" si="9"/>
        <v>4.4266891189239247E-3</v>
      </c>
    </row>
    <row r="308" spans="1:5" ht="14.25" customHeight="1" x14ac:dyDescent="0.3">
      <c r="A308" s="27">
        <v>44375</v>
      </c>
      <c r="B308" s="28">
        <v>15814.7001953125</v>
      </c>
      <c r="C308" s="28">
        <v>178.20503234863301</v>
      </c>
      <c r="D308" s="29">
        <f t="shared" si="8"/>
        <v>3.556792023134268E-3</v>
      </c>
      <c r="E308" s="29">
        <f t="shared" si="9"/>
        <v>-2.8782098242977434E-3</v>
      </c>
    </row>
    <row r="309" spans="1:5" ht="14.25" customHeight="1" x14ac:dyDescent="0.3">
      <c r="A309" s="27">
        <v>44376</v>
      </c>
      <c r="B309" s="28">
        <v>15748.4501953125</v>
      </c>
      <c r="C309" s="28">
        <v>177.67062377929699</v>
      </c>
      <c r="D309" s="29">
        <f t="shared" si="8"/>
        <v>-2.9988410669039233E-3</v>
      </c>
      <c r="E309" s="29">
        <f t="shared" si="9"/>
        <v>-4.1891404314851697E-3</v>
      </c>
    </row>
    <row r="310" spans="1:5" ht="14.25" customHeight="1" x14ac:dyDescent="0.3">
      <c r="A310" s="27">
        <v>44377</v>
      </c>
      <c r="B310" s="28">
        <v>15721.5</v>
      </c>
      <c r="C310" s="28">
        <v>177.18478393554699</v>
      </c>
      <c r="D310" s="29">
        <f t="shared" si="8"/>
        <v>-2.7344973154003883E-3</v>
      </c>
      <c r="E310" s="29">
        <f t="shared" si="9"/>
        <v>-1.7112919035373831E-3</v>
      </c>
    </row>
    <row r="311" spans="1:5" ht="14.25" customHeight="1" x14ac:dyDescent="0.3">
      <c r="A311" s="27">
        <v>44378</v>
      </c>
      <c r="B311" s="28">
        <v>15680</v>
      </c>
      <c r="C311" s="28">
        <v>176.74751281738301</v>
      </c>
      <c r="D311" s="29">
        <f t="shared" si="8"/>
        <v>-2.4678818826962007E-3</v>
      </c>
      <c r="E311" s="29">
        <f t="shared" si="9"/>
        <v>-2.6396972299080877E-3</v>
      </c>
    </row>
    <row r="312" spans="1:5" ht="14.25" customHeight="1" x14ac:dyDescent="0.3">
      <c r="A312" s="27">
        <v>44379</v>
      </c>
      <c r="B312" s="28">
        <v>15722.2001953125</v>
      </c>
      <c r="C312" s="28">
        <v>177.28193664550801</v>
      </c>
      <c r="D312" s="29">
        <f t="shared" si="8"/>
        <v>3.0236568515516885E-3</v>
      </c>
      <c r="E312" s="29">
        <f t="shared" si="9"/>
        <v>2.6913389867665818E-3</v>
      </c>
    </row>
    <row r="313" spans="1:5" ht="14.25" customHeight="1" x14ac:dyDescent="0.3">
      <c r="A313" s="27">
        <v>44382</v>
      </c>
      <c r="B313" s="28">
        <v>15834.349609375</v>
      </c>
      <c r="C313" s="28">
        <v>180.14839172363301</v>
      </c>
      <c r="D313" s="29">
        <f t="shared" si="8"/>
        <v>1.6168906614872715E-2</v>
      </c>
      <c r="E313" s="29">
        <f t="shared" si="9"/>
        <v>7.1331882732250679E-3</v>
      </c>
    </row>
    <row r="314" spans="1:5" ht="14.25" customHeight="1" x14ac:dyDescent="0.3">
      <c r="A314" s="27">
        <v>44383</v>
      </c>
      <c r="B314" s="28">
        <v>15818.25</v>
      </c>
      <c r="C314" s="28">
        <v>177.76777648925801</v>
      </c>
      <c r="D314" s="29">
        <f t="shared" si="8"/>
        <v>-1.321474597468025E-2</v>
      </c>
      <c r="E314" s="29">
        <f t="shared" si="9"/>
        <v>-1.016752173102705E-3</v>
      </c>
    </row>
    <row r="315" spans="1:5" ht="14.25" customHeight="1" x14ac:dyDescent="0.3">
      <c r="A315" s="27">
        <v>44384</v>
      </c>
      <c r="B315" s="28">
        <v>15879.650390625</v>
      </c>
      <c r="C315" s="28">
        <v>177.86494445800801</v>
      </c>
      <c r="D315" s="29">
        <f t="shared" si="8"/>
        <v>5.4660057446278274E-4</v>
      </c>
      <c r="E315" s="29">
        <f t="shared" si="9"/>
        <v>3.8816171589777632E-3</v>
      </c>
    </row>
    <row r="316" spans="1:5" ht="14.25" customHeight="1" x14ac:dyDescent="0.3">
      <c r="A316" s="27">
        <v>44385</v>
      </c>
      <c r="B316" s="28">
        <v>15727.900390625</v>
      </c>
      <c r="C316" s="28">
        <v>178.35078430175801</v>
      </c>
      <c r="D316" s="29">
        <f t="shared" si="8"/>
        <v>2.7315098274730662E-3</v>
      </c>
      <c r="E316" s="29">
        <f t="shared" si="9"/>
        <v>-9.5562557277451086E-3</v>
      </c>
    </row>
    <row r="317" spans="1:5" ht="14.25" customHeight="1" x14ac:dyDescent="0.3">
      <c r="A317" s="27">
        <v>44386</v>
      </c>
      <c r="B317" s="28">
        <v>15689.7998046875</v>
      </c>
      <c r="C317" s="28">
        <v>176.89328002929699</v>
      </c>
      <c r="D317" s="29">
        <f t="shared" si="8"/>
        <v>-8.1721214637050302E-3</v>
      </c>
      <c r="E317" s="29">
        <f t="shared" si="9"/>
        <v>-2.4224839292732799E-3</v>
      </c>
    </row>
    <row r="318" spans="1:5" ht="14.25" customHeight="1" x14ac:dyDescent="0.3">
      <c r="A318" s="27">
        <v>44389</v>
      </c>
      <c r="B318" s="28">
        <v>15692.599609375</v>
      </c>
      <c r="C318" s="28">
        <v>178.05929565429699</v>
      </c>
      <c r="D318" s="29">
        <f t="shared" si="8"/>
        <v>6.5916332424096891E-3</v>
      </c>
      <c r="E318" s="29">
        <f t="shared" si="9"/>
        <v>1.7844744498674405E-4</v>
      </c>
    </row>
    <row r="319" spans="1:5" ht="14.25" customHeight="1" x14ac:dyDescent="0.3">
      <c r="A319" s="27">
        <v>44390</v>
      </c>
      <c r="B319" s="28">
        <v>15812.349609375</v>
      </c>
      <c r="C319" s="28">
        <v>178.59370422363301</v>
      </c>
      <c r="D319" s="29">
        <f t="shared" si="8"/>
        <v>3.0012955368170146E-3</v>
      </c>
      <c r="E319" s="29">
        <f t="shared" si="9"/>
        <v>7.6309854951285136E-3</v>
      </c>
    </row>
    <row r="320" spans="1:5" ht="14.25" customHeight="1" x14ac:dyDescent="0.3">
      <c r="A320" s="27">
        <v>44391</v>
      </c>
      <c r="B320" s="28">
        <v>15853.9501953125</v>
      </c>
      <c r="C320" s="28">
        <v>178.93379211425801</v>
      </c>
      <c r="D320" s="29">
        <f t="shared" si="8"/>
        <v>1.9042546438207352E-3</v>
      </c>
      <c r="E320" s="29">
        <f t="shared" si="9"/>
        <v>2.6308921169334244E-3</v>
      </c>
    </row>
    <row r="321" spans="1:5" ht="14.25" customHeight="1" x14ac:dyDescent="0.3">
      <c r="A321" s="27">
        <v>44392</v>
      </c>
      <c r="B321" s="28">
        <v>15924.2001953125</v>
      </c>
      <c r="C321" s="28">
        <v>177.62202453613301</v>
      </c>
      <c r="D321" s="29">
        <f t="shared" si="8"/>
        <v>-7.3310220647834481E-3</v>
      </c>
      <c r="E321" s="29">
        <f t="shared" si="9"/>
        <v>4.4310723280038215E-3</v>
      </c>
    </row>
    <row r="322" spans="1:5" ht="14.25" customHeight="1" x14ac:dyDescent="0.3">
      <c r="A322" s="27">
        <v>44393</v>
      </c>
      <c r="B322" s="28">
        <v>15923.400390625</v>
      </c>
      <c r="C322" s="28">
        <v>178.83662414550801</v>
      </c>
      <c r="D322" s="29">
        <f t="shared" si="8"/>
        <v>6.8381137561458116E-3</v>
      </c>
      <c r="E322" s="29">
        <f t="shared" si="9"/>
        <v>-5.0225736783655429E-5</v>
      </c>
    </row>
    <row r="323" spans="1:5" ht="14.25" customHeight="1" x14ac:dyDescent="0.3">
      <c r="A323" s="27">
        <v>44396</v>
      </c>
      <c r="B323" s="28">
        <v>15752.400390625</v>
      </c>
      <c r="C323" s="28">
        <v>176.55319213867199</v>
      </c>
      <c r="D323" s="29">
        <f t="shared" ref="D323:D386" si="10">(C323-C322)/C322</f>
        <v>-1.2768257160670506E-2</v>
      </c>
      <c r="E323" s="29">
        <f t="shared" ref="E323:E386" si="11">(B323-B322)/B322</f>
        <v>-1.0738912280361756E-2</v>
      </c>
    </row>
    <row r="324" spans="1:5" ht="14.25" customHeight="1" x14ac:dyDescent="0.3">
      <c r="A324" s="27">
        <v>44397</v>
      </c>
      <c r="B324" s="28">
        <v>15632.099609375</v>
      </c>
      <c r="C324" s="28">
        <v>173.29808044433599</v>
      </c>
      <c r="D324" s="29">
        <f t="shared" si="10"/>
        <v>-1.8437002780325253E-2</v>
      </c>
      <c r="E324" s="29">
        <f t="shared" si="11"/>
        <v>-7.6369809214344685E-3</v>
      </c>
    </row>
    <row r="325" spans="1:5" ht="14.25" customHeight="1" x14ac:dyDescent="0.3">
      <c r="A325" s="27">
        <v>44399</v>
      </c>
      <c r="B325" s="28">
        <v>15824.0498046875</v>
      </c>
      <c r="C325" s="28">
        <v>174.12400817871099</v>
      </c>
      <c r="D325" s="29">
        <f t="shared" si="10"/>
        <v>4.7659370043645179E-3</v>
      </c>
      <c r="E325" s="29">
        <f t="shared" si="11"/>
        <v>1.2279233123449532E-2</v>
      </c>
    </row>
    <row r="326" spans="1:5" ht="14.25" customHeight="1" x14ac:dyDescent="0.3">
      <c r="A326" s="27">
        <v>44400</v>
      </c>
      <c r="B326" s="28">
        <v>15856.0498046875</v>
      </c>
      <c r="C326" s="28">
        <v>173.63815307617199</v>
      </c>
      <c r="D326" s="29">
        <f t="shared" si="10"/>
        <v>-2.7902820961963589E-3</v>
      </c>
      <c r="E326" s="29">
        <f t="shared" si="11"/>
        <v>2.0222383267853947E-3</v>
      </c>
    </row>
    <row r="327" spans="1:5" ht="14.25" customHeight="1" x14ac:dyDescent="0.3">
      <c r="A327" s="27">
        <v>44403</v>
      </c>
      <c r="B327" s="28">
        <v>15824.4501953125</v>
      </c>
      <c r="C327" s="28">
        <v>173.15232849121099</v>
      </c>
      <c r="D327" s="29">
        <f t="shared" si="10"/>
        <v>-2.7979138015126878E-3</v>
      </c>
      <c r="E327" s="29">
        <f t="shared" si="11"/>
        <v>-1.9929055322251985E-3</v>
      </c>
    </row>
    <row r="328" spans="1:5" ht="14.25" customHeight="1" x14ac:dyDescent="0.3">
      <c r="A328" s="27">
        <v>44404</v>
      </c>
      <c r="B328" s="28">
        <v>15746.4501953125</v>
      </c>
      <c r="C328" s="28">
        <v>172.37498474121099</v>
      </c>
      <c r="D328" s="29">
        <f t="shared" si="10"/>
        <v>-4.4893635377213949E-3</v>
      </c>
      <c r="E328" s="29">
        <f t="shared" si="11"/>
        <v>-4.9290812026508866E-3</v>
      </c>
    </row>
    <row r="329" spans="1:5" ht="14.25" customHeight="1" x14ac:dyDescent="0.3">
      <c r="A329" s="27">
        <v>44405</v>
      </c>
      <c r="B329" s="28">
        <v>15709.400390625</v>
      </c>
      <c r="C329" s="28">
        <v>171.50048828125</v>
      </c>
      <c r="D329" s="29">
        <f t="shared" si="10"/>
        <v>-5.0732213915719165E-3</v>
      </c>
      <c r="E329" s="29">
        <f t="shared" si="11"/>
        <v>-2.3528988583426387E-3</v>
      </c>
    </row>
    <row r="330" spans="1:5" ht="14.25" customHeight="1" x14ac:dyDescent="0.3">
      <c r="A330" s="27">
        <v>44406</v>
      </c>
      <c r="B330" s="28">
        <v>15778.4501953125</v>
      </c>
      <c r="C330" s="28">
        <v>169.26564025878901</v>
      </c>
      <c r="D330" s="29">
        <f t="shared" si="10"/>
        <v>-1.3031146703185966E-2</v>
      </c>
      <c r="E330" s="29">
        <f t="shared" si="11"/>
        <v>4.3954449546468556E-3</v>
      </c>
    </row>
    <row r="331" spans="1:5" ht="14.25" customHeight="1" x14ac:dyDescent="0.3">
      <c r="A331" s="27">
        <v>44407</v>
      </c>
      <c r="B331" s="28">
        <v>15763.0498046875</v>
      </c>
      <c r="C331" s="28">
        <v>173.58956909179699</v>
      </c>
      <c r="D331" s="29">
        <f t="shared" si="10"/>
        <v>2.5545224809932834E-2</v>
      </c>
      <c r="E331" s="29">
        <f t="shared" si="11"/>
        <v>-9.7603949908687388E-4</v>
      </c>
    </row>
    <row r="332" spans="1:5" ht="14.25" customHeight="1" x14ac:dyDescent="0.3">
      <c r="A332" s="27">
        <v>44410</v>
      </c>
      <c r="B332" s="28">
        <v>15885.150390625</v>
      </c>
      <c r="C332" s="28">
        <v>171.0146484375</v>
      </c>
      <c r="D332" s="29">
        <f t="shared" si="10"/>
        <v>-1.483338352510875E-2</v>
      </c>
      <c r="E332" s="29">
        <f t="shared" si="11"/>
        <v>7.7460001364197065E-3</v>
      </c>
    </row>
    <row r="333" spans="1:5" ht="14.25" customHeight="1" x14ac:dyDescent="0.3">
      <c r="A333" s="27">
        <v>44411</v>
      </c>
      <c r="B333" s="28">
        <v>16130.75</v>
      </c>
      <c r="C333" s="28">
        <v>168.09962463378901</v>
      </c>
      <c r="D333" s="29">
        <f t="shared" si="10"/>
        <v>-1.7045462656822264E-2</v>
      </c>
      <c r="E333" s="29">
        <f t="shared" si="11"/>
        <v>1.5460955882416225E-2</v>
      </c>
    </row>
    <row r="334" spans="1:5" ht="14.25" customHeight="1" x14ac:dyDescent="0.3">
      <c r="A334" s="27">
        <v>44412</v>
      </c>
      <c r="B334" s="28">
        <v>16258.7998046875</v>
      </c>
      <c r="C334" s="28">
        <v>167.95387268066401</v>
      </c>
      <c r="D334" s="29">
        <f t="shared" si="10"/>
        <v>-8.6705698149252739E-4</v>
      </c>
      <c r="E334" s="29">
        <f t="shared" si="11"/>
        <v>7.9382424678021788E-3</v>
      </c>
    </row>
    <row r="335" spans="1:5" ht="14.25" customHeight="1" x14ac:dyDescent="0.3">
      <c r="A335" s="27">
        <v>44413</v>
      </c>
      <c r="B335" s="28">
        <v>16294.599609375</v>
      </c>
      <c r="C335" s="28">
        <v>166.88504028320301</v>
      </c>
      <c r="D335" s="29">
        <f t="shared" si="10"/>
        <v>-6.3638449081385527E-3</v>
      </c>
      <c r="E335" s="29">
        <f t="shared" si="11"/>
        <v>2.2018725316476757E-3</v>
      </c>
    </row>
    <row r="336" spans="1:5" ht="14.25" customHeight="1" x14ac:dyDescent="0.3">
      <c r="A336" s="27">
        <v>44414</v>
      </c>
      <c r="B336" s="28">
        <v>16238.2001953125</v>
      </c>
      <c r="C336" s="28">
        <v>167.079345703125</v>
      </c>
      <c r="D336" s="29">
        <f t="shared" si="10"/>
        <v>1.1643069959551403E-3</v>
      </c>
      <c r="E336" s="29">
        <f t="shared" si="11"/>
        <v>-3.4612335015615195E-3</v>
      </c>
    </row>
    <row r="337" spans="1:5" ht="14.25" customHeight="1" x14ac:dyDescent="0.3">
      <c r="A337" s="27">
        <v>44417</v>
      </c>
      <c r="B337" s="28">
        <v>16258.25</v>
      </c>
      <c r="C337" s="28">
        <v>164.11576843261699</v>
      </c>
      <c r="D337" s="29">
        <f t="shared" si="10"/>
        <v>-1.7737544147281046E-2</v>
      </c>
      <c r="E337" s="29">
        <f t="shared" si="11"/>
        <v>1.2347307242392418E-3</v>
      </c>
    </row>
    <row r="338" spans="1:5" ht="14.25" customHeight="1" x14ac:dyDescent="0.3">
      <c r="A338" s="27">
        <v>44418</v>
      </c>
      <c r="B338" s="28">
        <v>16280.099609375</v>
      </c>
      <c r="C338" s="28">
        <v>162.46391296386699</v>
      </c>
      <c r="D338" s="29">
        <f t="shared" si="10"/>
        <v>-1.006518437884427E-2</v>
      </c>
      <c r="E338" s="29">
        <f t="shared" si="11"/>
        <v>1.3439090538649608E-3</v>
      </c>
    </row>
    <row r="339" spans="1:5" ht="14.25" customHeight="1" x14ac:dyDescent="0.3">
      <c r="A339" s="27">
        <v>44419</v>
      </c>
      <c r="B339" s="28">
        <v>16282.25</v>
      </c>
      <c r="C339" s="28">
        <v>164.35867309570301</v>
      </c>
      <c r="D339" s="29">
        <f t="shared" si="10"/>
        <v>1.1662652322411005E-2</v>
      </c>
      <c r="E339" s="29">
        <f t="shared" si="11"/>
        <v>1.3208706805219322E-4</v>
      </c>
    </row>
    <row r="340" spans="1:5" ht="14.25" customHeight="1" x14ac:dyDescent="0.3">
      <c r="A340" s="27">
        <v>44420</v>
      </c>
      <c r="B340" s="28">
        <v>16364.400390625</v>
      </c>
      <c r="C340" s="28">
        <v>163.04692077636699</v>
      </c>
      <c r="D340" s="29">
        <f t="shared" si="10"/>
        <v>-7.9810349805648148E-3</v>
      </c>
      <c r="E340" s="29">
        <f t="shared" si="11"/>
        <v>5.0453954843464512E-3</v>
      </c>
    </row>
    <row r="341" spans="1:5" ht="14.25" customHeight="1" x14ac:dyDescent="0.3">
      <c r="A341" s="27">
        <v>44421</v>
      </c>
      <c r="B341" s="28">
        <v>16529.099609375</v>
      </c>
      <c r="C341" s="28">
        <v>161.54081726074199</v>
      </c>
      <c r="D341" s="29">
        <f t="shared" si="10"/>
        <v>-9.2372398598729241E-3</v>
      </c>
      <c r="E341" s="29">
        <f t="shared" si="11"/>
        <v>1.0064482340847301E-2</v>
      </c>
    </row>
    <row r="342" spans="1:5" ht="14.25" customHeight="1" x14ac:dyDescent="0.3">
      <c r="A342" s="27">
        <v>44424</v>
      </c>
      <c r="B342" s="28">
        <v>16563.05078125</v>
      </c>
      <c r="C342" s="28">
        <v>159.01445007324199</v>
      </c>
      <c r="D342" s="29">
        <f t="shared" si="10"/>
        <v>-1.5639187855674936E-2</v>
      </c>
      <c r="E342" s="29">
        <f t="shared" si="11"/>
        <v>2.0540242770237479E-3</v>
      </c>
    </row>
    <row r="343" spans="1:5" ht="14.25" customHeight="1" x14ac:dyDescent="0.3">
      <c r="A343" s="27">
        <v>44425</v>
      </c>
      <c r="B343" s="28">
        <v>16614.599609375</v>
      </c>
      <c r="C343" s="28">
        <v>158.62580871582</v>
      </c>
      <c r="D343" s="29">
        <f t="shared" si="10"/>
        <v>-2.4440631479905168E-3</v>
      </c>
      <c r="E343" s="29">
        <f t="shared" si="11"/>
        <v>3.1122785775284361E-3</v>
      </c>
    </row>
    <row r="344" spans="1:5" ht="14.25" customHeight="1" x14ac:dyDescent="0.3">
      <c r="A344" s="27">
        <v>44426</v>
      </c>
      <c r="B344" s="28">
        <v>16568.849609375</v>
      </c>
      <c r="C344" s="28">
        <v>158.33428955078099</v>
      </c>
      <c r="D344" s="29">
        <f t="shared" si="10"/>
        <v>-1.8377789049527601E-3</v>
      </c>
      <c r="E344" s="29">
        <f t="shared" si="11"/>
        <v>-2.7536023181795473E-3</v>
      </c>
    </row>
    <row r="345" spans="1:5" ht="14.25" customHeight="1" x14ac:dyDescent="0.3">
      <c r="A345" s="27">
        <v>44428</v>
      </c>
      <c r="B345" s="28">
        <v>16450.5</v>
      </c>
      <c r="C345" s="28">
        <v>155.71076965332</v>
      </c>
      <c r="D345" s="29">
        <f t="shared" si="10"/>
        <v>-1.6569499284736923E-2</v>
      </c>
      <c r="E345" s="29">
        <f t="shared" si="11"/>
        <v>-7.142898400624949E-3</v>
      </c>
    </row>
    <row r="346" spans="1:5" ht="14.25" customHeight="1" x14ac:dyDescent="0.3">
      <c r="A346" s="27">
        <v>44431</v>
      </c>
      <c r="B346" s="28">
        <v>16496.44921875</v>
      </c>
      <c r="C346" s="28">
        <v>153.91317749023401</v>
      </c>
      <c r="D346" s="29">
        <f t="shared" si="10"/>
        <v>-1.1544430530323738E-2</v>
      </c>
      <c r="E346" s="29">
        <f t="shared" si="11"/>
        <v>2.7931806783988329E-3</v>
      </c>
    </row>
    <row r="347" spans="1:5" ht="14.25" customHeight="1" x14ac:dyDescent="0.3">
      <c r="A347" s="27">
        <v>44432</v>
      </c>
      <c r="B347" s="28">
        <v>16624.599609375</v>
      </c>
      <c r="C347" s="28">
        <v>154.83627319335901</v>
      </c>
      <c r="D347" s="29">
        <f t="shared" si="10"/>
        <v>5.9975092333050669E-3</v>
      </c>
      <c r="E347" s="29">
        <f t="shared" si="11"/>
        <v>7.7683620836017982E-3</v>
      </c>
    </row>
    <row r="348" spans="1:5" ht="14.25" customHeight="1" x14ac:dyDescent="0.3">
      <c r="A348" s="27">
        <v>44433</v>
      </c>
      <c r="B348" s="28">
        <v>16634.650390625</v>
      </c>
      <c r="C348" s="28">
        <v>155.27352905273401</v>
      </c>
      <c r="D348" s="29">
        <f t="shared" si="10"/>
        <v>2.823988529024826E-3</v>
      </c>
      <c r="E348" s="29">
        <f t="shared" si="11"/>
        <v>6.0457283099510741E-4</v>
      </c>
    </row>
    <row r="349" spans="1:5" ht="14.25" customHeight="1" x14ac:dyDescent="0.3">
      <c r="A349" s="27">
        <v>44434</v>
      </c>
      <c r="B349" s="28">
        <v>16636.900390625</v>
      </c>
      <c r="C349" s="28">
        <v>152.84434509277301</v>
      </c>
      <c r="D349" s="29">
        <f t="shared" si="10"/>
        <v>-1.5644546593231577E-2</v>
      </c>
      <c r="E349" s="29">
        <f t="shared" si="11"/>
        <v>1.3525983096513173E-4</v>
      </c>
    </row>
    <row r="350" spans="1:5" ht="14.25" customHeight="1" x14ac:dyDescent="0.3">
      <c r="A350" s="27">
        <v>44435</v>
      </c>
      <c r="B350" s="28">
        <v>16705.19921875</v>
      </c>
      <c r="C350" s="28">
        <v>153.13583374023401</v>
      </c>
      <c r="D350" s="29">
        <f t="shared" si="10"/>
        <v>1.9070947458610093E-3</v>
      </c>
      <c r="E350" s="29">
        <f t="shared" si="11"/>
        <v>4.1052615884799564E-3</v>
      </c>
    </row>
    <row r="351" spans="1:5" ht="14.25" customHeight="1" x14ac:dyDescent="0.3">
      <c r="A351" s="27">
        <v>44438</v>
      </c>
      <c r="B351" s="28">
        <v>16931.05078125</v>
      </c>
      <c r="C351" s="28">
        <v>156.97396850585901</v>
      </c>
      <c r="D351" s="29">
        <f t="shared" si="10"/>
        <v>2.5063596624521404E-2</v>
      </c>
      <c r="E351" s="29">
        <f t="shared" si="11"/>
        <v>1.3519836521704158E-2</v>
      </c>
    </row>
    <row r="352" spans="1:5" ht="14.25" customHeight="1" x14ac:dyDescent="0.3">
      <c r="A352" s="27">
        <v>44439</v>
      </c>
      <c r="B352" s="28">
        <v>17132.19921875</v>
      </c>
      <c r="C352" s="28">
        <v>156.58526611328099</v>
      </c>
      <c r="D352" s="29">
        <f t="shared" si="10"/>
        <v>-2.4762219894026768E-3</v>
      </c>
      <c r="E352" s="29">
        <f t="shared" si="11"/>
        <v>1.1880446175423345E-2</v>
      </c>
    </row>
    <row r="353" spans="1:5" ht="14.25" customHeight="1" x14ac:dyDescent="0.3">
      <c r="A353" s="27">
        <v>44440</v>
      </c>
      <c r="B353" s="28">
        <v>17076.25</v>
      </c>
      <c r="C353" s="28">
        <v>165.23318481445301</v>
      </c>
      <c r="D353" s="29">
        <f t="shared" si="10"/>
        <v>5.5228176416775472E-2</v>
      </c>
      <c r="E353" s="29">
        <f t="shared" si="11"/>
        <v>-3.2657347743637881E-3</v>
      </c>
    </row>
    <row r="354" spans="1:5" ht="14.25" customHeight="1" x14ac:dyDescent="0.3">
      <c r="A354" s="27">
        <v>44441</v>
      </c>
      <c r="B354" s="28">
        <v>17234.150390625</v>
      </c>
      <c r="C354" s="28">
        <v>173.15232849121099</v>
      </c>
      <c r="D354" s="29">
        <f t="shared" si="10"/>
        <v>4.7927077636678785E-2</v>
      </c>
      <c r="E354" s="29">
        <f t="shared" si="11"/>
        <v>9.2467837273991649E-3</v>
      </c>
    </row>
    <row r="355" spans="1:5" ht="14.25" customHeight="1" x14ac:dyDescent="0.3">
      <c r="A355" s="27">
        <v>44442</v>
      </c>
      <c r="B355" s="28">
        <v>17323.599609375</v>
      </c>
      <c r="C355" s="28">
        <v>184.27798461914099</v>
      </c>
      <c r="D355" s="29">
        <f t="shared" si="10"/>
        <v>6.4253575016143802E-2</v>
      </c>
      <c r="E355" s="29">
        <f t="shared" si="11"/>
        <v>5.1902308336974016E-3</v>
      </c>
    </row>
    <row r="356" spans="1:5" ht="14.25" customHeight="1" x14ac:dyDescent="0.3">
      <c r="A356" s="27">
        <v>44445</v>
      </c>
      <c r="B356" s="28">
        <v>17377.80078125</v>
      </c>
      <c r="C356" s="28">
        <v>183.25775146484401</v>
      </c>
      <c r="D356" s="29">
        <f t="shared" si="10"/>
        <v>-5.5363811168521798E-3</v>
      </c>
      <c r="E356" s="29">
        <f t="shared" si="11"/>
        <v>3.1287476677576867E-3</v>
      </c>
    </row>
    <row r="357" spans="1:5" ht="14.25" customHeight="1" x14ac:dyDescent="0.3">
      <c r="A357" s="27">
        <v>44446</v>
      </c>
      <c r="B357" s="28">
        <v>17362.099609375</v>
      </c>
      <c r="C357" s="28">
        <v>180.58563232421901</v>
      </c>
      <c r="D357" s="29">
        <f t="shared" si="10"/>
        <v>-1.4581206629819514E-2</v>
      </c>
      <c r="E357" s="29">
        <f t="shared" si="11"/>
        <v>-9.0351892466974189E-4</v>
      </c>
    </row>
    <row r="358" spans="1:5" ht="14.25" customHeight="1" x14ac:dyDescent="0.3">
      <c r="A358" s="27">
        <v>44447</v>
      </c>
      <c r="B358" s="28">
        <v>17353.5</v>
      </c>
      <c r="C358" s="28">
        <v>177.81634521484401</v>
      </c>
      <c r="D358" s="29">
        <f t="shared" si="10"/>
        <v>-1.5335035648921892E-2</v>
      </c>
      <c r="E358" s="29">
        <f t="shared" si="11"/>
        <v>-4.9530929832682655E-4</v>
      </c>
    </row>
    <row r="359" spans="1:5" ht="14.25" customHeight="1" x14ac:dyDescent="0.3">
      <c r="A359" s="27">
        <v>44448</v>
      </c>
      <c r="B359" s="28">
        <v>17369.25</v>
      </c>
      <c r="C359" s="28">
        <v>176.84469604492199</v>
      </c>
      <c r="D359" s="29">
        <f t="shared" si="10"/>
        <v>-5.4643411366263103E-3</v>
      </c>
      <c r="E359" s="29">
        <f t="shared" si="11"/>
        <v>9.0759789091537728E-4</v>
      </c>
    </row>
    <row r="360" spans="1:5" ht="14.25" customHeight="1" x14ac:dyDescent="0.3">
      <c r="A360" s="27">
        <v>44452</v>
      </c>
      <c r="B360" s="28">
        <v>17355.30078125</v>
      </c>
      <c r="C360" s="28">
        <v>178.83662414550801</v>
      </c>
      <c r="D360" s="29">
        <f t="shared" si="10"/>
        <v>1.1263714123945421E-2</v>
      </c>
      <c r="E360" s="29">
        <f t="shared" si="11"/>
        <v>-8.0309850741972161E-4</v>
      </c>
    </row>
    <row r="361" spans="1:5" ht="14.25" customHeight="1" x14ac:dyDescent="0.3">
      <c r="A361" s="27">
        <v>44453</v>
      </c>
      <c r="B361" s="28">
        <v>17380</v>
      </c>
      <c r="C361" s="28">
        <v>177.42770385742199</v>
      </c>
      <c r="D361" s="29">
        <f t="shared" si="10"/>
        <v>-7.8782536564751624E-3</v>
      </c>
      <c r="E361" s="29">
        <f t="shared" si="11"/>
        <v>1.4231512931590379E-3</v>
      </c>
    </row>
    <row r="362" spans="1:5" ht="14.25" customHeight="1" x14ac:dyDescent="0.3">
      <c r="A362" s="27">
        <v>44454</v>
      </c>
      <c r="B362" s="28">
        <v>17519.44921875</v>
      </c>
      <c r="C362" s="28">
        <v>177.76777648925801</v>
      </c>
      <c r="D362" s="29">
        <f t="shared" si="10"/>
        <v>1.9166828203407264E-3</v>
      </c>
      <c r="E362" s="29">
        <f t="shared" si="11"/>
        <v>8.0235453826237053E-3</v>
      </c>
    </row>
    <row r="363" spans="1:5" ht="14.25" customHeight="1" x14ac:dyDescent="0.3">
      <c r="A363" s="27">
        <v>44455</v>
      </c>
      <c r="B363" s="28">
        <v>17629.5</v>
      </c>
      <c r="C363" s="28">
        <v>177.67062377929699</v>
      </c>
      <c r="D363" s="29">
        <f t="shared" si="10"/>
        <v>-5.4651473894591586E-4</v>
      </c>
      <c r="E363" s="29">
        <f t="shared" si="11"/>
        <v>6.2816347635072543E-3</v>
      </c>
    </row>
    <row r="364" spans="1:5" ht="14.25" customHeight="1" x14ac:dyDescent="0.3">
      <c r="A364" s="27">
        <v>44456</v>
      </c>
      <c r="B364" s="28">
        <v>17585.150390625</v>
      </c>
      <c r="C364" s="28">
        <v>179.22528076171901</v>
      </c>
      <c r="D364" s="29">
        <f t="shared" si="10"/>
        <v>8.7502196443752962E-3</v>
      </c>
      <c r="E364" s="29">
        <f t="shared" si="11"/>
        <v>-2.5156476006126098E-3</v>
      </c>
    </row>
    <row r="365" spans="1:5" ht="14.25" customHeight="1" x14ac:dyDescent="0.3">
      <c r="A365" s="27">
        <v>44459</v>
      </c>
      <c r="B365" s="28">
        <v>17396.900390625</v>
      </c>
      <c r="C365" s="28">
        <v>174.99851989746099</v>
      </c>
      <c r="D365" s="29">
        <f t="shared" si="10"/>
        <v>-2.3583508120584358E-2</v>
      </c>
      <c r="E365" s="29">
        <f t="shared" si="11"/>
        <v>-1.0705054879733066E-2</v>
      </c>
    </row>
    <row r="366" spans="1:5" ht="14.25" customHeight="1" x14ac:dyDescent="0.3">
      <c r="A366" s="27">
        <v>44460</v>
      </c>
      <c r="B366" s="28">
        <v>17562</v>
      </c>
      <c r="C366" s="28">
        <v>173.34664916992199</v>
      </c>
      <c r="D366" s="29">
        <f t="shared" si="10"/>
        <v>-9.439341135610211E-3</v>
      </c>
      <c r="E366" s="29">
        <f t="shared" si="11"/>
        <v>9.4901738624640509E-3</v>
      </c>
    </row>
    <row r="367" spans="1:5" ht="14.25" customHeight="1" x14ac:dyDescent="0.3">
      <c r="A367" s="27">
        <v>44461</v>
      </c>
      <c r="B367" s="28">
        <v>17546.650390625</v>
      </c>
      <c r="C367" s="28">
        <v>177.33052062988301</v>
      </c>
      <c r="D367" s="29">
        <f t="shared" si="10"/>
        <v>2.29821082728623E-2</v>
      </c>
      <c r="E367" s="29">
        <f t="shared" si="11"/>
        <v>-8.7402399356565307E-4</v>
      </c>
    </row>
    <row r="368" spans="1:5" ht="14.25" customHeight="1" x14ac:dyDescent="0.3">
      <c r="A368" s="27">
        <v>44462</v>
      </c>
      <c r="B368" s="28">
        <v>17822.94921875</v>
      </c>
      <c r="C368" s="28">
        <v>176.60177612304699</v>
      </c>
      <c r="D368" s="29">
        <f t="shared" si="10"/>
        <v>-4.1095266863679291E-3</v>
      </c>
      <c r="E368" s="29">
        <f t="shared" si="11"/>
        <v>1.5746528367181906E-2</v>
      </c>
    </row>
    <row r="369" spans="1:5" ht="14.25" customHeight="1" x14ac:dyDescent="0.3">
      <c r="A369" s="27">
        <v>44463</v>
      </c>
      <c r="B369" s="28">
        <v>17853.19921875</v>
      </c>
      <c r="C369" s="28">
        <v>174.12400817871099</v>
      </c>
      <c r="D369" s="29">
        <f t="shared" si="10"/>
        <v>-1.4030254954002352E-2</v>
      </c>
      <c r="E369" s="29">
        <f t="shared" si="11"/>
        <v>1.6972499684943592E-3</v>
      </c>
    </row>
    <row r="370" spans="1:5" ht="14.25" customHeight="1" x14ac:dyDescent="0.3">
      <c r="A370" s="27">
        <v>44466</v>
      </c>
      <c r="B370" s="28">
        <v>17855.099609375</v>
      </c>
      <c r="C370" s="28">
        <v>176.65034484863301</v>
      </c>
      <c r="D370" s="29">
        <f t="shared" si="10"/>
        <v>1.4508835951726591E-2</v>
      </c>
      <c r="E370" s="29">
        <f t="shared" si="11"/>
        <v>1.0644538279750718E-4</v>
      </c>
    </row>
    <row r="371" spans="1:5" ht="14.25" customHeight="1" x14ac:dyDescent="0.3">
      <c r="A371" s="27">
        <v>44467</v>
      </c>
      <c r="B371" s="28">
        <v>17748.599609375</v>
      </c>
      <c r="C371" s="28">
        <v>174.80416870117199</v>
      </c>
      <c r="D371" s="29">
        <f t="shared" si="10"/>
        <v>-1.045101920997076E-2</v>
      </c>
      <c r="E371" s="29">
        <f t="shared" si="11"/>
        <v>-5.9646824901543032E-3</v>
      </c>
    </row>
    <row r="372" spans="1:5" ht="14.25" customHeight="1" x14ac:dyDescent="0.3">
      <c r="A372" s="27">
        <v>44468</v>
      </c>
      <c r="B372" s="28">
        <v>17711.30078125</v>
      </c>
      <c r="C372" s="28">
        <v>175.29000854492199</v>
      </c>
      <c r="D372" s="29">
        <f t="shared" si="10"/>
        <v>2.7793378576717125E-3</v>
      </c>
      <c r="E372" s="29">
        <f t="shared" si="11"/>
        <v>-2.1015082285871364E-3</v>
      </c>
    </row>
    <row r="373" spans="1:5" ht="14.25" customHeight="1" x14ac:dyDescent="0.3">
      <c r="A373" s="27">
        <v>44469</v>
      </c>
      <c r="B373" s="28">
        <v>17618.150390625</v>
      </c>
      <c r="C373" s="28">
        <v>173.20091247558599</v>
      </c>
      <c r="D373" s="29">
        <f t="shared" si="10"/>
        <v>-1.1917941511199235E-2</v>
      </c>
      <c r="E373" s="29">
        <f t="shared" si="11"/>
        <v>-5.2593760207388773E-3</v>
      </c>
    </row>
    <row r="374" spans="1:5" ht="14.25" customHeight="1" x14ac:dyDescent="0.3">
      <c r="A374" s="27">
        <v>44470</v>
      </c>
      <c r="B374" s="28">
        <v>17532.05078125</v>
      </c>
      <c r="C374" s="28">
        <v>173.783935546875</v>
      </c>
      <c r="D374" s="29">
        <f t="shared" si="10"/>
        <v>3.3661662802797719E-3</v>
      </c>
      <c r="E374" s="29">
        <f t="shared" si="11"/>
        <v>-4.8869834497959255E-3</v>
      </c>
    </row>
    <row r="375" spans="1:5" ht="14.25" customHeight="1" x14ac:dyDescent="0.3">
      <c r="A375" s="27">
        <v>44473</v>
      </c>
      <c r="B375" s="28">
        <v>17691.25</v>
      </c>
      <c r="C375" s="28">
        <v>174.85273742675801</v>
      </c>
      <c r="D375" s="29">
        <f t="shared" si="10"/>
        <v>6.1501765195939063E-3</v>
      </c>
      <c r="E375" s="29">
        <f t="shared" si="11"/>
        <v>9.080467581137671E-3</v>
      </c>
    </row>
    <row r="376" spans="1:5" ht="14.25" customHeight="1" x14ac:dyDescent="0.3">
      <c r="A376" s="27">
        <v>44474</v>
      </c>
      <c r="B376" s="28">
        <v>17822.30078125</v>
      </c>
      <c r="C376" s="28">
        <v>175.87301635742199</v>
      </c>
      <c r="D376" s="29">
        <f t="shared" si="10"/>
        <v>5.8350755365860355E-3</v>
      </c>
      <c r="E376" s="29">
        <f t="shared" si="11"/>
        <v>7.4076609199463014E-3</v>
      </c>
    </row>
    <row r="377" spans="1:5" ht="14.25" customHeight="1" x14ac:dyDescent="0.3">
      <c r="A377" s="27">
        <v>44475</v>
      </c>
      <c r="B377" s="28">
        <v>17646</v>
      </c>
      <c r="C377" s="28">
        <v>174.26976013183599</v>
      </c>
      <c r="D377" s="29">
        <f t="shared" si="10"/>
        <v>-9.1159875391443792E-3</v>
      </c>
      <c r="E377" s="29">
        <f t="shared" si="11"/>
        <v>-9.8921448702895716E-3</v>
      </c>
    </row>
    <row r="378" spans="1:5" ht="14.25" customHeight="1" x14ac:dyDescent="0.3">
      <c r="A378" s="27">
        <v>44476</v>
      </c>
      <c r="B378" s="28">
        <v>17790.349609375</v>
      </c>
      <c r="C378" s="28">
        <v>178.98237609863301</v>
      </c>
      <c r="D378" s="29">
        <f t="shared" si="10"/>
        <v>2.7042075247202372E-2</v>
      </c>
      <c r="E378" s="29">
        <f t="shared" si="11"/>
        <v>8.1803020160376282E-3</v>
      </c>
    </row>
    <row r="379" spans="1:5" ht="14.25" customHeight="1" x14ac:dyDescent="0.3">
      <c r="A379" s="27">
        <v>44477</v>
      </c>
      <c r="B379" s="28">
        <v>17895.19921875</v>
      </c>
      <c r="C379" s="28">
        <v>179.56536865234401</v>
      </c>
      <c r="D379" s="29">
        <f t="shared" si="10"/>
        <v>3.2572623429120238E-3</v>
      </c>
      <c r="E379" s="29">
        <f t="shared" si="11"/>
        <v>5.8936227604963589E-3</v>
      </c>
    </row>
    <row r="380" spans="1:5" ht="14.25" customHeight="1" x14ac:dyDescent="0.3">
      <c r="A380" s="27">
        <v>44480</v>
      </c>
      <c r="B380" s="28">
        <v>17945.94921875</v>
      </c>
      <c r="C380" s="28">
        <v>181.75163269043</v>
      </c>
      <c r="D380" s="29">
        <f t="shared" si="10"/>
        <v>1.2175310052790937E-2</v>
      </c>
      <c r="E380" s="29">
        <f t="shared" si="11"/>
        <v>2.8359561343595336E-3</v>
      </c>
    </row>
    <row r="381" spans="1:5" ht="14.25" customHeight="1" x14ac:dyDescent="0.3">
      <c r="A381" s="27">
        <v>44481</v>
      </c>
      <c r="B381" s="28">
        <v>17991.94921875</v>
      </c>
      <c r="C381" s="28">
        <v>182.480392456055</v>
      </c>
      <c r="D381" s="29">
        <f t="shared" si="10"/>
        <v>4.0096463224969549E-3</v>
      </c>
      <c r="E381" s="29">
        <f t="shared" si="11"/>
        <v>2.5632525445875558E-3</v>
      </c>
    </row>
    <row r="382" spans="1:5" ht="14.25" customHeight="1" x14ac:dyDescent="0.3">
      <c r="A382" s="27">
        <v>44482</v>
      </c>
      <c r="B382" s="28">
        <v>18161.75</v>
      </c>
      <c r="C382" s="28">
        <v>182.23748779296901</v>
      </c>
      <c r="D382" s="29">
        <f t="shared" si="10"/>
        <v>-1.3311274697334441E-3</v>
      </c>
      <c r="E382" s="29">
        <f t="shared" si="11"/>
        <v>9.4375978492116375E-3</v>
      </c>
    </row>
    <row r="383" spans="1:5" ht="14.25" customHeight="1" x14ac:dyDescent="0.3">
      <c r="A383" s="27">
        <v>44483</v>
      </c>
      <c r="B383" s="28">
        <v>18338.55078125</v>
      </c>
      <c r="C383" s="28">
        <v>180.73138427734401</v>
      </c>
      <c r="D383" s="29">
        <f t="shared" si="10"/>
        <v>-8.2645098649297109E-3</v>
      </c>
      <c r="E383" s="29">
        <f t="shared" si="11"/>
        <v>9.7347877407188178E-3</v>
      </c>
    </row>
    <row r="384" spans="1:5" ht="14.25" customHeight="1" x14ac:dyDescent="0.3">
      <c r="A384" s="27">
        <v>44487</v>
      </c>
      <c r="B384" s="28">
        <v>18477.05078125</v>
      </c>
      <c r="C384" s="28">
        <v>180.39128112793</v>
      </c>
      <c r="D384" s="29">
        <f t="shared" si="10"/>
        <v>-1.8818156612583421E-3</v>
      </c>
      <c r="E384" s="29">
        <f t="shared" si="11"/>
        <v>7.5523961327198996E-3</v>
      </c>
    </row>
    <row r="385" spans="1:5" ht="14.25" customHeight="1" x14ac:dyDescent="0.3">
      <c r="A385" s="27">
        <v>44488</v>
      </c>
      <c r="B385" s="28">
        <v>18418.75</v>
      </c>
      <c r="C385" s="28">
        <v>177.91352844238301</v>
      </c>
      <c r="D385" s="29">
        <f t="shared" si="10"/>
        <v>-1.3735434828415096E-2</v>
      </c>
      <c r="E385" s="29">
        <f t="shared" si="11"/>
        <v>-3.1553077349964326E-3</v>
      </c>
    </row>
    <row r="386" spans="1:5" ht="14.25" customHeight="1" x14ac:dyDescent="0.3">
      <c r="A386" s="27">
        <v>44489</v>
      </c>
      <c r="B386" s="28">
        <v>18266.599609375</v>
      </c>
      <c r="C386" s="28">
        <v>175.29000854492199</v>
      </c>
      <c r="D386" s="29">
        <f t="shared" si="10"/>
        <v>-1.4746039384580275E-2</v>
      </c>
      <c r="E386" s="29">
        <f t="shared" si="11"/>
        <v>-8.2606252120800815E-3</v>
      </c>
    </row>
    <row r="387" spans="1:5" ht="14.25" customHeight="1" x14ac:dyDescent="0.3">
      <c r="A387" s="27">
        <v>44490</v>
      </c>
      <c r="B387" s="28">
        <v>18178.099609375</v>
      </c>
      <c r="C387" s="28">
        <v>176.84469604492199</v>
      </c>
      <c r="D387" s="29">
        <f t="shared" ref="D387:D450" si="12">(C387-C386)/C386</f>
        <v>8.8692305562959491E-3</v>
      </c>
      <c r="E387" s="29">
        <f t="shared" ref="E387:E450" si="13">(B387-B386)/B386</f>
        <v>-4.8449082967023036E-3</v>
      </c>
    </row>
    <row r="388" spans="1:5" ht="14.25" customHeight="1" x14ac:dyDescent="0.3">
      <c r="A388" s="27">
        <v>44491</v>
      </c>
      <c r="B388" s="28">
        <v>18114.900390625</v>
      </c>
      <c r="C388" s="28">
        <v>173.58956909179699</v>
      </c>
      <c r="D388" s="29">
        <f t="shared" si="12"/>
        <v>-1.840669822689019E-2</v>
      </c>
      <c r="E388" s="29">
        <f t="shared" si="13"/>
        <v>-3.4766680845673349E-3</v>
      </c>
    </row>
    <row r="389" spans="1:5" ht="14.25" customHeight="1" x14ac:dyDescent="0.3">
      <c r="A389" s="27">
        <v>44494</v>
      </c>
      <c r="B389" s="28">
        <v>18125.400390625</v>
      </c>
      <c r="C389" s="28">
        <v>170.62599182128901</v>
      </c>
      <c r="D389" s="29">
        <f t="shared" si="12"/>
        <v>-1.7072323446697395E-2</v>
      </c>
      <c r="E389" s="29">
        <f t="shared" si="13"/>
        <v>5.7963332801068358E-4</v>
      </c>
    </row>
    <row r="390" spans="1:5" ht="14.25" customHeight="1" x14ac:dyDescent="0.3">
      <c r="A390" s="27">
        <v>44495</v>
      </c>
      <c r="B390" s="28">
        <v>18268.400390625</v>
      </c>
      <c r="C390" s="28">
        <v>171.64622497558599</v>
      </c>
      <c r="D390" s="29">
        <f t="shared" si="12"/>
        <v>5.9793536928744416E-3</v>
      </c>
      <c r="E390" s="29">
        <f t="shared" si="13"/>
        <v>7.8894808897001737E-3</v>
      </c>
    </row>
    <row r="391" spans="1:5" ht="14.25" customHeight="1" x14ac:dyDescent="0.3">
      <c r="A391" s="27">
        <v>44496</v>
      </c>
      <c r="B391" s="28">
        <v>18210.94921875</v>
      </c>
      <c r="C391" s="28">
        <v>171.354736328125</v>
      </c>
      <c r="D391" s="29">
        <f t="shared" si="12"/>
        <v>-1.6981943383983776E-3</v>
      </c>
      <c r="E391" s="29">
        <f t="shared" si="13"/>
        <v>-3.144838663842887E-3</v>
      </c>
    </row>
    <row r="392" spans="1:5" ht="14.25" customHeight="1" x14ac:dyDescent="0.3">
      <c r="A392" s="27">
        <v>44497</v>
      </c>
      <c r="B392" s="28">
        <v>17857.25</v>
      </c>
      <c r="C392" s="28">
        <v>167.12794494628901</v>
      </c>
      <c r="D392" s="29">
        <f t="shared" si="12"/>
        <v>-2.4666907214879463E-2</v>
      </c>
      <c r="E392" s="29">
        <f t="shared" si="13"/>
        <v>-1.942233842406365E-2</v>
      </c>
    </row>
    <row r="393" spans="1:5" ht="14.25" customHeight="1" x14ac:dyDescent="0.3">
      <c r="A393" s="27">
        <v>44498</v>
      </c>
      <c r="B393" s="28">
        <v>17671.650390625</v>
      </c>
      <c r="C393" s="28">
        <v>168.00245666503901</v>
      </c>
      <c r="D393" s="29">
        <f t="shared" si="12"/>
        <v>5.232588236701214E-3</v>
      </c>
      <c r="E393" s="29">
        <f t="shared" si="13"/>
        <v>-1.0393515763905417E-2</v>
      </c>
    </row>
    <row r="394" spans="1:5" ht="14.25" customHeight="1" x14ac:dyDescent="0.3">
      <c r="A394" s="27">
        <v>44501</v>
      </c>
      <c r="B394" s="28">
        <v>17929.650390625</v>
      </c>
      <c r="C394" s="28">
        <v>173.54100036621099</v>
      </c>
      <c r="D394" s="29">
        <f t="shared" si="12"/>
        <v>3.2967039953556522E-2</v>
      </c>
      <c r="E394" s="29">
        <f t="shared" si="13"/>
        <v>1.4599655057507915E-2</v>
      </c>
    </row>
    <row r="395" spans="1:5" ht="14.25" customHeight="1" x14ac:dyDescent="0.3">
      <c r="A395" s="27">
        <v>44502</v>
      </c>
      <c r="B395" s="28">
        <v>17888.94921875</v>
      </c>
      <c r="C395" s="28">
        <v>174.22116088867199</v>
      </c>
      <c r="D395" s="29">
        <f t="shared" si="12"/>
        <v>3.9193073741980331E-3</v>
      </c>
      <c r="E395" s="29">
        <f t="shared" si="13"/>
        <v>-2.2700482713417379E-3</v>
      </c>
    </row>
    <row r="396" spans="1:5" ht="14.25" customHeight="1" x14ac:dyDescent="0.3">
      <c r="A396" s="27">
        <v>44503</v>
      </c>
      <c r="B396" s="28">
        <v>17829.19921875</v>
      </c>
      <c r="C396" s="28">
        <v>173.49241638183599</v>
      </c>
      <c r="D396" s="29">
        <f t="shared" si="12"/>
        <v>-4.1828702272375794E-3</v>
      </c>
      <c r="E396" s="29">
        <f t="shared" si="13"/>
        <v>-3.3400508475575552E-3</v>
      </c>
    </row>
    <row r="397" spans="1:5" ht="14.25" customHeight="1" x14ac:dyDescent="0.3">
      <c r="A397" s="27">
        <v>44504</v>
      </c>
      <c r="B397" s="28">
        <v>17916.80078125</v>
      </c>
      <c r="C397" s="28">
        <v>174.75559997558599</v>
      </c>
      <c r="D397" s="29">
        <f t="shared" si="12"/>
        <v>7.2809153281367901E-3</v>
      </c>
      <c r="E397" s="29">
        <f t="shared" si="13"/>
        <v>4.9133761659847404E-3</v>
      </c>
    </row>
    <row r="398" spans="1:5" ht="14.25" customHeight="1" x14ac:dyDescent="0.3">
      <c r="A398" s="27">
        <v>44508</v>
      </c>
      <c r="B398" s="28">
        <v>18068.55078125</v>
      </c>
      <c r="C398" s="28">
        <v>178.10786437988301</v>
      </c>
      <c r="D398" s="29">
        <f t="shared" si="12"/>
        <v>1.9182586450822412E-2</v>
      </c>
      <c r="E398" s="29">
        <f t="shared" si="13"/>
        <v>8.4697040421863115E-3</v>
      </c>
    </row>
    <row r="399" spans="1:5" ht="14.25" customHeight="1" x14ac:dyDescent="0.3">
      <c r="A399" s="27">
        <v>44509</v>
      </c>
      <c r="B399" s="28">
        <v>18044.25</v>
      </c>
      <c r="C399" s="28">
        <v>178.83662414550801</v>
      </c>
      <c r="D399" s="29">
        <f t="shared" si="12"/>
        <v>4.0916765139053131E-3</v>
      </c>
      <c r="E399" s="29">
        <f t="shared" si="13"/>
        <v>-1.3449214352717915E-3</v>
      </c>
    </row>
    <row r="400" spans="1:5" ht="14.25" customHeight="1" x14ac:dyDescent="0.3">
      <c r="A400" s="27">
        <v>44510</v>
      </c>
      <c r="B400" s="28">
        <v>18017.19921875</v>
      </c>
      <c r="C400" s="28">
        <v>177.91352844238301</v>
      </c>
      <c r="D400" s="29">
        <f t="shared" si="12"/>
        <v>-5.1616703655395311E-3</v>
      </c>
      <c r="E400" s="29">
        <f t="shared" si="13"/>
        <v>-1.499135805034845E-3</v>
      </c>
    </row>
    <row r="401" spans="1:5" ht="14.25" customHeight="1" x14ac:dyDescent="0.3">
      <c r="A401" s="27">
        <v>44511</v>
      </c>
      <c r="B401" s="28">
        <v>17873.599609375</v>
      </c>
      <c r="C401" s="28">
        <v>176.06735229492199</v>
      </c>
      <c r="D401" s="29">
        <f t="shared" si="12"/>
        <v>-1.0376817117979331E-2</v>
      </c>
      <c r="E401" s="29">
        <f t="shared" si="13"/>
        <v>-7.970140510271978E-3</v>
      </c>
    </row>
    <row r="402" spans="1:5" ht="14.25" customHeight="1" x14ac:dyDescent="0.3">
      <c r="A402" s="27">
        <v>44512</v>
      </c>
      <c r="B402" s="28">
        <v>18102.75</v>
      </c>
      <c r="C402" s="28">
        <v>176.21310424804699</v>
      </c>
      <c r="D402" s="29">
        <f t="shared" si="12"/>
        <v>8.278193045173865E-4</v>
      </c>
      <c r="E402" s="29">
        <f t="shared" si="13"/>
        <v>1.2820606684330492E-2</v>
      </c>
    </row>
    <row r="403" spans="1:5" ht="14.25" customHeight="1" x14ac:dyDescent="0.3">
      <c r="A403" s="27">
        <v>44515</v>
      </c>
      <c r="B403" s="28">
        <v>18109.44921875</v>
      </c>
      <c r="C403" s="28">
        <v>175.92158508300801</v>
      </c>
      <c r="D403" s="29">
        <f t="shared" si="12"/>
        <v>-1.6543557658947956E-3</v>
      </c>
      <c r="E403" s="29">
        <f t="shared" si="13"/>
        <v>3.7006635732140142E-4</v>
      </c>
    </row>
    <row r="404" spans="1:5" ht="14.25" customHeight="1" x14ac:dyDescent="0.3">
      <c r="A404" s="27">
        <v>44516</v>
      </c>
      <c r="B404" s="28">
        <v>17999.19921875</v>
      </c>
      <c r="C404" s="28">
        <v>175.38717651367199</v>
      </c>
      <c r="D404" s="29">
        <f t="shared" si="12"/>
        <v>-3.0377657698108158E-3</v>
      </c>
      <c r="E404" s="29">
        <f t="shared" si="13"/>
        <v>-6.0879819517564533E-3</v>
      </c>
    </row>
    <row r="405" spans="1:5" ht="14.25" customHeight="1" x14ac:dyDescent="0.3">
      <c r="A405" s="27">
        <v>44517</v>
      </c>
      <c r="B405" s="28">
        <v>17898.650390625</v>
      </c>
      <c r="C405" s="28">
        <v>172.47215270996099</v>
      </c>
      <c r="D405" s="29">
        <f t="shared" si="12"/>
        <v>-1.662050704991969E-2</v>
      </c>
      <c r="E405" s="29">
        <f t="shared" si="13"/>
        <v>-5.5862945291619958E-3</v>
      </c>
    </row>
    <row r="406" spans="1:5" ht="14.25" customHeight="1" x14ac:dyDescent="0.3">
      <c r="A406" s="27">
        <v>44518</v>
      </c>
      <c r="B406" s="28">
        <v>17764.80078125</v>
      </c>
      <c r="C406" s="28">
        <v>171.063232421875</v>
      </c>
      <c r="D406" s="29">
        <f t="shared" si="12"/>
        <v>-8.1689725903480483E-3</v>
      </c>
      <c r="E406" s="29">
        <f t="shared" si="13"/>
        <v>-7.4781956434608098E-3</v>
      </c>
    </row>
    <row r="407" spans="1:5" ht="14.25" customHeight="1" x14ac:dyDescent="0.3">
      <c r="A407" s="27">
        <v>44522</v>
      </c>
      <c r="B407" s="28">
        <v>17416.55078125</v>
      </c>
      <c r="C407" s="28">
        <v>164.79592895507801</v>
      </c>
      <c r="D407" s="29">
        <f t="shared" si="12"/>
        <v>-3.6637349698505677E-2</v>
      </c>
      <c r="E407" s="29">
        <f t="shared" si="13"/>
        <v>-1.96033721001568E-2</v>
      </c>
    </row>
    <row r="408" spans="1:5" ht="14.25" customHeight="1" x14ac:dyDescent="0.3">
      <c r="A408" s="27">
        <v>44523</v>
      </c>
      <c r="B408" s="28">
        <v>17503.349609375</v>
      </c>
      <c r="C408" s="28">
        <v>166.69070434570301</v>
      </c>
      <c r="D408" s="29">
        <f t="shared" si="12"/>
        <v>1.1497707514009645E-2</v>
      </c>
      <c r="E408" s="29">
        <f t="shared" si="13"/>
        <v>4.9836979327987458E-3</v>
      </c>
    </row>
    <row r="409" spans="1:5" ht="14.25" customHeight="1" x14ac:dyDescent="0.3">
      <c r="A409" s="27">
        <v>44524</v>
      </c>
      <c r="B409" s="28">
        <v>17415.05078125</v>
      </c>
      <c r="C409" s="28">
        <v>166.49636840820301</v>
      </c>
      <c r="D409" s="29">
        <f t="shared" si="12"/>
        <v>-1.1658474793949099E-3</v>
      </c>
      <c r="E409" s="29">
        <f t="shared" si="13"/>
        <v>-5.0446817378146927E-3</v>
      </c>
    </row>
    <row r="410" spans="1:5" ht="14.25" customHeight="1" x14ac:dyDescent="0.3">
      <c r="A410" s="27">
        <v>44525</v>
      </c>
      <c r="B410" s="28">
        <v>17536.25</v>
      </c>
      <c r="C410" s="28">
        <v>165.28178405761699</v>
      </c>
      <c r="D410" s="29">
        <f t="shared" si="12"/>
        <v>-7.2949600174353237E-3</v>
      </c>
      <c r="E410" s="29">
        <f t="shared" si="13"/>
        <v>6.9594525030320176E-3</v>
      </c>
    </row>
    <row r="411" spans="1:5" ht="14.25" customHeight="1" x14ac:dyDescent="0.3">
      <c r="A411" s="27">
        <v>44526</v>
      </c>
      <c r="B411" s="28">
        <v>17026.44921875</v>
      </c>
      <c r="C411" s="28">
        <v>161.00639343261699</v>
      </c>
      <c r="D411" s="29">
        <f t="shared" si="12"/>
        <v>-2.5867282649306381E-2</v>
      </c>
      <c r="E411" s="29">
        <f t="shared" si="13"/>
        <v>-2.9071254187753939E-2</v>
      </c>
    </row>
    <row r="412" spans="1:5" ht="14.25" customHeight="1" x14ac:dyDescent="0.3">
      <c r="A412" s="27">
        <v>44529</v>
      </c>
      <c r="B412" s="28">
        <v>17053.94921875</v>
      </c>
      <c r="C412" s="28">
        <v>159.06304931640599</v>
      </c>
      <c r="D412" s="29">
        <f t="shared" si="12"/>
        <v>-1.206998104099702E-2</v>
      </c>
      <c r="E412" s="29">
        <f t="shared" si="13"/>
        <v>1.615134174289037E-3</v>
      </c>
    </row>
    <row r="413" spans="1:5" ht="14.25" customHeight="1" x14ac:dyDescent="0.3">
      <c r="A413" s="27">
        <v>44530</v>
      </c>
      <c r="B413" s="28">
        <v>16983.19921875</v>
      </c>
      <c r="C413" s="28">
        <v>158.188552856445</v>
      </c>
      <c r="D413" s="29">
        <f t="shared" si="12"/>
        <v>-5.4977976577165839E-3</v>
      </c>
      <c r="E413" s="29">
        <f t="shared" si="13"/>
        <v>-4.1485991949720222E-3</v>
      </c>
    </row>
    <row r="414" spans="1:5" ht="14.25" customHeight="1" x14ac:dyDescent="0.3">
      <c r="A414" s="27">
        <v>44531</v>
      </c>
      <c r="B414" s="28">
        <v>17166.900390625</v>
      </c>
      <c r="C414" s="28">
        <v>158.52862548828099</v>
      </c>
      <c r="D414" s="29">
        <f t="shared" si="12"/>
        <v>2.1497929255640128E-3</v>
      </c>
      <c r="E414" s="29">
        <f t="shared" si="13"/>
        <v>1.0816641170421411E-2</v>
      </c>
    </row>
    <row r="415" spans="1:5" ht="14.25" customHeight="1" x14ac:dyDescent="0.3">
      <c r="A415" s="27">
        <v>44532</v>
      </c>
      <c r="B415" s="28">
        <v>17401.650390625</v>
      </c>
      <c r="C415" s="28">
        <v>161.54081726074199</v>
      </c>
      <c r="D415" s="29">
        <f t="shared" si="12"/>
        <v>1.900093287999691E-2</v>
      </c>
      <c r="E415" s="29">
        <f t="shared" si="13"/>
        <v>1.3674571102433792E-2</v>
      </c>
    </row>
    <row r="416" spans="1:5" ht="14.25" customHeight="1" x14ac:dyDescent="0.3">
      <c r="A416" s="27">
        <v>44533</v>
      </c>
      <c r="B416" s="28">
        <v>17196.69921875</v>
      </c>
      <c r="C416" s="28">
        <v>160.27764892578099</v>
      </c>
      <c r="D416" s="29">
        <f t="shared" si="12"/>
        <v>-7.819499470044915E-3</v>
      </c>
      <c r="E416" s="29">
        <f t="shared" si="13"/>
        <v>-1.1777685867394267E-2</v>
      </c>
    </row>
    <row r="417" spans="1:5" ht="14.25" customHeight="1" x14ac:dyDescent="0.3">
      <c r="A417" s="27">
        <v>44536</v>
      </c>
      <c r="B417" s="28">
        <v>16912.25</v>
      </c>
      <c r="C417" s="28">
        <v>157.84846496582</v>
      </c>
      <c r="D417" s="29">
        <f t="shared" si="12"/>
        <v>-1.5156099282975288E-2</v>
      </c>
      <c r="E417" s="29">
        <f t="shared" si="13"/>
        <v>-1.6540919575999662E-2</v>
      </c>
    </row>
    <row r="418" spans="1:5" ht="14.25" customHeight="1" x14ac:dyDescent="0.3">
      <c r="A418" s="27">
        <v>44537</v>
      </c>
      <c r="B418" s="28">
        <v>17176.69921875</v>
      </c>
      <c r="C418" s="28">
        <v>159.79180908203099</v>
      </c>
      <c r="D418" s="29">
        <f t="shared" si="12"/>
        <v>1.2311454005154879E-2</v>
      </c>
      <c r="E418" s="29">
        <f t="shared" si="13"/>
        <v>1.5636548581649395E-2</v>
      </c>
    </row>
    <row r="419" spans="1:5" ht="14.25" customHeight="1" x14ac:dyDescent="0.3">
      <c r="A419" s="27">
        <v>44538</v>
      </c>
      <c r="B419" s="28">
        <v>17469.75</v>
      </c>
      <c r="C419" s="28">
        <v>162.60966491699199</v>
      </c>
      <c r="D419" s="29">
        <f t="shared" si="12"/>
        <v>1.7634544919097918E-2</v>
      </c>
      <c r="E419" s="29">
        <f t="shared" si="13"/>
        <v>1.7060948527881727E-2</v>
      </c>
    </row>
    <row r="420" spans="1:5" ht="14.25" customHeight="1" x14ac:dyDescent="0.3">
      <c r="A420" s="27">
        <v>44539</v>
      </c>
      <c r="B420" s="28">
        <v>17516.849609375</v>
      </c>
      <c r="C420" s="28">
        <v>163.62991333007801</v>
      </c>
      <c r="D420" s="29">
        <f t="shared" si="12"/>
        <v>6.2742175479350076E-3</v>
      </c>
      <c r="E420" s="29">
        <f t="shared" si="13"/>
        <v>2.6960665936833668E-3</v>
      </c>
    </row>
    <row r="421" spans="1:5" ht="14.25" customHeight="1" x14ac:dyDescent="0.3">
      <c r="A421" s="27">
        <v>44540</v>
      </c>
      <c r="B421" s="28">
        <v>17511.30078125</v>
      </c>
      <c r="C421" s="28">
        <v>163.92141723632801</v>
      </c>
      <c r="D421" s="29">
        <f t="shared" si="12"/>
        <v>1.7814829838720971E-3</v>
      </c>
      <c r="E421" s="29">
        <f t="shared" si="13"/>
        <v>-3.1677089480920548E-4</v>
      </c>
    </row>
    <row r="422" spans="1:5" ht="14.25" customHeight="1" x14ac:dyDescent="0.3">
      <c r="A422" s="27">
        <v>44543</v>
      </c>
      <c r="B422" s="28">
        <v>17368.25</v>
      </c>
      <c r="C422" s="28">
        <v>162.60966491699199</v>
      </c>
      <c r="D422" s="29">
        <f t="shared" si="12"/>
        <v>-8.0023241712512128E-3</v>
      </c>
      <c r="E422" s="29">
        <f t="shared" si="13"/>
        <v>-8.1690551168631508E-3</v>
      </c>
    </row>
    <row r="423" spans="1:5" ht="14.25" customHeight="1" x14ac:dyDescent="0.3">
      <c r="A423" s="27">
        <v>44544</v>
      </c>
      <c r="B423" s="28">
        <v>17324.900390625</v>
      </c>
      <c r="C423" s="28">
        <v>162.90115356445301</v>
      </c>
      <c r="D423" s="29">
        <f t="shared" si="12"/>
        <v>1.7925665587578705E-3</v>
      </c>
      <c r="E423" s="29">
        <f t="shared" si="13"/>
        <v>-2.4959111813222402E-3</v>
      </c>
    </row>
    <row r="424" spans="1:5" ht="14.25" customHeight="1" x14ac:dyDescent="0.3">
      <c r="A424" s="27">
        <v>44545</v>
      </c>
      <c r="B424" s="28">
        <v>17221.400390625</v>
      </c>
      <c r="C424" s="28">
        <v>160.95780944824199</v>
      </c>
      <c r="D424" s="29">
        <f t="shared" si="12"/>
        <v>-1.1929590881884852E-2</v>
      </c>
      <c r="E424" s="29">
        <f t="shared" si="13"/>
        <v>-5.9740603216401067E-3</v>
      </c>
    </row>
    <row r="425" spans="1:5" ht="14.25" customHeight="1" x14ac:dyDescent="0.3">
      <c r="A425" s="27">
        <v>44546</v>
      </c>
      <c r="B425" s="28">
        <v>17248.400390625</v>
      </c>
      <c r="C425" s="28">
        <v>158.33428955078099</v>
      </c>
      <c r="D425" s="29">
        <f t="shared" si="12"/>
        <v>-1.6299425957984476E-2</v>
      </c>
      <c r="E425" s="29">
        <f t="shared" si="13"/>
        <v>1.5678167505296654E-3</v>
      </c>
    </row>
    <row r="426" spans="1:5" ht="14.25" customHeight="1" x14ac:dyDescent="0.3">
      <c r="A426" s="27">
        <v>44547</v>
      </c>
      <c r="B426" s="28">
        <v>16985.19921875</v>
      </c>
      <c r="C426" s="28">
        <v>155.27352905273401</v>
      </c>
      <c r="D426" s="29">
        <f t="shared" si="12"/>
        <v>-1.933100218992893E-2</v>
      </c>
      <c r="E426" s="29">
        <f t="shared" si="13"/>
        <v>-1.525945397337004E-2</v>
      </c>
    </row>
    <row r="427" spans="1:5" ht="14.25" customHeight="1" x14ac:dyDescent="0.3">
      <c r="A427" s="27">
        <v>44550</v>
      </c>
      <c r="B427" s="28">
        <v>16614.19921875</v>
      </c>
      <c r="C427" s="28">
        <v>150.85241699218801</v>
      </c>
      <c r="D427" s="29">
        <f t="shared" si="12"/>
        <v>-2.8473057111006318E-2</v>
      </c>
      <c r="E427" s="29">
        <f t="shared" si="13"/>
        <v>-2.1842546279377886E-2</v>
      </c>
    </row>
    <row r="428" spans="1:5" ht="14.25" customHeight="1" x14ac:dyDescent="0.3">
      <c r="A428" s="27">
        <v>44551</v>
      </c>
      <c r="B428" s="28">
        <v>16770.849609375</v>
      </c>
      <c r="C428" s="28">
        <v>152.06700134277301</v>
      </c>
      <c r="D428" s="29">
        <f t="shared" si="12"/>
        <v>8.0514742474951367E-3</v>
      </c>
      <c r="E428" s="29">
        <f t="shared" si="13"/>
        <v>9.4287054442089378E-3</v>
      </c>
    </row>
    <row r="429" spans="1:5" ht="14.25" customHeight="1" x14ac:dyDescent="0.3">
      <c r="A429" s="27">
        <v>44552</v>
      </c>
      <c r="B429" s="28">
        <v>16955.44921875</v>
      </c>
      <c r="C429" s="28">
        <v>154.54476928710901</v>
      </c>
      <c r="D429" s="29">
        <f t="shared" si="12"/>
        <v>1.6293922563455285E-2</v>
      </c>
      <c r="E429" s="29">
        <f t="shared" si="13"/>
        <v>1.1007170994593368E-2</v>
      </c>
    </row>
    <row r="430" spans="1:5" ht="14.25" customHeight="1" x14ac:dyDescent="0.3">
      <c r="A430" s="27">
        <v>44553</v>
      </c>
      <c r="B430" s="28">
        <v>17072.599609375</v>
      </c>
      <c r="C430" s="28">
        <v>159.79180908203099</v>
      </c>
      <c r="D430" s="29">
        <f t="shared" si="12"/>
        <v>3.3951584509302822E-2</v>
      </c>
      <c r="E430" s="29">
        <f t="shared" si="13"/>
        <v>6.9093062126275315E-3</v>
      </c>
    </row>
    <row r="431" spans="1:5" ht="14.25" customHeight="1" x14ac:dyDescent="0.3">
      <c r="A431" s="27">
        <v>44554</v>
      </c>
      <c r="B431" s="28">
        <v>17003.75</v>
      </c>
      <c r="C431" s="28">
        <v>157.994216918945</v>
      </c>
      <c r="D431" s="29">
        <f t="shared" si="12"/>
        <v>-1.1249588908297418E-2</v>
      </c>
      <c r="E431" s="29">
        <f t="shared" si="13"/>
        <v>-4.0327548791803756E-3</v>
      </c>
    </row>
    <row r="432" spans="1:5" ht="14.25" customHeight="1" x14ac:dyDescent="0.3">
      <c r="A432" s="27">
        <v>44557</v>
      </c>
      <c r="B432" s="28">
        <v>17086.25</v>
      </c>
      <c r="C432" s="28">
        <v>158.91731262207</v>
      </c>
      <c r="D432" s="29">
        <f t="shared" si="12"/>
        <v>5.8425917171295661E-3</v>
      </c>
      <c r="E432" s="29">
        <f t="shared" si="13"/>
        <v>4.8518709108284937E-3</v>
      </c>
    </row>
    <row r="433" spans="1:5" ht="14.25" customHeight="1" x14ac:dyDescent="0.3">
      <c r="A433" s="27">
        <v>44558</v>
      </c>
      <c r="B433" s="28">
        <v>17233.25</v>
      </c>
      <c r="C433" s="28">
        <v>163.67849731445301</v>
      </c>
      <c r="D433" s="29">
        <f t="shared" si="12"/>
        <v>2.9960138475949732E-2</v>
      </c>
      <c r="E433" s="29">
        <f t="shared" si="13"/>
        <v>8.6034091740434561E-3</v>
      </c>
    </row>
    <row r="434" spans="1:5" ht="14.25" customHeight="1" x14ac:dyDescent="0.3">
      <c r="A434" s="27">
        <v>44559</v>
      </c>
      <c r="B434" s="28">
        <v>17213.599609375</v>
      </c>
      <c r="C434" s="28">
        <v>162.22099304199199</v>
      </c>
      <c r="D434" s="29">
        <f t="shared" si="12"/>
        <v>-8.904677745549679E-3</v>
      </c>
      <c r="E434" s="29">
        <f t="shared" si="13"/>
        <v>-1.1402602889762524E-3</v>
      </c>
    </row>
    <row r="435" spans="1:5" ht="14.25" customHeight="1" x14ac:dyDescent="0.3">
      <c r="A435" s="27">
        <v>44560</v>
      </c>
      <c r="B435" s="28">
        <v>17203.94921875</v>
      </c>
      <c r="C435" s="28">
        <v>160.47196960449199</v>
      </c>
      <c r="D435" s="29">
        <f t="shared" si="12"/>
        <v>-1.0781733021738151E-2</v>
      </c>
      <c r="E435" s="29">
        <f t="shared" si="13"/>
        <v>-5.606259494814862E-4</v>
      </c>
    </row>
    <row r="436" spans="1:5" ht="14.25" customHeight="1" x14ac:dyDescent="0.3">
      <c r="A436" s="27">
        <v>44561</v>
      </c>
      <c r="B436" s="28">
        <v>17354.05078125</v>
      </c>
      <c r="C436" s="28">
        <v>163.58134460449199</v>
      </c>
      <c r="D436" s="29">
        <f t="shared" si="12"/>
        <v>1.9376436942000128E-2</v>
      </c>
      <c r="E436" s="29">
        <f t="shared" si="13"/>
        <v>8.7248317576065267E-3</v>
      </c>
    </row>
    <row r="437" spans="1:5" ht="14.25" customHeight="1" x14ac:dyDescent="0.3">
      <c r="A437" s="27">
        <v>44564</v>
      </c>
      <c r="B437" s="28">
        <v>17625.69921875</v>
      </c>
      <c r="C437" s="28">
        <v>165.52468872070301</v>
      </c>
      <c r="D437" s="29">
        <f t="shared" si="12"/>
        <v>1.1879986198362976E-2</v>
      </c>
      <c r="E437" s="29">
        <f t="shared" si="13"/>
        <v>1.565331581220793E-2</v>
      </c>
    </row>
    <row r="438" spans="1:5" ht="14.25" customHeight="1" x14ac:dyDescent="0.3">
      <c r="A438" s="27">
        <v>44565</v>
      </c>
      <c r="B438" s="28">
        <v>17805.25</v>
      </c>
      <c r="C438" s="28">
        <v>165.23318481445301</v>
      </c>
      <c r="D438" s="29">
        <f t="shared" si="12"/>
        <v>-1.7610901944776782E-3</v>
      </c>
      <c r="E438" s="29">
        <f t="shared" si="13"/>
        <v>1.0186874235264159E-2</v>
      </c>
    </row>
    <row r="439" spans="1:5" ht="14.25" customHeight="1" x14ac:dyDescent="0.3">
      <c r="A439" s="27">
        <v>44566</v>
      </c>
      <c r="B439" s="28">
        <v>17925.25</v>
      </c>
      <c r="C439" s="28">
        <v>165.67044067382801</v>
      </c>
      <c r="D439" s="29">
        <f t="shared" si="12"/>
        <v>2.6462956570498363E-3</v>
      </c>
      <c r="E439" s="29">
        <f t="shared" si="13"/>
        <v>6.7395852346920151E-3</v>
      </c>
    </row>
    <row r="440" spans="1:5" ht="14.25" customHeight="1" x14ac:dyDescent="0.3">
      <c r="A440" s="27">
        <v>44567</v>
      </c>
      <c r="B440" s="28">
        <v>17745.900390625</v>
      </c>
      <c r="C440" s="28">
        <v>166.10768127441401</v>
      </c>
      <c r="D440" s="29">
        <f t="shared" si="12"/>
        <v>2.6392191558591536E-3</v>
      </c>
      <c r="E440" s="29">
        <f t="shared" si="13"/>
        <v>-1.0005417462796892E-2</v>
      </c>
    </row>
    <row r="441" spans="1:5" ht="14.25" customHeight="1" x14ac:dyDescent="0.3">
      <c r="A441" s="27">
        <v>44568</v>
      </c>
      <c r="B441" s="28">
        <v>17812.69921875</v>
      </c>
      <c r="C441" s="28">
        <v>164.84449768066401</v>
      </c>
      <c r="D441" s="29">
        <f t="shared" si="12"/>
        <v>-7.6046067470124361E-3</v>
      </c>
      <c r="E441" s="29">
        <f t="shared" si="13"/>
        <v>3.7641836511315718E-3</v>
      </c>
    </row>
    <row r="442" spans="1:5" ht="14.25" customHeight="1" x14ac:dyDescent="0.3">
      <c r="A442" s="27">
        <v>44571</v>
      </c>
      <c r="B442" s="28">
        <v>18003.30078125</v>
      </c>
      <c r="C442" s="28">
        <v>166.49636840820301</v>
      </c>
      <c r="D442" s="29">
        <f t="shared" si="12"/>
        <v>1.002078171113119E-2</v>
      </c>
      <c r="E442" s="29">
        <f t="shared" si="13"/>
        <v>1.0700318921871708E-2</v>
      </c>
    </row>
    <row r="443" spans="1:5" ht="14.25" customHeight="1" x14ac:dyDescent="0.3">
      <c r="A443" s="27">
        <v>44572</v>
      </c>
      <c r="B443" s="28">
        <v>18055.75</v>
      </c>
      <c r="C443" s="28">
        <v>165.37893676757801</v>
      </c>
      <c r="D443" s="29">
        <f t="shared" si="12"/>
        <v>-6.7114475307074985E-3</v>
      </c>
      <c r="E443" s="29">
        <f t="shared" si="13"/>
        <v>2.9133112526023332E-3</v>
      </c>
    </row>
    <row r="444" spans="1:5" ht="14.25" customHeight="1" x14ac:dyDescent="0.3">
      <c r="A444" s="27">
        <v>44573</v>
      </c>
      <c r="B444" s="28">
        <v>18212.349609375</v>
      </c>
      <c r="C444" s="28">
        <v>166.93360900878901</v>
      </c>
      <c r="D444" s="29">
        <f t="shared" si="12"/>
        <v>9.4006665636985915E-3</v>
      </c>
      <c r="E444" s="29">
        <f t="shared" si="13"/>
        <v>8.6731157318305808E-3</v>
      </c>
    </row>
    <row r="445" spans="1:5" ht="14.25" customHeight="1" x14ac:dyDescent="0.3">
      <c r="A445" s="27">
        <v>44574</v>
      </c>
      <c r="B445" s="28">
        <v>18257.80078125</v>
      </c>
      <c r="C445" s="28">
        <v>167.17654418945301</v>
      </c>
      <c r="D445" s="29">
        <f t="shared" si="12"/>
        <v>1.45528022850818E-3</v>
      </c>
      <c r="E445" s="29">
        <f t="shared" si="13"/>
        <v>2.495623730592319E-3</v>
      </c>
    </row>
    <row r="446" spans="1:5" ht="14.25" customHeight="1" x14ac:dyDescent="0.3">
      <c r="A446" s="27">
        <v>44575</v>
      </c>
      <c r="B446" s="28">
        <v>18255.75</v>
      </c>
      <c r="C446" s="28">
        <v>168.97412109375</v>
      </c>
      <c r="D446" s="29">
        <f t="shared" si="12"/>
        <v>1.0752566474037665E-2</v>
      </c>
      <c r="E446" s="29">
        <f t="shared" si="13"/>
        <v>-1.1232356375068276E-4</v>
      </c>
    </row>
    <row r="447" spans="1:5" ht="14.25" customHeight="1" x14ac:dyDescent="0.3">
      <c r="A447" s="27">
        <v>44578</v>
      </c>
      <c r="B447" s="28">
        <v>18308.099609375</v>
      </c>
      <c r="C447" s="28">
        <v>177.33052062988301</v>
      </c>
      <c r="D447" s="29">
        <f t="shared" si="12"/>
        <v>4.9453723931469511E-2</v>
      </c>
      <c r="E447" s="29">
        <f t="shared" si="13"/>
        <v>2.867568266162716E-3</v>
      </c>
    </row>
    <row r="448" spans="1:5" ht="14.25" customHeight="1" x14ac:dyDescent="0.3">
      <c r="A448" s="27">
        <v>44579</v>
      </c>
      <c r="B448" s="28">
        <v>18113.05078125</v>
      </c>
      <c r="C448" s="28">
        <v>173.92965698242199</v>
      </c>
      <c r="D448" s="29">
        <f t="shared" si="12"/>
        <v>-1.9178106709330459E-2</v>
      </c>
      <c r="E448" s="29">
        <f t="shared" si="13"/>
        <v>-1.0653690567923372E-2</v>
      </c>
    </row>
    <row r="449" spans="1:5" ht="14.25" customHeight="1" x14ac:dyDescent="0.3">
      <c r="A449" s="27">
        <v>44580</v>
      </c>
      <c r="B449" s="28">
        <v>17938.400390625</v>
      </c>
      <c r="C449" s="28">
        <v>174.85273742675801</v>
      </c>
      <c r="D449" s="29">
        <f t="shared" si="12"/>
        <v>5.3072055700616539E-3</v>
      </c>
      <c r="E449" s="29">
        <f t="shared" si="13"/>
        <v>-9.642240433941256E-3</v>
      </c>
    </row>
    <row r="450" spans="1:5" ht="14.25" customHeight="1" x14ac:dyDescent="0.3">
      <c r="A450" s="27">
        <v>44581</v>
      </c>
      <c r="B450" s="28">
        <v>17757</v>
      </c>
      <c r="C450" s="28">
        <v>172.66648864746099</v>
      </c>
      <c r="D450" s="29">
        <f t="shared" si="12"/>
        <v>-1.2503371759980531E-2</v>
      </c>
      <c r="E450" s="29">
        <f t="shared" si="13"/>
        <v>-1.0112406160797024E-2</v>
      </c>
    </row>
    <row r="451" spans="1:5" ht="14.25" customHeight="1" x14ac:dyDescent="0.3">
      <c r="A451" s="27">
        <v>44582</v>
      </c>
      <c r="B451" s="28">
        <v>17617.150390625</v>
      </c>
      <c r="C451" s="28">
        <v>171.11181640625</v>
      </c>
      <c r="D451" s="29">
        <f t="shared" ref="D451:D514" si="14">(C451-C450)/C450</f>
        <v>-9.0039025718836579E-3</v>
      </c>
      <c r="E451" s="29">
        <f t="shared" ref="E451:E514" si="15">(B451-B450)/B450</f>
        <v>-7.875745304668582E-3</v>
      </c>
    </row>
    <row r="452" spans="1:5" ht="14.25" customHeight="1" x14ac:dyDescent="0.3">
      <c r="A452" s="27">
        <v>44585</v>
      </c>
      <c r="B452" s="28">
        <v>17149.099609375</v>
      </c>
      <c r="C452" s="28">
        <v>168.09962463378901</v>
      </c>
      <c r="D452" s="29">
        <f t="shared" si="14"/>
        <v>-1.7603645591076616E-2</v>
      </c>
      <c r="E452" s="29">
        <f t="shared" si="15"/>
        <v>-2.6567905187383431E-2</v>
      </c>
    </row>
    <row r="453" spans="1:5" ht="14.25" customHeight="1" x14ac:dyDescent="0.3">
      <c r="A453" s="27">
        <v>44586</v>
      </c>
      <c r="B453" s="28">
        <v>17277.94921875</v>
      </c>
      <c r="C453" s="28">
        <v>170.188720703125</v>
      </c>
      <c r="D453" s="29">
        <f t="shared" si="14"/>
        <v>1.2427725962429506E-2</v>
      </c>
      <c r="E453" s="29">
        <f t="shared" si="15"/>
        <v>7.5134912216942877E-3</v>
      </c>
    </row>
    <row r="454" spans="1:5" ht="14.25" customHeight="1" x14ac:dyDescent="0.3">
      <c r="A454" s="27">
        <v>44588</v>
      </c>
      <c r="B454" s="28">
        <v>17110.150390625</v>
      </c>
      <c r="C454" s="28">
        <v>168.731201171875</v>
      </c>
      <c r="D454" s="29">
        <f t="shared" si="14"/>
        <v>-8.5641370663598684E-3</v>
      </c>
      <c r="E454" s="29">
        <f t="shared" si="15"/>
        <v>-9.7117329146276816E-3</v>
      </c>
    </row>
    <row r="455" spans="1:5" ht="14.25" customHeight="1" x14ac:dyDescent="0.3">
      <c r="A455" s="27">
        <v>44589</v>
      </c>
      <c r="B455" s="28">
        <v>17101.94921875</v>
      </c>
      <c r="C455" s="28">
        <v>170.383056640625</v>
      </c>
      <c r="D455" s="29">
        <f t="shared" si="14"/>
        <v>9.7898637435015184E-3</v>
      </c>
      <c r="E455" s="29">
        <f t="shared" si="15"/>
        <v>-4.7931617710932507E-4</v>
      </c>
    </row>
    <row r="456" spans="1:5" ht="14.25" customHeight="1" x14ac:dyDescent="0.3">
      <c r="A456" s="27">
        <v>44592</v>
      </c>
      <c r="B456" s="28">
        <v>17339.849609375</v>
      </c>
      <c r="C456" s="28">
        <v>168.731201171875</v>
      </c>
      <c r="D456" s="29">
        <f t="shared" si="14"/>
        <v>-9.6949514894202372E-3</v>
      </c>
      <c r="E456" s="29">
        <f t="shared" si="15"/>
        <v>1.3910717870929826E-2</v>
      </c>
    </row>
    <row r="457" spans="1:5" ht="14.25" customHeight="1" x14ac:dyDescent="0.3">
      <c r="A457" s="27">
        <v>44593</v>
      </c>
      <c r="B457" s="28">
        <v>17576.849609375</v>
      </c>
      <c r="C457" s="28">
        <v>170.091552734375</v>
      </c>
      <c r="D457" s="29">
        <f t="shared" si="14"/>
        <v>8.0622407299424277E-3</v>
      </c>
      <c r="E457" s="29">
        <f t="shared" si="15"/>
        <v>1.366793861187026E-2</v>
      </c>
    </row>
    <row r="458" spans="1:5" ht="14.25" customHeight="1" x14ac:dyDescent="0.3">
      <c r="A458" s="27">
        <v>44594</v>
      </c>
      <c r="B458" s="28">
        <v>17780</v>
      </c>
      <c r="C458" s="28">
        <v>170.091552734375</v>
      </c>
      <c r="D458" s="29">
        <f t="shared" si="14"/>
        <v>0</v>
      </c>
      <c r="E458" s="29">
        <f t="shared" si="15"/>
        <v>1.1557838585399586E-2</v>
      </c>
    </row>
    <row r="459" spans="1:5" ht="14.25" customHeight="1" x14ac:dyDescent="0.3">
      <c r="A459" s="27">
        <v>44595</v>
      </c>
      <c r="B459" s="28">
        <v>17560.19921875</v>
      </c>
      <c r="C459" s="28">
        <v>168.63404846191401</v>
      </c>
      <c r="D459" s="29">
        <f t="shared" si="14"/>
        <v>-8.5689397799614368E-3</v>
      </c>
      <c r="E459" s="29">
        <f t="shared" si="15"/>
        <v>-1.2362248664229471E-2</v>
      </c>
    </row>
    <row r="460" spans="1:5" ht="14.25" customHeight="1" x14ac:dyDescent="0.3">
      <c r="A460" s="27">
        <v>44596</v>
      </c>
      <c r="B460" s="28">
        <v>17516.30078125</v>
      </c>
      <c r="C460" s="28">
        <v>166.30203247070301</v>
      </c>
      <c r="D460" s="29">
        <f t="shared" si="14"/>
        <v>-1.3828856108721603E-2</v>
      </c>
      <c r="E460" s="29">
        <f t="shared" si="15"/>
        <v>-2.4998826581151311E-3</v>
      </c>
    </row>
    <row r="461" spans="1:5" ht="14.25" customHeight="1" x14ac:dyDescent="0.3">
      <c r="A461" s="27">
        <v>44599</v>
      </c>
      <c r="B461" s="28">
        <v>17213.599609375</v>
      </c>
      <c r="C461" s="28">
        <v>164.188232421875</v>
      </c>
      <c r="D461" s="29">
        <f t="shared" si="14"/>
        <v>-1.2710608628312428E-2</v>
      </c>
      <c r="E461" s="29">
        <f t="shared" si="15"/>
        <v>-1.7281112927623445E-2</v>
      </c>
    </row>
    <row r="462" spans="1:5" ht="14.25" customHeight="1" x14ac:dyDescent="0.3">
      <c r="A462" s="27">
        <v>44600</v>
      </c>
      <c r="B462" s="28">
        <v>17266.75</v>
      </c>
      <c r="C462" s="28">
        <v>163.74581909179699</v>
      </c>
      <c r="D462" s="29">
        <f t="shared" si="14"/>
        <v>-2.6945495639495542E-3</v>
      </c>
      <c r="E462" s="29">
        <f t="shared" si="15"/>
        <v>3.0876976246184346E-3</v>
      </c>
    </row>
    <row r="463" spans="1:5" ht="14.25" customHeight="1" x14ac:dyDescent="0.3">
      <c r="A463" s="27">
        <v>44601</v>
      </c>
      <c r="B463" s="28">
        <v>17463.80078125</v>
      </c>
      <c r="C463" s="28">
        <v>164.434005737305</v>
      </c>
      <c r="D463" s="29">
        <f t="shared" si="14"/>
        <v>4.2027738437841241E-3</v>
      </c>
      <c r="E463" s="29">
        <f t="shared" si="15"/>
        <v>1.1412152330345897E-2</v>
      </c>
    </row>
    <row r="464" spans="1:5" ht="14.25" customHeight="1" x14ac:dyDescent="0.3">
      <c r="A464" s="27">
        <v>44602</v>
      </c>
      <c r="B464" s="28">
        <v>17605.849609375</v>
      </c>
      <c r="C464" s="28">
        <v>163.50001525878901</v>
      </c>
      <c r="D464" s="29">
        <f t="shared" si="14"/>
        <v>-5.6800323894566586E-3</v>
      </c>
      <c r="E464" s="29">
        <f t="shared" si="15"/>
        <v>8.1339010851240717E-3</v>
      </c>
    </row>
    <row r="465" spans="1:5" ht="14.25" customHeight="1" x14ac:dyDescent="0.3">
      <c r="A465" s="27">
        <v>44603</v>
      </c>
      <c r="B465" s="28">
        <v>17374.75</v>
      </c>
      <c r="C465" s="28">
        <v>160.99295043945301</v>
      </c>
      <c r="D465" s="29">
        <f t="shared" si="14"/>
        <v>-1.5333728350837118E-2</v>
      </c>
      <c r="E465" s="29">
        <f t="shared" si="15"/>
        <v>-1.3126296912813624E-2</v>
      </c>
    </row>
    <row r="466" spans="1:5" ht="14.25" customHeight="1" x14ac:dyDescent="0.3">
      <c r="A466" s="27">
        <v>44606</v>
      </c>
      <c r="B466" s="28">
        <v>16842.80078125</v>
      </c>
      <c r="C466" s="28">
        <v>153.57008361816401</v>
      </c>
      <c r="D466" s="29">
        <f t="shared" si="14"/>
        <v>-4.6106781700858586E-2</v>
      </c>
      <c r="E466" s="29">
        <f t="shared" si="15"/>
        <v>-3.0616222895293456E-2</v>
      </c>
    </row>
    <row r="467" spans="1:5" ht="14.25" customHeight="1" x14ac:dyDescent="0.3">
      <c r="A467" s="27">
        <v>44607</v>
      </c>
      <c r="B467" s="28">
        <v>17352.44921875</v>
      </c>
      <c r="C467" s="28">
        <v>156.76533508300801</v>
      </c>
      <c r="D467" s="29">
        <f t="shared" si="14"/>
        <v>2.0806470827929385E-2</v>
      </c>
      <c r="E467" s="29">
        <f t="shared" si="15"/>
        <v>3.0259126383977576E-2</v>
      </c>
    </row>
    <row r="468" spans="1:5" ht="14.25" customHeight="1" x14ac:dyDescent="0.3">
      <c r="A468" s="27">
        <v>44608</v>
      </c>
      <c r="B468" s="28">
        <v>17322.19921875</v>
      </c>
      <c r="C468" s="28">
        <v>156.81449890136699</v>
      </c>
      <c r="D468" s="29">
        <f t="shared" si="14"/>
        <v>3.1361409289205812E-4</v>
      </c>
      <c r="E468" s="29">
        <f t="shared" si="15"/>
        <v>-1.7432697608654399E-3</v>
      </c>
    </row>
    <row r="469" spans="1:5" ht="14.25" customHeight="1" x14ac:dyDescent="0.3">
      <c r="A469" s="27">
        <v>44609</v>
      </c>
      <c r="B469" s="28">
        <v>17304.599609375</v>
      </c>
      <c r="C469" s="28">
        <v>155.38893127441401</v>
      </c>
      <c r="D469" s="29">
        <f t="shared" si="14"/>
        <v>-9.090789671493545E-3</v>
      </c>
      <c r="E469" s="29">
        <f t="shared" si="15"/>
        <v>-1.0160147191904897E-3</v>
      </c>
    </row>
    <row r="470" spans="1:5" ht="14.25" customHeight="1" x14ac:dyDescent="0.3">
      <c r="A470" s="27">
        <v>44610</v>
      </c>
      <c r="B470" s="28">
        <v>17276.30078125</v>
      </c>
      <c r="C470" s="28">
        <v>153.815841674805</v>
      </c>
      <c r="D470" s="29">
        <f t="shared" si="14"/>
        <v>-1.0123562770574425E-2</v>
      </c>
      <c r="E470" s="29">
        <f t="shared" si="15"/>
        <v>-1.6353356196504385E-3</v>
      </c>
    </row>
    <row r="471" spans="1:5" ht="14.25" customHeight="1" x14ac:dyDescent="0.3">
      <c r="A471" s="27">
        <v>44613</v>
      </c>
      <c r="B471" s="28">
        <v>17206.650390625</v>
      </c>
      <c r="C471" s="28">
        <v>151.65289306640599</v>
      </c>
      <c r="D471" s="29">
        <f t="shared" si="14"/>
        <v>-1.4061936565492893E-2</v>
      </c>
      <c r="E471" s="29">
        <f t="shared" si="15"/>
        <v>-4.0315569581071253E-3</v>
      </c>
    </row>
    <row r="472" spans="1:5" ht="14.25" customHeight="1" x14ac:dyDescent="0.3">
      <c r="A472" s="27">
        <v>44614</v>
      </c>
      <c r="B472" s="28">
        <v>17092.19921875</v>
      </c>
      <c r="C472" s="28">
        <v>148.55593872070301</v>
      </c>
      <c r="D472" s="29">
        <f t="shared" si="14"/>
        <v>-2.0421333764776145E-2</v>
      </c>
      <c r="E472" s="29">
        <f t="shared" si="15"/>
        <v>-6.6515660675803834E-3</v>
      </c>
    </row>
    <row r="473" spans="1:5" ht="14.25" customHeight="1" x14ac:dyDescent="0.3">
      <c r="A473" s="27">
        <v>44615</v>
      </c>
      <c r="B473" s="28">
        <v>17063.25</v>
      </c>
      <c r="C473" s="28">
        <v>150.37478637695301</v>
      </c>
      <c r="D473" s="29">
        <f t="shared" si="14"/>
        <v>1.2243520332563602E-2</v>
      </c>
      <c r="E473" s="29">
        <f t="shared" si="15"/>
        <v>-1.6937094155936908E-3</v>
      </c>
    </row>
    <row r="474" spans="1:5" ht="14.25" customHeight="1" x14ac:dyDescent="0.3">
      <c r="A474" s="27">
        <v>44616</v>
      </c>
      <c r="B474" s="28">
        <v>16247.9501953125</v>
      </c>
      <c r="C474" s="28">
        <v>139.01925659179699</v>
      </c>
      <c r="D474" s="29">
        <f t="shared" si="14"/>
        <v>-7.5514852315004932E-2</v>
      </c>
      <c r="E474" s="29">
        <f t="shared" si="15"/>
        <v>-4.7781038470836444E-2</v>
      </c>
    </row>
    <row r="475" spans="1:5" ht="14.25" customHeight="1" x14ac:dyDescent="0.3">
      <c r="A475" s="27">
        <v>44617</v>
      </c>
      <c r="B475" s="28">
        <v>16658.400390625</v>
      </c>
      <c r="C475" s="28">
        <v>146.49130249023401</v>
      </c>
      <c r="D475" s="29">
        <f t="shared" si="14"/>
        <v>5.3748279782398968E-2</v>
      </c>
      <c r="E475" s="29">
        <f t="shared" si="15"/>
        <v>2.5261660109649649E-2</v>
      </c>
    </row>
    <row r="476" spans="1:5" ht="14.25" customHeight="1" x14ac:dyDescent="0.3">
      <c r="A476" s="27">
        <v>44620</v>
      </c>
      <c r="B476" s="28">
        <v>16793.900390625</v>
      </c>
      <c r="C476" s="28">
        <v>146.540451049805</v>
      </c>
      <c r="D476" s="29">
        <f t="shared" si="14"/>
        <v>3.3550496674893831E-4</v>
      </c>
      <c r="E476" s="29">
        <f t="shared" si="15"/>
        <v>8.1340342903665937E-3</v>
      </c>
    </row>
    <row r="477" spans="1:5" ht="14.25" customHeight="1" x14ac:dyDescent="0.3">
      <c r="A477" s="27">
        <v>44622</v>
      </c>
      <c r="B477" s="28">
        <v>16605.94921875</v>
      </c>
      <c r="C477" s="28">
        <v>145.90138244628901</v>
      </c>
      <c r="D477" s="29">
        <f t="shared" si="14"/>
        <v>-4.361038873142222E-3</v>
      </c>
      <c r="E477" s="29">
        <f t="shared" si="15"/>
        <v>-1.1191633122935609E-2</v>
      </c>
    </row>
    <row r="478" spans="1:5" ht="14.25" customHeight="1" x14ac:dyDescent="0.3">
      <c r="A478" s="27">
        <v>44623</v>
      </c>
      <c r="B478" s="28">
        <v>16498.05078125</v>
      </c>
      <c r="C478" s="28">
        <v>145.85223388671901</v>
      </c>
      <c r="D478" s="29">
        <f t="shared" si="14"/>
        <v>-3.3686150703947598E-4</v>
      </c>
      <c r="E478" s="29">
        <f t="shared" si="15"/>
        <v>-6.4975772284170561E-3</v>
      </c>
    </row>
    <row r="479" spans="1:5" ht="14.25" customHeight="1" x14ac:dyDescent="0.3">
      <c r="A479" s="27">
        <v>44624</v>
      </c>
      <c r="B479" s="28">
        <v>16245.349609375</v>
      </c>
      <c r="C479" s="28">
        <v>142.46032714843801</v>
      </c>
      <c r="D479" s="29">
        <f t="shared" si="14"/>
        <v>-2.3255775025807501E-2</v>
      </c>
      <c r="E479" s="29">
        <f t="shared" si="15"/>
        <v>-1.5317032007332306E-2</v>
      </c>
    </row>
    <row r="480" spans="1:5" ht="14.25" customHeight="1" x14ac:dyDescent="0.3">
      <c r="A480" s="27">
        <v>44627</v>
      </c>
      <c r="B480" s="28">
        <v>15863.150390625</v>
      </c>
      <c r="C480" s="28">
        <v>138.92094421386699</v>
      </c>
      <c r="D480" s="29">
        <f t="shared" si="14"/>
        <v>-2.4844691890136727E-2</v>
      </c>
      <c r="E480" s="29">
        <f t="shared" si="15"/>
        <v>-2.3526684739947814E-2</v>
      </c>
    </row>
    <row r="481" spans="1:5" ht="14.25" customHeight="1" x14ac:dyDescent="0.3">
      <c r="A481" s="27">
        <v>44628</v>
      </c>
      <c r="B481" s="28">
        <v>16013.4501953125</v>
      </c>
      <c r="C481" s="28">
        <v>142.55865478515599</v>
      </c>
      <c r="D481" s="29">
        <f t="shared" si="14"/>
        <v>2.6185472549688386E-2</v>
      </c>
      <c r="E481" s="29">
        <f t="shared" si="15"/>
        <v>9.4747765094836418E-3</v>
      </c>
    </row>
    <row r="482" spans="1:5" ht="14.25" customHeight="1" x14ac:dyDescent="0.3">
      <c r="A482" s="27">
        <v>44629</v>
      </c>
      <c r="B482" s="28">
        <v>16345.349609375</v>
      </c>
      <c r="C482" s="28">
        <v>145.45895385742199</v>
      </c>
      <c r="D482" s="29">
        <f t="shared" si="14"/>
        <v>2.0344601852738512E-2</v>
      </c>
      <c r="E482" s="29">
        <f t="shared" si="15"/>
        <v>2.0726290088294307E-2</v>
      </c>
    </row>
    <row r="483" spans="1:5" ht="14.25" customHeight="1" x14ac:dyDescent="0.3">
      <c r="A483" s="27">
        <v>44630</v>
      </c>
      <c r="B483" s="28">
        <v>16594.900390625</v>
      </c>
      <c r="C483" s="28">
        <v>148.65425109863301</v>
      </c>
      <c r="D483" s="29">
        <f t="shared" si="14"/>
        <v>2.1967002762463383E-2</v>
      </c>
      <c r="E483" s="29">
        <f t="shared" si="15"/>
        <v>1.5267387190474546E-2</v>
      </c>
    </row>
    <row r="484" spans="1:5" ht="14.25" customHeight="1" x14ac:dyDescent="0.3">
      <c r="A484" s="27">
        <v>44631</v>
      </c>
      <c r="B484" s="28">
        <v>16630.44921875</v>
      </c>
      <c r="C484" s="28">
        <v>151.06300354003901</v>
      </c>
      <c r="D484" s="29">
        <f t="shared" si="14"/>
        <v>1.6203723900285717E-2</v>
      </c>
      <c r="E484" s="29">
        <f t="shared" si="15"/>
        <v>2.14215375134657E-3</v>
      </c>
    </row>
    <row r="485" spans="1:5" ht="14.25" customHeight="1" x14ac:dyDescent="0.3">
      <c r="A485" s="27">
        <v>44634</v>
      </c>
      <c r="B485" s="28">
        <v>16871.30078125</v>
      </c>
      <c r="C485" s="28">
        <v>152.046142578125</v>
      </c>
      <c r="D485" s="29">
        <f t="shared" si="14"/>
        <v>6.5081390879760635E-3</v>
      </c>
      <c r="E485" s="29">
        <f t="shared" si="15"/>
        <v>1.4482565042708041E-2</v>
      </c>
    </row>
    <row r="486" spans="1:5" ht="14.25" customHeight="1" x14ac:dyDescent="0.3">
      <c r="A486" s="27">
        <v>44635</v>
      </c>
      <c r="B486" s="28">
        <v>16663</v>
      </c>
      <c r="C486" s="28">
        <v>151.40711975097699</v>
      </c>
      <c r="D486" s="29">
        <f t="shared" si="14"/>
        <v>-4.2028216981543328E-3</v>
      </c>
      <c r="E486" s="29">
        <f t="shared" si="15"/>
        <v>-1.2346456503312184E-2</v>
      </c>
    </row>
    <row r="487" spans="1:5" ht="14.25" customHeight="1" x14ac:dyDescent="0.3">
      <c r="A487" s="27">
        <v>44636</v>
      </c>
      <c r="B487" s="28">
        <v>16975.349609375</v>
      </c>
      <c r="C487" s="28">
        <v>153.668380737305</v>
      </c>
      <c r="D487" s="29">
        <f t="shared" si="14"/>
        <v>1.4934971288319616E-2</v>
      </c>
      <c r="E487" s="29">
        <f t="shared" si="15"/>
        <v>1.8745100484606612E-2</v>
      </c>
    </row>
    <row r="488" spans="1:5" ht="14.25" customHeight="1" x14ac:dyDescent="0.3">
      <c r="A488" s="27">
        <v>44637</v>
      </c>
      <c r="B488" s="28">
        <v>17287.05078125</v>
      </c>
      <c r="C488" s="28">
        <v>153.668380737305</v>
      </c>
      <c r="D488" s="29">
        <f t="shared" si="14"/>
        <v>0</v>
      </c>
      <c r="E488" s="29">
        <f t="shared" si="15"/>
        <v>1.8361988356508215E-2</v>
      </c>
    </row>
    <row r="489" spans="1:5" ht="14.25" customHeight="1" x14ac:dyDescent="0.3">
      <c r="A489" s="27">
        <v>44641</v>
      </c>
      <c r="B489" s="28">
        <v>17117.599609375</v>
      </c>
      <c r="C489" s="28">
        <v>152.24279785156301</v>
      </c>
      <c r="D489" s="29">
        <f t="shared" si="14"/>
        <v>-9.2770085745812105E-3</v>
      </c>
      <c r="E489" s="29">
        <f t="shared" si="15"/>
        <v>-9.80220247046369E-3</v>
      </c>
    </row>
    <row r="490" spans="1:5" ht="14.25" customHeight="1" x14ac:dyDescent="0.3">
      <c r="A490" s="27">
        <v>44642</v>
      </c>
      <c r="B490" s="28">
        <v>17315.5</v>
      </c>
      <c r="C490" s="28">
        <v>152.24279785156301</v>
      </c>
      <c r="D490" s="29">
        <f t="shared" si="14"/>
        <v>0</v>
      </c>
      <c r="E490" s="29">
        <f t="shared" si="15"/>
        <v>1.1561223252155842E-2</v>
      </c>
    </row>
    <row r="491" spans="1:5" ht="14.25" customHeight="1" x14ac:dyDescent="0.3">
      <c r="A491" s="27">
        <v>44643</v>
      </c>
      <c r="B491" s="28">
        <v>17245.650390625</v>
      </c>
      <c r="C491" s="28">
        <v>151.84951782226599</v>
      </c>
      <c r="D491" s="29">
        <f t="shared" si="14"/>
        <v>-2.5832422606977168E-3</v>
      </c>
      <c r="E491" s="29">
        <f t="shared" si="15"/>
        <v>-4.0339354552279749E-3</v>
      </c>
    </row>
    <row r="492" spans="1:5" ht="14.25" customHeight="1" x14ac:dyDescent="0.3">
      <c r="A492" s="27">
        <v>44644</v>
      </c>
      <c r="B492" s="28">
        <v>17222.75</v>
      </c>
      <c r="C492" s="28">
        <v>151.60374450683599</v>
      </c>
      <c r="D492" s="29">
        <f t="shared" si="14"/>
        <v>-1.6185320767212995E-3</v>
      </c>
      <c r="E492" s="29">
        <f t="shared" si="15"/>
        <v>-1.3278937068937106E-3</v>
      </c>
    </row>
    <row r="493" spans="1:5" ht="14.25" customHeight="1" x14ac:dyDescent="0.3">
      <c r="A493" s="27">
        <v>44645</v>
      </c>
      <c r="B493" s="28">
        <v>17153</v>
      </c>
      <c r="C493" s="28">
        <v>150.86636352539099</v>
      </c>
      <c r="D493" s="29">
        <f t="shared" si="14"/>
        <v>-4.863870505597904E-3</v>
      </c>
      <c r="E493" s="29">
        <f t="shared" si="15"/>
        <v>-4.0498758909001172E-3</v>
      </c>
    </row>
    <row r="494" spans="1:5" ht="14.25" customHeight="1" x14ac:dyDescent="0.3">
      <c r="A494" s="27">
        <v>44648</v>
      </c>
      <c r="B494" s="28">
        <v>17222</v>
      </c>
      <c r="C494" s="28">
        <v>149.29331970214801</v>
      </c>
      <c r="D494" s="29">
        <f t="shared" si="14"/>
        <v>-1.0426736526848399E-2</v>
      </c>
      <c r="E494" s="29">
        <f t="shared" si="15"/>
        <v>4.022619949862998E-3</v>
      </c>
    </row>
    <row r="495" spans="1:5" ht="14.25" customHeight="1" x14ac:dyDescent="0.3">
      <c r="A495" s="27">
        <v>44649</v>
      </c>
      <c r="B495" s="28">
        <v>17325.30078125</v>
      </c>
      <c r="C495" s="28">
        <v>148.90003967285199</v>
      </c>
      <c r="D495" s="29">
        <f t="shared" si="14"/>
        <v>-2.6342774752456917E-3</v>
      </c>
      <c r="E495" s="29">
        <f t="shared" si="15"/>
        <v>5.9981872749970966E-3</v>
      </c>
    </row>
    <row r="496" spans="1:5" ht="14.25" customHeight="1" x14ac:dyDescent="0.3">
      <c r="A496" s="27">
        <v>44650</v>
      </c>
      <c r="B496" s="28">
        <v>17498.25</v>
      </c>
      <c r="C496" s="28">
        <v>149.93235778808599</v>
      </c>
      <c r="D496" s="29">
        <f t="shared" si="14"/>
        <v>6.9329606459616116E-3</v>
      </c>
      <c r="E496" s="29">
        <f t="shared" si="15"/>
        <v>9.9824655821947536E-3</v>
      </c>
    </row>
    <row r="497" spans="1:5" ht="14.25" customHeight="1" x14ac:dyDescent="0.3">
      <c r="A497" s="27">
        <v>44651</v>
      </c>
      <c r="B497" s="28">
        <v>17464.75</v>
      </c>
      <c r="C497" s="28">
        <v>148.55593872070301</v>
      </c>
      <c r="D497" s="29">
        <f t="shared" si="14"/>
        <v>-9.1802669396316046E-3</v>
      </c>
      <c r="E497" s="29">
        <f t="shared" si="15"/>
        <v>-1.9144771620019144E-3</v>
      </c>
    </row>
    <row r="498" spans="1:5" ht="14.25" customHeight="1" x14ac:dyDescent="0.3">
      <c r="A498" s="27">
        <v>44652</v>
      </c>
      <c r="B498" s="28">
        <v>17670.44921875</v>
      </c>
      <c r="C498" s="28">
        <v>154.25827026367199</v>
      </c>
      <c r="D498" s="29">
        <f t="shared" si="14"/>
        <v>3.8385079668136424E-2</v>
      </c>
      <c r="E498" s="29">
        <f t="shared" si="15"/>
        <v>1.1777965258592307E-2</v>
      </c>
    </row>
    <row r="499" spans="1:5" ht="14.25" customHeight="1" x14ac:dyDescent="0.3">
      <c r="A499" s="27">
        <v>44655</v>
      </c>
      <c r="B499" s="28">
        <v>18053.400390625</v>
      </c>
      <c r="C499" s="28">
        <v>156.27375793457</v>
      </c>
      <c r="D499" s="29">
        <f t="shared" si="14"/>
        <v>1.3065670109310574E-2</v>
      </c>
      <c r="E499" s="29">
        <f t="shared" si="15"/>
        <v>2.1671841339984326E-2</v>
      </c>
    </row>
    <row r="500" spans="1:5" ht="14.25" customHeight="1" x14ac:dyDescent="0.3">
      <c r="A500" s="27">
        <v>44656</v>
      </c>
      <c r="B500" s="28">
        <v>17957.400390625</v>
      </c>
      <c r="C500" s="28">
        <v>157.060302734375</v>
      </c>
      <c r="D500" s="29">
        <f t="shared" si="14"/>
        <v>5.0331214287066498E-3</v>
      </c>
      <c r="E500" s="29">
        <f t="shared" si="15"/>
        <v>-5.3175577964720763E-3</v>
      </c>
    </row>
    <row r="501" spans="1:5" ht="14.25" customHeight="1" x14ac:dyDescent="0.3">
      <c r="A501" s="27">
        <v>44657</v>
      </c>
      <c r="B501" s="28">
        <v>17807.650390625</v>
      </c>
      <c r="C501" s="28">
        <v>156.56871032714801</v>
      </c>
      <c r="D501" s="29">
        <f t="shared" si="14"/>
        <v>-3.129959631227659E-3</v>
      </c>
      <c r="E501" s="29">
        <f t="shared" si="15"/>
        <v>-8.3391803235717699E-3</v>
      </c>
    </row>
    <row r="502" spans="1:5" ht="14.25" customHeight="1" x14ac:dyDescent="0.3">
      <c r="A502" s="27">
        <v>44658</v>
      </c>
      <c r="B502" s="28">
        <v>17639.55078125</v>
      </c>
      <c r="C502" s="28">
        <v>157.65020751953099</v>
      </c>
      <c r="D502" s="29">
        <f t="shared" si="14"/>
        <v>6.9074925004058004E-3</v>
      </c>
      <c r="E502" s="29">
        <f t="shared" si="15"/>
        <v>-9.4397411049521492E-3</v>
      </c>
    </row>
    <row r="503" spans="1:5" ht="14.25" customHeight="1" x14ac:dyDescent="0.3">
      <c r="A503" s="27">
        <v>44659</v>
      </c>
      <c r="B503" s="28">
        <v>17784.349609375</v>
      </c>
      <c r="C503" s="28">
        <v>159.32157897949199</v>
      </c>
      <c r="D503" s="29">
        <f t="shared" si="14"/>
        <v>1.060177139160398E-2</v>
      </c>
      <c r="E503" s="29">
        <f t="shared" si="15"/>
        <v>8.2087593907954979E-3</v>
      </c>
    </row>
    <row r="504" spans="1:5" ht="14.25" customHeight="1" x14ac:dyDescent="0.3">
      <c r="A504" s="27">
        <v>44662</v>
      </c>
      <c r="B504" s="28">
        <v>17674.94921875</v>
      </c>
      <c r="C504" s="28">
        <v>158.14176940918</v>
      </c>
      <c r="D504" s="29">
        <f t="shared" si="14"/>
        <v>-7.4052088729540805E-3</v>
      </c>
      <c r="E504" s="29">
        <f t="shared" si="15"/>
        <v>-6.1514979759130298E-3</v>
      </c>
    </row>
    <row r="505" spans="1:5" ht="14.25" customHeight="1" x14ac:dyDescent="0.3">
      <c r="A505" s="27">
        <v>44663</v>
      </c>
      <c r="B505" s="28">
        <v>17530.30078125</v>
      </c>
      <c r="C505" s="28">
        <v>153.76669311523401</v>
      </c>
      <c r="D505" s="29">
        <f t="shared" si="14"/>
        <v>-2.7665532707085199E-2</v>
      </c>
      <c r="E505" s="29">
        <f t="shared" si="15"/>
        <v>-8.1838106412522836E-3</v>
      </c>
    </row>
    <row r="506" spans="1:5" ht="14.25" customHeight="1" x14ac:dyDescent="0.3">
      <c r="A506" s="27">
        <v>44664</v>
      </c>
      <c r="B506" s="28">
        <v>17475.650390625</v>
      </c>
      <c r="C506" s="28">
        <v>154.30743408203099</v>
      </c>
      <c r="D506" s="29">
        <f t="shared" si="14"/>
        <v>3.5166326064627858E-3</v>
      </c>
      <c r="E506" s="29">
        <f t="shared" si="15"/>
        <v>-3.1174816283501979E-3</v>
      </c>
    </row>
    <row r="507" spans="1:5" ht="14.25" customHeight="1" x14ac:dyDescent="0.3">
      <c r="A507" s="27">
        <v>44669</v>
      </c>
      <c r="B507" s="28">
        <v>17173.650390625</v>
      </c>
      <c r="C507" s="28">
        <v>152.34111022949199</v>
      </c>
      <c r="D507" s="29">
        <f t="shared" si="14"/>
        <v>-1.2742897736823834E-2</v>
      </c>
      <c r="E507" s="29">
        <f t="shared" si="15"/>
        <v>-1.7281188010147601E-2</v>
      </c>
    </row>
    <row r="508" spans="1:5" ht="14.25" customHeight="1" x14ac:dyDescent="0.3">
      <c r="A508" s="27">
        <v>44670</v>
      </c>
      <c r="B508" s="28">
        <v>16958.650390625</v>
      </c>
      <c r="C508" s="28">
        <v>150.128982543945</v>
      </c>
      <c r="D508" s="29">
        <f t="shared" si="14"/>
        <v>-1.4520884626707538E-2</v>
      </c>
      <c r="E508" s="29">
        <f t="shared" si="15"/>
        <v>-1.2519178806467803E-2</v>
      </c>
    </row>
    <row r="509" spans="1:5" ht="14.25" customHeight="1" x14ac:dyDescent="0.3">
      <c r="A509" s="27">
        <v>44671</v>
      </c>
      <c r="B509" s="28">
        <v>17136.55078125</v>
      </c>
      <c r="C509" s="28">
        <v>151.898681640625</v>
      </c>
      <c r="D509" s="29">
        <f t="shared" si="14"/>
        <v>1.1787857791962206E-2</v>
      </c>
      <c r="E509" s="29">
        <f t="shared" si="15"/>
        <v>1.0490244596547968E-2</v>
      </c>
    </row>
    <row r="510" spans="1:5" ht="14.25" customHeight="1" x14ac:dyDescent="0.3">
      <c r="A510" s="27">
        <v>44672</v>
      </c>
      <c r="B510" s="28">
        <v>17392.599609375</v>
      </c>
      <c r="C510" s="28">
        <v>153.815841674805</v>
      </c>
      <c r="D510" s="29">
        <f t="shared" si="14"/>
        <v>1.2621307923631508E-2</v>
      </c>
      <c r="E510" s="29">
        <f t="shared" si="15"/>
        <v>1.4941678252146078E-2</v>
      </c>
    </row>
    <row r="511" spans="1:5" ht="14.25" customHeight="1" x14ac:dyDescent="0.3">
      <c r="A511" s="27">
        <v>44673</v>
      </c>
      <c r="B511" s="28">
        <v>17171.94921875</v>
      </c>
      <c r="C511" s="28">
        <v>153.76669311523401</v>
      </c>
      <c r="D511" s="29">
        <f t="shared" si="14"/>
        <v>-3.1952859364709472E-4</v>
      </c>
      <c r="E511" s="29">
        <f t="shared" si="15"/>
        <v>-1.2686452605168035E-2</v>
      </c>
    </row>
    <row r="512" spans="1:5" ht="14.25" customHeight="1" x14ac:dyDescent="0.3">
      <c r="A512" s="27">
        <v>44676</v>
      </c>
      <c r="B512" s="28">
        <v>16953.94921875</v>
      </c>
      <c r="C512" s="28">
        <v>149.04753112793</v>
      </c>
      <c r="D512" s="29">
        <f t="shared" si="14"/>
        <v>-3.0690404350228351E-2</v>
      </c>
      <c r="E512" s="29">
        <f t="shared" si="15"/>
        <v>-1.2695122564301929E-2</v>
      </c>
    </row>
    <row r="513" spans="1:5" ht="14.25" customHeight="1" x14ac:dyDescent="0.3">
      <c r="A513" s="27">
        <v>44677</v>
      </c>
      <c r="B513" s="28">
        <v>17200.80078125</v>
      </c>
      <c r="C513" s="28">
        <v>151.70204162597699</v>
      </c>
      <c r="D513" s="29">
        <f t="shared" si="14"/>
        <v>1.7809825348724346E-2</v>
      </c>
      <c r="E513" s="29">
        <f t="shared" si="15"/>
        <v>1.4560121616207138E-2</v>
      </c>
    </row>
    <row r="514" spans="1:5" ht="14.25" customHeight="1" x14ac:dyDescent="0.3">
      <c r="A514" s="27">
        <v>44678</v>
      </c>
      <c r="B514" s="28">
        <v>17038.400390625</v>
      </c>
      <c r="C514" s="28">
        <v>150.27647399902301</v>
      </c>
      <c r="D514" s="29">
        <f t="shared" si="14"/>
        <v>-9.397155184428763E-3</v>
      </c>
      <c r="E514" s="29">
        <f t="shared" si="15"/>
        <v>-9.4414436101153531E-3</v>
      </c>
    </row>
    <row r="515" spans="1:5" ht="14.25" customHeight="1" x14ac:dyDescent="0.3">
      <c r="A515" s="27">
        <v>44679</v>
      </c>
      <c r="B515" s="28">
        <v>17245.05078125</v>
      </c>
      <c r="C515" s="28">
        <v>151.06300354003901</v>
      </c>
      <c r="D515" s="29">
        <f t="shared" ref="D515:D578" si="16">(C515-C514)/C514</f>
        <v>5.2338833889668448E-3</v>
      </c>
      <c r="E515" s="29">
        <f t="shared" ref="E515:E578" si="17">(B515-B514)/B514</f>
        <v>1.2128508890934666E-2</v>
      </c>
    </row>
    <row r="516" spans="1:5" ht="14.25" customHeight="1" x14ac:dyDescent="0.3">
      <c r="A516" s="27">
        <v>44680</v>
      </c>
      <c r="B516" s="28">
        <v>17102.55078125</v>
      </c>
      <c r="C516" s="28">
        <v>150.62057495117199</v>
      </c>
      <c r="D516" s="29">
        <f t="shared" si="16"/>
        <v>-2.928768649497638E-3</v>
      </c>
      <c r="E516" s="29">
        <f t="shared" si="17"/>
        <v>-8.2632403816946566E-3</v>
      </c>
    </row>
    <row r="517" spans="1:5" ht="14.25" customHeight="1" x14ac:dyDescent="0.3">
      <c r="A517" s="27">
        <v>44683</v>
      </c>
      <c r="B517" s="28">
        <v>17069.099609375</v>
      </c>
      <c r="C517" s="28">
        <v>148.99836730957</v>
      </c>
      <c r="D517" s="29">
        <f t="shared" si="16"/>
        <v>-1.0770159668610177E-2</v>
      </c>
      <c r="E517" s="29">
        <f t="shared" si="17"/>
        <v>-1.9559171203674158E-3</v>
      </c>
    </row>
    <row r="518" spans="1:5" ht="14.25" customHeight="1" x14ac:dyDescent="0.3">
      <c r="A518" s="27">
        <v>44685</v>
      </c>
      <c r="B518" s="28">
        <v>16677.599609375</v>
      </c>
      <c r="C518" s="28">
        <v>149.73571777343801</v>
      </c>
      <c r="D518" s="29">
        <f t="shared" si="16"/>
        <v>4.9487150576357523E-3</v>
      </c>
      <c r="E518" s="29">
        <f t="shared" si="17"/>
        <v>-2.2936183451936345E-2</v>
      </c>
    </row>
    <row r="519" spans="1:5" ht="14.25" customHeight="1" x14ac:dyDescent="0.3">
      <c r="A519" s="27">
        <v>44686</v>
      </c>
      <c r="B519" s="28">
        <v>16682.650390625</v>
      </c>
      <c r="C519" s="28">
        <v>146.39297485351599</v>
      </c>
      <c r="D519" s="29">
        <f t="shared" si="16"/>
        <v>-2.2324285545415767E-2</v>
      </c>
      <c r="E519" s="29">
        <f t="shared" si="17"/>
        <v>3.0284821366983761E-4</v>
      </c>
    </row>
    <row r="520" spans="1:5" ht="14.25" customHeight="1" x14ac:dyDescent="0.3">
      <c r="A520" s="27">
        <v>44687</v>
      </c>
      <c r="B520" s="28">
        <v>16411.25</v>
      </c>
      <c r="C520" s="28">
        <v>143.78758239746099</v>
      </c>
      <c r="D520" s="29">
        <f t="shared" si="16"/>
        <v>-1.7797250576142828E-2</v>
      </c>
      <c r="E520" s="29">
        <f t="shared" si="17"/>
        <v>-1.6268421639856246E-2</v>
      </c>
    </row>
    <row r="521" spans="1:5" ht="14.25" customHeight="1" x14ac:dyDescent="0.3">
      <c r="A521" s="27">
        <v>44690</v>
      </c>
      <c r="B521" s="28">
        <v>16301.849609375</v>
      </c>
      <c r="C521" s="28">
        <v>145.90138244628901</v>
      </c>
      <c r="D521" s="29">
        <f t="shared" si="16"/>
        <v>1.4700852560306605E-2</v>
      </c>
      <c r="E521" s="29">
        <f t="shared" si="17"/>
        <v>-6.6661826871810496E-3</v>
      </c>
    </row>
    <row r="522" spans="1:5" ht="14.25" customHeight="1" x14ac:dyDescent="0.3">
      <c r="A522" s="27">
        <v>44691</v>
      </c>
      <c r="B522" s="28">
        <v>16240.0498046875</v>
      </c>
      <c r="C522" s="28">
        <v>143.24685668945301</v>
      </c>
      <c r="D522" s="29">
        <f t="shared" si="16"/>
        <v>-1.8193972615805822E-2</v>
      </c>
      <c r="E522" s="29">
        <f t="shared" si="17"/>
        <v>-3.7909688880922855E-3</v>
      </c>
    </row>
    <row r="523" spans="1:5" ht="14.25" customHeight="1" x14ac:dyDescent="0.3">
      <c r="A523" s="27">
        <v>44692</v>
      </c>
      <c r="B523" s="28">
        <v>16167.099609375</v>
      </c>
      <c r="C523" s="28">
        <v>141.77210998535199</v>
      </c>
      <c r="D523" s="29">
        <f t="shared" si="16"/>
        <v>-1.0295141814512188E-2</v>
      </c>
      <c r="E523" s="29">
        <f t="shared" si="17"/>
        <v>-4.4919933245182401E-3</v>
      </c>
    </row>
    <row r="524" spans="1:5" ht="14.25" customHeight="1" x14ac:dyDescent="0.3">
      <c r="A524" s="27">
        <v>44693</v>
      </c>
      <c r="B524" s="28">
        <v>15808</v>
      </c>
      <c r="C524" s="28">
        <v>138.62599182128901</v>
      </c>
      <c r="D524" s="29">
        <f t="shared" si="16"/>
        <v>-2.2191375753581172E-2</v>
      </c>
      <c r="E524" s="29">
        <f t="shared" si="17"/>
        <v>-2.2211752141785831E-2</v>
      </c>
    </row>
    <row r="525" spans="1:5" ht="14.25" customHeight="1" x14ac:dyDescent="0.3">
      <c r="A525" s="27">
        <v>44694</v>
      </c>
      <c r="B525" s="28">
        <v>15782.150390625</v>
      </c>
      <c r="C525" s="28">
        <v>139.75662231445301</v>
      </c>
      <c r="D525" s="29">
        <f t="shared" si="16"/>
        <v>8.1559776655850263E-3</v>
      </c>
      <c r="E525" s="29">
        <f t="shared" si="17"/>
        <v>-1.6352232651189271E-3</v>
      </c>
    </row>
    <row r="526" spans="1:5" ht="14.25" customHeight="1" x14ac:dyDescent="0.3">
      <c r="A526" s="27">
        <v>44697</v>
      </c>
      <c r="B526" s="28">
        <v>15842.2998046875</v>
      </c>
      <c r="C526" s="28">
        <v>140.54316711425801</v>
      </c>
      <c r="D526" s="29">
        <f t="shared" si="16"/>
        <v>5.6279608563755273E-3</v>
      </c>
      <c r="E526" s="29">
        <f t="shared" si="17"/>
        <v>3.8112305721171107E-3</v>
      </c>
    </row>
    <row r="527" spans="1:5" ht="14.25" customHeight="1" x14ac:dyDescent="0.3">
      <c r="A527" s="27">
        <v>44698</v>
      </c>
      <c r="B527" s="28">
        <v>16259.2998046875</v>
      </c>
      <c r="C527" s="28">
        <v>142.50949096679699</v>
      </c>
      <c r="D527" s="29">
        <f t="shared" si="16"/>
        <v>1.3990889012344557E-2</v>
      </c>
      <c r="E527" s="29">
        <f t="shared" si="17"/>
        <v>2.6321935902047247E-2</v>
      </c>
    </row>
    <row r="528" spans="1:5" ht="14.25" customHeight="1" x14ac:dyDescent="0.3">
      <c r="A528" s="27">
        <v>44699</v>
      </c>
      <c r="B528" s="28">
        <v>16240.2998046875</v>
      </c>
      <c r="C528" s="28">
        <v>142.31285095214801</v>
      </c>
      <c r="D528" s="29">
        <f t="shared" si="16"/>
        <v>-1.3798380256287092E-3</v>
      </c>
      <c r="E528" s="29">
        <f t="shared" si="17"/>
        <v>-1.1685620062508698E-3</v>
      </c>
    </row>
    <row r="529" spans="1:5" ht="14.25" customHeight="1" x14ac:dyDescent="0.3">
      <c r="A529" s="27">
        <v>44700</v>
      </c>
      <c r="B529" s="28">
        <v>15809.400390625</v>
      </c>
      <c r="C529" s="28">
        <v>139.26502990722699</v>
      </c>
      <c r="D529" s="29">
        <f t="shared" si="16"/>
        <v>-2.1416344515126303E-2</v>
      </c>
      <c r="E529" s="29">
        <f t="shared" si="17"/>
        <v>-2.6532725334179351E-2</v>
      </c>
    </row>
    <row r="530" spans="1:5" ht="14.25" customHeight="1" x14ac:dyDescent="0.3">
      <c r="A530" s="27">
        <v>44701</v>
      </c>
      <c r="B530" s="28">
        <v>16266.150390625</v>
      </c>
      <c r="C530" s="28">
        <v>141.67379760742199</v>
      </c>
      <c r="D530" s="29">
        <f t="shared" si="16"/>
        <v>1.7296285376161038E-2</v>
      </c>
      <c r="E530" s="29">
        <f t="shared" si="17"/>
        <v>2.8891038794289343E-2</v>
      </c>
    </row>
    <row r="531" spans="1:5" ht="14.25" customHeight="1" x14ac:dyDescent="0.3">
      <c r="A531" s="27">
        <v>44704</v>
      </c>
      <c r="B531" s="28">
        <v>16214.7001953125</v>
      </c>
      <c r="C531" s="28">
        <v>140.88726806640599</v>
      </c>
      <c r="D531" s="29">
        <f t="shared" si="16"/>
        <v>-5.5516937803521535E-3</v>
      </c>
      <c r="E531" s="29">
        <f t="shared" si="17"/>
        <v>-3.1630222318707523E-3</v>
      </c>
    </row>
    <row r="532" spans="1:5" ht="14.25" customHeight="1" x14ac:dyDescent="0.3">
      <c r="A532" s="27">
        <v>44705</v>
      </c>
      <c r="B532" s="28">
        <v>16125.150390625</v>
      </c>
      <c r="C532" s="28">
        <v>138.57682800293</v>
      </c>
      <c r="D532" s="29">
        <f t="shared" si="16"/>
        <v>-1.6399211193356297E-2</v>
      </c>
      <c r="E532" s="29">
        <f t="shared" si="17"/>
        <v>-5.5227542667355585E-3</v>
      </c>
    </row>
    <row r="533" spans="1:5" ht="14.25" customHeight="1" x14ac:dyDescent="0.3">
      <c r="A533" s="27">
        <v>44706</v>
      </c>
      <c r="B533" s="28">
        <v>16025.7998046875</v>
      </c>
      <c r="C533" s="28">
        <v>135.774826049805</v>
      </c>
      <c r="D533" s="29">
        <f t="shared" si="16"/>
        <v>-2.0219844785780174E-2</v>
      </c>
      <c r="E533" s="29">
        <f t="shared" si="17"/>
        <v>-6.1612191843656494E-3</v>
      </c>
    </row>
    <row r="534" spans="1:5" ht="14.25" customHeight="1" x14ac:dyDescent="0.3">
      <c r="A534" s="27">
        <v>44707</v>
      </c>
      <c r="B534" s="28">
        <v>16170.150390625</v>
      </c>
      <c r="C534" s="28">
        <v>140.19905090332</v>
      </c>
      <c r="D534" s="29">
        <f t="shared" si="16"/>
        <v>3.2585015810604703E-2</v>
      </c>
      <c r="E534" s="29">
        <f t="shared" si="17"/>
        <v>9.0073873189953288E-3</v>
      </c>
    </row>
    <row r="535" spans="1:5" ht="14.25" customHeight="1" x14ac:dyDescent="0.3">
      <c r="A535" s="27">
        <v>44708</v>
      </c>
      <c r="B535" s="28">
        <v>16352.4501953125</v>
      </c>
      <c r="C535" s="28">
        <v>142.41117858886699</v>
      </c>
      <c r="D535" s="29">
        <f t="shared" si="16"/>
        <v>1.5778478322741655E-2</v>
      </c>
      <c r="E535" s="29">
        <f t="shared" si="17"/>
        <v>1.1273847198922301E-2</v>
      </c>
    </row>
    <row r="536" spans="1:5" ht="14.25" customHeight="1" x14ac:dyDescent="0.3">
      <c r="A536" s="27">
        <v>44711</v>
      </c>
      <c r="B536" s="28">
        <v>16661.400390625</v>
      </c>
      <c r="C536" s="28">
        <v>145.06570434570301</v>
      </c>
      <c r="D536" s="29">
        <f t="shared" si="16"/>
        <v>1.8639869307587771E-2</v>
      </c>
      <c r="E536" s="29">
        <f t="shared" si="17"/>
        <v>1.8893205092962884E-2</v>
      </c>
    </row>
    <row r="537" spans="1:5" ht="14.25" customHeight="1" x14ac:dyDescent="0.3">
      <c r="A537" s="27">
        <v>44712</v>
      </c>
      <c r="B537" s="28">
        <v>16584.55078125</v>
      </c>
      <c r="C537" s="28">
        <v>143.98422241210901</v>
      </c>
      <c r="D537" s="29">
        <f t="shared" si="16"/>
        <v>-7.4551179306774611E-3</v>
      </c>
      <c r="E537" s="29">
        <f t="shared" si="17"/>
        <v>-4.6124339835348759E-3</v>
      </c>
    </row>
    <row r="538" spans="1:5" ht="14.25" customHeight="1" x14ac:dyDescent="0.3">
      <c r="A538" s="27">
        <v>44713</v>
      </c>
      <c r="B538" s="28">
        <v>16522.75</v>
      </c>
      <c r="C538" s="28">
        <v>144.672439575195</v>
      </c>
      <c r="D538" s="29">
        <f t="shared" si="16"/>
        <v>4.7798095621629415E-3</v>
      </c>
      <c r="E538" s="29">
        <f t="shared" si="17"/>
        <v>-3.7264067061659654E-3</v>
      </c>
    </row>
    <row r="539" spans="1:5" ht="14.25" customHeight="1" x14ac:dyDescent="0.3">
      <c r="A539" s="27">
        <v>44714</v>
      </c>
      <c r="B539" s="28">
        <v>16628</v>
      </c>
      <c r="C539" s="28">
        <v>144.81993103027301</v>
      </c>
      <c r="D539" s="29">
        <f t="shared" si="16"/>
        <v>1.0194855047104608E-3</v>
      </c>
      <c r="E539" s="29">
        <f t="shared" si="17"/>
        <v>6.3700049931155528E-3</v>
      </c>
    </row>
    <row r="540" spans="1:5" ht="14.25" customHeight="1" x14ac:dyDescent="0.3">
      <c r="A540" s="27">
        <v>44715</v>
      </c>
      <c r="B540" s="28">
        <v>16584.30078125</v>
      </c>
      <c r="C540" s="28">
        <v>144.81993103027301</v>
      </c>
      <c r="D540" s="29">
        <f t="shared" si="16"/>
        <v>0</v>
      </c>
      <c r="E540" s="29">
        <f t="shared" si="17"/>
        <v>-2.6280502014674042E-3</v>
      </c>
    </row>
    <row r="541" spans="1:5" ht="14.25" customHeight="1" x14ac:dyDescent="0.3">
      <c r="A541" s="27">
        <v>44718</v>
      </c>
      <c r="B541" s="28">
        <v>16569.55078125</v>
      </c>
      <c r="C541" s="28">
        <v>144.08255004882801</v>
      </c>
      <c r="D541" s="29">
        <f t="shared" si="16"/>
        <v>-5.0917092433282437E-3</v>
      </c>
      <c r="E541" s="29">
        <f t="shared" si="17"/>
        <v>-8.893953501299351E-4</v>
      </c>
    </row>
    <row r="542" spans="1:5" ht="14.25" customHeight="1" x14ac:dyDescent="0.3">
      <c r="A542" s="27">
        <v>44719</v>
      </c>
      <c r="B542" s="28">
        <v>16416.349609375</v>
      </c>
      <c r="C542" s="28">
        <v>145.75390625</v>
      </c>
      <c r="D542" s="29">
        <f t="shared" si="16"/>
        <v>1.1599990426360335E-2</v>
      </c>
      <c r="E542" s="29">
        <f t="shared" si="17"/>
        <v>-9.2459460064760173E-3</v>
      </c>
    </row>
    <row r="543" spans="1:5" ht="14.25" customHeight="1" x14ac:dyDescent="0.3">
      <c r="A543" s="27">
        <v>44720</v>
      </c>
      <c r="B543" s="28">
        <v>16356.25</v>
      </c>
      <c r="C543" s="28">
        <v>145.80307006835901</v>
      </c>
      <c r="D543" s="29">
        <f t="shared" si="16"/>
        <v>3.3730703775910304E-4</v>
      </c>
      <c r="E543" s="29">
        <f t="shared" si="17"/>
        <v>-3.6609606157923498E-3</v>
      </c>
    </row>
    <row r="544" spans="1:5" ht="14.25" customHeight="1" x14ac:dyDescent="0.3">
      <c r="A544" s="27">
        <v>44721</v>
      </c>
      <c r="B544" s="28">
        <v>16478.099609375</v>
      </c>
      <c r="C544" s="28">
        <v>145.36065673828099</v>
      </c>
      <c r="D544" s="29">
        <f t="shared" si="16"/>
        <v>-3.0343210871388933E-3</v>
      </c>
      <c r="E544" s="29">
        <f t="shared" si="17"/>
        <v>7.4497277416889565E-3</v>
      </c>
    </row>
    <row r="545" spans="1:5" ht="14.25" customHeight="1" x14ac:dyDescent="0.3">
      <c r="A545" s="27">
        <v>44722</v>
      </c>
      <c r="B545" s="28">
        <v>16201.7998046875</v>
      </c>
      <c r="C545" s="28">
        <v>144.32833862304699</v>
      </c>
      <c r="D545" s="29">
        <f t="shared" si="16"/>
        <v>-7.1017711284331493E-3</v>
      </c>
      <c r="E545" s="29">
        <f t="shared" si="17"/>
        <v>-1.6767698414100061E-2</v>
      </c>
    </row>
    <row r="546" spans="1:5" ht="14.25" customHeight="1" x14ac:dyDescent="0.3">
      <c r="A546" s="27">
        <v>44725</v>
      </c>
      <c r="B546" s="28">
        <v>15774.400390625</v>
      </c>
      <c r="C546" s="28">
        <v>138.67514038085901</v>
      </c>
      <c r="D546" s="29">
        <f t="shared" si="16"/>
        <v>-3.9169010716272844E-2</v>
      </c>
      <c r="E546" s="29">
        <f t="shared" si="17"/>
        <v>-2.6379749115209097E-2</v>
      </c>
    </row>
    <row r="547" spans="1:5" ht="14.25" customHeight="1" x14ac:dyDescent="0.3">
      <c r="A547" s="27">
        <v>44726</v>
      </c>
      <c r="B547" s="28">
        <v>15732.099609375</v>
      </c>
      <c r="C547" s="28">
        <v>137.88861083984401</v>
      </c>
      <c r="D547" s="29">
        <f t="shared" si="16"/>
        <v>-5.6717414444641331E-3</v>
      </c>
      <c r="E547" s="29">
        <f t="shared" si="17"/>
        <v>-2.6816094559854137E-3</v>
      </c>
    </row>
    <row r="548" spans="1:5" ht="14.25" customHeight="1" x14ac:dyDescent="0.3">
      <c r="A548" s="27">
        <v>44727</v>
      </c>
      <c r="B548" s="28">
        <v>15692.150390625</v>
      </c>
      <c r="C548" s="28">
        <v>138.82261657714801</v>
      </c>
      <c r="D548" s="29">
        <f t="shared" si="16"/>
        <v>6.7736249688441783E-3</v>
      </c>
      <c r="E548" s="29">
        <f t="shared" si="17"/>
        <v>-2.5393443813560425E-3</v>
      </c>
    </row>
    <row r="549" spans="1:5" ht="14.25" customHeight="1" x14ac:dyDescent="0.3">
      <c r="A549" s="27">
        <v>44728</v>
      </c>
      <c r="B549" s="28">
        <v>15360.599609375</v>
      </c>
      <c r="C549" s="28">
        <v>136.06976318359401</v>
      </c>
      <c r="D549" s="29">
        <f t="shared" si="16"/>
        <v>-1.9830006532286906E-2</v>
      </c>
      <c r="E549" s="29">
        <f t="shared" si="17"/>
        <v>-2.1128447854290206E-2</v>
      </c>
    </row>
    <row r="550" spans="1:5" ht="14.25" customHeight="1" x14ac:dyDescent="0.3">
      <c r="A550" s="27">
        <v>44729</v>
      </c>
      <c r="B550" s="28">
        <v>15293.5</v>
      </c>
      <c r="C550" s="28">
        <v>133.80850219726599</v>
      </c>
      <c r="D550" s="29">
        <f t="shared" si="16"/>
        <v>-1.6618394369342537E-2</v>
      </c>
      <c r="E550" s="29">
        <f t="shared" si="17"/>
        <v>-4.3682936266398898E-3</v>
      </c>
    </row>
    <row r="551" spans="1:5" ht="14.25" customHeight="1" x14ac:dyDescent="0.3">
      <c r="A551" s="27">
        <v>44732</v>
      </c>
      <c r="B551" s="28">
        <v>15350.150390625</v>
      </c>
      <c r="C551" s="28">
        <v>129.63005065918</v>
      </c>
      <c r="D551" s="29">
        <f t="shared" si="16"/>
        <v>-3.1227100441838511E-2</v>
      </c>
      <c r="E551" s="29">
        <f t="shared" si="17"/>
        <v>3.7042135956452085E-3</v>
      </c>
    </row>
    <row r="552" spans="1:5" ht="14.25" customHeight="1" x14ac:dyDescent="0.3">
      <c r="A552" s="27">
        <v>44733</v>
      </c>
      <c r="B552" s="28">
        <v>15638.7998046875</v>
      </c>
      <c r="C552" s="28">
        <v>134.103439331055</v>
      </c>
      <c r="D552" s="29">
        <f t="shared" si="16"/>
        <v>3.4508886243023375E-2</v>
      </c>
      <c r="E552" s="29">
        <f t="shared" si="17"/>
        <v>1.8804337854487124E-2</v>
      </c>
    </row>
    <row r="553" spans="1:5" ht="14.25" customHeight="1" x14ac:dyDescent="0.3">
      <c r="A553" s="27">
        <v>44734</v>
      </c>
      <c r="B553" s="28">
        <v>15413.2998046875</v>
      </c>
      <c r="C553" s="28">
        <v>132.087966918945</v>
      </c>
      <c r="D553" s="29">
        <f t="shared" si="16"/>
        <v>-1.5029237297445415E-2</v>
      </c>
      <c r="E553" s="29">
        <f t="shared" si="17"/>
        <v>-1.4419265085317462E-2</v>
      </c>
    </row>
    <row r="554" spans="1:5" ht="14.25" customHeight="1" x14ac:dyDescent="0.3">
      <c r="A554" s="27">
        <v>44735</v>
      </c>
      <c r="B554" s="28">
        <v>15556.650390625</v>
      </c>
      <c r="C554" s="28">
        <v>133.906814575195</v>
      </c>
      <c r="D554" s="29">
        <f t="shared" si="16"/>
        <v>1.3769972380346539E-2</v>
      </c>
      <c r="E554" s="29">
        <f t="shared" si="17"/>
        <v>9.3004475196092756E-3</v>
      </c>
    </row>
    <row r="555" spans="1:5" ht="14.25" customHeight="1" x14ac:dyDescent="0.3">
      <c r="A555" s="27">
        <v>44736</v>
      </c>
      <c r="B555" s="28">
        <v>15699.25</v>
      </c>
      <c r="C555" s="28">
        <v>134.79165649414099</v>
      </c>
      <c r="D555" s="29">
        <f t="shared" si="16"/>
        <v>6.6078931214446452E-3</v>
      </c>
      <c r="E555" s="29">
        <f t="shared" si="17"/>
        <v>9.1664725885294493E-3</v>
      </c>
    </row>
    <row r="556" spans="1:5" ht="14.25" customHeight="1" x14ac:dyDescent="0.3">
      <c r="A556" s="27">
        <v>44739</v>
      </c>
      <c r="B556" s="28">
        <v>15832.0498046875</v>
      </c>
      <c r="C556" s="28">
        <v>136.70881652832</v>
      </c>
      <c r="D556" s="29">
        <f t="shared" si="16"/>
        <v>1.4223135793737639E-2</v>
      </c>
      <c r="E556" s="29">
        <f t="shared" si="17"/>
        <v>8.4589903777250505E-3</v>
      </c>
    </row>
    <row r="557" spans="1:5" ht="14.25" customHeight="1" x14ac:dyDescent="0.3">
      <c r="A557" s="27">
        <v>44740</v>
      </c>
      <c r="B557" s="28">
        <v>15850.2001953125</v>
      </c>
      <c r="C557" s="28">
        <v>137.88861083984401</v>
      </c>
      <c r="D557" s="29">
        <f t="shared" si="16"/>
        <v>8.6299797005382241E-3</v>
      </c>
      <c r="E557" s="29">
        <f t="shared" si="17"/>
        <v>1.14643339611186E-3</v>
      </c>
    </row>
    <row r="558" spans="1:5" ht="14.25" customHeight="1" x14ac:dyDescent="0.3">
      <c r="A558" s="27">
        <v>44741</v>
      </c>
      <c r="B558" s="28">
        <v>15799.099609375</v>
      </c>
      <c r="C558" s="28">
        <v>137.00378417968801</v>
      </c>
      <c r="D558" s="29">
        <f t="shared" si="16"/>
        <v>-6.4169669617145531E-3</v>
      </c>
      <c r="E558" s="29">
        <f t="shared" si="17"/>
        <v>-3.2239710103227821E-3</v>
      </c>
    </row>
    <row r="559" spans="1:5" ht="14.25" customHeight="1" x14ac:dyDescent="0.3">
      <c r="A559" s="27">
        <v>44742</v>
      </c>
      <c r="B559" s="28">
        <v>15780.25</v>
      </c>
      <c r="C559" s="28">
        <v>135.47985839843801</v>
      </c>
      <c r="D559" s="29">
        <f t="shared" si="16"/>
        <v>-1.1123238605229235E-2</v>
      </c>
      <c r="E559" s="29">
        <f t="shared" si="17"/>
        <v>-1.1930812414028243E-3</v>
      </c>
    </row>
    <row r="560" spans="1:5" ht="14.25" customHeight="1" x14ac:dyDescent="0.3">
      <c r="A560" s="27">
        <v>44743</v>
      </c>
      <c r="B560" s="28">
        <v>15752.0498046875</v>
      </c>
      <c r="C560" s="28">
        <v>139.01925659179699</v>
      </c>
      <c r="D560" s="29">
        <f t="shared" si="16"/>
        <v>2.612490325277594E-2</v>
      </c>
      <c r="E560" s="29">
        <f t="shared" si="17"/>
        <v>-1.7870563085185596E-3</v>
      </c>
    </row>
    <row r="561" spans="1:5" ht="14.25" customHeight="1" x14ac:dyDescent="0.3">
      <c r="A561" s="27">
        <v>44746</v>
      </c>
      <c r="B561" s="28">
        <v>15835.349609375</v>
      </c>
      <c r="C561" s="28">
        <v>140.39569091796901</v>
      </c>
      <c r="D561" s="29">
        <f t="shared" si="16"/>
        <v>9.9010335684188624E-3</v>
      </c>
      <c r="E561" s="29">
        <f t="shared" si="17"/>
        <v>5.288188249805534E-3</v>
      </c>
    </row>
    <row r="562" spans="1:5" ht="14.25" customHeight="1" x14ac:dyDescent="0.3">
      <c r="A562" s="27">
        <v>44747</v>
      </c>
      <c r="B562" s="28">
        <v>15810.849609375</v>
      </c>
      <c r="C562" s="28">
        <v>138.38020324707</v>
      </c>
      <c r="D562" s="29">
        <f t="shared" si="16"/>
        <v>-1.4355765890825123E-2</v>
      </c>
      <c r="E562" s="29">
        <f t="shared" si="17"/>
        <v>-1.5471713984448608E-3</v>
      </c>
    </row>
    <row r="563" spans="1:5" ht="14.25" customHeight="1" x14ac:dyDescent="0.3">
      <c r="A563" s="27">
        <v>44748</v>
      </c>
      <c r="B563" s="28">
        <v>15989.7998046875</v>
      </c>
      <c r="C563" s="28">
        <v>139.41250610351599</v>
      </c>
      <c r="D563" s="29">
        <f t="shared" si="16"/>
        <v>7.4599027333619138E-3</v>
      </c>
      <c r="E563" s="29">
        <f t="shared" si="17"/>
        <v>1.1318189707300232E-2</v>
      </c>
    </row>
    <row r="564" spans="1:5" ht="14.25" customHeight="1" x14ac:dyDescent="0.3">
      <c r="A564" s="27">
        <v>44749</v>
      </c>
      <c r="B564" s="28">
        <v>16132.900390625</v>
      </c>
      <c r="C564" s="28">
        <v>142.31285095214801</v>
      </c>
      <c r="D564" s="29">
        <f t="shared" si="16"/>
        <v>2.0804050724677919E-2</v>
      </c>
      <c r="E564" s="29">
        <f t="shared" si="17"/>
        <v>8.9494920315105666E-3</v>
      </c>
    </row>
    <row r="565" spans="1:5" ht="14.25" customHeight="1" x14ac:dyDescent="0.3">
      <c r="A565" s="27">
        <v>44750</v>
      </c>
      <c r="B565" s="28">
        <v>16220.599609375</v>
      </c>
      <c r="C565" s="28">
        <v>142.70611572265599</v>
      </c>
      <c r="D565" s="29">
        <f t="shared" si="16"/>
        <v>2.7633819987220717E-3</v>
      </c>
      <c r="E565" s="29">
        <f t="shared" si="17"/>
        <v>5.436047866567313E-3</v>
      </c>
    </row>
    <row r="566" spans="1:5" ht="14.25" customHeight="1" x14ac:dyDescent="0.3">
      <c r="A566" s="27">
        <v>44753</v>
      </c>
      <c r="B566" s="28">
        <v>16216</v>
      </c>
      <c r="C566" s="28">
        <v>149.14584350585901</v>
      </c>
      <c r="D566" s="29">
        <f t="shared" si="16"/>
        <v>4.5125801025363073E-2</v>
      </c>
      <c r="E566" s="29">
        <f t="shared" si="17"/>
        <v>-2.8356592763325282E-4</v>
      </c>
    </row>
    <row r="567" spans="1:5" ht="14.25" customHeight="1" x14ac:dyDescent="0.3">
      <c r="A567" s="27">
        <v>44754</v>
      </c>
      <c r="B567" s="28">
        <v>16058.2998046875</v>
      </c>
      <c r="C567" s="28">
        <v>148.75257873535199</v>
      </c>
      <c r="D567" s="29">
        <f t="shared" si="16"/>
        <v>-2.6367799548605441E-3</v>
      </c>
      <c r="E567" s="29">
        <f t="shared" si="17"/>
        <v>-9.7249750439380861E-3</v>
      </c>
    </row>
    <row r="568" spans="1:5" ht="14.25" customHeight="1" x14ac:dyDescent="0.3">
      <c r="A568" s="27">
        <v>44755</v>
      </c>
      <c r="B568" s="28">
        <v>15966.650390625</v>
      </c>
      <c r="C568" s="28">
        <v>147.81855773925801</v>
      </c>
      <c r="D568" s="29">
        <f t="shared" si="16"/>
        <v>-6.2790238934661334E-3</v>
      </c>
      <c r="E568" s="29">
        <f t="shared" si="17"/>
        <v>-5.707292501522924E-3</v>
      </c>
    </row>
    <row r="569" spans="1:5" ht="14.25" customHeight="1" x14ac:dyDescent="0.3">
      <c r="A569" s="27">
        <v>44756</v>
      </c>
      <c r="B569" s="28">
        <v>15938.650390625</v>
      </c>
      <c r="C569" s="28">
        <v>146.29466247558599</v>
      </c>
      <c r="D569" s="29">
        <f t="shared" si="16"/>
        <v>-1.0309228333563271E-2</v>
      </c>
      <c r="E569" s="29">
        <f t="shared" si="17"/>
        <v>-1.7536552323109999E-3</v>
      </c>
    </row>
    <row r="570" spans="1:5" ht="14.25" customHeight="1" x14ac:dyDescent="0.3">
      <c r="A570" s="27">
        <v>44757</v>
      </c>
      <c r="B570" s="28">
        <v>16049.2001953125</v>
      </c>
      <c r="C570" s="28">
        <v>146.93371582031301</v>
      </c>
      <c r="D570" s="29">
        <f t="shared" si="16"/>
        <v>4.3682615203658849E-3</v>
      </c>
      <c r="E570" s="29">
        <f t="shared" si="17"/>
        <v>6.9359576863875878E-3</v>
      </c>
    </row>
    <row r="571" spans="1:5" ht="14.25" customHeight="1" x14ac:dyDescent="0.3">
      <c r="A571" s="27">
        <v>44760</v>
      </c>
      <c r="B571" s="28">
        <v>16278.5</v>
      </c>
      <c r="C571" s="28">
        <v>146.78625488281301</v>
      </c>
      <c r="D571" s="29">
        <f t="shared" si="16"/>
        <v>-1.0035881599859064E-3</v>
      </c>
      <c r="E571" s="29">
        <f t="shared" si="17"/>
        <v>1.4287304158276481E-2</v>
      </c>
    </row>
    <row r="572" spans="1:5" ht="14.25" customHeight="1" x14ac:dyDescent="0.3">
      <c r="A572" s="27">
        <v>44761</v>
      </c>
      <c r="B572" s="28">
        <v>16340.5498046875</v>
      </c>
      <c r="C572" s="28">
        <v>148.11349487304699</v>
      </c>
      <c r="D572" s="29">
        <f t="shared" si="16"/>
        <v>9.0419909636197254E-3</v>
      </c>
      <c r="E572" s="29">
        <f t="shared" si="17"/>
        <v>3.8117642711244892E-3</v>
      </c>
    </row>
    <row r="573" spans="1:5" ht="14.25" customHeight="1" x14ac:dyDescent="0.3">
      <c r="A573" s="27">
        <v>44762</v>
      </c>
      <c r="B573" s="28">
        <v>16520.849609375</v>
      </c>
      <c r="C573" s="28">
        <v>147.81855773925801</v>
      </c>
      <c r="D573" s="29">
        <f t="shared" si="16"/>
        <v>-1.9912914352725095E-3</v>
      </c>
      <c r="E573" s="29">
        <f t="shared" si="17"/>
        <v>1.1033888506969248E-2</v>
      </c>
    </row>
    <row r="574" spans="1:5" ht="14.25" customHeight="1" x14ac:dyDescent="0.3">
      <c r="A574" s="27">
        <v>44763</v>
      </c>
      <c r="B574" s="28">
        <v>16605.25</v>
      </c>
      <c r="C574" s="28">
        <v>149.44078063964801</v>
      </c>
      <c r="D574" s="29">
        <f t="shared" si="16"/>
        <v>1.0974419756222299E-2</v>
      </c>
      <c r="E574" s="29">
        <f t="shared" si="17"/>
        <v>5.1087197462959628E-3</v>
      </c>
    </row>
    <row r="575" spans="1:5" ht="14.25" customHeight="1" x14ac:dyDescent="0.3">
      <c r="A575" s="27">
        <v>44764</v>
      </c>
      <c r="B575" s="28">
        <v>16719.44921875</v>
      </c>
      <c r="C575" s="28">
        <v>148.31015014648401</v>
      </c>
      <c r="D575" s="29">
        <f t="shared" si="16"/>
        <v>-7.5657426863309559E-3</v>
      </c>
      <c r="E575" s="29">
        <f t="shared" si="17"/>
        <v>6.8772959606148657E-3</v>
      </c>
    </row>
    <row r="576" spans="1:5" ht="14.25" customHeight="1" x14ac:dyDescent="0.3">
      <c r="A576" s="27">
        <v>44767</v>
      </c>
      <c r="B576" s="28">
        <v>16631</v>
      </c>
      <c r="C576" s="28">
        <v>148.260986328125</v>
      </c>
      <c r="D576" s="29">
        <f t="shared" si="16"/>
        <v>-3.3149328154847836E-4</v>
      </c>
      <c r="E576" s="29">
        <f t="shared" si="17"/>
        <v>-5.2901993117577557E-3</v>
      </c>
    </row>
    <row r="577" spans="1:5" ht="14.25" customHeight="1" x14ac:dyDescent="0.3">
      <c r="A577" s="27">
        <v>44768</v>
      </c>
      <c r="B577" s="28">
        <v>16483.849609375</v>
      </c>
      <c r="C577" s="28">
        <v>147.57276916503901</v>
      </c>
      <c r="D577" s="29">
        <f t="shared" si="16"/>
        <v>-4.6419302888142198E-3</v>
      </c>
      <c r="E577" s="29">
        <f t="shared" si="17"/>
        <v>-8.8479580677650171E-3</v>
      </c>
    </row>
    <row r="578" spans="1:5" ht="14.25" customHeight="1" x14ac:dyDescent="0.3">
      <c r="A578" s="27">
        <v>44769</v>
      </c>
      <c r="B578" s="28">
        <v>16641.80078125</v>
      </c>
      <c r="C578" s="28">
        <v>153.47177124023401</v>
      </c>
      <c r="D578" s="29">
        <f t="shared" si="16"/>
        <v>3.9973513464383194E-2</v>
      </c>
      <c r="E578" s="29">
        <f t="shared" si="17"/>
        <v>9.5821774414374099E-3</v>
      </c>
    </row>
    <row r="579" spans="1:5" ht="14.25" customHeight="1" x14ac:dyDescent="0.3">
      <c r="A579" s="27">
        <v>44770</v>
      </c>
      <c r="B579" s="28">
        <v>16929.599609375</v>
      </c>
      <c r="C579" s="28">
        <v>153.37344360351599</v>
      </c>
      <c r="D579" s="29">
        <f t="shared" ref="D579:D642" si="18">(C579-C578)/C578</f>
        <v>-6.4068874636297646E-4</v>
      </c>
      <c r="E579" s="29">
        <f t="shared" ref="E579:E642" si="19">(B579-B578)/B578</f>
        <v>1.7293731123692903E-2</v>
      </c>
    </row>
    <row r="580" spans="1:5" ht="14.25" customHeight="1" x14ac:dyDescent="0.3">
      <c r="A580" s="27">
        <v>44771</v>
      </c>
      <c r="B580" s="28">
        <v>17158.25</v>
      </c>
      <c r="C580" s="28">
        <v>155.83134460449199</v>
      </c>
      <c r="D580" s="29">
        <f t="shared" si="18"/>
        <v>1.6025597021410608E-2</v>
      </c>
      <c r="E580" s="29">
        <f t="shared" si="19"/>
        <v>1.3505953826479256E-2</v>
      </c>
    </row>
    <row r="581" spans="1:5" ht="14.25" customHeight="1" x14ac:dyDescent="0.3">
      <c r="A581" s="27">
        <v>44774</v>
      </c>
      <c r="B581" s="28">
        <v>17340.05078125</v>
      </c>
      <c r="C581" s="28">
        <v>155.53640747070301</v>
      </c>
      <c r="D581" s="29">
        <f t="shared" si="18"/>
        <v>-1.8926688628500444E-3</v>
      </c>
      <c r="E581" s="29">
        <f t="shared" si="19"/>
        <v>1.059553166843938E-2</v>
      </c>
    </row>
    <row r="582" spans="1:5" ht="14.25" customHeight="1" x14ac:dyDescent="0.3">
      <c r="A582" s="27">
        <v>44775</v>
      </c>
      <c r="B582" s="28">
        <v>17345.44921875</v>
      </c>
      <c r="C582" s="28">
        <v>155.58555603027301</v>
      </c>
      <c r="D582" s="29">
        <f t="shared" si="18"/>
        <v>3.1599392302575542E-4</v>
      </c>
      <c r="E582" s="29">
        <f t="shared" si="19"/>
        <v>3.1132766380577117E-4</v>
      </c>
    </row>
    <row r="583" spans="1:5" ht="14.25" customHeight="1" x14ac:dyDescent="0.3">
      <c r="A583" s="27">
        <v>44776</v>
      </c>
      <c r="B583" s="28">
        <v>17388.150390625</v>
      </c>
      <c r="C583" s="28">
        <v>154.74986267089801</v>
      </c>
      <c r="D583" s="29">
        <f t="shared" si="18"/>
        <v>-5.3712785472990517E-3</v>
      </c>
      <c r="E583" s="29">
        <f t="shared" si="19"/>
        <v>2.4618083588657416E-3</v>
      </c>
    </row>
    <row r="584" spans="1:5" ht="14.25" customHeight="1" x14ac:dyDescent="0.3">
      <c r="A584" s="27">
        <v>44777</v>
      </c>
      <c r="B584" s="28">
        <v>17382</v>
      </c>
      <c r="C584" s="28">
        <v>153.86500549316401</v>
      </c>
      <c r="D584" s="29">
        <f t="shared" si="18"/>
        <v>-5.717983605683743E-3</v>
      </c>
      <c r="E584" s="29">
        <f t="shared" si="19"/>
        <v>-3.537116074356043E-4</v>
      </c>
    </row>
    <row r="585" spans="1:5" ht="14.25" customHeight="1" x14ac:dyDescent="0.3">
      <c r="A585" s="27">
        <v>44778</v>
      </c>
      <c r="B585" s="28">
        <v>17397.5</v>
      </c>
      <c r="C585" s="28">
        <v>153.76669311523401</v>
      </c>
      <c r="D585" s="29">
        <f t="shared" si="18"/>
        <v>-6.3895216209099615E-4</v>
      </c>
      <c r="E585" s="29">
        <f t="shared" si="19"/>
        <v>8.9172707398458174E-4</v>
      </c>
    </row>
    <row r="586" spans="1:5" ht="14.25" customHeight="1" x14ac:dyDescent="0.3">
      <c r="A586" s="27">
        <v>44781</v>
      </c>
      <c r="B586" s="28">
        <v>17525.099609375</v>
      </c>
      <c r="C586" s="28">
        <v>155.339767456055</v>
      </c>
      <c r="D586" s="29">
        <f t="shared" si="18"/>
        <v>1.0230267094591934E-2</v>
      </c>
      <c r="E586" s="29">
        <f t="shared" si="19"/>
        <v>7.3343646716482252E-3</v>
      </c>
    </row>
    <row r="587" spans="1:5" ht="14.25" customHeight="1" x14ac:dyDescent="0.3">
      <c r="A587" s="27">
        <v>44783</v>
      </c>
      <c r="B587" s="28">
        <v>17534.75</v>
      </c>
      <c r="C587" s="28">
        <v>154.40574645996099</v>
      </c>
      <c r="D587" s="29">
        <f t="shared" si="18"/>
        <v>-6.0127616475171859E-3</v>
      </c>
      <c r="E587" s="29">
        <f t="shared" si="19"/>
        <v>5.5066109979982946E-4</v>
      </c>
    </row>
    <row r="588" spans="1:5" ht="14.25" customHeight="1" x14ac:dyDescent="0.3">
      <c r="A588" s="27">
        <v>44784</v>
      </c>
      <c r="B588" s="28">
        <v>17659</v>
      </c>
      <c r="C588" s="28">
        <v>156.47038269043</v>
      </c>
      <c r="D588" s="29">
        <f t="shared" si="18"/>
        <v>1.3371498650825066E-2</v>
      </c>
      <c r="E588" s="29">
        <f t="shared" si="19"/>
        <v>7.0859293688247619E-3</v>
      </c>
    </row>
    <row r="589" spans="1:5" ht="14.25" customHeight="1" x14ac:dyDescent="0.3">
      <c r="A589" s="27">
        <v>44785</v>
      </c>
      <c r="B589" s="28">
        <v>17698.150390625</v>
      </c>
      <c r="C589" s="28">
        <v>156.51954650878901</v>
      </c>
      <c r="D589" s="29">
        <f t="shared" si="18"/>
        <v>3.1420526692437406E-4</v>
      </c>
      <c r="E589" s="29">
        <f t="shared" si="19"/>
        <v>2.2170219505634522E-3</v>
      </c>
    </row>
    <row r="590" spans="1:5" ht="14.25" customHeight="1" x14ac:dyDescent="0.3">
      <c r="A590" s="27">
        <v>44789</v>
      </c>
      <c r="B590" s="28">
        <v>17825.25</v>
      </c>
      <c r="C590" s="28">
        <v>161.48452758789099</v>
      </c>
      <c r="D590" s="29">
        <f t="shared" si="18"/>
        <v>3.1721156812981127E-2</v>
      </c>
      <c r="E590" s="29">
        <f t="shared" si="19"/>
        <v>7.18151934353133E-3</v>
      </c>
    </row>
    <row r="591" spans="1:5" ht="14.25" customHeight="1" x14ac:dyDescent="0.3">
      <c r="A591" s="27">
        <v>44790</v>
      </c>
      <c r="B591" s="28">
        <v>17944.25</v>
      </c>
      <c r="C591" s="28">
        <v>160.50135803222699</v>
      </c>
      <c r="D591" s="29">
        <f t="shared" si="18"/>
        <v>-6.0883204747210042E-3</v>
      </c>
      <c r="E591" s="29">
        <f t="shared" si="19"/>
        <v>6.675923198833116E-3</v>
      </c>
    </row>
    <row r="592" spans="1:5" ht="14.25" customHeight="1" x14ac:dyDescent="0.3">
      <c r="A592" s="27">
        <v>44791</v>
      </c>
      <c r="B592" s="28">
        <v>17956.5</v>
      </c>
      <c r="C592" s="28">
        <v>161.43537902832</v>
      </c>
      <c r="D592" s="29">
        <f t="shared" si="18"/>
        <v>5.8193962190990897E-3</v>
      </c>
      <c r="E592" s="29">
        <f t="shared" si="19"/>
        <v>6.8266993605193866E-4</v>
      </c>
    </row>
    <row r="593" spans="1:5" ht="14.25" customHeight="1" x14ac:dyDescent="0.3">
      <c r="A593" s="27">
        <v>44792</v>
      </c>
      <c r="B593" s="28">
        <v>17758.44921875</v>
      </c>
      <c r="C593" s="28">
        <v>157.50273132324199</v>
      </c>
      <c r="D593" s="29">
        <f t="shared" si="18"/>
        <v>-2.4360507149973128E-2</v>
      </c>
      <c r="E593" s="29">
        <f t="shared" si="19"/>
        <v>-1.1029475746944004E-2</v>
      </c>
    </row>
    <row r="594" spans="1:5" ht="14.25" customHeight="1" x14ac:dyDescent="0.3">
      <c r="A594" s="27">
        <v>44795</v>
      </c>
      <c r="B594" s="28">
        <v>17490.69921875</v>
      </c>
      <c r="C594" s="28">
        <v>151.70204162597699</v>
      </c>
      <c r="D594" s="29">
        <f t="shared" si="18"/>
        <v>-3.6829137174518432E-2</v>
      </c>
      <c r="E594" s="29">
        <f t="shared" si="19"/>
        <v>-1.5077330047338822E-2</v>
      </c>
    </row>
    <row r="595" spans="1:5" ht="14.25" customHeight="1" x14ac:dyDescent="0.3">
      <c r="A595" s="27">
        <v>44796</v>
      </c>
      <c r="B595" s="28">
        <v>17577.5</v>
      </c>
      <c r="C595" s="28">
        <v>153.668380737305</v>
      </c>
      <c r="D595" s="29">
        <f t="shared" si="18"/>
        <v>1.2961850020292024E-2</v>
      </c>
      <c r="E595" s="29">
        <f t="shared" si="19"/>
        <v>4.9626821755044369E-3</v>
      </c>
    </row>
    <row r="596" spans="1:5" ht="14.25" customHeight="1" x14ac:dyDescent="0.3">
      <c r="A596" s="27">
        <v>44797</v>
      </c>
      <c r="B596" s="28">
        <v>17604.94921875</v>
      </c>
      <c r="C596" s="28">
        <v>155.14312744140599</v>
      </c>
      <c r="D596" s="29">
        <f t="shared" si="18"/>
        <v>9.5969430863078013E-3</v>
      </c>
      <c r="E596" s="29">
        <f t="shared" si="19"/>
        <v>1.5616110795050491E-3</v>
      </c>
    </row>
    <row r="597" spans="1:5" ht="14.25" customHeight="1" x14ac:dyDescent="0.3">
      <c r="A597" s="27">
        <v>44798</v>
      </c>
      <c r="B597" s="28">
        <v>17522.44921875</v>
      </c>
      <c r="C597" s="28">
        <v>155.38893127441401</v>
      </c>
      <c r="D597" s="29">
        <f t="shared" si="18"/>
        <v>1.5843681706161682E-3</v>
      </c>
      <c r="E597" s="29">
        <f t="shared" si="19"/>
        <v>-4.686182219266732E-3</v>
      </c>
    </row>
    <row r="598" spans="1:5" ht="14.25" customHeight="1" x14ac:dyDescent="0.3">
      <c r="A598" s="27">
        <v>44799</v>
      </c>
      <c r="B598" s="28">
        <v>17558.900390625</v>
      </c>
      <c r="C598" s="28">
        <v>158.19091796875</v>
      </c>
      <c r="D598" s="29">
        <f t="shared" si="18"/>
        <v>1.8032086786077043E-2</v>
      </c>
      <c r="E598" s="29">
        <f t="shared" si="19"/>
        <v>2.0802555293466174E-3</v>
      </c>
    </row>
    <row r="599" spans="1:5" ht="14.25" customHeight="1" x14ac:dyDescent="0.3">
      <c r="A599" s="27">
        <v>44802</v>
      </c>
      <c r="B599" s="28">
        <v>17312.900390625</v>
      </c>
      <c r="C599" s="28">
        <v>157.01113891601599</v>
      </c>
      <c r="D599" s="29">
        <f t="shared" si="18"/>
        <v>-7.4579442858221882E-3</v>
      </c>
      <c r="E599" s="29">
        <f t="shared" si="19"/>
        <v>-1.400998892455382E-2</v>
      </c>
    </row>
    <row r="600" spans="1:5" ht="14.25" customHeight="1" x14ac:dyDescent="0.3">
      <c r="A600" s="27">
        <v>44803</v>
      </c>
      <c r="B600" s="28">
        <v>17759.30078125</v>
      </c>
      <c r="C600" s="28">
        <v>157.84684753418</v>
      </c>
      <c r="D600" s="29">
        <f t="shared" si="18"/>
        <v>5.3226071980219157E-3</v>
      </c>
      <c r="E600" s="29">
        <f t="shared" si="19"/>
        <v>2.5784263789025638E-2</v>
      </c>
    </row>
    <row r="601" spans="1:5" ht="14.25" customHeight="1" x14ac:dyDescent="0.3">
      <c r="A601" s="27">
        <v>44805</v>
      </c>
      <c r="B601" s="28">
        <v>17542.80078125</v>
      </c>
      <c r="C601" s="28">
        <v>157.060302734375</v>
      </c>
      <c r="D601" s="29">
        <f t="shared" si="18"/>
        <v>-4.9829617258252976E-3</v>
      </c>
      <c r="E601" s="29">
        <f t="shared" si="19"/>
        <v>-1.2190795272107639E-2</v>
      </c>
    </row>
    <row r="602" spans="1:5" ht="14.25" customHeight="1" x14ac:dyDescent="0.3">
      <c r="A602" s="27">
        <v>44806</v>
      </c>
      <c r="B602" s="28">
        <v>17539.44921875</v>
      </c>
      <c r="C602" s="28">
        <v>156.71618652343801</v>
      </c>
      <c r="D602" s="29">
        <f t="shared" si="18"/>
        <v>-2.190981457096564E-3</v>
      </c>
      <c r="E602" s="29">
        <f t="shared" si="19"/>
        <v>-1.9105059344812252E-4</v>
      </c>
    </row>
    <row r="603" spans="1:5" ht="14.25" customHeight="1" x14ac:dyDescent="0.3">
      <c r="A603" s="27">
        <v>44809</v>
      </c>
      <c r="B603" s="28">
        <v>17665.80078125</v>
      </c>
      <c r="C603" s="28">
        <v>169.49729919433599</v>
      </c>
      <c r="D603" s="29">
        <f t="shared" si="18"/>
        <v>8.1555791743225428E-2</v>
      </c>
      <c r="E603" s="29">
        <f t="shared" si="19"/>
        <v>7.2038500710117975E-3</v>
      </c>
    </row>
    <row r="604" spans="1:5" ht="14.25" customHeight="1" x14ac:dyDescent="0.3">
      <c r="A604" s="27">
        <v>44810</v>
      </c>
      <c r="B604" s="28">
        <v>17655.599609375</v>
      </c>
      <c r="C604" s="28">
        <v>171.02119445800801</v>
      </c>
      <c r="D604" s="29">
        <f t="shared" si="18"/>
        <v>8.9906757860773057E-3</v>
      </c>
      <c r="E604" s="29">
        <f t="shared" si="19"/>
        <v>-5.7745312546642362E-4</v>
      </c>
    </row>
    <row r="605" spans="1:5" ht="14.25" customHeight="1" x14ac:dyDescent="0.3">
      <c r="A605" s="27">
        <v>44811</v>
      </c>
      <c r="B605" s="28">
        <v>17624.400390625</v>
      </c>
      <c r="C605" s="28">
        <v>168.26835632324199</v>
      </c>
      <c r="D605" s="29">
        <f t="shared" si="18"/>
        <v>-1.6096473559842582E-2</v>
      </c>
      <c r="E605" s="29">
        <f t="shared" si="19"/>
        <v>-1.7671004916442166E-3</v>
      </c>
    </row>
    <row r="606" spans="1:5" ht="14.25" customHeight="1" x14ac:dyDescent="0.3">
      <c r="A606" s="27">
        <v>44812</v>
      </c>
      <c r="B606" s="28">
        <v>17798.75</v>
      </c>
      <c r="C606" s="28">
        <v>166.94107055664099</v>
      </c>
      <c r="D606" s="29">
        <f t="shared" si="18"/>
        <v>-7.8879106898226917E-3</v>
      </c>
      <c r="E606" s="29">
        <f t="shared" si="19"/>
        <v>9.8925129655895866E-3</v>
      </c>
    </row>
    <row r="607" spans="1:5" ht="14.25" customHeight="1" x14ac:dyDescent="0.3">
      <c r="A607" s="27">
        <v>44813</v>
      </c>
      <c r="B607" s="28">
        <v>17833.349609375</v>
      </c>
      <c r="C607" s="28">
        <v>168.31752014160199</v>
      </c>
      <c r="D607" s="29">
        <f t="shared" si="18"/>
        <v>8.2451225475637675E-3</v>
      </c>
      <c r="E607" s="29">
        <f t="shared" si="19"/>
        <v>1.943934791769085E-3</v>
      </c>
    </row>
    <row r="608" spans="1:5" ht="14.25" customHeight="1" x14ac:dyDescent="0.3">
      <c r="A608" s="27">
        <v>44816</v>
      </c>
      <c r="B608" s="28">
        <v>17936.349609375</v>
      </c>
      <c r="C608" s="28">
        <v>171.414474487305</v>
      </c>
      <c r="D608" s="29">
        <f t="shared" si="18"/>
        <v>1.8399477030659726E-2</v>
      </c>
      <c r="E608" s="29">
        <f t="shared" si="19"/>
        <v>5.77569566324505E-3</v>
      </c>
    </row>
    <row r="609" spans="1:5" ht="14.25" customHeight="1" x14ac:dyDescent="0.3">
      <c r="A609" s="27">
        <v>44817</v>
      </c>
      <c r="B609" s="28">
        <v>18070.05078125</v>
      </c>
      <c r="C609" s="28">
        <v>172.49595642089801</v>
      </c>
      <c r="D609" s="29">
        <f t="shared" si="18"/>
        <v>6.3091634287459541E-3</v>
      </c>
      <c r="E609" s="29">
        <f t="shared" si="19"/>
        <v>7.4542019299800475E-3</v>
      </c>
    </row>
    <row r="610" spans="1:5" ht="14.25" customHeight="1" x14ac:dyDescent="0.3">
      <c r="A610" s="27">
        <v>44818</v>
      </c>
      <c r="B610" s="28">
        <v>18003.75</v>
      </c>
      <c r="C610" s="28">
        <v>170.18553161621099</v>
      </c>
      <c r="D610" s="29">
        <f t="shared" si="18"/>
        <v>-1.3394080954857137E-2</v>
      </c>
      <c r="E610" s="29">
        <f t="shared" si="19"/>
        <v>-3.6690976717561625E-3</v>
      </c>
    </row>
    <row r="611" spans="1:5" ht="14.25" customHeight="1" x14ac:dyDescent="0.3">
      <c r="A611" s="27">
        <v>44819</v>
      </c>
      <c r="B611" s="28">
        <v>17877.400390625</v>
      </c>
      <c r="C611" s="28">
        <v>170.52963256835901</v>
      </c>
      <c r="D611" s="29">
        <f t="shared" si="18"/>
        <v>2.0219166040741968E-3</v>
      </c>
      <c r="E611" s="29">
        <f t="shared" si="19"/>
        <v>-7.0179606679164064E-3</v>
      </c>
    </row>
    <row r="612" spans="1:5" ht="14.25" customHeight="1" x14ac:dyDescent="0.3">
      <c r="A612" s="27">
        <v>44820</v>
      </c>
      <c r="B612" s="28">
        <v>17530.849609375</v>
      </c>
      <c r="C612" s="28">
        <v>164.58148193359401</v>
      </c>
      <c r="D612" s="29">
        <f t="shared" si="18"/>
        <v>-3.4880451832209315E-2</v>
      </c>
      <c r="E612" s="29">
        <f t="shared" si="19"/>
        <v>-1.9384853148544628E-2</v>
      </c>
    </row>
    <row r="613" spans="1:5" ht="14.25" customHeight="1" x14ac:dyDescent="0.3">
      <c r="A613" s="27">
        <v>44823</v>
      </c>
      <c r="B613" s="28">
        <v>17622.25</v>
      </c>
      <c r="C613" s="28">
        <v>162.71347045898401</v>
      </c>
      <c r="D613" s="29">
        <f t="shared" si="18"/>
        <v>-1.1350070813943168E-2</v>
      </c>
      <c r="E613" s="29">
        <f t="shared" si="19"/>
        <v>5.2136885924867933E-3</v>
      </c>
    </row>
    <row r="614" spans="1:5" ht="14.25" customHeight="1" x14ac:dyDescent="0.3">
      <c r="A614" s="27">
        <v>44824</v>
      </c>
      <c r="B614" s="28">
        <v>17816.25</v>
      </c>
      <c r="C614" s="28">
        <v>163.59832763671901</v>
      </c>
      <c r="D614" s="29">
        <f t="shared" si="18"/>
        <v>5.4381310609317411E-3</v>
      </c>
      <c r="E614" s="29">
        <f t="shared" si="19"/>
        <v>1.1008809885230319E-2</v>
      </c>
    </row>
    <row r="615" spans="1:5" ht="14.25" customHeight="1" x14ac:dyDescent="0.3">
      <c r="A615" s="27">
        <v>44825</v>
      </c>
      <c r="B615" s="28">
        <v>17718.349609375</v>
      </c>
      <c r="C615" s="28">
        <v>160.05894470214801</v>
      </c>
      <c r="D615" s="29">
        <f t="shared" si="18"/>
        <v>-2.1634591170335372E-2</v>
      </c>
      <c r="E615" s="29">
        <f t="shared" si="19"/>
        <v>-5.4950054374517648E-3</v>
      </c>
    </row>
    <row r="616" spans="1:5" ht="14.25" customHeight="1" x14ac:dyDescent="0.3">
      <c r="A616" s="27">
        <v>44826</v>
      </c>
      <c r="B616" s="28">
        <v>17629.80078125</v>
      </c>
      <c r="C616" s="28">
        <v>158.33839416503901</v>
      </c>
      <c r="D616" s="29">
        <f t="shared" si="18"/>
        <v>-1.074948070106772E-2</v>
      </c>
      <c r="E616" s="29">
        <f t="shared" si="19"/>
        <v>-4.9975776569025207E-3</v>
      </c>
    </row>
    <row r="617" spans="1:5" ht="14.25" customHeight="1" x14ac:dyDescent="0.3">
      <c r="A617" s="27">
        <v>44827</v>
      </c>
      <c r="B617" s="28">
        <v>17327.349609375</v>
      </c>
      <c r="C617" s="28">
        <v>155.68388366699199</v>
      </c>
      <c r="D617" s="29">
        <f t="shared" si="18"/>
        <v>-1.6764793605776828E-2</v>
      </c>
      <c r="E617" s="29">
        <f t="shared" si="19"/>
        <v>-1.7155677232420515E-2</v>
      </c>
    </row>
    <row r="618" spans="1:5" ht="14.25" customHeight="1" x14ac:dyDescent="0.3">
      <c r="A618" s="27">
        <v>44830</v>
      </c>
      <c r="B618" s="28">
        <v>17016.30078125</v>
      </c>
      <c r="C618" s="28">
        <v>151.898681640625</v>
      </c>
      <c r="D618" s="29">
        <f t="shared" si="18"/>
        <v>-2.4313383872562815E-2</v>
      </c>
      <c r="E618" s="29">
        <f t="shared" si="19"/>
        <v>-1.7951321762256493E-2</v>
      </c>
    </row>
    <row r="619" spans="1:5" ht="14.25" customHeight="1" x14ac:dyDescent="0.3">
      <c r="A619" s="27">
        <v>44831</v>
      </c>
      <c r="B619" s="28">
        <v>17007.400390625</v>
      </c>
      <c r="C619" s="28">
        <v>154.74986267089801</v>
      </c>
      <c r="D619" s="29">
        <f t="shared" si="18"/>
        <v>1.8770281607964057E-2</v>
      </c>
      <c r="E619" s="29">
        <f t="shared" si="19"/>
        <v>-5.2305085220444639E-4</v>
      </c>
    </row>
    <row r="620" spans="1:5" ht="14.25" customHeight="1" x14ac:dyDescent="0.3">
      <c r="A620" s="27">
        <v>44832</v>
      </c>
      <c r="B620" s="28">
        <v>16858.599609375</v>
      </c>
      <c r="C620" s="28">
        <v>153.17680358886699</v>
      </c>
      <c r="D620" s="29">
        <f t="shared" si="18"/>
        <v>-1.0165172717318665E-2</v>
      </c>
      <c r="E620" s="29">
        <f t="shared" si="19"/>
        <v>-8.7491784653946029E-3</v>
      </c>
    </row>
    <row r="621" spans="1:5" ht="14.25" customHeight="1" x14ac:dyDescent="0.3">
      <c r="A621" s="27">
        <v>44833</v>
      </c>
      <c r="B621" s="28">
        <v>16818.099609375</v>
      </c>
      <c r="C621" s="28">
        <v>151.898681640625</v>
      </c>
      <c r="D621" s="29">
        <f t="shared" si="18"/>
        <v>-8.344095961634778E-3</v>
      </c>
      <c r="E621" s="29">
        <f t="shared" si="19"/>
        <v>-2.4023347691037229E-3</v>
      </c>
    </row>
    <row r="622" spans="1:5" ht="14.25" customHeight="1" x14ac:dyDescent="0.3">
      <c r="A622" s="27">
        <v>44834</v>
      </c>
      <c r="B622" s="28">
        <v>17094.349609375</v>
      </c>
      <c r="C622" s="28">
        <v>154.30743408203099</v>
      </c>
      <c r="D622" s="29">
        <f t="shared" si="18"/>
        <v>1.5857625723867889E-2</v>
      </c>
      <c r="E622" s="29">
        <f t="shared" si="19"/>
        <v>1.6425755966269134E-2</v>
      </c>
    </row>
    <row r="623" spans="1:5" ht="14.25" customHeight="1" x14ac:dyDescent="0.3">
      <c r="A623" s="27">
        <v>44837</v>
      </c>
      <c r="B623" s="28">
        <v>16887.349609375</v>
      </c>
      <c r="C623" s="28">
        <v>151.11216735839801</v>
      </c>
      <c r="D623" s="29">
        <f t="shared" si="18"/>
        <v>-2.0707147018816704E-2</v>
      </c>
      <c r="E623" s="29">
        <f t="shared" si="19"/>
        <v>-1.2109264448790473E-2</v>
      </c>
    </row>
    <row r="624" spans="1:5" ht="14.25" customHeight="1" x14ac:dyDescent="0.3">
      <c r="A624" s="27">
        <v>44838</v>
      </c>
      <c r="B624" s="28">
        <v>17274.30078125</v>
      </c>
      <c r="C624" s="28">
        <v>153.86500549316401</v>
      </c>
      <c r="D624" s="29">
        <f t="shared" si="18"/>
        <v>1.8217183850172645E-2</v>
      </c>
      <c r="E624" s="29">
        <f t="shared" si="19"/>
        <v>2.2913670932719031E-2</v>
      </c>
    </row>
    <row r="625" spans="1:5" ht="14.25" customHeight="1" x14ac:dyDescent="0.3">
      <c r="A625" s="27">
        <v>44840</v>
      </c>
      <c r="B625" s="28">
        <v>17331.80078125</v>
      </c>
      <c r="C625" s="28">
        <v>155.04481506347699</v>
      </c>
      <c r="D625" s="29">
        <f t="shared" si="18"/>
        <v>7.6678226249788832E-3</v>
      </c>
      <c r="E625" s="29">
        <f t="shared" si="19"/>
        <v>3.3286441360574244E-3</v>
      </c>
    </row>
    <row r="626" spans="1:5" ht="14.25" customHeight="1" x14ac:dyDescent="0.3">
      <c r="A626" s="27">
        <v>44841</v>
      </c>
      <c r="B626" s="28">
        <v>17314.650390625</v>
      </c>
      <c r="C626" s="28">
        <v>154.55322265625</v>
      </c>
      <c r="D626" s="29">
        <f t="shared" si="18"/>
        <v>-3.1706471901412872E-3</v>
      </c>
      <c r="E626" s="29">
        <f t="shared" si="19"/>
        <v>-9.8953310400115763E-4</v>
      </c>
    </row>
    <row r="627" spans="1:5" ht="14.25" customHeight="1" x14ac:dyDescent="0.3">
      <c r="A627" s="27">
        <v>44844</v>
      </c>
      <c r="B627" s="28">
        <v>17241</v>
      </c>
      <c r="C627" s="28">
        <v>154.30743408203099</v>
      </c>
      <c r="D627" s="29">
        <f t="shared" si="18"/>
        <v>-1.5903167206398354E-3</v>
      </c>
      <c r="E627" s="29">
        <f t="shared" si="19"/>
        <v>-4.253645841147213E-3</v>
      </c>
    </row>
    <row r="628" spans="1:5" ht="14.25" customHeight="1" x14ac:dyDescent="0.3">
      <c r="A628" s="27">
        <v>44845</v>
      </c>
      <c r="B628" s="28">
        <v>16983.55078125</v>
      </c>
      <c r="C628" s="28">
        <v>151.65289306640599</v>
      </c>
      <c r="D628" s="29">
        <f t="shared" si="18"/>
        <v>-1.7202936666122166E-2</v>
      </c>
      <c r="E628" s="29">
        <f t="shared" si="19"/>
        <v>-1.4932383199930399E-2</v>
      </c>
    </row>
    <row r="629" spans="1:5" ht="14.25" customHeight="1" x14ac:dyDescent="0.3">
      <c r="A629" s="27">
        <v>44846</v>
      </c>
      <c r="B629" s="28">
        <v>17123.599609375</v>
      </c>
      <c r="C629" s="28">
        <v>153.07849121093801</v>
      </c>
      <c r="D629" s="29">
        <f t="shared" si="18"/>
        <v>9.4004019027040548E-3</v>
      </c>
      <c r="E629" s="29">
        <f t="shared" si="19"/>
        <v>8.2461453396197471E-3</v>
      </c>
    </row>
    <row r="630" spans="1:5" ht="14.25" customHeight="1" x14ac:dyDescent="0.3">
      <c r="A630" s="27">
        <v>44847</v>
      </c>
      <c r="B630" s="28">
        <v>17014.349609375</v>
      </c>
      <c r="C630" s="28">
        <v>152.53773498535199</v>
      </c>
      <c r="D630" s="29">
        <f t="shared" si="18"/>
        <v>-3.532542170414231E-3</v>
      </c>
      <c r="E630" s="29">
        <f t="shared" si="19"/>
        <v>-6.3800837728176449E-3</v>
      </c>
    </row>
    <row r="631" spans="1:5" ht="14.25" customHeight="1" x14ac:dyDescent="0.3">
      <c r="A631" s="27">
        <v>44848</v>
      </c>
      <c r="B631" s="28">
        <v>17185.69921875</v>
      </c>
      <c r="C631" s="28">
        <v>151.65289306640599</v>
      </c>
      <c r="D631" s="29">
        <f t="shared" si="18"/>
        <v>-5.8008067251750194E-3</v>
      </c>
      <c r="E631" s="29">
        <f t="shared" si="19"/>
        <v>1.0070888003887344E-2</v>
      </c>
    </row>
    <row r="632" spans="1:5" ht="14.25" customHeight="1" x14ac:dyDescent="0.3">
      <c r="A632" s="27">
        <v>44851</v>
      </c>
      <c r="B632" s="28">
        <v>17311.80078125</v>
      </c>
      <c r="C632" s="28">
        <v>152.09530639648401</v>
      </c>
      <c r="D632" s="29">
        <f t="shared" si="18"/>
        <v>2.9172758998028919E-3</v>
      </c>
      <c r="E632" s="29">
        <f t="shared" si="19"/>
        <v>7.3375869608156676E-3</v>
      </c>
    </row>
    <row r="633" spans="1:5" ht="14.25" customHeight="1" x14ac:dyDescent="0.3">
      <c r="A633" s="27">
        <v>44852</v>
      </c>
      <c r="B633" s="28">
        <v>17486.94921875</v>
      </c>
      <c r="C633" s="28">
        <v>153.07849121093801</v>
      </c>
      <c r="D633" s="29">
        <f t="shared" si="18"/>
        <v>6.4642679498013384E-3</v>
      </c>
      <c r="E633" s="29">
        <f t="shared" si="19"/>
        <v>1.0117285874136163E-2</v>
      </c>
    </row>
    <row r="634" spans="1:5" ht="14.25" customHeight="1" x14ac:dyDescent="0.3">
      <c r="A634" s="27">
        <v>44853</v>
      </c>
      <c r="B634" s="28">
        <v>17512.25</v>
      </c>
      <c r="C634" s="28">
        <v>153.17680358886699</v>
      </c>
      <c r="D634" s="29">
        <f t="shared" si="18"/>
        <v>6.4223508574764543E-4</v>
      </c>
      <c r="E634" s="29">
        <f t="shared" si="19"/>
        <v>1.4468379208691124E-3</v>
      </c>
    </row>
    <row r="635" spans="1:5" ht="14.25" customHeight="1" x14ac:dyDescent="0.3">
      <c r="A635" s="27">
        <v>44854</v>
      </c>
      <c r="B635" s="28">
        <v>17563.94921875</v>
      </c>
      <c r="C635" s="28">
        <v>154.35659790039099</v>
      </c>
      <c r="D635" s="29">
        <f t="shared" si="18"/>
        <v>7.702173461528964E-3</v>
      </c>
      <c r="E635" s="29">
        <f t="shared" si="19"/>
        <v>2.9521745492441004E-3</v>
      </c>
    </row>
    <row r="636" spans="1:5" ht="14.25" customHeight="1" x14ac:dyDescent="0.3">
      <c r="A636" s="27">
        <v>44855</v>
      </c>
      <c r="B636" s="28">
        <v>17576.30078125</v>
      </c>
      <c r="C636" s="28">
        <v>156.32290649414099</v>
      </c>
      <c r="D636" s="29">
        <f t="shared" si="18"/>
        <v>1.2738740167225591E-2</v>
      </c>
      <c r="E636" s="29">
        <f t="shared" si="19"/>
        <v>7.0323378564624668E-4</v>
      </c>
    </row>
    <row r="637" spans="1:5" ht="14.25" customHeight="1" x14ac:dyDescent="0.3">
      <c r="A637" s="27">
        <v>44858</v>
      </c>
      <c r="B637" s="28">
        <v>17730.75</v>
      </c>
      <c r="C637" s="28">
        <v>157.109451293945</v>
      </c>
      <c r="D637" s="29">
        <f t="shared" si="18"/>
        <v>5.031538994788874E-3</v>
      </c>
      <c r="E637" s="29">
        <f t="shared" si="19"/>
        <v>8.7873563767617655E-3</v>
      </c>
    </row>
    <row r="638" spans="1:5" ht="14.25" customHeight="1" x14ac:dyDescent="0.3">
      <c r="A638" s="27">
        <v>44859</v>
      </c>
      <c r="B638" s="28">
        <v>17656.349609375</v>
      </c>
      <c r="C638" s="28">
        <v>161.38621520996099</v>
      </c>
      <c r="D638" s="29">
        <f t="shared" si="18"/>
        <v>2.7221557206092928E-2</v>
      </c>
      <c r="E638" s="29">
        <f t="shared" si="19"/>
        <v>-4.1961220267050185E-3</v>
      </c>
    </row>
    <row r="639" spans="1:5" ht="14.25" customHeight="1" x14ac:dyDescent="0.3">
      <c r="A639" s="27">
        <v>44861</v>
      </c>
      <c r="B639" s="28">
        <v>17736.94921875</v>
      </c>
      <c r="C639" s="28">
        <v>163.64749145507801</v>
      </c>
      <c r="D639" s="29">
        <f t="shared" si="18"/>
        <v>1.4011582353394503E-2</v>
      </c>
      <c r="E639" s="29">
        <f t="shared" si="19"/>
        <v>4.5649078749666347E-3</v>
      </c>
    </row>
    <row r="640" spans="1:5" ht="14.25" customHeight="1" x14ac:dyDescent="0.3">
      <c r="A640" s="27">
        <v>44862</v>
      </c>
      <c r="B640" s="28">
        <v>17786.80078125</v>
      </c>
      <c r="C640" s="28">
        <v>162.32020568847699</v>
      </c>
      <c r="D640" s="29">
        <f t="shared" si="18"/>
        <v>-8.1106392453645926E-3</v>
      </c>
      <c r="E640" s="29">
        <f t="shared" si="19"/>
        <v>2.8106052447453111E-3</v>
      </c>
    </row>
    <row r="641" spans="1:5" ht="14.25" customHeight="1" x14ac:dyDescent="0.3">
      <c r="A641" s="27">
        <v>44865</v>
      </c>
      <c r="B641" s="28">
        <v>18012.19921875</v>
      </c>
      <c r="C641" s="28">
        <v>162.95927429199199</v>
      </c>
      <c r="D641" s="29">
        <f t="shared" si="18"/>
        <v>3.9370859641558896E-3</v>
      </c>
      <c r="E641" s="29">
        <f t="shared" si="19"/>
        <v>1.2672230395564126E-2</v>
      </c>
    </row>
    <row r="642" spans="1:5" ht="14.25" customHeight="1" x14ac:dyDescent="0.3">
      <c r="A642" s="27">
        <v>44866</v>
      </c>
      <c r="B642" s="28">
        <v>18145.400390625</v>
      </c>
      <c r="C642" s="28">
        <v>163.25422668457</v>
      </c>
      <c r="D642" s="29">
        <f t="shared" si="18"/>
        <v>1.8099761051311065E-3</v>
      </c>
      <c r="E642" s="29">
        <f t="shared" si="19"/>
        <v>7.3950532223928962E-3</v>
      </c>
    </row>
    <row r="643" spans="1:5" ht="14.25" customHeight="1" x14ac:dyDescent="0.3">
      <c r="A643" s="27">
        <v>44867</v>
      </c>
      <c r="B643" s="28">
        <v>18082.849609375</v>
      </c>
      <c r="C643" s="28">
        <v>162.46768188476599</v>
      </c>
      <c r="D643" s="29">
        <f t="shared" ref="D643:D706" si="20">(C643-C642)/C642</f>
        <v>-4.8179138499349237E-3</v>
      </c>
      <c r="E643" s="29">
        <f t="shared" ref="E643:E706" si="21">(B643-B642)/B642</f>
        <v>-3.4471976315450983E-3</v>
      </c>
    </row>
    <row r="644" spans="1:5" ht="14.25" customHeight="1" x14ac:dyDescent="0.3">
      <c r="A644" s="27">
        <v>44868</v>
      </c>
      <c r="B644" s="28">
        <v>18052.69921875</v>
      </c>
      <c r="C644" s="28">
        <v>162.07444763183599</v>
      </c>
      <c r="D644" s="29">
        <f t="shared" si="20"/>
        <v>-2.4203844627321679E-3</v>
      </c>
      <c r="E644" s="29">
        <f t="shared" si="21"/>
        <v>-1.6673473084335456E-3</v>
      </c>
    </row>
    <row r="645" spans="1:5" ht="14.25" customHeight="1" x14ac:dyDescent="0.3">
      <c r="A645" s="27">
        <v>44869</v>
      </c>
      <c r="B645" s="28">
        <v>18117.150390625</v>
      </c>
      <c r="C645" s="28">
        <v>172.59428405761699</v>
      </c>
      <c r="D645" s="29">
        <f t="shared" si="20"/>
        <v>6.4907433463401804E-2</v>
      </c>
      <c r="E645" s="29">
        <f t="shared" si="21"/>
        <v>3.5701681556882833E-3</v>
      </c>
    </row>
    <row r="646" spans="1:5" ht="14.25" customHeight="1" x14ac:dyDescent="0.3">
      <c r="A646" s="27">
        <v>44872</v>
      </c>
      <c r="B646" s="28">
        <v>18202.80078125</v>
      </c>
      <c r="C646" s="28">
        <v>173.92153930664099</v>
      </c>
      <c r="D646" s="29">
        <f t="shared" si="20"/>
        <v>7.6900301552334698E-3</v>
      </c>
      <c r="E646" s="29">
        <f t="shared" si="21"/>
        <v>4.7275862251119315E-3</v>
      </c>
    </row>
    <row r="647" spans="1:5" ht="14.25" customHeight="1" x14ac:dyDescent="0.3">
      <c r="A647" s="27">
        <v>44874</v>
      </c>
      <c r="B647" s="28">
        <v>18157</v>
      </c>
      <c r="C647" s="28">
        <v>171.61111450195301</v>
      </c>
      <c r="D647" s="29">
        <f t="shared" si="20"/>
        <v>-1.3284293675750387E-2</v>
      </c>
      <c r="E647" s="29">
        <f t="shared" si="21"/>
        <v>-2.5161392359563488E-3</v>
      </c>
    </row>
    <row r="648" spans="1:5" ht="14.25" customHeight="1" x14ac:dyDescent="0.3">
      <c r="A648" s="27">
        <v>44875</v>
      </c>
      <c r="B648" s="28">
        <v>18028.19921875</v>
      </c>
      <c r="C648" s="28">
        <v>173.184158325195</v>
      </c>
      <c r="D648" s="29">
        <f t="shared" si="20"/>
        <v>9.1663283453828192E-3</v>
      </c>
      <c r="E648" s="29">
        <f t="shared" si="21"/>
        <v>-7.093725904609792E-3</v>
      </c>
    </row>
    <row r="649" spans="1:5" ht="14.25" customHeight="1" x14ac:dyDescent="0.3">
      <c r="A649" s="27">
        <v>44876</v>
      </c>
      <c r="B649" s="28">
        <v>18349.69921875</v>
      </c>
      <c r="C649" s="28">
        <v>167.97341918945301</v>
      </c>
      <c r="D649" s="29">
        <f t="shared" si="20"/>
        <v>-3.0087850910460123E-2</v>
      </c>
      <c r="E649" s="29">
        <f t="shared" si="21"/>
        <v>1.7833173247033349E-2</v>
      </c>
    </row>
    <row r="650" spans="1:5" ht="14.25" customHeight="1" x14ac:dyDescent="0.3">
      <c r="A650" s="27">
        <v>44879</v>
      </c>
      <c r="B650" s="28">
        <v>18329.150390625</v>
      </c>
      <c r="C650" s="28">
        <v>176.28114318847699</v>
      </c>
      <c r="D650" s="29">
        <f t="shared" si="20"/>
        <v>4.9458563379327913E-2</v>
      </c>
      <c r="E650" s="29">
        <f t="shared" si="21"/>
        <v>-1.1198455015547556E-3</v>
      </c>
    </row>
    <row r="651" spans="1:5" ht="14.25" customHeight="1" x14ac:dyDescent="0.3">
      <c r="A651" s="27">
        <v>44880</v>
      </c>
      <c r="B651" s="28">
        <v>18403.400390625</v>
      </c>
      <c r="C651" s="28">
        <v>178.78820800781301</v>
      </c>
      <c r="D651" s="29">
        <f t="shared" si="20"/>
        <v>1.4221968237723016E-2</v>
      </c>
      <c r="E651" s="29">
        <f t="shared" si="21"/>
        <v>4.0509242609508738E-3</v>
      </c>
    </row>
    <row r="652" spans="1:5" ht="14.25" customHeight="1" x14ac:dyDescent="0.3">
      <c r="A652" s="27">
        <v>44881</v>
      </c>
      <c r="B652" s="28">
        <v>18409.650390625</v>
      </c>
      <c r="C652" s="28">
        <v>179.08314514160199</v>
      </c>
      <c r="D652" s="29">
        <f t="shared" si="20"/>
        <v>1.6496453377735545E-3</v>
      </c>
      <c r="E652" s="29">
        <f t="shared" si="21"/>
        <v>3.3961115159912808E-4</v>
      </c>
    </row>
    <row r="653" spans="1:5" ht="14.25" customHeight="1" x14ac:dyDescent="0.3">
      <c r="A653" s="27">
        <v>44882</v>
      </c>
      <c r="B653" s="28">
        <v>18343.900390625</v>
      </c>
      <c r="C653" s="28">
        <v>183.55653381347699</v>
      </c>
      <c r="D653" s="29">
        <f t="shared" si="20"/>
        <v>2.4979395287802589E-2</v>
      </c>
      <c r="E653" s="29">
        <f t="shared" si="21"/>
        <v>-3.5714963948192506E-3</v>
      </c>
    </row>
    <row r="654" spans="1:5" ht="14.25" customHeight="1" x14ac:dyDescent="0.3">
      <c r="A654" s="27">
        <v>44883</v>
      </c>
      <c r="B654" s="28">
        <v>18307.650390625</v>
      </c>
      <c r="C654" s="28">
        <v>181.14778137207</v>
      </c>
      <c r="D654" s="29">
        <f t="shared" si="20"/>
        <v>-1.3122673387669597E-2</v>
      </c>
      <c r="E654" s="29">
        <f t="shared" si="21"/>
        <v>-1.9761337135545203E-3</v>
      </c>
    </row>
    <row r="655" spans="1:5" ht="14.25" customHeight="1" x14ac:dyDescent="0.3">
      <c r="A655" s="27">
        <v>44886</v>
      </c>
      <c r="B655" s="28">
        <v>18159.94921875</v>
      </c>
      <c r="C655" s="28">
        <v>179.42724609375</v>
      </c>
      <c r="D655" s="29">
        <f t="shared" si="20"/>
        <v>-9.497964950429573E-3</v>
      </c>
      <c r="E655" s="29">
        <f t="shared" si="21"/>
        <v>-8.0677295405769262E-3</v>
      </c>
    </row>
    <row r="656" spans="1:5" ht="14.25" customHeight="1" x14ac:dyDescent="0.3">
      <c r="A656" s="27">
        <v>44887</v>
      </c>
      <c r="B656" s="28">
        <v>18244.19921875</v>
      </c>
      <c r="C656" s="28">
        <v>178.88652038574199</v>
      </c>
      <c r="D656" s="29">
        <f t="shared" si="20"/>
        <v>-3.0136209509980692E-3</v>
      </c>
      <c r="E656" s="29">
        <f t="shared" si="21"/>
        <v>4.6393301536885668E-3</v>
      </c>
    </row>
    <row r="657" spans="1:5" ht="14.25" customHeight="1" x14ac:dyDescent="0.3">
      <c r="A657" s="27">
        <v>44888</v>
      </c>
      <c r="B657" s="28">
        <v>18267.25</v>
      </c>
      <c r="C657" s="28">
        <v>179.62387084960901</v>
      </c>
      <c r="D657" s="29">
        <f t="shared" si="20"/>
        <v>4.1218894653271311E-3</v>
      </c>
      <c r="E657" s="29">
        <f t="shared" si="21"/>
        <v>1.2634580983039343E-3</v>
      </c>
    </row>
    <row r="658" spans="1:5" ht="14.25" customHeight="1" x14ac:dyDescent="0.3">
      <c r="A658" s="27">
        <v>44889</v>
      </c>
      <c r="B658" s="28">
        <v>18484.099609375</v>
      </c>
      <c r="C658" s="28">
        <v>178.78820800781301</v>
      </c>
      <c r="D658" s="29">
        <f t="shared" si="20"/>
        <v>-4.6522928040875862E-3</v>
      </c>
      <c r="E658" s="29">
        <f t="shared" si="21"/>
        <v>1.1870949889830161E-2</v>
      </c>
    </row>
    <row r="659" spans="1:5" ht="14.25" customHeight="1" x14ac:dyDescent="0.3">
      <c r="A659" s="27">
        <v>44890</v>
      </c>
      <c r="B659" s="28">
        <v>18512.75</v>
      </c>
      <c r="C659" s="28">
        <v>182.42590332031301</v>
      </c>
      <c r="D659" s="29">
        <f t="shared" si="20"/>
        <v>2.0346393943055985E-2</v>
      </c>
      <c r="E659" s="29">
        <f t="shared" si="21"/>
        <v>1.5500019600883741E-3</v>
      </c>
    </row>
    <row r="660" spans="1:5" ht="14.25" customHeight="1" x14ac:dyDescent="0.3">
      <c r="A660" s="27">
        <v>44893</v>
      </c>
      <c r="B660" s="28">
        <v>18562.75</v>
      </c>
      <c r="C660" s="28">
        <v>182.57337951660199</v>
      </c>
      <c r="D660" s="29">
        <f t="shared" si="20"/>
        <v>8.0841697151983263E-4</v>
      </c>
      <c r="E660" s="29">
        <f t="shared" si="21"/>
        <v>2.7008413120687092E-3</v>
      </c>
    </row>
    <row r="661" spans="1:5" ht="14.25" customHeight="1" x14ac:dyDescent="0.3">
      <c r="A661" s="27">
        <v>44894</v>
      </c>
      <c r="B661" s="28">
        <v>18618.05078125</v>
      </c>
      <c r="C661" s="28">
        <v>182.77000427246099</v>
      </c>
      <c r="D661" s="29">
        <f t="shared" si="20"/>
        <v>1.0769628977653108E-3</v>
      </c>
      <c r="E661" s="29">
        <f t="shared" si="21"/>
        <v>2.9791265437502526E-3</v>
      </c>
    </row>
    <row r="662" spans="1:5" ht="14.25" customHeight="1" x14ac:dyDescent="0.3">
      <c r="A662" s="27">
        <v>44895</v>
      </c>
      <c r="B662" s="28">
        <v>18758.349609375</v>
      </c>
      <c r="C662" s="28">
        <v>185.67034912109401</v>
      </c>
      <c r="D662" s="29">
        <f t="shared" si="20"/>
        <v>1.5868823006150265E-2</v>
      </c>
      <c r="E662" s="29">
        <f t="shared" si="21"/>
        <v>7.5356346254191742E-3</v>
      </c>
    </row>
    <row r="663" spans="1:5" ht="14.25" customHeight="1" x14ac:dyDescent="0.3">
      <c r="A663" s="27">
        <v>44896</v>
      </c>
      <c r="B663" s="28">
        <v>18812.5</v>
      </c>
      <c r="C663" s="28">
        <v>185.08044433593801</v>
      </c>
      <c r="D663" s="29">
        <f t="shared" si="20"/>
        <v>-3.1771620398648517E-3</v>
      </c>
      <c r="E663" s="29">
        <f t="shared" si="21"/>
        <v>2.8867353340049093E-3</v>
      </c>
    </row>
    <row r="664" spans="1:5" ht="14.25" customHeight="1" x14ac:dyDescent="0.3">
      <c r="A664" s="27">
        <v>44897</v>
      </c>
      <c r="B664" s="28">
        <v>18696.099609375</v>
      </c>
      <c r="C664" s="28">
        <v>187.390869140625</v>
      </c>
      <c r="D664" s="29">
        <f t="shared" si="20"/>
        <v>1.2483354537950834E-2</v>
      </c>
      <c r="E664" s="29">
        <f t="shared" si="21"/>
        <v>-6.1873961794019936E-3</v>
      </c>
    </row>
    <row r="665" spans="1:5" ht="14.25" customHeight="1" x14ac:dyDescent="0.3">
      <c r="A665" s="27">
        <v>44900</v>
      </c>
      <c r="B665" s="28">
        <v>18701.05078125</v>
      </c>
      <c r="C665" s="28">
        <v>188.37403869628901</v>
      </c>
      <c r="D665" s="29">
        <f t="shared" si="20"/>
        <v>5.2466246630522807E-3</v>
      </c>
      <c r="E665" s="29">
        <f t="shared" si="21"/>
        <v>2.6482378562624241E-4</v>
      </c>
    </row>
    <row r="666" spans="1:5" ht="14.25" customHeight="1" x14ac:dyDescent="0.3">
      <c r="A666" s="27">
        <v>44901</v>
      </c>
      <c r="B666" s="28">
        <v>18642.75</v>
      </c>
      <c r="C666" s="28">
        <v>188.42318725585901</v>
      </c>
      <c r="D666" s="29">
        <f t="shared" si="20"/>
        <v>2.6090941145685641E-4</v>
      </c>
      <c r="E666" s="29">
        <f t="shared" si="21"/>
        <v>-3.1175136590962781E-3</v>
      </c>
    </row>
    <row r="667" spans="1:5" ht="14.25" customHeight="1" x14ac:dyDescent="0.3">
      <c r="A667" s="27">
        <v>44902</v>
      </c>
      <c r="B667" s="28">
        <v>18560.5</v>
      </c>
      <c r="C667" s="28">
        <v>187.390869140625</v>
      </c>
      <c r="D667" s="29">
        <f t="shared" si="20"/>
        <v>-5.4787212246453793E-3</v>
      </c>
      <c r="E667" s="29">
        <f t="shared" si="21"/>
        <v>-4.4119027503989484E-3</v>
      </c>
    </row>
    <row r="668" spans="1:5" ht="14.25" customHeight="1" x14ac:dyDescent="0.3">
      <c r="A668" s="27">
        <v>44903</v>
      </c>
      <c r="B668" s="28">
        <v>18609.349609375</v>
      </c>
      <c r="C668" s="28">
        <v>189.79962158203099</v>
      </c>
      <c r="D668" s="29">
        <f t="shared" si="20"/>
        <v>1.2854161211015985E-2</v>
      </c>
      <c r="E668" s="29">
        <f t="shared" si="21"/>
        <v>2.6319123609277765E-3</v>
      </c>
    </row>
    <row r="669" spans="1:5" ht="14.25" customHeight="1" x14ac:dyDescent="0.3">
      <c r="A669" s="27">
        <v>44904</v>
      </c>
      <c r="B669" s="28">
        <v>18496.599609375</v>
      </c>
      <c r="C669" s="28">
        <v>188.22654724121099</v>
      </c>
      <c r="D669" s="29">
        <f t="shared" si="20"/>
        <v>-8.2880794371875E-3</v>
      </c>
      <c r="E669" s="29">
        <f t="shared" si="21"/>
        <v>-6.058782405979353E-3</v>
      </c>
    </row>
    <row r="670" spans="1:5" ht="14.25" customHeight="1" x14ac:dyDescent="0.3">
      <c r="A670" s="27">
        <v>44907</v>
      </c>
      <c r="B670" s="28">
        <v>18497.150390625</v>
      </c>
      <c r="C670" s="28">
        <v>187.98075866699199</v>
      </c>
      <c r="D670" s="29">
        <f t="shared" si="20"/>
        <v>-1.3058124787468446E-3</v>
      </c>
      <c r="E670" s="29">
        <f t="shared" si="21"/>
        <v>2.9777432697458433E-5</v>
      </c>
    </row>
    <row r="671" spans="1:5" ht="14.25" customHeight="1" x14ac:dyDescent="0.3">
      <c r="A671" s="27">
        <v>44908</v>
      </c>
      <c r="B671" s="28">
        <v>18608</v>
      </c>
      <c r="C671" s="28">
        <v>188.91477966308599</v>
      </c>
      <c r="D671" s="29">
        <f t="shared" si="20"/>
        <v>4.9687053223815558E-3</v>
      </c>
      <c r="E671" s="29">
        <f t="shared" si="21"/>
        <v>5.9927938646799584E-3</v>
      </c>
    </row>
    <row r="672" spans="1:5" ht="14.25" customHeight="1" x14ac:dyDescent="0.3">
      <c r="A672" s="27">
        <v>44909</v>
      </c>
      <c r="B672" s="28">
        <v>18660.30078125</v>
      </c>
      <c r="C672" s="28">
        <v>188.81646728515599</v>
      </c>
      <c r="D672" s="29">
        <f t="shared" si="20"/>
        <v>-5.2040596350022051E-4</v>
      </c>
      <c r="E672" s="29">
        <f t="shared" si="21"/>
        <v>2.8106610731943251E-3</v>
      </c>
    </row>
    <row r="673" spans="1:5" ht="14.25" customHeight="1" x14ac:dyDescent="0.3">
      <c r="A673" s="27">
        <v>44910</v>
      </c>
      <c r="B673" s="28">
        <v>18414.900390625</v>
      </c>
      <c r="C673" s="28">
        <v>187.83329772949199</v>
      </c>
      <c r="D673" s="29">
        <f t="shared" si="20"/>
        <v>-5.2070117071896863E-3</v>
      </c>
      <c r="E673" s="29">
        <f t="shared" si="21"/>
        <v>-1.3150934355333651E-2</v>
      </c>
    </row>
    <row r="674" spans="1:5" ht="14.25" customHeight="1" x14ac:dyDescent="0.3">
      <c r="A674" s="27">
        <v>44911</v>
      </c>
      <c r="B674" s="28">
        <v>18269</v>
      </c>
      <c r="C674" s="28">
        <v>186.35855102539099</v>
      </c>
      <c r="D674" s="29">
        <f t="shared" si="20"/>
        <v>-7.8513592740348387E-3</v>
      </c>
      <c r="E674" s="29">
        <f t="shared" si="21"/>
        <v>-7.9229530179418008E-3</v>
      </c>
    </row>
    <row r="675" spans="1:5" ht="14.25" customHeight="1" x14ac:dyDescent="0.3">
      <c r="A675" s="27">
        <v>44914</v>
      </c>
      <c r="B675" s="28">
        <v>18420.44921875</v>
      </c>
      <c r="C675" s="28">
        <v>186.99761962890599</v>
      </c>
      <c r="D675" s="29">
        <f t="shared" si="20"/>
        <v>3.4292421785782606E-3</v>
      </c>
      <c r="E675" s="29">
        <f t="shared" si="21"/>
        <v>8.2899566889265974E-3</v>
      </c>
    </row>
    <row r="676" spans="1:5" ht="14.25" customHeight="1" x14ac:dyDescent="0.3">
      <c r="A676" s="27">
        <v>44915</v>
      </c>
      <c r="B676" s="28">
        <v>18385.30078125</v>
      </c>
      <c r="C676" s="28">
        <v>187.292556762695</v>
      </c>
      <c r="D676" s="29">
        <f t="shared" si="20"/>
        <v>1.5772240008953271E-3</v>
      </c>
      <c r="E676" s="29">
        <f t="shared" si="21"/>
        <v>-1.9081205394395452E-3</v>
      </c>
    </row>
    <row r="677" spans="1:5" ht="14.25" customHeight="1" x14ac:dyDescent="0.3">
      <c r="A677" s="27">
        <v>44916</v>
      </c>
      <c r="B677" s="28">
        <v>18199.099609375</v>
      </c>
      <c r="C677" s="28">
        <v>183.998947143555</v>
      </c>
      <c r="D677" s="29">
        <f t="shared" si="20"/>
        <v>-1.7585373792046083E-2</v>
      </c>
      <c r="E677" s="29">
        <f t="shared" si="21"/>
        <v>-1.012771964355866E-2</v>
      </c>
    </row>
    <row r="678" spans="1:5" ht="14.25" customHeight="1" x14ac:dyDescent="0.3">
      <c r="A678" s="27">
        <v>44917</v>
      </c>
      <c r="B678" s="28">
        <v>18127.349609375</v>
      </c>
      <c r="C678" s="28">
        <v>180.80368041992199</v>
      </c>
      <c r="D678" s="29">
        <f t="shared" si="20"/>
        <v>-1.7365679386959109E-2</v>
      </c>
      <c r="E678" s="29">
        <f t="shared" si="21"/>
        <v>-3.9425027358517802E-3</v>
      </c>
    </row>
    <row r="679" spans="1:5" ht="14.25" customHeight="1" x14ac:dyDescent="0.3">
      <c r="A679" s="27">
        <v>44918</v>
      </c>
      <c r="B679" s="28">
        <v>17806.80078125</v>
      </c>
      <c r="C679" s="28">
        <v>174.36398315429699</v>
      </c>
      <c r="D679" s="29">
        <f t="shared" si="20"/>
        <v>-3.5617069578830526E-2</v>
      </c>
      <c r="E679" s="29">
        <f t="shared" si="21"/>
        <v>-1.7683160254117921E-2</v>
      </c>
    </row>
    <row r="680" spans="1:5" ht="14.25" customHeight="1" x14ac:dyDescent="0.3">
      <c r="A680" s="27">
        <v>44921</v>
      </c>
      <c r="B680" s="28">
        <v>18014.599609375</v>
      </c>
      <c r="C680" s="28">
        <v>177.65754699707</v>
      </c>
      <c r="D680" s="29">
        <f t="shared" si="20"/>
        <v>1.8889014710443342E-2</v>
      </c>
      <c r="E680" s="29">
        <f t="shared" si="21"/>
        <v>1.1669632893506936E-2</v>
      </c>
    </row>
    <row r="681" spans="1:5" ht="14.25" customHeight="1" x14ac:dyDescent="0.3">
      <c r="A681" s="27">
        <v>44922</v>
      </c>
      <c r="B681" s="28">
        <v>18132.30078125</v>
      </c>
      <c r="C681" s="28">
        <v>174.953857421875</v>
      </c>
      <c r="D681" s="29">
        <f t="shared" si="20"/>
        <v>-1.521854613493898E-2</v>
      </c>
      <c r="E681" s="29">
        <f t="shared" si="21"/>
        <v>6.533654614990554E-3</v>
      </c>
    </row>
    <row r="682" spans="1:5" ht="14.25" customHeight="1" x14ac:dyDescent="0.3">
      <c r="A682" s="27">
        <v>44923</v>
      </c>
      <c r="B682" s="28">
        <v>18122.5</v>
      </c>
      <c r="C682" s="28">
        <v>174.90469360351599</v>
      </c>
      <c r="D682" s="29">
        <f t="shared" si="20"/>
        <v>-2.8101019939477152E-4</v>
      </c>
      <c r="E682" s="29">
        <f t="shared" si="21"/>
        <v>-5.405150382313676E-4</v>
      </c>
    </row>
    <row r="683" spans="1:5" ht="14.25" customHeight="1" x14ac:dyDescent="0.3">
      <c r="A683" s="27">
        <v>44924</v>
      </c>
      <c r="B683" s="28">
        <v>18191</v>
      </c>
      <c r="C683" s="28">
        <v>174.21649169921901</v>
      </c>
      <c r="D683" s="29">
        <f t="shared" si="20"/>
        <v>-3.9347251930073662E-3</v>
      </c>
      <c r="E683" s="29">
        <f t="shared" si="21"/>
        <v>3.7798317009242652E-3</v>
      </c>
    </row>
    <row r="684" spans="1:5" ht="14.25" customHeight="1" x14ac:dyDescent="0.3">
      <c r="A684" s="27">
        <v>44925</v>
      </c>
      <c r="B684" s="28">
        <v>18105.30078125</v>
      </c>
      <c r="C684" s="28">
        <v>177.21513366699199</v>
      </c>
      <c r="D684" s="29">
        <f t="shared" si="20"/>
        <v>1.7212159070164684E-2</v>
      </c>
      <c r="E684" s="29">
        <f t="shared" si="21"/>
        <v>-4.7110779368918698E-3</v>
      </c>
    </row>
    <row r="685" spans="1:5" ht="14.25" customHeight="1" x14ac:dyDescent="0.3">
      <c r="A685" s="27">
        <v>44928</v>
      </c>
      <c r="B685" s="28">
        <v>18197.44921875</v>
      </c>
      <c r="C685" s="28">
        <v>178.345779418945</v>
      </c>
      <c r="D685" s="29">
        <f t="shared" si="20"/>
        <v>6.3800744809843794E-3</v>
      </c>
      <c r="E685" s="29">
        <f t="shared" si="21"/>
        <v>5.0895833553579895E-3</v>
      </c>
    </row>
    <row r="686" spans="1:5" ht="14.25" customHeight="1" x14ac:dyDescent="0.3">
      <c r="A686" s="27">
        <v>44929</v>
      </c>
      <c r="B686" s="28">
        <v>18232.55078125</v>
      </c>
      <c r="C686" s="28">
        <v>177.85418701171901</v>
      </c>
      <c r="D686" s="29">
        <f t="shared" si="20"/>
        <v>-2.7564005653938906E-3</v>
      </c>
      <c r="E686" s="29">
        <f t="shared" si="21"/>
        <v>1.928927624858137E-3</v>
      </c>
    </row>
    <row r="687" spans="1:5" ht="14.25" customHeight="1" x14ac:dyDescent="0.3">
      <c r="A687" s="27">
        <v>44930</v>
      </c>
      <c r="B687" s="28">
        <v>18042.94921875</v>
      </c>
      <c r="C687" s="28">
        <v>176.18281555175801</v>
      </c>
      <c r="D687" s="29">
        <f t="shared" si="20"/>
        <v>-9.3974254305908798E-3</v>
      </c>
      <c r="E687" s="29">
        <f t="shared" si="21"/>
        <v>-1.0399069487028801E-2</v>
      </c>
    </row>
    <row r="688" spans="1:5" ht="14.25" customHeight="1" x14ac:dyDescent="0.3">
      <c r="A688" s="27">
        <v>44931</v>
      </c>
      <c r="B688" s="28">
        <v>17992.150390625</v>
      </c>
      <c r="C688" s="28">
        <v>177.55923461914099</v>
      </c>
      <c r="D688" s="29">
        <f t="shared" si="20"/>
        <v>7.8124479000542838E-3</v>
      </c>
      <c r="E688" s="29">
        <f t="shared" si="21"/>
        <v>-2.8154392892826255E-3</v>
      </c>
    </row>
    <row r="689" spans="1:5" ht="14.25" customHeight="1" x14ac:dyDescent="0.3">
      <c r="A689" s="27">
        <v>44932</v>
      </c>
      <c r="B689" s="28">
        <v>17859.44921875</v>
      </c>
      <c r="C689" s="28">
        <v>175.39627075195301</v>
      </c>
      <c r="D689" s="29">
        <f t="shared" si="20"/>
        <v>-1.2181646715404429E-2</v>
      </c>
      <c r="E689" s="29">
        <f t="shared" si="21"/>
        <v>-7.3755037054462009E-3</v>
      </c>
    </row>
    <row r="690" spans="1:5" ht="14.25" customHeight="1" x14ac:dyDescent="0.3">
      <c r="A690" s="27">
        <v>44935</v>
      </c>
      <c r="B690" s="28">
        <v>18101.19921875</v>
      </c>
      <c r="C690" s="28">
        <v>177.75587463378901</v>
      </c>
      <c r="D690" s="29">
        <f t="shared" si="20"/>
        <v>1.3452987750081457E-2</v>
      </c>
      <c r="E690" s="29">
        <f t="shared" si="21"/>
        <v>1.3536251708490276E-2</v>
      </c>
    </row>
    <row r="691" spans="1:5" ht="14.25" customHeight="1" x14ac:dyDescent="0.3">
      <c r="A691" s="27">
        <v>44936</v>
      </c>
      <c r="B691" s="28">
        <v>17914.150390625</v>
      </c>
      <c r="C691" s="28">
        <v>177.95251464843801</v>
      </c>
      <c r="D691" s="29">
        <f t="shared" si="20"/>
        <v>1.1062363764580037E-3</v>
      </c>
      <c r="E691" s="29">
        <f t="shared" si="21"/>
        <v>-1.0333504750958532E-2</v>
      </c>
    </row>
    <row r="692" spans="1:5" ht="14.25" customHeight="1" x14ac:dyDescent="0.3">
      <c r="A692" s="27">
        <v>44937</v>
      </c>
      <c r="B692" s="28">
        <v>17895.69921875</v>
      </c>
      <c r="C692" s="28">
        <v>179.91882324218801</v>
      </c>
      <c r="D692" s="29">
        <f t="shared" si="20"/>
        <v>1.1049625219596522E-2</v>
      </c>
      <c r="E692" s="29">
        <f t="shared" si="21"/>
        <v>-1.0299775022909285E-3</v>
      </c>
    </row>
    <row r="693" spans="1:5" ht="14.25" customHeight="1" x14ac:dyDescent="0.3">
      <c r="A693" s="27">
        <v>44938</v>
      </c>
      <c r="B693" s="28">
        <v>17858.19921875</v>
      </c>
      <c r="C693" s="28">
        <v>179.57470703125</v>
      </c>
      <c r="D693" s="29">
        <f t="shared" si="20"/>
        <v>-1.912619284280212E-3</v>
      </c>
      <c r="E693" s="29">
        <f t="shared" si="21"/>
        <v>-2.0954755408891671E-3</v>
      </c>
    </row>
    <row r="694" spans="1:5" ht="14.25" customHeight="1" x14ac:dyDescent="0.3">
      <c r="A694" s="27">
        <v>44939</v>
      </c>
      <c r="B694" s="28">
        <v>17956.599609375</v>
      </c>
      <c r="C694" s="28">
        <v>179.96798706054699</v>
      </c>
      <c r="D694" s="29">
        <f t="shared" si="20"/>
        <v>2.1900635997058829E-3</v>
      </c>
      <c r="E694" s="29">
        <f t="shared" si="21"/>
        <v>5.5100959183883276E-3</v>
      </c>
    </row>
    <row r="695" spans="1:5" ht="14.25" customHeight="1" x14ac:dyDescent="0.3">
      <c r="A695" s="27">
        <v>44942</v>
      </c>
      <c r="B695" s="28">
        <v>17894.849609375</v>
      </c>
      <c r="C695" s="28">
        <v>179.96798706054699</v>
      </c>
      <c r="D695" s="29">
        <f t="shared" si="20"/>
        <v>0</v>
      </c>
      <c r="E695" s="29">
        <f t="shared" si="21"/>
        <v>-3.4388470725693972E-3</v>
      </c>
    </row>
    <row r="696" spans="1:5" ht="14.25" customHeight="1" x14ac:dyDescent="0.3">
      <c r="A696" s="27">
        <v>44943</v>
      </c>
      <c r="B696" s="28">
        <v>18053.30078125</v>
      </c>
      <c r="C696" s="28">
        <v>181.14778137207</v>
      </c>
      <c r="D696" s="29">
        <f t="shared" si="20"/>
        <v>6.5555787492699502E-3</v>
      </c>
      <c r="E696" s="29">
        <f t="shared" si="21"/>
        <v>8.854568511824118E-3</v>
      </c>
    </row>
    <row r="697" spans="1:5" ht="14.25" customHeight="1" x14ac:dyDescent="0.3">
      <c r="A697" s="27">
        <v>44944</v>
      </c>
      <c r="B697" s="28">
        <v>18165.349609375</v>
      </c>
      <c r="C697" s="28">
        <v>181.88516235351599</v>
      </c>
      <c r="D697" s="29">
        <f t="shared" si="20"/>
        <v>4.0706045410042573E-3</v>
      </c>
      <c r="E697" s="29">
        <f t="shared" si="21"/>
        <v>6.2065563235601173E-3</v>
      </c>
    </row>
    <row r="698" spans="1:5" ht="14.25" customHeight="1" x14ac:dyDescent="0.3">
      <c r="A698" s="27">
        <v>44945</v>
      </c>
      <c r="B698" s="28">
        <v>18107.849609375</v>
      </c>
      <c r="C698" s="28">
        <v>186.30938720703099</v>
      </c>
      <c r="D698" s="29">
        <f t="shared" si="20"/>
        <v>2.4324275802750633E-2</v>
      </c>
      <c r="E698" s="29">
        <f t="shared" si="21"/>
        <v>-3.1653670992560848E-3</v>
      </c>
    </row>
    <row r="699" spans="1:5" ht="14.25" customHeight="1" x14ac:dyDescent="0.3">
      <c r="A699" s="27">
        <v>44946</v>
      </c>
      <c r="B699" s="28">
        <v>18027.650390625</v>
      </c>
      <c r="C699" s="28">
        <v>183.35990905761699</v>
      </c>
      <c r="D699" s="29">
        <f t="shared" si="20"/>
        <v>-1.5831076434900632E-2</v>
      </c>
      <c r="E699" s="29">
        <f t="shared" si="21"/>
        <v>-4.4289753051891022E-3</v>
      </c>
    </row>
    <row r="700" spans="1:5" ht="14.25" customHeight="1" x14ac:dyDescent="0.3">
      <c r="A700" s="27">
        <v>44949</v>
      </c>
      <c r="B700" s="28">
        <v>18118.55078125</v>
      </c>
      <c r="C700" s="28">
        <v>181.14778137207</v>
      </c>
      <c r="D700" s="29">
        <f t="shared" si="20"/>
        <v>-1.2064402174479015E-2</v>
      </c>
      <c r="E700" s="29">
        <f t="shared" si="21"/>
        <v>5.042276095628709E-3</v>
      </c>
    </row>
    <row r="701" spans="1:5" ht="14.25" customHeight="1" x14ac:dyDescent="0.3">
      <c r="A701" s="27">
        <v>44950</v>
      </c>
      <c r="B701" s="28">
        <v>18118.30078125</v>
      </c>
      <c r="C701" s="28">
        <v>180.50874328613301</v>
      </c>
      <c r="D701" s="29">
        <f t="shared" si="20"/>
        <v>-3.5277168789852897E-3</v>
      </c>
      <c r="E701" s="29">
        <f t="shared" si="21"/>
        <v>-1.3798013043003017E-5</v>
      </c>
    </row>
    <row r="702" spans="1:5" ht="14.25" customHeight="1" x14ac:dyDescent="0.3">
      <c r="A702" s="27">
        <v>44951</v>
      </c>
      <c r="B702" s="28">
        <v>17891.94921875</v>
      </c>
      <c r="C702" s="28">
        <v>179.13230895996099</v>
      </c>
      <c r="D702" s="29">
        <f t="shared" si="20"/>
        <v>-7.6253055730944042E-3</v>
      </c>
      <c r="E702" s="29">
        <f t="shared" si="21"/>
        <v>-1.2492979625012262E-2</v>
      </c>
    </row>
    <row r="703" spans="1:5" ht="14.25" customHeight="1" x14ac:dyDescent="0.3">
      <c r="A703" s="27">
        <v>44953</v>
      </c>
      <c r="B703" s="28">
        <v>17604.349609375</v>
      </c>
      <c r="C703" s="28">
        <v>180.11546325683599</v>
      </c>
      <c r="D703" s="29">
        <f t="shared" si="20"/>
        <v>5.4884253018518906E-3</v>
      </c>
      <c r="E703" s="29">
        <f t="shared" si="21"/>
        <v>-1.6074246906178778E-2</v>
      </c>
    </row>
    <row r="704" spans="1:5" ht="14.25" customHeight="1" x14ac:dyDescent="0.3">
      <c r="A704" s="27">
        <v>44956</v>
      </c>
      <c r="B704" s="28">
        <v>17648.94921875</v>
      </c>
      <c r="C704" s="28">
        <v>173.47911071777301</v>
      </c>
      <c r="D704" s="29">
        <f t="shared" si="20"/>
        <v>-3.6844990535875664E-2</v>
      </c>
      <c r="E704" s="29">
        <f t="shared" si="21"/>
        <v>2.5334426073456854E-3</v>
      </c>
    </row>
    <row r="705" spans="1:5" ht="14.25" customHeight="1" x14ac:dyDescent="0.3">
      <c r="A705" s="27">
        <v>44957</v>
      </c>
      <c r="B705" s="28">
        <v>17662.150390625</v>
      </c>
      <c r="C705" s="28">
        <v>177.80503845214801</v>
      </c>
      <c r="D705" s="29">
        <f t="shared" si="20"/>
        <v>2.4936303376679729E-2</v>
      </c>
      <c r="E705" s="29">
        <f t="shared" si="21"/>
        <v>7.4798628016761802E-4</v>
      </c>
    </row>
    <row r="706" spans="1:5" ht="14.25" customHeight="1" x14ac:dyDescent="0.3">
      <c r="A706" s="27">
        <v>44958</v>
      </c>
      <c r="B706" s="28">
        <v>17616.30078125</v>
      </c>
      <c r="C706" s="28">
        <v>179.37809753418</v>
      </c>
      <c r="D706" s="29">
        <f t="shared" si="20"/>
        <v>8.8471007105647356E-3</v>
      </c>
      <c r="E706" s="29">
        <f t="shared" si="21"/>
        <v>-2.5959245256645981E-3</v>
      </c>
    </row>
    <row r="707" spans="1:5" ht="14.25" customHeight="1" x14ac:dyDescent="0.3">
      <c r="A707" s="27">
        <v>44959</v>
      </c>
      <c r="B707" s="28">
        <v>17610.400390625</v>
      </c>
      <c r="C707" s="28">
        <v>177.65754699707</v>
      </c>
      <c r="D707" s="29">
        <f t="shared" ref="D707:D770" si="22">(C707-C706)/C706</f>
        <v>-9.5917537356095227E-3</v>
      </c>
      <c r="E707" s="29">
        <f t="shared" ref="E707:E770" si="23">(B707-B706)/B706</f>
        <v>-3.3493925304000889E-4</v>
      </c>
    </row>
    <row r="708" spans="1:5" ht="14.25" customHeight="1" x14ac:dyDescent="0.3">
      <c r="A708" s="27">
        <v>44960</v>
      </c>
      <c r="B708" s="28">
        <v>17854.05078125</v>
      </c>
      <c r="C708" s="28">
        <v>177.16598510742199</v>
      </c>
      <c r="D708" s="29">
        <f t="shared" si="22"/>
        <v>-2.7669068832528584E-3</v>
      </c>
      <c r="E708" s="29">
        <f t="shared" si="23"/>
        <v>1.3835596307890234E-2</v>
      </c>
    </row>
    <row r="709" spans="1:5" ht="14.25" customHeight="1" x14ac:dyDescent="0.3">
      <c r="A709" s="27">
        <v>44963</v>
      </c>
      <c r="B709" s="28">
        <v>17764.599609375</v>
      </c>
      <c r="C709" s="28">
        <v>179.23062133789099</v>
      </c>
      <c r="D709" s="29">
        <f t="shared" si="22"/>
        <v>1.1653683009281629E-2</v>
      </c>
      <c r="E709" s="29">
        <f t="shared" si="23"/>
        <v>-5.0101331608701366E-3</v>
      </c>
    </row>
    <row r="710" spans="1:5" ht="14.25" customHeight="1" x14ac:dyDescent="0.3">
      <c r="A710" s="27">
        <v>44964</v>
      </c>
      <c r="B710" s="28">
        <v>17721.5</v>
      </c>
      <c r="C710" s="28">
        <v>174.75723266601599</v>
      </c>
      <c r="D710" s="29">
        <f t="shared" si="22"/>
        <v>-2.4958841510913654E-2</v>
      </c>
      <c r="E710" s="29">
        <f t="shared" si="23"/>
        <v>-2.4261514654264895E-3</v>
      </c>
    </row>
    <row r="711" spans="1:5" ht="14.25" customHeight="1" x14ac:dyDescent="0.3">
      <c r="A711" s="27">
        <v>44965</v>
      </c>
      <c r="B711" s="28">
        <v>17871.69921875</v>
      </c>
      <c r="C711" s="28">
        <v>175.83871459960901</v>
      </c>
      <c r="D711" s="29">
        <f t="shared" si="22"/>
        <v>6.1884816845312772E-3</v>
      </c>
      <c r="E711" s="29">
        <f t="shared" si="23"/>
        <v>8.4755364246818839E-3</v>
      </c>
    </row>
    <row r="712" spans="1:5" ht="14.25" customHeight="1" x14ac:dyDescent="0.3">
      <c r="A712" s="27">
        <v>44966</v>
      </c>
      <c r="B712" s="28">
        <v>17893.44921875</v>
      </c>
      <c r="C712" s="28">
        <v>176.72357177734401</v>
      </c>
      <c r="D712" s="29">
        <f t="shared" si="22"/>
        <v>5.032209088594918E-3</v>
      </c>
      <c r="E712" s="29">
        <f t="shared" si="23"/>
        <v>1.2170079483645908E-3</v>
      </c>
    </row>
    <row r="713" spans="1:5" ht="14.25" customHeight="1" x14ac:dyDescent="0.3">
      <c r="A713" s="27">
        <v>44967</v>
      </c>
      <c r="B713" s="28">
        <v>17856.5</v>
      </c>
      <c r="C713" s="28">
        <v>176.82186889648401</v>
      </c>
      <c r="D713" s="29">
        <f t="shared" si="22"/>
        <v>5.5621962679571325E-4</v>
      </c>
      <c r="E713" s="29">
        <f t="shared" si="23"/>
        <v>-2.0649578680046795E-3</v>
      </c>
    </row>
    <row r="714" spans="1:5" ht="14.25" customHeight="1" x14ac:dyDescent="0.3">
      <c r="A714" s="27">
        <v>44970</v>
      </c>
      <c r="B714" s="28">
        <v>17770.900390625</v>
      </c>
      <c r="C714" s="28">
        <v>176.96934509277301</v>
      </c>
      <c r="D714" s="29">
        <f t="shared" si="22"/>
        <v>8.3403821715820651E-4</v>
      </c>
      <c r="E714" s="29">
        <f t="shared" si="23"/>
        <v>-4.7937507000252013E-3</v>
      </c>
    </row>
    <row r="715" spans="1:5" ht="14.25" customHeight="1" x14ac:dyDescent="0.3">
      <c r="A715" s="27">
        <v>44971</v>
      </c>
      <c r="B715" s="28">
        <v>17929.849609375</v>
      </c>
      <c r="C715" s="28">
        <v>178.14913940429699</v>
      </c>
      <c r="D715" s="29">
        <f t="shared" si="22"/>
        <v>6.6666591940287255E-3</v>
      </c>
      <c r="E715" s="29">
        <f t="shared" si="23"/>
        <v>8.944353704995911E-3</v>
      </c>
    </row>
    <row r="716" spans="1:5" ht="14.25" customHeight="1" x14ac:dyDescent="0.3">
      <c r="A716" s="27">
        <v>44972</v>
      </c>
      <c r="B716" s="28">
        <v>18015.849609375</v>
      </c>
      <c r="C716" s="28">
        <v>178.345779418945</v>
      </c>
      <c r="D716" s="29">
        <f t="shared" si="22"/>
        <v>1.1037943562654572E-3</v>
      </c>
      <c r="E716" s="29">
        <f t="shared" si="23"/>
        <v>4.796470794436172E-3</v>
      </c>
    </row>
    <row r="717" spans="1:5" ht="14.25" customHeight="1" x14ac:dyDescent="0.3">
      <c r="A717" s="27">
        <v>44973</v>
      </c>
      <c r="B717" s="28">
        <v>18035.849609375</v>
      </c>
      <c r="C717" s="28">
        <v>178.83735656738301</v>
      </c>
      <c r="D717" s="29">
        <f t="shared" si="22"/>
        <v>2.7563150080679353E-3</v>
      </c>
      <c r="E717" s="29">
        <f t="shared" si="23"/>
        <v>1.110133600892877E-3</v>
      </c>
    </row>
    <row r="718" spans="1:5" ht="14.25" customHeight="1" x14ac:dyDescent="0.3">
      <c r="A718" s="27">
        <v>44974</v>
      </c>
      <c r="B718" s="28">
        <v>17944.19921875</v>
      </c>
      <c r="C718" s="28">
        <v>177.70671081543</v>
      </c>
      <c r="D718" s="29">
        <f t="shared" si="22"/>
        <v>-6.3222012092702925E-3</v>
      </c>
      <c r="E718" s="29">
        <f t="shared" si="23"/>
        <v>-5.0815676893513411E-3</v>
      </c>
    </row>
    <row r="719" spans="1:5" ht="14.25" customHeight="1" x14ac:dyDescent="0.3">
      <c r="A719" s="27">
        <v>44977</v>
      </c>
      <c r="B719" s="28">
        <v>17844.599609375</v>
      </c>
      <c r="C719" s="28">
        <v>175.59291076660199</v>
      </c>
      <c r="D719" s="29">
        <f t="shared" si="22"/>
        <v>-1.1894880272830267E-2</v>
      </c>
      <c r="E719" s="29">
        <f t="shared" si="23"/>
        <v>-5.5505184801408012E-3</v>
      </c>
    </row>
    <row r="720" spans="1:5" ht="14.25" customHeight="1" x14ac:dyDescent="0.3">
      <c r="A720" s="27">
        <v>44978</v>
      </c>
      <c r="B720" s="28">
        <v>17826.69921875</v>
      </c>
      <c r="C720" s="28">
        <v>174.51144409179699</v>
      </c>
      <c r="D720" s="29">
        <f t="shared" si="22"/>
        <v>-6.1589426935492013E-3</v>
      </c>
      <c r="E720" s="29">
        <f t="shared" si="23"/>
        <v>-1.0031264929920697E-3</v>
      </c>
    </row>
    <row r="721" spans="1:5" ht="14.25" customHeight="1" x14ac:dyDescent="0.3">
      <c r="A721" s="27">
        <v>44979</v>
      </c>
      <c r="B721" s="28">
        <v>17554.30078125</v>
      </c>
      <c r="C721" s="28">
        <v>170.72625732421901</v>
      </c>
      <c r="D721" s="29">
        <f t="shared" si="22"/>
        <v>-2.1690192223650893E-2</v>
      </c>
      <c r="E721" s="29">
        <f t="shared" si="23"/>
        <v>-1.5280363131582609E-2</v>
      </c>
    </row>
    <row r="722" spans="1:5" ht="14.25" customHeight="1" x14ac:dyDescent="0.3">
      <c r="A722" s="27">
        <v>44980</v>
      </c>
      <c r="B722" s="28">
        <v>17511.25</v>
      </c>
      <c r="C722" s="28">
        <v>170.38217163085901</v>
      </c>
      <c r="D722" s="29">
        <f t="shared" si="22"/>
        <v>-2.0154233962182029E-3</v>
      </c>
      <c r="E722" s="29">
        <f t="shared" si="23"/>
        <v>-2.4524349779846064E-3</v>
      </c>
    </row>
    <row r="723" spans="1:5" ht="14.25" customHeight="1" x14ac:dyDescent="0.3">
      <c r="A723" s="27">
        <v>44981</v>
      </c>
      <c r="B723" s="28">
        <v>17465.80078125</v>
      </c>
      <c r="C723" s="28">
        <v>172.69258117675801</v>
      </c>
      <c r="D723" s="29">
        <f t="shared" si="22"/>
        <v>1.3560160219724261E-2</v>
      </c>
      <c r="E723" s="29">
        <f t="shared" si="23"/>
        <v>-2.5954297237490184E-3</v>
      </c>
    </row>
    <row r="724" spans="1:5" ht="14.25" customHeight="1" x14ac:dyDescent="0.3">
      <c r="A724" s="27">
        <v>44984</v>
      </c>
      <c r="B724" s="28">
        <v>17392.69921875</v>
      </c>
      <c r="C724" s="28">
        <v>170.52963256835901</v>
      </c>
      <c r="D724" s="29">
        <f t="shared" si="22"/>
        <v>-1.2524849612301171E-2</v>
      </c>
      <c r="E724" s="29">
        <f t="shared" si="23"/>
        <v>-4.1854114458053631E-3</v>
      </c>
    </row>
    <row r="725" spans="1:5" ht="14.25" customHeight="1" x14ac:dyDescent="0.3">
      <c r="A725" s="27">
        <v>44985</v>
      </c>
      <c r="B725" s="28">
        <v>17303.94921875</v>
      </c>
      <c r="C725" s="28">
        <v>172.39765930175801</v>
      </c>
      <c r="D725" s="29">
        <f t="shared" si="22"/>
        <v>1.0954264694437686E-2</v>
      </c>
      <c r="E725" s="29">
        <f t="shared" si="23"/>
        <v>-5.1027157362857215E-3</v>
      </c>
    </row>
    <row r="726" spans="1:5" ht="14.25" customHeight="1" x14ac:dyDescent="0.3">
      <c r="A726" s="27">
        <v>44986</v>
      </c>
      <c r="B726" s="28">
        <v>17450.900390625</v>
      </c>
      <c r="C726" s="28">
        <v>175.93702697753901</v>
      </c>
      <c r="D726" s="29">
        <f t="shared" si="22"/>
        <v>2.0530253659568693E-2</v>
      </c>
      <c r="E726" s="29">
        <f t="shared" si="23"/>
        <v>8.4923487706360379E-3</v>
      </c>
    </row>
    <row r="727" spans="1:5" ht="14.25" customHeight="1" x14ac:dyDescent="0.3">
      <c r="A727" s="27">
        <v>44987</v>
      </c>
      <c r="B727" s="28">
        <v>17321.900390625</v>
      </c>
      <c r="C727" s="28">
        <v>176.72357177734401</v>
      </c>
      <c r="D727" s="29">
        <f t="shared" si="22"/>
        <v>4.470604132155844E-3</v>
      </c>
      <c r="E727" s="29">
        <f t="shared" si="23"/>
        <v>-7.3921687198043708E-3</v>
      </c>
    </row>
    <row r="728" spans="1:5" ht="14.25" customHeight="1" x14ac:dyDescent="0.3">
      <c r="A728" s="27">
        <v>44988</v>
      </c>
      <c r="B728" s="28">
        <v>17594.349609375</v>
      </c>
      <c r="C728" s="28">
        <v>177.55923461914099</v>
      </c>
      <c r="D728" s="29">
        <f t="shared" si="22"/>
        <v>4.7286439120291755E-3</v>
      </c>
      <c r="E728" s="29">
        <f t="shared" si="23"/>
        <v>1.5728598629827915E-2</v>
      </c>
    </row>
    <row r="729" spans="1:5" ht="14.25" customHeight="1" x14ac:dyDescent="0.3">
      <c r="A729" s="27">
        <v>44991</v>
      </c>
      <c r="B729" s="28">
        <v>17711.44921875</v>
      </c>
      <c r="C729" s="28">
        <v>179.32893371582</v>
      </c>
      <c r="D729" s="29">
        <f t="shared" si="22"/>
        <v>9.9668096704457788E-3</v>
      </c>
      <c r="E729" s="29">
        <f t="shared" si="23"/>
        <v>6.6555236183669141E-3</v>
      </c>
    </row>
    <row r="730" spans="1:5" ht="14.25" customHeight="1" x14ac:dyDescent="0.3">
      <c r="A730" s="27">
        <v>44993</v>
      </c>
      <c r="B730" s="28">
        <v>17754.400390625</v>
      </c>
      <c r="C730" s="28">
        <v>182.47506713867199</v>
      </c>
      <c r="D730" s="29">
        <f t="shared" si="22"/>
        <v>1.7543925331299975E-2</v>
      </c>
      <c r="E730" s="29">
        <f t="shared" si="23"/>
        <v>2.4250512391459354E-3</v>
      </c>
    </row>
    <row r="731" spans="1:5" ht="14.25" customHeight="1" x14ac:dyDescent="0.3">
      <c r="A731" s="27">
        <v>44994</v>
      </c>
      <c r="B731" s="28">
        <v>17589.599609375</v>
      </c>
      <c r="C731" s="28">
        <v>181.78683471679699</v>
      </c>
      <c r="D731" s="29">
        <f t="shared" si="22"/>
        <v>-3.7716518353270562E-3</v>
      </c>
      <c r="E731" s="29">
        <f t="shared" si="23"/>
        <v>-9.2822498999752812E-3</v>
      </c>
    </row>
    <row r="732" spans="1:5" ht="14.25" customHeight="1" x14ac:dyDescent="0.3">
      <c r="A732" s="27">
        <v>44995</v>
      </c>
      <c r="B732" s="28">
        <v>17412.900390625</v>
      </c>
      <c r="C732" s="28">
        <v>180.41041564941401</v>
      </c>
      <c r="D732" s="29">
        <f t="shared" si="22"/>
        <v>-7.5716102848002488E-3</v>
      </c>
      <c r="E732" s="29">
        <f t="shared" si="23"/>
        <v>-1.0045664635585105E-2</v>
      </c>
    </row>
    <row r="733" spans="1:5" ht="14.25" customHeight="1" x14ac:dyDescent="0.3">
      <c r="A733" s="27">
        <v>44998</v>
      </c>
      <c r="B733" s="28">
        <v>17154.30078125</v>
      </c>
      <c r="C733" s="28">
        <v>175.78955078125</v>
      </c>
      <c r="D733" s="29">
        <f t="shared" si="22"/>
        <v>-2.5613071460040254E-2</v>
      </c>
      <c r="E733" s="29">
        <f t="shared" si="23"/>
        <v>-1.4851035931626214E-2</v>
      </c>
    </row>
    <row r="734" spans="1:5" ht="14.25" customHeight="1" x14ac:dyDescent="0.3">
      <c r="A734" s="27">
        <v>44999</v>
      </c>
      <c r="B734" s="28">
        <v>17043.30078125</v>
      </c>
      <c r="C734" s="28">
        <v>173.282470703125</v>
      </c>
      <c r="D734" s="29">
        <f t="shared" si="22"/>
        <v>-1.4261826524858549E-2</v>
      </c>
      <c r="E734" s="29">
        <f t="shared" si="23"/>
        <v>-6.470680525861203E-3</v>
      </c>
    </row>
    <row r="735" spans="1:5" ht="14.25" customHeight="1" x14ac:dyDescent="0.3">
      <c r="A735" s="27">
        <v>45000</v>
      </c>
      <c r="B735" s="28">
        <v>16972.150390625</v>
      </c>
      <c r="C735" s="28">
        <v>174.51144409179699</v>
      </c>
      <c r="D735" s="29">
        <f t="shared" si="22"/>
        <v>7.092312244194157E-3</v>
      </c>
      <c r="E735" s="29">
        <f t="shared" si="23"/>
        <v>-4.1746837386848982E-3</v>
      </c>
    </row>
    <row r="736" spans="1:5" ht="14.25" customHeight="1" x14ac:dyDescent="0.3">
      <c r="A736" s="27">
        <v>45001</v>
      </c>
      <c r="B736" s="28">
        <v>16985.599609375</v>
      </c>
      <c r="C736" s="28">
        <v>173.57743835449199</v>
      </c>
      <c r="D736" s="29">
        <f t="shared" si="22"/>
        <v>-5.3521174050550624E-3</v>
      </c>
      <c r="E736" s="29">
        <f t="shared" si="23"/>
        <v>7.9242868113100259E-4</v>
      </c>
    </row>
    <row r="737" spans="1:5" ht="14.25" customHeight="1" x14ac:dyDescent="0.3">
      <c r="A737" s="27">
        <v>45002</v>
      </c>
      <c r="B737" s="28">
        <v>17100.05078125</v>
      </c>
      <c r="C737" s="28">
        <v>175.69122314453099</v>
      </c>
      <c r="D737" s="29">
        <f t="shared" si="22"/>
        <v>1.2177762329468687E-2</v>
      </c>
      <c r="E737" s="29">
        <f t="shared" si="23"/>
        <v>6.7381296219787279E-3</v>
      </c>
    </row>
    <row r="738" spans="1:5" ht="14.25" customHeight="1" x14ac:dyDescent="0.3">
      <c r="A738" s="27">
        <v>45005</v>
      </c>
      <c r="B738" s="28">
        <v>16988.400390625</v>
      </c>
      <c r="C738" s="28">
        <v>174.21649169921901</v>
      </c>
      <c r="D738" s="29">
        <f t="shared" si="22"/>
        <v>-8.3938822834582483E-3</v>
      </c>
      <c r="E738" s="29">
        <f t="shared" si="23"/>
        <v>-6.5292432199922654E-3</v>
      </c>
    </row>
    <row r="739" spans="1:5" ht="14.25" customHeight="1" x14ac:dyDescent="0.3">
      <c r="A739" s="27">
        <v>45006</v>
      </c>
      <c r="B739" s="28">
        <v>17107.5</v>
      </c>
      <c r="C739" s="28">
        <v>174.708084106445</v>
      </c>
      <c r="D739" s="29">
        <f t="shared" si="22"/>
        <v>2.821732905026682E-3</v>
      </c>
      <c r="E739" s="29">
        <f t="shared" si="23"/>
        <v>7.0106429467441077E-3</v>
      </c>
    </row>
    <row r="740" spans="1:5" ht="14.25" customHeight="1" x14ac:dyDescent="0.3">
      <c r="A740" s="27">
        <v>45007</v>
      </c>
      <c r="B740" s="28">
        <v>17151.900390625</v>
      </c>
      <c r="C740" s="28">
        <v>174.855545043945</v>
      </c>
      <c r="D740" s="29">
        <f t="shared" si="22"/>
        <v>8.4404186706183533E-4</v>
      </c>
      <c r="E740" s="29">
        <f t="shared" si="23"/>
        <v>2.5953757489405233E-3</v>
      </c>
    </row>
    <row r="741" spans="1:5" ht="14.25" customHeight="1" x14ac:dyDescent="0.3">
      <c r="A741" s="27">
        <v>45008</v>
      </c>
      <c r="B741" s="28">
        <v>17076.900390625</v>
      </c>
      <c r="C741" s="28">
        <v>174.16732788085901</v>
      </c>
      <c r="D741" s="29">
        <f t="shared" si="22"/>
        <v>-3.9359184343455075E-3</v>
      </c>
      <c r="E741" s="29">
        <f t="shared" si="23"/>
        <v>-4.3726933046436068E-3</v>
      </c>
    </row>
    <row r="742" spans="1:5" ht="14.25" customHeight="1" x14ac:dyDescent="0.3">
      <c r="A742" s="27">
        <v>45009</v>
      </c>
      <c r="B742" s="28">
        <v>16945.05078125</v>
      </c>
      <c r="C742" s="28">
        <v>172.49595642089801</v>
      </c>
      <c r="D742" s="29">
        <f t="shared" si="22"/>
        <v>-9.5963547256366789E-3</v>
      </c>
      <c r="E742" s="29">
        <f t="shared" si="23"/>
        <v>-7.7209333285906939E-3</v>
      </c>
    </row>
    <row r="743" spans="1:5" ht="14.25" customHeight="1" x14ac:dyDescent="0.3">
      <c r="A743" s="27">
        <v>45012</v>
      </c>
      <c r="B743" s="28">
        <v>16985.69921875</v>
      </c>
      <c r="C743" s="28">
        <v>169.64479064941401</v>
      </c>
      <c r="D743" s="29">
        <f t="shared" si="22"/>
        <v>-1.6528884680212623E-2</v>
      </c>
      <c r="E743" s="29">
        <f t="shared" si="23"/>
        <v>2.3988383407489234E-3</v>
      </c>
    </row>
    <row r="744" spans="1:5" ht="14.25" customHeight="1" x14ac:dyDescent="0.3">
      <c r="A744" s="27">
        <v>45013</v>
      </c>
      <c r="B744" s="28">
        <v>16951.69921875</v>
      </c>
      <c r="C744" s="28">
        <v>170.23468017578099</v>
      </c>
      <c r="D744" s="29">
        <f t="shared" si="22"/>
        <v>3.4772038923732563E-3</v>
      </c>
      <c r="E744" s="29">
        <f t="shared" si="23"/>
        <v>-2.0016838613548761E-3</v>
      </c>
    </row>
    <row r="745" spans="1:5" ht="14.25" customHeight="1" x14ac:dyDescent="0.3">
      <c r="A745" s="27">
        <v>45014</v>
      </c>
      <c r="B745" s="28">
        <v>17080.69921875</v>
      </c>
      <c r="C745" s="28">
        <v>174.06901550293</v>
      </c>
      <c r="D745" s="29">
        <f t="shared" si="22"/>
        <v>2.2523820194508819E-2</v>
      </c>
      <c r="E745" s="29">
        <f t="shared" si="23"/>
        <v>7.6098565893214518E-3</v>
      </c>
    </row>
    <row r="746" spans="1:5" ht="14.25" customHeight="1" x14ac:dyDescent="0.3">
      <c r="A746" s="27">
        <v>45016</v>
      </c>
      <c r="B746" s="28">
        <v>17359.75</v>
      </c>
      <c r="C746" s="28">
        <v>174.953857421875</v>
      </c>
      <c r="D746" s="29">
        <f t="shared" si="22"/>
        <v>5.0832821475347853E-3</v>
      </c>
      <c r="E746" s="29">
        <f t="shared" si="23"/>
        <v>1.6337198944623856E-2</v>
      </c>
    </row>
    <row r="747" spans="1:5" ht="14.25" customHeight="1" x14ac:dyDescent="0.3">
      <c r="A747" s="27">
        <v>45019</v>
      </c>
      <c r="B747" s="28">
        <v>17398.05078125</v>
      </c>
      <c r="C747" s="28">
        <v>177.26428222656301</v>
      </c>
      <c r="D747" s="29">
        <f t="shared" si="22"/>
        <v>1.3205909482274339E-2</v>
      </c>
      <c r="E747" s="29">
        <f t="shared" si="23"/>
        <v>2.2062979737611428E-3</v>
      </c>
    </row>
    <row r="748" spans="1:5" ht="14.25" customHeight="1" x14ac:dyDescent="0.3">
      <c r="A748" s="27">
        <v>45021</v>
      </c>
      <c r="B748" s="28">
        <v>17557.05078125</v>
      </c>
      <c r="C748" s="28">
        <v>177.65754699707</v>
      </c>
      <c r="D748" s="29">
        <f t="shared" si="22"/>
        <v>2.2185223417109669E-3</v>
      </c>
      <c r="E748" s="29">
        <f t="shared" si="23"/>
        <v>9.1389548173612303E-3</v>
      </c>
    </row>
    <row r="749" spans="1:5" ht="14.25" customHeight="1" x14ac:dyDescent="0.3">
      <c r="A749" s="27">
        <v>45022</v>
      </c>
      <c r="B749" s="28">
        <v>17599.150390625</v>
      </c>
      <c r="C749" s="28">
        <v>178.00166320800801</v>
      </c>
      <c r="D749" s="29">
        <f t="shared" si="22"/>
        <v>1.9369636514439035E-3</v>
      </c>
      <c r="E749" s="29">
        <f t="shared" si="23"/>
        <v>2.3978747854372074E-3</v>
      </c>
    </row>
    <row r="750" spans="1:5" ht="14.25" customHeight="1" x14ac:dyDescent="0.3">
      <c r="A750" s="27">
        <v>45026</v>
      </c>
      <c r="B750" s="28">
        <v>17624.05078125</v>
      </c>
      <c r="C750" s="28">
        <v>178.39492797851599</v>
      </c>
      <c r="D750" s="29">
        <f t="shared" si="22"/>
        <v>2.2093319996028594E-3</v>
      </c>
      <c r="E750" s="29">
        <f t="shared" si="23"/>
        <v>1.4148632219350965E-3</v>
      </c>
    </row>
    <row r="751" spans="1:5" ht="14.25" customHeight="1" x14ac:dyDescent="0.3">
      <c r="A751" s="27">
        <v>45027</v>
      </c>
      <c r="B751" s="28">
        <v>17722.30078125</v>
      </c>
      <c r="C751" s="28">
        <v>181.83599853515599</v>
      </c>
      <c r="D751" s="29">
        <f t="shared" si="22"/>
        <v>1.9289060488616616E-2</v>
      </c>
      <c r="E751" s="29">
        <f t="shared" si="23"/>
        <v>5.574768321964148E-3</v>
      </c>
    </row>
    <row r="752" spans="1:5" ht="14.25" customHeight="1" x14ac:dyDescent="0.3">
      <c r="A752" s="27">
        <v>45028</v>
      </c>
      <c r="B752" s="28">
        <v>17812.400390625</v>
      </c>
      <c r="C752" s="28">
        <v>182.18011474609401</v>
      </c>
      <c r="D752" s="29">
        <f t="shared" si="22"/>
        <v>1.8924537149418216E-3</v>
      </c>
      <c r="E752" s="29">
        <f t="shared" si="23"/>
        <v>5.0839679614468796E-3</v>
      </c>
    </row>
    <row r="753" spans="1:5" ht="14.25" customHeight="1" x14ac:dyDescent="0.3">
      <c r="A753" s="27">
        <v>45029</v>
      </c>
      <c r="B753" s="28">
        <v>17828</v>
      </c>
      <c r="C753" s="28">
        <v>182.27842712402301</v>
      </c>
      <c r="D753" s="29">
        <f t="shared" si="22"/>
        <v>5.3964384678330116E-4</v>
      </c>
      <c r="E753" s="29">
        <f t="shared" si="23"/>
        <v>8.7577244127132723E-4</v>
      </c>
    </row>
    <row r="754" spans="1:5" ht="14.25" customHeight="1" x14ac:dyDescent="0.3">
      <c r="A754" s="27">
        <v>45033</v>
      </c>
      <c r="B754" s="28">
        <v>17706.849609375</v>
      </c>
      <c r="C754" s="28">
        <v>184.93298339843801</v>
      </c>
      <c r="D754" s="29">
        <f t="shared" si="22"/>
        <v>1.4563194977586838E-2</v>
      </c>
      <c r="E754" s="29">
        <f t="shared" si="23"/>
        <v>-6.7955121508301549E-3</v>
      </c>
    </row>
    <row r="755" spans="1:5" ht="14.25" customHeight="1" x14ac:dyDescent="0.3">
      <c r="A755" s="27">
        <v>45034</v>
      </c>
      <c r="B755" s="28">
        <v>17660.150390625</v>
      </c>
      <c r="C755" s="28">
        <v>183.75315856933599</v>
      </c>
      <c r="D755" s="29">
        <f t="shared" si="22"/>
        <v>-6.3797425825337243E-3</v>
      </c>
      <c r="E755" s="29">
        <f t="shared" si="23"/>
        <v>-2.6373533282439362E-3</v>
      </c>
    </row>
    <row r="756" spans="1:5" ht="14.25" customHeight="1" x14ac:dyDescent="0.3">
      <c r="A756" s="27">
        <v>45035</v>
      </c>
      <c r="B756" s="28">
        <v>17618.75</v>
      </c>
      <c r="C756" s="28">
        <v>184.93298339843801</v>
      </c>
      <c r="D756" s="29">
        <f t="shared" si="22"/>
        <v>6.4207050278095286E-3</v>
      </c>
      <c r="E756" s="29">
        <f t="shared" si="23"/>
        <v>-2.3442830162407708E-3</v>
      </c>
    </row>
    <row r="757" spans="1:5" ht="14.25" customHeight="1" x14ac:dyDescent="0.3">
      <c r="A757" s="27">
        <v>45036</v>
      </c>
      <c r="B757" s="28">
        <v>17624.44921875</v>
      </c>
      <c r="C757" s="28">
        <v>184.88381958007801</v>
      </c>
      <c r="D757" s="29">
        <f t="shared" si="22"/>
        <v>-2.6584667297599831E-4</v>
      </c>
      <c r="E757" s="29">
        <f t="shared" si="23"/>
        <v>3.2347463639588507E-4</v>
      </c>
    </row>
    <row r="758" spans="1:5" ht="14.25" customHeight="1" x14ac:dyDescent="0.3">
      <c r="A758" s="27">
        <v>45037</v>
      </c>
      <c r="B758" s="28">
        <v>17624.05078125</v>
      </c>
      <c r="C758" s="28">
        <v>184.63801574707</v>
      </c>
      <c r="D758" s="29">
        <f t="shared" si="22"/>
        <v>-1.3295042993286246E-3</v>
      </c>
      <c r="E758" s="29">
        <f t="shared" si="23"/>
        <v>-2.2607089450268724E-5</v>
      </c>
    </row>
    <row r="759" spans="1:5" ht="14.25" customHeight="1" x14ac:dyDescent="0.3">
      <c r="A759" s="27">
        <v>45040</v>
      </c>
      <c r="B759" s="28">
        <v>17743.400390625</v>
      </c>
      <c r="C759" s="28">
        <v>185.22790527343801</v>
      </c>
      <c r="D759" s="29">
        <f t="shared" si="22"/>
        <v>3.1948432936805575E-3</v>
      </c>
      <c r="E759" s="29">
        <f t="shared" si="23"/>
        <v>6.7719737565653465E-3</v>
      </c>
    </row>
    <row r="760" spans="1:5" ht="14.25" customHeight="1" x14ac:dyDescent="0.3">
      <c r="A760" s="27">
        <v>45041</v>
      </c>
      <c r="B760" s="28">
        <v>17769.25</v>
      </c>
      <c r="C760" s="28">
        <v>187.73498535156301</v>
      </c>
      <c r="D760" s="29">
        <f t="shared" si="22"/>
        <v>1.3535110027962507E-2</v>
      </c>
      <c r="E760" s="29">
        <f t="shared" si="23"/>
        <v>1.4568576938982925E-3</v>
      </c>
    </row>
    <row r="761" spans="1:5" ht="14.25" customHeight="1" x14ac:dyDescent="0.3">
      <c r="A761" s="27">
        <v>45042</v>
      </c>
      <c r="B761" s="28">
        <v>17813.599609375</v>
      </c>
      <c r="C761" s="28">
        <v>189.01309204101599</v>
      </c>
      <c r="D761" s="29">
        <f t="shared" si="22"/>
        <v>6.8080368028342131E-3</v>
      </c>
      <c r="E761" s="29">
        <f t="shared" si="23"/>
        <v>2.495862761512163E-3</v>
      </c>
    </row>
    <row r="762" spans="1:5" ht="14.25" customHeight="1" x14ac:dyDescent="0.3">
      <c r="A762" s="27">
        <v>45043</v>
      </c>
      <c r="B762" s="28">
        <v>17915.05078125</v>
      </c>
      <c r="C762" s="28">
        <v>190.831954956055</v>
      </c>
      <c r="D762" s="29">
        <f t="shared" si="22"/>
        <v>9.6229467250041646E-3</v>
      </c>
      <c r="E762" s="29">
        <f t="shared" si="23"/>
        <v>5.6951528101938445E-3</v>
      </c>
    </row>
    <row r="763" spans="1:5" ht="14.25" customHeight="1" x14ac:dyDescent="0.3">
      <c r="A763" s="27">
        <v>45044</v>
      </c>
      <c r="B763" s="28">
        <v>18065</v>
      </c>
      <c r="C763" s="28">
        <v>192.55247497558599</v>
      </c>
      <c r="D763" s="29">
        <f t="shared" si="22"/>
        <v>9.0158905510725265E-3</v>
      </c>
      <c r="E763" s="29">
        <f t="shared" si="23"/>
        <v>8.3700136036978338E-3</v>
      </c>
    </row>
    <row r="764" spans="1:5" ht="14.25" customHeight="1" x14ac:dyDescent="0.3">
      <c r="A764" s="27">
        <v>45048</v>
      </c>
      <c r="B764" s="28">
        <v>18147.650390625</v>
      </c>
      <c r="C764" s="28">
        <v>189.40634155273401</v>
      </c>
      <c r="D764" s="29">
        <f t="shared" si="22"/>
        <v>-1.6339096255453957E-2</v>
      </c>
      <c r="E764" s="29">
        <f t="shared" si="23"/>
        <v>4.5751669319125379E-3</v>
      </c>
    </row>
    <row r="765" spans="1:5" ht="14.25" customHeight="1" x14ac:dyDescent="0.3">
      <c r="A765" s="27">
        <v>45049</v>
      </c>
      <c r="B765" s="28">
        <v>18089.849609375</v>
      </c>
      <c r="C765" s="28">
        <v>189.60299682617199</v>
      </c>
      <c r="D765" s="29">
        <f t="shared" si="22"/>
        <v>1.0382718541830393E-3</v>
      </c>
      <c r="E765" s="29">
        <f t="shared" si="23"/>
        <v>-3.18502836487635E-3</v>
      </c>
    </row>
    <row r="766" spans="1:5" ht="14.25" customHeight="1" x14ac:dyDescent="0.3">
      <c r="A766" s="27">
        <v>45050</v>
      </c>
      <c r="B766" s="28">
        <v>18255.80078125</v>
      </c>
      <c r="C766" s="28">
        <v>189.70130920410199</v>
      </c>
      <c r="D766" s="29">
        <f t="shared" si="22"/>
        <v>5.1851700434952998E-4</v>
      </c>
      <c r="E766" s="29">
        <f t="shared" si="23"/>
        <v>9.173717607303733E-3</v>
      </c>
    </row>
    <row r="767" spans="1:5" ht="14.25" customHeight="1" x14ac:dyDescent="0.3">
      <c r="A767" s="27">
        <v>45051</v>
      </c>
      <c r="B767" s="28">
        <v>18069</v>
      </c>
      <c r="C767" s="28">
        <v>183.85147094726599</v>
      </c>
      <c r="D767" s="29">
        <f t="shared" si="22"/>
        <v>-3.0837100077902368E-2</v>
      </c>
      <c r="E767" s="29">
        <f t="shared" si="23"/>
        <v>-1.0232406865540384E-2</v>
      </c>
    </row>
    <row r="768" spans="1:5" ht="14.25" customHeight="1" x14ac:dyDescent="0.3">
      <c r="A768" s="27">
        <v>45054</v>
      </c>
      <c r="B768" s="28">
        <v>18264.400390625</v>
      </c>
      <c r="C768" s="28">
        <v>187.390869140625</v>
      </c>
      <c r="D768" s="29">
        <f t="shared" si="22"/>
        <v>1.9251399921484495E-2</v>
      </c>
      <c r="E768" s="29">
        <f t="shared" si="23"/>
        <v>1.0814123118324201E-2</v>
      </c>
    </row>
    <row r="769" spans="1:5" ht="14.25" customHeight="1" x14ac:dyDescent="0.3">
      <c r="A769" s="27">
        <v>45055</v>
      </c>
      <c r="B769" s="28">
        <v>18265.94921875</v>
      </c>
      <c r="C769" s="28">
        <v>186.11276245117199</v>
      </c>
      <c r="D769" s="29">
        <f t="shared" si="22"/>
        <v>-6.8205387771261847E-3</v>
      </c>
      <c r="E769" s="29">
        <f t="shared" si="23"/>
        <v>8.4800381719347525E-5</v>
      </c>
    </row>
    <row r="770" spans="1:5" ht="14.25" customHeight="1" x14ac:dyDescent="0.3">
      <c r="A770" s="27">
        <v>45056</v>
      </c>
      <c r="B770" s="28">
        <v>18315.099609375</v>
      </c>
      <c r="C770" s="28">
        <v>185.08044433593801</v>
      </c>
      <c r="D770" s="29">
        <f t="shared" si="22"/>
        <v>-5.5467346872830024E-3</v>
      </c>
      <c r="E770" s="29">
        <f t="shared" si="23"/>
        <v>2.6908205008337105E-3</v>
      </c>
    </row>
    <row r="771" spans="1:5" ht="14.25" customHeight="1" x14ac:dyDescent="0.3">
      <c r="A771" s="27">
        <v>45057</v>
      </c>
      <c r="B771" s="28">
        <v>18297</v>
      </c>
      <c r="C771" s="28">
        <v>186.45686340332</v>
      </c>
      <c r="D771" s="29">
        <f t="shared" ref="D771:D834" si="24">(C771-C770)/C770</f>
        <v>7.4368692614745465E-3</v>
      </c>
      <c r="E771" s="29">
        <f t="shared" ref="E771:E834" si="25">(B771-B770)/B770</f>
        <v>-9.8823428542727139E-4</v>
      </c>
    </row>
    <row r="772" spans="1:5" ht="14.25" customHeight="1" x14ac:dyDescent="0.3">
      <c r="A772" s="27">
        <v>45058</v>
      </c>
      <c r="B772" s="28">
        <v>18314.80078125</v>
      </c>
      <c r="C772" s="28">
        <v>186.80097961425801</v>
      </c>
      <c r="D772" s="29">
        <f t="shared" si="24"/>
        <v>1.8455540045938816E-3</v>
      </c>
      <c r="E772" s="29">
        <f t="shared" si="25"/>
        <v>9.7287977537301195E-4</v>
      </c>
    </row>
    <row r="773" spans="1:5" ht="14.25" customHeight="1" x14ac:dyDescent="0.3">
      <c r="A773" s="27">
        <v>45061</v>
      </c>
      <c r="B773" s="28">
        <v>18398.849609375</v>
      </c>
      <c r="C773" s="28">
        <v>187.243408203125</v>
      </c>
      <c r="D773" s="29">
        <f t="shared" si="24"/>
        <v>2.368448975913289E-3</v>
      </c>
      <c r="E773" s="29">
        <f t="shared" si="25"/>
        <v>4.589120522186952E-3</v>
      </c>
    </row>
    <row r="774" spans="1:5" ht="14.25" customHeight="1" x14ac:dyDescent="0.3">
      <c r="A774" s="27">
        <v>45062</v>
      </c>
      <c r="B774" s="28">
        <v>18286.5</v>
      </c>
      <c r="C774" s="28">
        <v>191.47099304199199</v>
      </c>
      <c r="D774" s="29">
        <f t="shared" si="24"/>
        <v>2.2578016921593464E-2</v>
      </c>
      <c r="E774" s="29">
        <f t="shared" si="25"/>
        <v>-6.1063388070606911E-3</v>
      </c>
    </row>
    <row r="775" spans="1:5" ht="14.25" customHeight="1" x14ac:dyDescent="0.3">
      <c r="A775" s="27">
        <v>45063</v>
      </c>
      <c r="B775" s="28">
        <v>18181.75</v>
      </c>
      <c r="C775" s="28">
        <v>201.99082946777301</v>
      </c>
      <c r="D775" s="29">
        <f t="shared" si="24"/>
        <v>5.4942193899176629E-2</v>
      </c>
      <c r="E775" s="29">
        <f t="shared" si="25"/>
        <v>-5.7282694884204198E-3</v>
      </c>
    </row>
    <row r="776" spans="1:5" ht="14.25" customHeight="1" x14ac:dyDescent="0.3">
      <c r="A776" s="27">
        <v>45064</v>
      </c>
      <c r="B776" s="28">
        <v>18129.94921875</v>
      </c>
      <c r="C776" s="28">
        <v>202.28579711914099</v>
      </c>
      <c r="D776" s="29">
        <f t="shared" si="24"/>
        <v>1.4603021936451053E-3</v>
      </c>
      <c r="E776" s="29">
        <f t="shared" si="25"/>
        <v>-2.8490536527011976E-3</v>
      </c>
    </row>
    <row r="777" spans="1:5" ht="14.25" customHeight="1" x14ac:dyDescent="0.3">
      <c r="A777" s="27">
        <v>45065</v>
      </c>
      <c r="B777" s="28">
        <v>18203.400390625</v>
      </c>
      <c r="C777" s="28">
        <v>201.15515136718801</v>
      </c>
      <c r="D777" s="29">
        <f t="shared" si="24"/>
        <v>-5.589348179927147E-3</v>
      </c>
      <c r="E777" s="29">
        <f t="shared" si="25"/>
        <v>4.051372179191587E-3</v>
      </c>
    </row>
    <row r="778" spans="1:5" ht="14.25" customHeight="1" x14ac:dyDescent="0.3">
      <c r="A778" s="27">
        <v>45068</v>
      </c>
      <c r="B778" s="28">
        <v>18314.400390625</v>
      </c>
      <c r="C778" s="28">
        <v>198.697265625</v>
      </c>
      <c r="D778" s="29">
        <f t="shared" si="24"/>
        <v>-1.2218855572340747E-2</v>
      </c>
      <c r="E778" s="29">
        <f t="shared" si="25"/>
        <v>6.0977618257062847E-3</v>
      </c>
    </row>
    <row r="779" spans="1:5" ht="14.25" customHeight="1" x14ac:dyDescent="0.3">
      <c r="A779" s="27">
        <v>45069</v>
      </c>
      <c r="B779" s="28">
        <v>18348</v>
      </c>
      <c r="C779" s="28">
        <v>205.87434387207</v>
      </c>
      <c r="D779" s="29">
        <f t="shared" si="24"/>
        <v>3.6120669423882514E-2</v>
      </c>
      <c r="E779" s="29">
        <f t="shared" si="25"/>
        <v>1.8346005688616145E-3</v>
      </c>
    </row>
    <row r="780" spans="1:5" ht="14.25" customHeight="1" x14ac:dyDescent="0.3">
      <c r="A780" s="27">
        <v>45070</v>
      </c>
      <c r="B780" s="28">
        <v>18285.400390625</v>
      </c>
      <c r="C780" s="28">
        <v>203.318115234375</v>
      </c>
      <c r="D780" s="29">
        <f t="shared" si="24"/>
        <v>-1.2416450683546253E-2</v>
      </c>
      <c r="E780" s="29">
        <f t="shared" si="25"/>
        <v>-3.4117947119577064E-3</v>
      </c>
    </row>
    <row r="781" spans="1:5" ht="14.25" customHeight="1" x14ac:dyDescent="0.3">
      <c r="A781" s="27">
        <v>45071</v>
      </c>
      <c r="B781" s="28">
        <v>18321.150390625</v>
      </c>
      <c r="C781" s="28">
        <v>204.69454956054699</v>
      </c>
      <c r="D781" s="29">
        <f t="shared" si="24"/>
        <v>6.7698558221696266E-3</v>
      </c>
      <c r="E781" s="29">
        <f t="shared" si="25"/>
        <v>1.955111686716424E-3</v>
      </c>
    </row>
    <row r="782" spans="1:5" ht="14.25" customHeight="1" x14ac:dyDescent="0.3">
      <c r="A782" s="27">
        <v>45072</v>
      </c>
      <c r="B782" s="28">
        <v>18499.349609375</v>
      </c>
      <c r="C782" s="28">
        <v>205.62854003906301</v>
      </c>
      <c r="D782" s="29">
        <f t="shared" si="24"/>
        <v>4.5628497706518374E-3</v>
      </c>
      <c r="E782" s="29">
        <f t="shared" si="25"/>
        <v>9.7264208278747162E-3</v>
      </c>
    </row>
    <row r="783" spans="1:5" ht="14.25" customHeight="1" x14ac:dyDescent="0.3">
      <c r="A783" s="27">
        <v>45075</v>
      </c>
      <c r="B783" s="28">
        <v>18598.650390625</v>
      </c>
      <c r="C783" s="28">
        <v>204.94033813476599</v>
      </c>
      <c r="D783" s="29">
        <f t="shared" si="24"/>
        <v>-3.346820943076677E-3</v>
      </c>
      <c r="E783" s="29">
        <f t="shared" si="25"/>
        <v>5.3677985089636282E-3</v>
      </c>
    </row>
    <row r="784" spans="1:5" ht="14.25" customHeight="1" x14ac:dyDescent="0.3">
      <c r="A784" s="27">
        <v>45076</v>
      </c>
      <c r="B784" s="28">
        <v>18633.849609375</v>
      </c>
      <c r="C784" s="28">
        <v>203.80970764160199</v>
      </c>
      <c r="D784" s="29">
        <f t="shared" si="24"/>
        <v>-5.5168762941169656E-3</v>
      </c>
      <c r="E784" s="29">
        <f t="shared" si="25"/>
        <v>1.892568439683281E-3</v>
      </c>
    </row>
    <row r="785" spans="1:5" ht="14.25" customHeight="1" x14ac:dyDescent="0.3">
      <c r="A785" s="27">
        <v>45077</v>
      </c>
      <c r="B785" s="28">
        <v>18534.400390625</v>
      </c>
      <c r="C785" s="28">
        <v>207.64402770996099</v>
      </c>
      <c r="D785" s="29">
        <f t="shared" si="24"/>
        <v>1.8813235702695927E-2</v>
      </c>
      <c r="E785" s="29">
        <f t="shared" si="25"/>
        <v>-5.33701950132545E-3</v>
      </c>
    </row>
    <row r="786" spans="1:5" ht="14.25" customHeight="1" x14ac:dyDescent="0.3">
      <c r="A786" s="27">
        <v>45078</v>
      </c>
      <c r="B786" s="28">
        <v>18487.75</v>
      </c>
      <c r="C786" s="28">
        <v>207.84066772460901</v>
      </c>
      <c r="D786" s="29">
        <f t="shared" si="24"/>
        <v>9.470053958049768E-4</v>
      </c>
      <c r="E786" s="29">
        <f t="shared" si="25"/>
        <v>-2.5169624936232909E-3</v>
      </c>
    </row>
    <row r="787" spans="1:5" ht="14.25" customHeight="1" x14ac:dyDescent="0.3">
      <c r="A787" s="27">
        <v>45079</v>
      </c>
      <c r="B787" s="28">
        <v>18534.099609375</v>
      </c>
      <c r="C787" s="28">
        <v>208.18478393554699</v>
      </c>
      <c r="D787" s="29">
        <f t="shared" si="24"/>
        <v>1.6556731399359275E-3</v>
      </c>
      <c r="E787" s="29">
        <f t="shared" si="25"/>
        <v>2.5070443604548959E-3</v>
      </c>
    </row>
    <row r="788" spans="1:5" ht="14.25" customHeight="1" x14ac:dyDescent="0.3">
      <c r="A788" s="27">
        <v>45082</v>
      </c>
      <c r="B788" s="28">
        <v>18593.849609375</v>
      </c>
      <c r="C788" s="28">
        <v>207.98814392089801</v>
      </c>
      <c r="D788" s="29">
        <f t="shared" si="24"/>
        <v>-9.4454556635539854E-4</v>
      </c>
      <c r="E788" s="29">
        <f t="shared" si="25"/>
        <v>3.2237875731377309E-3</v>
      </c>
    </row>
    <row r="789" spans="1:5" ht="14.25" customHeight="1" x14ac:dyDescent="0.3">
      <c r="A789" s="27">
        <v>45083</v>
      </c>
      <c r="B789" s="28">
        <v>18599</v>
      </c>
      <c r="C789" s="28">
        <v>208.38139343261699</v>
      </c>
      <c r="D789" s="29">
        <f t="shared" si="24"/>
        <v>1.8907304248483409E-3</v>
      </c>
      <c r="E789" s="29">
        <f t="shared" si="25"/>
        <v>2.7699431442121478E-4</v>
      </c>
    </row>
    <row r="790" spans="1:5" ht="14.25" customHeight="1" x14ac:dyDescent="0.3">
      <c r="A790" s="27">
        <v>45084</v>
      </c>
      <c r="B790" s="28">
        <v>18726.400390625</v>
      </c>
      <c r="C790" s="28">
        <v>208.08645629882801</v>
      </c>
      <c r="D790" s="29">
        <f t="shared" si="24"/>
        <v>-1.4153717322384124E-3</v>
      </c>
      <c r="E790" s="29">
        <f t="shared" si="25"/>
        <v>6.8498516385289534E-3</v>
      </c>
    </row>
    <row r="791" spans="1:5" ht="14.25" customHeight="1" x14ac:dyDescent="0.3">
      <c r="A791" s="27">
        <v>45085</v>
      </c>
      <c r="B791" s="28">
        <v>18634.55078125</v>
      </c>
      <c r="C791" s="28">
        <v>205.97265625</v>
      </c>
      <c r="D791" s="29">
        <f t="shared" si="24"/>
        <v>-1.0158277892879455E-2</v>
      </c>
      <c r="E791" s="29">
        <f t="shared" si="25"/>
        <v>-4.904819263662796E-3</v>
      </c>
    </row>
    <row r="792" spans="1:5" ht="14.25" customHeight="1" x14ac:dyDescent="0.3">
      <c r="A792" s="27">
        <v>45086</v>
      </c>
      <c r="B792" s="28">
        <v>18563.400390625</v>
      </c>
      <c r="C792" s="28">
        <v>202.23663330078099</v>
      </c>
      <c r="D792" s="29">
        <f t="shared" si="24"/>
        <v>-1.8138441370025328E-2</v>
      </c>
      <c r="E792" s="29">
        <f t="shared" si="25"/>
        <v>-3.8181972541345725E-3</v>
      </c>
    </row>
    <row r="793" spans="1:5" ht="14.25" customHeight="1" x14ac:dyDescent="0.3">
      <c r="A793" s="27">
        <v>45089</v>
      </c>
      <c r="B793" s="28">
        <v>18601.5</v>
      </c>
      <c r="C793" s="28">
        <v>202.08915710449199</v>
      </c>
      <c r="D793" s="29">
        <f t="shared" si="24"/>
        <v>-7.2922592649012487E-4</v>
      </c>
      <c r="E793" s="29">
        <f t="shared" si="25"/>
        <v>2.0524046550351462E-3</v>
      </c>
    </row>
    <row r="794" spans="1:5" ht="14.25" customHeight="1" x14ac:dyDescent="0.3">
      <c r="A794" s="27">
        <v>45090</v>
      </c>
      <c r="B794" s="28">
        <v>18716.150390625</v>
      </c>
      <c r="C794" s="28">
        <v>202.92485046386699</v>
      </c>
      <c r="D794" s="29">
        <f t="shared" si="24"/>
        <v>4.135270646623051E-3</v>
      </c>
      <c r="E794" s="29">
        <f t="shared" si="25"/>
        <v>6.1635024393194094E-3</v>
      </c>
    </row>
    <row r="795" spans="1:5" ht="14.25" customHeight="1" x14ac:dyDescent="0.3">
      <c r="A795" s="27">
        <v>45091</v>
      </c>
      <c r="B795" s="28">
        <v>18755.900390625</v>
      </c>
      <c r="C795" s="28">
        <v>206.66087341308599</v>
      </c>
      <c r="D795" s="29">
        <f t="shared" si="24"/>
        <v>1.8410869544458509E-2</v>
      </c>
      <c r="E795" s="29">
        <f t="shared" si="25"/>
        <v>2.1238341844010264E-3</v>
      </c>
    </row>
    <row r="796" spans="1:5" ht="14.25" customHeight="1" x14ac:dyDescent="0.3">
      <c r="A796" s="27">
        <v>45092</v>
      </c>
      <c r="B796" s="28">
        <v>18688.099609375</v>
      </c>
      <c r="C796" s="28">
        <v>203.85887145996099</v>
      </c>
      <c r="D796" s="29">
        <f t="shared" si="24"/>
        <v>-1.3558454035584146E-2</v>
      </c>
      <c r="E796" s="29">
        <f t="shared" si="25"/>
        <v>-3.6149041015322157E-3</v>
      </c>
    </row>
    <row r="797" spans="1:5" ht="14.25" customHeight="1" x14ac:dyDescent="0.3">
      <c r="A797" s="27">
        <v>45093</v>
      </c>
      <c r="B797" s="28">
        <v>18826</v>
      </c>
      <c r="C797" s="28">
        <v>211.38005065918</v>
      </c>
      <c r="D797" s="29">
        <f t="shared" si="24"/>
        <v>3.6894049031838218E-2</v>
      </c>
      <c r="E797" s="29">
        <f t="shared" si="25"/>
        <v>7.3790483520229863E-3</v>
      </c>
    </row>
    <row r="798" spans="1:5" ht="14.25" customHeight="1" x14ac:dyDescent="0.3">
      <c r="A798" s="27">
        <v>45096</v>
      </c>
      <c r="B798" s="28">
        <v>18755.44921875</v>
      </c>
      <c r="C798" s="28">
        <v>209.51203918457</v>
      </c>
      <c r="D798" s="29">
        <f t="shared" si="24"/>
        <v>-8.8372174610834055E-3</v>
      </c>
      <c r="E798" s="29">
        <f t="shared" si="25"/>
        <v>-3.7475183921172844E-3</v>
      </c>
    </row>
    <row r="799" spans="1:5" ht="14.25" customHeight="1" x14ac:dyDescent="0.3">
      <c r="A799" s="27">
        <v>45097</v>
      </c>
      <c r="B799" s="28">
        <v>18816.69921875</v>
      </c>
      <c r="C799" s="28">
        <v>216.63996887207</v>
      </c>
      <c r="D799" s="29">
        <f t="shared" si="24"/>
        <v>3.4021575634709172E-2</v>
      </c>
      <c r="E799" s="29">
        <f t="shared" si="25"/>
        <v>3.2657175674986124E-3</v>
      </c>
    </row>
    <row r="800" spans="1:5" ht="14.25" customHeight="1" x14ac:dyDescent="0.3">
      <c r="A800" s="27">
        <v>45098</v>
      </c>
      <c r="B800" s="28">
        <v>18856.849609375</v>
      </c>
      <c r="C800" s="28">
        <v>226.42245483398401</v>
      </c>
      <c r="D800" s="29">
        <f t="shared" si="24"/>
        <v>4.5155499296119034E-2</v>
      </c>
      <c r="E800" s="29">
        <f t="shared" si="25"/>
        <v>2.133763746671995E-3</v>
      </c>
    </row>
    <row r="801" spans="1:5" ht="14.25" customHeight="1" x14ac:dyDescent="0.3">
      <c r="A801" s="27">
        <v>45099</v>
      </c>
      <c r="B801" s="28">
        <v>18771.25</v>
      </c>
      <c r="C801" s="28">
        <v>225.73423767089801</v>
      </c>
      <c r="D801" s="29">
        <f t="shared" si="24"/>
        <v>-3.0395269921024591E-3</v>
      </c>
      <c r="E801" s="29">
        <f t="shared" si="25"/>
        <v>-4.5394438174042985E-3</v>
      </c>
    </row>
    <row r="802" spans="1:5" ht="14.25" customHeight="1" x14ac:dyDescent="0.3">
      <c r="A802" s="27">
        <v>45100</v>
      </c>
      <c r="B802" s="28">
        <v>18665.5</v>
      </c>
      <c r="C802" s="28">
        <v>228.58541870117199</v>
      </c>
      <c r="D802" s="29">
        <f t="shared" si="24"/>
        <v>1.2630698203746857E-2</v>
      </c>
      <c r="E802" s="29">
        <f t="shared" si="25"/>
        <v>-5.6336152360657917E-3</v>
      </c>
    </row>
    <row r="803" spans="1:5" ht="14.25" customHeight="1" x14ac:dyDescent="0.3">
      <c r="A803" s="27">
        <v>45103</v>
      </c>
      <c r="B803" s="28">
        <v>18691.19921875</v>
      </c>
      <c r="C803" s="28">
        <v>228.63458251953099</v>
      </c>
      <c r="D803" s="29">
        <f t="shared" si="24"/>
        <v>2.1507854104761166E-4</v>
      </c>
      <c r="E803" s="29">
        <f t="shared" si="25"/>
        <v>1.3768299134767352E-3</v>
      </c>
    </row>
    <row r="804" spans="1:5" ht="14.25" customHeight="1" x14ac:dyDescent="0.3">
      <c r="A804" s="27">
        <v>45104</v>
      </c>
      <c r="B804" s="28">
        <v>18817.400390625</v>
      </c>
      <c r="C804" s="28">
        <v>228.83119201660199</v>
      </c>
      <c r="D804" s="29">
        <f t="shared" si="24"/>
        <v>8.5992895258616157E-4</v>
      </c>
      <c r="E804" s="29">
        <f t="shared" si="25"/>
        <v>6.7519034171120394E-3</v>
      </c>
    </row>
    <row r="805" spans="1:5" ht="14.25" customHeight="1" x14ac:dyDescent="0.3">
      <c r="A805" s="27">
        <v>45105</v>
      </c>
      <c r="B805" s="28">
        <v>18972.099609375</v>
      </c>
      <c r="C805" s="28">
        <v>228.33961486816401</v>
      </c>
      <c r="D805" s="29">
        <f t="shared" si="24"/>
        <v>-2.1482086603050103E-3</v>
      </c>
      <c r="E805" s="29">
        <f t="shared" si="25"/>
        <v>8.2210728123249463E-3</v>
      </c>
    </row>
    <row r="806" spans="1:5" ht="14.25" customHeight="1" x14ac:dyDescent="0.3">
      <c r="A806" s="27">
        <v>45107</v>
      </c>
      <c r="B806" s="28">
        <v>19189.05078125</v>
      </c>
      <c r="C806" s="28">
        <v>232.71469116210901</v>
      </c>
      <c r="D806" s="29">
        <f t="shared" si="24"/>
        <v>1.9160390966197562E-2</v>
      </c>
      <c r="E806" s="29">
        <f t="shared" si="25"/>
        <v>1.143527476356883E-2</v>
      </c>
    </row>
    <row r="807" spans="1:5" ht="14.25" customHeight="1" x14ac:dyDescent="0.3">
      <c r="A807" s="27">
        <v>45110</v>
      </c>
      <c r="B807" s="28">
        <v>19322.55078125</v>
      </c>
      <c r="C807" s="28">
        <v>235.76248168945301</v>
      </c>
      <c r="D807" s="29">
        <f t="shared" si="24"/>
        <v>1.3096682947364572E-2</v>
      </c>
      <c r="E807" s="29">
        <f t="shared" si="25"/>
        <v>6.9570924336937751E-3</v>
      </c>
    </row>
    <row r="808" spans="1:5" ht="14.25" customHeight="1" x14ac:dyDescent="0.3">
      <c r="A808" s="27">
        <v>45111</v>
      </c>
      <c r="B808" s="28">
        <v>19389</v>
      </c>
      <c r="C808" s="28">
        <v>235.41836547851599</v>
      </c>
      <c r="D808" s="29">
        <f t="shared" si="24"/>
        <v>-1.4595885166762354E-3</v>
      </c>
      <c r="E808" s="29">
        <f t="shared" si="25"/>
        <v>3.4389465191355714E-3</v>
      </c>
    </row>
    <row r="809" spans="1:5" ht="14.25" customHeight="1" x14ac:dyDescent="0.3">
      <c r="A809" s="27">
        <v>45112</v>
      </c>
      <c r="B809" s="28">
        <v>19398.5</v>
      </c>
      <c r="C809" s="28">
        <v>242.30052185058599</v>
      </c>
      <c r="D809" s="29">
        <f t="shared" si="24"/>
        <v>2.9233727615435582E-2</v>
      </c>
      <c r="E809" s="29">
        <f t="shared" si="25"/>
        <v>4.8996853886224153E-4</v>
      </c>
    </row>
    <row r="810" spans="1:5" ht="14.25" customHeight="1" x14ac:dyDescent="0.3">
      <c r="A810" s="27">
        <v>45113</v>
      </c>
      <c r="B810" s="28">
        <v>19497.30078125</v>
      </c>
      <c r="C810" s="28">
        <v>244.11936950683599</v>
      </c>
      <c r="D810" s="29">
        <f t="shared" si="24"/>
        <v>7.5065775441110595E-3</v>
      </c>
      <c r="E810" s="29">
        <f t="shared" si="25"/>
        <v>5.0932175812562824E-3</v>
      </c>
    </row>
    <row r="811" spans="1:5" ht="14.25" customHeight="1" x14ac:dyDescent="0.3">
      <c r="A811" s="27">
        <v>45114</v>
      </c>
      <c r="B811" s="28">
        <v>19331.80078125</v>
      </c>
      <c r="C811" s="28">
        <v>243.72611999511699</v>
      </c>
      <c r="D811" s="29">
        <f t="shared" si="24"/>
        <v>-1.6108902481332754E-3</v>
      </c>
      <c r="E811" s="29">
        <f t="shared" si="25"/>
        <v>-8.4883544577184066E-3</v>
      </c>
    </row>
    <row r="812" spans="1:5" ht="14.25" customHeight="1" x14ac:dyDescent="0.3">
      <c r="A812" s="27">
        <v>45117</v>
      </c>
      <c r="B812" s="28">
        <v>19355.900390625</v>
      </c>
      <c r="C812" s="28">
        <v>246.87223815918</v>
      </c>
      <c r="D812" s="29">
        <f t="shared" si="24"/>
        <v>1.2908416070161226E-2</v>
      </c>
      <c r="E812" s="29">
        <f t="shared" si="25"/>
        <v>1.2466303397029789E-3</v>
      </c>
    </row>
    <row r="813" spans="1:5" ht="14.25" customHeight="1" x14ac:dyDescent="0.3">
      <c r="A813" s="27">
        <v>45118</v>
      </c>
      <c r="B813" s="28">
        <v>19439.400390625</v>
      </c>
      <c r="C813" s="28">
        <v>248.24865722656301</v>
      </c>
      <c r="D813" s="29">
        <f t="shared" si="24"/>
        <v>5.5754307476870461E-3</v>
      </c>
      <c r="E813" s="29">
        <f t="shared" si="25"/>
        <v>4.3139300324382271E-3</v>
      </c>
    </row>
    <row r="814" spans="1:5" ht="14.25" customHeight="1" x14ac:dyDescent="0.3">
      <c r="A814" s="27">
        <v>45119</v>
      </c>
      <c r="B814" s="28">
        <v>19384.30078125</v>
      </c>
      <c r="C814" s="28">
        <v>250.16583251953099</v>
      </c>
      <c r="D814" s="29">
        <f t="shared" si="24"/>
        <v>7.7228022676403899E-3</v>
      </c>
      <c r="E814" s="29">
        <f t="shared" si="25"/>
        <v>-2.8344294714755078E-3</v>
      </c>
    </row>
    <row r="815" spans="1:5" ht="14.25" customHeight="1" x14ac:dyDescent="0.3">
      <c r="A815" s="27">
        <v>45120</v>
      </c>
      <c r="B815" s="28">
        <v>19413.75</v>
      </c>
      <c r="C815" s="28">
        <v>247.46214294433599</v>
      </c>
      <c r="D815" s="29">
        <f t="shared" si="24"/>
        <v>-1.0807589301724155E-2</v>
      </c>
      <c r="E815" s="29">
        <f t="shared" si="25"/>
        <v>1.5192303855749891E-3</v>
      </c>
    </row>
    <row r="816" spans="1:5" ht="14.25" customHeight="1" x14ac:dyDescent="0.3">
      <c r="A816" s="27">
        <v>45121</v>
      </c>
      <c r="B816" s="28">
        <v>19564.5</v>
      </c>
      <c r="C816" s="28">
        <v>249.96920776367199</v>
      </c>
      <c r="D816" s="29">
        <f t="shared" si="24"/>
        <v>1.0131104457056011E-2</v>
      </c>
      <c r="E816" s="29">
        <f t="shared" si="25"/>
        <v>7.7651149314274673E-3</v>
      </c>
    </row>
    <row r="817" spans="1:5" ht="14.25" customHeight="1" x14ac:dyDescent="0.3">
      <c r="A817" s="27">
        <v>45124</v>
      </c>
      <c r="B817" s="28">
        <v>19711.44921875</v>
      </c>
      <c r="C817" s="28">
        <v>244.36517333984401</v>
      </c>
      <c r="D817" s="29">
        <f t="shared" si="24"/>
        <v>-2.2418899007457738E-2</v>
      </c>
      <c r="E817" s="29">
        <f t="shared" si="25"/>
        <v>7.5110132510414268E-3</v>
      </c>
    </row>
    <row r="818" spans="1:5" ht="14.25" customHeight="1" x14ac:dyDescent="0.3">
      <c r="A818" s="27">
        <v>45125</v>
      </c>
      <c r="B818" s="28">
        <v>19749.25</v>
      </c>
      <c r="C818" s="28">
        <v>243.48033142089801</v>
      </c>
      <c r="D818" s="29">
        <f t="shared" si="24"/>
        <v>-3.6209821017147382E-3</v>
      </c>
      <c r="E818" s="29">
        <f t="shared" si="25"/>
        <v>1.917706853032551E-3</v>
      </c>
    </row>
    <row r="819" spans="1:5" ht="14.25" customHeight="1" x14ac:dyDescent="0.3">
      <c r="A819" s="27">
        <v>45126</v>
      </c>
      <c r="B819" s="28">
        <v>19833.150390625</v>
      </c>
      <c r="C819" s="28">
        <v>244.51263427734401</v>
      </c>
      <c r="D819" s="29">
        <f t="shared" si="24"/>
        <v>4.2397792479651258E-3</v>
      </c>
      <c r="E819" s="29">
        <f t="shared" si="25"/>
        <v>4.248282371482461E-3</v>
      </c>
    </row>
    <row r="820" spans="1:5" ht="14.25" customHeight="1" x14ac:dyDescent="0.3">
      <c r="A820" s="27">
        <v>45127</v>
      </c>
      <c r="B820" s="28">
        <v>19979.150390625</v>
      </c>
      <c r="C820" s="28">
        <v>246.77391052246099</v>
      </c>
      <c r="D820" s="29">
        <f t="shared" si="24"/>
        <v>9.2480957141547315E-3</v>
      </c>
      <c r="E820" s="29">
        <f t="shared" si="25"/>
        <v>7.3614124394989332E-3</v>
      </c>
    </row>
    <row r="821" spans="1:5" ht="14.25" customHeight="1" x14ac:dyDescent="0.3">
      <c r="A821" s="27">
        <v>45128</v>
      </c>
      <c r="B821" s="28">
        <v>19745</v>
      </c>
      <c r="C821" s="28">
        <v>247.56045532226599</v>
      </c>
      <c r="D821" s="29">
        <f t="shared" si="24"/>
        <v>3.1873093802329239E-3</v>
      </c>
      <c r="E821" s="29">
        <f t="shared" si="25"/>
        <v>-1.1719737128305142E-2</v>
      </c>
    </row>
    <row r="822" spans="1:5" ht="14.25" customHeight="1" x14ac:dyDescent="0.3">
      <c r="A822" s="27">
        <v>45131</v>
      </c>
      <c r="B822" s="28">
        <v>19672.349609375</v>
      </c>
      <c r="C822" s="28">
        <v>247.26550292968801</v>
      </c>
      <c r="D822" s="29">
        <f t="shared" si="24"/>
        <v>-1.1914358139066422E-3</v>
      </c>
      <c r="E822" s="29">
        <f t="shared" si="25"/>
        <v>-3.6794322929855658E-3</v>
      </c>
    </row>
    <row r="823" spans="1:5" ht="14.25" customHeight="1" x14ac:dyDescent="0.3">
      <c r="A823" s="27">
        <v>45132</v>
      </c>
      <c r="B823" s="28">
        <v>19680.599609375</v>
      </c>
      <c r="C823" s="28">
        <v>246.085693359375</v>
      </c>
      <c r="D823" s="29">
        <f t="shared" si="24"/>
        <v>-4.7714281059598523E-3</v>
      </c>
      <c r="E823" s="29">
        <f t="shared" si="25"/>
        <v>4.193703428322768E-4</v>
      </c>
    </row>
    <row r="824" spans="1:5" ht="14.25" customHeight="1" x14ac:dyDescent="0.3">
      <c r="A824" s="27">
        <v>45133</v>
      </c>
      <c r="B824" s="28">
        <v>19778.30078125</v>
      </c>
      <c r="C824" s="28">
        <v>247.85542297363301</v>
      </c>
      <c r="D824" s="29">
        <f t="shared" si="24"/>
        <v>7.1915176786549705E-3</v>
      </c>
      <c r="E824" s="29">
        <f t="shared" si="25"/>
        <v>4.9643391875346787E-3</v>
      </c>
    </row>
    <row r="825" spans="1:5" ht="14.25" customHeight="1" x14ac:dyDescent="0.3">
      <c r="A825" s="27">
        <v>45134</v>
      </c>
      <c r="B825" s="28">
        <v>19659.900390625</v>
      </c>
      <c r="C825" s="28">
        <v>251.44395446777301</v>
      </c>
      <c r="D825" s="29">
        <f t="shared" si="24"/>
        <v>1.4478325513667496E-2</v>
      </c>
      <c r="E825" s="29">
        <f t="shared" si="25"/>
        <v>-5.9863783008722669E-3</v>
      </c>
    </row>
    <row r="826" spans="1:5" ht="14.25" customHeight="1" x14ac:dyDescent="0.3">
      <c r="A826" s="27">
        <v>45135</v>
      </c>
      <c r="B826" s="28">
        <v>19646.05078125</v>
      </c>
      <c r="C826" s="28">
        <v>246.92138671875</v>
      </c>
      <c r="D826" s="29">
        <f t="shared" si="24"/>
        <v>-1.7986384912677063E-2</v>
      </c>
      <c r="E826" s="29">
        <f t="shared" si="25"/>
        <v>-7.0445979378432207E-4</v>
      </c>
    </row>
    <row r="827" spans="1:5" ht="14.25" customHeight="1" x14ac:dyDescent="0.3">
      <c r="A827" s="27">
        <v>45138</v>
      </c>
      <c r="B827" s="28">
        <v>19753.80078125</v>
      </c>
      <c r="C827" s="28">
        <v>245.39750671386699</v>
      </c>
      <c r="D827" s="29">
        <f t="shared" si="24"/>
        <v>-6.1715188997328576E-3</v>
      </c>
      <c r="E827" s="29">
        <f t="shared" si="25"/>
        <v>5.4845628365592716E-3</v>
      </c>
    </row>
    <row r="828" spans="1:5" ht="14.25" customHeight="1" x14ac:dyDescent="0.3">
      <c r="A828" s="27">
        <v>45139</v>
      </c>
      <c r="B828" s="28">
        <v>19733.55078125</v>
      </c>
      <c r="C828" s="28">
        <v>260.75961303710898</v>
      </c>
      <c r="D828" s="29">
        <f t="shared" si="24"/>
        <v>6.2600906296713818E-2</v>
      </c>
      <c r="E828" s="29">
        <f t="shared" si="25"/>
        <v>-1.0251191770254656E-3</v>
      </c>
    </row>
    <row r="829" spans="1:5" ht="14.25" customHeight="1" x14ac:dyDescent="0.3">
      <c r="A829" s="27">
        <v>45140</v>
      </c>
      <c r="B829" s="28">
        <v>19526.55078125</v>
      </c>
      <c r="C829" s="28">
        <v>257.34030151367199</v>
      </c>
      <c r="D829" s="29">
        <f t="shared" si="24"/>
        <v>-1.3112887703780962E-2</v>
      </c>
      <c r="E829" s="29">
        <f t="shared" si="25"/>
        <v>-1.0489749274959822E-2</v>
      </c>
    </row>
    <row r="830" spans="1:5" ht="14.25" customHeight="1" x14ac:dyDescent="0.3">
      <c r="A830" s="27">
        <v>45141</v>
      </c>
      <c r="B830" s="28">
        <v>19381.650390625</v>
      </c>
      <c r="C830" s="28">
        <v>254.61476135253901</v>
      </c>
      <c r="D830" s="29">
        <f t="shared" si="24"/>
        <v>-1.059119051738649E-2</v>
      </c>
      <c r="E830" s="29">
        <f t="shared" si="25"/>
        <v>-7.4206854169113091E-3</v>
      </c>
    </row>
    <row r="831" spans="1:5" ht="14.25" customHeight="1" x14ac:dyDescent="0.3">
      <c r="A831" s="27">
        <v>45142</v>
      </c>
      <c r="B831" s="28">
        <v>19517</v>
      </c>
      <c r="C831" s="28">
        <v>254.36697387695301</v>
      </c>
      <c r="D831" s="29">
        <f t="shared" si="24"/>
        <v>-9.731858210801391E-4</v>
      </c>
      <c r="E831" s="29">
        <f t="shared" si="25"/>
        <v>6.9833892701144417E-3</v>
      </c>
    </row>
    <row r="832" spans="1:5" ht="14.25" customHeight="1" x14ac:dyDescent="0.3">
      <c r="A832" s="27">
        <v>45145</v>
      </c>
      <c r="B832" s="28">
        <v>19597.30078125</v>
      </c>
      <c r="C832" s="28">
        <v>260.66049194335898</v>
      </c>
      <c r="D832" s="29">
        <f t="shared" si="24"/>
        <v>2.4741883627747915E-2</v>
      </c>
      <c r="E832" s="29">
        <f t="shared" si="25"/>
        <v>4.1144018676026028E-3</v>
      </c>
    </row>
    <row r="833" spans="1:5" ht="14.25" customHeight="1" x14ac:dyDescent="0.3">
      <c r="A833" s="27">
        <v>45146</v>
      </c>
      <c r="B833" s="28">
        <v>19570.849609375</v>
      </c>
      <c r="C833" s="28">
        <v>258.97561645507801</v>
      </c>
      <c r="D833" s="29">
        <f t="shared" si="24"/>
        <v>-6.4638698243809269E-3</v>
      </c>
      <c r="E833" s="29">
        <f t="shared" si="25"/>
        <v>-1.349735464605796E-3</v>
      </c>
    </row>
    <row r="834" spans="1:5" ht="14.25" customHeight="1" x14ac:dyDescent="0.3">
      <c r="A834" s="27">
        <v>45147</v>
      </c>
      <c r="B834" s="28">
        <v>19632.55078125</v>
      </c>
      <c r="C834" s="28">
        <v>261.849853515625</v>
      </c>
      <c r="D834" s="29">
        <f t="shared" si="24"/>
        <v>1.1098485254674757E-2</v>
      </c>
      <c r="E834" s="29">
        <f t="shared" si="25"/>
        <v>3.1527078847636415E-3</v>
      </c>
    </row>
    <row r="835" spans="1:5" ht="14.25" customHeight="1" x14ac:dyDescent="0.3">
      <c r="A835" s="27">
        <v>45148</v>
      </c>
      <c r="B835" s="28">
        <v>19543.099609375</v>
      </c>
      <c r="C835" s="28">
        <v>260.90829467773398</v>
      </c>
      <c r="D835" s="29">
        <f t="shared" ref="D835:D898" si="26">(C835-C834)/C834</f>
        <v>-3.5957966951271889E-3</v>
      </c>
      <c r="E835" s="29">
        <f t="shared" ref="E835:E898" si="27">(B835-B834)/B834</f>
        <v>-4.5562684580156563E-3</v>
      </c>
    </row>
    <row r="836" spans="1:5" ht="14.25" customHeight="1" x14ac:dyDescent="0.3">
      <c r="A836" s="27">
        <v>45149</v>
      </c>
      <c r="B836" s="28">
        <v>19428.30078125</v>
      </c>
      <c r="C836" s="28">
        <v>266.70626831054699</v>
      </c>
      <c r="D836" s="29">
        <f t="shared" si="26"/>
        <v>2.2222266409638272E-2</v>
      </c>
      <c r="E836" s="29">
        <f t="shared" si="27"/>
        <v>-5.8741361615907628E-3</v>
      </c>
    </row>
    <row r="837" spans="1:5" ht="14.25" customHeight="1" x14ac:dyDescent="0.3">
      <c r="A837" s="27">
        <v>45152</v>
      </c>
      <c r="B837" s="28">
        <v>19434.55078125</v>
      </c>
      <c r="C837" s="28">
        <v>262.34539794921898</v>
      </c>
      <c r="D837" s="29">
        <f t="shared" si="26"/>
        <v>-1.6350835655089699E-2</v>
      </c>
      <c r="E837" s="29">
        <f t="shared" si="27"/>
        <v>3.2169565781232879E-4</v>
      </c>
    </row>
    <row r="838" spans="1:5" ht="14.25" customHeight="1" x14ac:dyDescent="0.3">
      <c r="A838" s="27">
        <v>45154</v>
      </c>
      <c r="B838" s="28">
        <v>19465</v>
      </c>
      <c r="C838" s="28">
        <v>264.82315063476602</v>
      </c>
      <c r="D838" s="29">
        <f t="shared" si="26"/>
        <v>9.444620355134466E-3</v>
      </c>
      <c r="E838" s="29">
        <f t="shared" si="27"/>
        <v>1.5667570139761961E-3</v>
      </c>
    </row>
    <row r="839" spans="1:5" ht="14.25" customHeight="1" x14ac:dyDescent="0.3">
      <c r="A839" s="27">
        <v>45155</v>
      </c>
      <c r="B839" s="28">
        <v>19365.25</v>
      </c>
      <c r="C839" s="28">
        <v>264.12936401367199</v>
      </c>
      <c r="D839" s="29">
        <f t="shared" si="26"/>
        <v>-2.6198110679941204E-3</v>
      </c>
      <c r="E839" s="29">
        <f t="shared" si="27"/>
        <v>-5.124582584125353E-3</v>
      </c>
    </row>
    <row r="840" spans="1:5" ht="14.25" customHeight="1" x14ac:dyDescent="0.3">
      <c r="A840" s="27">
        <v>45156</v>
      </c>
      <c r="B840" s="28">
        <v>19310.150390625</v>
      </c>
      <c r="C840" s="28">
        <v>265.36825561523398</v>
      </c>
      <c r="D840" s="29">
        <f t="shared" si="26"/>
        <v>4.6904728150477821E-3</v>
      </c>
      <c r="E840" s="29">
        <f t="shared" si="27"/>
        <v>-2.8452826260957128E-3</v>
      </c>
    </row>
    <row r="841" spans="1:5" ht="14.25" customHeight="1" x14ac:dyDescent="0.3">
      <c r="A841" s="27">
        <v>45159</v>
      </c>
      <c r="B841" s="28">
        <v>19393.599609375</v>
      </c>
      <c r="C841" s="28">
        <v>262.14715576171898</v>
      </c>
      <c r="D841" s="29">
        <f t="shared" si="26"/>
        <v>-1.2138225976001352E-2</v>
      </c>
      <c r="E841" s="29">
        <f t="shared" si="27"/>
        <v>4.3215209131936255E-3</v>
      </c>
    </row>
    <row r="842" spans="1:5" ht="14.25" customHeight="1" x14ac:dyDescent="0.3">
      <c r="A842" s="27">
        <v>45160</v>
      </c>
      <c r="B842" s="28">
        <v>19396.44921875</v>
      </c>
      <c r="C842" s="28">
        <v>264.82315063476602</v>
      </c>
      <c r="D842" s="29">
        <f t="shared" si="26"/>
        <v>1.0207987438472975E-2</v>
      </c>
      <c r="E842" s="29">
        <f t="shared" si="27"/>
        <v>1.4693555773021523E-4</v>
      </c>
    </row>
    <row r="843" spans="1:5" ht="14.25" customHeight="1" x14ac:dyDescent="0.3">
      <c r="A843" s="27">
        <v>45161</v>
      </c>
      <c r="B843" s="28">
        <v>19444</v>
      </c>
      <c r="C843" s="28">
        <v>265.71514892578102</v>
      </c>
      <c r="D843" s="29">
        <f t="shared" si="26"/>
        <v>3.3682791284558415E-3</v>
      </c>
      <c r="E843" s="29">
        <f t="shared" si="27"/>
        <v>2.4515199000461384E-3</v>
      </c>
    </row>
    <row r="844" spans="1:5" ht="14.25" customHeight="1" x14ac:dyDescent="0.3">
      <c r="A844" s="27">
        <v>45162</v>
      </c>
      <c r="B844" s="28">
        <v>19386.69921875</v>
      </c>
      <c r="C844" s="28">
        <v>262.84094238281301</v>
      </c>
      <c r="D844" s="29">
        <f t="shared" si="26"/>
        <v>-1.0816871204324252E-2</v>
      </c>
      <c r="E844" s="29">
        <f t="shared" si="27"/>
        <v>-2.9469646806212714E-3</v>
      </c>
    </row>
    <row r="845" spans="1:5" ht="14.25" customHeight="1" x14ac:dyDescent="0.3">
      <c r="A845" s="27">
        <v>45163</v>
      </c>
      <c r="B845" s="28">
        <v>19265.80078125</v>
      </c>
      <c r="C845" s="28">
        <v>256.69607543945301</v>
      </c>
      <c r="D845" s="29">
        <f t="shared" si="26"/>
        <v>-2.3378652076244455E-2</v>
      </c>
      <c r="E845" s="29">
        <f t="shared" si="27"/>
        <v>-6.2361537740819812E-3</v>
      </c>
    </row>
    <row r="846" spans="1:5" ht="14.25" customHeight="1" x14ac:dyDescent="0.3">
      <c r="A846" s="27">
        <v>45166</v>
      </c>
      <c r="B846" s="28">
        <v>19306.05078125</v>
      </c>
      <c r="C846" s="28">
        <v>258.77743530273398</v>
      </c>
      <c r="D846" s="29">
        <f t="shared" si="26"/>
        <v>8.1082652304588776E-3</v>
      </c>
      <c r="E846" s="29">
        <f t="shared" si="27"/>
        <v>2.089194238900902E-3</v>
      </c>
    </row>
    <row r="847" spans="1:5" ht="14.25" customHeight="1" x14ac:dyDescent="0.3">
      <c r="A847" s="27">
        <v>45167</v>
      </c>
      <c r="B847" s="28">
        <v>19342.650390625</v>
      </c>
      <c r="C847" s="28">
        <v>258.08364868164102</v>
      </c>
      <c r="D847" s="29">
        <f t="shared" si="26"/>
        <v>-2.681016682468158E-3</v>
      </c>
      <c r="E847" s="29">
        <f t="shared" si="27"/>
        <v>1.8957584743610782E-3</v>
      </c>
    </row>
    <row r="848" spans="1:5" ht="14.25" customHeight="1" x14ac:dyDescent="0.3">
      <c r="A848" s="27">
        <v>45168</v>
      </c>
      <c r="B848" s="28">
        <v>19347.44921875</v>
      </c>
      <c r="C848" s="28">
        <v>259.27297973632801</v>
      </c>
      <c r="D848" s="29">
        <f t="shared" si="26"/>
        <v>4.6083161826113491E-3</v>
      </c>
      <c r="E848" s="29">
        <f t="shared" si="27"/>
        <v>2.4809568637635602E-4</v>
      </c>
    </row>
    <row r="849" spans="1:5" ht="14.25" customHeight="1" x14ac:dyDescent="0.3">
      <c r="A849" s="27">
        <v>45169</v>
      </c>
      <c r="B849" s="28">
        <v>19253.80078125</v>
      </c>
      <c r="C849" s="28">
        <v>264.42669677734398</v>
      </c>
      <c r="D849" s="29">
        <f t="shared" si="26"/>
        <v>1.9877570914860178E-2</v>
      </c>
      <c r="E849" s="29">
        <f t="shared" si="27"/>
        <v>-4.8403506033882458E-3</v>
      </c>
    </row>
    <row r="850" spans="1:5" ht="14.25" customHeight="1" x14ac:dyDescent="0.3">
      <c r="A850" s="27">
        <v>45170</v>
      </c>
      <c r="B850" s="28">
        <v>19435.30078125</v>
      </c>
      <c r="C850" s="28">
        <v>263.38604736328102</v>
      </c>
      <c r="D850" s="29">
        <f t="shared" si="26"/>
        <v>-3.9354929995560018E-3</v>
      </c>
      <c r="E850" s="29">
        <f t="shared" si="27"/>
        <v>9.4267101889176502E-3</v>
      </c>
    </row>
    <row r="851" spans="1:5" ht="14.25" customHeight="1" x14ac:dyDescent="0.3">
      <c r="A851" s="27">
        <v>45173</v>
      </c>
      <c r="B851" s="28">
        <v>19528.80078125</v>
      </c>
      <c r="C851" s="28">
        <v>270.37332153320301</v>
      </c>
      <c r="D851" s="29">
        <f t="shared" si="26"/>
        <v>2.6528642044142289E-2</v>
      </c>
      <c r="E851" s="29">
        <f t="shared" si="27"/>
        <v>4.8108337016426897E-3</v>
      </c>
    </row>
    <row r="852" spans="1:5" ht="14.25" customHeight="1" x14ac:dyDescent="0.3">
      <c r="A852" s="27">
        <v>45174</v>
      </c>
      <c r="B852" s="28">
        <v>19574.900390625</v>
      </c>
      <c r="C852" s="28">
        <v>269.63000488281301</v>
      </c>
      <c r="D852" s="29">
        <f t="shared" si="26"/>
        <v>-2.7492233559690067E-3</v>
      </c>
      <c r="E852" s="29">
        <f t="shared" si="27"/>
        <v>2.3605960187407502E-3</v>
      </c>
    </row>
    <row r="853" spans="1:5" ht="14.25" customHeight="1" x14ac:dyDescent="0.3">
      <c r="A853" s="27">
        <v>45175</v>
      </c>
      <c r="B853" s="28">
        <v>19611.05078125</v>
      </c>
      <c r="C853" s="28">
        <v>270.52200317382801</v>
      </c>
      <c r="D853" s="29">
        <f t="shared" si="26"/>
        <v>3.3082308157902579E-3</v>
      </c>
      <c r="E853" s="29">
        <f t="shared" si="27"/>
        <v>1.8467726478094107E-3</v>
      </c>
    </row>
    <row r="854" spans="1:5" ht="14.25" customHeight="1" x14ac:dyDescent="0.3">
      <c r="A854" s="27">
        <v>45176</v>
      </c>
      <c r="B854" s="28">
        <v>19727.05078125</v>
      </c>
      <c r="C854" s="28">
        <v>271.56268310546898</v>
      </c>
      <c r="D854" s="29">
        <f t="shared" si="26"/>
        <v>3.8469326688086863E-3</v>
      </c>
      <c r="E854" s="29">
        <f t="shared" si="27"/>
        <v>5.9150323607803238E-3</v>
      </c>
    </row>
    <row r="855" spans="1:5" ht="14.25" customHeight="1" x14ac:dyDescent="0.3">
      <c r="A855" s="27">
        <v>45177</v>
      </c>
      <c r="B855" s="28">
        <v>19819.94921875</v>
      </c>
      <c r="C855" s="28">
        <v>271.01754760742199</v>
      </c>
      <c r="D855" s="29">
        <f t="shared" si="26"/>
        <v>-2.0074020915284226E-3</v>
      </c>
      <c r="E855" s="29">
        <f t="shared" si="27"/>
        <v>4.7091903665750848E-3</v>
      </c>
    </row>
    <row r="856" spans="1:5" ht="14.25" customHeight="1" x14ac:dyDescent="0.3">
      <c r="A856" s="27">
        <v>45180</v>
      </c>
      <c r="B856" s="28">
        <v>19996.349609375</v>
      </c>
      <c r="C856" s="28">
        <v>274.98196411132801</v>
      </c>
      <c r="D856" s="29">
        <f t="shared" si="26"/>
        <v>1.462789601228557E-2</v>
      </c>
      <c r="E856" s="29">
        <f t="shared" si="27"/>
        <v>8.9001434200508597E-3</v>
      </c>
    </row>
    <row r="857" spans="1:5" ht="14.25" customHeight="1" x14ac:dyDescent="0.3">
      <c r="A857" s="27">
        <v>45181</v>
      </c>
      <c r="B857" s="28">
        <v>19993.19921875</v>
      </c>
      <c r="C857" s="28">
        <v>264.079833984375</v>
      </c>
      <c r="D857" s="29">
        <f t="shared" si="26"/>
        <v>-3.9646709783988675E-2</v>
      </c>
      <c r="E857" s="29">
        <f t="shared" si="27"/>
        <v>-1.5754828688947231E-4</v>
      </c>
    </row>
    <row r="858" spans="1:5" ht="14.25" customHeight="1" x14ac:dyDescent="0.3">
      <c r="A858" s="27">
        <v>45182</v>
      </c>
      <c r="B858" s="28">
        <v>20070</v>
      </c>
      <c r="C858" s="28">
        <v>265.26913452148398</v>
      </c>
      <c r="D858" s="29">
        <f t="shared" si="26"/>
        <v>4.5035643924986159E-3</v>
      </c>
      <c r="E858" s="29">
        <f t="shared" si="27"/>
        <v>3.8413452699443307E-3</v>
      </c>
    </row>
    <row r="859" spans="1:5" ht="14.25" customHeight="1" x14ac:dyDescent="0.3">
      <c r="A859" s="27">
        <v>45183</v>
      </c>
      <c r="B859" s="28">
        <v>20103.099609375</v>
      </c>
      <c r="C859" s="28">
        <v>266.35934448242199</v>
      </c>
      <c r="D859" s="29">
        <f t="shared" si="26"/>
        <v>4.1098259053192494E-3</v>
      </c>
      <c r="E859" s="29">
        <f t="shared" si="27"/>
        <v>1.6492082399103139E-3</v>
      </c>
    </row>
    <row r="860" spans="1:5" ht="14.25" customHeight="1" x14ac:dyDescent="0.3">
      <c r="A860" s="27">
        <v>45184</v>
      </c>
      <c r="B860" s="28">
        <v>20192.349609375</v>
      </c>
      <c r="C860" s="28">
        <v>265.86380004882801</v>
      </c>
      <c r="D860" s="29">
        <f t="shared" si="26"/>
        <v>-1.8604357003389463E-3</v>
      </c>
      <c r="E860" s="29">
        <f t="shared" si="27"/>
        <v>4.439613877174375E-3</v>
      </c>
    </row>
    <row r="861" spans="1:5" ht="14.25" customHeight="1" x14ac:dyDescent="0.3">
      <c r="A861" s="27">
        <v>45187</v>
      </c>
      <c r="B861" s="28">
        <v>20133.30078125</v>
      </c>
      <c r="C861" s="28">
        <v>263.58428955078102</v>
      </c>
      <c r="D861" s="29">
        <f t="shared" si="26"/>
        <v>-8.5739784717902105E-3</v>
      </c>
      <c r="E861" s="29">
        <f t="shared" si="27"/>
        <v>-2.9243168460982138E-3</v>
      </c>
    </row>
    <row r="862" spans="1:5" ht="14.25" customHeight="1" x14ac:dyDescent="0.3">
      <c r="A862" s="27">
        <v>45189</v>
      </c>
      <c r="B862" s="28">
        <v>19901.400390625</v>
      </c>
      <c r="C862" s="28">
        <v>259.520751953125</v>
      </c>
      <c r="D862" s="29">
        <f t="shared" si="26"/>
        <v>-1.5416463570652829E-2</v>
      </c>
      <c r="E862" s="29">
        <f t="shared" si="27"/>
        <v>-1.1518249945432057E-2</v>
      </c>
    </row>
    <row r="863" spans="1:5" ht="14.25" customHeight="1" x14ac:dyDescent="0.3">
      <c r="A863" s="27">
        <v>45190</v>
      </c>
      <c r="B863" s="28">
        <v>19742.349609375</v>
      </c>
      <c r="C863" s="28">
        <v>255.75451660156301</v>
      </c>
      <c r="D863" s="29">
        <f t="shared" si="26"/>
        <v>-1.4512270495587386E-2</v>
      </c>
      <c r="E863" s="29">
        <f t="shared" si="27"/>
        <v>-7.9919391664982752E-3</v>
      </c>
    </row>
    <row r="864" spans="1:5" ht="14.25" customHeight="1" x14ac:dyDescent="0.3">
      <c r="A864" s="27">
        <v>45191</v>
      </c>
      <c r="B864" s="28">
        <v>19674.25</v>
      </c>
      <c r="C864" s="28">
        <v>253.92100524902301</v>
      </c>
      <c r="D864" s="29">
        <f t="shared" si="26"/>
        <v>-7.1690282420169586E-3</v>
      </c>
      <c r="E864" s="29">
        <f t="shared" si="27"/>
        <v>-3.4494176591149876E-3</v>
      </c>
    </row>
    <row r="865" spans="1:5" ht="14.25" customHeight="1" x14ac:dyDescent="0.3">
      <c r="A865" s="27">
        <v>45194</v>
      </c>
      <c r="B865" s="28">
        <v>19674.55078125</v>
      </c>
      <c r="C865" s="28">
        <v>256.59695434570301</v>
      </c>
      <c r="D865" s="29">
        <f t="shared" si="26"/>
        <v>1.0538510171916139E-2</v>
      </c>
      <c r="E865" s="29">
        <f t="shared" si="27"/>
        <v>1.5288066889462116E-5</v>
      </c>
    </row>
    <row r="866" spans="1:5" ht="14.25" customHeight="1" x14ac:dyDescent="0.3">
      <c r="A866" s="27">
        <v>45195</v>
      </c>
      <c r="B866" s="28">
        <v>19664.69921875</v>
      </c>
      <c r="C866" s="28">
        <v>254.51564025878901</v>
      </c>
      <c r="D866" s="29">
        <f t="shared" si="26"/>
        <v>-8.1112189823965442E-3</v>
      </c>
      <c r="E866" s="29">
        <f t="shared" si="27"/>
        <v>-5.0072617207548218E-4</v>
      </c>
    </row>
    <row r="867" spans="1:5" ht="14.25" customHeight="1" x14ac:dyDescent="0.3">
      <c r="A867" s="27">
        <v>45196</v>
      </c>
      <c r="B867" s="28">
        <v>19716.44921875</v>
      </c>
      <c r="C867" s="28">
        <v>257.83584594726602</v>
      </c>
      <c r="D867" s="29">
        <f t="shared" si="26"/>
        <v>1.3045193156306877E-2</v>
      </c>
      <c r="E867" s="29">
        <f t="shared" si="27"/>
        <v>2.6316191986632139E-3</v>
      </c>
    </row>
    <row r="868" spans="1:5" ht="14.25" customHeight="1" x14ac:dyDescent="0.3">
      <c r="A868" s="27">
        <v>45197</v>
      </c>
      <c r="B868" s="28">
        <v>19523.55078125</v>
      </c>
      <c r="C868" s="28">
        <v>255.75451660156301</v>
      </c>
      <c r="D868" s="29">
        <f t="shared" si="26"/>
        <v>-8.0723040586400691E-3</v>
      </c>
      <c r="E868" s="29">
        <f t="shared" si="27"/>
        <v>-9.7836296667737181E-3</v>
      </c>
    </row>
    <row r="869" spans="1:5" ht="14.25" customHeight="1" x14ac:dyDescent="0.3">
      <c r="A869" s="27">
        <v>45198</v>
      </c>
      <c r="B869" s="28">
        <v>19638.30078125</v>
      </c>
      <c r="C869" s="28">
        <v>258.28186035156301</v>
      </c>
      <c r="D869" s="29">
        <f t="shared" si="26"/>
        <v>9.8819124822625108E-3</v>
      </c>
      <c r="E869" s="29">
        <f t="shared" si="27"/>
        <v>5.8775169171687482E-3</v>
      </c>
    </row>
    <row r="870" spans="1:5" ht="14.25" customHeight="1" x14ac:dyDescent="0.3">
      <c r="A870" s="27">
        <v>45202</v>
      </c>
      <c r="B870" s="28">
        <v>19528.75</v>
      </c>
      <c r="C870" s="28">
        <v>257.68719482421898</v>
      </c>
      <c r="D870" s="29">
        <f t="shared" si="26"/>
        <v>-2.3023898253427444E-3</v>
      </c>
      <c r="E870" s="29">
        <f t="shared" si="27"/>
        <v>-5.5784246544688561E-3</v>
      </c>
    </row>
    <row r="871" spans="1:5" ht="14.25" customHeight="1" x14ac:dyDescent="0.3">
      <c r="A871" s="27">
        <v>45203</v>
      </c>
      <c r="B871" s="28">
        <v>19436.099609375</v>
      </c>
      <c r="C871" s="28">
        <v>254.36697387695301</v>
      </c>
      <c r="D871" s="29">
        <f t="shared" si="26"/>
        <v>-1.2884695141839901E-2</v>
      </c>
      <c r="E871" s="29">
        <f t="shared" si="27"/>
        <v>-4.7443072713307301E-3</v>
      </c>
    </row>
    <row r="872" spans="1:5" ht="14.25" customHeight="1" x14ac:dyDescent="0.3">
      <c r="A872" s="27">
        <v>45204</v>
      </c>
      <c r="B872" s="28">
        <v>19545.75</v>
      </c>
      <c r="C872" s="28">
        <v>254.36697387695301</v>
      </c>
      <c r="D872" s="29">
        <f t="shared" si="26"/>
        <v>0</v>
      </c>
      <c r="E872" s="29">
        <f t="shared" si="27"/>
        <v>5.6415841052857201E-3</v>
      </c>
    </row>
    <row r="873" spans="1:5" ht="14.25" customHeight="1" x14ac:dyDescent="0.3">
      <c r="A873" s="27">
        <v>45205</v>
      </c>
      <c r="B873" s="28">
        <v>19653.5</v>
      </c>
      <c r="C873" s="28">
        <v>256.69607543945301</v>
      </c>
      <c r="D873" s="29">
        <f t="shared" si="26"/>
        <v>9.1564621263555829E-3</v>
      </c>
      <c r="E873" s="29">
        <f t="shared" si="27"/>
        <v>5.512707366051443E-3</v>
      </c>
    </row>
    <row r="874" spans="1:5" ht="14.25" customHeight="1" x14ac:dyDescent="0.3">
      <c r="A874" s="27">
        <v>45208</v>
      </c>
      <c r="B874" s="28">
        <v>19512.349609375</v>
      </c>
      <c r="C874" s="28">
        <v>252.73165893554699</v>
      </c>
      <c r="D874" s="29">
        <f t="shared" si="26"/>
        <v>-1.5444009017742505E-2</v>
      </c>
      <c r="E874" s="29">
        <f t="shared" si="27"/>
        <v>-7.181946758847025E-3</v>
      </c>
    </row>
    <row r="875" spans="1:5" ht="14.25" customHeight="1" x14ac:dyDescent="0.3">
      <c r="A875" s="27">
        <v>45209</v>
      </c>
      <c r="B875" s="28">
        <v>19689.849609375</v>
      </c>
      <c r="C875" s="28">
        <v>256.10140991210898</v>
      </c>
      <c r="D875" s="29">
        <f t="shared" si="26"/>
        <v>1.333331562319765E-2</v>
      </c>
      <c r="E875" s="29">
        <f t="shared" si="27"/>
        <v>9.0968029762401072E-3</v>
      </c>
    </row>
    <row r="876" spans="1:5" ht="14.25" customHeight="1" x14ac:dyDescent="0.3">
      <c r="A876" s="27">
        <v>45210</v>
      </c>
      <c r="B876" s="28">
        <v>19811.349609375</v>
      </c>
      <c r="C876" s="28">
        <v>260.66049194335898</v>
      </c>
      <c r="D876" s="29">
        <f t="shared" si="26"/>
        <v>1.7801862288905883E-2</v>
      </c>
      <c r="E876" s="29">
        <f t="shared" si="27"/>
        <v>6.1706921287072586E-3</v>
      </c>
    </row>
    <row r="877" spans="1:5" ht="14.25" customHeight="1" x14ac:dyDescent="0.3">
      <c r="A877" s="27">
        <v>45211</v>
      </c>
      <c r="B877" s="28">
        <v>19794</v>
      </c>
      <c r="C877" s="28">
        <v>262.44448852539102</v>
      </c>
      <c r="D877" s="29">
        <f t="shared" si="26"/>
        <v>6.8441387827185745E-3</v>
      </c>
      <c r="E877" s="29">
        <f t="shared" si="27"/>
        <v>-8.7574091200681898E-4</v>
      </c>
    </row>
    <row r="878" spans="1:5" ht="14.25" customHeight="1" x14ac:dyDescent="0.3">
      <c r="A878" s="27">
        <v>45212</v>
      </c>
      <c r="B878" s="28">
        <v>19751.05078125</v>
      </c>
      <c r="C878" s="28">
        <v>260.16494750976602</v>
      </c>
      <c r="D878" s="29">
        <f t="shared" si="26"/>
        <v>-8.685802580321509E-3</v>
      </c>
      <c r="E878" s="29">
        <f t="shared" si="27"/>
        <v>-2.1698099802970596E-3</v>
      </c>
    </row>
    <row r="879" spans="1:5" ht="14.25" customHeight="1" x14ac:dyDescent="0.3">
      <c r="A879" s="27">
        <v>45215</v>
      </c>
      <c r="B879" s="28">
        <v>19731.75</v>
      </c>
      <c r="C879" s="28">
        <v>262.09759521484398</v>
      </c>
      <c r="D879" s="29">
        <f t="shared" si="26"/>
        <v>7.4285476332487379E-3</v>
      </c>
      <c r="E879" s="29">
        <f t="shared" si="27"/>
        <v>-9.7720275562870559E-4</v>
      </c>
    </row>
    <row r="880" spans="1:5" ht="14.25" customHeight="1" x14ac:dyDescent="0.3">
      <c r="A880" s="27">
        <v>45216</v>
      </c>
      <c r="B880" s="28">
        <v>19811.5</v>
      </c>
      <c r="C880" s="28">
        <v>266.40890502929699</v>
      </c>
      <c r="D880" s="29">
        <f t="shared" si="26"/>
        <v>1.6449253610736063E-2</v>
      </c>
      <c r="E880" s="29">
        <f t="shared" si="27"/>
        <v>4.0417094276990126E-3</v>
      </c>
    </row>
    <row r="881" spans="1:5" ht="14.25" customHeight="1" x14ac:dyDescent="0.3">
      <c r="A881" s="27">
        <v>45217</v>
      </c>
      <c r="B881" s="28">
        <v>19671.099609375</v>
      </c>
      <c r="C881" s="28">
        <v>264.67446899414102</v>
      </c>
      <c r="D881" s="29">
        <f t="shared" si="26"/>
        <v>-6.5104281516611831E-3</v>
      </c>
      <c r="E881" s="29">
        <f t="shared" si="27"/>
        <v>-7.0868127413371024E-3</v>
      </c>
    </row>
    <row r="882" spans="1:5" ht="14.25" customHeight="1" x14ac:dyDescent="0.3">
      <c r="A882" s="27">
        <v>45218</v>
      </c>
      <c r="B882" s="28">
        <v>19624.69921875</v>
      </c>
      <c r="C882" s="28">
        <v>263.08871459960898</v>
      </c>
      <c r="D882" s="29">
        <f t="shared" si="26"/>
        <v>-5.9913387209521475E-3</v>
      </c>
      <c r="E882" s="29">
        <f t="shared" si="27"/>
        <v>-2.3588102112444267E-3</v>
      </c>
    </row>
    <row r="883" spans="1:5" ht="14.25" customHeight="1" x14ac:dyDescent="0.3">
      <c r="A883" s="27">
        <v>45219</v>
      </c>
      <c r="B883" s="28">
        <v>19542.650390625</v>
      </c>
      <c r="C883" s="28">
        <v>255.75451660156301</v>
      </c>
      <c r="D883" s="29">
        <f t="shared" si="26"/>
        <v>-2.7877280898223927E-2</v>
      </c>
      <c r="E883" s="29">
        <f t="shared" si="27"/>
        <v>-4.1808960845936532E-3</v>
      </c>
    </row>
    <row r="884" spans="1:5" ht="14.25" customHeight="1" x14ac:dyDescent="0.3">
      <c r="A884" s="27">
        <v>45222</v>
      </c>
      <c r="B884" s="28">
        <v>19281.75</v>
      </c>
      <c r="C884" s="28">
        <v>249.31236267089801</v>
      </c>
      <c r="D884" s="29">
        <f t="shared" si="26"/>
        <v>-2.5188817840903106E-2</v>
      </c>
      <c r="E884" s="29">
        <f t="shared" si="27"/>
        <v>-1.3350307425555702E-2</v>
      </c>
    </row>
    <row r="885" spans="1:5" ht="14.25" customHeight="1" x14ac:dyDescent="0.3">
      <c r="A885" s="27">
        <v>45224</v>
      </c>
      <c r="B885" s="28">
        <v>19122.150390625</v>
      </c>
      <c r="C885" s="28">
        <v>247.9248046875</v>
      </c>
      <c r="D885" s="29">
        <f t="shared" si="26"/>
        <v>-5.5655402264573684E-3</v>
      </c>
      <c r="E885" s="29">
        <f t="shared" si="27"/>
        <v>-8.2772367329210263E-3</v>
      </c>
    </row>
    <row r="886" spans="1:5" ht="14.25" customHeight="1" x14ac:dyDescent="0.3">
      <c r="A886" s="27">
        <v>45225</v>
      </c>
      <c r="B886" s="28">
        <v>18857.25</v>
      </c>
      <c r="C886" s="28">
        <v>244.00994873046901</v>
      </c>
      <c r="D886" s="29">
        <f t="shared" si="26"/>
        <v>-1.5790497291973366E-2</v>
      </c>
      <c r="E886" s="29">
        <f t="shared" si="27"/>
        <v>-1.385306491234754E-2</v>
      </c>
    </row>
    <row r="887" spans="1:5" ht="14.25" customHeight="1" x14ac:dyDescent="0.3">
      <c r="A887" s="27">
        <v>45226</v>
      </c>
      <c r="B887" s="28">
        <v>19047.25</v>
      </c>
      <c r="C887" s="28">
        <v>249.16369628906301</v>
      </c>
      <c r="D887" s="29">
        <f t="shared" si="26"/>
        <v>2.1121055044713708E-2</v>
      </c>
      <c r="E887" s="29">
        <f t="shared" si="27"/>
        <v>1.007570032746026E-2</v>
      </c>
    </row>
    <row r="888" spans="1:5" ht="14.25" customHeight="1" x14ac:dyDescent="0.3">
      <c r="A888" s="27">
        <v>45229</v>
      </c>
      <c r="B888" s="28">
        <v>19140.900390625</v>
      </c>
      <c r="C888" s="28">
        <v>252.03790283203099</v>
      </c>
      <c r="D888" s="29">
        <f t="shared" si="26"/>
        <v>1.1535414612060984E-2</v>
      </c>
      <c r="E888" s="29">
        <f t="shared" si="27"/>
        <v>4.9167407696649118E-3</v>
      </c>
    </row>
    <row r="889" spans="1:5" ht="14.25" customHeight="1" x14ac:dyDescent="0.3">
      <c r="A889" s="27">
        <v>45230</v>
      </c>
      <c r="B889" s="28">
        <v>19079.599609375</v>
      </c>
      <c r="C889" s="28">
        <v>253.12811279296901</v>
      </c>
      <c r="D889" s="29">
        <f t="shared" si="26"/>
        <v>4.325579401700445E-3</v>
      </c>
      <c r="E889" s="29">
        <f t="shared" si="27"/>
        <v>-3.2026069828995319E-3</v>
      </c>
    </row>
    <row r="890" spans="1:5" ht="14.25" customHeight="1" x14ac:dyDescent="0.3">
      <c r="A890" s="27">
        <v>45231</v>
      </c>
      <c r="B890" s="28">
        <v>18989.150390625</v>
      </c>
      <c r="C890" s="28">
        <v>250.204345703125</v>
      </c>
      <c r="D890" s="29">
        <f t="shared" si="26"/>
        <v>-1.1550542757118906E-2</v>
      </c>
      <c r="E890" s="29">
        <f t="shared" si="27"/>
        <v>-4.7406245729368791E-3</v>
      </c>
    </row>
    <row r="891" spans="1:5" ht="14.25" customHeight="1" x14ac:dyDescent="0.3">
      <c r="A891" s="27">
        <v>45232</v>
      </c>
      <c r="B891" s="28">
        <v>19133.25</v>
      </c>
      <c r="C891" s="28">
        <v>255.65545654296901</v>
      </c>
      <c r="D891" s="29">
        <f t="shared" si="26"/>
        <v>2.178663533810845E-2</v>
      </c>
      <c r="E891" s="29">
        <f t="shared" si="27"/>
        <v>7.5885232572670764E-3</v>
      </c>
    </row>
    <row r="892" spans="1:5" ht="14.25" customHeight="1" x14ac:dyDescent="0.3">
      <c r="A892" s="27">
        <v>45233</v>
      </c>
      <c r="B892" s="28">
        <v>19230.599609375</v>
      </c>
      <c r="C892" s="28">
        <v>253.82189941406301</v>
      </c>
      <c r="D892" s="29">
        <f t="shared" si="26"/>
        <v>-7.1719851150441657E-3</v>
      </c>
      <c r="E892" s="29">
        <f t="shared" si="27"/>
        <v>5.0879808383311777E-3</v>
      </c>
    </row>
    <row r="893" spans="1:5" ht="14.25" customHeight="1" x14ac:dyDescent="0.3">
      <c r="A893" s="27">
        <v>45236</v>
      </c>
      <c r="B893" s="28">
        <v>19411.75</v>
      </c>
      <c r="C893" s="28">
        <v>265.36825561523398</v>
      </c>
      <c r="D893" s="29">
        <f t="shared" si="26"/>
        <v>4.5489992107951419E-2</v>
      </c>
      <c r="E893" s="29">
        <f t="shared" si="27"/>
        <v>9.4199033989916994E-3</v>
      </c>
    </row>
    <row r="894" spans="1:5" ht="14.25" customHeight="1" x14ac:dyDescent="0.3">
      <c r="A894" s="27">
        <v>45237</v>
      </c>
      <c r="B894" s="28">
        <v>19406.69921875</v>
      </c>
      <c r="C894" s="28">
        <v>265.71514892578102</v>
      </c>
      <c r="D894" s="29">
        <f t="shared" si="26"/>
        <v>1.3072147975755524E-3</v>
      </c>
      <c r="E894" s="29">
        <f t="shared" si="27"/>
        <v>-2.6019195847875644E-4</v>
      </c>
    </row>
    <row r="895" spans="1:5" ht="14.25" customHeight="1" x14ac:dyDescent="0.3">
      <c r="A895" s="27">
        <v>45238</v>
      </c>
      <c r="B895" s="28">
        <v>19443.5</v>
      </c>
      <c r="C895" s="28">
        <v>264.03024291992199</v>
      </c>
      <c r="D895" s="29">
        <f t="shared" si="26"/>
        <v>-6.3410235083347028E-3</v>
      </c>
      <c r="E895" s="29">
        <f t="shared" si="27"/>
        <v>1.8962926582818634E-3</v>
      </c>
    </row>
    <row r="896" spans="1:5" ht="14.25" customHeight="1" x14ac:dyDescent="0.3">
      <c r="A896" s="27">
        <v>45239</v>
      </c>
      <c r="B896" s="28">
        <v>19395.30078125</v>
      </c>
      <c r="C896" s="28">
        <v>266.309814453125</v>
      </c>
      <c r="D896" s="29">
        <f t="shared" si="26"/>
        <v>8.6337516035781738E-3</v>
      </c>
      <c r="E896" s="29">
        <f t="shared" si="27"/>
        <v>-2.4789373698151053E-3</v>
      </c>
    </row>
    <row r="897" spans="1:5" ht="14.25" customHeight="1" x14ac:dyDescent="0.3">
      <c r="A897" s="27">
        <v>45240</v>
      </c>
      <c r="B897" s="28">
        <v>19425.349609375</v>
      </c>
      <c r="C897" s="28">
        <v>265.76470947265602</v>
      </c>
      <c r="D897" s="29">
        <f t="shared" si="26"/>
        <v>-2.0468828067353299E-3</v>
      </c>
      <c r="E897" s="29">
        <f t="shared" si="27"/>
        <v>1.5492839458333678E-3</v>
      </c>
    </row>
    <row r="898" spans="1:5" ht="14.25" customHeight="1" x14ac:dyDescent="0.3">
      <c r="A898" s="27">
        <v>45243</v>
      </c>
      <c r="B898" s="28">
        <v>19443.55078125</v>
      </c>
      <c r="C898" s="28">
        <v>269.38220214843801</v>
      </c>
      <c r="D898" s="29">
        <f t="shared" si="26"/>
        <v>1.3611636710381915E-2</v>
      </c>
      <c r="E898" s="29">
        <f t="shared" si="27"/>
        <v>9.3698040143461864E-4</v>
      </c>
    </row>
    <row r="899" spans="1:5" ht="14.25" customHeight="1" x14ac:dyDescent="0.3">
      <c r="A899" s="27">
        <v>45245</v>
      </c>
      <c r="B899" s="28">
        <v>19675.44921875</v>
      </c>
      <c r="C899" s="28">
        <v>269.87777709960898</v>
      </c>
      <c r="D899" s="29">
        <f t="shared" ref="D899:D962" si="28">(C899-C898)/C898</f>
        <v>1.8396722100366832E-3</v>
      </c>
      <c r="E899" s="29">
        <f t="shared" ref="E899:E962" si="29">(B899-B898)/B898</f>
        <v>1.1926753508604336E-2</v>
      </c>
    </row>
    <row r="900" spans="1:5" ht="14.25" customHeight="1" x14ac:dyDescent="0.3">
      <c r="A900" s="27">
        <v>45246</v>
      </c>
      <c r="B900" s="28">
        <v>19765.19921875</v>
      </c>
      <c r="C900" s="28">
        <v>269.72912597656301</v>
      </c>
      <c r="D900" s="29">
        <f t="shared" si="28"/>
        <v>-5.5080905380030598E-4</v>
      </c>
      <c r="E900" s="29">
        <f t="shared" si="29"/>
        <v>4.5615222809993819E-3</v>
      </c>
    </row>
    <row r="901" spans="1:5" ht="14.25" customHeight="1" x14ac:dyDescent="0.3">
      <c r="A901" s="27">
        <v>45247</v>
      </c>
      <c r="B901" s="28">
        <v>19731.80078125</v>
      </c>
      <c r="C901" s="28">
        <v>278.59951782226602</v>
      </c>
      <c r="D901" s="29">
        <f t="shared" si="28"/>
        <v>3.2886295885130951E-2</v>
      </c>
      <c r="E901" s="29">
        <f t="shared" si="29"/>
        <v>-1.6897597201204532E-3</v>
      </c>
    </row>
    <row r="902" spans="1:5" ht="14.25" customHeight="1" x14ac:dyDescent="0.3">
      <c r="A902" s="27">
        <v>45250</v>
      </c>
      <c r="B902" s="28">
        <v>19694</v>
      </c>
      <c r="C902" s="28">
        <v>279.44195556640602</v>
      </c>
      <c r="D902" s="29">
        <f t="shared" si="28"/>
        <v>3.0238305892454458E-3</v>
      </c>
      <c r="E902" s="29">
        <f t="shared" si="29"/>
        <v>-1.9157289123818803E-3</v>
      </c>
    </row>
    <row r="903" spans="1:5" ht="14.25" customHeight="1" x14ac:dyDescent="0.3">
      <c r="A903" s="27">
        <v>45251</v>
      </c>
      <c r="B903" s="28">
        <v>19783.400390625</v>
      </c>
      <c r="C903" s="28">
        <v>283.05947875976602</v>
      </c>
      <c r="D903" s="29">
        <f t="shared" si="28"/>
        <v>1.2945526329529064E-2</v>
      </c>
      <c r="E903" s="29">
        <f t="shared" si="29"/>
        <v>4.5394734754239871E-3</v>
      </c>
    </row>
    <row r="904" spans="1:5" ht="14.25" customHeight="1" x14ac:dyDescent="0.3">
      <c r="A904" s="27">
        <v>45252</v>
      </c>
      <c r="B904" s="28">
        <v>19811.849609375</v>
      </c>
      <c r="C904" s="28">
        <v>280.58169555664102</v>
      </c>
      <c r="D904" s="29">
        <f t="shared" si="28"/>
        <v>-8.7535779193174696E-3</v>
      </c>
      <c r="E904" s="29">
        <f t="shared" si="29"/>
        <v>1.438034826585301E-3</v>
      </c>
    </row>
    <row r="905" spans="1:5" ht="14.25" customHeight="1" x14ac:dyDescent="0.3">
      <c r="A905" s="27">
        <v>45253</v>
      </c>
      <c r="B905" s="28">
        <v>19802</v>
      </c>
      <c r="C905" s="28">
        <v>281.07723999023398</v>
      </c>
      <c r="D905" s="29">
        <f t="shared" si="28"/>
        <v>1.7661324364365695E-3</v>
      </c>
      <c r="E905" s="29">
        <f t="shared" si="29"/>
        <v>-4.9715748752398909E-4</v>
      </c>
    </row>
    <row r="906" spans="1:5" ht="14.25" customHeight="1" x14ac:dyDescent="0.3">
      <c r="A906" s="27">
        <v>45254</v>
      </c>
      <c r="B906" s="28">
        <v>19794.69921875</v>
      </c>
      <c r="C906" s="28">
        <v>278.99594116210898</v>
      </c>
      <c r="D906" s="29">
        <f t="shared" si="28"/>
        <v>-7.4047220194609666E-3</v>
      </c>
      <c r="E906" s="29">
        <f t="shared" si="29"/>
        <v>-3.6868908443591557E-4</v>
      </c>
    </row>
    <row r="907" spans="1:5" ht="14.25" customHeight="1" x14ac:dyDescent="0.3">
      <c r="A907" s="27">
        <v>45258</v>
      </c>
      <c r="B907" s="28">
        <v>19889.69921875</v>
      </c>
      <c r="C907" s="28">
        <v>280.77990722656301</v>
      </c>
      <c r="D907" s="29">
        <f t="shared" si="28"/>
        <v>6.3942366223079614E-3</v>
      </c>
      <c r="E907" s="29">
        <f t="shared" si="29"/>
        <v>4.7992646389905125E-3</v>
      </c>
    </row>
    <row r="908" spans="1:5" ht="14.25" customHeight="1" x14ac:dyDescent="0.3">
      <c r="A908" s="27">
        <v>45259</v>
      </c>
      <c r="B908" s="28">
        <v>20096.599609375</v>
      </c>
      <c r="C908" s="28">
        <v>282.51437377929699</v>
      </c>
      <c r="D908" s="29">
        <f t="shared" si="28"/>
        <v>6.1773172085794071E-3</v>
      </c>
      <c r="E908" s="29">
        <f t="shared" si="29"/>
        <v>1.0402389113554579E-2</v>
      </c>
    </row>
    <row r="909" spans="1:5" ht="14.25" customHeight="1" x14ac:dyDescent="0.3">
      <c r="A909" s="27">
        <v>45260</v>
      </c>
      <c r="B909" s="28">
        <v>20133.150390625</v>
      </c>
      <c r="C909" s="28">
        <v>282.217041015625</v>
      </c>
      <c r="D909" s="29">
        <f t="shared" si="28"/>
        <v>-1.0524518087149362E-3</v>
      </c>
      <c r="E909" s="29">
        <f t="shared" si="29"/>
        <v>1.8187545137212753E-3</v>
      </c>
    </row>
    <row r="910" spans="1:5" ht="14.25" customHeight="1" x14ac:dyDescent="0.3">
      <c r="A910" s="27">
        <v>45261</v>
      </c>
      <c r="B910" s="28">
        <v>20267.900390625</v>
      </c>
      <c r="C910" s="28">
        <v>288.90701293945301</v>
      </c>
      <c r="D910" s="29">
        <f t="shared" si="28"/>
        <v>2.3705060118809834E-2</v>
      </c>
      <c r="E910" s="29">
        <f t="shared" si="29"/>
        <v>6.6929416105065368E-3</v>
      </c>
    </row>
    <row r="911" spans="1:5" ht="14.25" customHeight="1" x14ac:dyDescent="0.3">
      <c r="A911" s="27">
        <v>45264</v>
      </c>
      <c r="B911" s="28">
        <v>20686.80078125</v>
      </c>
      <c r="C911" s="28">
        <v>291.236083984375</v>
      </c>
      <c r="D911" s="29">
        <f t="shared" si="28"/>
        <v>8.0616632362956794E-3</v>
      </c>
      <c r="E911" s="29">
        <f t="shared" si="29"/>
        <v>2.0668169003769332E-2</v>
      </c>
    </row>
    <row r="912" spans="1:5" ht="14.25" customHeight="1" x14ac:dyDescent="0.3">
      <c r="A912" s="27">
        <v>45265</v>
      </c>
      <c r="B912" s="28">
        <v>20855.099609375</v>
      </c>
      <c r="C912" s="28">
        <v>289.69985961914102</v>
      </c>
      <c r="D912" s="29">
        <f t="shared" si="28"/>
        <v>-5.2748421288221848E-3</v>
      </c>
      <c r="E912" s="29">
        <f t="shared" si="29"/>
        <v>8.1355657602475619E-3</v>
      </c>
    </row>
    <row r="913" spans="1:5" ht="14.25" customHeight="1" x14ac:dyDescent="0.3">
      <c r="A913" s="27">
        <v>45266</v>
      </c>
      <c r="B913" s="28">
        <v>20937.69921875</v>
      </c>
      <c r="C913" s="28">
        <v>288.36187744140602</v>
      </c>
      <c r="D913" s="29">
        <f t="shared" si="28"/>
        <v>-4.6185116537301807E-3</v>
      </c>
      <c r="E913" s="29">
        <f t="shared" si="29"/>
        <v>3.9606432442005199E-3</v>
      </c>
    </row>
    <row r="914" spans="1:5" ht="14.25" customHeight="1" x14ac:dyDescent="0.3">
      <c r="A914" s="27">
        <v>45267</v>
      </c>
      <c r="B914" s="28">
        <v>20901.150390625</v>
      </c>
      <c r="C914" s="28">
        <v>292.22717285156301</v>
      </c>
      <c r="D914" s="29">
        <f t="shared" si="28"/>
        <v>1.3404321834956847E-2</v>
      </c>
      <c r="E914" s="29">
        <f t="shared" si="29"/>
        <v>-1.7455990623969808E-3</v>
      </c>
    </row>
    <row r="915" spans="1:5" ht="14.25" customHeight="1" x14ac:dyDescent="0.3">
      <c r="A915" s="27">
        <v>45268</v>
      </c>
      <c r="B915" s="28">
        <v>20969.400390625</v>
      </c>
      <c r="C915" s="28">
        <v>287.32122802734398</v>
      </c>
      <c r="D915" s="29">
        <f t="shared" si="28"/>
        <v>-1.6788119928570135E-2</v>
      </c>
      <c r="E915" s="29">
        <f t="shared" si="29"/>
        <v>3.2653705047073797E-3</v>
      </c>
    </row>
    <row r="916" spans="1:5" ht="14.25" customHeight="1" x14ac:dyDescent="0.3">
      <c r="A916" s="27">
        <v>45271</v>
      </c>
      <c r="B916" s="28">
        <v>20997.099609375</v>
      </c>
      <c r="C916" s="28">
        <v>290.69094848632801</v>
      </c>
      <c r="D916" s="29">
        <f t="shared" si="28"/>
        <v>1.1728059503711094E-2</v>
      </c>
      <c r="E916" s="29">
        <f t="shared" si="29"/>
        <v>1.3209351833628857E-3</v>
      </c>
    </row>
    <row r="917" spans="1:5" ht="14.25" customHeight="1" x14ac:dyDescent="0.3">
      <c r="A917" s="27">
        <v>45272</v>
      </c>
      <c r="B917" s="28">
        <v>20906.400390625</v>
      </c>
      <c r="C917" s="28">
        <v>285.98321533203102</v>
      </c>
      <c r="D917" s="29">
        <f t="shared" si="28"/>
        <v>-1.6194976757311748E-2</v>
      </c>
      <c r="E917" s="29">
        <f t="shared" si="29"/>
        <v>-4.3196070141755995E-3</v>
      </c>
    </row>
    <row r="918" spans="1:5" ht="14.25" customHeight="1" x14ac:dyDescent="0.3">
      <c r="A918" s="27">
        <v>45273</v>
      </c>
      <c r="B918" s="28">
        <v>20926.349609375</v>
      </c>
      <c r="C918" s="28">
        <v>284.447021484375</v>
      </c>
      <c r="D918" s="29">
        <f t="shared" si="28"/>
        <v>-5.3716224075335238E-3</v>
      </c>
      <c r="E918" s="29">
        <f t="shared" si="29"/>
        <v>9.5421585625738684E-4</v>
      </c>
    </row>
    <row r="919" spans="1:5" ht="14.25" customHeight="1" x14ac:dyDescent="0.3">
      <c r="A919" s="27">
        <v>45274</v>
      </c>
      <c r="B919" s="28">
        <v>21182.69921875</v>
      </c>
      <c r="C919" s="28">
        <v>293.515625</v>
      </c>
      <c r="D919" s="29">
        <f t="shared" si="28"/>
        <v>3.1881520391041071E-2</v>
      </c>
      <c r="E919" s="29">
        <f t="shared" si="29"/>
        <v>1.2250087289956937E-2</v>
      </c>
    </row>
    <row r="920" spans="1:5" ht="14.25" customHeight="1" x14ac:dyDescent="0.3">
      <c r="A920" s="27">
        <v>45275</v>
      </c>
      <c r="B920" s="28">
        <v>21456.650390625</v>
      </c>
      <c r="C920" s="28">
        <v>292.92095947265602</v>
      </c>
      <c r="D920" s="29">
        <f t="shared" si="28"/>
        <v>-2.0260097817415253E-3</v>
      </c>
      <c r="E920" s="29">
        <f t="shared" si="29"/>
        <v>1.2932779200891942E-2</v>
      </c>
    </row>
    <row r="921" spans="1:5" ht="14.25" customHeight="1" x14ac:dyDescent="0.3">
      <c r="A921" s="27">
        <v>45278</v>
      </c>
      <c r="B921" s="28">
        <v>21418.650390625</v>
      </c>
      <c r="C921" s="28">
        <v>302.6337890625</v>
      </c>
      <c r="D921" s="29">
        <f t="shared" si="28"/>
        <v>3.3158533985857247E-2</v>
      </c>
      <c r="E921" s="29">
        <f t="shared" si="29"/>
        <v>-1.7710126840955215E-3</v>
      </c>
    </row>
    <row r="922" spans="1:5" ht="14.25" customHeight="1" x14ac:dyDescent="0.3">
      <c r="A922" s="27">
        <v>45279</v>
      </c>
      <c r="B922" s="28">
        <v>21453.099609375</v>
      </c>
      <c r="C922" s="28">
        <v>302.38601684570301</v>
      </c>
      <c r="D922" s="29">
        <f t="shared" si="28"/>
        <v>-8.1871960683748606E-4</v>
      </c>
      <c r="E922" s="29">
        <f t="shared" si="29"/>
        <v>1.6083748565725931E-3</v>
      </c>
    </row>
    <row r="923" spans="1:5" ht="14.25" customHeight="1" x14ac:dyDescent="0.3">
      <c r="A923" s="27">
        <v>45280</v>
      </c>
      <c r="B923" s="28">
        <v>21150.150390625</v>
      </c>
      <c r="C923" s="28">
        <v>284.84344482421898</v>
      </c>
      <c r="D923" s="29">
        <f t="shared" si="28"/>
        <v>-5.8013833458560336E-2</v>
      </c>
      <c r="E923" s="29">
        <f t="shared" si="29"/>
        <v>-1.412146609423336E-2</v>
      </c>
    </row>
    <row r="924" spans="1:5" ht="14.25" customHeight="1" x14ac:dyDescent="0.3">
      <c r="A924" s="27">
        <v>45281</v>
      </c>
      <c r="B924" s="28">
        <v>21255.05078125</v>
      </c>
      <c r="C924" s="28">
        <v>290.98831176757801</v>
      </c>
      <c r="D924" s="29">
        <f t="shared" si="28"/>
        <v>2.1572786929153733E-2</v>
      </c>
      <c r="E924" s="29">
        <f t="shared" si="29"/>
        <v>4.9597940765233554E-3</v>
      </c>
    </row>
    <row r="925" spans="1:5" ht="14.25" customHeight="1" x14ac:dyDescent="0.3">
      <c r="A925" s="27">
        <v>45282</v>
      </c>
      <c r="B925" s="28">
        <v>21349.400390625</v>
      </c>
      <c r="C925" s="28">
        <v>290.74053955078102</v>
      </c>
      <c r="D925" s="29">
        <f t="shared" si="28"/>
        <v>-8.5148511736406977E-4</v>
      </c>
      <c r="E925" s="29">
        <f t="shared" si="29"/>
        <v>4.4389265566107177E-3</v>
      </c>
    </row>
    <row r="926" spans="1:5" ht="14.25" customHeight="1" x14ac:dyDescent="0.3">
      <c r="A926" s="27">
        <v>45286</v>
      </c>
      <c r="B926" s="28">
        <v>21441.349609375</v>
      </c>
      <c r="C926" s="28">
        <v>293.7138671875</v>
      </c>
      <c r="D926" s="29">
        <f t="shared" si="28"/>
        <v>1.0226739075716867E-2</v>
      </c>
      <c r="E926" s="29">
        <f t="shared" si="29"/>
        <v>4.3068759341071223E-3</v>
      </c>
    </row>
    <row r="927" spans="1:5" ht="14.25" customHeight="1" x14ac:dyDescent="0.3">
      <c r="A927" s="27">
        <v>45287</v>
      </c>
      <c r="B927" s="28">
        <v>21654.75</v>
      </c>
      <c r="C927" s="28">
        <v>298.37203979492199</v>
      </c>
      <c r="D927" s="29">
        <f t="shared" si="28"/>
        <v>1.5859559686530977E-2</v>
      </c>
      <c r="E927" s="29">
        <f t="shared" si="29"/>
        <v>9.9527499207276091E-3</v>
      </c>
    </row>
    <row r="928" spans="1:5" ht="14.25" customHeight="1" x14ac:dyDescent="0.3">
      <c r="A928" s="27">
        <v>45288</v>
      </c>
      <c r="B928" s="28">
        <v>21778.69921875</v>
      </c>
      <c r="C928" s="28">
        <v>304.86376953125</v>
      </c>
      <c r="D928" s="29">
        <f t="shared" si="28"/>
        <v>2.175716511771655E-2</v>
      </c>
      <c r="E928" s="29">
        <f t="shared" si="29"/>
        <v>5.7238813077962114E-3</v>
      </c>
    </row>
    <row r="929" spans="1:5" ht="14.25" customHeight="1" x14ac:dyDescent="0.3">
      <c r="A929" s="27">
        <v>45289</v>
      </c>
      <c r="B929" s="28">
        <v>21731.400390625</v>
      </c>
      <c r="C929" s="28">
        <v>315.02261352539102</v>
      </c>
      <c r="D929" s="29">
        <f t="shared" si="28"/>
        <v>3.3322568994541321E-2</v>
      </c>
      <c r="E929" s="29">
        <f t="shared" si="29"/>
        <v>-2.171793074045436E-3</v>
      </c>
    </row>
    <row r="930" spans="1:5" ht="14.25" customHeight="1" x14ac:dyDescent="0.3">
      <c r="A930" s="27">
        <v>45292</v>
      </c>
      <c r="B930" s="28">
        <v>21741.900390625</v>
      </c>
      <c r="C930" s="28">
        <v>319.13568115234398</v>
      </c>
      <c r="D930" s="29">
        <f t="shared" si="28"/>
        <v>1.3056420238928146E-2</v>
      </c>
      <c r="E930" s="29">
        <f t="shared" si="29"/>
        <v>4.8317180721265139E-4</v>
      </c>
    </row>
    <row r="931" spans="1:5" ht="14.25" customHeight="1" x14ac:dyDescent="0.3">
      <c r="A931" s="27">
        <v>45293</v>
      </c>
      <c r="B931" s="28">
        <v>21665.80078125</v>
      </c>
      <c r="C931" s="28">
        <v>319.28433227539102</v>
      </c>
      <c r="D931" s="29">
        <f t="shared" si="28"/>
        <v>4.6579286437132926E-4</v>
      </c>
      <c r="E931" s="29">
        <f t="shared" si="29"/>
        <v>-3.5001360510240297E-3</v>
      </c>
    </row>
    <row r="932" spans="1:5" ht="14.25" customHeight="1" x14ac:dyDescent="0.3">
      <c r="A932" s="27">
        <v>45294</v>
      </c>
      <c r="B932" s="28">
        <v>21517.349609375</v>
      </c>
      <c r="C932" s="28">
        <v>323.10006713867199</v>
      </c>
      <c r="D932" s="29">
        <f t="shared" si="28"/>
        <v>1.1950899175314984E-2</v>
      </c>
      <c r="E932" s="29">
        <f t="shared" si="29"/>
        <v>-6.8518663756694607E-3</v>
      </c>
    </row>
    <row r="933" spans="1:5" ht="14.25" customHeight="1" x14ac:dyDescent="0.3">
      <c r="A933" s="27">
        <v>45295</v>
      </c>
      <c r="B933" s="28">
        <v>21658.599609375</v>
      </c>
      <c r="C933" s="28">
        <v>321.81167602539102</v>
      </c>
      <c r="D933" s="29">
        <f t="shared" si="28"/>
        <v>-3.9875915987600168E-3</v>
      </c>
      <c r="E933" s="29">
        <f t="shared" si="29"/>
        <v>6.5644701863494422E-3</v>
      </c>
    </row>
    <row r="934" spans="1:5" ht="14.25" customHeight="1" x14ac:dyDescent="0.3">
      <c r="A934" s="27">
        <v>45296</v>
      </c>
      <c r="B934" s="28">
        <v>21710.80078125</v>
      </c>
      <c r="C934" s="28">
        <v>326.42028808593801</v>
      </c>
      <c r="D934" s="29">
        <f t="shared" si="28"/>
        <v>1.4320835457142854E-2</v>
      </c>
      <c r="E934" s="29">
        <f t="shared" si="29"/>
        <v>2.4101822286056087E-3</v>
      </c>
    </row>
    <row r="935" spans="1:5" ht="14.25" customHeight="1" x14ac:dyDescent="0.3">
      <c r="A935" s="27">
        <v>45299</v>
      </c>
      <c r="B935" s="28">
        <v>21513</v>
      </c>
      <c r="C935" s="28">
        <v>320.671875</v>
      </c>
      <c r="D935" s="29">
        <f t="shared" si="28"/>
        <v>-1.7610465083667235E-2</v>
      </c>
      <c r="E935" s="29">
        <f t="shared" si="29"/>
        <v>-9.1107086856430358E-3</v>
      </c>
    </row>
    <row r="936" spans="1:5" ht="14.25" customHeight="1" x14ac:dyDescent="0.3">
      <c r="A936" s="27">
        <v>45300</v>
      </c>
      <c r="B936" s="28">
        <v>21544.849609375</v>
      </c>
      <c r="C936" s="28">
        <v>324.33898925781301</v>
      </c>
      <c r="D936" s="29">
        <f t="shared" si="28"/>
        <v>1.143572150757846E-2</v>
      </c>
      <c r="E936" s="29">
        <f t="shared" si="29"/>
        <v>1.4804820050667038E-3</v>
      </c>
    </row>
    <row r="937" spans="1:5" ht="14.25" customHeight="1" x14ac:dyDescent="0.3">
      <c r="A937" s="27">
        <v>45301</v>
      </c>
      <c r="B937" s="28">
        <v>21618.69921875</v>
      </c>
      <c r="C937" s="28">
        <v>324.88406372070301</v>
      </c>
      <c r="D937" s="29">
        <f t="shared" si="28"/>
        <v>1.6805702704361788E-3</v>
      </c>
      <c r="E937" s="29">
        <f t="shared" si="29"/>
        <v>3.4277152411806657E-3</v>
      </c>
    </row>
    <row r="938" spans="1:5" ht="14.25" customHeight="1" x14ac:dyDescent="0.3">
      <c r="A938" s="27">
        <v>45302</v>
      </c>
      <c r="B938" s="28">
        <v>21647.19921875</v>
      </c>
      <c r="C938" s="28">
        <v>335.83578491210898</v>
      </c>
      <c r="D938" s="29">
        <f t="shared" si="28"/>
        <v>3.3709628801063519E-2</v>
      </c>
      <c r="E938" s="29">
        <f t="shared" si="29"/>
        <v>1.3183031833516521E-3</v>
      </c>
    </row>
    <row r="939" spans="1:5" ht="14.25" customHeight="1" x14ac:dyDescent="0.3">
      <c r="A939" s="27">
        <v>45303</v>
      </c>
      <c r="B939" s="28">
        <v>21894.55078125</v>
      </c>
      <c r="C939" s="28">
        <v>334.64645385742199</v>
      </c>
      <c r="D939" s="29">
        <f t="shared" si="28"/>
        <v>-3.5414065686842941E-3</v>
      </c>
      <c r="E939" s="29">
        <f t="shared" si="29"/>
        <v>1.1426492637705911E-2</v>
      </c>
    </row>
    <row r="940" spans="1:5" ht="14.25" customHeight="1" x14ac:dyDescent="0.3">
      <c r="A940" s="27">
        <v>45306</v>
      </c>
      <c r="B940" s="28">
        <v>22097.44921875</v>
      </c>
      <c r="C940" s="28">
        <v>322.75320434570301</v>
      </c>
      <c r="D940" s="29">
        <f t="shared" si="28"/>
        <v>-3.5539744630869938E-2</v>
      </c>
      <c r="E940" s="29">
        <f t="shared" si="29"/>
        <v>9.2670746948486215E-3</v>
      </c>
    </row>
    <row r="941" spans="1:5" ht="14.25" customHeight="1" x14ac:dyDescent="0.3">
      <c r="A941" s="27">
        <v>45307</v>
      </c>
      <c r="B941" s="28">
        <v>22032.30078125</v>
      </c>
      <c r="C941" s="28">
        <v>322.90185546875</v>
      </c>
      <c r="D941" s="29">
        <f t="shared" si="28"/>
        <v>4.6057210601003833E-4</v>
      </c>
      <c r="E941" s="29">
        <f t="shared" si="29"/>
        <v>-2.9482333845447023E-3</v>
      </c>
    </row>
    <row r="942" spans="1:5" ht="14.25" customHeight="1" x14ac:dyDescent="0.3">
      <c r="A942" s="27">
        <v>45308</v>
      </c>
      <c r="B942" s="28">
        <v>21571.94921875</v>
      </c>
      <c r="C942" s="28">
        <v>316.55880737304699</v>
      </c>
      <c r="D942" s="29">
        <f t="shared" si="28"/>
        <v>-1.9643888656182971E-2</v>
      </c>
      <c r="E942" s="29">
        <f t="shared" si="29"/>
        <v>-2.0894393512082492E-2</v>
      </c>
    </row>
    <row r="943" spans="1:5" ht="14.25" customHeight="1" x14ac:dyDescent="0.3">
      <c r="A943" s="27">
        <v>45309</v>
      </c>
      <c r="B943" s="28">
        <v>21462.25</v>
      </c>
      <c r="C943" s="28">
        <v>316.261474609375</v>
      </c>
      <c r="D943" s="29">
        <f t="shared" si="28"/>
        <v>-9.3926549110857156E-4</v>
      </c>
      <c r="E943" s="29">
        <f t="shared" si="29"/>
        <v>-5.0852715087355742E-3</v>
      </c>
    </row>
    <row r="944" spans="1:5" ht="14.25" customHeight="1" x14ac:dyDescent="0.3">
      <c r="A944" s="27">
        <v>45310</v>
      </c>
      <c r="B944" s="28">
        <v>21622.400390625</v>
      </c>
      <c r="C944" s="28">
        <v>324.28942871093801</v>
      </c>
      <c r="D944" s="29">
        <f t="shared" si="28"/>
        <v>2.5383914090322268E-2</v>
      </c>
      <c r="E944" s="29">
        <f t="shared" si="29"/>
        <v>7.4619571864552878E-3</v>
      </c>
    </row>
    <row r="945" spans="1:5" ht="14.25" customHeight="1" x14ac:dyDescent="0.3">
      <c r="A945" s="27">
        <v>45314</v>
      </c>
      <c r="B945" s="28">
        <v>21238.80078125</v>
      </c>
      <c r="C945" s="28">
        <v>311.900634765625</v>
      </c>
      <c r="D945" s="29">
        <f t="shared" si="28"/>
        <v>-3.8202891764183948E-2</v>
      </c>
      <c r="E945" s="29">
        <f t="shared" si="29"/>
        <v>-1.7740842942734536E-2</v>
      </c>
    </row>
    <row r="946" spans="1:5" ht="14.25" customHeight="1" x14ac:dyDescent="0.3">
      <c r="A946" s="27">
        <v>45315</v>
      </c>
      <c r="B946" s="28">
        <v>21453.94921875</v>
      </c>
      <c r="C946" s="28">
        <v>312.49526977539102</v>
      </c>
      <c r="D946" s="29">
        <f t="shared" si="28"/>
        <v>1.9064886168406042E-3</v>
      </c>
      <c r="E946" s="29">
        <f t="shared" si="29"/>
        <v>1.0129971071150917E-2</v>
      </c>
    </row>
    <row r="947" spans="1:5" ht="14.25" customHeight="1" x14ac:dyDescent="0.3">
      <c r="A947" s="27">
        <v>45316</v>
      </c>
      <c r="B947" s="28">
        <v>21352.599609375</v>
      </c>
      <c r="C947" s="28">
        <v>307.63885498046898</v>
      </c>
      <c r="D947" s="29">
        <f t="shared" si="28"/>
        <v>-1.5540762579902858E-2</v>
      </c>
      <c r="E947" s="29">
        <f t="shared" si="29"/>
        <v>-4.7240537554001476E-3</v>
      </c>
    </row>
    <row r="948" spans="1:5" ht="14.25" customHeight="1" x14ac:dyDescent="0.3">
      <c r="A948" s="27">
        <v>45320</v>
      </c>
      <c r="B948" s="28">
        <v>21737.599609375</v>
      </c>
      <c r="C948" s="28">
        <v>312.49526977539102</v>
      </c>
      <c r="D948" s="29">
        <f t="shared" si="28"/>
        <v>1.578609046386668E-2</v>
      </c>
      <c r="E948" s="29">
        <f t="shared" si="29"/>
        <v>1.8030591452244681E-2</v>
      </c>
    </row>
    <row r="949" spans="1:5" ht="14.25" customHeight="1" x14ac:dyDescent="0.3">
      <c r="A949" s="27">
        <v>45321</v>
      </c>
      <c r="B949" s="28">
        <v>21522.099609375</v>
      </c>
      <c r="C949" s="28">
        <v>315.17123413085898</v>
      </c>
      <c r="D949" s="29">
        <f t="shared" si="28"/>
        <v>8.5632155564829161E-3</v>
      </c>
      <c r="E949" s="29">
        <f t="shared" si="29"/>
        <v>-9.9136981024831768E-3</v>
      </c>
    </row>
    <row r="950" spans="1:5" ht="14.25" customHeight="1" x14ac:dyDescent="0.3">
      <c r="A950" s="27">
        <v>45322</v>
      </c>
      <c r="B950" s="28">
        <v>21725.69921875</v>
      </c>
      <c r="C950" s="28">
        <v>331.97048950195301</v>
      </c>
      <c r="D950" s="29">
        <f t="shared" si="28"/>
        <v>5.3301994445720861E-2</v>
      </c>
      <c r="E950" s="29">
        <f t="shared" si="29"/>
        <v>9.4600254190029057E-3</v>
      </c>
    </row>
    <row r="951" spans="1:5" ht="14.25" customHeight="1" x14ac:dyDescent="0.3">
      <c r="A951" s="27">
        <v>45323</v>
      </c>
      <c r="B951" s="28">
        <v>21697.44921875</v>
      </c>
      <c r="C951" s="28">
        <v>331.22714233398398</v>
      </c>
      <c r="D951" s="29">
        <f t="shared" si="28"/>
        <v>-2.2391965294392864E-3</v>
      </c>
      <c r="E951" s="29">
        <f t="shared" si="29"/>
        <v>-1.3003033741542051E-3</v>
      </c>
    </row>
    <row r="952" spans="1:5" ht="14.25" customHeight="1" x14ac:dyDescent="0.3">
      <c r="A952" s="27">
        <v>45324</v>
      </c>
      <c r="B952" s="28">
        <v>21853.80078125</v>
      </c>
      <c r="C952" s="28">
        <v>340.29577636718801</v>
      </c>
      <c r="D952" s="29">
        <f t="shared" si="28"/>
        <v>2.7378897663102503E-2</v>
      </c>
      <c r="E952" s="29">
        <f t="shared" si="29"/>
        <v>7.2059881750933062E-3</v>
      </c>
    </row>
    <row r="953" spans="1:5" ht="14.25" customHeight="1" x14ac:dyDescent="0.3">
      <c r="A953" s="27">
        <v>45327</v>
      </c>
      <c r="B953" s="28">
        <v>21771.69921875</v>
      </c>
      <c r="C953" s="28">
        <v>344.01239013671898</v>
      </c>
      <c r="D953" s="29">
        <f t="shared" si="28"/>
        <v>1.0921715835581346E-2</v>
      </c>
      <c r="E953" s="29">
        <f t="shared" si="29"/>
        <v>-3.7568550808077758E-3</v>
      </c>
    </row>
    <row r="954" spans="1:5" ht="14.25" customHeight="1" x14ac:dyDescent="0.3">
      <c r="A954" s="27">
        <v>45328</v>
      </c>
      <c r="B954" s="28">
        <v>21929.400390625</v>
      </c>
      <c r="C954" s="28">
        <v>345.39993286132801</v>
      </c>
      <c r="D954" s="29">
        <f t="shared" si="28"/>
        <v>4.033409157320149E-3</v>
      </c>
      <c r="E954" s="29">
        <f t="shared" si="29"/>
        <v>7.243402101531249E-3</v>
      </c>
    </row>
    <row r="955" spans="1:5" ht="14.25" customHeight="1" x14ac:dyDescent="0.3">
      <c r="A955" s="27">
        <v>45329</v>
      </c>
      <c r="B955" s="28">
        <v>21930.5</v>
      </c>
      <c r="C955" s="28">
        <v>343.76461791992199</v>
      </c>
      <c r="D955" s="29">
        <f t="shared" si="28"/>
        <v>-4.7345548907867701E-3</v>
      </c>
      <c r="E955" s="29">
        <f t="shared" si="29"/>
        <v>5.0143157378351857E-5</v>
      </c>
    </row>
    <row r="956" spans="1:5" ht="14.25" customHeight="1" x14ac:dyDescent="0.3">
      <c r="A956" s="27">
        <v>45330</v>
      </c>
      <c r="B956" s="28">
        <v>21717.94921875</v>
      </c>
      <c r="C956" s="28">
        <v>341.98062133789102</v>
      </c>
      <c r="D956" s="29">
        <f t="shared" si="28"/>
        <v>-5.1895875521620364E-3</v>
      </c>
      <c r="E956" s="29">
        <f t="shared" si="29"/>
        <v>-9.6920171108729851E-3</v>
      </c>
    </row>
    <row r="957" spans="1:5" ht="14.25" customHeight="1" x14ac:dyDescent="0.3">
      <c r="A957" s="27">
        <v>45331</v>
      </c>
      <c r="B957" s="28">
        <v>21782.5</v>
      </c>
      <c r="C957" s="28">
        <v>335.38977050781301</v>
      </c>
      <c r="D957" s="29">
        <f t="shared" si="28"/>
        <v>-1.9272585692994511E-2</v>
      </c>
      <c r="E957" s="29">
        <f t="shared" si="29"/>
        <v>2.9722318898448593E-3</v>
      </c>
    </row>
    <row r="958" spans="1:5" ht="14.25" customHeight="1" x14ac:dyDescent="0.3">
      <c r="A958" s="27">
        <v>45334</v>
      </c>
      <c r="B958" s="28">
        <v>21616.05078125</v>
      </c>
      <c r="C958" s="28">
        <v>325.28054809570301</v>
      </c>
      <c r="D958" s="29">
        <f t="shared" si="28"/>
        <v>-3.0141713615187624E-2</v>
      </c>
      <c r="E958" s="29">
        <f t="shared" si="29"/>
        <v>-7.6414194307356824E-3</v>
      </c>
    </row>
    <row r="959" spans="1:5" ht="14.25" customHeight="1" x14ac:dyDescent="0.3">
      <c r="A959" s="27">
        <v>45335</v>
      </c>
      <c r="B959" s="28">
        <v>21743.25</v>
      </c>
      <c r="C959" s="28">
        <v>327.609619140625</v>
      </c>
      <c r="D959" s="29">
        <f t="shared" si="28"/>
        <v>7.1601915901738358E-3</v>
      </c>
      <c r="E959" s="29">
        <f t="shared" si="29"/>
        <v>5.8844800115076526E-3</v>
      </c>
    </row>
    <row r="960" spans="1:5" ht="14.25" customHeight="1" x14ac:dyDescent="0.3">
      <c r="A960" s="27">
        <v>45336</v>
      </c>
      <c r="B960" s="28">
        <v>21840.05078125</v>
      </c>
      <c r="C960" s="28">
        <v>333.65533447265602</v>
      </c>
      <c r="D960" s="29">
        <f t="shared" si="28"/>
        <v>1.8454022650158896E-2</v>
      </c>
      <c r="E960" s="29">
        <f t="shared" si="29"/>
        <v>4.4519922849619994E-3</v>
      </c>
    </row>
    <row r="961" spans="1:5" ht="14.25" customHeight="1" x14ac:dyDescent="0.3">
      <c r="A961" s="27">
        <v>45337</v>
      </c>
      <c r="B961" s="28">
        <v>21910.75</v>
      </c>
      <c r="C961" s="28">
        <v>331.37582397460898</v>
      </c>
      <c r="D961" s="29">
        <f t="shared" si="28"/>
        <v>-6.8319318246472024E-3</v>
      </c>
      <c r="E961" s="29">
        <f t="shared" si="29"/>
        <v>3.2371361888359849E-3</v>
      </c>
    </row>
    <row r="962" spans="1:5" ht="14.25" customHeight="1" x14ac:dyDescent="0.3">
      <c r="A962" s="27">
        <v>45338</v>
      </c>
      <c r="B962" s="28">
        <v>22040.69921875</v>
      </c>
      <c r="C962" s="28">
        <v>333.50668334960898</v>
      </c>
      <c r="D962" s="29">
        <f t="shared" si="28"/>
        <v>6.4303404800082004E-3</v>
      </c>
      <c r="E962" s="29">
        <f t="shared" si="29"/>
        <v>5.9308430222607626E-3</v>
      </c>
    </row>
    <row r="963" spans="1:5" ht="14.25" customHeight="1" x14ac:dyDescent="0.3">
      <c r="A963" s="27">
        <v>45341</v>
      </c>
      <c r="B963" s="28">
        <v>22122.25</v>
      </c>
      <c r="C963" s="28">
        <v>333.80401611328102</v>
      </c>
      <c r="D963" s="29">
        <f t="shared" ref="D963:D1026" si="30">(C963-C962)/C962</f>
        <v>8.9153464837871631E-4</v>
      </c>
      <c r="E963" s="29">
        <f t="shared" ref="E963:E1026" si="31">(B963-B962)/B962</f>
        <v>3.7000088082788604E-3</v>
      </c>
    </row>
    <row r="964" spans="1:5" ht="14.25" customHeight="1" x14ac:dyDescent="0.3">
      <c r="A964" s="27">
        <v>45342</v>
      </c>
      <c r="B964" s="28">
        <v>22196.94921875</v>
      </c>
      <c r="C964" s="28">
        <v>327.85739135742199</v>
      </c>
      <c r="D964" s="29">
        <f t="shared" si="30"/>
        <v>-1.7814719023155685E-2</v>
      </c>
      <c r="E964" s="29">
        <f t="shared" si="31"/>
        <v>3.3766555730090748E-3</v>
      </c>
    </row>
    <row r="965" spans="1:5" ht="14.25" customHeight="1" x14ac:dyDescent="0.3">
      <c r="A965" s="27">
        <v>45343</v>
      </c>
      <c r="B965" s="28">
        <v>22055.05078125</v>
      </c>
      <c r="C965" s="28">
        <v>323.79388427734398</v>
      </c>
      <c r="D965" s="29">
        <f t="shared" si="30"/>
        <v>-1.2394129847901086E-2</v>
      </c>
      <c r="E965" s="29">
        <f t="shared" si="31"/>
        <v>-6.3927000103301077E-3</v>
      </c>
    </row>
    <row r="966" spans="1:5" ht="14.25" customHeight="1" x14ac:dyDescent="0.3">
      <c r="A966" s="27">
        <v>45344</v>
      </c>
      <c r="B966" s="28">
        <v>22217.44921875</v>
      </c>
      <c r="C966" s="28">
        <v>329.44317626953102</v>
      </c>
      <c r="D966" s="29">
        <f t="shared" si="30"/>
        <v>1.7447185590905644E-2</v>
      </c>
      <c r="E966" s="29">
        <f t="shared" si="31"/>
        <v>7.3633218581415499E-3</v>
      </c>
    </row>
    <row r="967" spans="1:5" ht="14.25" customHeight="1" x14ac:dyDescent="0.3">
      <c r="A967" s="27">
        <v>45345</v>
      </c>
      <c r="B967" s="28">
        <v>22212.69921875</v>
      </c>
      <c r="C967" s="28">
        <v>327.06451416015602</v>
      </c>
      <c r="D967" s="29">
        <f t="shared" si="30"/>
        <v>-7.2202500483085396E-3</v>
      </c>
      <c r="E967" s="29">
        <f t="shared" si="31"/>
        <v>-2.1379592019012364E-4</v>
      </c>
    </row>
    <row r="968" spans="1:5" ht="14.25" customHeight="1" x14ac:dyDescent="0.3">
      <c r="A968" s="27">
        <v>45348</v>
      </c>
      <c r="B968" s="28">
        <v>22122.05078125</v>
      </c>
      <c r="C968" s="28">
        <v>325.23095703125</v>
      </c>
      <c r="D968" s="29">
        <f t="shared" si="30"/>
        <v>-5.6061023116930732E-3</v>
      </c>
      <c r="E968" s="29">
        <f t="shared" si="31"/>
        <v>-4.0809285088361791E-3</v>
      </c>
    </row>
    <row r="969" spans="1:5" ht="14.25" customHeight="1" x14ac:dyDescent="0.3">
      <c r="A969" s="27">
        <v>45349</v>
      </c>
      <c r="B969" s="28">
        <v>22198.349609375</v>
      </c>
      <c r="C969" s="28">
        <v>323.24874877929699</v>
      </c>
      <c r="D969" s="29">
        <f t="shared" si="30"/>
        <v>-6.0947711437031185E-3</v>
      </c>
      <c r="E969" s="29">
        <f t="shared" si="31"/>
        <v>3.4489943486464033E-3</v>
      </c>
    </row>
    <row r="970" spans="1:5" ht="14.25" customHeight="1" x14ac:dyDescent="0.3">
      <c r="A970" s="27">
        <v>45350</v>
      </c>
      <c r="B970" s="28">
        <v>21951.150390625</v>
      </c>
      <c r="C970" s="28">
        <v>315.27035522460898</v>
      </c>
      <c r="D970" s="29">
        <f t="shared" si="30"/>
        <v>-2.4681900811116153E-2</v>
      </c>
      <c r="E970" s="29">
        <f t="shared" si="31"/>
        <v>-1.1135927809948569E-2</v>
      </c>
    </row>
    <row r="971" spans="1:5" ht="14.25" customHeight="1" x14ac:dyDescent="0.3">
      <c r="A971" s="27">
        <v>45351</v>
      </c>
      <c r="B971" s="28">
        <v>21982.80078125</v>
      </c>
      <c r="C971" s="28">
        <v>317.45080566406301</v>
      </c>
      <c r="D971" s="29">
        <f t="shared" si="30"/>
        <v>6.916128977304605E-3</v>
      </c>
      <c r="E971" s="29">
        <f t="shared" si="31"/>
        <v>1.4418556686904846E-3</v>
      </c>
    </row>
    <row r="972" spans="1:5" ht="14.25" customHeight="1" x14ac:dyDescent="0.3">
      <c r="A972" s="27">
        <v>45352</v>
      </c>
      <c r="B972" s="28">
        <v>22338.75</v>
      </c>
      <c r="C972" s="28">
        <v>321.21701049804699</v>
      </c>
      <c r="D972" s="29">
        <f t="shared" si="30"/>
        <v>1.1863900695119042E-2</v>
      </c>
      <c r="E972" s="29">
        <f t="shared" si="31"/>
        <v>1.6192168700068607E-2</v>
      </c>
    </row>
    <row r="973" spans="1:5" ht="14.25" customHeight="1" x14ac:dyDescent="0.3">
      <c r="A973" s="27">
        <v>45355</v>
      </c>
      <c r="B973" s="28">
        <v>22405.599609375</v>
      </c>
      <c r="C973" s="28">
        <v>325.82562255859398</v>
      </c>
      <c r="D973" s="29">
        <f t="shared" si="30"/>
        <v>1.4347347462705464E-2</v>
      </c>
      <c r="E973" s="29">
        <f t="shared" si="31"/>
        <v>2.9925402887359411E-3</v>
      </c>
    </row>
    <row r="974" spans="1:5" ht="14.25" customHeight="1" x14ac:dyDescent="0.3">
      <c r="A974" s="27">
        <v>45356</v>
      </c>
      <c r="B974" s="28">
        <v>22356.30078125</v>
      </c>
      <c r="C974" s="28">
        <v>322.65408325195301</v>
      </c>
      <c r="D974" s="29">
        <f t="shared" si="30"/>
        <v>-9.7338548200598344E-3</v>
      </c>
      <c r="E974" s="29">
        <f t="shared" si="31"/>
        <v>-2.2002905070379049E-3</v>
      </c>
    </row>
    <row r="975" spans="1:5" ht="14.25" customHeight="1" x14ac:dyDescent="0.3">
      <c r="A975" s="27">
        <v>45357</v>
      </c>
      <c r="B975" s="28">
        <v>22474.05078125</v>
      </c>
      <c r="C975" s="28">
        <v>318.98703002929699</v>
      </c>
      <c r="D975" s="29">
        <f t="shared" si="30"/>
        <v>-1.136527759294621E-2</v>
      </c>
      <c r="E975" s="29">
        <f t="shared" si="31"/>
        <v>5.2669715420341689E-3</v>
      </c>
    </row>
    <row r="976" spans="1:5" ht="14.25" customHeight="1" x14ac:dyDescent="0.3">
      <c r="A976" s="27">
        <v>45358</v>
      </c>
      <c r="B976" s="28">
        <v>22493.55078125</v>
      </c>
      <c r="C976" s="28">
        <v>325.23095703125</v>
      </c>
      <c r="D976" s="29">
        <f t="shared" si="30"/>
        <v>1.9574234731047042E-2</v>
      </c>
      <c r="E976" s="29">
        <f t="shared" si="31"/>
        <v>8.6766734621195941E-4</v>
      </c>
    </row>
    <row r="977" spans="1:5" ht="14.25" customHeight="1" x14ac:dyDescent="0.3">
      <c r="A977" s="27">
        <v>45362</v>
      </c>
      <c r="B977" s="28">
        <v>22332.650390625</v>
      </c>
      <c r="C977" s="28">
        <v>320.17633056640602</v>
      </c>
      <c r="D977" s="29">
        <f t="shared" si="30"/>
        <v>-1.5541652341410724E-2</v>
      </c>
      <c r="E977" s="29">
        <f t="shared" si="31"/>
        <v>-7.1531788017711326E-3</v>
      </c>
    </row>
    <row r="978" spans="1:5" ht="14.25" customHeight="1" x14ac:dyDescent="0.3">
      <c r="A978" s="27">
        <v>45363</v>
      </c>
      <c r="B978" s="28">
        <v>22335.69921875</v>
      </c>
      <c r="C978" s="28">
        <v>316.60836791992199</v>
      </c>
      <c r="D978" s="29">
        <f t="shared" si="30"/>
        <v>-1.1143742700068274E-2</v>
      </c>
      <c r="E978" s="29">
        <f t="shared" si="31"/>
        <v>1.3651886684617893E-4</v>
      </c>
    </row>
    <row r="979" spans="1:5" ht="14.25" customHeight="1" x14ac:dyDescent="0.3">
      <c r="A979" s="27">
        <v>45364</v>
      </c>
      <c r="B979" s="28">
        <v>21997.69921875</v>
      </c>
      <c r="C979" s="28">
        <v>298.025146484375</v>
      </c>
      <c r="D979" s="29">
        <f t="shared" si="30"/>
        <v>-5.8694662928956892E-2</v>
      </c>
      <c r="E979" s="29">
        <f t="shared" si="31"/>
        <v>-1.5132725270416491E-2</v>
      </c>
    </row>
    <row r="980" spans="1:5" ht="14.25" customHeight="1" x14ac:dyDescent="0.3">
      <c r="A980" s="27">
        <v>45365</v>
      </c>
      <c r="B980" s="28">
        <v>22146.650390625</v>
      </c>
      <c r="C980" s="28">
        <v>303.07977294921898</v>
      </c>
      <c r="D980" s="29">
        <f t="shared" si="30"/>
        <v>1.6960402585051607E-2</v>
      </c>
      <c r="E980" s="29">
        <f t="shared" si="31"/>
        <v>6.7712159528047237E-3</v>
      </c>
    </row>
    <row r="981" spans="1:5" ht="14.25" customHeight="1" x14ac:dyDescent="0.3">
      <c r="A981" s="27">
        <v>45366</v>
      </c>
      <c r="B981" s="28">
        <v>22023.349609375</v>
      </c>
      <c r="C981" s="28">
        <v>302.58419799804699</v>
      </c>
      <c r="D981" s="29">
        <f t="shared" si="30"/>
        <v>-1.6351304026317266E-3</v>
      </c>
      <c r="E981" s="29">
        <f t="shared" si="31"/>
        <v>-5.5674686273186943E-3</v>
      </c>
    </row>
    <row r="982" spans="1:5" ht="14.25" customHeight="1" x14ac:dyDescent="0.3">
      <c r="A982" s="27">
        <v>45369</v>
      </c>
      <c r="B982" s="28">
        <v>22055.69921875</v>
      </c>
      <c r="C982" s="28">
        <v>304.31863403320301</v>
      </c>
      <c r="D982" s="29">
        <f t="shared" si="30"/>
        <v>5.7320773742692852E-3</v>
      </c>
      <c r="E982" s="29">
        <f t="shared" si="31"/>
        <v>1.4688778023679591E-3</v>
      </c>
    </row>
    <row r="983" spans="1:5" ht="14.25" customHeight="1" x14ac:dyDescent="0.3">
      <c r="A983" s="27">
        <v>45370</v>
      </c>
      <c r="B983" s="28">
        <v>21817.44921875</v>
      </c>
      <c r="C983" s="28">
        <v>293.81295776367199</v>
      </c>
      <c r="D983" s="29">
        <f t="shared" si="30"/>
        <v>-3.4521961834202995E-2</v>
      </c>
      <c r="E983" s="29">
        <f t="shared" si="31"/>
        <v>-1.080219664028873E-2</v>
      </c>
    </row>
    <row r="984" spans="1:5" ht="14.25" customHeight="1" x14ac:dyDescent="0.3">
      <c r="A984" s="27">
        <v>45371</v>
      </c>
      <c r="B984" s="28">
        <v>21839.099609375</v>
      </c>
      <c r="C984" s="28">
        <v>298.76849365234398</v>
      </c>
      <c r="D984" s="29">
        <f t="shared" si="30"/>
        <v>1.6866294551440331E-2</v>
      </c>
      <c r="E984" s="29">
        <f t="shared" si="31"/>
        <v>9.9234289068006964E-4</v>
      </c>
    </row>
    <row r="985" spans="1:5" ht="14.25" customHeight="1" x14ac:dyDescent="0.3">
      <c r="A985" s="27">
        <v>45372</v>
      </c>
      <c r="B985" s="28">
        <v>22011.94921875</v>
      </c>
      <c r="C985" s="28">
        <v>303.07977294921898</v>
      </c>
      <c r="D985" s="29">
        <f t="shared" si="30"/>
        <v>1.4430167130981804E-2</v>
      </c>
      <c r="E985" s="29">
        <f t="shared" si="31"/>
        <v>7.9146856998078725E-3</v>
      </c>
    </row>
    <row r="986" spans="1:5" ht="14.25" customHeight="1" x14ac:dyDescent="0.3">
      <c r="A986" s="27">
        <v>45373</v>
      </c>
      <c r="B986" s="28">
        <v>22096.75</v>
      </c>
      <c r="C986" s="28">
        <v>304.46734619140602</v>
      </c>
      <c r="D986" s="29">
        <f t="shared" si="30"/>
        <v>4.5782442974824757E-3</v>
      </c>
      <c r="E986" s="29">
        <f t="shared" si="31"/>
        <v>3.8524885010077091E-3</v>
      </c>
    </row>
    <row r="987" spans="1:5" ht="14.25" customHeight="1" x14ac:dyDescent="0.3">
      <c r="A987" s="27">
        <v>45377</v>
      </c>
      <c r="B987" s="28">
        <v>22004.69921875</v>
      </c>
      <c r="C987" s="28">
        <v>301.84088134765602</v>
      </c>
      <c r="D987" s="29">
        <f t="shared" si="30"/>
        <v>-8.626425383886159E-3</v>
      </c>
      <c r="E987" s="29">
        <f t="shared" si="31"/>
        <v>-4.1658063402989125E-3</v>
      </c>
    </row>
    <row r="988" spans="1:5" ht="14.25" customHeight="1" x14ac:dyDescent="0.3">
      <c r="A988" s="27">
        <v>45378</v>
      </c>
      <c r="B988" s="28">
        <v>22123.650390625</v>
      </c>
      <c r="C988" s="28">
        <v>301.84088134765602</v>
      </c>
      <c r="D988" s="29">
        <f t="shared" si="30"/>
        <v>0</v>
      </c>
      <c r="E988" s="29">
        <f t="shared" si="31"/>
        <v>5.40571678315161E-3</v>
      </c>
    </row>
    <row r="989" spans="1:5" ht="14.25" customHeight="1" x14ac:dyDescent="0.3">
      <c r="A989" s="27">
        <v>45379</v>
      </c>
      <c r="B989" s="28">
        <v>22326.900390625</v>
      </c>
      <c r="C989" s="28">
        <v>301.84088134765602</v>
      </c>
      <c r="D989" s="29">
        <f t="shared" si="30"/>
        <v>0</v>
      </c>
      <c r="E989" s="29">
        <f t="shared" si="31"/>
        <v>9.1870010785438973E-3</v>
      </c>
    </row>
    <row r="990" spans="1:5" ht="14.25" customHeight="1" x14ac:dyDescent="0.3">
      <c r="A990" s="27">
        <v>45383</v>
      </c>
      <c r="B990" s="28">
        <v>22462</v>
      </c>
      <c r="C990" s="28">
        <v>307.78753662109398</v>
      </c>
      <c r="D990" s="29">
        <f t="shared" si="30"/>
        <v>1.9701291776274273E-2</v>
      </c>
      <c r="E990" s="29">
        <f t="shared" si="31"/>
        <v>6.0509791780917303E-3</v>
      </c>
    </row>
    <row r="991" spans="1:5" ht="14.25" customHeight="1" x14ac:dyDescent="0.3">
      <c r="A991" s="27">
        <v>45384</v>
      </c>
      <c r="B991" s="28">
        <v>22453.30078125</v>
      </c>
      <c r="C991" s="28">
        <v>311.504150390625</v>
      </c>
      <c r="D991" s="29">
        <f t="shared" si="30"/>
        <v>1.2075257530997464E-2</v>
      </c>
      <c r="E991" s="29">
        <f t="shared" si="31"/>
        <v>-3.872860275131333E-4</v>
      </c>
    </row>
    <row r="992" spans="1:5" ht="14.25" customHeight="1" x14ac:dyDescent="0.3">
      <c r="A992" s="27">
        <v>45385</v>
      </c>
      <c r="B992" s="28">
        <v>22434.650390625</v>
      </c>
      <c r="C992" s="28">
        <v>310.81039428710898</v>
      </c>
      <c r="D992" s="29">
        <f t="shared" si="30"/>
        <v>-2.2271167258800738E-3</v>
      </c>
      <c r="E992" s="29">
        <f t="shared" si="31"/>
        <v>-8.3063024036868183E-4</v>
      </c>
    </row>
    <row r="993" spans="1:5" ht="14.25" customHeight="1" x14ac:dyDescent="0.3">
      <c r="A993" s="27">
        <v>45386</v>
      </c>
      <c r="B993" s="28">
        <v>22514.650390625</v>
      </c>
      <c r="C993" s="28">
        <v>316.60836791992199</v>
      </c>
      <c r="D993" s="29">
        <f t="shared" si="30"/>
        <v>1.8654374948146597E-2</v>
      </c>
      <c r="E993" s="29">
        <f t="shared" si="31"/>
        <v>3.5659124883635554E-3</v>
      </c>
    </row>
    <row r="994" spans="1:5" ht="14.25" customHeight="1" x14ac:dyDescent="0.3">
      <c r="A994" s="27">
        <v>45387</v>
      </c>
      <c r="B994" s="28">
        <v>22513.69921875</v>
      </c>
      <c r="C994" s="28">
        <v>318.98703002929699</v>
      </c>
      <c r="D994" s="29">
        <f t="shared" si="30"/>
        <v>7.5129476994007368E-3</v>
      </c>
      <c r="E994" s="29">
        <f t="shared" si="31"/>
        <v>-4.2246797462867275E-5</v>
      </c>
    </row>
    <row r="995" spans="1:5" ht="14.25" customHeight="1" x14ac:dyDescent="0.3">
      <c r="A995" s="27">
        <v>45390</v>
      </c>
      <c r="B995" s="28">
        <v>22666.30078125</v>
      </c>
      <c r="C995" s="28">
        <v>373.79510498046898</v>
      </c>
      <c r="D995" s="29">
        <f t="shared" si="30"/>
        <v>0.17181913304167321</v>
      </c>
      <c r="E995" s="29">
        <f t="shared" si="31"/>
        <v>6.7781647528145621E-3</v>
      </c>
    </row>
    <row r="996" spans="1:5" ht="14.25" customHeight="1" x14ac:dyDescent="0.3">
      <c r="A996" s="27">
        <v>45391</v>
      </c>
      <c r="B996" s="28">
        <v>22642.75</v>
      </c>
      <c r="C996" s="28">
        <v>380.68328857421898</v>
      </c>
      <c r="D996" s="29">
        <f t="shared" si="30"/>
        <v>1.8427698763229958E-2</v>
      </c>
      <c r="E996" s="29">
        <f t="shared" si="31"/>
        <v>-1.0390218270412109E-3</v>
      </c>
    </row>
    <row r="997" spans="1:5" ht="14.25" customHeight="1" x14ac:dyDescent="0.3">
      <c r="A997" s="27">
        <v>45392</v>
      </c>
      <c r="B997" s="28">
        <v>22753.80078125</v>
      </c>
      <c r="C997" s="28">
        <v>380.53460693359398</v>
      </c>
      <c r="D997" s="29">
        <f t="shared" si="30"/>
        <v>-3.9056518919404221E-4</v>
      </c>
      <c r="E997" s="29">
        <f t="shared" si="31"/>
        <v>4.9044741142308243E-3</v>
      </c>
    </row>
    <row r="998" spans="1:5" ht="14.25" customHeight="1" x14ac:dyDescent="0.3">
      <c r="A998" s="27">
        <v>45394</v>
      </c>
      <c r="B998" s="28">
        <v>22519.400390625</v>
      </c>
      <c r="C998" s="28">
        <v>394.60827636718801</v>
      </c>
      <c r="D998" s="29">
        <f t="shared" si="30"/>
        <v>3.6983940953496483E-2</v>
      </c>
      <c r="E998" s="29">
        <f t="shared" si="31"/>
        <v>-1.0301592814249954E-2</v>
      </c>
    </row>
    <row r="999" spans="1:5" ht="14.25" customHeight="1" x14ac:dyDescent="0.3">
      <c r="A999" s="27">
        <v>45397</v>
      </c>
      <c r="B999" s="28">
        <v>22272.5</v>
      </c>
      <c r="C999" s="28">
        <v>405.41131591796898</v>
      </c>
      <c r="D999" s="29">
        <f t="shared" si="30"/>
        <v>2.7376616755824455E-2</v>
      </c>
      <c r="E999" s="29">
        <f t="shared" si="31"/>
        <v>-1.0963897188301094E-2</v>
      </c>
    </row>
    <row r="1000" spans="1:5" ht="14.25" customHeight="1" x14ac:dyDescent="0.3">
      <c r="A1000" s="27">
        <v>45398</v>
      </c>
      <c r="B1000" s="28">
        <v>22147.900390625</v>
      </c>
      <c r="C1000" s="28">
        <v>455.70986938476602</v>
      </c>
      <c r="D1000" s="29">
        <f t="shared" si="30"/>
        <v>0.12406795639856898</v>
      </c>
      <c r="E1000" s="29">
        <f t="shared" si="31"/>
        <v>-5.5943252609720511E-3</v>
      </c>
    </row>
    <row r="1001" spans="1:5" ht="14.25" customHeight="1" x14ac:dyDescent="0.3">
      <c r="A1001" s="27">
        <v>45400</v>
      </c>
      <c r="B1001" s="28">
        <v>21995.849609375</v>
      </c>
      <c r="C1001" s="28">
        <v>445.65017700195301</v>
      </c>
      <c r="D1001" s="29">
        <f t="shared" si="30"/>
        <v>-2.2074774014427562E-2</v>
      </c>
      <c r="E1001" s="29">
        <f t="shared" si="31"/>
        <v>-6.8652458503182393E-3</v>
      </c>
    </row>
    <row r="1002" spans="1:5" ht="14.25" customHeight="1" x14ac:dyDescent="0.3">
      <c r="A1002" s="27">
        <v>45401</v>
      </c>
      <c r="B1002" s="28">
        <v>22147</v>
      </c>
      <c r="C1002" s="28">
        <v>440.34777832031301</v>
      </c>
      <c r="D1002" s="29">
        <f t="shared" si="30"/>
        <v>-1.1898118648378237E-2</v>
      </c>
      <c r="E1002" s="29">
        <f t="shared" si="31"/>
        <v>6.8717686886064708E-3</v>
      </c>
    </row>
    <row r="1003" spans="1:5" ht="14.25" customHeight="1" x14ac:dyDescent="0.3">
      <c r="A1003" s="27">
        <v>45404</v>
      </c>
      <c r="B1003" s="28">
        <v>22336.400390625</v>
      </c>
      <c r="C1003" s="28">
        <v>461.80520629882801</v>
      </c>
      <c r="D1003" s="29">
        <f t="shared" si="30"/>
        <v>4.8728366611416558E-2</v>
      </c>
      <c r="E1003" s="29">
        <f t="shared" si="31"/>
        <v>8.5519659829773782E-3</v>
      </c>
    </row>
    <row r="1004" spans="1:5" ht="14.25" customHeight="1" x14ac:dyDescent="0.3">
      <c r="A1004" s="27">
        <v>45405</v>
      </c>
      <c r="B1004" s="28">
        <v>22368</v>
      </c>
      <c r="C1004" s="28">
        <v>457.34521484375</v>
      </c>
      <c r="D1004" s="29">
        <f t="shared" si="30"/>
        <v>-9.6577331616136217E-3</v>
      </c>
      <c r="E1004" s="29">
        <f t="shared" si="31"/>
        <v>1.4147135985377009E-3</v>
      </c>
    </row>
    <row r="1005" spans="1:5" ht="14.25" customHeight="1" x14ac:dyDescent="0.3">
      <c r="A1005" s="27">
        <v>45406</v>
      </c>
      <c r="B1005" s="28">
        <v>22402.400390625</v>
      </c>
      <c r="C1005" s="28">
        <v>440.59552001953102</v>
      </c>
      <c r="D1005" s="29">
        <f t="shared" si="30"/>
        <v>-3.6623745653360421E-2</v>
      </c>
      <c r="E1005" s="29">
        <f t="shared" si="31"/>
        <v>1.5379287654238199E-3</v>
      </c>
    </row>
    <row r="1006" spans="1:5" ht="14.25" customHeight="1" x14ac:dyDescent="0.3">
      <c r="A1006" s="27">
        <v>45407</v>
      </c>
      <c r="B1006" s="28">
        <v>22570.349609375</v>
      </c>
      <c r="C1006" s="28">
        <v>443.42019653320301</v>
      </c>
      <c r="D1006" s="29">
        <f t="shared" si="30"/>
        <v>6.4110422946351666E-3</v>
      </c>
      <c r="E1006" s="29">
        <f t="shared" si="31"/>
        <v>7.4969296067167743E-3</v>
      </c>
    </row>
    <row r="1007" spans="1:5" ht="14.25" customHeight="1" x14ac:dyDescent="0.3">
      <c r="A1007" s="27">
        <v>45408</v>
      </c>
      <c r="B1007" s="28">
        <v>22419.94921875</v>
      </c>
      <c r="C1007" s="28">
        <v>462.49896240234398</v>
      </c>
      <c r="D1007" s="29">
        <f t="shared" si="30"/>
        <v>4.3026379985180399E-2</v>
      </c>
      <c r="E1007" s="29">
        <f t="shared" si="31"/>
        <v>-6.6636269808832953E-3</v>
      </c>
    </row>
    <row r="1008" spans="1:5" ht="14.25" customHeight="1" x14ac:dyDescent="0.3">
      <c r="A1008" s="27">
        <v>45411</v>
      </c>
      <c r="B1008" s="28">
        <v>22643.400390625</v>
      </c>
      <c r="C1008" s="28">
        <v>451.49768066406301</v>
      </c>
      <c r="D1008" s="29">
        <f t="shared" si="30"/>
        <v>-2.3786608473967921E-2</v>
      </c>
      <c r="E1008" s="29">
        <f t="shared" si="31"/>
        <v>9.9666225688025117E-3</v>
      </c>
    </row>
    <row r="1009" spans="1:5" ht="14.25" customHeight="1" x14ac:dyDescent="0.3">
      <c r="A1009" s="27">
        <v>45412</v>
      </c>
      <c r="B1009" s="28">
        <v>22604.849609375</v>
      </c>
      <c r="C1009" s="28">
        <v>468.19781494140602</v>
      </c>
      <c r="D1009" s="29">
        <f t="shared" si="30"/>
        <v>3.6988305793244483E-2</v>
      </c>
      <c r="E1009" s="29">
        <f t="shared" si="31"/>
        <v>-1.7025173156396201E-3</v>
      </c>
    </row>
    <row r="1010" spans="1:5" ht="14.25" customHeight="1" x14ac:dyDescent="0.3">
      <c r="A1010" s="27">
        <v>45414</v>
      </c>
      <c r="B1010" s="28">
        <v>22648.19921875</v>
      </c>
      <c r="C1010" s="28">
        <v>459.87252807617199</v>
      </c>
      <c r="D1010" s="29">
        <f t="shared" si="30"/>
        <v>-1.7781558562540337E-2</v>
      </c>
      <c r="E1010" s="29">
        <f t="shared" si="31"/>
        <v>1.9177127972141625E-3</v>
      </c>
    </row>
    <row r="1011" spans="1:5" ht="14.25" customHeight="1" x14ac:dyDescent="0.3">
      <c r="A1011" s="27">
        <v>45415</v>
      </c>
      <c r="B1011" s="28">
        <v>22475.849609375</v>
      </c>
      <c r="C1011" s="28">
        <v>464.77850341796898</v>
      </c>
      <c r="D1011" s="29">
        <f t="shared" si="30"/>
        <v>1.0668120059966655E-2</v>
      </c>
      <c r="E1011" s="29">
        <f t="shared" si="31"/>
        <v>-7.6098592965534824E-3</v>
      </c>
    </row>
    <row r="1012" spans="1:5" ht="14.25" customHeight="1" x14ac:dyDescent="0.3">
      <c r="A1012" s="27">
        <v>45418</v>
      </c>
      <c r="B1012" s="28">
        <v>22442.69921875</v>
      </c>
      <c r="C1012" s="28">
        <v>456.40365600585898</v>
      </c>
      <c r="D1012" s="29">
        <f t="shared" si="30"/>
        <v>-1.8019007657457457E-2</v>
      </c>
      <c r="E1012" s="29">
        <f t="shared" si="31"/>
        <v>-1.4749338156797639E-3</v>
      </c>
    </row>
    <row r="1013" spans="1:5" ht="14.25" customHeight="1" x14ac:dyDescent="0.3">
      <c r="A1013" s="27">
        <v>45419</v>
      </c>
      <c r="B1013" s="28">
        <v>22302.5</v>
      </c>
      <c r="C1013" s="28">
        <v>449.11904907226602</v>
      </c>
      <c r="D1013" s="29">
        <f t="shared" si="30"/>
        <v>-1.5960886460338608E-2</v>
      </c>
      <c r="E1013" s="29">
        <f t="shared" si="31"/>
        <v>-6.2469855957820357E-3</v>
      </c>
    </row>
    <row r="1014" spans="1:5" ht="14.25" customHeight="1" x14ac:dyDescent="0.3">
      <c r="A1014" s="27">
        <v>45420</v>
      </c>
      <c r="B1014" s="28">
        <v>22302.5</v>
      </c>
      <c r="C1014" s="28">
        <v>456.15588378906301</v>
      </c>
      <c r="D1014" s="29">
        <f t="shared" si="30"/>
        <v>1.5668083398673028E-2</v>
      </c>
      <c r="E1014" s="29">
        <f t="shared" si="31"/>
        <v>0</v>
      </c>
    </row>
    <row r="1015" spans="1:5" ht="14.25" customHeight="1" x14ac:dyDescent="0.3">
      <c r="A1015" s="27">
        <v>45421</v>
      </c>
      <c r="B1015" s="28">
        <v>21957.5</v>
      </c>
      <c r="C1015" s="28">
        <v>444.80773925781301</v>
      </c>
      <c r="D1015" s="29">
        <f t="shared" si="30"/>
        <v>-2.4877777388261517E-2</v>
      </c>
      <c r="E1015" s="29">
        <f t="shared" si="31"/>
        <v>-1.5469117811904494E-2</v>
      </c>
    </row>
    <row r="1016" spans="1:5" ht="14.25" customHeight="1" x14ac:dyDescent="0.3">
      <c r="A1016" s="27">
        <v>45422</v>
      </c>
      <c r="B1016" s="28">
        <v>22055.19921875</v>
      </c>
      <c r="C1016" s="28">
        <v>448.22705078125</v>
      </c>
      <c r="D1016" s="29">
        <f t="shared" si="30"/>
        <v>7.6871673346833036E-3</v>
      </c>
      <c r="E1016" s="29">
        <f t="shared" si="31"/>
        <v>4.4494691449390869E-3</v>
      </c>
    </row>
    <row r="1017" spans="1:5" ht="14.25" customHeight="1" x14ac:dyDescent="0.3">
      <c r="A1017" s="27">
        <v>45425</v>
      </c>
      <c r="B1017" s="28">
        <v>22104.05078125</v>
      </c>
      <c r="C1017" s="28">
        <v>451.74545288085898</v>
      </c>
      <c r="D1017" s="29">
        <f t="shared" si="30"/>
        <v>7.8495978622362909E-3</v>
      </c>
      <c r="E1017" s="29">
        <f t="shared" si="31"/>
        <v>2.214968090538459E-3</v>
      </c>
    </row>
    <row r="1018" spans="1:5" ht="14.25" customHeight="1" x14ac:dyDescent="0.3">
      <c r="A1018" s="27">
        <v>45426</v>
      </c>
      <c r="B1018" s="28">
        <v>22217.849609375</v>
      </c>
      <c r="C1018" s="28">
        <v>457.14697265625</v>
      </c>
      <c r="D1018" s="29">
        <f t="shared" si="30"/>
        <v>1.1956998661402336E-2</v>
      </c>
      <c r="E1018" s="29">
        <f t="shared" si="31"/>
        <v>5.1483245877054842E-3</v>
      </c>
    </row>
    <row r="1019" spans="1:5" ht="14.25" customHeight="1" x14ac:dyDescent="0.3">
      <c r="A1019" s="27">
        <v>45427</v>
      </c>
      <c r="B1019" s="28">
        <v>22200.55078125</v>
      </c>
      <c r="C1019" s="28">
        <v>458.98052978515602</v>
      </c>
      <c r="D1019" s="29">
        <f t="shared" si="30"/>
        <v>4.0108701108795466E-3</v>
      </c>
      <c r="E1019" s="29">
        <f t="shared" si="31"/>
        <v>-7.7860046895360301E-4</v>
      </c>
    </row>
    <row r="1020" spans="1:5" ht="14.25" customHeight="1" x14ac:dyDescent="0.3">
      <c r="A1020" s="27">
        <v>45428</v>
      </c>
      <c r="B1020" s="28">
        <v>22403.849609375</v>
      </c>
      <c r="C1020" s="28">
        <v>468.99069213867199</v>
      </c>
      <c r="D1020" s="29">
        <f t="shared" si="30"/>
        <v>2.1809557713050744E-2</v>
      </c>
      <c r="E1020" s="29">
        <f t="shared" si="31"/>
        <v>9.1573776762647191E-3</v>
      </c>
    </row>
    <row r="1021" spans="1:5" ht="14.25" customHeight="1" x14ac:dyDescent="0.3">
      <c r="A1021" s="27">
        <v>45429</v>
      </c>
      <c r="B1021" s="28">
        <v>22466.099609375</v>
      </c>
      <c r="C1021" s="28">
        <v>472.06311035156301</v>
      </c>
      <c r="D1021" s="29">
        <f t="shared" si="30"/>
        <v>6.5511283366420517E-3</v>
      </c>
      <c r="E1021" s="29">
        <f t="shared" si="31"/>
        <v>2.7785403439751347E-3</v>
      </c>
    </row>
    <row r="1022" spans="1:5" ht="14.25" customHeight="1" x14ac:dyDescent="0.3">
      <c r="A1022" s="27">
        <v>45433</v>
      </c>
      <c r="B1022" s="28">
        <v>22529.05078125</v>
      </c>
      <c r="C1022" s="28">
        <v>470.37823486328102</v>
      </c>
      <c r="D1022" s="29">
        <f t="shared" si="30"/>
        <v>-3.5691742297490675E-3</v>
      </c>
      <c r="E1022" s="29">
        <f t="shared" si="31"/>
        <v>2.8020516676036979E-3</v>
      </c>
    </row>
    <row r="1023" spans="1:5" ht="14.25" customHeight="1" x14ac:dyDescent="0.3">
      <c r="A1023" s="27">
        <v>45434</v>
      </c>
      <c r="B1023" s="28">
        <v>22597.80078125</v>
      </c>
      <c r="C1023" s="28">
        <v>462.79629516601602</v>
      </c>
      <c r="D1023" s="29">
        <f t="shared" si="30"/>
        <v>-1.6118814892591166E-2</v>
      </c>
      <c r="E1023" s="29">
        <f t="shared" si="31"/>
        <v>3.051615474950138E-3</v>
      </c>
    </row>
    <row r="1024" spans="1:5" ht="14.25" customHeight="1" x14ac:dyDescent="0.3">
      <c r="A1024" s="27">
        <v>45435</v>
      </c>
      <c r="B1024" s="28">
        <v>22967.650390625</v>
      </c>
      <c r="C1024" s="28">
        <v>460.76452636718801</v>
      </c>
      <c r="D1024" s="29">
        <f t="shared" si="30"/>
        <v>-4.3902010885786538E-3</v>
      </c>
      <c r="E1024" s="29">
        <f t="shared" si="31"/>
        <v>1.6366619608483058E-2</v>
      </c>
    </row>
    <row r="1025" spans="1:5" ht="14.25" customHeight="1" x14ac:dyDescent="0.3">
      <c r="A1025" s="27">
        <v>45436</v>
      </c>
      <c r="B1025" s="28">
        <v>22957.099609375</v>
      </c>
      <c r="C1025" s="28">
        <v>470.52691650390602</v>
      </c>
      <c r="D1025" s="29">
        <f t="shared" si="30"/>
        <v>2.118737354563242E-2</v>
      </c>
      <c r="E1025" s="29">
        <f t="shared" si="31"/>
        <v>-4.5937573371922485E-4</v>
      </c>
    </row>
    <row r="1026" spans="1:5" ht="14.25" customHeight="1" x14ac:dyDescent="0.3">
      <c r="A1026" s="27">
        <v>45439</v>
      </c>
      <c r="B1026" s="28">
        <v>22932.44921875</v>
      </c>
      <c r="C1026" s="28">
        <v>489.95254516601602</v>
      </c>
      <c r="D1026" s="29">
        <f t="shared" si="30"/>
        <v>4.1284840421979857E-2</v>
      </c>
      <c r="E1026" s="29">
        <f t="shared" si="31"/>
        <v>-1.0737589261900274E-3</v>
      </c>
    </row>
    <row r="1027" spans="1:5" ht="14.25" customHeight="1" x14ac:dyDescent="0.3">
      <c r="A1027" s="27">
        <v>45440</v>
      </c>
      <c r="B1027" s="28">
        <v>22888.150390625</v>
      </c>
      <c r="C1027" s="28">
        <v>505.36422729492199</v>
      </c>
      <c r="D1027" s="29">
        <f t="shared" ref="D1027:D1090" si="32">(C1027-C1026)/C1026</f>
        <v>3.1455458862212578E-2</v>
      </c>
      <c r="E1027" s="29">
        <f t="shared" ref="E1027:E1090" si="33">(B1027-B1026)/B1026</f>
        <v>-1.9317094176221025E-3</v>
      </c>
    </row>
    <row r="1028" spans="1:5" ht="14.25" customHeight="1" x14ac:dyDescent="0.3">
      <c r="A1028" s="27">
        <v>45441</v>
      </c>
      <c r="B1028" s="28">
        <v>22704.69921875</v>
      </c>
      <c r="C1028" s="28">
        <v>502.29180908203102</v>
      </c>
      <c r="D1028" s="29">
        <f t="shared" si="32"/>
        <v>-6.0796115889262476E-3</v>
      </c>
      <c r="E1028" s="29">
        <f t="shared" si="33"/>
        <v>-8.0151156272610692E-3</v>
      </c>
    </row>
    <row r="1029" spans="1:5" ht="14.25" customHeight="1" x14ac:dyDescent="0.3">
      <c r="A1029" s="27">
        <v>45442</v>
      </c>
      <c r="B1029" s="28">
        <v>22488.650390625</v>
      </c>
      <c r="C1029" s="28">
        <v>493.52056884765602</v>
      </c>
      <c r="D1029" s="29">
        <f t="shared" si="32"/>
        <v>-1.7462439314718227E-2</v>
      </c>
      <c r="E1029" s="29">
        <f t="shared" si="33"/>
        <v>-9.5155996581792416E-3</v>
      </c>
    </row>
    <row r="1030" spans="1:5" ht="14.25" customHeight="1" x14ac:dyDescent="0.3">
      <c r="A1030" s="27">
        <v>45443</v>
      </c>
      <c r="B1030" s="28">
        <v>22530.69921875</v>
      </c>
      <c r="C1030" s="28">
        <v>483.90682983398398</v>
      </c>
      <c r="D1030" s="29">
        <f t="shared" si="32"/>
        <v>-1.9479915570934783E-2</v>
      </c>
      <c r="E1030" s="29">
        <f t="shared" si="33"/>
        <v>1.869779973213919E-3</v>
      </c>
    </row>
    <row r="1031" spans="1:5" ht="14.25" customHeight="1" x14ac:dyDescent="0.3">
      <c r="A1031" s="27">
        <v>45446</v>
      </c>
      <c r="B1031" s="28">
        <v>23263.900390625</v>
      </c>
      <c r="C1031" s="28">
        <v>500.40869140625</v>
      </c>
      <c r="D1031" s="29">
        <f t="shared" si="32"/>
        <v>3.4101319830363602E-2</v>
      </c>
      <c r="E1031" s="29">
        <f t="shared" si="33"/>
        <v>3.2542317695352818E-2</v>
      </c>
    </row>
    <row r="1032" spans="1:5" ht="14.25" customHeight="1" x14ac:dyDescent="0.3">
      <c r="A1032" s="27">
        <v>45447</v>
      </c>
      <c r="B1032" s="28">
        <v>21884.5</v>
      </c>
      <c r="C1032" s="28">
        <v>451.39859008789102</v>
      </c>
      <c r="D1032" s="29">
        <f t="shared" si="32"/>
        <v>-9.7940148043053857E-2</v>
      </c>
      <c r="E1032" s="29">
        <f t="shared" si="33"/>
        <v>-5.9293599416410735E-2</v>
      </c>
    </row>
    <row r="1033" spans="1:5" ht="14.25" customHeight="1" x14ac:dyDescent="0.3">
      <c r="A1033" s="27">
        <v>45448</v>
      </c>
      <c r="B1033" s="28">
        <v>22620.349609375</v>
      </c>
      <c r="C1033" s="28">
        <v>486.681884765625</v>
      </c>
      <c r="D1033" s="29">
        <f t="shared" si="32"/>
        <v>7.8164388308931201E-2</v>
      </c>
      <c r="E1033" s="29">
        <f t="shared" si="33"/>
        <v>3.362423676003564E-2</v>
      </c>
    </row>
    <row r="1034" spans="1:5" ht="14.25" customHeight="1" x14ac:dyDescent="0.3">
      <c r="A1034" s="27">
        <v>45449</v>
      </c>
      <c r="B1034" s="28">
        <v>22821.400390625</v>
      </c>
      <c r="C1034" s="28">
        <v>523.154541015625</v>
      </c>
      <c r="D1034" s="29">
        <f t="shared" si="32"/>
        <v>7.4941470787564662E-2</v>
      </c>
      <c r="E1034" s="29">
        <f t="shared" si="33"/>
        <v>8.8880492442377883E-3</v>
      </c>
    </row>
    <row r="1035" spans="1:5" ht="14.25" customHeight="1" x14ac:dyDescent="0.3">
      <c r="A1035" s="27">
        <v>45450</v>
      </c>
      <c r="B1035" s="28">
        <v>23290.150390625</v>
      </c>
      <c r="C1035" s="28">
        <v>522.36169433593795</v>
      </c>
      <c r="D1035" s="29">
        <f t="shared" si="32"/>
        <v>-1.5155114168518044E-3</v>
      </c>
      <c r="E1035" s="29">
        <f t="shared" si="33"/>
        <v>2.0539931466807E-2</v>
      </c>
    </row>
    <row r="1036" spans="1:5" ht="14.25" customHeight="1" x14ac:dyDescent="0.3">
      <c r="A1036" s="27">
        <v>45453</v>
      </c>
      <c r="B1036" s="28">
        <v>23259.19921875</v>
      </c>
      <c r="C1036" s="28">
        <v>521.12274169921898</v>
      </c>
      <c r="D1036" s="29">
        <f t="shared" si="32"/>
        <v>-2.3718290413580556E-3</v>
      </c>
      <c r="E1036" s="29">
        <f t="shared" si="33"/>
        <v>-1.328938257412833E-3</v>
      </c>
    </row>
    <row r="1037" spans="1:5" ht="14.25" customHeight="1" x14ac:dyDescent="0.3">
      <c r="A1037" s="27">
        <v>45454</v>
      </c>
      <c r="B1037" s="28">
        <v>23264.849609375</v>
      </c>
      <c r="C1037" s="28">
        <v>524.14562988281295</v>
      </c>
      <c r="D1037" s="29">
        <f t="shared" si="32"/>
        <v>5.800722059715299E-3</v>
      </c>
      <c r="E1037" s="29">
        <f t="shared" si="33"/>
        <v>2.4293143421915555E-4</v>
      </c>
    </row>
    <row r="1038" spans="1:5" ht="14.25" customHeight="1" x14ac:dyDescent="0.3">
      <c r="A1038" s="27">
        <v>45455</v>
      </c>
      <c r="B1038" s="28">
        <v>23322.94921875</v>
      </c>
      <c r="C1038" s="28">
        <v>535.89025878906295</v>
      </c>
      <c r="D1038" s="29">
        <f t="shared" si="32"/>
        <v>2.2407186546372297E-2</v>
      </c>
      <c r="E1038" s="29">
        <f t="shared" si="33"/>
        <v>2.4973129141392641E-3</v>
      </c>
    </row>
    <row r="1039" spans="1:5" ht="14.25" customHeight="1" x14ac:dyDescent="0.3">
      <c r="A1039" s="27">
        <v>45456</v>
      </c>
      <c r="B1039" s="28">
        <v>23398.900390625</v>
      </c>
      <c r="C1039" s="28">
        <v>537.47601318359398</v>
      </c>
      <c r="D1039" s="29">
        <f t="shared" si="32"/>
        <v>2.9591028545924865E-3</v>
      </c>
      <c r="E1039" s="29">
        <f t="shared" si="33"/>
        <v>3.2564994745150257E-3</v>
      </c>
    </row>
    <row r="1040" spans="1:5" ht="14.25" customHeight="1" x14ac:dyDescent="0.3">
      <c r="A1040" s="27">
        <v>45457</v>
      </c>
      <c r="B1040" s="28">
        <v>23465.599609375</v>
      </c>
      <c r="C1040" s="28">
        <v>537.42645263671898</v>
      </c>
      <c r="D1040" s="29">
        <f t="shared" si="32"/>
        <v>-9.2209783617024118E-5</v>
      </c>
      <c r="E1040" s="29">
        <f t="shared" si="33"/>
        <v>2.8505279152657831E-3</v>
      </c>
    </row>
    <row r="1041" spans="1:5" ht="14.25" customHeight="1" x14ac:dyDescent="0.3">
      <c r="A1041" s="27">
        <v>45461</v>
      </c>
      <c r="B1041" s="28">
        <v>23557.900390625</v>
      </c>
      <c r="C1041" s="28">
        <v>559.528076171875</v>
      </c>
      <c r="D1041" s="29">
        <f t="shared" si="32"/>
        <v>4.1124926818769614E-2</v>
      </c>
      <c r="E1041" s="29">
        <f t="shared" si="33"/>
        <v>3.9334507869606666E-3</v>
      </c>
    </row>
    <row r="1042" spans="1:5" ht="14.25" customHeight="1" x14ac:dyDescent="0.3">
      <c r="A1042" s="27">
        <v>45462</v>
      </c>
      <c r="B1042" s="28">
        <v>23516</v>
      </c>
      <c r="C1042" s="28">
        <v>555.36541748046898</v>
      </c>
      <c r="D1042" s="29">
        <f t="shared" si="32"/>
        <v>-7.4395885902378616E-3</v>
      </c>
      <c r="E1042" s="29">
        <f t="shared" si="33"/>
        <v>-1.7786131162042989E-3</v>
      </c>
    </row>
    <row r="1043" spans="1:5" ht="14.25" customHeight="1" x14ac:dyDescent="0.3">
      <c r="A1043" s="27">
        <v>45463</v>
      </c>
      <c r="B1043" s="28">
        <v>23567</v>
      </c>
      <c r="C1043" s="28">
        <v>567.15960693359398</v>
      </c>
      <c r="D1043" s="29">
        <f t="shared" si="32"/>
        <v>2.1236809282493316E-2</v>
      </c>
      <c r="E1043" s="29">
        <f t="shared" si="33"/>
        <v>2.1687361796223848E-3</v>
      </c>
    </row>
    <row r="1044" spans="1:5" ht="14.25" customHeight="1" x14ac:dyDescent="0.3">
      <c r="A1044" s="27">
        <v>45464</v>
      </c>
      <c r="B1044" s="28">
        <v>23501.099609375</v>
      </c>
      <c r="C1044" s="28">
        <v>564.63232421875</v>
      </c>
      <c r="D1044" s="29">
        <f t="shared" si="32"/>
        <v>-4.4560343930485245E-3</v>
      </c>
      <c r="E1044" s="29">
        <f t="shared" si="33"/>
        <v>-2.7962995130903384E-3</v>
      </c>
    </row>
    <row r="1045" spans="1:5" ht="14.25" customHeight="1" x14ac:dyDescent="0.3">
      <c r="A1045" s="27">
        <v>45467</v>
      </c>
      <c r="B1045" s="28">
        <v>23537.849609375</v>
      </c>
      <c r="C1045" s="28">
        <v>568.74530029296898</v>
      </c>
      <c r="D1045" s="29">
        <f t="shared" si="32"/>
        <v>7.2843439842199455E-3</v>
      </c>
      <c r="E1045" s="29">
        <f t="shared" si="33"/>
        <v>1.5637566161091365E-3</v>
      </c>
    </row>
    <row r="1046" spans="1:5" ht="14.25" customHeight="1" x14ac:dyDescent="0.3">
      <c r="A1046" s="27">
        <v>45468</v>
      </c>
      <c r="B1046" s="28">
        <v>23721.30078125</v>
      </c>
      <c r="C1046" s="28">
        <v>574.49383544921898</v>
      </c>
      <c r="D1046" s="29">
        <f t="shared" si="32"/>
        <v>1.0107398080105183E-2</v>
      </c>
      <c r="E1046" s="29">
        <f t="shared" si="33"/>
        <v>7.7938798539154731E-3</v>
      </c>
    </row>
    <row r="1047" spans="1:5" ht="14.25" customHeight="1" x14ac:dyDescent="0.3">
      <c r="A1047" s="27">
        <v>45469</v>
      </c>
      <c r="B1047" s="28">
        <v>23868.80078125</v>
      </c>
      <c r="C1047" s="28">
        <v>563.04650878906295</v>
      </c>
      <c r="D1047" s="29">
        <f t="shared" si="32"/>
        <v>-1.9925934716435931E-2</v>
      </c>
      <c r="E1047" s="29">
        <f t="shared" si="33"/>
        <v>6.2180401218380173E-3</v>
      </c>
    </row>
    <row r="1048" spans="1:5" ht="14.25" customHeight="1" x14ac:dyDescent="0.3">
      <c r="A1048" s="27">
        <v>45470</v>
      </c>
      <c r="B1048" s="28">
        <v>24044.5</v>
      </c>
      <c r="C1048" s="28">
        <v>561.21295166015602</v>
      </c>
      <c r="D1048" s="29">
        <f t="shared" si="32"/>
        <v>-3.2564932031109478E-3</v>
      </c>
      <c r="E1048" s="29">
        <f t="shared" si="33"/>
        <v>7.3610408985448281E-3</v>
      </c>
    </row>
    <row r="1049" spans="1:5" ht="14.25" customHeight="1" x14ac:dyDescent="0.3">
      <c r="A1049" s="27">
        <v>45471</v>
      </c>
      <c r="B1049" s="28">
        <v>24010.599609375</v>
      </c>
      <c r="C1049" s="28">
        <v>559.478515625</v>
      </c>
      <c r="D1049" s="29">
        <f t="shared" si="32"/>
        <v>-3.0905132000701133E-3</v>
      </c>
      <c r="E1049" s="29">
        <f t="shared" si="33"/>
        <v>-1.4099020825968517E-3</v>
      </c>
    </row>
    <row r="1050" spans="1:5" ht="14.25" customHeight="1" x14ac:dyDescent="0.3">
      <c r="A1050" s="27">
        <v>45474</v>
      </c>
      <c r="B1050" s="28">
        <v>24141.94921875</v>
      </c>
      <c r="C1050" s="28">
        <v>564.3349609375</v>
      </c>
      <c r="D1050" s="29">
        <f t="shared" si="32"/>
        <v>8.6803070660806479E-3</v>
      </c>
      <c r="E1050" s="29">
        <f t="shared" si="33"/>
        <v>5.4704843490753228E-3</v>
      </c>
    </row>
    <row r="1051" spans="1:5" ht="14.25" customHeight="1" x14ac:dyDescent="0.3">
      <c r="A1051" s="27">
        <v>45475</v>
      </c>
      <c r="B1051" s="28">
        <v>24123.849609375</v>
      </c>
      <c r="C1051" s="28">
        <v>559.478515625</v>
      </c>
      <c r="D1051" s="29">
        <f t="shared" si="32"/>
        <v>-8.6056077483348589E-3</v>
      </c>
      <c r="E1051" s="29">
        <f t="shared" si="33"/>
        <v>-7.4971615634676354E-4</v>
      </c>
    </row>
    <row r="1052" spans="1:5" ht="14.25" customHeight="1" x14ac:dyDescent="0.3">
      <c r="A1052" s="27">
        <v>45476</v>
      </c>
      <c r="B1052" s="28">
        <v>24286.5</v>
      </c>
      <c r="C1052" s="28">
        <v>563.83941650390602</v>
      </c>
      <c r="D1052" s="29">
        <f t="shared" si="32"/>
        <v>7.7945814845712339E-3</v>
      </c>
      <c r="E1052" s="29">
        <f t="shared" si="33"/>
        <v>6.742306607722794E-3</v>
      </c>
    </row>
    <row r="1053" spans="1:5" ht="14.25" customHeight="1" x14ac:dyDescent="0.3">
      <c r="A1053" s="27">
        <v>45477</v>
      </c>
      <c r="B1053" s="28">
        <v>24302.150390625</v>
      </c>
      <c r="C1053" s="28">
        <v>561.16339111328102</v>
      </c>
      <c r="D1053" s="29">
        <f t="shared" si="32"/>
        <v>-4.7460771849150455E-3</v>
      </c>
      <c r="E1053" s="29">
        <f t="shared" si="33"/>
        <v>6.4440700080291519E-4</v>
      </c>
    </row>
    <row r="1054" spans="1:5" ht="14.25" customHeight="1" x14ac:dyDescent="0.3">
      <c r="A1054" s="27">
        <v>45478</v>
      </c>
      <c r="B1054" s="28">
        <v>24323.849609375</v>
      </c>
      <c r="C1054" s="28">
        <v>562.89788818359398</v>
      </c>
      <c r="D1054" s="29">
        <f t="shared" si="32"/>
        <v>3.0908949118578816E-3</v>
      </c>
      <c r="E1054" s="29">
        <f t="shared" si="33"/>
        <v>8.928929498506795E-4</v>
      </c>
    </row>
    <row r="1055" spans="1:5" ht="14.25" customHeight="1" x14ac:dyDescent="0.3">
      <c r="A1055" s="27">
        <v>45481</v>
      </c>
      <c r="B1055" s="28">
        <v>24320.55078125</v>
      </c>
      <c r="C1055" s="28">
        <v>566.36676025390602</v>
      </c>
      <c r="D1055" s="29">
        <f t="shared" si="32"/>
        <v>6.1625245770697279E-3</v>
      </c>
      <c r="E1055" s="29">
        <f t="shared" si="33"/>
        <v>-1.3562113637343622E-4</v>
      </c>
    </row>
    <row r="1056" spans="1:5" ht="14.25" customHeight="1" x14ac:dyDescent="0.3">
      <c r="A1056" s="27">
        <v>45482</v>
      </c>
      <c r="B1056" s="28">
        <v>24433.19921875</v>
      </c>
      <c r="C1056" s="28">
        <v>573.304443359375</v>
      </c>
      <c r="D1056" s="29">
        <f t="shared" si="32"/>
        <v>1.2249453167694317E-2</v>
      </c>
      <c r="E1056" s="29">
        <f t="shared" si="33"/>
        <v>4.631820986013468E-3</v>
      </c>
    </row>
    <row r="1057" spans="1:5" ht="14.25" customHeight="1" x14ac:dyDescent="0.3">
      <c r="A1057" s="27">
        <v>45483</v>
      </c>
      <c r="B1057" s="28">
        <v>24324.44921875</v>
      </c>
      <c r="C1057" s="28">
        <v>562.40228271484398</v>
      </c>
      <c r="D1057" s="29">
        <f t="shared" si="32"/>
        <v>-1.9016354697423861E-2</v>
      </c>
      <c r="E1057" s="29">
        <f t="shared" si="33"/>
        <v>-4.4509111977667423E-3</v>
      </c>
    </row>
    <row r="1058" spans="1:5" ht="14.25" customHeight="1" x14ac:dyDescent="0.3">
      <c r="A1058" s="27">
        <v>45484</v>
      </c>
      <c r="B1058" s="28">
        <v>24315.94921875</v>
      </c>
      <c r="C1058" s="28">
        <v>558.43792724609398</v>
      </c>
      <c r="D1058" s="29">
        <f t="shared" si="32"/>
        <v>-7.048967599514626E-3</v>
      </c>
      <c r="E1058" s="29">
        <f t="shared" si="33"/>
        <v>-3.4944265021417015E-4</v>
      </c>
    </row>
    <row r="1059" spans="1:5" ht="14.25" customHeight="1" x14ac:dyDescent="0.3">
      <c r="A1059" s="27">
        <v>45485</v>
      </c>
      <c r="B1059" s="28">
        <v>24502.150390625</v>
      </c>
      <c r="C1059" s="28">
        <v>554.07702636718795</v>
      </c>
      <c r="D1059" s="29">
        <f t="shared" si="32"/>
        <v>-7.8091058399481677E-3</v>
      </c>
      <c r="E1059" s="29">
        <f t="shared" si="33"/>
        <v>7.6575736443560468E-3</v>
      </c>
    </row>
    <row r="1060" spans="1:5" ht="14.25" customHeight="1" x14ac:dyDescent="0.3">
      <c r="A1060" s="27">
        <v>45488</v>
      </c>
      <c r="B1060" s="28">
        <v>24586.69921875</v>
      </c>
      <c r="C1060" s="28">
        <v>557.64501953125</v>
      </c>
      <c r="D1060" s="29">
        <f t="shared" si="32"/>
        <v>6.4395255429658058E-3</v>
      </c>
      <c r="E1060" s="29">
        <f t="shared" si="33"/>
        <v>3.4506697076412537E-3</v>
      </c>
    </row>
    <row r="1061" spans="1:5" ht="14.25" customHeight="1" x14ac:dyDescent="0.3">
      <c r="A1061" s="27">
        <v>45489</v>
      </c>
      <c r="B1061" s="28">
        <v>24613</v>
      </c>
      <c r="C1061" s="28">
        <v>551.64880371093795</v>
      </c>
      <c r="D1061" s="29">
        <f t="shared" si="32"/>
        <v>-1.0752747017004466E-2</v>
      </c>
      <c r="E1061" s="29">
        <f t="shared" si="33"/>
        <v>1.0697158254550424E-3</v>
      </c>
    </row>
    <row r="1062" spans="1:5" ht="14.25" customHeight="1" x14ac:dyDescent="0.3">
      <c r="A1062" s="27">
        <v>45491</v>
      </c>
      <c r="B1062" s="28">
        <v>24800.849609375</v>
      </c>
      <c r="C1062" s="28">
        <v>550.7568359375</v>
      </c>
      <c r="D1062" s="29">
        <f t="shared" si="32"/>
        <v>-1.6169123678646509E-3</v>
      </c>
      <c r="E1062" s="29">
        <f t="shared" si="33"/>
        <v>7.63212974342827E-3</v>
      </c>
    </row>
    <row r="1063" spans="1:5" ht="14.25" customHeight="1" x14ac:dyDescent="0.3">
      <c r="A1063" s="27">
        <v>45492</v>
      </c>
      <c r="B1063" s="28">
        <v>24530.900390625</v>
      </c>
      <c r="C1063" s="28">
        <v>535.69201660156295</v>
      </c>
      <c r="D1063" s="29">
        <f t="shared" si="32"/>
        <v>-2.7352941176469761E-2</v>
      </c>
      <c r="E1063" s="29">
        <f t="shared" si="33"/>
        <v>-1.0884676251089243E-2</v>
      </c>
    </row>
    <row r="1064" spans="1:5" ht="14.25" customHeight="1" x14ac:dyDescent="0.3">
      <c r="A1064" s="27">
        <v>45495</v>
      </c>
      <c r="B1064" s="28">
        <v>24509.25</v>
      </c>
      <c r="C1064" s="28">
        <v>544.04821777343795</v>
      </c>
      <c r="D1064" s="29">
        <f t="shared" si="32"/>
        <v>1.5598890617946573E-2</v>
      </c>
      <c r="E1064" s="29">
        <f t="shared" si="33"/>
        <v>-8.8257627238477363E-4</v>
      </c>
    </row>
    <row r="1065" spans="1:5" ht="14.25" customHeight="1" x14ac:dyDescent="0.3">
      <c r="A1065" s="27">
        <v>45496</v>
      </c>
      <c r="B1065" s="28">
        <v>24479.05078125</v>
      </c>
      <c r="C1065" s="28">
        <v>543.89898681640602</v>
      </c>
      <c r="D1065" s="29">
        <f t="shared" si="32"/>
        <v>-2.7429729968176731E-4</v>
      </c>
      <c r="E1065" s="29">
        <f t="shared" si="33"/>
        <v>-1.2321559717249609E-3</v>
      </c>
    </row>
    <row r="1066" spans="1:5" ht="14.25" customHeight="1" x14ac:dyDescent="0.3">
      <c r="A1066" s="27">
        <v>45497</v>
      </c>
      <c r="B1066" s="28">
        <v>24413.5</v>
      </c>
      <c r="C1066" s="28">
        <v>537.03497314453102</v>
      </c>
      <c r="D1066" s="29">
        <f t="shared" si="32"/>
        <v>-1.2620015551144902E-2</v>
      </c>
      <c r="E1066" s="29">
        <f t="shared" si="33"/>
        <v>-2.6778318259059845E-3</v>
      </c>
    </row>
    <row r="1067" spans="1:5" ht="14.25" customHeight="1" x14ac:dyDescent="0.3">
      <c r="A1067" s="27">
        <v>45498</v>
      </c>
      <c r="B1067" s="28">
        <v>24406.099609375</v>
      </c>
      <c r="C1067" s="28">
        <v>537.084716796875</v>
      </c>
      <c r="D1067" s="29">
        <f t="shared" si="32"/>
        <v>9.2626467234918755E-5</v>
      </c>
      <c r="E1067" s="29">
        <f t="shared" si="33"/>
        <v>-3.031269840457124E-4</v>
      </c>
    </row>
    <row r="1068" spans="1:5" ht="14.25" customHeight="1" x14ac:dyDescent="0.3">
      <c r="A1068" s="27">
        <v>45499</v>
      </c>
      <c r="B1068" s="28">
        <v>24834.849609375</v>
      </c>
      <c r="C1068" s="28">
        <v>550.86248779296898</v>
      </c>
      <c r="D1068" s="29">
        <f t="shared" si="32"/>
        <v>2.5652882245958079E-2</v>
      </c>
      <c r="E1068" s="29">
        <f t="shared" si="33"/>
        <v>1.756732976027461E-2</v>
      </c>
    </row>
    <row r="1069" spans="1:5" ht="14.25" customHeight="1" x14ac:dyDescent="0.3">
      <c r="A1069" s="27">
        <v>45502</v>
      </c>
      <c r="B1069" s="28">
        <v>24836.099609375</v>
      </c>
      <c r="C1069" s="28">
        <v>549.02215576171898</v>
      </c>
      <c r="D1069" s="29">
        <f t="shared" si="32"/>
        <v>-3.3408193006993301E-3</v>
      </c>
      <c r="E1069" s="29">
        <f t="shared" si="33"/>
        <v>5.0332497263367071E-5</v>
      </c>
    </row>
    <row r="1070" spans="1:5" ht="14.25" customHeight="1" x14ac:dyDescent="0.3">
      <c r="A1070" s="27">
        <v>45503</v>
      </c>
      <c r="B1070" s="28">
        <v>24857.30078125</v>
      </c>
      <c r="C1070" s="28">
        <v>528.927490234375</v>
      </c>
      <c r="D1070" s="29">
        <f t="shared" si="32"/>
        <v>-3.6600828065789862E-2</v>
      </c>
      <c r="E1070" s="29">
        <f t="shared" si="33"/>
        <v>8.5364337430008915E-4</v>
      </c>
    </row>
    <row r="1071" spans="1:5" ht="14.25" customHeight="1" x14ac:dyDescent="0.3">
      <c r="A1071" s="27">
        <v>45504</v>
      </c>
      <c r="B1071" s="28">
        <v>24951.150390625</v>
      </c>
      <c r="C1071" s="28">
        <v>520.5712890625</v>
      </c>
      <c r="D1071" s="29">
        <f t="shared" si="32"/>
        <v>-1.5798386973935222E-2</v>
      </c>
      <c r="E1071" s="29">
        <f t="shared" si="33"/>
        <v>3.7755350108564997E-3</v>
      </c>
    </row>
    <row r="1072" spans="1:5" ht="14.25" customHeight="1" x14ac:dyDescent="0.3">
      <c r="A1072" s="27">
        <v>45505</v>
      </c>
      <c r="B1072" s="28">
        <v>25010.900390625</v>
      </c>
      <c r="C1072" s="28">
        <v>510.07629394531301</v>
      </c>
      <c r="D1072" s="29">
        <f t="shared" si="32"/>
        <v>-2.0160533893614243E-2</v>
      </c>
      <c r="E1072" s="29">
        <f t="shared" si="33"/>
        <v>2.3946791656728628E-3</v>
      </c>
    </row>
    <row r="1073" spans="1:5" ht="14.25" customHeight="1" x14ac:dyDescent="0.3">
      <c r="A1073" s="27">
        <v>45506</v>
      </c>
      <c r="B1073" s="28">
        <v>24717.69921875</v>
      </c>
      <c r="C1073" s="28">
        <v>506.19662475585898</v>
      </c>
      <c r="D1073" s="29">
        <f t="shared" si="32"/>
        <v>-7.6060566536934309E-3</v>
      </c>
      <c r="E1073" s="29">
        <f t="shared" si="33"/>
        <v>-1.1722935491954641E-2</v>
      </c>
    </row>
    <row r="1074" spans="1:5" ht="14.25" customHeight="1" x14ac:dyDescent="0.3">
      <c r="A1074" s="27">
        <v>45509</v>
      </c>
      <c r="B1074" s="28">
        <v>24055.599609375</v>
      </c>
      <c r="C1074" s="28">
        <v>482.81918334960898</v>
      </c>
      <c r="D1074" s="29">
        <f t="shared" si="32"/>
        <v>-4.6182531180497401E-2</v>
      </c>
      <c r="E1074" s="29">
        <f t="shared" si="33"/>
        <v>-2.6786457894622889E-2</v>
      </c>
    </row>
    <row r="1075" spans="1:5" ht="14.25" customHeight="1" x14ac:dyDescent="0.3">
      <c r="A1075" s="27">
        <v>45510</v>
      </c>
      <c r="B1075" s="28">
        <v>23992.55078125</v>
      </c>
      <c r="C1075" s="28">
        <v>479.13845825195301</v>
      </c>
      <c r="D1075" s="29">
        <f t="shared" si="32"/>
        <v>-7.6234027656493421E-3</v>
      </c>
      <c r="E1075" s="29">
        <f t="shared" si="33"/>
        <v>-2.6209626510589443E-3</v>
      </c>
    </row>
    <row r="1076" spans="1:5" ht="14.25" customHeight="1" x14ac:dyDescent="0.3">
      <c r="A1076" s="27">
        <v>45511</v>
      </c>
      <c r="B1076" s="28">
        <v>24297.5</v>
      </c>
      <c r="C1076" s="28">
        <v>493.66232299804699</v>
      </c>
      <c r="D1076" s="29">
        <f t="shared" si="32"/>
        <v>3.0312458739132693E-2</v>
      </c>
      <c r="E1076" s="29">
        <f t="shared" si="33"/>
        <v>1.2710162480444369E-2</v>
      </c>
    </row>
    <row r="1077" spans="1:5" ht="14.25" customHeight="1" x14ac:dyDescent="0.3">
      <c r="A1077" s="27">
        <v>45512</v>
      </c>
      <c r="B1077" s="28">
        <v>24117</v>
      </c>
      <c r="C1077" s="28">
        <v>483.614990234375</v>
      </c>
      <c r="D1077" s="29">
        <f t="shared" si="32"/>
        <v>-2.0352642475637617E-2</v>
      </c>
      <c r="E1077" s="29">
        <f t="shared" si="33"/>
        <v>-7.428747813561066E-3</v>
      </c>
    </row>
    <row r="1078" spans="1:5" ht="14.25" customHeight="1" x14ac:dyDescent="0.3">
      <c r="A1078" s="27">
        <v>45513</v>
      </c>
      <c r="B1078" s="28">
        <v>24367.5</v>
      </c>
      <c r="C1078" s="28">
        <v>490.62823486328102</v>
      </c>
      <c r="D1078" s="29">
        <f t="shared" si="32"/>
        <v>1.450171059732285E-2</v>
      </c>
      <c r="E1078" s="29">
        <f t="shared" si="33"/>
        <v>1.0386864037815649E-2</v>
      </c>
    </row>
    <row r="1079" spans="1:5" ht="14.25" customHeight="1" x14ac:dyDescent="0.3">
      <c r="A1079" s="27">
        <v>45516</v>
      </c>
      <c r="B1079" s="28">
        <v>24347</v>
      </c>
      <c r="C1079" s="28">
        <v>496.49746704101602</v>
      </c>
      <c r="D1079" s="29">
        <f t="shared" si="32"/>
        <v>1.1962687347927554E-2</v>
      </c>
      <c r="E1079" s="29">
        <f t="shared" si="33"/>
        <v>-8.412844977941931E-4</v>
      </c>
    </row>
    <row r="1080" spans="1:5" ht="14.25" customHeight="1" x14ac:dyDescent="0.3">
      <c r="A1080" s="27">
        <v>45517</v>
      </c>
      <c r="B1080" s="28">
        <v>24139</v>
      </c>
      <c r="C1080" s="28">
        <v>489.931884765625</v>
      </c>
      <c r="D1080" s="29">
        <f t="shared" si="32"/>
        <v>-1.3223798128357089E-2</v>
      </c>
      <c r="E1080" s="29">
        <f t="shared" si="33"/>
        <v>-8.5431469996303452E-3</v>
      </c>
    </row>
    <row r="1081" spans="1:5" ht="14.25" customHeight="1" x14ac:dyDescent="0.3">
      <c r="A1081" s="27">
        <v>45518</v>
      </c>
      <c r="B1081" s="28">
        <v>24143.75</v>
      </c>
      <c r="C1081" s="28">
        <v>483.66473388671898</v>
      </c>
      <c r="D1081" s="29">
        <f t="shared" si="32"/>
        <v>-1.2791882042754004E-2</v>
      </c>
      <c r="E1081" s="29">
        <f t="shared" si="33"/>
        <v>1.9677699987571978E-4</v>
      </c>
    </row>
    <row r="1082" spans="1:5" ht="14.25" customHeight="1" x14ac:dyDescent="0.3">
      <c r="A1082" s="27">
        <v>45520</v>
      </c>
      <c r="B1082" s="28">
        <v>24541.150390625</v>
      </c>
      <c r="C1082" s="28">
        <v>493.11520385742199</v>
      </c>
      <c r="D1082" s="29">
        <f t="shared" si="32"/>
        <v>1.9539299247144291E-2</v>
      </c>
      <c r="E1082" s="29">
        <f t="shared" si="33"/>
        <v>1.6459762490292518E-2</v>
      </c>
    </row>
    <row r="1083" spans="1:5" ht="14.25" customHeight="1" x14ac:dyDescent="0.3">
      <c r="A1083" s="27">
        <v>45523</v>
      </c>
      <c r="B1083" s="28">
        <v>24572.650390625</v>
      </c>
      <c r="C1083" s="28">
        <v>494.35870361328102</v>
      </c>
      <c r="D1083" s="29">
        <f t="shared" si="32"/>
        <v>2.5217226038290559E-3</v>
      </c>
      <c r="E1083" s="29">
        <f t="shared" si="33"/>
        <v>1.2835584110202657E-3</v>
      </c>
    </row>
    <row r="1084" spans="1:5" ht="14.25" customHeight="1" x14ac:dyDescent="0.3">
      <c r="A1084" s="27">
        <v>45524</v>
      </c>
      <c r="B1084" s="28">
        <v>24698.849609375</v>
      </c>
      <c r="C1084" s="28">
        <v>494.65710449218801</v>
      </c>
      <c r="D1084" s="29">
        <f t="shared" si="32"/>
        <v>6.0361206695860501E-4</v>
      </c>
      <c r="E1084" s="29">
        <f t="shared" si="33"/>
        <v>5.1357593399101852E-3</v>
      </c>
    </row>
    <row r="1085" spans="1:5" ht="14.25" customHeight="1" x14ac:dyDescent="0.3">
      <c r="A1085" s="27">
        <v>45525</v>
      </c>
      <c r="B1085" s="28">
        <v>24770.19921875</v>
      </c>
      <c r="C1085" s="28">
        <v>505.35104370117199</v>
      </c>
      <c r="D1085" s="29">
        <f t="shared" si="32"/>
        <v>2.1618893394773558E-2</v>
      </c>
      <c r="E1085" s="29">
        <f t="shared" si="33"/>
        <v>2.8887826964992596E-3</v>
      </c>
    </row>
    <row r="1086" spans="1:5" ht="14.25" customHeight="1" x14ac:dyDescent="0.3">
      <c r="A1086" s="27">
        <v>45526</v>
      </c>
      <c r="B1086" s="28">
        <v>24811.5</v>
      </c>
      <c r="C1086" s="28">
        <v>509.72814941406301</v>
      </c>
      <c r="D1086" s="29">
        <f t="shared" si="32"/>
        <v>8.6615151337835691E-3</v>
      </c>
      <c r="E1086" s="29">
        <f t="shared" si="33"/>
        <v>1.667357653657345E-3</v>
      </c>
    </row>
    <row r="1087" spans="1:5" ht="14.25" customHeight="1" x14ac:dyDescent="0.3">
      <c r="A1087" s="27">
        <v>45527</v>
      </c>
      <c r="B1087" s="28">
        <v>24823.150390625</v>
      </c>
      <c r="C1087" s="28">
        <v>496.7958984375</v>
      </c>
      <c r="D1087" s="29">
        <f t="shared" si="32"/>
        <v>-2.5370878558362429E-2</v>
      </c>
      <c r="E1087" s="29">
        <f t="shared" si="33"/>
        <v>4.6955607782681415E-4</v>
      </c>
    </row>
    <row r="1088" spans="1:5" ht="14.25" customHeight="1" x14ac:dyDescent="0.3">
      <c r="A1088" s="27">
        <v>45530</v>
      </c>
      <c r="B1088" s="28">
        <v>25010.599609375</v>
      </c>
      <c r="C1088" s="28">
        <v>495.35348510742199</v>
      </c>
      <c r="D1088" s="29">
        <f t="shared" si="32"/>
        <v>-2.9034324450234483E-3</v>
      </c>
      <c r="E1088" s="29">
        <f t="shared" si="33"/>
        <v>7.551387144670978E-3</v>
      </c>
    </row>
    <row r="1089" spans="1:5" ht="14.25" customHeight="1" x14ac:dyDescent="0.3">
      <c r="A1089" s="27">
        <v>45531</v>
      </c>
      <c r="B1089" s="28">
        <v>25017.75</v>
      </c>
      <c r="C1089" s="28">
        <v>496.09957885742199</v>
      </c>
      <c r="D1089" s="29">
        <f t="shared" si="32"/>
        <v>1.5061845175838476E-3</v>
      </c>
      <c r="E1089" s="29">
        <f t="shared" si="33"/>
        <v>2.8589441023715959E-4</v>
      </c>
    </row>
    <row r="1090" spans="1:5" ht="14.25" customHeight="1" x14ac:dyDescent="0.3">
      <c r="A1090" s="27">
        <v>45532</v>
      </c>
      <c r="B1090" s="28">
        <v>25052.349609375</v>
      </c>
      <c r="C1090" s="28">
        <v>489.13607788085898</v>
      </c>
      <c r="D1090" s="29">
        <f t="shared" si="32"/>
        <v>-1.4036498463878574E-2</v>
      </c>
      <c r="E1090" s="29">
        <f t="shared" si="33"/>
        <v>1.3830024432652816E-3</v>
      </c>
    </row>
    <row r="1091" spans="1:5" ht="14.25" customHeight="1" x14ac:dyDescent="0.3">
      <c r="A1091" s="27">
        <v>45533</v>
      </c>
      <c r="B1091" s="28">
        <v>25151.94921875</v>
      </c>
      <c r="C1091" s="28">
        <v>487.64389038085898</v>
      </c>
      <c r="D1091" s="29">
        <f t="shared" ref="D1091:D1154" si="34">(C1091-C1090)/C1090</f>
        <v>-3.0506592489860434E-3</v>
      </c>
      <c r="E1091" s="29">
        <f t="shared" ref="E1091:E1154" si="35">(B1091-B1090)/B1090</f>
        <v>3.9756594063228385E-3</v>
      </c>
    </row>
    <row r="1092" spans="1:5" ht="14.25" customHeight="1" x14ac:dyDescent="0.3">
      <c r="A1092" s="27">
        <v>45534</v>
      </c>
      <c r="B1092" s="28">
        <v>25235.900390625</v>
      </c>
      <c r="C1092" s="28">
        <v>490.32980346679699</v>
      </c>
      <c r="D1092" s="29">
        <f t="shared" si="34"/>
        <v>5.507939582387187E-3</v>
      </c>
      <c r="E1092" s="29">
        <f t="shared" si="35"/>
        <v>3.3377600735777966E-3</v>
      </c>
    </row>
    <row r="1093" spans="1:5" ht="14.25" customHeight="1" x14ac:dyDescent="0.3">
      <c r="A1093" s="27">
        <v>45537</v>
      </c>
      <c r="B1093" s="28">
        <v>25278.69921875</v>
      </c>
      <c r="C1093" s="28">
        <v>487.94232177734398</v>
      </c>
      <c r="D1093" s="29">
        <f t="shared" si="34"/>
        <v>-4.8691343511504115E-3</v>
      </c>
      <c r="E1093" s="29">
        <f t="shared" si="35"/>
        <v>1.6959501132323192E-3</v>
      </c>
    </row>
    <row r="1094" spans="1:5" ht="14.25" customHeight="1" x14ac:dyDescent="0.3">
      <c r="A1094" s="27">
        <v>45538</v>
      </c>
      <c r="B1094" s="28">
        <v>25279.849609375</v>
      </c>
      <c r="C1094" s="28">
        <v>486.30093383789102</v>
      </c>
      <c r="D1094" s="29">
        <f t="shared" si="34"/>
        <v>-3.3638974653277696E-3</v>
      </c>
      <c r="E1094" s="29">
        <f t="shared" si="35"/>
        <v>4.5508299894905958E-5</v>
      </c>
    </row>
    <row r="1095" spans="1:5" ht="14.25" customHeight="1" x14ac:dyDescent="0.3">
      <c r="A1095" s="27">
        <v>45539</v>
      </c>
      <c r="B1095" s="28">
        <v>25198.69921875</v>
      </c>
      <c r="C1095" s="28">
        <v>481.62542724609398</v>
      </c>
      <c r="D1095" s="29">
        <f t="shared" si="34"/>
        <v>-9.6144306261102732E-3</v>
      </c>
      <c r="E1095" s="29">
        <f t="shared" si="35"/>
        <v>-3.2100820170585776E-3</v>
      </c>
    </row>
    <row r="1096" spans="1:5" ht="14.25" customHeight="1" x14ac:dyDescent="0.3">
      <c r="A1096" s="27">
        <v>45540</v>
      </c>
      <c r="B1096" s="28">
        <v>25145.099609375</v>
      </c>
      <c r="C1096" s="28">
        <v>493.06546020507801</v>
      </c>
      <c r="D1096" s="29">
        <f t="shared" si="34"/>
        <v>2.3752967164540031E-2</v>
      </c>
      <c r="E1096" s="29">
        <f t="shared" si="35"/>
        <v>-2.1270784221717794E-3</v>
      </c>
    </row>
    <row r="1097" spans="1:5" ht="14.25" customHeight="1" x14ac:dyDescent="0.3">
      <c r="A1097" s="27">
        <v>45541</v>
      </c>
      <c r="B1097" s="28">
        <v>24852.150390625</v>
      </c>
      <c r="C1097" s="28">
        <v>480.48141479492199</v>
      </c>
      <c r="D1097" s="29">
        <f t="shared" si="34"/>
        <v>-2.5522058277864381E-2</v>
      </c>
      <c r="E1097" s="29">
        <f t="shared" si="35"/>
        <v>-1.1650350298901897E-2</v>
      </c>
    </row>
    <row r="1098" spans="1:5" ht="14.25" customHeight="1" x14ac:dyDescent="0.3">
      <c r="A1098" s="27">
        <v>45544</v>
      </c>
      <c r="B1098" s="28">
        <v>24936.400390625</v>
      </c>
      <c r="C1098" s="28">
        <v>472.27444458007801</v>
      </c>
      <c r="D1098" s="29">
        <f t="shared" si="34"/>
        <v>-1.7080723545460877E-2</v>
      </c>
      <c r="E1098" s="29">
        <f t="shared" si="35"/>
        <v>3.3900486950127948E-3</v>
      </c>
    </row>
    <row r="1099" spans="1:5" ht="14.25" customHeight="1" x14ac:dyDescent="0.3">
      <c r="A1099" s="27">
        <v>45545</v>
      </c>
      <c r="B1099" s="28">
        <v>25041.099609375</v>
      </c>
      <c r="C1099" s="28">
        <v>476.30331420898398</v>
      </c>
      <c r="D1099" s="29">
        <f t="shared" si="34"/>
        <v>8.5307805136232342E-3</v>
      </c>
      <c r="E1099" s="29">
        <f t="shared" si="35"/>
        <v>4.1986500501236075E-3</v>
      </c>
    </row>
    <row r="1100" spans="1:5" ht="14.25" customHeight="1" x14ac:dyDescent="0.3">
      <c r="A1100" s="27">
        <v>45546</v>
      </c>
      <c r="B1100" s="28">
        <v>24918.44921875</v>
      </c>
      <c r="C1100" s="28">
        <v>469.73776245117199</v>
      </c>
      <c r="D1100" s="29">
        <f t="shared" si="34"/>
        <v>-1.3784392344016468E-2</v>
      </c>
      <c r="E1100" s="29">
        <f t="shared" si="35"/>
        <v>-4.8979634496195048E-3</v>
      </c>
    </row>
    <row r="1101" spans="1:5" ht="14.25" customHeight="1" x14ac:dyDescent="0.3">
      <c r="A1101" s="27">
        <v>45547</v>
      </c>
      <c r="B1101" s="28">
        <v>25388.900390625</v>
      </c>
      <c r="C1101" s="28">
        <v>477.34783935546898</v>
      </c>
      <c r="D1101" s="29">
        <f t="shared" si="34"/>
        <v>1.6200692200231692E-2</v>
      </c>
      <c r="E1101" s="29">
        <f t="shared" si="35"/>
        <v>1.8879632827271085E-2</v>
      </c>
    </row>
    <row r="1102" spans="1:5" ht="14.25" customHeight="1" x14ac:dyDescent="0.3">
      <c r="A1102" s="27">
        <v>45548</v>
      </c>
      <c r="B1102" s="28">
        <v>25356.5</v>
      </c>
      <c r="C1102" s="28">
        <v>482.868896484375</v>
      </c>
      <c r="D1102" s="29">
        <f t="shared" si="34"/>
        <v>1.1566108974874043E-2</v>
      </c>
      <c r="E1102" s="29">
        <f t="shared" si="35"/>
        <v>-1.2761636040355664E-3</v>
      </c>
    </row>
    <row r="1103" spans="1:5" ht="14.25" customHeight="1" x14ac:dyDescent="0.3">
      <c r="A1103" s="27">
        <v>45551</v>
      </c>
      <c r="B1103" s="28">
        <v>25383.75</v>
      </c>
      <c r="C1103" s="28">
        <v>487.39520263671898</v>
      </c>
      <c r="D1103" s="29">
        <f t="shared" si="34"/>
        <v>9.3737786494401849E-3</v>
      </c>
      <c r="E1103" s="29">
        <f t="shared" si="35"/>
        <v>1.0746751326089958E-3</v>
      </c>
    </row>
    <row r="1104" spans="1:5" ht="14.25" customHeight="1" x14ac:dyDescent="0.3">
      <c r="A1104" s="27">
        <v>45552</v>
      </c>
      <c r="B1104" s="28">
        <v>25418.55078125</v>
      </c>
      <c r="C1104" s="28">
        <v>479.78506469726602</v>
      </c>
      <c r="D1104" s="29">
        <f t="shared" si="34"/>
        <v>-1.5613895865785094E-2</v>
      </c>
      <c r="E1104" s="29">
        <f t="shared" si="35"/>
        <v>1.3709866056039789E-3</v>
      </c>
    </row>
    <row r="1105" spans="1:5" ht="14.25" customHeight="1" x14ac:dyDescent="0.3">
      <c r="A1105" s="27">
        <v>45553</v>
      </c>
      <c r="B1105" s="28">
        <v>25377.55078125</v>
      </c>
      <c r="C1105" s="28">
        <v>469.29006958007801</v>
      </c>
      <c r="D1105" s="29">
        <f t="shared" si="34"/>
        <v>-2.1874368106498118E-2</v>
      </c>
      <c r="E1105" s="29">
        <f t="shared" si="35"/>
        <v>-1.6129951842196943E-3</v>
      </c>
    </row>
    <row r="1106" spans="1:5" ht="14.25" customHeight="1" x14ac:dyDescent="0.3">
      <c r="A1106" s="27">
        <v>45554</v>
      </c>
      <c r="B1106" s="28">
        <v>25415.80078125</v>
      </c>
      <c r="C1106" s="28">
        <v>457.55163574218801</v>
      </c>
      <c r="D1106" s="29">
        <f t="shared" si="34"/>
        <v>-2.5013173298965352E-2</v>
      </c>
      <c r="E1106" s="29">
        <f t="shared" si="35"/>
        <v>1.5072376499098844E-3</v>
      </c>
    </row>
    <row r="1107" spans="1:5" ht="14.25" customHeight="1" x14ac:dyDescent="0.3">
      <c r="A1107" s="27">
        <v>45555</v>
      </c>
      <c r="B1107" s="28">
        <v>25790.94921875</v>
      </c>
      <c r="C1107" s="28">
        <v>463.86849975585898</v>
      </c>
      <c r="D1107" s="29">
        <f t="shared" si="34"/>
        <v>1.3805794844169817E-2</v>
      </c>
      <c r="E1107" s="29">
        <f t="shared" si="35"/>
        <v>1.4760441377741608E-2</v>
      </c>
    </row>
    <row r="1108" spans="1:5" ht="14.25" customHeight="1" x14ac:dyDescent="0.3">
      <c r="A1108" s="27">
        <v>45558</v>
      </c>
      <c r="B1108" s="28">
        <v>25939.05078125</v>
      </c>
      <c r="C1108" s="28">
        <v>468.69320678710898</v>
      </c>
      <c r="D1108" s="29">
        <f t="shared" si="34"/>
        <v>1.0401023207631725E-2</v>
      </c>
      <c r="E1108" s="29">
        <f t="shared" si="35"/>
        <v>5.7423850996662926E-3</v>
      </c>
    </row>
    <row r="1109" spans="1:5" ht="14.25" customHeight="1" x14ac:dyDescent="0.3">
      <c r="A1109" s="27">
        <v>45559</v>
      </c>
      <c r="B1109" s="28">
        <v>25940.400390625</v>
      </c>
      <c r="C1109" s="28">
        <v>474.21429443359398</v>
      </c>
      <c r="D1109" s="29">
        <f t="shared" si="34"/>
        <v>1.177974753321484E-2</v>
      </c>
      <c r="E1109" s="29">
        <f t="shared" si="35"/>
        <v>5.2030021699003842E-5</v>
      </c>
    </row>
    <row r="1110" spans="1:5" ht="14.25" customHeight="1" x14ac:dyDescent="0.3">
      <c r="A1110" s="27">
        <v>45560</v>
      </c>
      <c r="B1110" s="28">
        <v>26004.150390625</v>
      </c>
      <c r="C1110" s="28">
        <v>471.22991943359398</v>
      </c>
      <c r="D1110" s="29">
        <f t="shared" si="34"/>
        <v>-6.2933045988513812E-3</v>
      </c>
      <c r="E1110" s="29">
        <f t="shared" si="35"/>
        <v>2.4575565157058869E-3</v>
      </c>
    </row>
    <row r="1111" spans="1:5" ht="14.25" customHeight="1" x14ac:dyDescent="0.3">
      <c r="A1111" s="27">
        <v>45561</v>
      </c>
      <c r="B1111" s="28">
        <v>26216.05078125</v>
      </c>
      <c r="C1111" s="28">
        <v>469.29006958007801</v>
      </c>
      <c r="D1111" s="29">
        <f t="shared" si="34"/>
        <v>-4.1165676743268225E-3</v>
      </c>
      <c r="E1111" s="29">
        <f t="shared" si="35"/>
        <v>8.1487142414540942E-3</v>
      </c>
    </row>
    <row r="1112" spans="1:5" ht="14.25" customHeight="1" x14ac:dyDescent="0.3">
      <c r="A1112" s="27">
        <v>45562</v>
      </c>
      <c r="B1112" s="28">
        <v>26178.94921875</v>
      </c>
      <c r="C1112" s="28">
        <v>494.70684814453102</v>
      </c>
      <c r="D1112" s="29">
        <f t="shared" si="34"/>
        <v>5.4160060508410102E-2</v>
      </c>
      <c r="E1112" s="29">
        <f t="shared" si="35"/>
        <v>-1.4152231703234049E-3</v>
      </c>
    </row>
    <row r="1113" spans="1:5" ht="14.25" customHeight="1" x14ac:dyDescent="0.3">
      <c r="A1113" s="27">
        <v>45565</v>
      </c>
      <c r="B1113" s="28">
        <v>25810.849609375</v>
      </c>
      <c r="C1113" s="28">
        <v>499.92947387695301</v>
      </c>
      <c r="D1113" s="29">
        <f t="shared" si="34"/>
        <v>1.0557011191598005E-2</v>
      </c>
      <c r="E1113" s="29">
        <f t="shared" si="35"/>
        <v>-1.406090085202343E-2</v>
      </c>
    </row>
    <row r="1114" spans="1:5" ht="14.25" customHeight="1" x14ac:dyDescent="0.3">
      <c r="A1114" s="27">
        <v>45566</v>
      </c>
      <c r="B1114" s="28">
        <v>25796.900390625</v>
      </c>
      <c r="C1114" s="28">
        <v>508.88253784179699</v>
      </c>
      <c r="D1114" s="29">
        <f t="shared" si="34"/>
        <v>1.7908653985557136E-2</v>
      </c>
      <c r="E1114" s="29">
        <f t="shared" si="35"/>
        <v>-5.4044012347944466E-4</v>
      </c>
    </row>
    <row r="1115" spans="1:5" ht="14.25" customHeight="1" x14ac:dyDescent="0.3">
      <c r="A1115" s="27">
        <v>45568</v>
      </c>
      <c r="B1115" s="28">
        <v>25250.099609375</v>
      </c>
      <c r="C1115" s="28">
        <v>493.76181030273398</v>
      </c>
      <c r="D1115" s="29">
        <f t="shared" si="34"/>
        <v>-2.9713590887183852E-2</v>
      </c>
      <c r="E1115" s="29">
        <f t="shared" si="35"/>
        <v>-2.1196375260987402E-2</v>
      </c>
    </row>
    <row r="1116" spans="1:5" ht="14.25" customHeight="1" x14ac:dyDescent="0.3">
      <c r="A1116" s="27">
        <v>45569</v>
      </c>
      <c r="B1116" s="28">
        <v>25014.599609375</v>
      </c>
      <c r="C1116" s="28">
        <v>499.78024291992199</v>
      </c>
      <c r="D1116" s="29">
        <f t="shared" si="34"/>
        <v>1.2188939062537067E-2</v>
      </c>
      <c r="E1116" s="29">
        <f t="shared" si="35"/>
        <v>-9.3266958801446562E-3</v>
      </c>
    </row>
    <row r="1117" spans="1:5" ht="14.25" customHeight="1" x14ac:dyDescent="0.3">
      <c r="A1117" s="27">
        <v>45572</v>
      </c>
      <c r="B1117" s="28">
        <v>24795.75</v>
      </c>
      <c r="C1117" s="28">
        <v>477.99444580078102</v>
      </c>
      <c r="D1117" s="29">
        <f t="shared" si="34"/>
        <v>-4.3590752991473546E-2</v>
      </c>
      <c r="E1117" s="29">
        <f t="shared" si="35"/>
        <v>-8.7488751686027114E-3</v>
      </c>
    </row>
    <row r="1118" spans="1:5" ht="14.25" customHeight="1" x14ac:dyDescent="0.3">
      <c r="A1118" s="27">
        <v>45573</v>
      </c>
      <c r="B1118" s="28">
        <v>25013.150390625</v>
      </c>
      <c r="C1118" s="28">
        <v>491.22509765625</v>
      </c>
      <c r="D1118" s="29">
        <f t="shared" si="34"/>
        <v>2.7679509608743991E-2</v>
      </c>
      <c r="E1118" s="29">
        <f t="shared" si="35"/>
        <v>8.7676473034693451E-3</v>
      </c>
    </row>
    <row r="1119" spans="1:5" ht="14.25" customHeight="1" x14ac:dyDescent="0.3">
      <c r="A1119" s="27">
        <v>45574</v>
      </c>
      <c r="B1119" s="28">
        <v>24981.94921875</v>
      </c>
      <c r="C1119" s="28">
        <v>516.641845703125</v>
      </c>
      <c r="D1119" s="29">
        <f t="shared" si="34"/>
        <v>5.1741550193881089E-2</v>
      </c>
      <c r="E1119" s="29">
        <f t="shared" si="35"/>
        <v>-1.2473907279865989E-3</v>
      </c>
    </row>
    <row r="1120" spans="1:5" ht="14.25" customHeight="1" x14ac:dyDescent="0.3">
      <c r="A1120" s="27">
        <v>45575</v>
      </c>
      <c r="B1120" s="28">
        <v>24998.44921875</v>
      </c>
      <c r="C1120" s="28">
        <v>509.47943115234398</v>
      </c>
      <c r="D1120" s="29">
        <f t="shared" si="34"/>
        <v>-1.3863403846107968E-2</v>
      </c>
      <c r="E1120" s="29">
        <f t="shared" si="35"/>
        <v>6.6047688495083712E-4</v>
      </c>
    </row>
    <row r="1121" spans="1:5" ht="14.25" customHeight="1" x14ac:dyDescent="0.3">
      <c r="A1121" s="27">
        <v>45576</v>
      </c>
      <c r="B1121" s="28">
        <v>24964.25</v>
      </c>
      <c r="C1121" s="28">
        <v>527.73370361328102</v>
      </c>
      <c r="D1121" s="29">
        <f t="shared" si="34"/>
        <v>3.5829262860817383E-2</v>
      </c>
      <c r="E1121" s="29">
        <f t="shared" si="35"/>
        <v>-1.3680536120756241E-3</v>
      </c>
    </row>
    <row r="1122" spans="1:5" ht="14.25" customHeight="1" x14ac:dyDescent="0.3">
      <c r="A1122" s="27">
        <v>45579</v>
      </c>
      <c r="B1122" s="28">
        <v>25127.94921875</v>
      </c>
      <c r="C1122" s="28">
        <v>527.58447265625</v>
      </c>
      <c r="D1122" s="29">
        <f t="shared" si="34"/>
        <v>-2.8277700667831112E-4</v>
      </c>
      <c r="E1122" s="29">
        <f t="shared" si="35"/>
        <v>6.5573457544288337E-3</v>
      </c>
    </row>
    <row r="1123" spans="1:5" ht="14.25" customHeight="1" x14ac:dyDescent="0.3">
      <c r="A1123" s="27">
        <v>45580</v>
      </c>
      <c r="B1123" s="28">
        <v>25057.349609375</v>
      </c>
      <c r="C1123" s="28">
        <v>519.42730712890602</v>
      </c>
      <c r="D1123" s="29">
        <f t="shared" si="34"/>
        <v>-1.5461344960125115E-2</v>
      </c>
      <c r="E1123" s="29">
        <f t="shared" si="35"/>
        <v>-2.8096049048968912E-3</v>
      </c>
    </row>
    <row r="1124" spans="1:5" ht="14.25" customHeight="1" x14ac:dyDescent="0.3">
      <c r="A1124" s="27">
        <v>45581</v>
      </c>
      <c r="B1124" s="28">
        <v>24971.30078125</v>
      </c>
      <c r="C1124" s="28">
        <v>509.62863159179699</v>
      </c>
      <c r="D1124" s="29">
        <f t="shared" si="34"/>
        <v>-1.8864382758908942E-2</v>
      </c>
      <c r="E1124" s="29">
        <f t="shared" si="35"/>
        <v>-3.4340754096676505E-3</v>
      </c>
    </row>
    <row r="1125" spans="1:5" ht="14.25" customHeight="1" x14ac:dyDescent="0.3">
      <c r="A1125" s="27">
        <v>45582</v>
      </c>
      <c r="B1125" s="28">
        <v>24749.849609375</v>
      </c>
      <c r="C1125" s="28">
        <v>493.91101074218801</v>
      </c>
      <c r="D1125" s="29">
        <f t="shared" si="34"/>
        <v>-3.0841322239913902E-2</v>
      </c>
      <c r="E1125" s="29">
        <f t="shared" si="35"/>
        <v>-8.8682273228345102E-3</v>
      </c>
    </row>
    <row r="1126" spans="1:5" ht="14.25" customHeight="1" x14ac:dyDescent="0.3">
      <c r="A1126" s="27">
        <v>45583</v>
      </c>
      <c r="B1126" s="28">
        <v>24854.05078125</v>
      </c>
      <c r="C1126" s="28">
        <v>493.21466064453102</v>
      </c>
      <c r="D1126" s="29">
        <f t="shared" si="34"/>
        <v>-1.409869556482656E-3</v>
      </c>
      <c r="E1126" s="29">
        <f t="shared" si="35"/>
        <v>4.2101739412400158E-3</v>
      </c>
    </row>
    <row r="1127" spans="1:5" ht="14.25" customHeight="1" x14ac:dyDescent="0.3">
      <c r="A1127" s="27">
        <v>45586</v>
      </c>
      <c r="B1127" s="28">
        <v>24781.099609375</v>
      </c>
      <c r="C1127" s="28">
        <v>484.31134033203102</v>
      </c>
      <c r="D1127" s="29">
        <f t="shared" si="34"/>
        <v>-1.8051613268886157E-2</v>
      </c>
      <c r="E1127" s="29">
        <f t="shared" si="35"/>
        <v>-2.9351823779983047E-3</v>
      </c>
    </row>
    <row r="1128" spans="1:5" ht="14.25" customHeight="1" x14ac:dyDescent="0.3">
      <c r="A1128" s="27">
        <v>45587</v>
      </c>
      <c r="B1128" s="28">
        <v>24472.099609375</v>
      </c>
      <c r="C1128" s="28">
        <v>458.44692993164102</v>
      </c>
      <c r="D1128" s="29">
        <f t="shared" si="34"/>
        <v>-5.3404511202768956E-2</v>
      </c>
      <c r="E1128" s="29">
        <f t="shared" si="35"/>
        <v>-1.2469180337869326E-2</v>
      </c>
    </row>
    <row r="1129" spans="1:5" ht="14.25" customHeight="1" x14ac:dyDescent="0.3">
      <c r="A1129" s="27">
        <v>45588</v>
      </c>
      <c r="B1129" s="28">
        <v>24435.5</v>
      </c>
      <c r="C1129" s="28">
        <v>467.20101928710898</v>
      </c>
      <c r="D1129" s="29">
        <f t="shared" si="34"/>
        <v>1.9095098655744682E-2</v>
      </c>
      <c r="E1129" s="29">
        <f t="shared" si="35"/>
        <v>-1.4955647434917714E-3</v>
      </c>
    </row>
    <row r="1130" spans="1:5" ht="14.25" customHeight="1" x14ac:dyDescent="0.3">
      <c r="A1130" s="27">
        <v>45589</v>
      </c>
      <c r="B1130" s="28">
        <v>24399.400390625</v>
      </c>
      <c r="C1130" s="28">
        <v>464.46536254882801</v>
      </c>
      <c r="D1130" s="29">
        <f t="shared" si="34"/>
        <v>-5.8554168876926681E-3</v>
      </c>
      <c r="E1130" s="29">
        <f t="shared" si="35"/>
        <v>-1.4773427748562542E-3</v>
      </c>
    </row>
    <row r="1131" spans="1:5" ht="14.25" customHeight="1" x14ac:dyDescent="0.3">
      <c r="A1131" s="27">
        <v>45590</v>
      </c>
      <c r="B1131" s="28">
        <v>24180.80078125</v>
      </c>
      <c r="C1131" s="28">
        <v>447.55401611328102</v>
      </c>
      <c r="D1131" s="29">
        <f t="shared" si="34"/>
        <v>-3.6410350047941721E-2</v>
      </c>
      <c r="E1131" s="29">
        <f t="shared" si="35"/>
        <v>-8.9592205494932031E-3</v>
      </c>
    </row>
    <row r="1132" spans="1:5" ht="14.25" customHeight="1" x14ac:dyDescent="0.3">
      <c r="A1132" s="27">
        <v>45593</v>
      </c>
      <c r="B1132" s="28">
        <v>24339.150390625</v>
      </c>
      <c r="C1132" s="28">
        <v>461.63021850585898</v>
      </c>
      <c r="D1132" s="29">
        <f t="shared" si="34"/>
        <v>3.1451404491508593E-2</v>
      </c>
      <c r="E1132" s="29">
        <f t="shared" si="35"/>
        <v>6.5485676346080995E-3</v>
      </c>
    </row>
    <row r="1133" spans="1:5" ht="14.25" customHeight="1" x14ac:dyDescent="0.3">
      <c r="A1133" s="27">
        <v>45594</v>
      </c>
      <c r="B1133" s="28">
        <v>24466.849609375</v>
      </c>
      <c r="C1133" s="28">
        <v>464.61456298828102</v>
      </c>
      <c r="D1133" s="29">
        <f t="shared" si="34"/>
        <v>6.4647944670549514E-3</v>
      </c>
      <c r="E1133" s="29">
        <f t="shared" si="35"/>
        <v>5.2466588480092318E-3</v>
      </c>
    </row>
    <row r="1134" spans="1:5" ht="14.25" customHeight="1" x14ac:dyDescent="0.3">
      <c r="A1134" s="27">
        <v>45595</v>
      </c>
      <c r="B1134" s="28">
        <v>24340.849609375</v>
      </c>
      <c r="C1134" s="28">
        <v>462.823974609375</v>
      </c>
      <c r="D1134" s="29">
        <f t="shared" si="34"/>
        <v>-3.8539222003490807E-3</v>
      </c>
      <c r="E1134" s="29">
        <f t="shared" si="35"/>
        <v>-5.149825253829181E-3</v>
      </c>
    </row>
    <row r="1135" spans="1:5" ht="14.25" customHeight="1" x14ac:dyDescent="0.3">
      <c r="A1135" s="27">
        <v>45596</v>
      </c>
      <c r="B1135" s="28">
        <v>24205.349609375</v>
      </c>
      <c r="C1135" s="28">
        <v>453.07510375976602</v>
      </c>
      <c r="D1135" s="29">
        <f t="shared" si="34"/>
        <v>-2.1063884726017178E-2</v>
      </c>
      <c r="E1135" s="29">
        <f t="shared" si="35"/>
        <v>-5.566773640794013E-3</v>
      </c>
    </row>
    <row r="1136" spans="1:5" ht="14.25" customHeight="1" x14ac:dyDescent="0.3">
      <c r="A1136" s="27">
        <v>45597</v>
      </c>
      <c r="B1136" s="28">
        <v>24304.349609375</v>
      </c>
      <c r="C1136" s="28">
        <v>456.55685424804699</v>
      </c>
      <c r="D1136" s="29">
        <f t="shared" si="34"/>
        <v>7.6847093547808224E-3</v>
      </c>
      <c r="E1136" s="29">
        <f t="shared" si="35"/>
        <v>4.0900049616162618E-3</v>
      </c>
    </row>
    <row r="1137" spans="1:5" ht="14.25" customHeight="1" x14ac:dyDescent="0.3">
      <c r="A1137" s="27">
        <v>45600</v>
      </c>
      <c r="B1137" s="28">
        <v>23995.349609375</v>
      </c>
      <c r="C1137" s="28">
        <v>442.72930908203102</v>
      </c>
      <c r="D1137" s="29">
        <f t="shared" si="34"/>
        <v>-3.028657885071083E-2</v>
      </c>
      <c r="E1137" s="29">
        <f t="shared" si="35"/>
        <v>-1.2713773664645128E-2</v>
      </c>
    </row>
    <row r="1138" spans="1:5" ht="14.25" customHeight="1" x14ac:dyDescent="0.3">
      <c r="A1138" s="27">
        <v>45601</v>
      </c>
      <c r="B1138" s="28">
        <v>24213.30078125</v>
      </c>
      <c r="C1138" s="28">
        <v>441.23712158203102</v>
      </c>
      <c r="D1138" s="29">
        <f t="shared" si="34"/>
        <v>-3.3704285426549891E-3</v>
      </c>
      <c r="E1138" s="29">
        <f t="shared" si="35"/>
        <v>9.0830588186073483E-3</v>
      </c>
    </row>
    <row r="1139" spans="1:5" ht="14.25" customHeight="1" x14ac:dyDescent="0.3">
      <c r="A1139" s="27">
        <v>45602</v>
      </c>
      <c r="B1139" s="28">
        <v>24484.05078125</v>
      </c>
      <c r="C1139" s="28">
        <v>449.842041015625</v>
      </c>
      <c r="D1139" s="29">
        <f t="shared" si="34"/>
        <v>1.9501803027681622E-2</v>
      </c>
      <c r="E1139" s="29">
        <f t="shared" si="35"/>
        <v>1.1181870759630595E-2</v>
      </c>
    </row>
    <row r="1140" spans="1:5" ht="14.25" customHeight="1" x14ac:dyDescent="0.3">
      <c r="A1140" s="27">
        <v>45603</v>
      </c>
      <c r="B1140" s="28">
        <v>24199.349609375</v>
      </c>
      <c r="C1140" s="28">
        <v>445.46496582031301</v>
      </c>
      <c r="D1140" s="29">
        <f t="shared" si="34"/>
        <v>-9.7302492791240761E-3</v>
      </c>
      <c r="E1140" s="29">
        <f t="shared" si="35"/>
        <v>-1.1628025706147672E-2</v>
      </c>
    </row>
    <row r="1141" spans="1:5" ht="14.25" customHeight="1" x14ac:dyDescent="0.3">
      <c r="A1141" s="27">
        <v>45604</v>
      </c>
      <c r="B1141" s="28">
        <v>24148.19921875</v>
      </c>
      <c r="C1141" s="28">
        <v>434.77099609375</v>
      </c>
      <c r="D1141" s="29">
        <f t="shared" si="34"/>
        <v>-2.4006309243355027E-2</v>
      </c>
      <c r="E1141" s="29">
        <f t="shared" si="35"/>
        <v>-2.1137093124678017E-3</v>
      </c>
    </row>
    <row r="1142" spans="1:5" ht="14.25" customHeight="1" x14ac:dyDescent="0.3">
      <c r="A1142" s="27">
        <v>45607</v>
      </c>
      <c r="B1142" s="28">
        <v>24141.30078125</v>
      </c>
      <c r="C1142" s="28">
        <v>434.32336425781301</v>
      </c>
      <c r="D1142" s="29">
        <f t="shared" si="34"/>
        <v>-1.0295807217104824E-3</v>
      </c>
      <c r="E1142" s="29">
        <f t="shared" si="35"/>
        <v>-2.8567088740280355E-4</v>
      </c>
    </row>
    <row r="1143" spans="1:5" ht="14.25" customHeight="1" x14ac:dyDescent="0.3">
      <c r="A1143" s="27">
        <v>45608</v>
      </c>
      <c r="B1143" s="28">
        <v>23883.44921875</v>
      </c>
      <c r="C1143" s="28">
        <v>429.54840087890602</v>
      </c>
      <c r="D1143" s="29">
        <f t="shared" si="34"/>
        <v>-1.0994028348133225E-2</v>
      </c>
      <c r="E1143" s="29">
        <f t="shared" si="35"/>
        <v>-1.0680930776533279E-2</v>
      </c>
    </row>
    <row r="1144" spans="1:5" ht="14.25" customHeight="1" x14ac:dyDescent="0.3">
      <c r="A1144" s="27">
        <v>45609</v>
      </c>
      <c r="B1144" s="28">
        <v>23559.05078125</v>
      </c>
      <c r="C1144" s="28">
        <v>416.26803588867199</v>
      </c>
      <c r="D1144" s="29">
        <f t="shared" si="34"/>
        <v>-3.0917039763297596E-2</v>
      </c>
      <c r="E1144" s="29">
        <f t="shared" si="35"/>
        <v>-1.3582562322921387E-2</v>
      </c>
    </row>
    <row r="1145" spans="1:5" ht="14.25" customHeight="1" x14ac:dyDescent="0.3">
      <c r="A1145" s="27">
        <v>45610</v>
      </c>
      <c r="B1145" s="28">
        <v>23532.69921875</v>
      </c>
      <c r="C1145" s="28">
        <v>415.91983032226602</v>
      </c>
      <c r="D1145" s="29">
        <f t="shared" si="34"/>
        <v>-8.3649364444377124E-4</v>
      </c>
      <c r="E1145" s="29">
        <f t="shared" si="35"/>
        <v>-1.1185324376894032E-3</v>
      </c>
    </row>
    <row r="1146" spans="1:5" ht="14.25" customHeight="1" x14ac:dyDescent="0.3">
      <c r="A1146" s="27">
        <v>45614</v>
      </c>
      <c r="B1146" s="28">
        <v>23453.80078125</v>
      </c>
      <c r="C1146" s="28">
        <v>412.338623046875</v>
      </c>
      <c r="D1146" s="29">
        <f t="shared" si="34"/>
        <v>-8.6103306798721423E-3</v>
      </c>
      <c r="E1146" s="29">
        <f t="shared" si="35"/>
        <v>-3.3527151631265739E-3</v>
      </c>
    </row>
    <row r="1147" spans="1:5" ht="14.25" customHeight="1" x14ac:dyDescent="0.3">
      <c r="A1147" s="27">
        <v>45615</v>
      </c>
      <c r="B1147" s="28">
        <v>23518.5</v>
      </c>
      <c r="C1147" s="28">
        <v>419.30209350585898</v>
      </c>
      <c r="D1147" s="29">
        <f t="shared" si="34"/>
        <v>1.6887747278023876E-2</v>
      </c>
      <c r="E1147" s="29">
        <f t="shared" si="35"/>
        <v>2.7585814066316875E-3</v>
      </c>
    </row>
    <row r="1148" spans="1:5" ht="14.25" customHeight="1" x14ac:dyDescent="0.3">
      <c r="A1148" s="27">
        <v>45617</v>
      </c>
      <c r="B1148" s="28">
        <v>23349.900390625</v>
      </c>
      <c r="C1148" s="28">
        <v>413.18417358398398</v>
      </c>
      <c r="D1148" s="29">
        <f t="shared" si="34"/>
        <v>-1.4590721145038866E-2</v>
      </c>
      <c r="E1148" s="29">
        <f t="shared" si="35"/>
        <v>-7.1688079331164827E-3</v>
      </c>
    </row>
    <row r="1149" spans="1:5" ht="14.25" customHeight="1" x14ac:dyDescent="0.3">
      <c r="A1149" s="27">
        <v>45618</v>
      </c>
      <c r="B1149" s="28">
        <v>23907.25</v>
      </c>
      <c r="C1149" s="28">
        <v>421.83880615234398</v>
      </c>
      <c r="D1149" s="29">
        <f t="shared" si="34"/>
        <v>2.0946186039240578E-2</v>
      </c>
      <c r="E1149" s="29">
        <f t="shared" si="35"/>
        <v>2.3869464111237762E-2</v>
      </c>
    </row>
    <row r="1150" spans="1:5" ht="14.25" customHeight="1" x14ac:dyDescent="0.3">
      <c r="A1150" s="27">
        <v>45621</v>
      </c>
      <c r="B1150" s="28">
        <v>24221.900390625</v>
      </c>
      <c r="C1150" s="28">
        <v>426.11639404296898</v>
      </c>
      <c r="D1150" s="29">
        <f t="shared" si="34"/>
        <v>1.0140337560788991E-2</v>
      </c>
      <c r="E1150" s="29">
        <f t="shared" si="35"/>
        <v>1.3161295867362411E-2</v>
      </c>
    </row>
    <row r="1151" spans="1:5" ht="14.25" customHeight="1" x14ac:dyDescent="0.3">
      <c r="A1151" s="27">
        <v>45622</v>
      </c>
      <c r="B1151" s="28">
        <v>24194.5</v>
      </c>
      <c r="C1151" s="28">
        <v>423.57968139648398</v>
      </c>
      <c r="D1151" s="29">
        <f t="shared" si="34"/>
        <v>-5.9530979843718515E-3</v>
      </c>
      <c r="E1151" s="29">
        <f t="shared" si="35"/>
        <v>-1.1312238174179439E-3</v>
      </c>
    </row>
    <row r="1152" spans="1:5" ht="14.25" customHeight="1" x14ac:dyDescent="0.3">
      <c r="A1152" s="27">
        <v>45623</v>
      </c>
      <c r="B1152" s="28">
        <v>24274.900390625</v>
      </c>
      <c r="C1152" s="28">
        <v>442.72930908203102</v>
      </c>
      <c r="D1152" s="29">
        <f t="shared" si="34"/>
        <v>4.5209032743056411E-2</v>
      </c>
      <c r="E1152" s="29">
        <f t="shared" si="35"/>
        <v>3.3230854378061129E-3</v>
      </c>
    </row>
    <row r="1153" spans="1:5" ht="14.25" customHeight="1" x14ac:dyDescent="0.3">
      <c r="A1153" s="27">
        <v>45624</v>
      </c>
      <c r="B1153" s="28">
        <v>23914.150390625</v>
      </c>
      <c r="C1153" s="28">
        <v>454.66671752929699</v>
      </c>
      <c r="D1153" s="29">
        <f t="shared" si="34"/>
        <v>2.6963221549567991E-2</v>
      </c>
      <c r="E1153" s="29">
        <f t="shared" si="35"/>
        <v>-1.4861029054492934E-2</v>
      </c>
    </row>
    <row r="1154" spans="1:5" ht="14.25" customHeight="1" x14ac:dyDescent="0.3">
      <c r="A1154" s="27">
        <v>45625</v>
      </c>
      <c r="B1154" s="28">
        <v>24131.099609375</v>
      </c>
      <c r="C1154" s="28">
        <v>450.23995971679699</v>
      </c>
      <c r="D1154" s="29">
        <f t="shared" si="34"/>
        <v>-9.7362697594304479E-3</v>
      </c>
      <c r="E1154" s="29">
        <f t="shared" si="35"/>
        <v>9.0720019405351737E-3</v>
      </c>
    </row>
    <row r="1155" spans="1:5" ht="14.25" customHeight="1" x14ac:dyDescent="0.3">
      <c r="A1155" s="27">
        <v>45628</v>
      </c>
      <c r="B1155" s="28">
        <v>24276.05078125</v>
      </c>
      <c r="C1155" s="28">
        <v>448.89697265625</v>
      </c>
      <c r="D1155" s="29">
        <f t="shared" ref="D1155:D1218" si="36">(C1155-C1154)/C1154</f>
        <v>-2.9828251170592093E-3</v>
      </c>
      <c r="E1155" s="29">
        <f t="shared" ref="E1155:E1218" si="37">(B1155-B1154)/B1154</f>
        <v>6.0068200049485541E-3</v>
      </c>
    </row>
    <row r="1156" spans="1:5" ht="14.25" customHeight="1" x14ac:dyDescent="0.3">
      <c r="A1156" s="27">
        <v>45629</v>
      </c>
      <c r="B1156" s="28">
        <v>24457.150390625</v>
      </c>
      <c r="C1156" s="28">
        <v>453.17453002929699</v>
      </c>
      <c r="D1156" s="29">
        <f t="shared" si="36"/>
        <v>9.5290403669587593E-3</v>
      </c>
      <c r="E1156" s="29">
        <f t="shared" si="37"/>
        <v>7.4600111445999777E-3</v>
      </c>
    </row>
    <row r="1157" spans="1:5" ht="14.25" customHeight="1" x14ac:dyDescent="0.3">
      <c r="A1157" s="27">
        <v>45630</v>
      </c>
      <c r="B1157" s="28">
        <v>24467.44921875</v>
      </c>
      <c r="C1157" s="28">
        <v>452.32901000976602</v>
      </c>
      <c r="D1157" s="29">
        <f t="shared" si="36"/>
        <v>-1.865771272441777E-3</v>
      </c>
      <c r="E1157" s="29">
        <f t="shared" si="37"/>
        <v>4.2109681465375389E-4</v>
      </c>
    </row>
    <row r="1158" spans="1:5" ht="14.25" customHeight="1" x14ac:dyDescent="0.3">
      <c r="A1158" s="27">
        <v>45631</v>
      </c>
      <c r="B1158" s="28">
        <v>24708.400390625</v>
      </c>
      <c r="C1158" s="28">
        <v>451.08551025390602</v>
      </c>
      <c r="D1158" s="29">
        <f t="shared" si="36"/>
        <v>-2.7491045861355486E-3</v>
      </c>
      <c r="E1158" s="29">
        <f t="shared" si="37"/>
        <v>9.8478255628851284E-3</v>
      </c>
    </row>
    <row r="1159" spans="1:5" ht="14.25" customHeight="1" x14ac:dyDescent="0.3">
      <c r="A1159" s="27">
        <v>45632</v>
      </c>
      <c r="B1159" s="28">
        <v>24677.80078125</v>
      </c>
      <c r="C1159" s="28">
        <v>460.28729248046898</v>
      </c>
      <c r="D1159" s="29">
        <f t="shared" si="36"/>
        <v>2.0399197086564531E-2</v>
      </c>
      <c r="E1159" s="29">
        <f t="shared" si="37"/>
        <v>-1.2384293961259537E-3</v>
      </c>
    </row>
    <row r="1160" spans="1:5" ht="14.25" customHeight="1" x14ac:dyDescent="0.3">
      <c r="A1160" s="27">
        <v>45635</v>
      </c>
      <c r="B1160" s="28">
        <v>24619</v>
      </c>
      <c r="C1160" s="28">
        <v>464.56484985351602</v>
      </c>
      <c r="D1160" s="29">
        <f t="shared" si="36"/>
        <v>9.2932336888891017E-3</v>
      </c>
      <c r="E1160" s="29">
        <f t="shared" si="37"/>
        <v>-2.3827399277279349E-3</v>
      </c>
    </row>
    <row r="1161" spans="1:5" ht="14.25" customHeight="1" x14ac:dyDescent="0.3">
      <c r="A1161" s="27">
        <v>45636</v>
      </c>
      <c r="B1161" s="28">
        <v>24610.05078125</v>
      </c>
      <c r="C1161" s="28">
        <v>462.27685546875</v>
      </c>
      <c r="D1161" s="29">
        <f t="shared" si="36"/>
        <v>-4.9250269052586743E-3</v>
      </c>
      <c r="E1161" s="29">
        <f t="shared" si="37"/>
        <v>-3.6350862138998332E-4</v>
      </c>
    </row>
    <row r="1162" spans="1:5" ht="14.25" customHeight="1" x14ac:dyDescent="0.3">
      <c r="A1162" s="27">
        <v>45637</v>
      </c>
      <c r="B1162" s="28">
        <v>24641.80078125</v>
      </c>
      <c r="C1162" s="28">
        <v>465.65911865234398</v>
      </c>
      <c r="D1162" s="29">
        <f t="shared" si="36"/>
        <v>7.3165315191139153E-3</v>
      </c>
      <c r="E1162" s="29">
        <f t="shared" si="37"/>
        <v>1.2901233029632678E-3</v>
      </c>
    </row>
    <row r="1163" spans="1:5" ht="14.25" customHeight="1" x14ac:dyDescent="0.3">
      <c r="A1163" s="27">
        <v>45638</v>
      </c>
      <c r="B1163" s="28">
        <v>24548.69921875</v>
      </c>
      <c r="C1163" s="28">
        <v>459.09353637695301</v>
      </c>
      <c r="D1163" s="29">
        <f t="shared" si="36"/>
        <v>-1.4099546239730695E-2</v>
      </c>
      <c r="E1163" s="29">
        <f t="shared" si="37"/>
        <v>-3.778196379659119E-3</v>
      </c>
    </row>
    <row r="1164" spans="1:5" ht="14.25" customHeight="1" x14ac:dyDescent="0.3">
      <c r="A1164" s="27">
        <v>45639</v>
      </c>
      <c r="B1164" s="28">
        <v>24768.30078125</v>
      </c>
      <c r="C1164" s="28">
        <v>452.77664184570301</v>
      </c>
      <c r="D1164" s="29">
        <f t="shared" si="36"/>
        <v>-1.3759493503440043E-2</v>
      </c>
      <c r="E1164" s="29">
        <f t="shared" si="37"/>
        <v>8.9455478085890185E-3</v>
      </c>
    </row>
    <row r="1165" spans="1:5" ht="14.25" customHeight="1" x14ac:dyDescent="0.3">
      <c r="A1165" s="27">
        <v>45642</v>
      </c>
      <c r="B1165" s="28">
        <v>24668.25</v>
      </c>
      <c r="C1165" s="28">
        <v>457.15368652343801</v>
      </c>
      <c r="D1165" s="29">
        <f t="shared" si="36"/>
        <v>9.6671167927134521E-3</v>
      </c>
      <c r="E1165" s="29">
        <f t="shared" si="37"/>
        <v>-4.0394689217332193E-3</v>
      </c>
    </row>
    <row r="1166" spans="1:5" ht="14.25" customHeight="1" x14ac:dyDescent="0.3">
      <c r="A1166" s="27">
        <v>45643</v>
      </c>
      <c r="B1166" s="28">
        <v>24336</v>
      </c>
      <c r="C1166" s="28">
        <v>448.74777221679699</v>
      </c>
      <c r="D1166" s="29">
        <f t="shared" si="36"/>
        <v>-1.8387501959278321E-2</v>
      </c>
      <c r="E1166" s="29">
        <f t="shared" si="37"/>
        <v>-1.3468730047733423E-2</v>
      </c>
    </row>
    <row r="1167" spans="1:5" ht="14.25" customHeight="1" x14ac:dyDescent="0.3">
      <c r="A1167" s="27">
        <v>45644</v>
      </c>
      <c r="B1167" s="28">
        <v>24198.849609375</v>
      </c>
      <c r="C1167" s="28">
        <v>442.38113403320301</v>
      </c>
      <c r="D1167" s="29">
        <f t="shared" si="36"/>
        <v>-1.4187564992563698E-2</v>
      </c>
      <c r="E1167" s="29">
        <f t="shared" si="37"/>
        <v>-5.6356998120069036E-3</v>
      </c>
    </row>
    <row r="1168" spans="1:5" ht="14.25" customHeight="1" x14ac:dyDescent="0.3">
      <c r="A1168" s="27">
        <v>45645</v>
      </c>
      <c r="B1168" s="28">
        <v>23951.69921875</v>
      </c>
      <c r="C1168" s="28">
        <v>437.4072265625</v>
      </c>
      <c r="D1168" s="29">
        <f t="shared" si="36"/>
        <v>-1.1243489127476429E-2</v>
      </c>
      <c r="E1168" s="29">
        <f t="shared" si="37"/>
        <v>-1.0213311567061031E-2</v>
      </c>
    </row>
    <row r="1169" spans="1:5" ht="14.25" customHeight="1" x14ac:dyDescent="0.3">
      <c r="A1169" s="27">
        <v>45646</v>
      </c>
      <c r="B1169" s="28">
        <v>23587.5</v>
      </c>
      <c r="C1169" s="28">
        <v>424.07705688476602</v>
      </c>
      <c r="D1169" s="29">
        <f t="shared" si="36"/>
        <v>-3.0475421685401127E-2</v>
      </c>
      <c r="E1169" s="29">
        <f t="shared" si="37"/>
        <v>-1.5205569150805617E-2</v>
      </c>
    </row>
    <row r="1170" spans="1:5" ht="14.25" customHeight="1" x14ac:dyDescent="0.3">
      <c r="A1170" s="27">
        <v>45649</v>
      </c>
      <c r="B1170" s="28">
        <v>23753.44921875</v>
      </c>
      <c r="C1170" s="28">
        <v>414.57687377929699</v>
      </c>
      <c r="D1170" s="29">
        <f t="shared" si="36"/>
        <v>-2.2402020932838412E-2</v>
      </c>
      <c r="E1170" s="29">
        <f t="shared" si="37"/>
        <v>7.0354729729729731E-3</v>
      </c>
    </row>
    <row r="1171" spans="1:5" ht="14.25" customHeight="1" x14ac:dyDescent="0.3">
      <c r="A1171" s="27">
        <v>45650</v>
      </c>
      <c r="B1171" s="28">
        <v>23727.650390625</v>
      </c>
      <c r="C1171" s="28">
        <v>415.96957397460898</v>
      </c>
      <c r="D1171" s="29">
        <f t="shared" si="36"/>
        <v>3.3593291941638849E-3</v>
      </c>
      <c r="E1171" s="29">
        <f t="shared" si="37"/>
        <v>-1.0861087115144297E-3</v>
      </c>
    </row>
    <row r="1172" spans="1:5" ht="14.25" customHeight="1" x14ac:dyDescent="0.3">
      <c r="A1172" s="27">
        <v>45652</v>
      </c>
      <c r="B1172" s="28">
        <v>23750.19921875</v>
      </c>
      <c r="C1172" s="28">
        <v>416.11877441406301</v>
      </c>
      <c r="D1172" s="29">
        <f t="shared" si="36"/>
        <v>3.5868113628700589E-4</v>
      </c>
      <c r="E1172" s="29">
        <f t="shared" si="37"/>
        <v>9.5031862631915877E-4</v>
      </c>
    </row>
    <row r="1173" spans="1:5" ht="14.25" customHeight="1" x14ac:dyDescent="0.3">
      <c r="A1173" s="27">
        <v>45653</v>
      </c>
      <c r="B1173" s="28">
        <v>23813.400390625</v>
      </c>
      <c r="C1173" s="28">
        <v>416.21826171875</v>
      </c>
      <c r="D1173" s="29">
        <f t="shared" si="36"/>
        <v>2.3908391258499817E-4</v>
      </c>
      <c r="E1173" s="29">
        <f t="shared" si="37"/>
        <v>2.6610796521279179E-3</v>
      </c>
    </row>
    <row r="1174" spans="1:5" ht="14.25" customHeight="1" x14ac:dyDescent="0.3">
      <c r="A1174" s="27">
        <v>45656</v>
      </c>
      <c r="B1174" s="28">
        <v>23644.900390625</v>
      </c>
      <c r="C1174" s="28">
        <v>409.10556030273398</v>
      </c>
      <c r="D1174" s="29">
        <f t="shared" si="36"/>
        <v>-1.7088873963973905E-2</v>
      </c>
      <c r="E1174" s="29">
        <f t="shared" si="37"/>
        <v>-7.0758479358679106E-3</v>
      </c>
    </row>
    <row r="1175" spans="1:5" ht="14.25" customHeight="1" x14ac:dyDescent="0.3">
      <c r="A1175" s="27">
        <v>45657</v>
      </c>
      <c r="B1175" s="28">
        <v>23644.80078125</v>
      </c>
      <c r="C1175" s="28">
        <v>414.37789916992199</v>
      </c>
      <c r="D1175" s="29">
        <f t="shared" si="36"/>
        <v>1.2887477900047446E-2</v>
      </c>
      <c r="E1175" s="29">
        <f t="shared" si="37"/>
        <v>-4.2127212783477941E-6</v>
      </c>
    </row>
    <row r="1176" spans="1:5" ht="14.25" customHeight="1" x14ac:dyDescent="0.3">
      <c r="A1176" s="27">
        <v>45658</v>
      </c>
      <c r="B1176" s="28">
        <v>23742.900390625</v>
      </c>
      <c r="C1176" s="28">
        <v>419.15289306640602</v>
      </c>
      <c r="D1176" s="29">
        <f t="shared" si="36"/>
        <v>1.152328323023322E-2</v>
      </c>
      <c r="E1176" s="29">
        <f t="shared" si="37"/>
        <v>4.1488871182535671E-3</v>
      </c>
    </row>
    <row r="1177" spans="1:5" ht="14.25" customHeight="1" x14ac:dyDescent="0.3">
      <c r="A1177" s="27">
        <v>45659</v>
      </c>
      <c r="B1177" s="28">
        <v>24188.650390625</v>
      </c>
      <c r="C1177" s="28">
        <v>426.76300048828102</v>
      </c>
      <c r="D1177" s="29">
        <f t="shared" si="36"/>
        <v>1.8155922451594142E-2</v>
      </c>
      <c r="E1177" s="29">
        <f t="shared" si="37"/>
        <v>1.8774033191665436E-2</v>
      </c>
    </row>
    <row r="1178" spans="1:5" ht="14.25" customHeight="1" x14ac:dyDescent="0.3">
      <c r="A1178" s="27">
        <v>45660</v>
      </c>
      <c r="B1178" s="28">
        <v>24004.75</v>
      </c>
      <c r="C1178" s="28">
        <v>422.53515625</v>
      </c>
      <c r="D1178" s="29">
        <f t="shared" si="36"/>
        <v>-9.9067731585065558E-3</v>
      </c>
      <c r="E1178" s="29">
        <f t="shared" si="37"/>
        <v>-7.602755327609176E-3</v>
      </c>
    </row>
    <row r="1179" spans="1:5" ht="14.25" customHeight="1" x14ac:dyDescent="0.3">
      <c r="A1179" s="27">
        <v>45663</v>
      </c>
      <c r="B1179" s="28">
        <v>23616.05078125</v>
      </c>
      <c r="C1179" s="28">
        <v>406.81756591796898</v>
      </c>
      <c r="D1179" s="29">
        <f t="shared" si="36"/>
        <v>-3.7198301962668989E-2</v>
      </c>
      <c r="E1179" s="29">
        <f t="shared" si="37"/>
        <v>-1.6192595996625668E-2</v>
      </c>
    </row>
    <row r="1180" spans="1:5" ht="14.25" customHeight="1" x14ac:dyDescent="0.3">
      <c r="A1180" s="27">
        <v>45664</v>
      </c>
      <c r="B1180" s="28">
        <v>23707.900390625</v>
      </c>
      <c r="C1180" s="28">
        <v>406.91702270507801</v>
      </c>
      <c r="D1180" s="29">
        <f t="shared" si="36"/>
        <v>2.4447515407702058E-4</v>
      </c>
      <c r="E1180" s="29">
        <f t="shared" si="37"/>
        <v>3.8892874268344705E-3</v>
      </c>
    </row>
    <row r="1181" spans="1:5" ht="14.25" customHeight="1" x14ac:dyDescent="0.3">
      <c r="A1181" s="27">
        <v>45665</v>
      </c>
      <c r="B1181" s="28">
        <v>23688.94921875</v>
      </c>
      <c r="C1181" s="28">
        <v>403.33581542968801</v>
      </c>
      <c r="D1181" s="29">
        <f t="shared" si="36"/>
        <v>-8.8008293474258464E-3</v>
      </c>
      <c r="E1181" s="29">
        <f t="shared" si="37"/>
        <v>-7.9936103841966573E-4</v>
      </c>
    </row>
    <row r="1182" spans="1:5" ht="14.25" customHeight="1" x14ac:dyDescent="0.3">
      <c r="A1182" s="27">
        <v>45666</v>
      </c>
      <c r="B1182" s="28">
        <v>23526.5</v>
      </c>
      <c r="C1182" s="28">
        <v>395.37753295898398</v>
      </c>
      <c r="D1182" s="29">
        <f t="shared" si="36"/>
        <v>-1.9731157428272996E-2</v>
      </c>
      <c r="E1182" s="29">
        <f t="shared" si="37"/>
        <v>-6.8575949591474531E-3</v>
      </c>
    </row>
    <row r="1183" spans="1:5" ht="14.25" customHeight="1" x14ac:dyDescent="0.3">
      <c r="A1183" s="27">
        <v>45667</v>
      </c>
      <c r="B1183" s="28">
        <v>23431.5</v>
      </c>
      <c r="C1183" s="28">
        <v>387.07107543945301</v>
      </c>
      <c r="D1183" s="29">
        <f t="shared" si="36"/>
        <v>-2.100892647431403E-2</v>
      </c>
      <c r="E1183" s="29">
        <f t="shared" si="37"/>
        <v>-4.0379997024631801E-3</v>
      </c>
    </row>
    <row r="1184" spans="1:5" ht="14.25" customHeight="1" x14ac:dyDescent="0.3">
      <c r="A1184" s="27">
        <v>45670</v>
      </c>
      <c r="B1184" s="28">
        <v>23085.94921875</v>
      </c>
      <c r="C1184" s="28">
        <v>370.65710449218801</v>
      </c>
      <c r="D1184" s="29">
        <f t="shared" si="36"/>
        <v>-4.2405573520650552E-2</v>
      </c>
      <c r="E1184" s="29">
        <f t="shared" si="37"/>
        <v>-1.4747275302477434E-2</v>
      </c>
    </row>
    <row r="1185" spans="1:5" ht="14.25" customHeight="1" x14ac:dyDescent="0.3">
      <c r="A1185" s="27">
        <v>45671</v>
      </c>
      <c r="B1185" s="28">
        <v>23176.05078125</v>
      </c>
      <c r="C1185" s="28">
        <v>380.25677490234398</v>
      </c>
      <c r="D1185" s="29">
        <f t="shared" si="36"/>
        <v>2.5899059518386457E-2</v>
      </c>
      <c r="E1185" s="29">
        <f t="shared" si="37"/>
        <v>3.9028744993868871E-3</v>
      </c>
    </row>
    <row r="1186" spans="1:5" ht="14.25" customHeight="1" x14ac:dyDescent="0.3">
      <c r="A1186" s="27">
        <v>45672</v>
      </c>
      <c r="B1186" s="28">
        <v>23213.19921875</v>
      </c>
      <c r="C1186" s="28">
        <v>380.00808715820301</v>
      </c>
      <c r="D1186" s="29">
        <f t="shared" si="36"/>
        <v>-6.5399950916018011E-4</v>
      </c>
      <c r="E1186" s="29">
        <f t="shared" si="37"/>
        <v>1.6028803979862699E-3</v>
      </c>
    </row>
    <row r="1187" spans="1:5" ht="14.25" customHeight="1" x14ac:dyDescent="0.3">
      <c r="A1187" s="27">
        <v>45673</v>
      </c>
      <c r="B1187" s="28">
        <v>23311.80078125</v>
      </c>
      <c r="C1187" s="28">
        <v>385.92706298828102</v>
      </c>
      <c r="D1187" s="29">
        <f t="shared" si="36"/>
        <v>1.5575920697745186E-2</v>
      </c>
      <c r="E1187" s="29">
        <f t="shared" si="37"/>
        <v>4.2476507253837101E-3</v>
      </c>
    </row>
    <row r="1188" spans="1:5" ht="14.25" customHeight="1" x14ac:dyDescent="0.3">
      <c r="A1188" s="27">
        <v>45674</v>
      </c>
      <c r="B1188" s="28">
        <v>23203.19921875</v>
      </c>
      <c r="C1188" s="28">
        <v>387.51870727539102</v>
      </c>
      <c r="D1188" s="29">
        <f t="shared" si="36"/>
        <v>4.1242100898177536E-3</v>
      </c>
      <c r="E1188" s="29">
        <f t="shared" si="37"/>
        <v>-4.6586517926727362E-3</v>
      </c>
    </row>
    <row r="1189" spans="1:5" ht="14.25" customHeight="1" x14ac:dyDescent="0.3">
      <c r="A1189" s="27">
        <v>45677</v>
      </c>
      <c r="B1189" s="28">
        <v>23344.75</v>
      </c>
      <c r="C1189" s="28">
        <v>389.50827026367199</v>
      </c>
      <c r="D1189" s="29">
        <f t="shared" si="36"/>
        <v>5.1341082402689749E-3</v>
      </c>
      <c r="E1189" s="29">
        <f t="shared" si="37"/>
        <v>6.1004855371674738E-3</v>
      </c>
    </row>
    <row r="1190" spans="1:5" ht="14.25" customHeight="1" x14ac:dyDescent="0.3">
      <c r="A1190" s="27">
        <v>45678</v>
      </c>
      <c r="B1190" s="28">
        <v>23024.650390625</v>
      </c>
      <c r="C1190" s="28">
        <v>375.183349609375</v>
      </c>
      <c r="D1190" s="29">
        <f t="shared" si="36"/>
        <v>-3.6776935813455106E-2</v>
      </c>
      <c r="E1190" s="29">
        <f t="shared" si="37"/>
        <v>-1.371184567729361E-2</v>
      </c>
    </row>
    <row r="1191" spans="1:5" ht="14.25" customHeight="1" x14ac:dyDescent="0.3">
      <c r="A1191" s="27">
        <v>45679</v>
      </c>
      <c r="B1191" s="28">
        <v>23155.349609375</v>
      </c>
      <c r="C1191" s="28">
        <v>373.74093627929699</v>
      </c>
      <c r="D1191" s="29">
        <f t="shared" si="36"/>
        <v>-3.8445558193874831E-3</v>
      </c>
      <c r="E1191" s="29">
        <f t="shared" si="37"/>
        <v>5.6764909144165375E-3</v>
      </c>
    </row>
    <row r="1192" spans="1:5" ht="14.25" customHeight="1" x14ac:dyDescent="0.3">
      <c r="A1192" s="27">
        <v>45680</v>
      </c>
      <c r="B1192" s="28">
        <v>23205.349609375</v>
      </c>
      <c r="C1192" s="28">
        <v>381.500244140625</v>
      </c>
      <c r="D1192" s="29">
        <f t="shared" si="36"/>
        <v>2.0761193404646133E-2</v>
      </c>
      <c r="E1192" s="29">
        <f t="shared" si="37"/>
        <v>2.1593282262409156E-3</v>
      </c>
    </row>
    <row r="1193" spans="1:5" ht="14.25" customHeight="1" x14ac:dyDescent="0.3">
      <c r="A1193" s="27">
        <v>45681</v>
      </c>
      <c r="B1193" s="28">
        <v>23092.19921875</v>
      </c>
      <c r="C1193" s="28">
        <v>367.12557983398398</v>
      </c>
      <c r="D1193" s="29">
        <f t="shared" si="36"/>
        <v>-3.7679305655548598E-2</v>
      </c>
      <c r="E1193" s="29">
        <f t="shared" si="37"/>
        <v>-4.8760476583936943E-3</v>
      </c>
    </row>
    <row r="1194" spans="1:5" ht="14.25" customHeight="1" x14ac:dyDescent="0.3">
      <c r="A1194" s="27">
        <v>45684</v>
      </c>
      <c r="B1194" s="28">
        <v>22829.150390625</v>
      </c>
      <c r="C1194" s="28">
        <v>345.93667602539102</v>
      </c>
      <c r="D1194" s="29">
        <f t="shared" si="36"/>
        <v>-5.7715683603890205E-2</v>
      </c>
      <c r="E1194" s="29">
        <f t="shared" si="37"/>
        <v>-1.1391241935562993E-2</v>
      </c>
    </row>
    <row r="1195" spans="1:5" ht="14.25" customHeight="1" x14ac:dyDescent="0.3">
      <c r="A1195" s="27">
        <v>45685</v>
      </c>
      <c r="B1195" s="28">
        <v>22957.25</v>
      </c>
      <c r="C1195" s="28">
        <v>341.55963134765602</v>
      </c>
      <c r="D1195" s="29">
        <f t="shared" si="36"/>
        <v>-1.2652733812513521E-2</v>
      </c>
      <c r="E1195" s="29">
        <f t="shared" si="37"/>
        <v>5.6112298172780566E-3</v>
      </c>
    </row>
    <row r="1196" spans="1:5" ht="14.25" customHeight="1" x14ac:dyDescent="0.3">
      <c r="A1196" s="27">
        <v>45686</v>
      </c>
      <c r="B1196" s="28">
        <v>23163.099609375</v>
      </c>
      <c r="C1196" s="28">
        <v>351.2587890625</v>
      </c>
      <c r="D1196" s="29">
        <f t="shared" si="36"/>
        <v>2.8396674620402382E-2</v>
      </c>
      <c r="E1196" s="29">
        <f t="shared" si="37"/>
        <v>8.9666492883511747E-3</v>
      </c>
    </row>
    <row r="1197" spans="1:5" ht="14.25" customHeight="1" x14ac:dyDescent="0.3">
      <c r="A1197" s="27">
        <v>45687</v>
      </c>
      <c r="B1197" s="28">
        <v>23249.5</v>
      </c>
      <c r="C1197" s="28">
        <v>358.122802734375</v>
      </c>
      <c r="D1197" s="29">
        <f t="shared" si="36"/>
        <v>1.9541186969854515E-2</v>
      </c>
      <c r="E1197" s="29">
        <f t="shared" si="37"/>
        <v>3.7300875997627893E-3</v>
      </c>
    </row>
    <row r="1198" spans="1:5" ht="14.25" customHeight="1" x14ac:dyDescent="0.3">
      <c r="A1198" s="27">
        <v>45688</v>
      </c>
      <c r="B1198" s="28">
        <v>23508.400390625</v>
      </c>
      <c r="C1198" s="28">
        <v>372.54718017578102</v>
      </c>
      <c r="D1198" s="29">
        <f t="shared" si="36"/>
        <v>4.027774085110352E-2</v>
      </c>
      <c r="E1198" s="29">
        <f t="shared" si="37"/>
        <v>1.1135740150325814E-2</v>
      </c>
    </row>
    <row r="1199" spans="1:5" ht="14.25" customHeight="1" x14ac:dyDescent="0.3">
      <c r="A1199" s="27">
        <v>45689</v>
      </c>
      <c r="B1199" s="28">
        <v>23482.150390625</v>
      </c>
      <c r="C1199" s="28">
        <v>380.30648803710898</v>
      </c>
      <c r="D1199" s="29">
        <f t="shared" si="36"/>
        <v>2.082771867355656E-2</v>
      </c>
      <c r="E1199" s="29">
        <f t="shared" si="37"/>
        <v>-1.1166221250199708E-3</v>
      </c>
    </row>
    <row r="1200" spans="1:5" ht="14.25" customHeight="1" x14ac:dyDescent="0.3">
      <c r="A1200" s="27">
        <v>45691</v>
      </c>
      <c r="B1200" s="28">
        <v>23361.05078125</v>
      </c>
      <c r="C1200" s="28">
        <v>371.70159912109398</v>
      </c>
      <c r="D1200" s="29">
        <f t="shared" si="36"/>
        <v>-2.2626195415249829E-2</v>
      </c>
      <c r="E1200" s="29">
        <f t="shared" si="37"/>
        <v>-5.1570919766934014E-3</v>
      </c>
    </row>
    <row r="1201" spans="1:5" ht="14.25" customHeight="1" x14ac:dyDescent="0.3">
      <c r="A1201" s="27">
        <v>45692</v>
      </c>
      <c r="B1201" s="28">
        <v>23739.25</v>
      </c>
      <c r="C1201" s="28">
        <v>378.26721191406301</v>
      </c>
      <c r="D1201" s="29">
        <f t="shared" si="36"/>
        <v>1.7663665715976839E-2</v>
      </c>
      <c r="E1201" s="29">
        <f t="shared" si="37"/>
        <v>1.6189306820631095E-2</v>
      </c>
    </row>
    <row r="1202" spans="1:5" ht="14.25" customHeight="1" x14ac:dyDescent="0.3">
      <c r="A1202" s="27">
        <v>45693</v>
      </c>
      <c r="B1202" s="28">
        <v>23696.30078125</v>
      </c>
      <c r="C1202" s="28">
        <v>382.84323120117199</v>
      </c>
      <c r="D1202" s="29">
        <f t="shared" si="36"/>
        <v>1.2097319415959807E-2</v>
      </c>
      <c r="E1202" s="29">
        <f t="shared" si="37"/>
        <v>-1.8092070621439178E-3</v>
      </c>
    </row>
    <row r="1203" spans="1:5" ht="14.25" customHeight="1" x14ac:dyDescent="0.3">
      <c r="A1203" s="27">
        <v>45694</v>
      </c>
      <c r="B1203" s="28">
        <v>23603.349609375</v>
      </c>
      <c r="C1203" s="28">
        <v>376.22790527343801</v>
      </c>
      <c r="D1203" s="29">
        <f t="shared" si="36"/>
        <v>-1.7279464252191082E-2</v>
      </c>
      <c r="E1203" s="29">
        <f t="shared" si="37"/>
        <v>-3.9226026346082174E-3</v>
      </c>
    </row>
    <row r="1204" spans="1:5" ht="14.25" customHeight="1" x14ac:dyDescent="0.3">
      <c r="A1204" s="27">
        <v>45695</v>
      </c>
      <c r="B1204" s="28">
        <v>23559.94921875</v>
      </c>
      <c r="C1204" s="28">
        <v>375.13363647460898</v>
      </c>
      <c r="D1204" s="29">
        <f t="shared" si="36"/>
        <v>-2.908526410431286E-3</v>
      </c>
      <c r="E1204" s="29">
        <f t="shared" si="37"/>
        <v>-1.8387386257991884E-3</v>
      </c>
    </row>
    <row r="1205" spans="1:5" ht="14.25" customHeight="1" x14ac:dyDescent="0.3">
      <c r="A1205" s="27">
        <v>45698</v>
      </c>
      <c r="B1205" s="28">
        <v>23381.599609375</v>
      </c>
      <c r="C1205" s="28">
        <v>369.76181030273398</v>
      </c>
      <c r="D1205" s="29">
        <f t="shared" si="36"/>
        <v>-1.4319766743280548E-2</v>
      </c>
      <c r="E1205" s="29">
        <f t="shared" si="37"/>
        <v>-7.5700336923078711E-3</v>
      </c>
    </row>
    <row r="1206" spans="1:5" ht="14.25" customHeight="1" x14ac:dyDescent="0.3">
      <c r="A1206" s="27">
        <v>45699</v>
      </c>
      <c r="B1206" s="28">
        <v>23071.80078125</v>
      </c>
      <c r="C1206" s="28">
        <v>361.00765991210898</v>
      </c>
      <c r="D1206" s="29">
        <f t="shared" si="36"/>
        <v>-2.367510691127821E-2</v>
      </c>
      <c r="E1206" s="29">
        <f t="shared" si="37"/>
        <v>-1.3249684936046216E-2</v>
      </c>
    </row>
    <row r="1207" spans="1:5" ht="14.25" customHeight="1" x14ac:dyDescent="0.3">
      <c r="A1207" s="27">
        <v>45700</v>
      </c>
      <c r="B1207" s="28">
        <v>23045.25</v>
      </c>
      <c r="C1207" s="28">
        <v>363.79309082031301</v>
      </c>
      <c r="D1207" s="29">
        <f t="shared" si="36"/>
        <v>7.7157113754377851E-3</v>
      </c>
      <c r="E1207" s="29">
        <f t="shared" si="37"/>
        <v>-1.1507892904301298E-3</v>
      </c>
    </row>
    <row r="1208" spans="1:5" ht="14.25" customHeight="1" x14ac:dyDescent="0.3">
      <c r="A1208" s="27">
        <v>45701</v>
      </c>
      <c r="B1208" s="28">
        <v>23031.400390625</v>
      </c>
      <c r="C1208" s="28">
        <v>365.03656005859398</v>
      </c>
      <c r="D1208" s="29">
        <f t="shared" si="36"/>
        <v>3.4180672191356926E-3</v>
      </c>
      <c r="E1208" s="29">
        <f t="shared" si="37"/>
        <v>-6.0097457719052736E-4</v>
      </c>
    </row>
    <row r="1209" spans="1:5" ht="14.25" customHeight="1" x14ac:dyDescent="0.3">
      <c r="A1209" s="27">
        <v>45702</v>
      </c>
      <c r="B1209" s="28">
        <v>22929.25</v>
      </c>
      <c r="C1209" s="28">
        <v>356.68035888671898</v>
      </c>
      <c r="D1209" s="29">
        <f t="shared" si="36"/>
        <v>-2.289140893321398E-2</v>
      </c>
      <c r="E1209" s="29">
        <f t="shared" si="37"/>
        <v>-4.4352661537064254E-3</v>
      </c>
    </row>
    <row r="1210" spans="1:5" ht="14.25" customHeight="1" x14ac:dyDescent="0.3">
      <c r="A1210" s="27">
        <v>45705</v>
      </c>
      <c r="B1210" s="28">
        <v>22959.5</v>
      </c>
      <c r="C1210" s="28">
        <v>359.91339111328102</v>
      </c>
      <c r="D1210" s="29">
        <f t="shared" si="36"/>
        <v>9.0642283658485673E-3</v>
      </c>
      <c r="E1210" s="29">
        <f t="shared" si="37"/>
        <v>1.3192755977626831E-3</v>
      </c>
    </row>
    <row r="1211" spans="1:5" ht="14.25" customHeight="1" x14ac:dyDescent="0.3">
      <c r="A1211" s="27">
        <v>45706</v>
      </c>
      <c r="B1211" s="28">
        <v>22945.30078125</v>
      </c>
      <c r="C1211" s="28">
        <v>358.669921875</v>
      </c>
      <c r="D1211" s="29">
        <f t="shared" si="36"/>
        <v>-3.4549124011049831E-3</v>
      </c>
      <c r="E1211" s="29">
        <f t="shared" si="37"/>
        <v>-6.1844634029486708E-4</v>
      </c>
    </row>
    <row r="1212" spans="1:5" ht="14.25" customHeight="1" x14ac:dyDescent="0.3">
      <c r="A1212" s="27">
        <v>45707</v>
      </c>
      <c r="B1212" s="28">
        <v>22932.900390625</v>
      </c>
      <c r="C1212" s="28">
        <v>362.15167236328102</v>
      </c>
      <c r="D1212" s="29">
        <f t="shared" si="36"/>
        <v>9.7073946710659696E-3</v>
      </c>
      <c r="E1212" s="29">
        <f t="shared" si="37"/>
        <v>-5.4043269004052947E-4</v>
      </c>
    </row>
    <row r="1213" spans="1:5" ht="14.25" customHeight="1" x14ac:dyDescent="0.3">
      <c r="A1213" s="27">
        <v>45708</v>
      </c>
      <c r="B1213" s="28">
        <v>22913.150390625</v>
      </c>
      <c r="C1213" s="28">
        <v>372.99484252929699</v>
      </c>
      <c r="D1213" s="29">
        <f t="shared" si="36"/>
        <v>2.994096394821831E-2</v>
      </c>
      <c r="E1213" s="29">
        <f t="shared" si="37"/>
        <v>-8.6120811862392364E-4</v>
      </c>
    </row>
    <row r="1214" spans="1:5" ht="14.25" customHeight="1" x14ac:dyDescent="0.3">
      <c r="A1214" s="27">
        <v>45709</v>
      </c>
      <c r="B1214" s="28">
        <v>22795.900390625</v>
      </c>
      <c r="C1214" s="28">
        <v>363.39514160156301</v>
      </c>
      <c r="D1214" s="29">
        <f t="shared" si="36"/>
        <v>-2.5736819476210225E-2</v>
      </c>
      <c r="E1214" s="29">
        <f t="shared" si="37"/>
        <v>-5.1171487988824647E-3</v>
      </c>
    </row>
    <row r="1215" spans="1:5" ht="14.25" customHeight="1" x14ac:dyDescent="0.3">
      <c r="A1215" s="27">
        <v>45712</v>
      </c>
      <c r="B1215" s="28">
        <v>22553.349609375</v>
      </c>
      <c r="C1215" s="28">
        <v>362.59933471679699</v>
      </c>
      <c r="D1215" s="29">
        <f t="shared" si="36"/>
        <v>-2.1899216408307644E-3</v>
      </c>
      <c r="E1215" s="29">
        <f t="shared" si="37"/>
        <v>-1.0640105330068515E-2</v>
      </c>
    </row>
    <row r="1216" spans="1:5" ht="14.25" customHeight="1" x14ac:dyDescent="0.3">
      <c r="A1216" s="27">
        <v>45713</v>
      </c>
      <c r="B1216" s="28">
        <v>22547.55078125</v>
      </c>
      <c r="C1216" s="28">
        <v>361.95272827148398</v>
      </c>
      <c r="D1216" s="29">
        <f t="shared" si="36"/>
        <v>-1.7832532589118905E-3</v>
      </c>
      <c r="E1216" s="29">
        <f t="shared" si="37"/>
        <v>-2.5711604818955748E-4</v>
      </c>
    </row>
    <row r="1217" spans="1:5" ht="14.25" customHeight="1" x14ac:dyDescent="0.3">
      <c r="A1217" s="27">
        <v>45715</v>
      </c>
      <c r="B1217" s="28">
        <v>22545.05078125</v>
      </c>
      <c r="C1217" s="28">
        <v>352.65148925781301</v>
      </c>
      <c r="D1217" s="29">
        <f t="shared" si="36"/>
        <v>-2.5697386114726387E-2</v>
      </c>
      <c r="E1217" s="29">
        <f t="shared" si="37"/>
        <v>-1.1087678764998901E-4</v>
      </c>
    </row>
    <row r="1218" spans="1:5" ht="14.25" customHeight="1" x14ac:dyDescent="0.3">
      <c r="A1218" s="27">
        <v>45716</v>
      </c>
      <c r="B1218" s="28">
        <v>22124.69921875</v>
      </c>
      <c r="C1218" s="28">
        <v>345.98638916015602</v>
      </c>
      <c r="D1218" s="29">
        <f t="shared" si="36"/>
        <v>-1.889996299656722E-2</v>
      </c>
      <c r="E1218" s="29">
        <f t="shared" si="37"/>
        <v>-1.8644959666695139E-2</v>
      </c>
    </row>
    <row r="1219" spans="1:5" ht="14.25" customHeight="1" x14ac:dyDescent="0.3">
      <c r="A1219" s="27">
        <v>45719</v>
      </c>
      <c r="B1219" s="28">
        <v>22119.30078125</v>
      </c>
      <c r="C1219" s="28">
        <v>344.49423217773398</v>
      </c>
      <c r="D1219" s="29">
        <f t="shared" ref="D1219:D1282" si="38">(C1219-C1218)/C1218</f>
        <v>-4.3127620888327219E-3</v>
      </c>
      <c r="E1219" s="29">
        <f t="shared" ref="E1219:E1282" si="39">(B1219-B1218)/B1218</f>
        <v>-2.4400049223833022E-4</v>
      </c>
    </row>
    <row r="1220" spans="1:5" ht="14.25" customHeight="1" x14ac:dyDescent="0.3">
      <c r="A1220" s="27">
        <v>45720</v>
      </c>
      <c r="B1220" s="28">
        <v>22082.650390625</v>
      </c>
      <c r="C1220" s="28">
        <v>343.89736938476602</v>
      </c>
      <c r="D1220" s="29">
        <f t="shared" si="38"/>
        <v>-1.7325770280531617E-3</v>
      </c>
      <c r="E1220" s="29">
        <f t="shared" si="39"/>
        <v>-1.6569416451024373E-3</v>
      </c>
    </row>
    <row r="1221" spans="1:5" ht="14.25" customHeight="1" x14ac:dyDescent="0.3">
      <c r="A1221" s="27">
        <v>45721</v>
      </c>
      <c r="B1221" s="28">
        <v>22337.30078125</v>
      </c>
      <c r="C1221" s="28">
        <v>354.54156494140602</v>
      </c>
      <c r="D1221" s="29">
        <f t="shared" si="38"/>
        <v>3.0951663211854497E-2</v>
      </c>
      <c r="E1221" s="29">
        <f t="shared" si="39"/>
        <v>1.153169506922546E-2</v>
      </c>
    </row>
    <row r="1222" spans="1:5" ht="14.25" customHeight="1" x14ac:dyDescent="0.3">
      <c r="A1222" s="27">
        <v>45722</v>
      </c>
      <c r="B1222" s="28">
        <v>22544.69921875</v>
      </c>
      <c r="C1222" s="28">
        <v>353.64627075195301</v>
      </c>
      <c r="D1222" s="29">
        <f t="shared" si="38"/>
        <v>-2.525216442819543E-3</v>
      </c>
      <c r="E1222" s="29">
        <f t="shared" si="39"/>
        <v>9.2848477768670643E-3</v>
      </c>
    </row>
    <row r="1223" spans="1:5" ht="14.25" customHeight="1" x14ac:dyDescent="0.3">
      <c r="A1223" s="27">
        <v>45723</v>
      </c>
      <c r="B1223" s="28">
        <v>22552.5</v>
      </c>
      <c r="C1223" s="28">
        <v>353.99444580078102</v>
      </c>
      <c r="D1223" s="29">
        <f t="shared" si="38"/>
        <v>9.8452911178079625E-4</v>
      </c>
      <c r="E1223" s="29">
        <f t="shared" si="39"/>
        <v>3.4601398645018238E-4</v>
      </c>
    </row>
    <row r="1224" spans="1:5" ht="14.25" customHeight="1" x14ac:dyDescent="0.3">
      <c r="A1224" s="27">
        <v>45726</v>
      </c>
      <c r="B1224" s="28">
        <v>22460.30078125</v>
      </c>
      <c r="C1224" s="28">
        <v>345.09109497070301</v>
      </c>
      <c r="D1224" s="29">
        <f t="shared" si="38"/>
        <v>-2.5151103176032849E-2</v>
      </c>
      <c r="E1224" s="29">
        <f t="shared" si="39"/>
        <v>-4.0882039130916746E-3</v>
      </c>
    </row>
    <row r="1225" spans="1:5" ht="14.25" customHeight="1" x14ac:dyDescent="0.3">
      <c r="A1225" s="27">
        <v>45727</v>
      </c>
      <c r="B1225" s="28">
        <v>22497.900390625</v>
      </c>
      <c r="C1225" s="28">
        <v>342.80310058593801</v>
      </c>
      <c r="D1225" s="29">
        <f t="shared" si="38"/>
        <v>-6.6301171432987631E-3</v>
      </c>
      <c r="E1225" s="29">
        <f t="shared" si="39"/>
        <v>1.6740474556061328E-3</v>
      </c>
    </row>
    <row r="1226" spans="1:5" ht="14.25" customHeight="1" x14ac:dyDescent="0.3">
      <c r="A1226" s="27">
        <v>45728</v>
      </c>
      <c r="B1226" s="28">
        <v>22470.5</v>
      </c>
      <c r="C1226" s="28">
        <v>338.87368774414102</v>
      </c>
      <c r="D1226" s="29">
        <f t="shared" si="38"/>
        <v>-1.1462594227066848E-2</v>
      </c>
      <c r="E1226" s="29">
        <f t="shared" si="39"/>
        <v>-1.217908789231634E-3</v>
      </c>
    </row>
    <row r="1227" spans="1:5" ht="14.25" customHeight="1" x14ac:dyDescent="0.3">
      <c r="A1227" s="27">
        <v>45729</v>
      </c>
      <c r="B1227" s="28">
        <v>22397.19921875</v>
      </c>
      <c r="C1227" s="28">
        <v>331.26358032226602</v>
      </c>
      <c r="D1227" s="29">
        <f t="shared" si="38"/>
        <v>-2.2457062017812491E-2</v>
      </c>
      <c r="E1227" s="29">
        <f t="shared" si="39"/>
        <v>-3.2620894617387242E-3</v>
      </c>
    </row>
    <row r="1228" spans="1:5" ht="14.25" customHeight="1" x14ac:dyDescent="0.3">
      <c r="A1228" s="27">
        <v>45733</v>
      </c>
      <c r="B1228" s="28">
        <v>22508.75</v>
      </c>
      <c r="C1228" s="28">
        <v>332.40759277343801</v>
      </c>
      <c r="D1228" s="29">
        <f t="shared" si="38"/>
        <v>3.4534809110589493E-3</v>
      </c>
      <c r="E1228" s="29">
        <f t="shared" si="39"/>
        <v>4.9805683362683286E-3</v>
      </c>
    </row>
    <row r="1229" spans="1:5" ht="14.25" customHeight="1" x14ac:dyDescent="0.3">
      <c r="A1229" s="27">
        <v>45734</v>
      </c>
      <c r="B1229" s="28">
        <v>22834.30078125</v>
      </c>
      <c r="C1229" s="28">
        <v>332.40759277343801</v>
      </c>
      <c r="D1229" s="29">
        <f t="shared" si="38"/>
        <v>0</v>
      </c>
      <c r="E1229" s="29">
        <f t="shared" si="39"/>
        <v>1.4463298994835342E-2</v>
      </c>
    </row>
    <row r="1230" spans="1:5" ht="14.25" customHeight="1" x14ac:dyDescent="0.3">
      <c r="A1230" s="27">
        <v>45735</v>
      </c>
      <c r="B1230" s="28">
        <v>22907.599609375</v>
      </c>
      <c r="C1230" s="28">
        <v>348.32415771484398</v>
      </c>
      <c r="D1230" s="29">
        <f t="shared" si="38"/>
        <v>4.7882675629056286E-2</v>
      </c>
      <c r="E1230" s="29">
        <f t="shared" si="39"/>
        <v>3.2100316461272198E-3</v>
      </c>
    </row>
    <row r="1231" spans="1:5" ht="14.25" customHeight="1" x14ac:dyDescent="0.3">
      <c r="A1231" s="27">
        <v>45736</v>
      </c>
      <c r="B1231" s="28">
        <v>23190.650390625</v>
      </c>
      <c r="C1231" s="28">
        <v>353.79547119140602</v>
      </c>
      <c r="D1231" s="29">
        <f t="shared" si="38"/>
        <v>1.5707533788228215E-2</v>
      </c>
      <c r="E1231" s="29">
        <f t="shared" si="39"/>
        <v>1.2356195589090036E-2</v>
      </c>
    </row>
    <row r="1232" spans="1:5" ht="14.25" customHeight="1" x14ac:dyDescent="0.3">
      <c r="A1232" s="27">
        <v>45737</v>
      </c>
      <c r="B1232" s="28">
        <v>23350.400390625</v>
      </c>
      <c r="C1232" s="28">
        <v>356.77981567382801</v>
      </c>
      <c r="D1232" s="29">
        <f t="shared" si="38"/>
        <v>8.4352252231273926E-3</v>
      </c>
      <c r="E1232" s="29">
        <f t="shared" si="39"/>
        <v>6.8885519512889631E-3</v>
      </c>
    </row>
    <row r="1233" spans="1:5" ht="14.25" customHeight="1" x14ac:dyDescent="0.3">
      <c r="A1233" s="27">
        <v>45740</v>
      </c>
      <c r="B1233" s="28">
        <v>23658.349609375</v>
      </c>
      <c r="C1233" s="28">
        <v>364.09152221679699</v>
      </c>
      <c r="D1233" s="29">
        <f t="shared" si="38"/>
        <v>2.0493610405509653E-2</v>
      </c>
      <c r="E1233" s="29">
        <f t="shared" si="39"/>
        <v>1.3188177230298765E-2</v>
      </c>
    </row>
    <row r="1234" spans="1:5" ht="14.25" customHeight="1" x14ac:dyDescent="0.3">
      <c r="A1234" s="27">
        <v>45741</v>
      </c>
      <c r="B1234" s="28">
        <v>23668.650390625</v>
      </c>
      <c r="C1234" s="28">
        <v>358.32177734375</v>
      </c>
      <c r="D1234" s="29">
        <f t="shared" si="38"/>
        <v>-1.5846962977653225E-2</v>
      </c>
      <c r="E1234" s="29">
        <f t="shared" si="39"/>
        <v>4.3539728764165997E-4</v>
      </c>
    </row>
    <row r="1235" spans="1:5" ht="14.25" customHeight="1" x14ac:dyDescent="0.3">
      <c r="A1235" s="27">
        <v>45742</v>
      </c>
      <c r="B1235" s="28">
        <v>23486.849609375</v>
      </c>
      <c r="C1235" s="28">
        <v>357.22750854492199</v>
      </c>
      <c r="D1235" s="29">
        <f t="shared" si="38"/>
        <v>-3.0538718772268282E-3</v>
      </c>
      <c r="E1235" s="29">
        <f t="shared" si="39"/>
        <v>-7.6810793285454976E-3</v>
      </c>
    </row>
    <row r="1236" spans="1:5" ht="14.25" customHeight="1" x14ac:dyDescent="0.3">
      <c r="A1236" s="27">
        <v>45743</v>
      </c>
      <c r="B1236" s="28">
        <v>23591.94921875</v>
      </c>
      <c r="C1236" s="28">
        <v>358.17251586914102</v>
      </c>
      <c r="D1236" s="29">
        <f t="shared" si="38"/>
        <v>2.6453934862639447E-3</v>
      </c>
      <c r="E1236" s="29">
        <f t="shared" si="39"/>
        <v>4.4748278770026483E-3</v>
      </c>
    </row>
    <row r="1237" spans="1:5" ht="14.25" customHeight="1" x14ac:dyDescent="0.3">
      <c r="A1237" s="27">
        <v>45744</v>
      </c>
      <c r="B1237" s="28">
        <v>23519.349609375</v>
      </c>
      <c r="C1237" s="28">
        <v>358.57046508789102</v>
      </c>
      <c r="D1237" s="29">
        <f t="shared" si="38"/>
        <v>1.111054592740978E-3</v>
      </c>
      <c r="E1237" s="29">
        <f t="shared" si="39"/>
        <v>-3.0773044101544836E-3</v>
      </c>
    </row>
    <row r="1238" spans="1:5" ht="14.25" customHeight="1" x14ac:dyDescent="0.3">
      <c r="A1238" s="27">
        <v>45748</v>
      </c>
      <c r="B1238" s="28">
        <v>23165.69921875</v>
      </c>
      <c r="C1238" s="28">
        <v>362.89776611328102</v>
      </c>
      <c r="D1238" s="29">
        <f t="shared" si="38"/>
        <v>1.206820261766209E-2</v>
      </c>
      <c r="E1238" s="29">
        <f t="shared" si="39"/>
        <v>-1.5036571865236959E-2</v>
      </c>
    </row>
    <row r="1239" spans="1:5" ht="14.25" customHeight="1" x14ac:dyDescent="0.3">
      <c r="A1239" s="27">
        <v>45749</v>
      </c>
      <c r="B1239" s="28">
        <v>23332.349609375</v>
      </c>
      <c r="C1239" s="28">
        <v>369.66232299804699</v>
      </c>
      <c r="D1239" s="29">
        <f t="shared" si="38"/>
        <v>1.8640392739850492E-2</v>
      </c>
      <c r="E1239" s="29">
        <f t="shared" si="39"/>
        <v>7.1938424586863083E-3</v>
      </c>
    </row>
    <row r="1240" spans="1:5" ht="14.25" customHeight="1" x14ac:dyDescent="0.3">
      <c r="A1240" s="27">
        <v>45750</v>
      </c>
      <c r="B1240" s="28">
        <v>23250.099609375</v>
      </c>
      <c r="C1240" s="28">
        <v>370.25918579101602</v>
      </c>
      <c r="D1240" s="29">
        <f t="shared" si="38"/>
        <v>1.6146162479539132E-3</v>
      </c>
      <c r="E1240" s="29">
        <f t="shared" si="39"/>
        <v>-3.5251486188494162E-3</v>
      </c>
    </row>
    <row r="1241" spans="1:5" ht="14.25" customHeight="1" x14ac:dyDescent="0.3">
      <c r="A1241" s="27">
        <v>45751</v>
      </c>
      <c r="B1241" s="28">
        <v>22904.44921875</v>
      </c>
      <c r="C1241" s="28">
        <v>362.49984741210898</v>
      </c>
      <c r="D1241" s="29">
        <f t="shared" si="38"/>
        <v>-2.0956504731489956E-2</v>
      </c>
      <c r="E1241" s="29">
        <f t="shared" si="39"/>
        <v>-1.4866619775066488E-2</v>
      </c>
    </row>
    <row r="1242" spans="1:5" ht="14.25" customHeight="1" x14ac:dyDescent="0.3">
      <c r="A1242" s="27">
        <v>45754</v>
      </c>
      <c r="B1242" s="28">
        <v>22161.599609375</v>
      </c>
      <c r="C1242" s="28">
        <v>351.55722045898398</v>
      </c>
      <c r="D1242" s="29">
        <f t="shared" si="38"/>
        <v>-3.018656981856559E-2</v>
      </c>
      <c r="E1242" s="29">
        <f t="shared" si="39"/>
        <v>-3.2432546283055336E-2</v>
      </c>
    </row>
    <row r="1243" spans="1:5" ht="14.25" customHeight="1" x14ac:dyDescent="0.3">
      <c r="A1243" s="27">
        <v>45755</v>
      </c>
      <c r="B1243" s="28">
        <v>22535.849609375</v>
      </c>
      <c r="C1243" s="28">
        <v>355.78503417968801</v>
      </c>
      <c r="D1243" s="29">
        <f t="shared" si="38"/>
        <v>1.2025961848214384E-2</v>
      </c>
      <c r="E1243" s="29">
        <f t="shared" si="39"/>
        <v>1.688731890281428E-2</v>
      </c>
    </row>
    <row r="1244" spans="1:5" ht="14.25" customHeight="1" x14ac:dyDescent="0.3">
      <c r="A1244" s="27">
        <v>45756</v>
      </c>
      <c r="B1244" s="28">
        <v>22399.150390625</v>
      </c>
      <c r="C1244" s="28">
        <v>362.45013427734398</v>
      </c>
      <c r="D1244" s="29">
        <f t="shared" si="38"/>
        <v>1.8733503259976303E-2</v>
      </c>
      <c r="E1244" s="29">
        <f t="shared" si="39"/>
        <v>-6.0658560080704745E-3</v>
      </c>
    </row>
    <row r="1245" spans="1:5" ht="14.25" customHeight="1" x14ac:dyDescent="0.3">
      <c r="A1245" s="27">
        <v>45758</v>
      </c>
      <c r="B1245" s="28">
        <v>22828.55078125</v>
      </c>
      <c r="C1245" s="28">
        <v>367.37429809570301</v>
      </c>
      <c r="D1245" s="29">
        <f t="shared" si="38"/>
        <v>1.3585769055312592E-2</v>
      </c>
      <c r="E1245" s="29">
        <f t="shared" si="39"/>
        <v>1.9170387409190411E-2</v>
      </c>
    </row>
    <row r="1246" spans="1:5" ht="14.25" customHeight="1" x14ac:dyDescent="0.3">
      <c r="A1246" s="27">
        <v>45762</v>
      </c>
      <c r="B1246" s="28">
        <v>23328.55078125</v>
      </c>
      <c r="C1246" s="28">
        <v>377.72009277343801</v>
      </c>
      <c r="D1246" s="29">
        <f t="shared" si="38"/>
        <v>2.8161454765242896E-2</v>
      </c>
      <c r="E1246" s="29">
        <f t="shared" si="39"/>
        <v>2.1902397782108445E-2</v>
      </c>
    </row>
    <row r="1247" spans="1:5" ht="14.25" customHeight="1" x14ac:dyDescent="0.3">
      <c r="A1247" s="27">
        <v>45763</v>
      </c>
      <c r="B1247" s="28">
        <v>23437.19921875</v>
      </c>
      <c r="C1247" s="28">
        <v>375.03414916992199</v>
      </c>
      <c r="D1247" s="29">
        <f t="shared" si="38"/>
        <v>-7.1109365239065822E-3</v>
      </c>
      <c r="E1247" s="29">
        <f t="shared" si="39"/>
        <v>4.657316201027141E-3</v>
      </c>
    </row>
    <row r="1248" spans="1:5" ht="14.25" customHeight="1" x14ac:dyDescent="0.3">
      <c r="A1248" s="27">
        <v>45764</v>
      </c>
      <c r="B1248" s="28">
        <v>23851.650390625</v>
      </c>
      <c r="C1248" s="28">
        <v>373.343017578125</v>
      </c>
      <c r="D1248" s="29">
        <f t="shared" si="38"/>
        <v>-4.5092736102566597E-3</v>
      </c>
      <c r="E1248" s="29">
        <f t="shared" si="39"/>
        <v>1.7683476937954037E-2</v>
      </c>
    </row>
    <row r="1249" spans="1:5" ht="14.25" customHeight="1" x14ac:dyDescent="0.3">
      <c r="A1249" s="27">
        <v>45768</v>
      </c>
      <c r="B1249" s="28">
        <v>24125.55078125</v>
      </c>
      <c r="C1249" s="28">
        <v>381.89816284179699</v>
      </c>
      <c r="D1249" s="29">
        <f t="shared" si="38"/>
        <v>2.2914973257486346E-2</v>
      </c>
      <c r="E1249" s="29">
        <f t="shared" si="39"/>
        <v>1.1483498464016469E-2</v>
      </c>
    </row>
    <row r="1250" spans="1:5" ht="14.25" customHeight="1" x14ac:dyDescent="0.3">
      <c r="A1250" s="27">
        <v>45769</v>
      </c>
      <c r="B1250" s="28">
        <v>24167.25</v>
      </c>
      <c r="C1250" s="28">
        <v>378.96356201171898</v>
      </c>
      <c r="D1250" s="29">
        <f t="shared" si="38"/>
        <v>-7.6842496655153657E-3</v>
      </c>
      <c r="E1250" s="29">
        <f t="shared" si="39"/>
        <v>1.728425565413743E-3</v>
      </c>
    </row>
    <row r="1251" spans="1:5" ht="14.25" customHeight="1" x14ac:dyDescent="0.3">
      <c r="A1251" s="27">
        <v>45770</v>
      </c>
      <c r="B1251" s="28">
        <v>24328.94921875</v>
      </c>
      <c r="C1251" s="28">
        <v>378.81433105468801</v>
      </c>
      <c r="D1251" s="29">
        <f t="shared" si="38"/>
        <v>-3.9378708664964204E-4</v>
      </c>
      <c r="E1251" s="29">
        <f t="shared" si="39"/>
        <v>6.6908406521221904E-3</v>
      </c>
    </row>
    <row r="1252" spans="1:5" ht="14.25" customHeight="1" x14ac:dyDescent="0.3">
      <c r="A1252" s="27">
        <v>45771</v>
      </c>
      <c r="B1252" s="28">
        <v>24246.69921875</v>
      </c>
      <c r="C1252" s="28">
        <v>380.45574951171898</v>
      </c>
      <c r="D1252" s="29">
        <f t="shared" si="38"/>
        <v>4.3330421329651342E-3</v>
      </c>
      <c r="E1252" s="29">
        <f t="shared" si="39"/>
        <v>-3.3807460922566689E-3</v>
      </c>
    </row>
    <row r="1253" spans="1:5" ht="14.25" customHeight="1" x14ac:dyDescent="0.3">
      <c r="A1253" s="27">
        <v>45772</v>
      </c>
      <c r="B1253" s="28">
        <v>24039.349609375</v>
      </c>
      <c r="C1253" s="28">
        <v>368.56805419921898</v>
      </c>
      <c r="D1253" s="29">
        <f t="shared" si="38"/>
        <v>-3.1245934192759072E-2</v>
      </c>
      <c r="E1253" s="29">
        <f t="shared" si="39"/>
        <v>-8.5516633626838701E-3</v>
      </c>
    </row>
    <row r="1254" spans="1:5" ht="14.25" customHeight="1" x14ac:dyDescent="0.3">
      <c r="A1254" s="27">
        <v>45775</v>
      </c>
      <c r="B1254" s="28">
        <v>24328.5</v>
      </c>
      <c r="C1254" s="28">
        <v>375.33258056640602</v>
      </c>
      <c r="D1254" s="29">
        <f t="shared" si="38"/>
        <v>1.8353534144146613E-2</v>
      </c>
      <c r="E1254" s="29">
        <f t="shared" si="39"/>
        <v>1.2028211882747256E-2</v>
      </c>
    </row>
    <row r="1255" spans="1:5" ht="14.25" customHeight="1" x14ac:dyDescent="0.3">
      <c r="A1255" s="27">
        <v>45776</v>
      </c>
      <c r="B1255" s="28">
        <v>24335.94921875</v>
      </c>
      <c r="C1255" s="28">
        <v>368.02093505859398</v>
      </c>
      <c r="D1255" s="29">
        <f t="shared" si="38"/>
        <v>-1.9480444508116521E-2</v>
      </c>
      <c r="E1255" s="29">
        <f t="shared" si="39"/>
        <v>3.0619309657397702E-4</v>
      </c>
    </row>
    <row r="1256" spans="1:5" ht="14.25" customHeight="1" x14ac:dyDescent="0.3">
      <c r="A1256" s="27">
        <v>45777</v>
      </c>
      <c r="B1256" s="28">
        <v>24334.19921875</v>
      </c>
      <c r="C1256" s="28">
        <v>349.91580200195301</v>
      </c>
      <c r="D1256" s="29">
        <f t="shared" si="38"/>
        <v>-4.9195932437263064E-2</v>
      </c>
      <c r="E1256" s="29">
        <f t="shared" si="39"/>
        <v>-7.1910077731904783E-5</v>
      </c>
    </row>
    <row r="1257" spans="1:5" ht="14.25" customHeight="1" x14ac:dyDescent="0.3">
      <c r="A1257" s="27">
        <v>45779</v>
      </c>
      <c r="B1257" s="28">
        <v>24346.69921875</v>
      </c>
      <c r="C1257" s="28">
        <v>353.14886474609398</v>
      </c>
      <c r="D1257" s="29">
        <f t="shared" si="38"/>
        <v>9.2395448437705054E-3</v>
      </c>
      <c r="E1257" s="29">
        <f t="shared" si="39"/>
        <v>5.1368035116473008E-4</v>
      </c>
    </row>
    <row r="1258" spans="1:5" ht="14.25" customHeight="1" x14ac:dyDescent="0.3">
      <c r="A1258" s="27">
        <v>45782</v>
      </c>
      <c r="B1258" s="28">
        <v>24461.150390625</v>
      </c>
      <c r="C1258" s="28">
        <v>364.24072265625</v>
      </c>
      <c r="D1258" s="29">
        <f t="shared" si="38"/>
        <v>3.1408448440378864E-2</v>
      </c>
      <c r="E1258" s="29">
        <f t="shared" si="39"/>
        <v>4.700890697612853E-3</v>
      </c>
    </row>
    <row r="1259" spans="1:5" ht="14.25" customHeight="1" x14ac:dyDescent="0.3">
      <c r="A1259" s="27">
        <v>45783</v>
      </c>
      <c r="B1259" s="28">
        <v>24379.599609375</v>
      </c>
      <c r="C1259" s="28">
        <v>368.3193359375</v>
      </c>
      <c r="D1259" s="29">
        <f t="shared" si="38"/>
        <v>1.1197576293793945E-2</v>
      </c>
      <c r="E1259" s="29">
        <f t="shared" si="39"/>
        <v>-3.3338898599493184E-3</v>
      </c>
    </row>
    <row r="1260" spans="1:5" ht="14.25" customHeight="1" x14ac:dyDescent="0.3">
      <c r="A1260" s="27">
        <v>45784</v>
      </c>
      <c r="B1260" s="28">
        <v>24414.400390625</v>
      </c>
      <c r="C1260" s="28">
        <v>374.08908081054699</v>
      </c>
      <c r="D1260" s="29">
        <f t="shared" si="38"/>
        <v>1.5665061022009593E-2</v>
      </c>
      <c r="E1260" s="29">
        <f t="shared" si="39"/>
        <v>1.4274549954716078E-3</v>
      </c>
    </row>
    <row r="1261" spans="1:5" ht="14.25" customHeight="1" x14ac:dyDescent="0.3">
      <c r="A1261" s="27">
        <v>45785</v>
      </c>
      <c r="B1261" s="28">
        <v>24273.80078125</v>
      </c>
      <c r="C1261" s="28">
        <v>358.96838378906301</v>
      </c>
      <c r="D1261" s="29">
        <f t="shared" si="38"/>
        <v>-4.0420043773321673E-2</v>
      </c>
      <c r="E1261" s="29">
        <f t="shared" si="39"/>
        <v>-5.7588802970966885E-3</v>
      </c>
    </row>
    <row r="1262" spans="1:5" ht="14.25" customHeight="1" x14ac:dyDescent="0.3">
      <c r="A1262" s="27">
        <v>45786</v>
      </c>
      <c r="B1262" s="28">
        <v>24008</v>
      </c>
      <c r="C1262" s="28">
        <v>359.06784057617199</v>
      </c>
      <c r="D1262" s="29">
        <f t="shared" si="38"/>
        <v>2.7706280441516513E-4</v>
      </c>
      <c r="E1262" s="29">
        <f t="shared" si="39"/>
        <v>-1.0950109694206379E-2</v>
      </c>
    </row>
    <row r="1263" spans="1:5" ht="14.25" customHeight="1" x14ac:dyDescent="0.3">
      <c r="A1263" s="27">
        <v>45789</v>
      </c>
      <c r="B1263" s="28">
        <v>24924.69921875</v>
      </c>
      <c r="C1263" s="28">
        <v>376.07867431640602</v>
      </c>
      <c r="D1263" s="29">
        <f t="shared" si="38"/>
        <v>4.7374985498389088E-2</v>
      </c>
      <c r="E1263" s="29">
        <f t="shared" si="39"/>
        <v>3.8183073090219927E-2</v>
      </c>
    </row>
    <row r="1264" spans="1:5" ht="14.25" customHeight="1" x14ac:dyDescent="0.3">
      <c r="A1264" s="27">
        <v>45790</v>
      </c>
      <c r="B1264" s="28">
        <v>24578.349609375</v>
      </c>
      <c r="C1264" s="28">
        <v>373.14407348632801</v>
      </c>
      <c r="D1264" s="29">
        <f t="shared" si="38"/>
        <v>-7.8031567076016798E-3</v>
      </c>
      <c r="E1264" s="29">
        <f t="shared" si="39"/>
        <v>-1.389583907654352E-2</v>
      </c>
    </row>
    <row r="1265" spans="1:5" ht="14.25" customHeight="1" x14ac:dyDescent="0.3">
      <c r="A1265" s="27">
        <v>45791</v>
      </c>
      <c r="B1265" s="28">
        <v>24666.900390625</v>
      </c>
      <c r="C1265" s="28">
        <v>380.85363769531301</v>
      </c>
      <c r="D1265" s="29">
        <f t="shared" si="38"/>
        <v>2.0661092475497883E-2</v>
      </c>
      <c r="E1265" s="29">
        <f t="shared" si="39"/>
        <v>3.6027960647212775E-3</v>
      </c>
    </row>
    <row r="1266" spans="1:5" ht="14.25" customHeight="1" x14ac:dyDescent="0.3">
      <c r="A1266" s="27">
        <v>45792</v>
      </c>
      <c r="B1266" s="28">
        <v>25062.099609375</v>
      </c>
      <c r="C1266" s="28">
        <v>381.84844970703102</v>
      </c>
      <c r="D1266" s="29">
        <f t="shared" si="38"/>
        <v>2.6120585790856258E-3</v>
      </c>
      <c r="E1266" s="29">
        <f t="shared" si="39"/>
        <v>1.6021438141461865E-2</v>
      </c>
    </row>
    <row r="1267" spans="1:5" ht="14.25" customHeight="1" x14ac:dyDescent="0.3">
      <c r="A1267" s="27">
        <v>45793</v>
      </c>
      <c r="B1267" s="28">
        <v>25019.80078125</v>
      </c>
      <c r="C1267" s="28">
        <v>391.00045776367199</v>
      </c>
      <c r="D1267" s="29">
        <f t="shared" si="38"/>
        <v>2.3967644922122226E-2</v>
      </c>
      <c r="E1267" s="29">
        <f t="shared" si="39"/>
        <v>-1.6877607536591724E-3</v>
      </c>
    </row>
    <row r="1268" spans="1:5" ht="14.25" customHeight="1" x14ac:dyDescent="0.3">
      <c r="A1268" s="27">
        <v>45796</v>
      </c>
      <c r="B1268" s="28">
        <v>24945.44921875</v>
      </c>
      <c r="C1268" s="28">
        <v>390.75173950195301</v>
      </c>
      <c r="D1268" s="29">
        <f t="shared" si="38"/>
        <v>-6.3610734151443719E-4</v>
      </c>
      <c r="E1268" s="29">
        <f t="shared" si="39"/>
        <v>-2.9717088137536066E-3</v>
      </c>
    </row>
    <row r="1269" spans="1:5" ht="14.25" customHeight="1" x14ac:dyDescent="0.3">
      <c r="A1269" s="27">
        <v>45797</v>
      </c>
      <c r="B1269" s="28">
        <v>24683.900390625</v>
      </c>
      <c r="C1269" s="28">
        <v>381.35104370117199</v>
      </c>
      <c r="D1269" s="29">
        <f t="shared" si="38"/>
        <v>-2.4057975564646301E-2</v>
      </c>
      <c r="E1269" s="29">
        <f t="shared" si="39"/>
        <v>-1.0484831354666864E-2</v>
      </c>
    </row>
    <row r="1270" spans="1:5" ht="14.25" customHeight="1" x14ac:dyDescent="0.3">
      <c r="A1270" s="27">
        <v>45798</v>
      </c>
      <c r="B1270" s="28">
        <v>24813.44921875</v>
      </c>
      <c r="C1270" s="28">
        <v>382.79345703125</v>
      </c>
      <c r="D1270" s="29">
        <f t="shared" si="38"/>
        <v>3.7823767730613355E-3</v>
      </c>
      <c r="E1270" s="29">
        <f t="shared" si="39"/>
        <v>5.2483127088862724E-3</v>
      </c>
    </row>
    <row r="1271" spans="1:5" ht="14.25" customHeight="1" x14ac:dyDescent="0.3">
      <c r="A1271" s="27">
        <v>45799</v>
      </c>
      <c r="B1271" s="28">
        <v>24609.69921875</v>
      </c>
      <c r="C1271" s="28">
        <v>380.40597534179699</v>
      </c>
      <c r="D1271" s="29">
        <f t="shared" si="38"/>
        <v>-6.236997121029958E-3</v>
      </c>
      <c r="E1271" s="29">
        <f t="shared" si="39"/>
        <v>-8.2112727740421762E-3</v>
      </c>
    </row>
    <row r="1272" spans="1:5" ht="14.25" customHeight="1" x14ac:dyDescent="0.3">
      <c r="A1272" s="27">
        <v>45800</v>
      </c>
      <c r="B1272" s="28">
        <v>24853.150390625</v>
      </c>
      <c r="C1272" s="28">
        <v>380.15728759765602</v>
      </c>
      <c r="D1272" s="29">
        <f t="shared" si="38"/>
        <v>-6.5374300158539483E-4</v>
      </c>
      <c r="E1272" s="29">
        <f t="shared" si="39"/>
        <v>9.8924887180057795E-3</v>
      </c>
    </row>
    <row r="1273" spans="1:5" ht="14.25" customHeight="1" x14ac:dyDescent="0.3">
      <c r="A1273" s="27">
        <v>45803</v>
      </c>
      <c r="B1273" s="28">
        <v>25001.150390625</v>
      </c>
      <c r="C1273" s="28">
        <v>384.78305053710898</v>
      </c>
      <c r="D1273" s="29">
        <f t="shared" si="38"/>
        <v>1.2168023842669788E-2</v>
      </c>
      <c r="E1273" s="29">
        <f t="shared" si="39"/>
        <v>5.9549794562796321E-3</v>
      </c>
    </row>
    <row r="1274" spans="1:5" ht="14.25" customHeight="1" x14ac:dyDescent="0.3">
      <c r="A1274" s="27">
        <v>45804</v>
      </c>
      <c r="B1274" s="28">
        <v>24826.19921875</v>
      </c>
      <c r="C1274" s="28">
        <v>383.19140625</v>
      </c>
      <c r="D1274" s="29">
        <f t="shared" si="38"/>
        <v>-4.1364719284990355E-3</v>
      </c>
      <c r="E1274" s="29">
        <f t="shared" si="39"/>
        <v>-6.9977248703165145E-3</v>
      </c>
    </row>
    <row r="1275" spans="1:5" ht="14.25" customHeight="1" x14ac:dyDescent="0.3">
      <c r="A1275" s="27">
        <v>45805</v>
      </c>
      <c r="B1275" s="28">
        <v>24752.44921875</v>
      </c>
      <c r="C1275" s="28">
        <v>384.68359375</v>
      </c>
      <c r="D1275" s="29">
        <f t="shared" si="38"/>
        <v>3.8941048146222618E-3</v>
      </c>
      <c r="E1275" s="29">
        <f t="shared" si="39"/>
        <v>-2.9706520659956788E-3</v>
      </c>
    </row>
    <row r="1276" spans="1:5" ht="14.25" customHeight="1" x14ac:dyDescent="0.3">
      <c r="A1276" s="27">
        <v>45806</v>
      </c>
      <c r="B1276" s="28">
        <v>24833.599609375</v>
      </c>
      <c r="C1276" s="28">
        <v>386.77261352539102</v>
      </c>
      <c r="D1276" s="29">
        <f t="shared" si="38"/>
        <v>5.4304883528478341E-3</v>
      </c>
      <c r="E1276" s="29">
        <f t="shared" si="39"/>
        <v>3.2784792287758142E-3</v>
      </c>
    </row>
    <row r="1277" spans="1:5" ht="14.25" customHeight="1" x14ac:dyDescent="0.3">
      <c r="A1277" s="27">
        <v>45807</v>
      </c>
      <c r="B1277" s="28">
        <v>24750.69921875</v>
      </c>
      <c r="C1277" s="28">
        <v>384.83279418945301</v>
      </c>
      <c r="D1277" s="29">
        <f t="shared" si="38"/>
        <v>-5.015399922597326E-3</v>
      </c>
      <c r="E1277" s="29">
        <f t="shared" si="39"/>
        <v>-3.3382349691143463E-3</v>
      </c>
    </row>
    <row r="1278" spans="1:5" ht="14.25" customHeight="1" x14ac:dyDescent="0.3">
      <c r="A1278" s="27">
        <v>45810</v>
      </c>
      <c r="B1278" s="28">
        <v>24716.599609375</v>
      </c>
      <c r="C1278" s="28">
        <v>385.33020019531301</v>
      </c>
      <c r="D1278" s="29">
        <f t="shared" si="38"/>
        <v>1.292524996232851E-3</v>
      </c>
      <c r="E1278" s="29">
        <f t="shared" si="39"/>
        <v>-1.3777230725331466E-3</v>
      </c>
    </row>
    <row r="1279" spans="1:5" ht="14.25" customHeight="1" x14ac:dyDescent="0.3">
      <c r="A1279" s="27">
        <v>45811</v>
      </c>
      <c r="B1279" s="28">
        <v>24542.5</v>
      </c>
      <c r="C1279" s="28">
        <v>384.18618774414102</v>
      </c>
      <c r="D1279" s="29">
        <f t="shared" si="38"/>
        <v>-2.9689145844061043E-3</v>
      </c>
      <c r="E1279" s="29">
        <f t="shared" si="39"/>
        <v>-7.0438333802585072E-3</v>
      </c>
    </row>
    <row r="1280" spans="1:5" ht="14.25" customHeight="1" x14ac:dyDescent="0.3">
      <c r="A1280" s="27">
        <v>45812</v>
      </c>
      <c r="B1280" s="28">
        <v>24620.19921875</v>
      </c>
      <c r="C1280" s="28">
        <v>386.87210083007801</v>
      </c>
      <c r="D1280" s="29">
        <f t="shared" si="38"/>
        <v>6.9911755591946043E-3</v>
      </c>
      <c r="E1280" s="29">
        <f t="shared" si="39"/>
        <v>3.1659048079861465E-3</v>
      </c>
    </row>
    <row r="1281" spans="1:5" ht="14.25" customHeight="1" x14ac:dyDescent="0.3">
      <c r="A1281" s="27">
        <v>45813</v>
      </c>
      <c r="B1281" s="28">
        <v>24750.900390625</v>
      </c>
      <c r="C1281" s="28">
        <v>389.1103515625</v>
      </c>
      <c r="D1281" s="29">
        <f t="shared" si="38"/>
        <v>5.7855056687198883E-3</v>
      </c>
      <c r="E1281" s="29">
        <f t="shared" si="39"/>
        <v>5.3086967621066988E-3</v>
      </c>
    </row>
    <row r="1282" spans="1:5" ht="14.25" customHeight="1" x14ac:dyDescent="0.3">
      <c r="A1282" s="27">
        <v>45814</v>
      </c>
      <c r="B1282" s="28">
        <v>25003.05078125</v>
      </c>
      <c r="C1282" s="28">
        <v>391.24914550781301</v>
      </c>
      <c r="D1282" s="29">
        <f t="shared" si="38"/>
        <v>5.4966256660213073E-3</v>
      </c>
      <c r="E1282" s="29">
        <f t="shared" si="39"/>
        <v>1.0187523954502602E-2</v>
      </c>
    </row>
    <row r="1283" spans="1:5" ht="14.25" customHeight="1" x14ac:dyDescent="0.3">
      <c r="A1283" s="27">
        <v>45817</v>
      </c>
      <c r="B1283" s="28">
        <v>25103.19921875</v>
      </c>
      <c r="C1283" s="28">
        <v>398.71002197265602</v>
      </c>
      <c r="D1283" s="29">
        <f t="shared" ref="D1283:D1346" si="40">(C1283-C1282)/C1282</f>
        <v>1.9069374465110547E-2</v>
      </c>
      <c r="E1283" s="29">
        <f t="shared" ref="E1283:E1346" si="41">(B1283-B1282)/B1282</f>
        <v>4.0054487100870968E-3</v>
      </c>
    </row>
    <row r="1284" spans="1:5" ht="14.25" customHeight="1" x14ac:dyDescent="0.3">
      <c r="A1284" s="27">
        <v>45818</v>
      </c>
      <c r="B1284" s="28">
        <v>25104.25</v>
      </c>
      <c r="C1284" s="28">
        <v>401.69439697265602</v>
      </c>
      <c r="D1284" s="29">
        <f t="shared" si="40"/>
        <v>7.48507646041732E-3</v>
      </c>
      <c r="E1284" s="29">
        <f t="shared" si="41"/>
        <v>4.185845958690213E-5</v>
      </c>
    </row>
    <row r="1285" spans="1:5" ht="14.25" customHeight="1" x14ac:dyDescent="0.3">
      <c r="A1285" s="27">
        <v>45819</v>
      </c>
      <c r="B1285" s="28">
        <v>25141.400390625</v>
      </c>
      <c r="C1285" s="28">
        <v>403.43527221679699</v>
      </c>
      <c r="D1285" s="29">
        <f t="shared" si="40"/>
        <v>4.3338300391067451E-3</v>
      </c>
      <c r="E1285" s="29">
        <f t="shared" si="41"/>
        <v>1.4798446727147794E-3</v>
      </c>
    </row>
    <row r="1286" spans="1:5" ht="14.25" customHeight="1" x14ac:dyDescent="0.3">
      <c r="A1286" s="27">
        <v>45820</v>
      </c>
      <c r="B1286" s="28">
        <v>24888.19921875</v>
      </c>
      <c r="C1286" s="28">
        <v>392.293701171875</v>
      </c>
      <c r="D1286" s="29">
        <f t="shared" si="40"/>
        <v>-2.7616749977515006E-2</v>
      </c>
      <c r="E1286" s="29">
        <f t="shared" si="41"/>
        <v>-1.0071084662786582E-2</v>
      </c>
    </row>
    <row r="1287" spans="1:5" ht="14.25" customHeight="1" x14ac:dyDescent="0.3">
      <c r="A1287" s="27">
        <v>45821</v>
      </c>
      <c r="B1287" s="28">
        <v>24718.599609375</v>
      </c>
      <c r="C1287" s="28">
        <v>382.84323120117199</v>
      </c>
      <c r="D1287" s="29">
        <f t="shared" si="40"/>
        <v>-2.4090292407123029E-2</v>
      </c>
      <c r="E1287" s="29">
        <f t="shared" si="41"/>
        <v>-6.814458847919736E-3</v>
      </c>
    </row>
    <row r="1288" spans="1:5" ht="14.25" customHeight="1" x14ac:dyDescent="0.3">
      <c r="A1288" s="27">
        <v>45824</v>
      </c>
      <c r="B1288" s="28">
        <v>24946.5</v>
      </c>
      <c r="C1288" s="28">
        <v>382.29608154296898</v>
      </c>
      <c r="D1288" s="29">
        <f t="shared" si="40"/>
        <v>-1.4291741726406586E-3</v>
      </c>
      <c r="E1288" s="29">
        <f t="shared" si="41"/>
        <v>9.2197937677086055E-3</v>
      </c>
    </row>
    <row r="1289" spans="1:5" ht="14.25" customHeight="1" x14ac:dyDescent="0.3">
      <c r="A1289" s="27">
        <v>45825</v>
      </c>
      <c r="B1289" s="28">
        <v>24853.400390625</v>
      </c>
      <c r="C1289" s="28">
        <v>380.953125</v>
      </c>
      <c r="D1289" s="29">
        <f t="shared" si="40"/>
        <v>-3.512870279885495E-3</v>
      </c>
      <c r="E1289" s="29">
        <f t="shared" si="41"/>
        <v>-3.7319707924959415E-3</v>
      </c>
    </row>
    <row r="1290" spans="1:5" ht="14.25" customHeight="1" x14ac:dyDescent="0.3">
      <c r="A1290" s="27">
        <v>45826</v>
      </c>
      <c r="B1290" s="28">
        <v>24812.05078125</v>
      </c>
      <c r="C1290" s="28">
        <v>376.17816162109398</v>
      </c>
      <c r="D1290" s="29">
        <f t="shared" si="40"/>
        <v>-1.2534254388662706E-2</v>
      </c>
      <c r="E1290" s="29">
        <f t="shared" si="41"/>
        <v>-1.6637405234334682E-3</v>
      </c>
    </row>
    <row r="1291" spans="1:5" ht="14.25" customHeight="1" x14ac:dyDescent="0.3">
      <c r="A1291" s="27">
        <v>45827</v>
      </c>
      <c r="B1291" s="28">
        <v>24793.25</v>
      </c>
      <c r="C1291" s="28">
        <v>372.7958984375</v>
      </c>
      <c r="D1291" s="29">
        <f t="shared" si="40"/>
        <v>-8.9911205079490162E-3</v>
      </c>
      <c r="E1291" s="29">
        <f t="shared" si="41"/>
        <v>-7.5772782410260889E-4</v>
      </c>
    </row>
    <row r="1292" spans="1:5" ht="14.25" customHeight="1" x14ac:dyDescent="0.3">
      <c r="A1292" s="27">
        <v>45828</v>
      </c>
      <c r="B1292" s="28">
        <v>25112.400390625</v>
      </c>
      <c r="C1292" s="28">
        <v>378.26721191406301</v>
      </c>
      <c r="D1292" s="29">
        <f t="shared" si="40"/>
        <v>1.4676431525923262E-2</v>
      </c>
      <c r="E1292" s="29">
        <f t="shared" si="41"/>
        <v>1.2872470959837859E-2</v>
      </c>
    </row>
    <row r="1293" spans="1:5" ht="14.25" customHeight="1" x14ac:dyDescent="0.3">
      <c r="A1293" s="27">
        <v>45831</v>
      </c>
      <c r="B1293" s="28">
        <v>24971.900390625</v>
      </c>
      <c r="C1293" s="28">
        <v>376.32736206054699</v>
      </c>
      <c r="D1293" s="29">
        <f t="shared" si="40"/>
        <v>-5.1282527071279168E-3</v>
      </c>
      <c r="E1293" s="29">
        <f t="shared" si="41"/>
        <v>-5.5948454872697742E-3</v>
      </c>
    </row>
    <row r="1294" spans="1:5" ht="14.25" customHeight="1" x14ac:dyDescent="0.3">
      <c r="A1294" s="27">
        <v>45832</v>
      </c>
      <c r="B1294" s="28">
        <v>25044.349609375</v>
      </c>
      <c r="C1294" s="28">
        <v>382.59451293945301</v>
      </c>
      <c r="D1294" s="29">
        <f t="shared" si="40"/>
        <v>1.6653455237989594E-2</v>
      </c>
      <c r="E1294" s="29">
        <f t="shared" si="41"/>
        <v>2.9012296868362901E-3</v>
      </c>
    </row>
    <row r="1295" spans="1:5" ht="14.25" customHeight="1" x14ac:dyDescent="0.3">
      <c r="A1295" s="27">
        <v>45833</v>
      </c>
      <c r="B1295" s="28">
        <v>25244.75</v>
      </c>
      <c r="C1295" s="28">
        <v>383.78823852539102</v>
      </c>
      <c r="D1295" s="29">
        <f t="shared" si="40"/>
        <v>3.1200802561612354E-3</v>
      </c>
      <c r="E1295" s="29">
        <f t="shared" si="41"/>
        <v>8.0018205204252114E-3</v>
      </c>
    </row>
    <row r="1296" spans="1:5" ht="14.25" customHeight="1" x14ac:dyDescent="0.3">
      <c r="A1296" s="27">
        <v>45834</v>
      </c>
      <c r="B1296" s="28">
        <v>25549</v>
      </c>
      <c r="C1296" s="28">
        <v>386.82235717773398</v>
      </c>
      <c r="D1296" s="29">
        <f t="shared" si="40"/>
        <v>7.9057103573595307E-3</v>
      </c>
      <c r="E1296" s="29">
        <f t="shared" si="41"/>
        <v>1.205201081412967E-2</v>
      </c>
    </row>
    <row r="1297" spans="1:5" ht="14.25" customHeight="1" x14ac:dyDescent="0.3">
      <c r="A1297" s="27">
        <v>45835</v>
      </c>
      <c r="B1297" s="28">
        <v>25637.80078125</v>
      </c>
      <c r="C1297" s="28">
        <v>386.42446899414102</v>
      </c>
      <c r="D1297" s="29">
        <f t="shared" si="40"/>
        <v>-1.0286069980441584E-3</v>
      </c>
      <c r="E1297" s="29">
        <f t="shared" si="41"/>
        <v>3.4757047731809464E-3</v>
      </c>
    </row>
    <row r="1298" spans="1:5" ht="14.25" customHeight="1" x14ac:dyDescent="0.3">
      <c r="A1298" s="27">
        <v>45838</v>
      </c>
      <c r="B1298" s="28">
        <v>25517.05078125</v>
      </c>
      <c r="C1298" s="28">
        <v>385.72808837890602</v>
      </c>
      <c r="D1298" s="29">
        <f t="shared" si="40"/>
        <v>-1.8021131452872847E-3</v>
      </c>
      <c r="E1298" s="29">
        <f t="shared" si="41"/>
        <v>-4.7098423546652075E-3</v>
      </c>
    </row>
    <row r="1299" spans="1:5" ht="14.25" customHeight="1" x14ac:dyDescent="0.3">
      <c r="A1299" s="27">
        <v>45839</v>
      </c>
      <c r="B1299" s="28">
        <v>25541.80078125</v>
      </c>
      <c r="C1299" s="28">
        <v>383.83801269531301</v>
      </c>
      <c r="D1299" s="29">
        <f t="shared" si="40"/>
        <v>-4.9000208710141008E-3</v>
      </c>
      <c r="E1299" s="29">
        <f t="shared" si="41"/>
        <v>9.6993967728380148E-4</v>
      </c>
    </row>
    <row r="1300" spans="1:5" ht="14.25" customHeight="1" x14ac:dyDescent="0.3">
      <c r="A1300" s="27">
        <v>45840</v>
      </c>
      <c r="B1300" s="28">
        <v>25453.400390625</v>
      </c>
      <c r="C1300" s="28">
        <v>380.85363769531301</v>
      </c>
      <c r="D1300" s="29">
        <f t="shared" si="40"/>
        <v>-7.7750897547736331E-3</v>
      </c>
      <c r="E1300" s="29">
        <f t="shared" si="41"/>
        <v>-3.4610085397695964E-3</v>
      </c>
    </row>
    <row r="1301" spans="1:5" ht="14.25" customHeight="1" x14ac:dyDescent="0.3">
      <c r="A1301" s="27">
        <v>45841</v>
      </c>
      <c r="B1301" s="28">
        <v>25405.30078125</v>
      </c>
      <c r="C1301" s="28">
        <v>380.90338134765602</v>
      </c>
      <c r="D1301" s="29">
        <f t="shared" si="40"/>
        <v>1.3061094189365861E-4</v>
      </c>
      <c r="E1301" s="29">
        <f t="shared" si="41"/>
        <v>-1.8897125192245848E-3</v>
      </c>
    </row>
    <row r="1302" spans="1:5" ht="14.25" customHeight="1" x14ac:dyDescent="0.3">
      <c r="A1302" s="27">
        <v>45842</v>
      </c>
      <c r="B1302" s="28">
        <v>25461</v>
      </c>
      <c r="C1302" s="28">
        <v>381.45053100585898</v>
      </c>
      <c r="D1302" s="29">
        <f t="shared" si="40"/>
        <v>1.4364526150099021E-3</v>
      </c>
      <c r="E1302" s="29">
        <f t="shared" si="41"/>
        <v>2.1924250859926041E-3</v>
      </c>
    </row>
    <row r="1303" spans="1:5" ht="14.25" customHeight="1" x14ac:dyDescent="0.3">
      <c r="A1303" s="27">
        <v>45845</v>
      </c>
      <c r="B1303" s="28">
        <v>25461.30078125</v>
      </c>
      <c r="C1303" s="28">
        <v>384.13644409179699</v>
      </c>
      <c r="D1303" s="29">
        <f t="shared" si="40"/>
        <v>7.0413143189378778E-3</v>
      </c>
      <c r="E1303" s="29">
        <f t="shared" si="41"/>
        <v>1.1813410706570834E-5</v>
      </c>
    </row>
    <row r="1304" spans="1:5" ht="14.25" customHeight="1" x14ac:dyDescent="0.3">
      <c r="A1304" s="27">
        <v>45846</v>
      </c>
      <c r="B1304" s="28">
        <v>25522.5</v>
      </c>
      <c r="C1304" s="28">
        <v>386.67315673828102</v>
      </c>
      <c r="D1304" s="29">
        <f t="shared" si="40"/>
        <v>6.6036760778621579E-3</v>
      </c>
      <c r="E1304" s="29">
        <f t="shared" si="41"/>
        <v>2.4036171315751404E-3</v>
      </c>
    </row>
    <row r="1305" spans="1:5" ht="14.25" customHeight="1" x14ac:dyDescent="0.3">
      <c r="A1305" s="27">
        <v>45847</v>
      </c>
      <c r="B1305" s="28">
        <v>25476.099609375</v>
      </c>
      <c r="C1305" s="28">
        <v>385.47940063476602</v>
      </c>
      <c r="D1305" s="29">
        <f t="shared" si="40"/>
        <v>-3.08724844927105E-3</v>
      </c>
      <c r="E1305" s="29">
        <f t="shared" si="41"/>
        <v>-1.8180190273288275E-3</v>
      </c>
    </row>
    <row r="1306" spans="1:5" ht="14.25" customHeight="1" x14ac:dyDescent="0.3">
      <c r="A1306" s="27">
        <v>45848</v>
      </c>
      <c r="B1306" s="28">
        <v>25355.25</v>
      </c>
      <c r="C1306" s="28">
        <v>386.92184448242199</v>
      </c>
      <c r="D1306" s="29">
        <f t="shared" si="40"/>
        <v>3.7419479362080163E-3</v>
      </c>
      <c r="E1306" s="29">
        <f t="shared" si="41"/>
        <v>-4.7436464461980792E-3</v>
      </c>
    </row>
    <row r="1307" spans="1:5" ht="14.25" customHeight="1" x14ac:dyDescent="0.3">
      <c r="A1307" s="27">
        <v>45849</v>
      </c>
      <c r="B1307" s="28">
        <v>25149.849609375</v>
      </c>
      <c r="C1307" s="28">
        <v>378.66510009765602</v>
      </c>
      <c r="D1307" s="29">
        <f t="shared" si="40"/>
        <v>-2.1339566381450643E-2</v>
      </c>
      <c r="E1307" s="29">
        <f t="shared" si="41"/>
        <v>-8.1009018102759789E-3</v>
      </c>
    </row>
    <row r="1308" spans="1:5" ht="14.25" customHeight="1" x14ac:dyDescent="0.3">
      <c r="A1308" s="27">
        <v>45852</v>
      </c>
      <c r="B1308" s="28">
        <v>25082.30078125</v>
      </c>
      <c r="C1308" s="28">
        <v>381.35104370117199</v>
      </c>
      <c r="D1308" s="29">
        <f t="shared" si="40"/>
        <v>7.0931902697747252E-3</v>
      </c>
      <c r="E1308" s="29">
        <f t="shared" si="41"/>
        <v>-2.685854157148523E-3</v>
      </c>
    </row>
    <row r="1309" spans="1:5" ht="14.25" customHeight="1" x14ac:dyDescent="0.3">
      <c r="A1309" s="27">
        <v>45853</v>
      </c>
      <c r="B1309" s="28">
        <v>25195.80078125</v>
      </c>
      <c r="C1309" s="28">
        <v>384.484619140625</v>
      </c>
      <c r="D1309" s="29">
        <f t="shared" si="40"/>
        <v>8.2170364843907225E-3</v>
      </c>
      <c r="E1309" s="29">
        <f t="shared" si="41"/>
        <v>4.5251032187942535E-3</v>
      </c>
    </row>
    <row r="1310" spans="1:5" ht="14.25" customHeight="1" x14ac:dyDescent="0.3">
      <c r="A1310" s="27">
        <v>45854</v>
      </c>
      <c r="B1310" s="28">
        <v>25212.05078125</v>
      </c>
      <c r="C1310" s="28">
        <v>383.9375</v>
      </c>
      <c r="D1310" s="29">
        <f t="shared" si="40"/>
        <v>-1.4229935695422228E-3</v>
      </c>
      <c r="E1310" s="29">
        <f t="shared" si="41"/>
        <v>6.4494874130346306E-4</v>
      </c>
    </row>
    <row r="1311" spans="1:5" ht="14.25" customHeight="1" x14ac:dyDescent="0.3">
      <c r="A1311" s="27">
        <v>45855</v>
      </c>
      <c r="B1311" s="28">
        <v>25111.44921875</v>
      </c>
      <c r="C1311" s="28">
        <v>381.54998779296898</v>
      </c>
      <c r="D1311" s="29">
        <f t="shared" si="40"/>
        <v>-6.2184918301312654E-3</v>
      </c>
      <c r="E1311" s="29">
        <f t="shared" si="41"/>
        <v>-3.9902173517283477E-3</v>
      </c>
    </row>
    <row r="1312" spans="1:5" ht="14.25" customHeight="1" x14ac:dyDescent="0.3">
      <c r="A1312" s="27">
        <v>45856</v>
      </c>
      <c r="B1312" s="28">
        <v>24968.400390625</v>
      </c>
      <c r="C1312" s="28">
        <v>384.04998779296898</v>
      </c>
      <c r="D1312" s="29">
        <f t="shared" si="40"/>
        <v>6.5522214126147822E-3</v>
      </c>
      <c r="E1312" s="29">
        <f t="shared" si="41"/>
        <v>-5.6965580472428303E-3</v>
      </c>
    </row>
    <row r="1313" spans="1:5" ht="14.25" customHeight="1" x14ac:dyDescent="0.3">
      <c r="A1313" s="27">
        <v>45859</v>
      </c>
      <c r="B1313" s="28">
        <v>25090.69921875</v>
      </c>
      <c r="C1313" s="28">
        <v>389.10000610351602</v>
      </c>
      <c r="D1313" s="29">
        <f t="shared" si="40"/>
        <v>1.3149377609847432E-2</v>
      </c>
      <c r="E1313" s="29">
        <f t="shared" si="41"/>
        <v>4.8981443028653171E-3</v>
      </c>
    </row>
    <row r="1314" spans="1:5" ht="14.25" customHeight="1" x14ac:dyDescent="0.3">
      <c r="A1314" s="27">
        <v>45860</v>
      </c>
      <c r="B1314" s="28">
        <v>25060.900390625</v>
      </c>
      <c r="C1314" s="28">
        <v>394.25</v>
      </c>
      <c r="D1314" s="29">
        <f t="shared" si="40"/>
        <v>1.3235656169879048E-2</v>
      </c>
      <c r="E1314" s="29">
        <f t="shared" si="41"/>
        <v>-1.1876443882732318E-3</v>
      </c>
    </row>
    <row r="1315" spans="1:5" ht="14.25" customHeight="1" x14ac:dyDescent="0.3">
      <c r="A1315" s="27">
        <v>45861</v>
      </c>
      <c r="B1315" s="28">
        <v>25219.900390625</v>
      </c>
      <c r="C1315" s="28">
        <v>391.75</v>
      </c>
      <c r="D1315" s="29">
        <f t="shared" si="40"/>
        <v>-6.3411540900443885E-3</v>
      </c>
      <c r="E1315" s="29">
        <f t="shared" si="41"/>
        <v>6.3445445902446549E-3</v>
      </c>
    </row>
    <row r="1316" spans="1:5" ht="14.25" customHeight="1" x14ac:dyDescent="0.3">
      <c r="A1316" s="27">
        <v>45862</v>
      </c>
      <c r="B1316" s="28">
        <v>25062.099609375</v>
      </c>
      <c r="C1316" s="28">
        <v>391.20001220703102</v>
      </c>
      <c r="D1316" s="29">
        <f t="shared" si="40"/>
        <v>-1.4039254447197891E-3</v>
      </c>
      <c r="E1316" s="29">
        <f t="shared" si="41"/>
        <v>-6.2569946274910479E-3</v>
      </c>
    </row>
    <row r="1317" spans="1:5" ht="14.25" customHeight="1" x14ac:dyDescent="0.3">
      <c r="A1317" s="27">
        <v>45863</v>
      </c>
      <c r="B1317" s="28">
        <v>24837</v>
      </c>
      <c r="C1317" s="28">
        <v>380.60000610351602</v>
      </c>
      <c r="D1317" s="29">
        <f t="shared" si="40"/>
        <v>-2.7096129275950176E-2</v>
      </c>
      <c r="E1317" s="29">
        <f t="shared" si="41"/>
        <v>-8.9816740370306722E-3</v>
      </c>
    </row>
    <row r="1318" spans="1:5" ht="14.25" customHeight="1" x14ac:dyDescent="0.3">
      <c r="A1318" s="27">
        <v>45866</v>
      </c>
      <c r="B1318" s="28">
        <v>24680.900390625</v>
      </c>
      <c r="C1318" s="28">
        <v>382.10000610351602</v>
      </c>
      <c r="D1318" s="29">
        <f t="shared" si="40"/>
        <v>3.9411454964402397E-3</v>
      </c>
      <c r="E1318" s="29">
        <f t="shared" si="41"/>
        <v>-6.2849623293876073E-3</v>
      </c>
    </row>
    <row r="1319" spans="1:5" ht="14.25" customHeight="1" x14ac:dyDescent="0.3">
      <c r="A1319" s="27">
        <v>45867</v>
      </c>
      <c r="B1319" s="28">
        <v>24821.099609375</v>
      </c>
      <c r="C1319" s="28">
        <v>391.70001220703102</v>
      </c>
      <c r="D1319" s="29">
        <f t="shared" si="40"/>
        <v>2.5124328579346395E-2</v>
      </c>
      <c r="E1319" s="29">
        <f t="shared" si="41"/>
        <v>5.6804742343700898E-3</v>
      </c>
    </row>
    <row r="1320" spans="1:5" ht="14.25" customHeight="1" x14ac:dyDescent="0.3">
      <c r="A1320" s="27">
        <v>45868</v>
      </c>
      <c r="B1320" s="28">
        <v>24855.05078125</v>
      </c>
      <c r="C1320" s="28">
        <v>391.04998779296898</v>
      </c>
      <c r="D1320" s="29">
        <f t="shared" si="40"/>
        <v>-1.6594955164782538E-3</v>
      </c>
      <c r="E1320" s="29">
        <f t="shared" si="41"/>
        <v>1.3678351245235141E-3</v>
      </c>
    </row>
    <row r="1321" spans="1:5" ht="14.25" customHeight="1" x14ac:dyDescent="0.3">
      <c r="A1321" s="27">
        <v>45869</v>
      </c>
      <c r="B1321" s="28">
        <v>24768.349609375</v>
      </c>
      <c r="C1321" s="28">
        <v>384.29998779296898</v>
      </c>
      <c r="D1321" s="29">
        <f t="shared" si="40"/>
        <v>-1.7261220331692244E-2</v>
      </c>
      <c r="E1321" s="29">
        <f t="shared" si="41"/>
        <v>-3.4882717656889721E-3</v>
      </c>
    </row>
    <row r="1322" spans="1:5" ht="14.25" customHeight="1" x14ac:dyDescent="0.3">
      <c r="A1322" s="27">
        <v>45870</v>
      </c>
      <c r="B1322" s="28">
        <v>24565.349609375</v>
      </c>
      <c r="C1322" s="28">
        <v>379.25</v>
      </c>
      <c r="D1322" s="29">
        <f t="shared" si="40"/>
        <v>-1.3140744088936894E-2</v>
      </c>
      <c r="E1322" s="29">
        <f t="shared" si="41"/>
        <v>-8.1959437427822409E-3</v>
      </c>
    </row>
    <row r="1323" spans="1:5" ht="14.25" customHeight="1" x14ac:dyDescent="0.3">
      <c r="A1323" s="27">
        <v>45873</v>
      </c>
      <c r="B1323" s="28">
        <v>24722.75</v>
      </c>
      <c r="C1323" s="28">
        <v>390.79998779296898</v>
      </c>
      <c r="D1323" s="29">
        <f t="shared" si="40"/>
        <v>3.045481290169803E-2</v>
      </c>
      <c r="E1323" s="29">
        <f t="shared" si="41"/>
        <v>6.4074150430544043E-3</v>
      </c>
    </row>
    <row r="1324" spans="1:5" ht="14.25" customHeight="1" x14ac:dyDescent="0.3">
      <c r="A1324" s="27">
        <v>45874</v>
      </c>
      <c r="B1324" s="28">
        <v>24649.55078125</v>
      </c>
      <c r="C1324" s="28">
        <v>384.75</v>
      </c>
      <c r="D1324" s="29">
        <f t="shared" si="40"/>
        <v>-1.5481033730671537E-2</v>
      </c>
      <c r="E1324" s="29">
        <f t="shared" si="41"/>
        <v>-2.9608040671041855E-3</v>
      </c>
    </row>
    <row r="1325" spans="1:5" ht="14.25" customHeight="1" x14ac:dyDescent="0.3">
      <c r="A1325" s="27">
        <v>45875</v>
      </c>
      <c r="B1325" s="28">
        <v>24574.19921875</v>
      </c>
      <c r="C1325" s="28">
        <v>381.54998779296898</v>
      </c>
      <c r="D1325" s="29">
        <f t="shared" si="40"/>
        <v>-8.3171207460195525E-3</v>
      </c>
      <c r="E1325" s="29">
        <f t="shared" si="41"/>
        <v>-3.0569142281212337E-3</v>
      </c>
    </row>
    <row r="1326" spans="1:5" ht="14.25" customHeight="1" x14ac:dyDescent="0.3">
      <c r="A1326" s="27">
        <v>45876</v>
      </c>
      <c r="B1326" s="28">
        <v>24596.150390625</v>
      </c>
      <c r="C1326" s="28">
        <v>379.89999389648398</v>
      </c>
      <c r="D1326" s="29">
        <f t="shared" si="40"/>
        <v>-4.3244501356930866E-3</v>
      </c>
      <c r="E1326" s="29">
        <f t="shared" si="41"/>
        <v>8.9326092295415906E-4</v>
      </c>
    </row>
    <row r="1327" spans="1:5" ht="14.25" customHeight="1" x14ac:dyDescent="0.3">
      <c r="A1327" s="27">
        <v>45877</v>
      </c>
      <c r="B1327" s="28">
        <v>24363.30078125</v>
      </c>
      <c r="C1327" s="28">
        <v>375.64999389648398</v>
      </c>
      <c r="D1327" s="29">
        <f t="shared" si="40"/>
        <v>-1.1187154694079963E-2</v>
      </c>
      <c r="E1327" s="29">
        <f t="shared" si="41"/>
        <v>-9.4669127354072569E-3</v>
      </c>
    </row>
    <row r="1328" spans="1:5" ht="14.25" customHeight="1" x14ac:dyDescent="0.3">
      <c r="A1328" s="27">
        <v>45880</v>
      </c>
      <c r="B1328" s="28">
        <v>24585.05078125</v>
      </c>
      <c r="C1328" s="28">
        <v>377.64999389648398</v>
      </c>
      <c r="D1328" s="29">
        <f t="shared" si="40"/>
        <v>5.3241049713716494E-3</v>
      </c>
      <c r="E1328" s="29">
        <f t="shared" si="41"/>
        <v>9.1018044718578876E-3</v>
      </c>
    </row>
    <row r="1329" spans="1:5" ht="14.25" customHeight="1" x14ac:dyDescent="0.3">
      <c r="A1329" s="27">
        <v>45881</v>
      </c>
      <c r="B1329" s="28">
        <v>24487.400390625</v>
      </c>
      <c r="C1329" s="28">
        <v>376.39999389648398</v>
      </c>
      <c r="D1329" s="29">
        <f t="shared" si="40"/>
        <v>-3.3099431224739599E-3</v>
      </c>
      <c r="E1329" s="29">
        <f t="shared" si="41"/>
        <v>-3.9719417907191756E-3</v>
      </c>
    </row>
    <row r="1330" spans="1:5" ht="14.25" customHeight="1" x14ac:dyDescent="0.3">
      <c r="A1330" s="27">
        <v>45882</v>
      </c>
      <c r="B1330" s="28">
        <v>24619.349609375</v>
      </c>
      <c r="C1330" s="28">
        <v>375.70001220703102</v>
      </c>
      <c r="D1330" s="29">
        <f t="shared" si="40"/>
        <v>-1.8596750818371708E-3</v>
      </c>
      <c r="E1330" s="29">
        <f t="shared" si="41"/>
        <v>5.3884535167120782E-3</v>
      </c>
    </row>
    <row r="1331" spans="1:5" ht="14.25" customHeight="1" x14ac:dyDescent="0.3">
      <c r="A1331" s="27">
        <v>45883</v>
      </c>
      <c r="B1331" s="28">
        <v>24631.30078125</v>
      </c>
      <c r="C1331" s="28">
        <v>374.45001220703102</v>
      </c>
      <c r="D1331" s="29">
        <f t="shared" si="40"/>
        <v>-3.3271225961823562E-3</v>
      </c>
      <c r="E1331" s="29">
        <f t="shared" si="41"/>
        <v>4.8543816407111817E-4</v>
      </c>
    </row>
    <row r="1332" spans="1:5" ht="14.25" customHeight="1" x14ac:dyDescent="0.3">
      <c r="A1332" s="27">
        <v>45887</v>
      </c>
      <c r="B1332" s="28">
        <v>24876.94921875</v>
      </c>
      <c r="C1332" s="28">
        <v>376.29998779296898</v>
      </c>
      <c r="D1332" s="29">
        <f t="shared" si="40"/>
        <v>4.9405141557723195E-3</v>
      </c>
      <c r="E1332" s="29">
        <f t="shared" si="41"/>
        <v>9.9730192766349594E-3</v>
      </c>
    </row>
    <row r="1333" spans="1:5" ht="14.25" customHeight="1" x14ac:dyDescent="0.3">
      <c r="A1333" s="27">
        <v>45888</v>
      </c>
      <c r="B1333" s="28">
        <v>24980.650390625</v>
      </c>
      <c r="C1333" s="28">
        <v>392.79998779296898</v>
      </c>
      <c r="D1333" s="29">
        <f t="shared" si="40"/>
        <v>4.3847995044522553E-2</v>
      </c>
      <c r="E1333" s="29">
        <f t="shared" si="41"/>
        <v>4.1685646806256856E-3</v>
      </c>
    </row>
    <row r="1334" spans="1:5" ht="14.25" customHeight="1" x14ac:dyDescent="0.3">
      <c r="A1334" s="27">
        <v>45889</v>
      </c>
      <c r="B1334" s="28">
        <v>25050.55078125</v>
      </c>
      <c r="C1334" s="28">
        <v>396.29998779296898</v>
      </c>
      <c r="D1334" s="29">
        <f t="shared" si="40"/>
        <v>8.9103872422845558E-3</v>
      </c>
      <c r="E1334" s="29">
        <f t="shared" si="41"/>
        <v>2.7981813736616301E-3</v>
      </c>
    </row>
    <row r="1335" spans="1:5" ht="14.25" customHeight="1" x14ac:dyDescent="0.3">
      <c r="A1335" s="27">
        <v>45890</v>
      </c>
      <c r="B1335" s="28">
        <v>25083.75</v>
      </c>
      <c r="C1335" s="28">
        <v>400.45001220703102</v>
      </c>
      <c r="D1335" s="29">
        <f t="shared" si="40"/>
        <v>1.0471926676490485E-2</v>
      </c>
      <c r="E1335" s="29">
        <f t="shared" si="41"/>
        <v>1.325288974278728E-3</v>
      </c>
    </row>
    <row r="1336" spans="1:5" ht="14.25" customHeight="1" x14ac:dyDescent="0.3">
      <c r="A1336" s="27">
        <v>45891</v>
      </c>
      <c r="B1336" s="28">
        <v>24870.099609375</v>
      </c>
      <c r="C1336" s="28">
        <v>396.04998779296898</v>
      </c>
      <c r="D1336" s="29">
        <f t="shared" si="40"/>
        <v>-1.0987699537857051E-2</v>
      </c>
      <c r="E1336" s="29">
        <f t="shared" si="41"/>
        <v>-8.5174820600986689E-3</v>
      </c>
    </row>
    <row r="1337" spans="1:5" ht="14.25" customHeight="1" x14ac:dyDescent="0.3">
      <c r="A1337" s="27">
        <v>45894</v>
      </c>
      <c r="B1337" s="28">
        <v>24967.75</v>
      </c>
      <c r="C1337" s="28">
        <v>400.25</v>
      </c>
      <c r="D1337" s="29">
        <f t="shared" si="40"/>
        <v>1.0604752774860671E-2</v>
      </c>
      <c r="E1337" s="29">
        <f t="shared" si="41"/>
        <v>3.9264173509055761E-3</v>
      </c>
    </row>
    <row r="1338" spans="1:5" ht="14.25" customHeight="1" x14ac:dyDescent="0.3">
      <c r="A1338" s="27">
        <v>45895</v>
      </c>
      <c r="B1338" s="28">
        <v>24712.05078125</v>
      </c>
      <c r="C1338" s="28">
        <v>396.79998779296898</v>
      </c>
      <c r="D1338" s="29">
        <f t="shared" si="40"/>
        <v>-8.6196432405522116E-3</v>
      </c>
      <c r="E1338" s="29">
        <f t="shared" si="41"/>
        <v>-1.0241179872034925E-2</v>
      </c>
    </row>
    <row r="1339" spans="1:5" ht="14.25" customHeight="1" x14ac:dyDescent="0.3">
      <c r="A1339" s="27">
        <v>45897</v>
      </c>
      <c r="B1339" s="28">
        <v>24500.900390625</v>
      </c>
      <c r="C1339" s="28">
        <v>394</v>
      </c>
      <c r="D1339" s="29">
        <f t="shared" si="40"/>
        <v>-7.0564210662977019E-3</v>
      </c>
      <c r="E1339" s="29">
        <f t="shared" si="41"/>
        <v>-8.5444301039235507E-3</v>
      </c>
    </row>
    <row r="1340" spans="1:5" ht="14.25" customHeight="1" x14ac:dyDescent="0.3">
      <c r="A1340" s="27">
        <v>45898</v>
      </c>
      <c r="B1340" s="28">
        <v>24426.849609375</v>
      </c>
      <c r="C1340" s="28">
        <v>396.25</v>
      </c>
      <c r="D1340" s="29">
        <f t="shared" si="40"/>
        <v>5.7106598984771571E-3</v>
      </c>
      <c r="E1340" s="29">
        <f t="shared" si="41"/>
        <v>-3.0223697933295024E-3</v>
      </c>
    </row>
    <row r="1341" spans="1:5" ht="14.25" customHeight="1" x14ac:dyDescent="0.3">
      <c r="A1341" s="27">
        <v>45901</v>
      </c>
      <c r="B1341" s="28">
        <v>24625.05078125</v>
      </c>
      <c r="C1341" s="28">
        <v>412.25</v>
      </c>
      <c r="D1341" s="29">
        <f t="shared" si="40"/>
        <v>4.0378548895899057E-2</v>
      </c>
      <c r="E1341" s="29">
        <f t="shared" si="41"/>
        <v>8.1140701746053485E-3</v>
      </c>
    </row>
    <row r="1342" spans="1:5" ht="14.25" customHeight="1" x14ac:dyDescent="0.3">
      <c r="A1342" s="27">
        <v>45902</v>
      </c>
      <c r="B1342" s="28">
        <v>24579.599609375</v>
      </c>
      <c r="C1342" s="28">
        <v>416.20001220703102</v>
      </c>
      <c r="D1342" s="29">
        <f t="shared" si="40"/>
        <v>9.5815941953451122E-3</v>
      </c>
      <c r="E1342" s="29">
        <f t="shared" si="41"/>
        <v>-1.8457290617896885E-3</v>
      </c>
    </row>
    <row r="1343" spans="1:5" ht="14.25" customHeight="1" x14ac:dyDescent="0.3">
      <c r="A1343" s="27">
        <v>45903</v>
      </c>
      <c r="B1343" s="28">
        <v>24715.05078125</v>
      </c>
      <c r="C1343" s="28">
        <v>419.10000610351602</v>
      </c>
      <c r="D1343" s="29">
        <f t="shared" si="40"/>
        <v>6.9677890711892908E-3</v>
      </c>
      <c r="E1343" s="29">
        <f t="shared" si="41"/>
        <v>5.5107151470171652E-3</v>
      </c>
    </row>
    <row r="1344" spans="1:5" ht="14.25" customHeight="1" x14ac:dyDescent="0.3">
      <c r="A1344" s="27">
        <v>45904</v>
      </c>
      <c r="B1344" s="28">
        <v>24734.30078125</v>
      </c>
      <c r="C1344" s="28">
        <v>405.64999389648398</v>
      </c>
      <c r="D1344" s="29">
        <f t="shared" si="40"/>
        <v>-3.2092607996073247E-2</v>
      </c>
      <c r="E1344" s="29">
        <f t="shared" si="41"/>
        <v>7.7887762280480347E-4</v>
      </c>
    </row>
    <row r="1345" spans="1:5" ht="14.25" customHeight="1" x14ac:dyDescent="0.3">
      <c r="A1345" s="27">
        <v>45905</v>
      </c>
      <c r="B1345" s="28">
        <v>24741</v>
      </c>
      <c r="C1345" s="28">
        <v>412.75</v>
      </c>
      <c r="D1345" s="29">
        <f t="shared" si="40"/>
        <v>1.7502788636372672E-2</v>
      </c>
      <c r="E1345" s="29">
        <f t="shared" si="41"/>
        <v>2.708473067117542E-4</v>
      </c>
    </row>
    <row r="1346" spans="1:5" ht="14.25" customHeight="1" x14ac:dyDescent="0.3">
      <c r="A1346" s="27">
        <v>45908</v>
      </c>
      <c r="B1346" s="28">
        <v>24773.150390625</v>
      </c>
      <c r="C1346" s="28">
        <v>427.35000610351602</v>
      </c>
      <c r="D1346" s="29">
        <f t="shared" si="40"/>
        <v>3.5372516301674192E-2</v>
      </c>
      <c r="E1346" s="29">
        <f t="shared" si="41"/>
        <v>1.2994782193524919E-3</v>
      </c>
    </row>
    <row r="1347" spans="1:5" ht="14.25" customHeight="1" x14ac:dyDescent="0.3">
      <c r="A1347" s="27">
        <v>45909</v>
      </c>
      <c r="B1347" s="28">
        <v>24868.599609375</v>
      </c>
      <c r="C1347" s="28">
        <v>426.75</v>
      </c>
      <c r="D1347" s="29">
        <f t="shared" ref="D1347:D1410" si="42">(C1347-C1346)/C1346</f>
        <v>-1.4040156661906885E-3</v>
      </c>
      <c r="E1347" s="29">
        <f t="shared" ref="E1347:E1410" si="43">(B1347-B1346)/B1346</f>
        <v>3.852930178235273E-3</v>
      </c>
    </row>
    <row r="1348" spans="1:5" ht="14.25" customHeight="1" x14ac:dyDescent="0.3">
      <c r="A1348" s="27">
        <v>45910</v>
      </c>
      <c r="B1348" s="28">
        <v>24973.099609375</v>
      </c>
      <c r="C1348" s="28">
        <v>422.25</v>
      </c>
      <c r="D1348" s="29">
        <f t="shared" si="42"/>
        <v>-1.054481546572935E-2</v>
      </c>
      <c r="E1348" s="29">
        <f t="shared" si="43"/>
        <v>4.20208623088714E-3</v>
      </c>
    </row>
    <row r="1349" spans="1:5" ht="14.25" customHeight="1" x14ac:dyDescent="0.3">
      <c r="A1349" s="27">
        <v>45911</v>
      </c>
      <c r="B1349" s="28">
        <v>25005.5</v>
      </c>
      <c r="C1349" s="28">
        <v>422.70001220703102</v>
      </c>
      <c r="D1349" s="29">
        <f t="shared" si="42"/>
        <v>1.0657482700557079E-3</v>
      </c>
      <c r="E1349" s="29">
        <f t="shared" si="43"/>
        <v>1.2974116602184522E-3</v>
      </c>
    </row>
    <row r="1350" spans="1:5" ht="14.25" customHeight="1" x14ac:dyDescent="0.3">
      <c r="A1350" s="27">
        <v>45912</v>
      </c>
      <c r="B1350" s="28">
        <v>25114</v>
      </c>
      <c r="C1350" s="28">
        <v>418.54998779296898</v>
      </c>
      <c r="D1350" s="29">
        <f t="shared" si="42"/>
        <v>-9.8178951838530735E-3</v>
      </c>
      <c r="E1350" s="29">
        <f t="shared" si="43"/>
        <v>4.3390454100097975E-3</v>
      </c>
    </row>
    <row r="1351" spans="1:5" ht="14.25" customHeight="1" x14ac:dyDescent="0.3">
      <c r="A1351" s="27">
        <v>45915</v>
      </c>
      <c r="B1351" s="28">
        <v>25069.19921875</v>
      </c>
      <c r="C1351" s="28">
        <v>415.64999389648398</v>
      </c>
      <c r="D1351" s="29">
        <f t="shared" si="42"/>
        <v>-6.928667975303943E-3</v>
      </c>
      <c r="E1351" s="29">
        <f t="shared" si="43"/>
        <v>-1.7838966811340288E-3</v>
      </c>
    </row>
    <row r="1352" spans="1:5" ht="14.25" customHeight="1" x14ac:dyDescent="0.3">
      <c r="A1352" s="27">
        <v>45916</v>
      </c>
      <c r="B1352" s="28">
        <v>25239.099609375</v>
      </c>
      <c r="C1352" s="28">
        <v>418.20001220703102</v>
      </c>
      <c r="D1352" s="29">
        <f t="shared" si="42"/>
        <v>6.135013468043302E-3</v>
      </c>
      <c r="E1352" s="29">
        <f t="shared" si="43"/>
        <v>6.7772563910987009E-3</v>
      </c>
    </row>
    <row r="1353" spans="1:5" ht="14.25" customHeight="1" x14ac:dyDescent="0.3">
      <c r="A1353" s="27">
        <v>45917</v>
      </c>
      <c r="B1353" s="28">
        <v>25330.25</v>
      </c>
      <c r="C1353" s="28">
        <v>418.79998779296898</v>
      </c>
      <c r="D1353" s="29">
        <f t="shared" si="42"/>
        <v>1.434661808763734E-3</v>
      </c>
      <c r="E1353" s="29">
        <f t="shared" si="43"/>
        <v>3.6114755294654973E-3</v>
      </c>
    </row>
    <row r="1354" spans="1:5" ht="14.25" customHeight="1" x14ac:dyDescent="0.3">
      <c r="A1354" s="27">
        <v>45918</v>
      </c>
      <c r="B1354" s="28">
        <v>25423.599609375</v>
      </c>
      <c r="C1354" s="28">
        <v>425.14999389648398</v>
      </c>
      <c r="D1354" s="29">
        <f t="shared" si="42"/>
        <v>1.5162383688163056E-2</v>
      </c>
      <c r="E1354" s="29">
        <f t="shared" si="43"/>
        <v>3.6853015416350018E-3</v>
      </c>
    </row>
    <row r="1355" spans="1:5" ht="14.25" customHeight="1" x14ac:dyDescent="0.3">
      <c r="A1355" s="27">
        <v>45919</v>
      </c>
      <c r="B1355" s="28">
        <v>25327.05078125</v>
      </c>
      <c r="C1355" s="28">
        <v>414.5</v>
      </c>
      <c r="D1355" s="29">
        <f t="shared" si="42"/>
        <v>-2.5049968362641093E-2</v>
      </c>
      <c r="E1355" s="29">
        <f t="shared" si="43"/>
        <v>-3.7976065391384403E-3</v>
      </c>
    </row>
    <row r="1356" spans="1:5" ht="14.25" customHeight="1" x14ac:dyDescent="0.3">
      <c r="A1356" s="27">
        <v>45922</v>
      </c>
      <c r="B1356" s="28">
        <v>25202.349609375</v>
      </c>
      <c r="C1356" s="28">
        <v>403.85000610351602</v>
      </c>
      <c r="D1356" s="29">
        <f t="shared" si="42"/>
        <v>-2.5693592030118159E-2</v>
      </c>
      <c r="E1356" s="29">
        <f t="shared" si="43"/>
        <v>-4.9236357186648108E-3</v>
      </c>
    </row>
    <row r="1357" spans="1:5" ht="14.25" customHeight="1" x14ac:dyDescent="0.3">
      <c r="A1357" s="27">
        <v>45923</v>
      </c>
      <c r="B1357" s="28">
        <v>25169.5</v>
      </c>
      <c r="C1357" s="28">
        <v>403.25</v>
      </c>
      <c r="D1357" s="29">
        <f t="shared" si="42"/>
        <v>-1.4857152270593939E-3</v>
      </c>
      <c r="E1357" s="29">
        <f t="shared" si="43"/>
        <v>-1.3034343973539794E-3</v>
      </c>
    </row>
    <row r="1358" spans="1:5" ht="14.25" customHeight="1" x14ac:dyDescent="0.3">
      <c r="A1358" s="27">
        <v>45924</v>
      </c>
      <c r="B1358" s="28">
        <v>25056.900390625</v>
      </c>
      <c r="C1358" s="28">
        <v>399.60000610351602</v>
      </c>
      <c r="D1358" s="29">
        <f t="shared" si="42"/>
        <v>-9.0514417767736562E-3</v>
      </c>
      <c r="E1358" s="29">
        <f t="shared" si="43"/>
        <v>-4.4736530076084149E-3</v>
      </c>
    </row>
    <row r="1359" spans="1:5" ht="14.25" customHeight="1" x14ac:dyDescent="0.3">
      <c r="A1359" s="27">
        <v>45925</v>
      </c>
      <c r="B1359" s="28">
        <v>24890.849609375</v>
      </c>
      <c r="C1359" s="28">
        <v>393.14999389648398</v>
      </c>
      <c r="D1359" s="29">
        <f t="shared" si="42"/>
        <v>-1.6141171442728097E-2</v>
      </c>
      <c r="E1359" s="29">
        <f t="shared" si="43"/>
        <v>-6.6269482123226878E-3</v>
      </c>
    </row>
    <row r="1360" spans="1:5" ht="14.25" customHeight="1" x14ac:dyDescent="0.3">
      <c r="A1360" s="27">
        <v>45926</v>
      </c>
      <c r="B1360" s="28">
        <v>24654.69921875</v>
      </c>
      <c r="C1360" s="28">
        <v>388.79998779296898</v>
      </c>
      <c r="D1360" s="29">
        <f t="shared" si="42"/>
        <v>-1.1064494902829255E-2</v>
      </c>
      <c r="E1360" s="29">
        <f t="shared" si="43"/>
        <v>-9.4874379272315099E-3</v>
      </c>
    </row>
    <row r="1361" spans="1:5" ht="14.25" customHeight="1" x14ac:dyDescent="0.3">
      <c r="A1361" s="27">
        <v>45929</v>
      </c>
      <c r="B1361" s="28">
        <v>24634.900390625</v>
      </c>
      <c r="C1361" s="28">
        <v>388.54998779296898</v>
      </c>
      <c r="D1361" s="29">
        <f t="shared" si="42"/>
        <v>-6.4300413541453557E-4</v>
      </c>
      <c r="E1361" s="29">
        <f t="shared" si="43"/>
        <v>-8.030448049409952E-4</v>
      </c>
    </row>
    <row r="1362" spans="1:5" ht="14.25" customHeight="1" x14ac:dyDescent="0.3">
      <c r="A1362" s="27">
        <v>45930</v>
      </c>
      <c r="B1362" s="28">
        <v>24611.099609375</v>
      </c>
      <c r="C1362" s="28">
        <v>390.75</v>
      </c>
      <c r="D1362" s="29">
        <f t="shared" si="42"/>
        <v>5.6621085475448652E-3</v>
      </c>
      <c r="E1362" s="29">
        <f t="shared" si="43"/>
        <v>-9.6614075448251335E-4</v>
      </c>
    </row>
    <row r="1363" spans="1:5" ht="14.25" customHeight="1" x14ac:dyDescent="0.3">
      <c r="A1363" s="27">
        <v>45931</v>
      </c>
      <c r="B1363" s="28">
        <v>24836.30078125</v>
      </c>
      <c r="C1363" s="28">
        <v>395.04998779296898</v>
      </c>
      <c r="D1363" s="29">
        <f t="shared" si="42"/>
        <v>1.1004447326855989E-2</v>
      </c>
      <c r="E1363" s="29">
        <f t="shared" si="43"/>
        <v>9.1503904924758045E-3</v>
      </c>
    </row>
    <row r="1364" spans="1:5" ht="14.25" customHeight="1" x14ac:dyDescent="0.3">
      <c r="A1364" s="27">
        <v>45933</v>
      </c>
      <c r="B1364" s="28">
        <v>24894.25</v>
      </c>
      <c r="C1364" s="28">
        <v>398.04998779296898</v>
      </c>
      <c r="D1364" s="29">
        <f t="shared" si="42"/>
        <v>7.5939756807996374E-3</v>
      </c>
      <c r="E1364" s="29">
        <f t="shared" si="43"/>
        <v>2.3332467769817144E-3</v>
      </c>
    </row>
    <row r="1365" spans="1:5" ht="14.25" customHeight="1" x14ac:dyDescent="0.3">
      <c r="A1365" s="27">
        <v>45936</v>
      </c>
      <c r="B1365" s="28">
        <v>25077.650390625</v>
      </c>
      <c r="C1365" s="28">
        <v>399.95001220703102</v>
      </c>
      <c r="D1365" s="29">
        <f t="shared" si="42"/>
        <v>4.7733311702807361E-3</v>
      </c>
      <c r="E1365" s="29">
        <f t="shared" si="43"/>
        <v>7.3671787912871446E-3</v>
      </c>
    </row>
    <row r="1366" spans="1:5" ht="14.25" customHeight="1" x14ac:dyDescent="0.3">
      <c r="A1366" s="27">
        <v>45937</v>
      </c>
      <c r="B1366" s="28">
        <v>25108.30078125</v>
      </c>
      <c r="C1366" s="28">
        <v>402.85000610351602</v>
      </c>
      <c r="D1366" s="29">
        <f t="shared" si="42"/>
        <v>7.2508908812930371E-3</v>
      </c>
      <c r="E1366" s="29">
        <f t="shared" si="43"/>
        <v>1.2222193924698109E-3</v>
      </c>
    </row>
    <row r="1367" spans="1:5" ht="14.25" customHeight="1" x14ac:dyDescent="0.3">
      <c r="A1367" s="27">
        <v>45938</v>
      </c>
      <c r="B1367" s="28">
        <v>25046.150390625</v>
      </c>
      <c r="C1367" s="28">
        <v>398.35000610351602</v>
      </c>
      <c r="D1367" s="29">
        <f t="shared" si="42"/>
        <v>-1.1170410653645822E-2</v>
      </c>
      <c r="E1367" s="29">
        <f t="shared" si="43"/>
        <v>-2.4752925801897249E-3</v>
      </c>
    </row>
    <row r="1368" spans="1:5" ht="14.25" customHeight="1" x14ac:dyDescent="0.3">
      <c r="A1368" s="27">
        <v>45939</v>
      </c>
      <c r="B1368" s="28">
        <v>25181.80078125</v>
      </c>
      <c r="C1368" s="28">
        <v>397.60000610351602</v>
      </c>
      <c r="D1368" s="29">
        <f t="shared" si="42"/>
        <v>-1.8827663825994859E-3</v>
      </c>
      <c r="E1368" s="29">
        <f t="shared" si="43"/>
        <v>5.4160175719369296E-3</v>
      </c>
    </row>
    <row r="1369" spans="1:5" ht="14.25" customHeight="1" x14ac:dyDescent="0.3">
      <c r="A1369" s="27">
        <v>45940</v>
      </c>
      <c r="B1369" s="28">
        <v>25285.349609375</v>
      </c>
      <c r="C1369" s="28">
        <v>400.64999389648398</v>
      </c>
      <c r="D1369" s="29">
        <f t="shared" si="42"/>
        <v>7.6709953373941429E-3</v>
      </c>
      <c r="E1369" s="29">
        <f t="shared" si="43"/>
        <v>4.1120501676790702E-3</v>
      </c>
    </row>
    <row r="1370" spans="1:5" ht="14.25" customHeight="1" x14ac:dyDescent="0.3">
      <c r="A1370" s="27">
        <v>45943</v>
      </c>
      <c r="B1370" s="28">
        <v>25227.349609375</v>
      </c>
      <c r="C1370" s="28">
        <v>398.5</v>
      </c>
      <c r="D1370" s="29">
        <f t="shared" si="42"/>
        <v>-5.3662646430476958E-3</v>
      </c>
      <c r="E1370" s="29">
        <f t="shared" si="43"/>
        <v>-2.2938183927065595E-3</v>
      </c>
    </row>
    <row r="1371" spans="1:5" ht="14.25" customHeight="1" x14ac:dyDescent="0.3">
      <c r="A1371" s="27">
        <v>45944</v>
      </c>
      <c r="B1371" s="28">
        <v>25145.5</v>
      </c>
      <c r="C1371" s="28">
        <v>393.14999389648398</v>
      </c>
      <c r="D1371" s="29">
        <f t="shared" si="42"/>
        <v>-1.3425360360140585E-2</v>
      </c>
      <c r="E1371" s="29">
        <f t="shared" si="43"/>
        <v>-3.2444791324643557E-3</v>
      </c>
    </row>
    <row r="1372" spans="1:5" ht="14.25" customHeight="1" x14ac:dyDescent="0.3">
      <c r="A1372" s="27">
        <v>45945</v>
      </c>
      <c r="B1372" s="28">
        <v>25323.55078125</v>
      </c>
      <c r="C1372" s="28">
        <v>390.60000610351602</v>
      </c>
      <c r="D1372" s="29">
        <f t="shared" si="42"/>
        <v>-6.486043068944734E-3</v>
      </c>
      <c r="E1372" s="29">
        <f t="shared" si="43"/>
        <v>7.0808208725219226E-3</v>
      </c>
    </row>
    <row r="1373" spans="1:5" ht="14.25" customHeight="1" x14ac:dyDescent="0.3">
      <c r="A1373" s="27">
        <v>45946</v>
      </c>
      <c r="B1373" s="28">
        <v>25585.30078125</v>
      </c>
      <c r="C1373" s="28">
        <v>397.85000610351602</v>
      </c>
      <c r="D1373" s="29">
        <f t="shared" si="42"/>
        <v>1.8561187625989489E-2</v>
      </c>
      <c r="E1373" s="29">
        <f t="shared" si="43"/>
        <v>1.0336228211479895E-2</v>
      </c>
    </row>
    <row r="1374" spans="1:5" ht="14.25" customHeight="1" x14ac:dyDescent="0.3">
      <c r="A1374" s="27">
        <v>45947</v>
      </c>
      <c r="B1374" s="28">
        <v>25709.849609375</v>
      </c>
      <c r="C1374" s="28">
        <v>400.95001220703102</v>
      </c>
      <c r="D1374" s="29">
        <f t="shared" si="42"/>
        <v>7.7918965840317557E-3</v>
      </c>
      <c r="E1374" s="29">
        <f t="shared" si="43"/>
        <v>4.8679837376105692E-3</v>
      </c>
    </row>
    <row r="1375" spans="1:5" ht="14.25" customHeight="1" x14ac:dyDescent="0.3">
      <c r="A1375" s="27">
        <v>45950</v>
      </c>
      <c r="B1375" s="28">
        <v>25843.150390625</v>
      </c>
      <c r="C1375" s="28">
        <v>398.85000610351602</v>
      </c>
      <c r="D1375" s="29">
        <f t="shared" si="42"/>
        <v>-5.2375758562906811E-3</v>
      </c>
      <c r="E1375" s="29">
        <f t="shared" si="43"/>
        <v>5.1848137299641134E-3</v>
      </c>
    </row>
    <row r="1376" spans="1:5" ht="14.25" customHeight="1" x14ac:dyDescent="0.3">
      <c r="A1376" s="27">
        <v>45951</v>
      </c>
      <c r="B1376" s="28">
        <v>25868.599609375</v>
      </c>
      <c r="C1376" s="28">
        <v>399.35000610351602</v>
      </c>
      <c r="D1376" s="29">
        <f t="shared" si="42"/>
        <v>1.2536040926378522E-3</v>
      </c>
      <c r="E1376" s="29">
        <f t="shared" si="43"/>
        <v>9.8475682590277742E-4</v>
      </c>
    </row>
    <row r="1377" spans="1:5" ht="14.25" customHeight="1" x14ac:dyDescent="0.3">
      <c r="A1377" s="27">
        <v>45953</v>
      </c>
      <c r="B1377" s="28">
        <v>25891.400390625</v>
      </c>
      <c r="C1377" s="28">
        <v>392.14999389648398</v>
      </c>
      <c r="D1377" s="29">
        <f t="shared" si="42"/>
        <v>-1.8029327900312392E-2</v>
      </c>
      <c r="E1377" s="29">
        <f t="shared" si="43"/>
        <v>8.8140763683770514E-4</v>
      </c>
    </row>
    <row r="1378" spans="1:5" ht="14.25" customHeight="1" x14ac:dyDescent="0.3">
      <c r="A1378" s="27">
        <v>45954</v>
      </c>
      <c r="B1378" s="28">
        <v>25795.150390625</v>
      </c>
      <c r="C1378" s="28">
        <v>388.70001220703102</v>
      </c>
      <c r="D1378" s="29">
        <f t="shared" si="42"/>
        <v>-8.7976074031602507E-3</v>
      </c>
      <c r="E1378" s="29">
        <f t="shared" si="43"/>
        <v>-3.7174505259611641E-3</v>
      </c>
    </row>
    <row r="1379" spans="1:5" ht="14.25" customHeight="1" x14ac:dyDescent="0.3">
      <c r="A1379" s="27">
        <v>45957</v>
      </c>
      <c r="B1379" s="28">
        <v>25966.05078125</v>
      </c>
      <c r="C1379" s="28">
        <v>379.95001220703102</v>
      </c>
      <c r="D1379" s="29">
        <f t="shared" si="42"/>
        <v>-2.2510933175220838E-2</v>
      </c>
      <c r="E1379" s="29">
        <f t="shared" si="43"/>
        <v>6.6252915000298701E-3</v>
      </c>
    </row>
    <row r="1380" spans="1:5" ht="14.25" customHeight="1" x14ac:dyDescent="0.3">
      <c r="A1380" s="27">
        <v>45958</v>
      </c>
      <c r="B1380" s="28">
        <v>25936.19921875</v>
      </c>
      <c r="C1380" s="28">
        <v>380.70001220703102</v>
      </c>
      <c r="D1380" s="29">
        <f t="shared" si="42"/>
        <v>1.9739438765732486E-3</v>
      </c>
      <c r="E1380" s="29">
        <f t="shared" si="43"/>
        <v>-1.1496381468049702E-3</v>
      </c>
    </row>
    <row r="1381" spans="1:5" ht="14.25" customHeight="1" x14ac:dyDescent="0.3">
      <c r="A1381" s="27">
        <v>45959</v>
      </c>
      <c r="B1381" s="28">
        <v>26053.900390625</v>
      </c>
      <c r="C1381" s="28">
        <v>384.60000610351602</v>
      </c>
      <c r="D1381" s="29">
        <f t="shared" si="42"/>
        <v>1.0244270479203763E-2</v>
      </c>
      <c r="E1381" s="29">
        <f t="shared" si="43"/>
        <v>4.5381040946782421E-3</v>
      </c>
    </row>
    <row r="1382" spans="1:5" ht="14.25" customHeight="1" x14ac:dyDescent="0.3">
      <c r="A1382" s="27">
        <v>45960</v>
      </c>
      <c r="B1382" s="28">
        <v>25877.849609375</v>
      </c>
      <c r="C1382" s="28">
        <v>383.04998779296898</v>
      </c>
      <c r="D1382" s="29">
        <f t="shared" si="42"/>
        <v>-4.0302087518164376E-3</v>
      </c>
      <c r="E1382" s="29">
        <f t="shared" si="43"/>
        <v>-6.7571756478100502E-3</v>
      </c>
    </row>
    <row r="1383" spans="1:5" ht="14.25" customHeight="1" x14ac:dyDescent="0.3">
      <c r="A1383" s="27">
        <v>45961</v>
      </c>
      <c r="B1383" s="28">
        <v>25722.099609375</v>
      </c>
      <c r="C1383" s="28">
        <v>381.89999389648398</v>
      </c>
      <c r="D1383" s="29">
        <f t="shared" si="42"/>
        <v>-3.0022031931418555E-3</v>
      </c>
      <c r="E1383" s="29">
        <f t="shared" si="43"/>
        <v>-6.0186608373972101E-3</v>
      </c>
    </row>
    <row r="1384" spans="1:5" ht="14.25" customHeight="1" x14ac:dyDescent="0.3">
      <c r="A1384" s="27">
        <v>45964</v>
      </c>
      <c r="B1384" s="28">
        <v>25763.349609375</v>
      </c>
      <c r="C1384" s="28">
        <v>383.29998779296898</v>
      </c>
      <c r="D1384" s="29">
        <f t="shared" si="42"/>
        <v>3.6658651973282726E-3</v>
      </c>
      <c r="E1384" s="29">
        <f t="shared" si="43"/>
        <v>1.6036793506920993E-3</v>
      </c>
    </row>
    <row r="1385" spans="1:5" ht="14.25" customHeight="1" x14ac:dyDescent="0.3">
      <c r="A1385" s="27">
        <v>45965</v>
      </c>
      <c r="B1385" s="28">
        <v>25597.650390625</v>
      </c>
      <c r="C1385" s="28">
        <v>379.70001220703102</v>
      </c>
      <c r="D1385" s="29">
        <f t="shared" si="42"/>
        <v>-9.3920576587192637E-3</v>
      </c>
      <c r="E1385" s="29">
        <f t="shared" si="43"/>
        <v>-6.4315867797603409E-3</v>
      </c>
    </row>
    <row r="1386" spans="1:5" ht="14.25" customHeight="1" x14ac:dyDescent="0.3">
      <c r="A1386" s="27">
        <v>45967</v>
      </c>
      <c r="B1386" s="28">
        <v>25509.69921875</v>
      </c>
      <c r="C1386" s="28">
        <v>379.85000610351602</v>
      </c>
      <c r="D1386" s="29">
        <f t="shared" si="42"/>
        <v>3.9503263540380468E-4</v>
      </c>
      <c r="E1386" s="29">
        <f t="shared" si="43"/>
        <v>-3.4359080045569977E-3</v>
      </c>
    </row>
    <row r="1387" spans="1:5" ht="14.25" customHeight="1" x14ac:dyDescent="0.3">
      <c r="A1387" s="27">
        <v>45968</v>
      </c>
      <c r="B1387" s="28">
        <v>25492.30078125</v>
      </c>
      <c r="C1387" s="28">
        <v>377.35000610351602</v>
      </c>
      <c r="D1387" s="29">
        <f t="shared" si="42"/>
        <v>-6.5815452410936766E-3</v>
      </c>
      <c r="E1387" s="29">
        <f t="shared" si="43"/>
        <v>-6.8203224784445498E-4</v>
      </c>
    </row>
    <row r="1388" spans="1:5" ht="14.25" customHeight="1" x14ac:dyDescent="0.3">
      <c r="A1388" s="27">
        <v>45971</v>
      </c>
      <c r="B1388" s="28">
        <v>25574.349609375</v>
      </c>
      <c r="C1388" s="28">
        <v>379.10000610351602</v>
      </c>
      <c r="D1388" s="29">
        <f t="shared" si="42"/>
        <v>4.6376042710860156E-3</v>
      </c>
      <c r="E1388" s="29">
        <f t="shared" si="43"/>
        <v>3.2185728871263058E-3</v>
      </c>
    </row>
    <row r="1389" spans="1:5" ht="14.25" customHeight="1" x14ac:dyDescent="0.3">
      <c r="A1389" s="27">
        <v>45972</v>
      </c>
      <c r="B1389" s="28">
        <v>25694.94921875</v>
      </c>
      <c r="C1389" s="28">
        <v>377</v>
      </c>
      <c r="D1389" s="29">
        <f t="shared" si="42"/>
        <v>-5.5394515159743916E-3</v>
      </c>
      <c r="E1389" s="29">
        <f t="shared" si="43"/>
        <v>4.7156471705849679E-3</v>
      </c>
    </row>
    <row r="1390" spans="1:5" ht="14.25" customHeight="1" x14ac:dyDescent="0.3">
      <c r="A1390" s="27">
        <v>45973</v>
      </c>
      <c r="B1390" s="28">
        <v>25875.80078125</v>
      </c>
      <c r="C1390" s="28">
        <v>380.39999389648398</v>
      </c>
      <c r="D1390" s="29">
        <f t="shared" si="42"/>
        <v>9.0185514495596201E-3</v>
      </c>
      <c r="E1390" s="29">
        <f t="shared" si="43"/>
        <v>7.0384090258497119E-3</v>
      </c>
    </row>
    <row r="1391" spans="1:5" ht="14.25" customHeight="1" x14ac:dyDescent="0.3">
      <c r="A1391" s="27">
        <v>45974</v>
      </c>
      <c r="B1391" s="28">
        <v>25879.150390625</v>
      </c>
      <c r="C1391" s="28">
        <v>379.70001220703102</v>
      </c>
      <c r="D1391" s="29">
        <f t="shared" si="42"/>
        <v>-1.840120138496733E-3</v>
      </c>
      <c r="E1391" s="29">
        <f t="shared" si="43"/>
        <v>1.2944949620369539E-4</v>
      </c>
    </row>
    <row r="1392" spans="1:5" ht="14.25" customHeight="1" x14ac:dyDescent="0.3">
      <c r="A1392" s="27">
        <v>45975</v>
      </c>
      <c r="B1392" s="28">
        <v>25910.05078125</v>
      </c>
      <c r="C1392" s="28">
        <v>381</v>
      </c>
      <c r="D1392" s="29">
        <f t="shared" si="42"/>
        <v>3.423723337307033E-3</v>
      </c>
      <c r="E1392" s="29">
        <f t="shared" si="43"/>
        <v>1.1940264714483827E-3</v>
      </c>
    </row>
    <row r="1393" spans="1:5" ht="14.25" customHeight="1" x14ac:dyDescent="0.3">
      <c r="A1393" s="27">
        <v>45978</v>
      </c>
      <c r="B1393" s="28">
        <v>26013.44921875</v>
      </c>
      <c r="C1393" s="28">
        <v>382.70001220703102</v>
      </c>
      <c r="D1393" s="29">
        <f t="shared" si="42"/>
        <v>4.461974296669351E-3</v>
      </c>
      <c r="E1393" s="29">
        <f t="shared" si="43"/>
        <v>3.9906690408659891E-3</v>
      </c>
    </row>
    <row r="1394" spans="1:5" ht="14.25" customHeight="1" x14ac:dyDescent="0.3">
      <c r="A1394" s="27">
        <v>45979</v>
      </c>
      <c r="B1394" s="28">
        <v>25910.05078125</v>
      </c>
      <c r="C1394" s="28">
        <v>381.5</v>
      </c>
      <c r="D1394" s="29">
        <f t="shared" si="42"/>
        <v>-3.1356471616255043E-3</v>
      </c>
      <c r="E1394" s="29">
        <f t="shared" si="43"/>
        <v>-3.974806902018682E-3</v>
      </c>
    </row>
    <row r="1395" spans="1:5" ht="14.25" customHeight="1" x14ac:dyDescent="0.3">
      <c r="A1395" s="27">
        <v>45980</v>
      </c>
      <c r="B1395" s="28">
        <v>26052.650390625</v>
      </c>
      <c r="C1395" s="28">
        <v>380.89999389648398</v>
      </c>
      <c r="D1395" s="29">
        <f t="shared" si="42"/>
        <v>-1.5727551861494703E-3</v>
      </c>
      <c r="E1395" s="29">
        <f t="shared" si="43"/>
        <v>5.503640675154263E-3</v>
      </c>
    </row>
    <row r="1396" spans="1:5" ht="14.25" customHeight="1" x14ac:dyDescent="0.3">
      <c r="A1396" s="27">
        <v>45981</v>
      </c>
      <c r="B1396" s="28">
        <v>26192.150390625</v>
      </c>
      <c r="C1396" s="28">
        <v>380.79998779296898</v>
      </c>
      <c r="D1396" s="29">
        <f t="shared" si="42"/>
        <v>-2.6255212685085544E-4</v>
      </c>
      <c r="E1396" s="29">
        <f t="shared" si="43"/>
        <v>5.3545415882216276E-3</v>
      </c>
    </row>
    <row r="1397" spans="1:5" ht="14.25" customHeight="1" x14ac:dyDescent="0.3">
      <c r="A1397" s="27">
        <v>45982</v>
      </c>
      <c r="B1397" s="28">
        <v>26068.150390625</v>
      </c>
      <c r="C1397" s="28">
        <v>375.35000610351602</v>
      </c>
      <c r="D1397" s="29">
        <f t="shared" si="42"/>
        <v>-1.4311927164283334E-2</v>
      </c>
      <c r="E1397" s="29">
        <f t="shared" si="43"/>
        <v>-4.7342428227803521E-3</v>
      </c>
    </row>
    <row r="1398" spans="1:5" ht="14.25" customHeight="1" x14ac:dyDescent="0.3">
      <c r="A1398" s="27">
        <v>45985</v>
      </c>
      <c r="B1398" s="28">
        <v>25959.5</v>
      </c>
      <c r="C1398" s="28">
        <v>363.45001220703102</v>
      </c>
      <c r="D1398" s="29">
        <f t="shared" si="42"/>
        <v>-3.170372639664526E-2</v>
      </c>
      <c r="E1398" s="29">
        <f t="shared" si="43"/>
        <v>-4.167936312968119E-3</v>
      </c>
    </row>
    <row r="1399" spans="1:5" ht="14.25" customHeight="1" x14ac:dyDescent="0.3">
      <c r="A1399" s="27">
        <v>45986</v>
      </c>
      <c r="B1399" s="28">
        <v>25884.80078125</v>
      </c>
      <c r="C1399" s="28">
        <v>361.85000610351602</v>
      </c>
      <c r="D1399" s="29">
        <f t="shared" si="42"/>
        <v>-4.4022728016957467E-3</v>
      </c>
      <c r="E1399" s="29">
        <f t="shared" si="43"/>
        <v>-2.8775291800689534E-3</v>
      </c>
    </row>
    <row r="1400" spans="1:5" ht="14.25" customHeight="1" x14ac:dyDescent="0.3">
      <c r="A1400" s="27">
        <v>45987</v>
      </c>
      <c r="B1400" s="28">
        <v>26205.30078125</v>
      </c>
      <c r="C1400" s="28">
        <v>365.14999389648398</v>
      </c>
      <c r="D1400" s="29">
        <f t="shared" si="42"/>
        <v>9.1197671336335755E-3</v>
      </c>
      <c r="E1400" s="29">
        <f t="shared" si="43"/>
        <v>1.2381783530362669E-2</v>
      </c>
    </row>
    <row r="1401" spans="1:5" ht="14.25" customHeight="1" x14ac:dyDescent="0.3">
      <c r="A1401" s="27">
        <v>45988</v>
      </c>
      <c r="B1401" s="28">
        <v>26215.55078125</v>
      </c>
      <c r="C1401" s="28">
        <v>368.35000610351602</v>
      </c>
      <c r="D1401" s="29">
        <f t="shared" si="42"/>
        <v>8.7635554170082067E-3</v>
      </c>
      <c r="E1401" s="29">
        <f t="shared" si="43"/>
        <v>3.9114223818922608E-4</v>
      </c>
    </row>
    <row r="1402" spans="1:5" ht="14.25" customHeight="1" x14ac:dyDescent="0.3">
      <c r="A1402" s="27">
        <v>45989</v>
      </c>
      <c r="B1402" s="28">
        <v>26202.94921875</v>
      </c>
      <c r="C1402" s="28">
        <v>374.79998779296898</v>
      </c>
      <c r="D1402" s="29">
        <f t="shared" si="42"/>
        <v>1.7510469886188464E-2</v>
      </c>
      <c r="E1402" s="29">
        <f t="shared" si="43"/>
        <v>-4.8069035837358583E-4</v>
      </c>
    </row>
    <row r="1403" spans="1:5" ht="14.25" customHeight="1" x14ac:dyDescent="0.3">
      <c r="A1403" s="27">
        <v>45992</v>
      </c>
      <c r="B1403" s="28">
        <v>26175.75</v>
      </c>
      <c r="C1403" s="28">
        <v>380.14999389648398</v>
      </c>
      <c r="D1403" s="29">
        <f t="shared" si="42"/>
        <v>1.4274296365426303E-2</v>
      </c>
      <c r="E1403" s="29">
        <f t="shared" si="43"/>
        <v>-1.0380212747402153E-3</v>
      </c>
    </row>
    <row r="1404" spans="1:5" ht="14.25" customHeight="1" x14ac:dyDescent="0.3">
      <c r="A1404" s="27">
        <v>45993</v>
      </c>
      <c r="B1404" s="28">
        <v>26032.19921875</v>
      </c>
      <c r="C1404" s="28">
        <v>378.45001220703102</v>
      </c>
      <c r="D1404" s="29">
        <f t="shared" si="42"/>
        <v>-4.4718708845116143E-3</v>
      </c>
      <c r="E1404" s="29">
        <f t="shared" si="43"/>
        <v>-5.4841133969418263E-3</v>
      </c>
    </row>
    <row r="1405" spans="1:5" ht="14.25" customHeight="1" x14ac:dyDescent="0.3">
      <c r="A1405" s="27">
        <v>45994</v>
      </c>
      <c r="B1405" s="28">
        <v>25986</v>
      </c>
      <c r="C1405" s="28">
        <v>372.64999389648398</v>
      </c>
      <c r="D1405" s="29">
        <f t="shared" si="42"/>
        <v>-1.5325718386749969E-2</v>
      </c>
      <c r="E1405" s="29">
        <f t="shared" si="43"/>
        <v>-1.7746951904364832E-3</v>
      </c>
    </row>
    <row r="1406" spans="1:5" ht="14.25" customHeight="1" x14ac:dyDescent="0.3">
      <c r="A1406" s="27">
        <v>45995</v>
      </c>
      <c r="B1406" s="28">
        <v>26033.75</v>
      </c>
      <c r="C1406" s="28">
        <v>380.35000610351602</v>
      </c>
      <c r="D1406" s="29">
        <f t="shared" si="42"/>
        <v>2.0662853436597621E-2</v>
      </c>
      <c r="E1406" s="29">
        <f t="shared" si="43"/>
        <v>1.8375278996382667E-3</v>
      </c>
    </row>
    <row r="1407" spans="1:5" ht="14.25" customHeight="1" x14ac:dyDescent="0.3">
      <c r="A1407" s="27">
        <v>45996</v>
      </c>
      <c r="B1407" s="28">
        <v>26186.44921875</v>
      </c>
      <c r="C1407" s="28">
        <v>380.14999389648398</v>
      </c>
      <c r="D1407" s="29">
        <f t="shared" si="42"/>
        <v>-5.2586355678303971E-4</v>
      </c>
      <c r="E1407" s="29">
        <f t="shared" si="43"/>
        <v>5.8654330916598644E-3</v>
      </c>
    </row>
    <row r="1408" spans="1:5" ht="14.25" customHeight="1" x14ac:dyDescent="0.3">
      <c r="A1408" s="27">
        <v>45999</v>
      </c>
      <c r="B1408" s="28">
        <v>25960.55078125</v>
      </c>
      <c r="C1408" s="28">
        <v>373.25</v>
      </c>
      <c r="D1408" s="29">
        <f t="shared" si="42"/>
        <v>-1.8150714210882945E-2</v>
      </c>
      <c r="E1408" s="29">
        <f t="shared" si="43"/>
        <v>-8.6265394598918129E-3</v>
      </c>
    </row>
    <row r="1409" spans="1:5" ht="14.25" customHeight="1" x14ac:dyDescent="0.3">
      <c r="A1409" s="27">
        <v>46000</v>
      </c>
      <c r="B1409" s="28">
        <v>25839.650390625</v>
      </c>
      <c r="C1409" s="28">
        <v>373.39999389648398</v>
      </c>
      <c r="D1409" s="29">
        <f t="shared" si="42"/>
        <v>4.01859066266516E-4</v>
      </c>
      <c r="E1409" s="29">
        <f t="shared" si="43"/>
        <v>-4.6570811090926572E-3</v>
      </c>
    </row>
    <row r="1410" spans="1:5" ht="14.25" customHeight="1" x14ac:dyDescent="0.3">
      <c r="A1410" s="27">
        <v>46001</v>
      </c>
      <c r="B1410" s="28">
        <v>25758</v>
      </c>
      <c r="C1410" s="28">
        <v>370.39999389648398</v>
      </c>
      <c r="D1410" s="29">
        <f t="shared" si="42"/>
        <v>-8.0342797242564414E-3</v>
      </c>
      <c r="E1410" s="29">
        <f t="shared" si="43"/>
        <v>-3.159887590995579E-3</v>
      </c>
    </row>
    <row r="1411" spans="1:5" ht="14.25" customHeight="1" x14ac:dyDescent="0.3">
      <c r="A1411" s="27">
        <v>46002</v>
      </c>
      <c r="B1411" s="28">
        <v>25898.55078125</v>
      </c>
      <c r="C1411" s="28">
        <v>374.60000610351602</v>
      </c>
      <c r="D1411" s="29">
        <f t="shared" ref="D1411:D1474" si="44">(C1411-C1410)/C1410</f>
        <v>1.1339126015768313E-2</v>
      </c>
      <c r="E1411" s="29">
        <f t="shared" ref="E1411:E1474" si="45">(B1411-B1410)/B1410</f>
        <v>5.4565875164997281E-3</v>
      </c>
    </row>
    <row r="1412" spans="1:5" ht="14.25" customHeight="1" x14ac:dyDescent="0.3">
      <c r="A1412" s="27">
        <v>46003</v>
      </c>
      <c r="B1412" s="28">
        <v>26046.94921875</v>
      </c>
      <c r="C1412" s="28">
        <v>373.75</v>
      </c>
      <c r="D1412" s="29">
        <f t="shared" si="44"/>
        <v>-2.2691032826121587E-3</v>
      </c>
      <c r="E1412" s="29">
        <f t="shared" si="45"/>
        <v>5.7299900196514974E-3</v>
      </c>
    </row>
    <row r="1413" spans="1:5" ht="14.25" customHeight="1" x14ac:dyDescent="0.3">
      <c r="A1413" s="27">
        <v>46006</v>
      </c>
      <c r="B1413" s="28">
        <v>26027.30078125</v>
      </c>
      <c r="C1413" s="28">
        <v>372.45001220703102</v>
      </c>
      <c r="D1413" s="29">
        <f t="shared" si="44"/>
        <v>-3.4782282086126483E-3</v>
      </c>
      <c r="E1413" s="29">
        <f t="shared" si="45"/>
        <v>-7.5434698071496196E-4</v>
      </c>
    </row>
    <row r="1414" spans="1:5" ht="14.25" customHeight="1" x14ac:dyDescent="0.3">
      <c r="A1414" s="27">
        <v>46007</v>
      </c>
      <c r="B1414" s="28">
        <v>25860.099609375</v>
      </c>
      <c r="C1414" s="28">
        <v>366.25</v>
      </c>
      <c r="D1414" s="29">
        <f t="shared" si="44"/>
        <v>-1.6646561964897097E-2</v>
      </c>
      <c r="E1414" s="29">
        <f t="shared" si="45"/>
        <v>-6.4240688375742476E-3</v>
      </c>
    </row>
    <row r="1415" spans="1:5" ht="14.25" customHeight="1" x14ac:dyDescent="0.3">
      <c r="A1415" s="27">
        <v>46008</v>
      </c>
      <c r="B1415" s="28">
        <v>25818.55078125</v>
      </c>
      <c r="C1415" s="28">
        <v>363.79998779296898</v>
      </c>
      <c r="D1415" s="29">
        <f t="shared" si="44"/>
        <v>-6.6894531249993795E-3</v>
      </c>
      <c r="E1415" s="29">
        <f t="shared" si="45"/>
        <v>-1.6066770334456639E-3</v>
      </c>
    </row>
    <row r="1416" spans="1:5" ht="14.25" customHeight="1" x14ac:dyDescent="0.3">
      <c r="A1416" s="27">
        <v>46009</v>
      </c>
      <c r="B1416" s="28">
        <v>25815.55078125</v>
      </c>
      <c r="C1416" s="28">
        <v>359.04998779296898</v>
      </c>
      <c r="D1416" s="29">
        <f t="shared" si="44"/>
        <v>-1.3056624957071539E-2</v>
      </c>
      <c r="E1416" s="29">
        <f t="shared" si="45"/>
        <v>-1.1619552256893776E-4</v>
      </c>
    </row>
    <row r="1417" spans="1:5" ht="14.25" customHeight="1" x14ac:dyDescent="0.3">
      <c r="A1417" s="27">
        <v>46010</v>
      </c>
      <c r="B1417" s="28">
        <v>25966.400390625</v>
      </c>
      <c r="C1417" s="28">
        <v>363.25</v>
      </c>
      <c r="D1417" s="29">
        <f t="shared" si="44"/>
        <v>1.1697569558066055E-2</v>
      </c>
      <c r="E1417" s="29">
        <f t="shared" si="45"/>
        <v>5.8433620360547577E-3</v>
      </c>
    </row>
    <row r="1418" spans="1:5" ht="14.25" customHeight="1" x14ac:dyDescent="0.3">
      <c r="A1418" s="27">
        <v>46013</v>
      </c>
      <c r="B1418" s="28">
        <v>26172.400390625</v>
      </c>
      <c r="C1418" s="28">
        <v>366.25</v>
      </c>
      <c r="D1418" s="29">
        <f t="shared" si="44"/>
        <v>8.2587749483826571E-3</v>
      </c>
      <c r="E1418" s="29">
        <f t="shared" si="45"/>
        <v>7.9333291061157232E-3</v>
      </c>
    </row>
    <row r="1419" spans="1:5" ht="14.25" customHeight="1" x14ac:dyDescent="0.3">
      <c r="A1419" s="27">
        <v>46014</v>
      </c>
      <c r="B1419" s="28">
        <v>26177.150390625</v>
      </c>
      <c r="C1419" s="28">
        <v>370.04998779296898</v>
      </c>
      <c r="D1419" s="29">
        <f t="shared" si="44"/>
        <v>1.0375393291382873E-2</v>
      </c>
      <c r="E1419" s="29">
        <f t="shared" si="45"/>
        <v>1.814888939916057E-4</v>
      </c>
    </row>
    <row r="1420" spans="1:5" ht="14.25" customHeight="1" x14ac:dyDescent="0.3">
      <c r="A1420" s="27">
        <v>46015</v>
      </c>
      <c r="B1420" s="28">
        <v>26142.099609375</v>
      </c>
      <c r="C1420" s="28">
        <v>367.14999389648398</v>
      </c>
      <c r="D1420" s="29">
        <f t="shared" si="44"/>
        <v>-7.8367625784315741E-3</v>
      </c>
      <c r="E1420" s="29">
        <f t="shared" si="45"/>
        <v>-1.3389838361685454E-3</v>
      </c>
    </row>
    <row r="1421" spans="1:5" ht="14.25" customHeight="1" x14ac:dyDescent="0.3">
      <c r="A1421" s="27">
        <v>46017</v>
      </c>
      <c r="B1421" s="28">
        <v>26042.30078125</v>
      </c>
      <c r="C1421" s="28">
        <v>365.14999389648398</v>
      </c>
      <c r="D1421" s="29">
        <f t="shared" si="44"/>
        <v>-5.4473649278171839E-3</v>
      </c>
      <c r="E1421" s="29">
        <f t="shared" si="45"/>
        <v>-3.8175521330050493E-3</v>
      </c>
    </row>
    <row r="1422" spans="1:5" ht="14.25" customHeight="1" x14ac:dyDescent="0.3">
      <c r="A1422" s="27">
        <v>46020</v>
      </c>
      <c r="B1422" s="28">
        <v>25942.099609375</v>
      </c>
      <c r="C1422" s="28">
        <v>361.89999389648398</v>
      </c>
      <c r="D1422" s="29">
        <f t="shared" si="44"/>
        <v>-8.900452017866772E-3</v>
      </c>
      <c r="E1422" s="29">
        <f t="shared" si="45"/>
        <v>-3.8476313101775974E-3</v>
      </c>
    </row>
    <row r="1423" spans="1:5" ht="14.25" customHeight="1" x14ac:dyDescent="0.3">
      <c r="A1423" s="27">
        <v>46021</v>
      </c>
      <c r="B1423" s="28">
        <v>25938.849609375</v>
      </c>
      <c r="C1423" s="28">
        <v>357.85000610351602</v>
      </c>
      <c r="D1423" s="29">
        <f t="shared" si="44"/>
        <v>-1.1190903181187652E-2</v>
      </c>
      <c r="E1423" s="29">
        <f t="shared" si="45"/>
        <v>-1.2527898855285829E-4</v>
      </c>
    </row>
    <row r="1424" spans="1:5" ht="14.25" customHeight="1" x14ac:dyDescent="0.3">
      <c r="A1424" s="27">
        <v>46022</v>
      </c>
      <c r="B1424" s="28">
        <v>26129.599609375</v>
      </c>
      <c r="C1424" s="28">
        <v>362.20001220703102</v>
      </c>
      <c r="D1424" s="29">
        <f t="shared" si="44"/>
        <v>1.2155948104851128E-2</v>
      </c>
      <c r="E1424" s="29">
        <f t="shared" si="45"/>
        <v>7.353834224439075E-3</v>
      </c>
    </row>
    <row r="1425" spans="1:5" ht="14.25" customHeight="1" x14ac:dyDescent="0.3">
      <c r="A1425" s="27">
        <v>46023</v>
      </c>
      <c r="B1425" s="28">
        <v>26146.55078125</v>
      </c>
      <c r="C1425" s="28">
        <v>363.25</v>
      </c>
      <c r="D1425" s="29">
        <f t="shared" si="44"/>
        <v>2.8989170557200635E-3</v>
      </c>
      <c r="E1425" s="29">
        <f t="shared" si="45"/>
        <v>6.4873446698043217E-4</v>
      </c>
    </row>
    <row r="1426" spans="1:5" ht="14.25" customHeight="1" x14ac:dyDescent="0.3">
      <c r="A1426" s="27">
        <v>46024</v>
      </c>
      <c r="B1426" s="28">
        <v>26328.55078125</v>
      </c>
      <c r="C1426" s="28">
        <v>367.70001220703102</v>
      </c>
      <c r="D1426" s="29">
        <f t="shared" si="44"/>
        <v>1.2250549778474942E-2</v>
      </c>
      <c r="E1426" s="29">
        <f t="shared" si="45"/>
        <v>6.9607651702386052E-3</v>
      </c>
    </row>
    <row r="1427" spans="1:5" ht="14.25" customHeight="1" x14ac:dyDescent="0.3">
      <c r="A1427" s="27">
        <v>46027</v>
      </c>
      <c r="B1427" s="28">
        <v>26250.30078125</v>
      </c>
      <c r="C1427" s="28">
        <v>367.29998779296898</v>
      </c>
      <c r="D1427" s="29">
        <f t="shared" si="44"/>
        <v>-1.0879097111283591E-3</v>
      </c>
      <c r="E1427" s="29">
        <f t="shared" si="45"/>
        <v>-2.9720587604740519E-3</v>
      </c>
    </row>
    <row r="1428" spans="1:5" ht="14.25" customHeight="1" x14ac:dyDescent="0.3">
      <c r="A1428" s="27">
        <v>46028</v>
      </c>
      <c r="B1428" s="28">
        <v>26178.69921875</v>
      </c>
      <c r="C1428" s="28">
        <v>363.79998779296898</v>
      </c>
      <c r="D1428" s="29">
        <f t="shared" si="44"/>
        <v>-9.528995688322205E-3</v>
      </c>
      <c r="E1428" s="29">
        <f t="shared" si="45"/>
        <v>-2.7276473171363958E-3</v>
      </c>
    </row>
    <row r="1429" spans="1:5" ht="14.25" customHeight="1" x14ac:dyDescent="0.3">
      <c r="A1429" s="27">
        <v>46029</v>
      </c>
      <c r="B1429" s="28">
        <v>26140.75</v>
      </c>
      <c r="C1429" s="28">
        <v>359.39999389648398</v>
      </c>
      <c r="D1429" s="29">
        <f t="shared" si="44"/>
        <v>-1.2094541077854421E-2</v>
      </c>
      <c r="E1429" s="29">
        <f t="shared" si="45"/>
        <v>-1.4496220164682432E-3</v>
      </c>
    </row>
    <row r="1430" spans="1:5" ht="14.25" customHeight="1" x14ac:dyDescent="0.3">
      <c r="A1430" s="27">
        <v>46030</v>
      </c>
      <c r="B1430" s="28">
        <v>25876.849609375</v>
      </c>
      <c r="C1430" s="28">
        <v>352.79998779296898</v>
      </c>
      <c r="D1430" s="29">
        <f t="shared" si="44"/>
        <v>-1.8363957194211761E-2</v>
      </c>
      <c r="E1430" s="29">
        <f t="shared" si="45"/>
        <v>-1.0095364158449929E-2</v>
      </c>
    </row>
    <row r="1431" spans="1:5" ht="14.25" customHeight="1" x14ac:dyDescent="0.3">
      <c r="A1431" s="27">
        <v>46031</v>
      </c>
      <c r="B1431" s="28">
        <v>25683.30078125</v>
      </c>
      <c r="C1431" s="28">
        <v>346.45001220703102</v>
      </c>
      <c r="D1431" s="29">
        <f t="shared" si="44"/>
        <v>-1.7998797635061892E-2</v>
      </c>
      <c r="E1431" s="29">
        <f t="shared" si="45"/>
        <v>-7.4796132854935563E-3</v>
      </c>
    </row>
    <row r="1432" spans="1:5" ht="14.25" customHeight="1" x14ac:dyDescent="0.3">
      <c r="A1432" s="27">
        <v>46034</v>
      </c>
      <c r="B1432" s="28">
        <v>25790.25</v>
      </c>
      <c r="C1432" s="28">
        <v>349.70001220703102</v>
      </c>
      <c r="D1432" s="29">
        <f t="shared" si="44"/>
        <v>9.3808627088685752E-3</v>
      </c>
      <c r="E1432" s="29">
        <f t="shared" si="45"/>
        <v>4.1641539637334267E-3</v>
      </c>
    </row>
    <row r="1433" spans="1:5" ht="14.25" customHeight="1" x14ac:dyDescent="0.3">
      <c r="A1433" s="27">
        <v>46035</v>
      </c>
      <c r="B1433" s="28">
        <v>25732.30078125</v>
      </c>
      <c r="C1433" s="28">
        <v>346</v>
      </c>
      <c r="D1433" s="29">
        <f t="shared" si="44"/>
        <v>-1.058053210716082E-2</v>
      </c>
      <c r="E1433" s="29">
        <f t="shared" si="45"/>
        <v>-2.2469428853927357E-3</v>
      </c>
    </row>
    <row r="1434" spans="1:5" ht="14.25" customHeight="1" x14ac:dyDescent="0.3">
      <c r="A1434" s="27">
        <v>46036</v>
      </c>
      <c r="B1434" s="28">
        <v>25665.599609375</v>
      </c>
      <c r="C1434" s="28">
        <v>345.35000610351602</v>
      </c>
      <c r="D1434" s="29">
        <f t="shared" si="44"/>
        <v>-1.8785950765432863E-3</v>
      </c>
      <c r="E1434" s="29">
        <f t="shared" si="45"/>
        <v>-2.5921184600641006E-3</v>
      </c>
    </row>
    <row r="1435" spans="1:5" ht="14.25" customHeight="1" x14ac:dyDescent="0.3">
      <c r="A1435" s="27">
        <v>46038</v>
      </c>
      <c r="B1435" s="28">
        <v>25694.349609375</v>
      </c>
      <c r="C1435" s="28">
        <v>344.10000610351602</v>
      </c>
      <c r="D1435" s="29">
        <f t="shared" si="44"/>
        <v>-3.6195163686353667E-3</v>
      </c>
      <c r="E1435" s="29">
        <f t="shared" si="45"/>
        <v>1.1201764399651254E-3</v>
      </c>
    </row>
    <row r="1436" spans="1:5" ht="14.25" customHeight="1" x14ac:dyDescent="0.3">
      <c r="A1436" s="27">
        <v>46041</v>
      </c>
      <c r="B1436" s="28">
        <v>25585.5</v>
      </c>
      <c r="C1436" s="28">
        <v>342.29998779296898</v>
      </c>
      <c r="D1436" s="29">
        <f t="shared" si="44"/>
        <v>-5.2310906091804716E-3</v>
      </c>
      <c r="E1436" s="29">
        <f t="shared" si="45"/>
        <v>-4.2363247573810724E-3</v>
      </c>
    </row>
    <row r="1437" spans="1:5" ht="14.25" customHeight="1" x14ac:dyDescent="0.3">
      <c r="A1437" s="27">
        <v>46042</v>
      </c>
      <c r="B1437" s="28">
        <v>25232.5</v>
      </c>
      <c r="C1437" s="28">
        <v>330.5</v>
      </c>
      <c r="D1437" s="29">
        <f t="shared" si="44"/>
        <v>-3.4472650346998798E-2</v>
      </c>
      <c r="E1437" s="29">
        <f t="shared" si="45"/>
        <v>-1.3796877137441129E-2</v>
      </c>
    </row>
    <row r="1438" spans="1:5" ht="14.25" customHeight="1" x14ac:dyDescent="0.3">
      <c r="A1438" s="27">
        <v>46043</v>
      </c>
      <c r="B1438" s="28">
        <v>25157.5</v>
      </c>
      <c r="C1438" s="28">
        <v>325.95001220703102</v>
      </c>
      <c r="D1438" s="29">
        <f t="shared" si="44"/>
        <v>-1.3766982732130038E-2</v>
      </c>
      <c r="E1438" s="29">
        <f t="shared" si="45"/>
        <v>-2.9723570791637768E-3</v>
      </c>
    </row>
    <row r="1439" spans="1:5" ht="14.25" customHeight="1" x14ac:dyDescent="0.3">
      <c r="A1439" s="27">
        <v>46044</v>
      </c>
      <c r="B1439" s="28">
        <v>25289.900390625</v>
      </c>
      <c r="C1439" s="28">
        <v>334.25</v>
      </c>
      <c r="D1439" s="29">
        <f t="shared" si="44"/>
        <v>2.5463989820921195E-2</v>
      </c>
      <c r="E1439" s="29">
        <f t="shared" si="45"/>
        <v>5.2628596094603996E-3</v>
      </c>
    </row>
    <row r="1440" spans="1:5" ht="14.25" customHeight="1" x14ac:dyDescent="0.3">
      <c r="A1440" s="27">
        <v>46045</v>
      </c>
      <c r="B1440" s="28">
        <v>25048.650390625</v>
      </c>
      <c r="C1440" s="28">
        <v>325.20001220703102</v>
      </c>
      <c r="D1440" s="29">
        <f t="shared" si="44"/>
        <v>-2.7075505738127083E-2</v>
      </c>
      <c r="E1440" s="29">
        <f t="shared" si="45"/>
        <v>-9.5393811867061241E-3</v>
      </c>
    </row>
    <row r="1441" spans="1:5" ht="14.25" customHeight="1" x14ac:dyDescent="0.3">
      <c r="A1441" s="27">
        <v>46049</v>
      </c>
      <c r="B1441" s="28">
        <v>25175.400390625</v>
      </c>
      <c r="C1441" s="28">
        <v>323.25</v>
      </c>
      <c r="D1441" s="29">
        <f t="shared" si="44"/>
        <v>-5.9963472750105334E-3</v>
      </c>
      <c r="E1441" s="29">
        <f t="shared" si="45"/>
        <v>5.0601528634628126E-3</v>
      </c>
    </row>
    <row r="1442" spans="1:5" ht="14.25" customHeight="1" x14ac:dyDescent="0.3">
      <c r="A1442" s="27">
        <v>46050</v>
      </c>
      <c r="B1442" s="28">
        <v>25342.75</v>
      </c>
      <c r="C1442" s="28">
        <v>321.14999389648398</v>
      </c>
      <c r="D1442" s="29">
        <f t="shared" si="44"/>
        <v>-6.496538603297828E-3</v>
      </c>
      <c r="E1442" s="29">
        <f t="shared" si="45"/>
        <v>6.6473464881741809E-3</v>
      </c>
    </row>
    <row r="1443" spans="1:5" ht="14.25" customHeight="1" x14ac:dyDescent="0.3">
      <c r="A1443" s="27">
        <v>46051</v>
      </c>
      <c r="B1443" s="28">
        <v>25418.900390625</v>
      </c>
      <c r="C1443" s="28">
        <v>320.85000610351602</v>
      </c>
      <c r="D1443" s="29">
        <f t="shared" si="44"/>
        <v>-9.3410493124483455E-4</v>
      </c>
      <c r="E1443" s="29">
        <f t="shared" si="45"/>
        <v>3.004819548983437E-3</v>
      </c>
    </row>
    <row r="1444" spans="1:5" ht="14.25" customHeight="1" x14ac:dyDescent="0.3">
      <c r="A1444" s="27">
        <v>46052</v>
      </c>
      <c r="B1444" s="28">
        <v>25320.650390625</v>
      </c>
      <c r="C1444" s="28">
        <v>321.60000610351602</v>
      </c>
      <c r="D1444" s="29">
        <f t="shared" si="44"/>
        <v>2.3375408624989307E-3</v>
      </c>
      <c r="E1444" s="29">
        <f t="shared" si="45"/>
        <v>-3.8652340774047241E-3</v>
      </c>
    </row>
    <row r="1445" spans="1:5" ht="14.25" customHeight="1" x14ac:dyDescent="0.3">
      <c r="A1445" s="27">
        <v>46055</v>
      </c>
      <c r="B1445" s="28">
        <v>25088.400390625</v>
      </c>
      <c r="C1445" s="28">
        <v>321.20001220703102</v>
      </c>
      <c r="D1445" s="29">
        <f t="shared" si="44"/>
        <v>-1.2437620923310896E-3</v>
      </c>
      <c r="E1445" s="29">
        <f t="shared" si="45"/>
        <v>-9.1723552285209401E-3</v>
      </c>
    </row>
    <row r="1446" spans="1:5" ht="14.25" customHeight="1" x14ac:dyDescent="0.3">
      <c r="A1446" s="27">
        <v>46056</v>
      </c>
      <c r="B1446" s="28">
        <v>25727.55078125</v>
      </c>
      <c r="C1446" s="28">
        <v>328</v>
      </c>
      <c r="D1446" s="29">
        <f t="shared" si="44"/>
        <v>2.117057140267483E-2</v>
      </c>
      <c r="E1446" s="29">
        <f t="shared" si="45"/>
        <v>2.5475932330218904E-2</v>
      </c>
    </row>
    <row r="1447" spans="1:5" ht="14.25" customHeight="1" x14ac:dyDescent="0.3">
      <c r="A1447" s="27">
        <v>46057</v>
      </c>
      <c r="B1447" s="28">
        <v>25776</v>
      </c>
      <c r="C1447" s="28">
        <v>341.5</v>
      </c>
      <c r="D1447" s="29">
        <f t="shared" si="44"/>
        <v>4.1158536585365856E-2</v>
      </c>
      <c r="E1447" s="29">
        <f t="shared" si="45"/>
        <v>1.8831648283174059E-3</v>
      </c>
    </row>
    <row r="1448" spans="1:5" ht="14.25" customHeight="1" x14ac:dyDescent="0.3">
      <c r="A1448" s="27">
        <v>46058</v>
      </c>
      <c r="B1448" s="28">
        <v>25642.80078125</v>
      </c>
      <c r="C1448" s="28">
        <v>336.79998779296898</v>
      </c>
      <c r="D1448" s="29">
        <f t="shared" si="44"/>
        <v>-1.3762846872711633E-2</v>
      </c>
      <c r="E1448" s="29">
        <f t="shared" si="45"/>
        <v>-5.1675674561607694E-3</v>
      </c>
    </row>
    <row r="1449" spans="1:5" ht="14.25" customHeight="1" x14ac:dyDescent="0.3">
      <c r="A1449" s="27">
        <v>46059</v>
      </c>
      <c r="B1449" s="28">
        <v>25693.69921875</v>
      </c>
      <c r="C1449" s="28">
        <v>332.64999389648398</v>
      </c>
      <c r="D1449" s="29">
        <f t="shared" si="44"/>
        <v>-1.232183505611052E-2</v>
      </c>
      <c r="E1449" s="29">
        <f t="shared" si="45"/>
        <v>1.9849016468285676E-3</v>
      </c>
    </row>
    <row r="1450" spans="1:5" ht="14.25" customHeight="1" x14ac:dyDescent="0.3">
      <c r="A1450" s="27">
        <v>46062</v>
      </c>
      <c r="B1450" s="28">
        <v>25867.30078125</v>
      </c>
      <c r="C1450" s="28">
        <v>340.45001220703102</v>
      </c>
      <c r="D1450" s="29">
        <f t="shared" si="44"/>
        <v>2.344812401522034E-2</v>
      </c>
      <c r="E1450" s="29">
        <f t="shared" si="45"/>
        <v>6.7565810988132885E-3</v>
      </c>
    </row>
    <row r="1451" spans="1:5" ht="14.25" customHeight="1" x14ac:dyDescent="0.3">
      <c r="A1451" s="27">
        <v>46063</v>
      </c>
      <c r="B1451" s="28">
        <v>25935.150390625</v>
      </c>
      <c r="C1451" s="28">
        <v>338.79998779296898</v>
      </c>
      <c r="D1451" s="29">
        <f t="shared" si="44"/>
        <v>-4.8465981932720543E-3</v>
      </c>
      <c r="E1451" s="29">
        <f t="shared" si="45"/>
        <v>2.6229876069706129E-3</v>
      </c>
    </row>
    <row r="1452" spans="1:5" ht="14.25" customHeight="1" x14ac:dyDescent="0.3">
      <c r="A1452" s="27">
        <v>46064</v>
      </c>
      <c r="B1452" s="28">
        <v>25953.849609375</v>
      </c>
      <c r="C1452" s="28">
        <v>341.10000610351602</v>
      </c>
      <c r="D1452" s="29">
        <f t="shared" si="44"/>
        <v>6.7887201694721462E-3</v>
      </c>
      <c r="E1452" s="29">
        <f t="shared" si="45"/>
        <v>7.2099904833246569E-4</v>
      </c>
    </row>
    <row r="1453" spans="1:5" ht="14.25" customHeight="1" x14ac:dyDescent="0.3">
      <c r="A1453" s="27">
        <v>46065</v>
      </c>
      <c r="B1453" s="28">
        <v>25807.19921875</v>
      </c>
      <c r="C1453" s="28">
        <v>338.04998779296898</v>
      </c>
      <c r="D1453" s="29">
        <f t="shared" si="44"/>
        <v>-8.9417128583147397E-3</v>
      </c>
      <c r="E1453" s="29">
        <f t="shared" si="45"/>
        <v>-5.6504292362096155E-3</v>
      </c>
    </row>
    <row r="1454" spans="1:5" ht="14.25" customHeight="1" x14ac:dyDescent="0.3">
      <c r="A1454" s="27">
        <v>46066</v>
      </c>
      <c r="B1454" s="28">
        <v>25471.099609375</v>
      </c>
      <c r="C1454" s="28">
        <v>336.79998779296898</v>
      </c>
      <c r="D1454" s="29">
        <f t="shared" si="44"/>
        <v>-3.6976779918286348E-3</v>
      </c>
      <c r="E1454" s="29">
        <f t="shared" si="45"/>
        <v>-1.3023482576552116E-2</v>
      </c>
    </row>
    <row r="1455" spans="1:5" ht="14.25" customHeight="1" x14ac:dyDescent="0.3">
      <c r="A1455" s="27">
        <v>46069</v>
      </c>
      <c r="B1455" s="28">
        <v>25682.75</v>
      </c>
      <c r="C1455" s="28">
        <v>340.85000610351602</v>
      </c>
      <c r="D1455" s="29">
        <f t="shared" si="44"/>
        <v>1.2024995419645301E-2</v>
      </c>
      <c r="E1455" s="29">
        <f t="shared" si="45"/>
        <v>8.3094328030933959E-3</v>
      </c>
    </row>
    <row r="1456" spans="1:5" ht="14.25" customHeight="1" x14ac:dyDescent="0.3">
      <c r="A1456" s="27">
        <v>46070</v>
      </c>
      <c r="B1456" s="28">
        <v>25725.400390625</v>
      </c>
      <c r="C1456" s="28">
        <v>341.10000610351602</v>
      </c>
      <c r="D1456" s="29">
        <f t="shared" si="44"/>
        <v>7.3346045334696307E-4</v>
      </c>
      <c r="E1456" s="29">
        <f t="shared" si="45"/>
        <v>1.6606629206373927E-3</v>
      </c>
    </row>
    <row r="1457" spans="1:5" ht="14.25" customHeight="1" x14ac:dyDescent="0.3">
      <c r="A1457" s="27">
        <v>46071</v>
      </c>
      <c r="B1457" s="28">
        <v>25819.349609375</v>
      </c>
      <c r="C1457" s="28">
        <v>341.64999389648398</v>
      </c>
      <c r="D1457" s="29">
        <f t="shared" si="44"/>
        <v>1.6123945562201061E-3</v>
      </c>
      <c r="E1457" s="29">
        <f t="shared" si="45"/>
        <v>3.6520021971839754E-3</v>
      </c>
    </row>
    <row r="1458" spans="1:5" ht="14.25" customHeight="1" x14ac:dyDescent="0.3">
      <c r="A1458" s="27">
        <v>46072</v>
      </c>
      <c r="B1458" s="28">
        <v>25454.349609375</v>
      </c>
      <c r="C1458" s="28">
        <v>333.20001220703102</v>
      </c>
      <c r="D1458" s="29">
        <f t="shared" si="44"/>
        <v>-2.473286064806195E-2</v>
      </c>
      <c r="E1458" s="29">
        <f t="shared" si="45"/>
        <v>-1.4136684522350191E-2</v>
      </c>
    </row>
    <row r="1459" spans="1:5" ht="14.25" customHeight="1" x14ac:dyDescent="0.3">
      <c r="A1459" s="27">
        <v>46073</v>
      </c>
      <c r="B1459" s="28">
        <v>25571.25</v>
      </c>
      <c r="C1459" s="28">
        <v>336.45001220703102</v>
      </c>
      <c r="D1459" s="29">
        <f t="shared" si="44"/>
        <v>9.7539012032827888E-3</v>
      </c>
      <c r="E1459" s="29">
        <f t="shared" si="45"/>
        <v>4.5925506806877847E-3</v>
      </c>
    </row>
    <row r="1460" spans="1:5" ht="14.25" customHeight="1" x14ac:dyDescent="0.3">
      <c r="A1460" s="27">
        <v>46076</v>
      </c>
      <c r="B1460" s="28">
        <v>25713</v>
      </c>
      <c r="C1460" s="28">
        <v>338.39999389648398</v>
      </c>
      <c r="D1460" s="29">
        <f t="shared" si="44"/>
        <v>5.7957545510595896E-3</v>
      </c>
      <c r="E1460" s="29">
        <f t="shared" si="45"/>
        <v>5.5433347998240208E-3</v>
      </c>
    </row>
    <row r="1461" spans="1:5" ht="14.25" customHeight="1" x14ac:dyDescent="0.3">
      <c r="A1461" s="27">
        <v>46077</v>
      </c>
      <c r="B1461" s="28">
        <v>25424.650390625</v>
      </c>
      <c r="C1461" s="28">
        <v>335.95001220703102</v>
      </c>
      <c r="D1461" s="29">
        <f t="shared" si="44"/>
        <v>-7.2398987400762189E-3</v>
      </c>
      <c r="E1461" s="29">
        <f t="shared" si="45"/>
        <v>-1.1214156627970288E-2</v>
      </c>
    </row>
    <row r="1462" spans="1:5" ht="14.25" customHeight="1" x14ac:dyDescent="0.3">
      <c r="A1462" s="27">
        <v>46078</v>
      </c>
      <c r="B1462" s="28">
        <v>25482.5</v>
      </c>
      <c r="C1462" s="28">
        <v>337.35000610351602</v>
      </c>
      <c r="D1462" s="29">
        <f t="shared" si="44"/>
        <v>4.1672684792827047E-3</v>
      </c>
      <c r="E1462" s="29">
        <f t="shared" si="45"/>
        <v>2.2753354908011348E-3</v>
      </c>
    </row>
    <row r="1463" spans="1:5" ht="14.25" customHeight="1" x14ac:dyDescent="0.3">
      <c r="A1463" s="27">
        <v>46079</v>
      </c>
      <c r="B1463" s="28">
        <v>25496.55078125</v>
      </c>
      <c r="C1463" s="28">
        <v>339.85000610351602</v>
      </c>
      <c r="D1463" s="29">
        <f t="shared" si="44"/>
        <v>7.4107009182411985E-3</v>
      </c>
      <c r="E1463" s="29">
        <f t="shared" si="45"/>
        <v>5.5138943392524285E-4</v>
      </c>
    </row>
    <row r="1464" spans="1:5" ht="14.25" customHeight="1" x14ac:dyDescent="0.3">
      <c r="A1464" s="27">
        <v>46080</v>
      </c>
      <c r="B1464" s="28">
        <v>25178.650390625</v>
      </c>
      <c r="C1464" s="28">
        <v>334.29998779296898</v>
      </c>
      <c r="D1464" s="29">
        <f t="shared" si="44"/>
        <v>-1.6330787732446141E-2</v>
      </c>
      <c r="E1464" s="29">
        <f t="shared" si="45"/>
        <v>-1.2468368500212268E-2</v>
      </c>
    </row>
    <row r="1465" spans="1:5" ht="14.25" customHeight="1" x14ac:dyDescent="0.3">
      <c r="A1465" s="27">
        <v>46083</v>
      </c>
      <c r="B1465" s="28">
        <v>24865.69921875</v>
      </c>
      <c r="C1465" s="28">
        <v>322.79998779296898</v>
      </c>
      <c r="D1465" s="29">
        <f t="shared" si="44"/>
        <v>-3.4400240562144191E-2</v>
      </c>
      <c r="E1465" s="29">
        <f t="shared" si="45"/>
        <v>-1.2429227421638295E-2</v>
      </c>
    </row>
    <row r="1466" spans="1:5" ht="14.25" customHeight="1" x14ac:dyDescent="0.3">
      <c r="A1466" s="27">
        <v>46085</v>
      </c>
      <c r="B1466" s="28">
        <v>24480.5</v>
      </c>
      <c r="C1466" s="28">
        <v>313.95001220703102</v>
      </c>
      <c r="D1466" s="29">
        <f t="shared" si="44"/>
        <v>-2.7416282281937307E-2</v>
      </c>
      <c r="E1466" s="29">
        <f t="shared" si="45"/>
        <v>-1.5491187895474108E-2</v>
      </c>
    </row>
    <row r="1467" spans="1:5" ht="14.25" customHeight="1" x14ac:dyDescent="0.3">
      <c r="A1467" s="27">
        <v>46086</v>
      </c>
      <c r="B1467" s="28">
        <v>24765.900390625</v>
      </c>
      <c r="C1467" s="28">
        <v>319.64999389648398</v>
      </c>
      <c r="D1467" s="29">
        <f t="shared" si="44"/>
        <v>1.8155698257129423E-2</v>
      </c>
      <c r="E1467" s="29">
        <f t="shared" si="45"/>
        <v>1.165827457057658E-2</v>
      </c>
    </row>
    <row r="1468" spans="1:5" ht="14.25" customHeight="1" x14ac:dyDescent="0.3">
      <c r="A1468" s="27">
        <v>46087</v>
      </c>
      <c r="B1468" s="28">
        <v>24450.44921875</v>
      </c>
      <c r="C1468" s="28">
        <v>315.95001220703102</v>
      </c>
      <c r="D1468" s="29">
        <f t="shared" si="44"/>
        <v>-1.1575103269519108E-2</v>
      </c>
      <c r="E1468" s="29">
        <f t="shared" si="45"/>
        <v>-1.273731893044407E-2</v>
      </c>
    </row>
    <row r="1469" spans="1:5" ht="14.25" customHeight="1" x14ac:dyDescent="0.3">
      <c r="A1469" s="27">
        <v>46090</v>
      </c>
      <c r="B1469" s="28">
        <v>24028.05078125</v>
      </c>
      <c r="C1469" s="28">
        <v>308.89999389648398</v>
      </c>
      <c r="D1469" s="29">
        <f t="shared" si="44"/>
        <v>-2.2313714316071664E-2</v>
      </c>
      <c r="E1469" s="29">
        <f t="shared" si="45"/>
        <v>-1.7275692308183883E-2</v>
      </c>
    </row>
    <row r="1470" spans="1:5" ht="14.25" customHeight="1" x14ac:dyDescent="0.3">
      <c r="A1470" s="27">
        <v>46091</v>
      </c>
      <c r="B1470" s="28">
        <v>24261.599609375</v>
      </c>
      <c r="C1470" s="28">
        <v>317.04998779296898</v>
      </c>
      <c r="D1470" s="29">
        <f t="shared" si="44"/>
        <v>2.6383923786078671E-2</v>
      </c>
      <c r="E1470" s="29">
        <f t="shared" si="45"/>
        <v>9.7198407915488096E-3</v>
      </c>
    </row>
    <row r="1471" spans="1:5" ht="14.25" customHeight="1" x14ac:dyDescent="0.3">
      <c r="A1471" s="27">
        <v>46092</v>
      </c>
      <c r="B1471" s="28">
        <v>23866.849609375</v>
      </c>
      <c r="C1471" s="28">
        <v>311.5</v>
      </c>
      <c r="D1471" s="29">
        <f t="shared" si="44"/>
        <v>-1.7505087546614489E-2</v>
      </c>
      <c r="E1471" s="29">
        <f t="shared" si="45"/>
        <v>-1.6270567743087452E-2</v>
      </c>
    </row>
    <row r="1472" spans="1:5" ht="14.25" customHeight="1" x14ac:dyDescent="0.3">
      <c r="A1472" s="27">
        <v>46093</v>
      </c>
      <c r="B1472" s="28">
        <v>23639.150390625</v>
      </c>
      <c r="C1472" s="28">
        <v>310</v>
      </c>
      <c r="D1472" s="29">
        <f t="shared" si="44"/>
        <v>-4.815409309791332E-3</v>
      </c>
      <c r="E1472" s="29">
        <f t="shared" si="45"/>
        <v>-9.5403969303329752E-3</v>
      </c>
    </row>
    <row r="1473" spans="1:5" ht="14.25" customHeight="1" x14ac:dyDescent="0.3">
      <c r="A1473" s="27">
        <v>46094</v>
      </c>
      <c r="B1473" s="28">
        <v>23151.099609375</v>
      </c>
      <c r="C1473" s="28">
        <v>296.60000610351602</v>
      </c>
      <c r="D1473" s="29">
        <f t="shared" si="44"/>
        <v>-4.3225786762851541E-2</v>
      </c>
      <c r="E1473" s="29">
        <f t="shared" si="45"/>
        <v>-2.0645868112229408E-2</v>
      </c>
    </row>
    <row r="1474" spans="1:5" ht="14.25" customHeight="1" x14ac:dyDescent="0.3">
      <c r="A1474" s="27">
        <v>46097</v>
      </c>
      <c r="B1474" s="28">
        <v>23408.80078125</v>
      </c>
      <c r="C1474" s="28">
        <v>295.14999389648398</v>
      </c>
      <c r="D1474" s="29">
        <f t="shared" si="44"/>
        <v>-4.8887800984264941E-3</v>
      </c>
      <c r="E1474" s="29">
        <f t="shared" si="45"/>
        <v>1.1131271353117254E-2</v>
      </c>
    </row>
    <row r="1475" spans="1:5" ht="14.25" customHeight="1" x14ac:dyDescent="0.3">
      <c r="A1475" s="27">
        <v>46098</v>
      </c>
      <c r="B1475" s="28">
        <v>23581.150390625</v>
      </c>
      <c r="C1475" s="28">
        <v>301.89999389648398</v>
      </c>
      <c r="D1475" s="29">
        <f t="shared" ref="D1475:D1536" si="46">(C1475-C1474)/C1474</f>
        <v>2.2869727730258343E-2</v>
      </c>
      <c r="E1475" s="29">
        <f t="shared" ref="E1475:E1536" si="47">(B1475-B1474)/B1474</f>
        <v>7.3625988356075351E-3</v>
      </c>
    </row>
    <row r="1476" spans="1:5" ht="14.25" customHeight="1" x14ac:dyDescent="0.3">
      <c r="A1476" s="27">
        <v>46099</v>
      </c>
      <c r="B1476" s="28">
        <v>23777.80078125</v>
      </c>
      <c r="C1476" s="28">
        <v>308.75</v>
      </c>
      <c r="D1476" s="29">
        <f t="shared" si="46"/>
        <v>2.2689653004314952E-2</v>
      </c>
      <c r="E1476" s="29">
        <f t="shared" si="47"/>
        <v>8.339304375208979E-3</v>
      </c>
    </row>
    <row r="1477" spans="1:5" ht="14.25" customHeight="1" x14ac:dyDescent="0.3">
      <c r="A1477" s="27">
        <v>46100</v>
      </c>
      <c r="B1477" s="28">
        <v>23002.150390625</v>
      </c>
      <c r="C1477" s="28">
        <v>301.85000610351602</v>
      </c>
      <c r="D1477" s="29">
        <f t="shared" si="46"/>
        <v>-2.2348158369178875E-2</v>
      </c>
      <c r="E1477" s="29">
        <f t="shared" si="47"/>
        <v>-3.2620779262169594E-2</v>
      </c>
    </row>
    <row r="1478" spans="1:5" ht="14.25" customHeight="1" x14ac:dyDescent="0.3">
      <c r="A1478" s="27">
        <v>46101</v>
      </c>
      <c r="B1478" s="28">
        <v>23114.5</v>
      </c>
      <c r="C1478" s="28">
        <v>302.64999389648398</v>
      </c>
      <c r="D1478" s="29">
        <f t="shared" si="46"/>
        <v>2.6502825138045799E-3</v>
      </c>
      <c r="E1478" s="29">
        <f t="shared" si="47"/>
        <v>4.8843089653387538E-3</v>
      </c>
    </row>
    <row r="1479" spans="1:5" ht="14.25" customHeight="1" x14ac:dyDescent="0.3">
      <c r="A1479" s="27">
        <v>46104</v>
      </c>
      <c r="B1479" s="28">
        <v>22512.650390625</v>
      </c>
      <c r="C1479" s="28">
        <v>290.75</v>
      </c>
      <c r="D1479" s="29">
        <f t="shared" si="46"/>
        <v>-3.9319326404989648E-2</v>
      </c>
      <c r="E1479" s="29">
        <f t="shared" si="47"/>
        <v>-2.6037751600726817E-2</v>
      </c>
    </row>
    <row r="1480" spans="1:5" ht="14.25" customHeight="1" x14ac:dyDescent="0.3">
      <c r="A1480" s="27">
        <v>46105</v>
      </c>
      <c r="B1480" s="28">
        <v>22912.400390625</v>
      </c>
      <c r="C1480" s="28">
        <v>298.5</v>
      </c>
      <c r="D1480" s="29">
        <f t="shared" si="46"/>
        <v>2.6655202063628546E-2</v>
      </c>
      <c r="E1480" s="29">
        <f t="shared" si="47"/>
        <v>1.7756683156527359E-2</v>
      </c>
    </row>
    <row r="1481" spans="1:5" ht="14.25" customHeight="1" x14ac:dyDescent="0.3">
      <c r="A1481" s="27">
        <v>46106</v>
      </c>
      <c r="B1481" s="28">
        <v>23306.44921875</v>
      </c>
      <c r="C1481" s="28">
        <v>307.14999389648398</v>
      </c>
      <c r="D1481" s="29">
        <f t="shared" si="46"/>
        <v>2.8978204008321531E-2</v>
      </c>
      <c r="E1481" s="29">
        <f t="shared" si="47"/>
        <v>1.719805962740734E-2</v>
      </c>
    </row>
    <row r="1482" spans="1:5" ht="14.25" customHeight="1" x14ac:dyDescent="0.3">
      <c r="A1482" s="27">
        <v>46108</v>
      </c>
      <c r="B1482" s="28">
        <v>22819.599609375</v>
      </c>
      <c r="C1482" s="28">
        <v>300.85000610351602</v>
      </c>
      <c r="D1482" s="29">
        <f t="shared" si="46"/>
        <v>-2.0511111568151889E-2</v>
      </c>
      <c r="E1482" s="29">
        <f t="shared" si="47"/>
        <v>-2.0889051129389984E-2</v>
      </c>
    </row>
    <row r="1483" spans="1:5" ht="14.25" customHeight="1" x14ac:dyDescent="0.3">
      <c r="A1483" s="27">
        <v>46111</v>
      </c>
      <c r="B1483" s="28">
        <v>22331.400390625</v>
      </c>
      <c r="C1483" s="28">
        <v>287.89999389648398</v>
      </c>
      <c r="D1483" s="29">
        <f t="shared" si="46"/>
        <v>-4.3044746366321246E-2</v>
      </c>
      <c r="E1483" s="29">
        <f t="shared" si="47"/>
        <v>-2.1393855593742871E-2</v>
      </c>
    </row>
    <row r="1484" spans="1:5" ht="14.25" customHeight="1" x14ac:dyDescent="0.3">
      <c r="A1484" s="27">
        <v>46113</v>
      </c>
      <c r="B1484" s="28">
        <v>22679.400390625</v>
      </c>
      <c r="C1484" s="28">
        <v>299.85000610351602</v>
      </c>
      <c r="D1484" s="29">
        <f t="shared" si="46"/>
        <v>4.1507511151003144E-2</v>
      </c>
      <c r="E1484" s="29">
        <f t="shared" si="47"/>
        <v>1.5583438293735253E-2</v>
      </c>
    </row>
    <row r="1485" spans="1:5" ht="14.25" customHeight="1" x14ac:dyDescent="0.3">
      <c r="A1485" s="27">
        <v>46114</v>
      </c>
      <c r="B1485" s="28">
        <v>22713.099609375</v>
      </c>
      <c r="C1485" s="28">
        <v>299.25</v>
      </c>
      <c r="D1485" s="29">
        <f t="shared" si="46"/>
        <v>-2.0010208147499091E-3</v>
      </c>
      <c r="E1485" s="29">
        <f t="shared" si="47"/>
        <v>1.4858954897207189E-3</v>
      </c>
    </row>
    <row r="1486" spans="1:5" ht="14.25" customHeight="1" x14ac:dyDescent="0.3">
      <c r="A1486" s="27">
        <v>46118</v>
      </c>
      <c r="B1486" s="28">
        <v>22968.25</v>
      </c>
      <c r="C1486" s="28">
        <v>298.79998779296898</v>
      </c>
      <c r="D1486" s="29">
        <f t="shared" si="46"/>
        <v>-1.5038001905798583E-3</v>
      </c>
      <c r="E1486" s="29">
        <f t="shared" si="47"/>
        <v>1.123362266767345E-2</v>
      </c>
    </row>
    <row r="1487" spans="1:5" ht="14.25" customHeight="1" x14ac:dyDescent="0.3">
      <c r="A1487" s="27">
        <v>46119</v>
      </c>
      <c r="B1487" s="28">
        <v>23123.650390625</v>
      </c>
      <c r="C1487" s="28">
        <v>297.25</v>
      </c>
      <c r="D1487" s="29">
        <f t="shared" si="46"/>
        <v>-5.1873756903997098E-3</v>
      </c>
      <c r="E1487" s="29">
        <f t="shared" si="47"/>
        <v>6.7658785769486142E-3</v>
      </c>
    </row>
    <row r="1488" spans="1:5" ht="14.25" customHeight="1" x14ac:dyDescent="0.3">
      <c r="A1488" s="27">
        <v>46120</v>
      </c>
      <c r="B1488" s="28">
        <v>23997.349609375</v>
      </c>
      <c r="C1488" s="28">
        <v>314.14999389648398</v>
      </c>
      <c r="D1488" s="29">
        <f t="shared" si="46"/>
        <v>5.6854479046203457E-2</v>
      </c>
      <c r="E1488" s="29">
        <f t="shared" si="47"/>
        <v>3.7783792956159856E-2</v>
      </c>
    </row>
    <row r="1489" spans="1:5" ht="14.25" customHeight="1" x14ac:dyDescent="0.3">
      <c r="A1489" s="27">
        <v>46121</v>
      </c>
      <c r="B1489" s="28">
        <v>23775.099609375</v>
      </c>
      <c r="C1489" s="28">
        <v>311.25</v>
      </c>
      <c r="D1489" s="29">
        <f t="shared" si="46"/>
        <v>-9.2312397034123722E-3</v>
      </c>
      <c r="E1489" s="29">
        <f t="shared" si="47"/>
        <v>-9.2614394346771534E-3</v>
      </c>
    </row>
    <row r="1490" spans="1:5" ht="14.25" customHeight="1" x14ac:dyDescent="0.3">
      <c r="A1490" s="27">
        <v>46122</v>
      </c>
      <c r="B1490" s="28">
        <v>24050.599609375</v>
      </c>
      <c r="C1490" s="28">
        <v>324.5</v>
      </c>
      <c r="D1490" s="29">
        <f t="shared" si="46"/>
        <v>4.257028112449799E-2</v>
      </c>
      <c r="E1490" s="29">
        <f t="shared" si="47"/>
        <v>1.1587753764504306E-2</v>
      </c>
    </row>
    <row r="1491" spans="1:5" ht="14.25" customHeight="1" x14ac:dyDescent="0.3">
      <c r="A1491" s="27">
        <v>46125</v>
      </c>
      <c r="B1491" s="28">
        <v>23842.650390625</v>
      </c>
      <c r="C1491" s="28">
        <v>324.79998779296898</v>
      </c>
      <c r="D1491" s="29">
        <f t="shared" si="46"/>
        <v>9.2446161161472231E-4</v>
      </c>
      <c r="E1491" s="29">
        <f t="shared" si="47"/>
        <v>-8.6463215939506441E-3</v>
      </c>
    </row>
    <row r="1492" spans="1:5" ht="14.25" customHeight="1" x14ac:dyDescent="0.3">
      <c r="A1492" s="27">
        <v>46127</v>
      </c>
      <c r="B1492" s="28">
        <v>24231.30078125</v>
      </c>
      <c r="C1492" s="28">
        <v>330</v>
      </c>
      <c r="D1492" s="29">
        <f t="shared" si="46"/>
        <v>1.600989040167565E-2</v>
      </c>
      <c r="E1492" s="29">
        <f t="shared" si="47"/>
        <v>1.6300637062472655E-2</v>
      </c>
    </row>
    <row r="1493" spans="1:5" ht="14.25" customHeight="1" x14ac:dyDescent="0.3">
      <c r="A1493" s="27">
        <v>46128</v>
      </c>
      <c r="B1493" s="28">
        <v>24196.75</v>
      </c>
      <c r="C1493" s="28">
        <v>331.39999389648398</v>
      </c>
      <c r="D1493" s="29">
        <f t="shared" si="46"/>
        <v>4.2424057469211424E-3</v>
      </c>
      <c r="E1493" s="29">
        <f t="shared" si="47"/>
        <v>-1.4258739785333826E-3</v>
      </c>
    </row>
    <row r="1494" spans="1:5" ht="14.25" customHeight="1" x14ac:dyDescent="0.3">
      <c r="A1494" s="27">
        <v>46129</v>
      </c>
      <c r="B1494" s="28">
        <v>24353.55078125</v>
      </c>
      <c r="C1494" s="28">
        <v>330</v>
      </c>
      <c r="D1494" s="29">
        <f t="shared" si="46"/>
        <v>-4.2244837726861236E-3</v>
      </c>
      <c r="E1494" s="29">
        <f t="shared" si="47"/>
        <v>6.480241406387221E-3</v>
      </c>
    </row>
    <row r="1495" spans="1:5" ht="14.25" customHeight="1" x14ac:dyDescent="0.3">
      <c r="A1495" s="27">
        <v>46132</v>
      </c>
      <c r="B1495" s="28">
        <v>24364.849609375</v>
      </c>
      <c r="C1495" s="28">
        <v>329.70001220703102</v>
      </c>
      <c r="D1495" s="29">
        <f t="shared" si="46"/>
        <v>-9.0905391808781026E-4</v>
      </c>
      <c r="E1495" s="29">
        <f t="shared" si="47"/>
        <v>4.6394992773288163E-4</v>
      </c>
    </row>
    <row r="1496" spans="1:5" ht="14.25" customHeight="1" x14ac:dyDescent="0.3">
      <c r="A1496" s="27">
        <v>46133</v>
      </c>
      <c r="B1496" s="28">
        <v>24576.599609375</v>
      </c>
      <c r="C1496" s="28">
        <v>333.10000610351602</v>
      </c>
      <c r="D1496" s="29">
        <f t="shared" si="46"/>
        <v>1.0312386322721809E-2</v>
      </c>
      <c r="E1496" s="29">
        <f t="shared" si="47"/>
        <v>8.6907985641135974E-3</v>
      </c>
    </row>
    <row r="1497" spans="1:5" ht="14.25" customHeight="1" x14ac:dyDescent="0.3">
      <c r="A1497" s="27">
        <v>46134</v>
      </c>
      <c r="B1497" s="28">
        <v>24378.099609375</v>
      </c>
      <c r="C1497" s="28">
        <v>354.54998779296898</v>
      </c>
      <c r="D1497" s="29">
        <f t="shared" si="46"/>
        <v>6.4395020403533218E-2</v>
      </c>
      <c r="E1497" s="29">
        <f t="shared" si="47"/>
        <v>-8.0767886182383057E-3</v>
      </c>
    </row>
    <row r="1498" spans="1:5" ht="14.25" customHeight="1" x14ac:dyDescent="0.3">
      <c r="A1498" s="27">
        <v>46135</v>
      </c>
      <c r="B1498" s="28">
        <v>24173.05078125</v>
      </c>
      <c r="C1498" s="28">
        <v>347.25</v>
      </c>
      <c r="D1498" s="29">
        <f t="shared" si="46"/>
        <v>-2.0589445901297368E-2</v>
      </c>
      <c r="E1498" s="29">
        <f t="shared" si="47"/>
        <v>-8.4111900193460983E-3</v>
      </c>
    </row>
    <row r="1499" spans="1:5" ht="14.25" customHeight="1" x14ac:dyDescent="0.3">
      <c r="A1499" s="27">
        <v>46136</v>
      </c>
      <c r="B1499" s="28">
        <v>23897.94921875</v>
      </c>
      <c r="C1499" s="28">
        <v>342.79998779296898</v>
      </c>
      <c r="D1499" s="29">
        <f t="shared" si="46"/>
        <v>-1.2815009955452908E-2</v>
      </c>
      <c r="E1499" s="29">
        <f t="shared" si="47"/>
        <v>-1.1380506539678661E-2</v>
      </c>
    </row>
    <row r="1500" spans="1:5" ht="14.25" customHeight="1" x14ac:dyDescent="0.3">
      <c r="A1500" s="27">
        <v>46139</v>
      </c>
      <c r="B1500" s="28">
        <v>24092.69921875</v>
      </c>
      <c r="C1500" s="28">
        <v>352.35000610351602</v>
      </c>
      <c r="D1500" s="29">
        <f t="shared" si="46"/>
        <v>2.7858864208346164E-2</v>
      </c>
      <c r="E1500" s="29">
        <f t="shared" si="47"/>
        <v>8.1492348241832338E-3</v>
      </c>
    </row>
    <row r="1501" spans="1:5" ht="14.25" customHeight="1" x14ac:dyDescent="0.3">
      <c r="A1501" s="27">
        <v>46140</v>
      </c>
      <c r="B1501" s="28">
        <v>23995.69921875</v>
      </c>
      <c r="C1501" s="28">
        <v>356.25</v>
      </c>
      <c r="D1501" s="29">
        <f t="shared" si="46"/>
        <v>1.1068522290129343E-2</v>
      </c>
      <c r="E1501" s="29">
        <f t="shared" si="47"/>
        <v>-4.0261159249649504E-3</v>
      </c>
    </row>
    <row r="1502" spans="1:5" ht="14.25" customHeight="1" x14ac:dyDescent="0.3">
      <c r="A1502" s="27">
        <v>46141</v>
      </c>
      <c r="B1502" s="28">
        <v>24177.650390625</v>
      </c>
      <c r="C1502" s="28">
        <v>363.45001220703102</v>
      </c>
      <c r="D1502" s="29">
        <f t="shared" si="46"/>
        <v>2.0210560581139712E-2</v>
      </c>
      <c r="E1502" s="29">
        <f t="shared" si="47"/>
        <v>7.5826576344491421E-3</v>
      </c>
    </row>
    <row r="1503" spans="1:5" ht="14.25" customHeight="1" x14ac:dyDescent="0.3">
      <c r="A1503" s="27">
        <v>46142</v>
      </c>
      <c r="B1503" s="28">
        <v>23997.55078125</v>
      </c>
      <c r="C1503" s="28">
        <v>360.54998779296898</v>
      </c>
      <c r="D1503" s="29">
        <f t="shared" si="46"/>
        <v>-7.9791561883621898E-3</v>
      </c>
      <c r="E1503" s="29">
        <f t="shared" si="47"/>
        <v>-7.4490120613554117E-3</v>
      </c>
    </row>
    <row r="1504" spans="1:5" ht="14.25" customHeight="1" x14ac:dyDescent="0.3">
      <c r="A1504" s="27">
        <v>46146</v>
      </c>
      <c r="B1504" s="28">
        <v>24119.30078125</v>
      </c>
      <c r="C1504" s="28">
        <v>359.04998779296898</v>
      </c>
      <c r="D1504" s="29">
        <f t="shared" si="46"/>
        <v>-4.1603107773818962E-3</v>
      </c>
      <c r="E1504" s="29">
        <f t="shared" si="47"/>
        <v>5.0734344146122984E-3</v>
      </c>
    </row>
    <row r="1505" spans="1:5" ht="14.25" customHeight="1" x14ac:dyDescent="0.3">
      <c r="A1505" s="27">
        <v>46147</v>
      </c>
      <c r="B1505" s="28">
        <v>24032.80078125</v>
      </c>
      <c r="C1505" s="28">
        <v>361.14999389648398</v>
      </c>
      <c r="D1505" s="29">
        <f t="shared" si="46"/>
        <v>5.8487847790316023E-3</v>
      </c>
      <c r="E1505" s="29">
        <f t="shared" si="47"/>
        <v>-3.5863394542201598E-3</v>
      </c>
    </row>
    <row r="1506" spans="1:5" ht="14.25" customHeight="1" x14ac:dyDescent="0.3">
      <c r="A1506" s="27">
        <v>46148</v>
      </c>
      <c r="B1506" s="28">
        <v>24330.94921875</v>
      </c>
      <c r="C1506" s="28">
        <v>351.70001220703102</v>
      </c>
      <c r="D1506" s="29">
        <f t="shared" si="46"/>
        <v>-2.6166362589394344E-2</v>
      </c>
      <c r="E1506" s="29">
        <f t="shared" si="47"/>
        <v>1.2405896433536392E-2</v>
      </c>
    </row>
    <row r="1507" spans="1:5" ht="14.25" customHeight="1" x14ac:dyDescent="0.3">
      <c r="A1507" s="27">
        <v>46149</v>
      </c>
      <c r="B1507" s="28">
        <v>24326.650390625</v>
      </c>
      <c r="C1507" s="28">
        <v>364.45001220703102</v>
      </c>
      <c r="D1507" s="29">
        <f t="shared" si="46"/>
        <v>3.6252486657562609E-2</v>
      </c>
      <c r="E1507" s="29">
        <f t="shared" si="47"/>
        <v>-1.7668148029700471E-4</v>
      </c>
    </row>
    <row r="1508" spans="1:5" ht="14.25" customHeight="1" x14ac:dyDescent="0.3">
      <c r="A1508" s="27">
        <v>46150</v>
      </c>
      <c r="B1508" s="28">
        <v>24176.150390625</v>
      </c>
      <c r="C1508" s="28">
        <v>362.25</v>
      </c>
      <c r="D1508" s="29">
        <f t="shared" si="46"/>
        <v>-6.0365266383398397E-3</v>
      </c>
      <c r="E1508" s="29">
        <f t="shared" si="47"/>
        <v>-6.1866306122440786E-3</v>
      </c>
    </row>
    <row r="1509" spans="1:5" ht="14.25" customHeight="1" x14ac:dyDescent="0.3">
      <c r="A1509" s="27">
        <v>46153</v>
      </c>
      <c r="B1509" s="28">
        <v>23815.849609375</v>
      </c>
      <c r="C1509" s="28">
        <v>352.70001220703102</v>
      </c>
      <c r="D1509" s="29">
        <f t="shared" si="46"/>
        <v>-2.6362975273896416E-2</v>
      </c>
      <c r="E1509" s="29">
        <f t="shared" si="47"/>
        <v>-1.4903149402549921E-2</v>
      </c>
    </row>
    <row r="1510" spans="1:5" ht="14.25" customHeight="1" x14ac:dyDescent="0.3">
      <c r="A1510" s="27">
        <v>46154</v>
      </c>
      <c r="B1510" s="28">
        <v>23379.55078125</v>
      </c>
      <c r="C1510" s="28">
        <v>346.29998779296898</v>
      </c>
      <c r="D1510" s="29">
        <f t="shared" si="46"/>
        <v>-1.8145801509939562E-2</v>
      </c>
      <c r="E1510" s="29">
        <f t="shared" si="47"/>
        <v>-1.8319683541890227E-2</v>
      </c>
    </row>
    <row r="1511" spans="1:5" ht="14.25" customHeight="1" x14ac:dyDescent="0.3">
      <c r="A1511" s="27">
        <v>46155</v>
      </c>
      <c r="B1511" s="28">
        <v>23412.599609375</v>
      </c>
      <c r="C1511" s="28">
        <v>349.29998779296898</v>
      </c>
      <c r="D1511" s="29">
        <f t="shared" si="46"/>
        <v>8.6630092571458924E-3</v>
      </c>
      <c r="E1511" s="29">
        <f t="shared" si="47"/>
        <v>1.413578405942025E-3</v>
      </c>
    </row>
    <row r="1512" spans="1:5" ht="14.25" customHeight="1" x14ac:dyDescent="0.3">
      <c r="A1512" s="27">
        <v>46156</v>
      </c>
      <c r="B1512" s="28">
        <v>23689.599609375</v>
      </c>
      <c r="C1512" s="28">
        <v>349.70001220703102</v>
      </c>
      <c r="D1512" s="29">
        <f t="shared" si="46"/>
        <v>1.1452173720061529E-3</v>
      </c>
      <c r="E1512" s="29">
        <f t="shared" si="47"/>
        <v>1.1831236369372762E-2</v>
      </c>
    </row>
    <row r="1513" spans="1:5" ht="14.25" customHeight="1" x14ac:dyDescent="0.3">
      <c r="A1513" s="27">
        <v>46157</v>
      </c>
      <c r="B1513" s="28">
        <v>23643.5</v>
      </c>
      <c r="C1513" s="28">
        <v>349.04998779296898</v>
      </c>
      <c r="D1513" s="29">
        <f t="shared" si="46"/>
        <v>-1.8588058088977555E-3</v>
      </c>
      <c r="E1513" s="29">
        <f t="shared" si="47"/>
        <v>-1.9459851637490906E-3</v>
      </c>
    </row>
    <row r="1514" spans="1:5" ht="14.25" customHeight="1" x14ac:dyDescent="0.3">
      <c r="A1514" s="27">
        <v>46160</v>
      </c>
      <c r="B1514" s="28">
        <v>23649.94921875</v>
      </c>
      <c r="C1514" s="28">
        <v>342.85000610351602</v>
      </c>
      <c r="D1514" s="29">
        <f t="shared" si="46"/>
        <v>-1.7762446372381287E-2</v>
      </c>
      <c r="E1514" s="29">
        <f t="shared" si="47"/>
        <v>2.7276920718167786E-4</v>
      </c>
    </row>
    <row r="1515" spans="1:5" ht="14.25" customHeight="1" x14ac:dyDescent="0.3">
      <c r="A1515" s="27">
        <v>46161</v>
      </c>
      <c r="B1515" s="28">
        <v>23618</v>
      </c>
      <c r="C1515" s="28">
        <v>344.64999389648398</v>
      </c>
      <c r="D1515" s="29">
        <f t="shared" si="46"/>
        <v>5.2500736792301167E-3</v>
      </c>
      <c r="E1515" s="29">
        <f t="shared" si="47"/>
        <v>-1.3509212410769249E-3</v>
      </c>
    </row>
    <row r="1516" spans="1:5" ht="14.25" customHeight="1" x14ac:dyDescent="0.3">
      <c r="A1516" s="27">
        <v>46162</v>
      </c>
      <c r="B1516" s="28">
        <v>23659</v>
      </c>
      <c r="C1516" s="28">
        <v>339.54998779296898</v>
      </c>
      <c r="D1516" s="29">
        <f t="shared" si="46"/>
        <v>-1.4797638746068837E-2</v>
      </c>
      <c r="E1516" s="29">
        <f t="shared" si="47"/>
        <v>1.7359640951816412E-3</v>
      </c>
    </row>
    <row r="1517" spans="1:5" ht="14.25" customHeight="1" x14ac:dyDescent="0.3">
      <c r="A1517" s="27">
        <v>46163</v>
      </c>
      <c r="B1517" s="28">
        <v>23654.69921875</v>
      </c>
      <c r="C1517" s="28">
        <v>340.79998779296898</v>
      </c>
      <c r="D1517" s="29">
        <f t="shared" si="46"/>
        <v>3.6813430862561308E-3</v>
      </c>
      <c r="E1517" s="29">
        <f t="shared" si="47"/>
        <v>-1.8178203854769855E-4</v>
      </c>
    </row>
    <row r="1518" spans="1:5" ht="14.25" customHeight="1" x14ac:dyDescent="0.3">
      <c r="A1518" s="27">
        <v>46164</v>
      </c>
      <c r="B1518" s="28">
        <v>23719.30078125</v>
      </c>
      <c r="C1518" s="28">
        <v>339.75</v>
      </c>
      <c r="D1518" s="29">
        <f t="shared" si="46"/>
        <v>-3.0809502070957514E-3</v>
      </c>
      <c r="E1518" s="29">
        <f t="shared" si="47"/>
        <v>2.7310244743587054E-3</v>
      </c>
    </row>
    <row r="1519" spans="1:5" ht="14.25" customHeight="1" x14ac:dyDescent="0.3">
      <c r="A1519" s="27">
        <v>46167</v>
      </c>
      <c r="B1519" s="28">
        <v>24031.69921875</v>
      </c>
      <c r="C1519" s="28">
        <v>346.25</v>
      </c>
      <c r="D1519" s="29">
        <f t="shared" si="46"/>
        <v>1.9131714495952908E-2</v>
      </c>
      <c r="E1519" s="29">
        <f t="shared" si="47"/>
        <v>1.317064277657584E-2</v>
      </c>
    </row>
    <row r="1520" spans="1:5" ht="14.25" customHeight="1" x14ac:dyDescent="0.3">
      <c r="A1520" s="27">
        <v>46168</v>
      </c>
      <c r="B1520" s="28">
        <v>23913.69921875</v>
      </c>
      <c r="C1520" s="28">
        <v>366.25</v>
      </c>
      <c r="D1520" s="29">
        <f t="shared" si="46"/>
        <v>5.7761732851985562E-2</v>
      </c>
      <c r="E1520" s="29">
        <f t="shared" si="47"/>
        <v>-4.9101812953756549E-3</v>
      </c>
    </row>
    <row r="1521" spans="1:5" ht="14.25" customHeight="1" x14ac:dyDescent="0.3">
      <c r="A1521" s="27">
        <v>46169</v>
      </c>
      <c r="B1521" s="28">
        <v>23907.150390625</v>
      </c>
      <c r="C1521" s="28">
        <v>394.14999389648398</v>
      </c>
      <c r="D1521" s="29">
        <f t="shared" si="46"/>
        <v>7.617745773784021E-2</v>
      </c>
      <c r="E1521" s="29">
        <f t="shared" si="47"/>
        <v>-2.738525756761741E-4</v>
      </c>
    </row>
    <row r="1522" spans="1:5" ht="14.25" customHeight="1" x14ac:dyDescent="0.3">
      <c r="A1522" s="27">
        <v>46171</v>
      </c>
      <c r="B1522" s="28">
        <v>23547.75</v>
      </c>
      <c r="C1522" s="28">
        <v>386.5</v>
      </c>
      <c r="D1522" s="29">
        <f t="shared" si="46"/>
        <v>-1.940883931230785E-2</v>
      </c>
      <c r="E1522" s="29">
        <f t="shared" si="47"/>
        <v>-1.5033175629578004E-2</v>
      </c>
    </row>
    <row r="1523" spans="1:5" ht="14.25" customHeight="1" x14ac:dyDescent="0.3">
      <c r="A1523" s="27">
        <v>46174</v>
      </c>
      <c r="B1523" s="28">
        <v>23382.599609375</v>
      </c>
      <c r="C1523" s="28">
        <v>392.25</v>
      </c>
      <c r="D1523" s="29">
        <f t="shared" si="46"/>
        <v>1.4877102199223804E-2</v>
      </c>
      <c r="E1523" s="29">
        <f t="shared" si="47"/>
        <v>-7.0134255130532642E-3</v>
      </c>
    </row>
    <row r="1524" spans="1:5" ht="14.25" customHeight="1" x14ac:dyDescent="0.3">
      <c r="A1524" s="27">
        <v>46175</v>
      </c>
      <c r="B1524" s="28">
        <v>23483.55078125</v>
      </c>
      <c r="C1524" s="28">
        <v>406.25</v>
      </c>
      <c r="D1524" s="29">
        <f t="shared" si="46"/>
        <v>3.5691523263224986E-2</v>
      </c>
      <c r="E1524" s="29">
        <f t="shared" si="47"/>
        <v>4.31736306319528E-3</v>
      </c>
    </row>
    <row r="1525" spans="1:5" ht="14.25" customHeight="1" x14ac:dyDescent="0.3">
      <c r="A1525" s="27">
        <v>46176</v>
      </c>
      <c r="B1525" s="28">
        <v>23405.599609375</v>
      </c>
      <c r="C1525" s="28">
        <v>398.95001220703102</v>
      </c>
      <c r="D1525" s="29">
        <f t="shared" si="46"/>
        <v>-1.7969200721154405E-2</v>
      </c>
      <c r="E1525" s="29">
        <f t="shared" si="47"/>
        <v>-3.319394609491451E-3</v>
      </c>
    </row>
    <row r="1526" spans="1:5" ht="14.25" customHeight="1" x14ac:dyDescent="0.3">
      <c r="A1526" s="27">
        <v>46177</v>
      </c>
      <c r="B1526" s="28">
        <v>23416.55078125</v>
      </c>
      <c r="C1526" s="28">
        <v>403.39999389648398</v>
      </c>
      <c r="D1526" s="29">
        <f t="shared" si="46"/>
        <v>1.1154233746817588E-2</v>
      </c>
      <c r="E1526" s="29">
        <f t="shared" si="47"/>
        <v>4.6788683297024192E-4</v>
      </c>
    </row>
    <row r="1527" spans="1:5" ht="14.25" customHeight="1" x14ac:dyDescent="0.3">
      <c r="A1527" s="27">
        <v>46178</v>
      </c>
      <c r="B1527" s="28">
        <v>23366.69921875</v>
      </c>
      <c r="C1527" s="28">
        <v>399.54998779296898</v>
      </c>
      <c r="D1527" s="29">
        <f t="shared" si="46"/>
        <v>-9.543892319698313E-3</v>
      </c>
      <c r="E1527" s="29">
        <f t="shared" si="47"/>
        <v>-2.1289028843614719E-3</v>
      </c>
    </row>
    <row r="1528" spans="1:5" ht="14.25" customHeight="1" x14ac:dyDescent="0.3">
      <c r="A1528" s="27">
        <v>46181</v>
      </c>
      <c r="B1528" s="28">
        <v>23123</v>
      </c>
      <c r="C1528" s="28">
        <v>385.89999389648398</v>
      </c>
      <c r="D1528" s="29">
        <f t="shared" si="46"/>
        <v>-3.4163419630882048E-2</v>
      </c>
      <c r="E1528" s="29">
        <f t="shared" si="47"/>
        <v>-1.0429338627102706E-2</v>
      </c>
    </row>
    <row r="1529" spans="1:5" ht="14.25" customHeight="1" x14ac:dyDescent="0.3">
      <c r="A1529" s="27">
        <v>46182</v>
      </c>
      <c r="B1529" s="28">
        <v>23242.099609375</v>
      </c>
      <c r="C1529" s="28">
        <v>392.95001220703102</v>
      </c>
      <c r="D1529" s="29">
        <f t="shared" si="46"/>
        <v>1.8269029339342727E-2</v>
      </c>
      <c r="E1529" s="29">
        <f t="shared" si="47"/>
        <v>5.1506988442243653E-3</v>
      </c>
    </row>
    <row r="1530" spans="1:5" ht="14.25" customHeight="1" x14ac:dyDescent="0.3">
      <c r="A1530" s="27">
        <v>46183</v>
      </c>
      <c r="B1530" s="28">
        <v>23214.94921875</v>
      </c>
      <c r="C1530" s="28">
        <v>386.35000610351602</v>
      </c>
      <c r="D1530" s="29">
        <f t="shared" si="46"/>
        <v>-1.6796045040043662E-2</v>
      </c>
      <c r="E1530" s="29">
        <f t="shared" si="47"/>
        <v>-1.1681556778996222E-3</v>
      </c>
    </row>
    <row r="1531" spans="1:5" ht="14.25" customHeight="1" x14ac:dyDescent="0.3">
      <c r="A1531" s="27">
        <v>46184</v>
      </c>
      <c r="B1531" s="28">
        <v>23161.599609375</v>
      </c>
      <c r="C1531" s="28">
        <v>385.64999389648398</v>
      </c>
      <c r="D1531" s="29">
        <f t="shared" si="46"/>
        <v>-1.8118602199387289E-3</v>
      </c>
      <c r="E1531" s="29">
        <f t="shared" si="47"/>
        <v>-2.2980713363745446E-3</v>
      </c>
    </row>
    <row r="1532" spans="1:5" ht="14.25" customHeight="1" x14ac:dyDescent="0.3">
      <c r="A1532" s="27">
        <v>46185</v>
      </c>
      <c r="B1532" s="28">
        <v>23622.900390625</v>
      </c>
      <c r="C1532" s="28">
        <v>391.95001220703102</v>
      </c>
      <c r="D1532" s="29">
        <f t="shared" si="46"/>
        <v>1.6336103747581269E-2</v>
      </c>
      <c r="E1532" s="29">
        <f t="shared" si="47"/>
        <v>1.9916620139797326E-2</v>
      </c>
    </row>
    <row r="1533" spans="1:5" ht="14.25" customHeight="1" x14ac:dyDescent="0.3">
      <c r="A1533" s="27">
        <v>46188</v>
      </c>
      <c r="B1533" s="28">
        <v>23853.900390625</v>
      </c>
      <c r="C1533" s="28">
        <v>394.85000610351602</v>
      </c>
      <c r="D1533" s="29">
        <f t="shared" si="46"/>
        <v>7.398887118679821E-3</v>
      </c>
      <c r="E1533" s="29">
        <f t="shared" si="47"/>
        <v>9.7786468291452822E-3</v>
      </c>
    </row>
    <row r="1534" spans="1:5" ht="14.25" customHeight="1" x14ac:dyDescent="0.3">
      <c r="A1534" s="27">
        <v>46189</v>
      </c>
      <c r="B1534" s="28">
        <v>23989.150390625</v>
      </c>
      <c r="C1534" s="28">
        <v>388.54998779296898</v>
      </c>
      <c r="D1534" s="29">
        <f t="shared" si="46"/>
        <v>-1.5955472237970281E-2</v>
      </c>
      <c r="E1534" s="29">
        <f t="shared" si="47"/>
        <v>5.6699322871808259E-3</v>
      </c>
    </row>
    <row r="1535" spans="1:5" ht="14.25" customHeight="1" x14ac:dyDescent="0.3">
      <c r="A1535" s="27">
        <v>46190</v>
      </c>
      <c r="B1535" s="28">
        <v>24085.69921875</v>
      </c>
      <c r="C1535" s="28">
        <v>388.39999389648398</v>
      </c>
      <c r="D1535" s="29">
        <f t="shared" si="46"/>
        <v>-3.8603500501181715E-4</v>
      </c>
      <c r="E1535" s="29">
        <f t="shared" si="47"/>
        <v>4.024687267071011E-3</v>
      </c>
    </row>
    <row r="1536" spans="1:5" ht="14.25" customHeight="1" x14ac:dyDescent="0.3">
      <c r="A1536" s="27">
        <v>46191</v>
      </c>
      <c r="B1536" s="28">
        <v>24168</v>
      </c>
      <c r="C1536" s="28">
        <v>384.85000610351602</v>
      </c>
      <c r="D1536" s="29">
        <f t="shared" si="46"/>
        <v>-9.1400305065764079E-3</v>
      </c>
      <c r="E1536" s="29">
        <f t="shared" si="47"/>
        <v>3.4169978003350341E-3</v>
      </c>
    </row>
  </sheetData>
  <mergeCells count="1">
    <mergeCell ref="H5:I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27"/>
  <sheetViews>
    <sheetView zoomScaleNormal="100" workbookViewId="0">
      <selection activeCell="D20" sqref="D20"/>
    </sheetView>
  </sheetViews>
  <sheetFormatPr defaultColWidth="8.6640625" defaultRowHeight="14.4" x14ac:dyDescent="0.3"/>
  <cols>
    <col min="1" max="1" width="33.6640625" customWidth="1"/>
    <col min="2" max="2" width="11.5546875" customWidth="1"/>
    <col min="3" max="3" width="6.6640625" customWidth="1"/>
    <col min="4" max="4" width="38.109375" customWidth="1"/>
    <col min="5" max="5" width="8.77734375" customWidth="1"/>
    <col min="6" max="6" width="19" customWidth="1"/>
  </cols>
  <sheetData>
    <row r="1" spans="1:10" ht="14.25" customHeight="1" x14ac:dyDescent="0.3">
      <c r="A1" s="230" t="s">
        <v>379</v>
      </c>
      <c r="B1" s="230"/>
      <c r="C1" s="74"/>
      <c r="D1" s="74"/>
      <c r="E1" s="74"/>
      <c r="F1" s="75"/>
      <c r="G1" s="75"/>
      <c r="H1" s="75"/>
      <c r="I1" s="75"/>
      <c r="J1" s="75"/>
    </row>
    <row r="2" spans="1:10" ht="14.25" customHeight="1" x14ac:dyDescent="0.3">
      <c r="A2" s="97" t="s">
        <v>380</v>
      </c>
      <c r="B2" s="76">
        <f>'Consolidated Balance sheet'!E13+'Consolidated Balance sheet'!E19</f>
        <v>1561.17</v>
      </c>
      <c r="C2" s="75"/>
      <c r="D2" s="75"/>
      <c r="E2" s="75"/>
      <c r="F2" s="75"/>
      <c r="G2" s="75"/>
      <c r="H2" s="75"/>
      <c r="I2" s="75"/>
      <c r="J2" s="75"/>
    </row>
    <row r="3" spans="1:10" ht="14.25" customHeight="1" x14ac:dyDescent="0.3">
      <c r="A3" s="97" t="s">
        <v>381</v>
      </c>
      <c r="B3" s="76">
        <f>'Consolidated Balance sheet'!E6/2*E3</f>
        <v>16235</v>
      </c>
      <c r="C3" s="75"/>
      <c r="D3" s="77" t="s">
        <v>382</v>
      </c>
      <c r="E3" s="78">
        <v>382</v>
      </c>
      <c r="F3" s="75"/>
      <c r="G3" s="75"/>
      <c r="H3" s="75"/>
      <c r="I3" s="75"/>
      <c r="J3" s="75"/>
    </row>
    <row r="4" spans="1:10" ht="14.25" customHeight="1" x14ac:dyDescent="0.3">
      <c r="A4" s="98" t="s">
        <v>383</v>
      </c>
      <c r="B4" s="79">
        <f>B2+B3</f>
        <v>17796.169999999998</v>
      </c>
      <c r="C4" s="75"/>
      <c r="D4" s="75"/>
      <c r="E4" s="75"/>
      <c r="F4" s="75"/>
      <c r="G4" s="75"/>
      <c r="H4" s="75"/>
      <c r="I4" s="75"/>
      <c r="J4" s="75"/>
    </row>
    <row r="5" spans="1:10" ht="14.25" customHeight="1" x14ac:dyDescent="0.3">
      <c r="A5" s="99" t="s">
        <v>384</v>
      </c>
      <c r="B5" s="80">
        <f>B2/B4</f>
        <v>8.7725055447323785E-2</v>
      </c>
      <c r="C5" s="75"/>
      <c r="D5" s="75"/>
      <c r="E5" s="75"/>
      <c r="F5" s="75"/>
      <c r="G5" s="75"/>
      <c r="H5" s="75"/>
      <c r="I5" s="75"/>
      <c r="J5" s="75"/>
    </row>
    <row r="6" spans="1:10" ht="14.25" customHeight="1" x14ac:dyDescent="0.3">
      <c r="A6" s="99" t="s">
        <v>385</v>
      </c>
      <c r="B6" s="80">
        <f>B3/B4</f>
        <v>0.91227494455267633</v>
      </c>
      <c r="C6" s="75"/>
      <c r="D6" s="75"/>
      <c r="E6" s="75"/>
      <c r="F6" s="75"/>
      <c r="G6" s="75"/>
      <c r="H6" s="75"/>
      <c r="I6" s="75"/>
      <c r="J6" s="75"/>
    </row>
    <row r="7" spans="1:10" ht="14.25" customHeight="1" x14ac:dyDescent="0.3">
      <c r="A7" s="100" t="s">
        <v>386</v>
      </c>
      <c r="B7" s="81">
        <f>B2/B3</f>
        <v>9.6160763781952582E-2</v>
      </c>
      <c r="C7" s="75"/>
      <c r="D7" s="75"/>
      <c r="E7" s="75"/>
      <c r="F7" s="75"/>
      <c r="G7" s="75"/>
      <c r="H7" s="75"/>
      <c r="I7" s="75"/>
      <c r="J7" s="75"/>
    </row>
    <row r="8" spans="1:10" ht="14.25" customHeight="1" x14ac:dyDescent="0.3">
      <c r="A8" s="82"/>
      <c r="B8" s="82"/>
      <c r="C8" s="75"/>
      <c r="D8" s="75"/>
      <c r="E8" s="75"/>
      <c r="F8" s="75"/>
      <c r="G8" s="75"/>
      <c r="H8" s="75"/>
      <c r="I8" s="75"/>
      <c r="J8" s="75"/>
    </row>
    <row r="9" spans="1:10" ht="14.25" customHeight="1" x14ac:dyDescent="0.3">
      <c r="A9" s="231" t="s">
        <v>387</v>
      </c>
      <c r="B9" s="231"/>
      <c r="C9" s="75"/>
      <c r="D9" s="75"/>
      <c r="E9" s="75"/>
      <c r="F9" s="75"/>
      <c r="G9" s="75"/>
      <c r="H9" s="75"/>
      <c r="I9" s="75"/>
      <c r="J9" s="75"/>
    </row>
    <row r="10" spans="1:10" ht="14.25" customHeight="1" x14ac:dyDescent="0.3">
      <c r="A10" s="101" t="s">
        <v>388</v>
      </c>
      <c r="B10" s="83">
        <v>6.25E-2</v>
      </c>
      <c r="C10" s="75"/>
      <c r="D10" s="190" t="s">
        <v>389</v>
      </c>
      <c r="E10" s="190"/>
      <c r="F10" s="190"/>
      <c r="G10" s="190"/>
      <c r="H10" s="190"/>
      <c r="I10" s="190"/>
      <c r="J10" s="190"/>
    </row>
    <row r="11" spans="1:10" ht="14.25" customHeight="1" x14ac:dyDescent="0.3">
      <c r="A11" s="101" t="s">
        <v>390</v>
      </c>
      <c r="B11" s="84">
        <f>BEta!I20</f>
        <v>1.0178952961871801</v>
      </c>
      <c r="C11" s="75"/>
      <c r="D11" s="75"/>
      <c r="E11" s="75"/>
      <c r="F11" s="75"/>
      <c r="G11" s="75"/>
      <c r="H11" s="75"/>
      <c r="I11" s="75"/>
      <c r="J11" s="75"/>
    </row>
    <row r="12" spans="1:10" ht="14.25" customHeight="1" x14ac:dyDescent="0.3">
      <c r="A12" s="101" t="s">
        <v>391</v>
      </c>
      <c r="B12" s="83">
        <v>6.0499999999999998E-2</v>
      </c>
      <c r="C12" s="75"/>
      <c r="D12" s="190" t="s">
        <v>392</v>
      </c>
      <c r="E12" s="190"/>
      <c r="F12" s="190"/>
      <c r="G12" s="190"/>
      <c r="H12" s="190"/>
      <c r="I12" s="190"/>
      <c r="J12" s="190"/>
    </row>
    <row r="13" spans="1:10" ht="14.25" customHeight="1" x14ac:dyDescent="0.3">
      <c r="A13" s="102" t="s">
        <v>393</v>
      </c>
      <c r="B13" s="85">
        <f>B10+B11*B12</f>
        <v>0.12408266541932439</v>
      </c>
      <c r="C13" s="75"/>
      <c r="D13" s="75"/>
      <c r="E13" s="75"/>
      <c r="F13" s="75"/>
      <c r="G13" s="75"/>
      <c r="H13" s="75"/>
      <c r="I13" s="75"/>
      <c r="J13" s="75"/>
    </row>
    <row r="14" spans="1:10" ht="14.25" customHeight="1" x14ac:dyDescent="0.3">
      <c r="A14" s="82"/>
      <c r="B14" s="82"/>
      <c r="C14" s="75"/>
      <c r="D14" s="75"/>
      <c r="E14" s="75"/>
      <c r="F14" s="75"/>
      <c r="G14" s="75"/>
      <c r="H14" s="75"/>
      <c r="I14" s="75"/>
      <c r="J14" s="75"/>
    </row>
    <row r="15" spans="1:10" ht="14.25" customHeight="1" x14ac:dyDescent="0.3">
      <c r="A15" s="231" t="s">
        <v>394</v>
      </c>
      <c r="B15" s="231"/>
      <c r="C15" s="75"/>
      <c r="D15" s="75"/>
      <c r="E15" s="75"/>
      <c r="F15" s="75"/>
      <c r="G15" s="75"/>
      <c r="H15" s="75"/>
      <c r="I15" s="75"/>
      <c r="J15" s="75"/>
    </row>
    <row r="16" spans="1:10" ht="14.25" customHeight="1" x14ac:dyDescent="0.3">
      <c r="A16" s="103" t="s">
        <v>395</v>
      </c>
      <c r="B16" s="86">
        <f>'Consolidated P&amp;L'!E16</f>
        <v>153.03</v>
      </c>
      <c r="C16" s="75"/>
      <c r="D16" s="75"/>
      <c r="E16" s="75"/>
      <c r="F16" s="75"/>
      <c r="G16" s="75"/>
      <c r="H16" s="75"/>
      <c r="I16" s="75"/>
      <c r="J16" s="75"/>
    </row>
    <row r="17" spans="1:10" ht="14.25" customHeight="1" x14ac:dyDescent="0.3">
      <c r="A17" s="101" t="s">
        <v>396</v>
      </c>
      <c r="B17" s="87">
        <f>B2</f>
        <v>1561.17</v>
      </c>
      <c r="C17" s="75"/>
      <c r="D17" s="75"/>
      <c r="E17" s="75"/>
      <c r="F17" s="75"/>
      <c r="G17" s="75"/>
      <c r="H17" s="75"/>
      <c r="I17" s="75"/>
      <c r="J17" s="75"/>
    </row>
    <row r="18" spans="1:10" ht="14.25" customHeight="1" x14ac:dyDescent="0.3">
      <c r="A18" s="101" t="s">
        <v>397</v>
      </c>
      <c r="B18" s="83">
        <f>IF(B17=0,0,B16/B17)</f>
        <v>9.8022636868502461E-2</v>
      </c>
      <c r="C18" s="75"/>
      <c r="D18" s="75"/>
      <c r="E18" s="75"/>
      <c r="F18" s="75"/>
      <c r="G18" s="75"/>
      <c r="H18" s="75"/>
      <c r="I18" s="75"/>
      <c r="J18" s="75"/>
    </row>
    <row r="19" spans="1:10" ht="14.25" customHeight="1" x14ac:dyDescent="0.3">
      <c r="A19" s="104" t="s">
        <v>398</v>
      </c>
      <c r="B19" s="88">
        <f>Assumptions!G34</f>
        <v>0.29304010823601556</v>
      </c>
      <c r="C19" s="75"/>
      <c r="D19" s="75"/>
      <c r="E19" s="75"/>
      <c r="F19" s="75"/>
      <c r="G19" s="75"/>
      <c r="H19" s="75"/>
      <c r="I19" s="75"/>
      <c r="J19" s="75"/>
    </row>
    <row r="20" spans="1:10" ht="14.25" customHeight="1" x14ac:dyDescent="0.3">
      <c r="A20" s="105" t="s">
        <v>399</v>
      </c>
      <c r="B20" s="89">
        <f>B18*(1-B19)</f>
        <v>6.9298072750976852E-2</v>
      </c>
      <c r="C20" s="75"/>
      <c r="D20" s="75"/>
      <c r="E20" s="75"/>
      <c r="F20" s="75"/>
      <c r="G20" s="75"/>
      <c r="H20" s="75"/>
      <c r="I20" s="75"/>
      <c r="J20" s="75"/>
    </row>
    <row r="21" spans="1:10" x14ac:dyDescent="0.3">
      <c r="A21" s="75"/>
      <c r="B21" s="75"/>
      <c r="C21" s="75"/>
      <c r="D21" s="75"/>
      <c r="E21" s="75"/>
      <c r="F21" s="75"/>
      <c r="G21" s="75"/>
      <c r="H21" s="75"/>
      <c r="I21" s="75"/>
      <c r="J21" s="75"/>
    </row>
    <row r="22" spans="1:10" ht="17.25" customHeight="1" x14ac:dyDescent="0.3">
      <c r="A22" s="232" t="s">
        <v>400</v>
      </c>
      <c r="B22" s="232"/>
      <c r="C22" s="232"/>
      <c r="D22" s="232"/>
      <c r="E22" s="75"/>
      <c r="F22" s="75"/>
      <c r="G22" s="75"/>
      <c r="H22" s="75"/>
      <c r="I22" s="75"/>
      <c r="J22" s="75"/>
    </row>
    <row r="23" spans="1:10" ht="14.25" customHeight="1" x14ac:dyDescent="0.3">
      <c r="A23" s="106" t="s">
        <v>401</v>
      </c>
      <c r="B23" s="107" t="s">
        <v>402</v>
      </c>
      <c r="C23" s="107" t="s">
        <v>403</v>
      </c>
      <c r="D23" s="108" t="s">
        <v>404</v>
      </c>
      <c r="E23" s="75"/>
      <c r="F23" s="75"/>
      <c r="G23" s="75"/>
      <c r="H23" s="75"/>
      <c r="I23" s="75"/>
      <c r="J23" s="75"/>
    </row>
    <row r="24" spans="1:10" ht="14.25" customHeight="1" x14ac:dyDescent="0.3">
      <c r="A24" s="109" t="s">
        <v>405</v>
      </c>
      <c r="B24" s="90">
        <f>B5</f>
        <v>8.7725055447323785E-2</v>
      </c>
      <c r="C24" s="91">
        <f>B20</f>
        <v>6.9298072750976852E-2</v>
      </c>
      <c r="D24" s="92">
        <f>C24*B24</f>
        <v>6.079177274472122E-3</v>
      </c>
      <c r="E24" s="75"/>
      <c r="F24" s="75"/>
      <c r="G24" s="75"/>
      <c r="H24" s="75"/>
      <c r="I24" s="75"/>
      <c r="J24" s="75"/>
    </row>
    <row r="25" spans="1:10" ht="14.25" customHeight="1" x14ac:dyDescent="0.3">
      <c r="A25" s="109" t="s">
        <v>406</v>
      </c>
      <c r="B25" s="90">
        <f>B6</f>
        <v>0.91227494455267633</v>
      </c>
      <c r="C25" s="91">
        <f>B13</f>
        <v>0.12408266541932439</v>
      </c>
      <c r="D25" s="92">
        <f>C25*B25</f>
        <v>0.11319750671536244</v>
      </c>
      <c r="E25" s="75"/>
      <c r="F25" s="75"/>
      <c r="G25" s="75"/>
      <c r="H25" s="75"/>
      <c r="I25" s="75"/>
      <c r="J25" s="75"/>
    </row>
    <row r="26" spans="1:10" ht="15" customHeight="1" x14ac:dyDescent="0.3">
      <c r="A26" s="233" t="s">
        <v>400</v>
      </c>
      <c r="B26" s="93">
        <f>B24+B25</f>
        <v>1</v>
      </c>
      <c r="C26" s="94"/>
      <c r="D26" s="95">
        <f>D24+D25</f>
        <v>0.11927668398983456</v>
      </c>
      <c r="E26" s="75"/>
      <c r="F26" s="75" t="s">
        <v>407</v>
      </c>
      <c r="G26" s="75"/>
      <c r="H26" s="75"/>
      <c r="I26" s="96"/>
      <c r="J26" s="75"/>
    </row>
    <row r="27" spans="1:10" x14ac:dyDescent="0.3">
      <c r="A27" s="75"/>
      <c r="B27" s="75"/>
      <c r="C27" s="75"/>
      <c r="D27" s="75"/>
      <c r="E27" s="75"/>
      <c r="F27" s="75"/>
      <c r="G27" s="75"/>
      <c r="H27" s="75"/>
      <c r="I27" s="75"/>
      <c r="J27" s="75"/>
    </row>
  </sheetData>
  <mergeCells count="6">
    <mergeCell ref="A22:D22"/>
    <mergeCell ref="A1:B1"/>
    <mergeCell ref="A9:B9"/>
    <mergeCell ref="D10:J10"/>
    <mergeCell ref="D12:J12"/>
    <mergeCell ref="A15:B15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0"/>
  <sheetViews>
    <sheetView zoomScaleNormal="100" workbookViewId="0">
      <selection sqref="A1:I2"/>
    </sheetView>
  </sheetViews>
  <sheetFormatPr defaultColWidth="8.6640625" defaultRowHeight="14.4" x14ac:dyDescent="0.3"/>
  <cols>
    <col min="1" max="1" width="24.33203125" customWidth="1"/>
    <col min="2" max="6" width="7.109375" customWidth="1"/>
    <col min="7" max="7" width="6.6640625" customWidth="1"/>
    <col min="8" max="8" width="6.77734375" customWidth="1"/>
    <col min="9" max="9" width="7.44140625" customWidth="1"/>
  </cols>
  <sheetData>
    <row r="1" spans="1:9" ht="14.25" customHeight="1" x14ac:dyDescent="0.3">
      <c r="A1" s="220" t="s">
        <v>408</v>
      </c>
      <c r="B1" s="220"/>
      <c r="C1" s="220"/>
      <c r="D1" s="220"/>
      <c r="E1" s="220"/>
      <c r="F1" s="220"/>
      <c r="G1" s="220"/>
      <c r="H1" s="220"/>
      <c r="I1" s="220"/>
    </row>
    <row r="2" spans="1:9" ht="14.25" customHeight="1" x14ac:dyDescent="0.3">
      <c r="A2" s="228" t="s">
        <v>299</v>
      </c>
      <c r="B2" s="226">
        <v>44621</v>
      </c>
      <c r="C2" s="226">
        <v>44986</v>
      </c>
      <c r="D2" s="226">
        <v>45352</v>
      </c>
      <c r="E2" s="226">
        <v>45717</v>
      </c>
      <c r="F2" s="226">
        <v>46082</v>
      </c>
      <c r="G2" s="229" t="s">
        <v>409</v>
      </c>
      <c r="H2" s="221" t="s">
        <v>410</v>
      </c>
      <c r="I2" s="221" t="s">
        <v>411</v>
      </c>
    </row>
    <row r="3" spans="1:9" ht="14.25" customHeight="1" x14ac:dyDescent="0.3">
      <c r="A3" s="29"/>
      <c r="B3" s="29"/>
      <c r="C3" s="29"/>
      <c r="D3" s="29"/>
      <c r="E3" s="29"/>
      <c r="F3" s="29"/>
      <c r="G3" s="29"/>
      <c r="H3" s="29"/>
      <c r="I3" s="29"/>
    </row>
    <row r="4" spans="1:9" ht="14.25" customHeight="1" x14ac:dyDescent="0.3">
      <c r="A4" s="29" t="s">
        <v>412</v>
      </c>
      <c r="B4" s="32"/>
      <c r="C4" s="33">
        <f>(Assumptions!C3-Assumptions!B3)/Assumptions!B3</f>
        <v>0.17897416730652851</v>
      </c>
      <c r="D4" s="33">
        <f>(Assumptions!D3-Assumptions!C3)/Assumptions!C3</f>
        <v>0.11218676549393293</v>
      </c>
      <c r="E4" s="33">
        <f>(Assumptions!E3-Assumptions!D3)/Assumptions!D3</f>
        <v>2.7914581809009388E-2</v>
      </c>
      <c r="F4" s="33">
        <f>(Assumptions!F3-Assumptions!E3)/Assumptions!E3</f>
        <v>4.3943995335845254E-2</v>
      </c>
      <c r="G4" s="21"/>
      <c r="H4" s="33">
        <f>AVERAGE(C4:F4)</f>
        <v>9.075487748632903E-2</v>
      </c>
      <c r="I4" s="33">
        <f>MEDIAN(B4:F4)</f>
        <v>7.8065380414889085E-2</v>
      </c>
    </row>
    <row r="5" spans="1:9" ht="14.25" customHeight="1" x14ac:dyDescent="0.3">
      <c r="A5" s="29" t="s">
        <v>413</v>
      </c>
      <c r="B5" s="32"/>
      <c r="C5" s="33">
        <f>(Assumptions!C9-Assumptions!B9)/Assumptions!B9</f>
        <v>0.1347210217653744</v>
      </c>
      <c r="D5" s="33">
        <f>(Assumptions!D9-Assumptions!C9)/Assumptions!C9</f>
        <v>0.143881450145732</v>
      </c>
      <c r="E5" s="33">
        <f>(Assumptions!E9-Assumptions!D9)/Assumptions!D9</f>
        <v>-1.0489298823943508E-2</v>
      </c>
      <c r="F5" s="33">
        <f>(Assumptions!F9-Assumptions!E9)/Assumptions!E9</f>
        <v>4.0271853083652609E-2</v>
      </c>
      <c r="G5" s="21"/>
      <c r="H5" s="33">
        <f>AVERAGE(B5:F5)</f>
        <v>7.7096256542703884E-2</v>
      </c>
      <c r="I5" s="33">
        <f>MEDIAN(B5:F5)</f>
        <v>8.7496437424513504E-2</v>
      </c>
    </row>
    <row r="6" spans="1:9" ht="14.25" customHeight="1" x14ac:dyDescent="0.3">
      <c r="A6" s="29" t="s">
        <v>414</v>
      </c>
      <c r="B6" s="32"/>
      <c r="C6" s="33">
        <f>(Assumptions!C11-Assumptions!B11)/Assumptions!B11</f>
        <v>0.13119396924230345</v>
      </c>
      <c r="D6" s="33">
        <f>(Assumptions!D11-Assumptions!C11)/Assumptions!C11</f>
        <v>0.15671799780929804</v>
      </c>
      <c r="E6" s="33">
        <f>(Assumptions!E11-Assumptions!D11)/Assumptions!D11</f>
        <v>-3.2609993076941138E-2</v>
      </c>
      <c r="F6" s="33">
        <f>(Assumptions!F11-Assumptions!E11)/Assumptions!E11</f>
        <v>5.4290156207585871E-2</v>
      </c>
      <c r="G6" s="21"/>
      <c r="H6" s="33">
        <f>AVERAGE(B6:F6)</f>
        <v>7.739803254556156E-2</v>
      </c>
      <c r="I6" s="33">
        <f>MEDIAN(B6:F6)</f>
        <v>9.274206272494466E-2</v>
      </c>
    </row>
    <row r="7" spans="1:9" ht="14.25" customHeight="1" x14ac:dyDescent="0.3">
      <c r="A7" s="29" t="s">
        <v>415</v>
      </c>
      <c r="B7" s="32"/>
      <c r="C7" s="33">
        <f>(Assumptions!C17-Assumptions!B17)/Assumptions!B17</f>
        <v>0.20033276898826657</v>
      </c>
      <c r="D7" s="33">
        <f>(Assumptions!D17-Assumptions!C17)/Assumptions!C17</f>
        <v>6.5307263928405565E-2</v>
      </c>
      <c r="E7" s="33">
        <f>(Assumptions!E17-Assumptions!D17)/Assumptions!D17</f>
        <v>-9.3148277082167982E-2</v>
      </c>
      <c r="F7" s="33">
        <f>(Assumptions!F17-Assumptions!E17)/Assumptions!E17</f>
        <v>8.7574887982681565E-2</v>
      </c>
      <c r="G7" s="21"/>
      <c r="H7" s="33">
        <f>AVERAGE(B7:F7)</f>
        <v>6.5016660954296424E-2</v>
      </c>
      <c r="I7" s="33">
        <f>MEDIAN(B7:F7)</f>
        <v>7.6441075955543558E-2</v>
      </c>
    </row>
    <row r="8" spans="1:9" ht="14.25" customHeight="1" x14ac:dyDescent="0.3">
      <c r="A8" s="29" t="s">
        <v>416</v>
      </c>
      <c r="B8" s="32"/>
      <c r="C8" s="32"/>
      <c r="D8" s="32"/>
      <c r="E8" s="32"/>
      <c r="F8" s="32"/>
      <c r="G8" s="21"/>
      <c r="H8" s="32"/>
      <c r="I8" s="32"/>
    </row>
    <row r="9" spans="1:9" ht="14.25" customHeight="1" x14ac:dyDescent="0.3">
      <c r="A9" s="29"/>
      <c r="B9" s="21"/>
      <c r="C9" s="21"/>
      <c r="D9" s="21"/>
      <c r="E9" s="21"/>
      <c r="F9" s="21"/>
      <c r="G9" s="21"/>
      <c r="H9" s="34"/>
      <c r="I9" s="34"/>
    </row>
    <row r="10" spans="1:9" ht="14.25" customHeight="1" x14ac:dyDescent="0.3">
      <c r="A10" s="29" t="s">
        <v>417</v>
      </c>
      <c r="B10" s="33">
        <f>(Assumptions!B3-Assumptions!B8)/Assumptions!B3</f>
        <v>0.10946171854108371</v>
      </c>
      <c r="C10" s="33">
        <f>(Assumptions!C3-Assumptions!C8)/Assumptions!C3</f>
        <v>0.10535304042403044</v>
      </c>
      <c r="D10" s="33">
        <f>(Assumptions!D3-Assumptions!D8)/Assumptions!D3</f>
        <v>0.10835535217323107</v>
      </c>
      <c r="E10" s="33">
        <f>(Assumptions!E3-Assumptions!E8)/Assumptions!E3</f>
        <v>0.10430709166166309</v>
      </c>
      <c r="F10" s="33">
        <f>(Assumptions!F3-Assumptions!F8)/Assumptions!F3</f>
        <v>0.10394018454767476</v>
      </c>
      <c r="G10" s="21"/>
      <c r="H10" s="33">
        <f>AVERAGE(B10:F10)</f>
        <v>0.10628347746953662</v>
      </c>
      <c r="I10" s="33">
        <f>MEDIAN(B10:F10)</f>
        <v>0.10535304042403044</v>
      </c>
    </row>
    <row r="11" spans="1:9" ht="14.25" customHeight="1" x14ac:dyDescent="0.3">
      <c r="A11" s="29" t="s">
        <v>37</v>
      </c>
      <c r="B11" s="33">
        <f>Assumptions!B28</f>
        <v>0.10946171854108371</v>
      </c>
      <c r="C11" s="33">
        <f>Assumptions!C28</f>
        <v>0.10535304042403044</v>
      </c>
      <c r="D11" s="33">
        <f>Assumptions!D28</f>
        <v>0.10835535217323107</v>
      </c>
      <c r="E11" s="33">
        <f>Assumptions!E28</f>
        <v>0.10430709166166309</v>
      </c>
      <c r="F11" s="33">
        <f>Assumptions!F28</f>
        <v>0.10394018454767476</v>
      </c>
      <c r="G11" s="21"/>
      <c r="H11" s="33">
        <f>AVERAGE(B11:F11)</f>
        <v>0.10628347746953662</v>
      </c>
      <c r="I11" s="33">
        <f>MEDIAN(B11:F11)</f>
        <v>0.10535304042403044</v>
      </c>
    </row>
    <row r="12" spans="1:9" ht="14.25" customHeight="1" x14ac:dyDescent="0.3">
      <c r="A12" s="29" t="s">
        <v>418</v>
      </c>
      <c r="B12" s="33">
        <f>Assumptions!B29</f>
        <v>7.5095275552379159E-2</v>
      </c>
      <c r="C12" s="33">
        <f>Assumptions!C29</f>
        <v>7.2051894926171298E-2</v>
      </c>
      <c r="D12" s="33">
        <f>Assumptions!D29</f>
        <v>7.4936805780414964E-2</v>
      </c>
      <c r="E12" s="33">
        <f>Assumptions!E29</f>
        <v>7.0524456356216042E-2</v>
      </c>
      <c r="F12" s="33">
        <f>Assumptions!F29</f>
        <v>7.1223399378172625E-2</v>
      </c>
      <c r="G12" s="21"/>
      <c r="H12" s="33">
        <f>AVERAGE(B12:F12)</f>
        <v>7.2766366398670818E-2</v>
      </c>
      <c r="I12" s="33">
        <f>MEDIAN(B12:F12)</f>
        <v>7.2051894926171298E-2</v>
      </c>
    </row>
    <row r="13" spans="1:9" ht="14.25" customHeight="1" x14ac:dyDescent="0.3">
      <c r="A13" s="29" t="s">
        <v>419</v>
      </c>
      <c r="B13" s="33">
        <f>Assumptions!B30</f>
        <v>7.5184413122926855E-2</v>
      </c>
      <c r="C13" s="33">
        <f>Assumptions!C30</f>
        <v>7.5427638385585444E-2</v>
      </c>
      <c r="D13" s="33">
        <f>Assumptions!D30</f>
        <v>7.3383411658983086E-2</v>
      </c>
      <c r="E13" s="33">
        <f>Assumptions!E30</f>
        <v>6.8190638623726207E-2</v>
      </c>
      <c r="F13" s="33">
        <f>Assumptions!F30</f>
        <v>6.9946958519839772E-2</v>
      </c>
      <c r="G13" s="21"/>
      <c r="H13" s="33">
        <f>AVERAGE(B13:F13)</f>
        <v>7.2426612062212278E-2</v>
      </c>
      <c r="I13" s="33">
        <f>MEDIAN(B13:F13)</f>
        <v>7.3383411658983086E-2</v>
      </c>
    </row>
    <row r="14" spans="1:9" ht="14.25" customHeight="1" x14ac:dyDescent="0.3">
      <c r="A14" s="29" t="s">
        <v>420</v>
      </c>
      <c r="B14" s="33">
        <f>Assumptions!B31</f>
        <v>5.3573243716192126E-2</v>
      </c>
      <c r="C14" s="33">
        <f>Assumptions!C31</f>
        <v>5.4543790489025121E-2</v>
      </c>
      <c r="D14" s="33">
        <f>Assumptions!D31</f>
        <v>5.224472904453431E-2</v>
      </c>
      <c r="E14" s="33">
        <f>Assumptions!E31</f>
        <v>4.6091594949486087E-2</v>
      </c>
      <c r="F14" s="33">
        <f>Assumptions!F31</f>
        <v>4.8017960195272595E-2</v>
      </c>
      <c r="G14" s="21"/>
      <c r="H14" s="33">
        <f>AVERAGE(B14:F14)</f>
        <v>5.0894263678902041E-2</v>
      </c>
      <c r="I14" s="33">
        <f>MEDIAN(B14:F14)</f>
        <v>5.224472904453431E-2</v>
      </c>
    </row>
    <row r="15" spans="1:9" ht="14.25" customHeight="1" x14ac:dyDescent="0.3">
      <c r="A15" s="29"/>
      <c r="B15" s="21"/>
      <c r="C15" s="21"/>
      <c r="D15" s="21"/>
      <c r="E15" s="21"/>
      <c r="F15" s="21"/>
      <c r="G15" s="21"/>
      <c r="H15" s="34"/>
      <c r="I15" s="34"/>
    </row>
    <row r="16" spans="1:9" ht="14.25" customHeight="1" x14ac:dyDescent="0.3">
      <c r="A16" s="29" t="s">
        <v>421</v>
      </c>
      <c r="B16" s="33">
        <f>Assumptions!B8/Assumptions!B3</f>
        <v>0.89053828145891634</v>
      </c>
      <c r="C16" s="33">
        <f>Assumptions!C8/Assumptions!C3</f>
        <v>0.89464695957596951</v>
      </c>
      <c r="D16" s="33">
        <f>Assumptions!D8/Assumptions!D3</f>
        <v>0.89164464782676889</v>
      </c>
      <c r="E16" s="33">
        <f>Assumptions!E8/Assumptions!E3</f>
        <v>0.89569290833833692</v>
      </c>
      <c r="F16" s="33">
        <f>Assumptions!F8/Assumptions!F3</f>
        <v>0.89605981545232527</v>
      </c>
      <c r="G16" s="21"/>
      <c r="H16" s="33">
        <f>AVERAGE(B16:F16)</f>
        <v>0.89371652253046341</v>
      </c>
      <c r="I16" s="33">
        <f>MEDIAN(B16:F16)</f>
        <v>0.89464695957596951</v>
      </c>
    </row>
    <row r="17" spans="1:9" ht="14.25" customHeight="1" x14ac:dyDescent="0.3">
      <c r="A17" s="29" t="s">
        <v>422</v>
      </c>
      <c r="B17" s="33">
        <f>Assumptions!B10/Assumptions!B3</f>
        <v>3.4366442988704553E-2</v>
      </c>
      <c r="C17" s="33">
        <f>Assumptions!C10/Assumptions!C3</f>
        <v>3.3301145497859154E-2</v>
      </c>
      <c r="D17" s="33">
        <f>Assumptions!D10/Assumptions!D3</f>
        <v>3.3418546392816099E-2</v>
      </c>
      <c r="E17" s="33">
        <f>Assumptions!E10/Assumptions!E3</f>
        <v>3.3782635305447027E-2</v>
      </c>
      <c r="F17" s="33">
        <f>Assumptions!F10/Assumptions!F3</f>
        <v>3.2716785169502126E-2</v>
      </c>
      <c r="G17" s="21"/>
      <c r="H17" s="33">
        <f>AVERAGE(B17:F17)</f>
        <v>3.3517111070865795E-2</v>
      </c>
      <c r="I17" s="33">
        <f>MEDIAN(B17:F17)</f>
        <v>3.3418546392816099E-2</v>
      </c>
    </row>
    <row r="18" spans="1:9" ht="14.25" customHeight="1" x14ac:dyDescent="0.3">
      <c r="A18" s="29" t="s">
        <v>423</v>
      </c>
      <c r="B18" s="33">
        <f>Assumptions!B9/Assumptions!B3</f>
        <v>0.10946171854108371</v>
      </c>
      <c r="C18" s="33">
        <f>Assumptions!C9/Assumptions!C3</f>
        <v>0.10535304042403044</v>
      </c>
      <c r="D18" s="33">
        <f>Assumptions!D9/Assumptions!D3</f>
        <v>0.10835535217323107</v>
      </c>
      <c r="E18" s="33">
        <f>Assumptions!E9/Assumptions!E3</f>
        <v>0.10430709166166309</v>
      </c>
      <c r="F18" s="33">
        <f>Assumptions!F9/Assumptions!F3</f>
        <v>0.10394018454767476</v>
      </c>
      <c r="G18" s="21"/>
      <c r="H18" s="33">
        <f>AVERAGE(B18:F18)</f>
        <v>0.10628347746953662</v>
      </c>
      <c r="I18" s="33">
        <f>MEDIAN(B18:F18)</f>
        <v>0.10535304042403044</v>
      </c>
    </row>
    <row r="19" spans="1:9" ht="14.25" customHeight="1" x14ac:dyDescent="0.3">
      <c r="A19" s="29"/>
      <c r="B19" s="21"/>
      <c r="C19" s="21"/>
      <c r="D19" s="21"/>
      <c r="E19" s="21"/>
      <c r="F19" s="21"/>
      <c r="G19" s="21"/>
      <c r="H19" s="34"/>
      <c r="I19" s="34"/>
    </row>
    <row r="20" spans="1:9" ht="14.25" customHeight="1" x14ac:dyDescent="0.3">
      <c r="A20" s="29" t="s">
        <v>424</v>
      </c>
      <c r="B20" s="33">
        <f>Assumptions!B44</f>
        <v>9.06562028623802E-2</v>
      </c>
      <c r="C20" s="33">
        <f>Assumptions!C44</f>
        <v>9.638685694260217E-2</v>
      </c>
      <c r="D20" s="33">
        <f>Assumptions!D44</f>
        <v>9.48230523535043E-2</v>
      </c>
      <c r="E20" s="33">
        <f>Assumptions!E44</f>
        <v>7.9526357346256085E-2</v>
      </c>
      <c r="F20" s="33">
        <f>Assumptions!F44</f>
        <v>8.6952067782029852E-2</v>
      </c>
      <c r="G20" s="21"/>
      <c r="H20" s="33">
        <f>AVERAGE(B20:F20)</f>
        <v>8.9668907457354521E-2</v>
      </c>
      <c r="I20" s="33">
        <f>MEDIAN(B20:F20)</f>
        <v>9.06562028623802E-2</v>
      </c>
    </row>
    <row r="21" spans="1:9" ht="14.25" customHeight="1" x14ac:dyDescent="0.3">
      <c r="A21" s="29" t="s">
        <v>425</v>
      </c>
      <c r="B21" s="33">
        <f>Assumptions!B17/Assumptions!B3</f>
        <v>5.3573243716192126E-2</v>
      </c>
      <c r="C21" s="33">
        <f>Assumptions!C17/Assumptions!C3</f>
        <v>5.4543790489025121E-2</v>
      </c>
      <c r="D21" s="33">
        <f>Assumptions!D17/Assumptions!D3</f>
        <v>5.224472904453431E-2</v>
      </c>
      <c r="E21" s="33">
        <f>Assumptions!E17/Assumptions!E3</f>
        <v>4.6091594949486087E-2</v>
      </c>
      <c r="F21" s="33">
        <f>Assumptions!F17/Assumptions!F3</f>
        <v>4.8017960195272595E-2</v>
      </c>
      <c r="G21" s="21"/>
      <c r="H21" s="33">
        <f>AVERAGE(B21:F21)</f>
        <v>5.0894263678902041E-2</v>
      </c>
      <c r="I21" s="33">
        <f>MEDIAN(B21:F21)</f>
        <v>5.224472904453431E-2</v>
      </c>
    </row>
    <row r="22" spans="1:9" ht="14.25" customHeight="1" x14ac:dyDescent="0.3">
      <c r="A22" s="29" t="s">
        <v>426</v>
      </c>
      <c r="B22" s="33">
        <f>Assumptions!B17/Assumptions!B39</f>
        <v>6.473704002554849E-2</v>
      </c>
      <c r="C22" s="33">
        <f>Assumptions!C17/Assumptions!C39</f>
        <v>7.3877049445396539E-2</v>
      </c>
      <c r="D22" s="33">
        <f>Assumptions!D17/Assumptions!D39</f>
        <v>6.7989048868802027E-2</v>
      </c>
      <c r="E22" s="33">
        <f>Assumptions!E17/Assumptions!E39</f>
        <v>5.7104333351540998E-2</v>
      </c>
      <c r="F22" s="33">
        <f>Assumptions!F17/Assumptions!F39</f>
        <v>6.2143784363009928E-2</v>
      </c>
      <c r="G22" s="21"/>
      <c r="H22" s="33">
        <f>AVERAGE(B22:F22)</f>
        <v>6.5170251210859592E-2</v>
      </c>
      <c r="I22" s="33">
        <f>MEDIAN(B22:F22)</f>
        <v>6.473704002554849E-2</v>
      </c>
    </row>
    <row r="23" spans="1:9" ht="14.25" customHeight="1" x14ac:dyDescent="0.3">
      <c r="A23" s="29" t="s">
        <v>427</v>
      </c>
      <c r="B23" s="33">
        <f>B22*B21</f>
        <v>3.468173222753594E-3</v>
      </c>
      <c r="C23" s="33">
        <f>C22*C21</f>
        <v>4.0295343068970585E-3</v>
      </c>
      <c r="D23" s="33">
        <f>D22*D21</f>
        <v>3.552069436146164E-3</v>
      </c>
      <c r="E23" s="33">
        <f>E22*E21</f>
        <v>2.6320298026996569E-3</v>
      </c>
      <c r="F23" s="33">
        <f>F22*F21</f>
        <v>2.9840177639266141E-3</v>
      </c>
      <c r="G23" s="21"/>
      <c r="H23" s="33">
        <f>AVERAGE(B23:F23)</f>
        <v>3.3331649064846174E-3</v>
      </c>
      <c r="I23" s="33">
        <f>MEDIAN(B23:F23)</f>
        <v>3.468173222753594E-3</v>
      </c>
    </row>
    <row r="24" spans="1:9" ht="14.25" customHeight="1" x14ac:dyDescent="0.3">
      <c r="A24" s="29" t="s">
        <v>428</v>
      </c>
      <c r="B24" s="35">
        <f>IF(Assumptions!B13=0,"",Assumptions!B11/Assumptions!B13)</f>
        <v>15.762514360741811</v>
      </c>
      <c r="C24" s="35">
        <f>IF(Assumptions!C13=0,"",Assumptions!C11/Assumptions!C13)</f>
        <v>14.71302816901407</v>
      </c>
      <c r="D24" s="35">
        <f>IF(Assumptions!D13=0,"",Assumptions!D11/Assumptions!D13)</f>
        <v>10.833362068965503</v>
      </c>
      <c r="E24" s="35">
        <f>IF(Assumptions!E13=0,"",Assumptions!E11/Assumptions!E13)</f>
        <v>7.944128602234847</v>
      </c>
      <c r="F24" s="35">
        <f>IF(Assumptions!F13=0,"",Assumptions!F11/Assumptions!F13)</f>
        <v>10.350399741581189</v>
      </c>
      <c r="G24" s="21"/>
      <c r="H24" s="35">
        <f>AVERAGE(B24:F24)</f>
        <v>11.920686588507484</v>
      </c>
      <c r="I24" s="35">
        <f>MEDIAN(B24:F24)</f>
        <v>10.833362068965503</v>
      </c>
    </row>
    <row r="25" spans="1:9" ht="14.25" customHeight="1" x14ac:dyDescent="0.3">
      <c r="A25" s="29"/>
      <c r="B25" s="21"/>
      <c r="C25" s="21"/>
      <c r="D25" s="21"/>
      <c r="E25" s="21"/>
      <c r="F25" s="21"/>
      <c r="G25" s="21"/>
      <c r="H25" s="34"/>
      <c r="I25" s="34"/>
    </row>
    <row r="26" spans="1:9" ht="14.25" customHeight="1" x14ac:dyDescent="0.3">
      <c r="A26" s="29" t="s">
        <v>429</v>
      </c>
      <c r="B26" s="35">
        <f>Assumptions!B3/'Consolidated Balance sheet'!B40</f>
        <v>11.649332786810584</v>
      </c>
      <c r="C26" s="35">
        <f>Assumptions!C3/'Consolidated Balance sheet'!C40</f>
        <v>12.263153186125006</v>
      </c>
      <c r="D26" s="35">
        <f>Assumptions!D3/'Consolidated Balance sheet'!D40</f>
        <v>12.132021963871024</v>
      </c>
      <c r="E26" s="35">
        <f>Assumptions!E3/'Consolidated Balance sheet'!E40</f>
        <v>10.221745859498691</v>
      </c>
      <c r="F26" s="35">
        <f>Assumptions!F3/'Consolidated Balance sheet'!F40</f>
        <v>11.42699754256069</v>
      </c>
      <c r="G26" s="21"/>
      <c r="H26" s="35">
        <f>AVERAGE(B26:F26)</f>
        <v>11.5386502677732</v>
      </c>
      <c r="I26" s="35">
        <f>MEDIAN(B26:F26)</f>
        <v>11.649332786810584</v>
      </c>
    </row>
    <row r="27" spans="1:9" ht="14.25" customHeight="1" x14ac:dyDescent="0.3">
      <c r="A27" s="29" t="s">
        <v>430</v>
      </c>
      <c r="B27" s="35">
        <f>Assumptions!B8/'Consolidated Balance sheet'!B20</f>
        <v>6.1686101617803972</v>
      </c>
      <c r="C27" s="35">
        <f>Assumptions!C8/'Consolidated Balance sheet'!C20</f>
        <v>7.2696471780169336</v>
      </c>
      <c r="D27" s="35">
        <f>Assumptions!D8/'Consolidated Balance sheet'!D20</f>
        <v>5.5221845524311792</v>
      </c>
      <c r="E27" s="35">
        <f>Assumptions!E8/'Consolidated Balance sheet'!E20</f>
        <v>4.615845929398259</v>
      </c>
      <c r="F27" s="35">
        <f>Assumptions!F8/'Consolidated Balance sheet'!F20</f>
        <v>4.3863102832008138</v>
      </c>
      <c r="G27" s="21"/>
      <c r="H27" s="35">
        <f>AVERAGE(B27:F27)</f>
        <v>5.5925196209655166</v>
      </c>
      <c r="I27" s="35">
        <f>MEDIAN(B27:F27)</f>
        <v>5.5221845524311792</v>
      </c>
    </row>
    <row r="28" spans="1:9" ht="14.25" customHeight="1" x14ac:dyDescent="0.3">
      <c r="A28" s="29" t="s">
        <v>431</v>
      </c>
      <c r="B28" s="35">
        <f>Assumptions!B8/'Consolidated Balance sheet'!B39</f>
        <v>3.9888382616126563</v>
      </c>
      <c r="C28" s="35">
        <f>Assumptions!C8/'Consolidated Balance sheet'!C39</f>
        <v>3.9255121638924457</v>
      </c>
      <c r="D28" s="35">
        <f>Assumptions!D8/'Consolidated Balance sheet'!D39</f>
        <v>3.8651994426823628</v>
      </c>
      <c r="E28" s="35">
        <f>Assumptions!E8/'Consolidated Balance sheet'!E39</f>
        <v>3.3822909592762165</v>
      </c>
      <c r="F28" s="35">
        <f>Assumptions!F8/'Consolidated Balance sheet'!F39</f>
        <v>4.0271500106142533</v>
      </c>
      <c r="G28" s="21"/>
      <c r="H28" s="35">
        <f>AVERAGE(B28:F28)</f>
        <v>3.837798167615587</v>
      </c>
      <c r="I28" s="35">
        <f>MEDIAN(B28:F28)</f>
        <v>3.9255121638924457</v>
      </c>
    </row>
    <row r="29" spans="1:9" ht="14.25" customHeight="1" x14ac:dyDescent="0.3">
      <c r="A29" s="29" t="s">
        <v>432</v>
      </c>
      <c r="B29" s="35">
        <f>Assumptions!B3/'Consolidated Balance sheet'!B31</f>
        <v>3.4987197023581547</v>
      </c>
      <c r="C29" s="35">
        <f>Assumptions!C3/'Consolidated Balance sheet'!C31</f>
        <v>3.6210324083524452</v>
      </c>
      <c r="D29" s="35">
        <f>Assumptions!D3/'Consolidated Balance sheet'!D31</f>
        <v>3.2505776313239001</v>
      </c>
      <c r="E29" s="35">
        <f>Assumptions!E3/'Consolidated Balance sheet'!E31</f>
        <v>2.288332693918568</v>
      </c>
      <c r="F29" s="35">
        <f>Assumptions!F3/'Consolidated Balance sheet'!F31</f>
        <v>2.2056774098656029</v>
      </c>
      <c r="G29" s="21"/>
      <c r="H29" s="35">
        <f>AVERAGE(B29:F29)</f>
        <v>2.9728679691637341</v>
      </c>
      <c r="I29" s="35">
        <f>MEDIAN(B29:F29)</f>
        <v>3.2505776313239001</v>
      </c>
    </row>
    <row r="30" spans="1:9" ht="14.25" customHeight="1" x14ac:dyDescent="0.3">
      <c r="A30" s="29" t="s">
        <v>433</v>
      </c>
      <c r="B30" s="35">
        <f>Assumptions!B3/Assumptions!B42</f>
        <v>1.2072157961408272</v>
      </c>
      <c r="C30" s="35">
        <f>Assumptions!C3/Assumptions!C42</f>
        <v>1.3377421515612593</v>
      </c>
      <c r="D30" s="35">
        <f>Assumptions!D3/Assumptions!D42</f>
        <v>1.265373555304204</v>
      </c>
      <c r="E30" s="35">
        <f>Assumptions!E3/Assumptions!E42</f>
        <v>1.127642259935643</v>
      </c>
      <c r="F30" s="35">
        <f>Assumptions!F3/Assumptions!F42</f>
        <v>1.2208356880067353</v>
      </c>
      <c r="G30" s="21"/>
      <c r="H30" s="35">
        <f>AVERAGE(B30:F30)</f>
        <v>1.2317618901897336</v>
      </c>
      <c r="I30" s="35">
        <f>MEDIAN(B30:F30)</f>
        <v>1.2208356880067353</v>
      </c>
    </row>
    <row r="31" spans="1:9" ht="14.25" customHeight="1" x14ac:dyDescent="0.3">
      <c r="A31" s="29"/>
      <c r="B31" s="21"/>
      <c r="C31" s="21"/>
      <c r="D31" s="21"/>
      <c r="E31" s="21"/>
      <c r="F31" s="21"/>
      <c r="G31" s="21"/>
      <c r="H31" s="34"/>
      <c r="I31" s="34"/>
    </row>
    <row r="32" spans="1:9" ht="14.25" customHeight="1" x14ac:dyDescent="0.3">
      <c r="A32" s="36" t="s">
        <v>434</v>
      </c>
      <c r="B32" s="21"/>
      <c r="C32" s="21"/>
      <c r="D32" s="21"/>
      <c r="E32" s="21"/>
      <c r="F32" s="21"/>
      <c r="G32" s="21"/>
      <c r="H32" s="34"/>
      <c r="I32" s="34"/>
    </row>
    <row r="33" spans="1:9" ht="14.25" customHeight="1" x14ac:dyDescent="0.3">
      <c r="A33" s="29" t="s">
        <v>435</v>
      </c>
      <c r="B33" s="37">
        <f t="shared" ref="B33:F35" si="0">365/B26</f>
        <v>31.332266549484643</v>
      </c>
      <c r="C33" s="37">
        <f t="shared" si="0"/>
        <v>29.763959926144832</v>
      </c>
      <c r="D33" s="37">
        <f t="shared" si="0"/>
        <v>30.085669238562577</v>
      </c>
      <c r="E33" s="37">
        <f t="shared" si="0"/>
        <v>35.708185765626226</v>
      </c>
      <c r="F33" s="37">
        <f t="shared" si="0"/>
        <v>31.941898879432742</v>
      </c>
      <c r="G33" s="21"/>
      <c r="H33" s="37">
        <f>AVERAGE(B33:F33)</f>
        <v>31.766396071850203</v>
      </c>
      <c r="I33" s="37">
        <f>MEDIAN(B33:F33)</f>
        <v>31.332266549484643</v>
      </c>
    </row>
    <row r="34" spans="1:9" ht="14.25" customHeight="1" x14ac:dyDescent="0.3">
      <c r="A34" s="29" t="s">
        <v>436</v>
      </c>
      <c r="B34" s="37">
        <f t="shared" si="0"/>
        <v>59.170540920461235</v>
      </c>
      <c r="C34" s="37">
        <f t="shared" si="0"/>
        <v>50.208764065433961</v>
      </c>
      <c r="D34" s="37">
        <f t="shared" si="0"/>
        <v>66.097030357181069</v>
      </c>
      <c r="E34" s="37">
        <f t="shared" si="0"/>
        <v>79.075429635837722</v>
      </c>
      <c r="F34" s="37">
        <f t="shared" si="0"/>
        <v>83.213447392884675</v>
      </c>
      <c r="G34" s="21"/>
      <c r="H34" s="37">
        <f>AVERAGE(B34:F34)</f>
        <v>67.553042474359728</v>
      </c>
      <c r="I34" s="37">
        <f>MEDIAN(B34:F34)</f>
        <v>66.097030357181069</v>
      </c>
    </row>
    <row r="35" spans="1:9" ht="14.25" customHeight="1" x14ac:dyDescent="0.3">
      <c r="A35" s="29" t="s">
        <v>437</v>
      </c>
      <c r="B35" s="37">
        <f t="shared" si="0"/>
        <v>91.5053396655981</v>
      </c>
      <c r="C35" s="37">
        <f t="shared" si="0"/>
        <v>92.981497639297743</v>
      </c>
      <c r="D35" s="37">
        <f t="shared" si="0"/>
        <v>94.43238451537654</v>
      </c>
      <c r="E35" s="37">
        <f t="shared" si="0"/>
        <v>107.91502103003791</v>
      </c>
      <c r="F35" s="37">
        <f t="shared" si="0"/>
        <v>90.634815946259536</v>
      </c>
      <c r="G35" s="21"/>
      <c r="H35" s="37">
        <f>AVERAGE(B35:F35)</f>
        <v>95.493811759313971</v>
      </c>
      <c r="I35" s="37">
        <f>MEDIAN(B35:F35)</f>
        <v>92.981497639297743</v>
      </c>
    </row>
    <row r="36" spans="1:9" ht="14.25" customHeight="1" x14ac:dyDescent="0.3">
      <c r="A36" s="29" t="s">
        <v>438</v>
      </c>
      <c r="B36" s="37">
        <f>B33+B35-B34</f>
        <v>63.667065294621509</v>
      </c>
      <c r="C36" s="37">
        <f>C33+C35-C34</f>
        <v>72.536693500008624</v>
      </c>
      <c r="D36" s="37">
        <f>D33+D35-D34</f>
        <v>58.421023396758045</v>
      </c>
      <c r="E36" s="37">
        <f>E33+E35-E34</f>
        <v>64.547777159826424</v>
      </c>
      <c r="F36" s="37">
        <f>F33+F35-F34</f>
        <v>39.363267432807604</v>
      </c>
      <c r="G36" s="21"/>
      <c r="H36" s="37">
        <f>AVERAGE(B36:F36)</f>
        <v>59.707165356804445</v>
      </c>
      <c r="I36" s="37">
        <f>MEDIAN(B36:F36)</f>
        <v>63.667065294621509</v>
      </c>
    </row>
    <row r="37" spans="1:9" ht="14.25" customHeight="1" x14ac:dyDescent="0.3">
      <c r="A37" s="29"/>
      <c r="B37" s="21"/>
      <c r="C37" s="21"/>
      <c r="D37" s="21"/>
      <c r="E37" s="21"/>
      <c r="F37" s="21"/>
      <c r="G37" s="21"/>
      <c r="H37" s="34"/>
      <c r="I37" s="34"/>
    </row>
    <row r="38" spans="1:9" ht="14.25" customHeight="1" x14ac:dyDescent="0.3">
      <c r="A38" s="29" t="s">
        <v>439</v>
      </c>
      <c r="B38" s="33">
        <f>(Assumptions!B17+Assumptions!B10)/Assumptions!B3</f>
        <v>8.7939686704896672E-2</v>
      </c>
      <c r="C38" s="33">
        <f>(Assumptions!C17+Assumptions!C10)/Assumptions!C3</f>
        <v>8.7844935986884282E-2</v>
      </c>
      <c r="D38" s="33">
        <f>(Assumptions!D17+Assumptions!D10)/Assumptions!D3</f>
        <v>8.5663275437350417E-2</v>
      </c>
      <c r="E38" s="33">
        <f>(Assumptions!E17+Assumptions!E10)/Assumptions!E3</f>
        <v>7.9874230254933121E-2</v>
      </c>
      <c r="F38" s="33">
        <f>(Assumptions!F17+Assumptions!F10)/Assumptions!F3</f>
        <v>8.0734745364774721E-2</v>
      </c>
      <c r="G38" s="21"/>
      <c r="H38" s="33">
        <f>AVERAGE(B38:F38)</f>
        <v>8.4411374749767842E-2</v>
      </c>
      <c r="I38" s="33">
        <f>MEDIAN(B38:F38)</f>
        <v>8.5663275437350417E-2</v>
      </c>
    </row>
    <row r="39" spans="1:9" ht="14.25" customHeight="1" x14ac:dyDescent="0.3">
      <c r="A39" s="29" t="s">
        <v>440</v>
      </c>
      <c r="B39" s="33">
        <f>(Assumptions!B17+Assumptions!B10)/'Consolidated Balance sheet'!B45</f>
        <v>8.0850516260609601E-2</v>
      </c>
      <c r="C39" s="33">
        <f>(Assumptions!C17+Assumptions!C10)/'Consolidated Balance sheet'!C45</f>
        <v>8.9691813473748008E-2</v>
      </c>
      <c r="D39" s="33">
        <f>(Assumptions!D17+Assumptions!D10)/'Consolidated Balance sheet'!D45</f>
        <v>7.9148673114409693E-2</v>
      </c>
      <c r="E39" s="33">
        <f>(Assumptions!E17+Assumptions!E10)/'Consolidated Balance sheet'!E45</f>
        <v>6.4350288110157153E-2</v>
      </c>
      <c r="F39" s="33">
        <f>(Assumptions!F17+Assumptions!F10)/'Consolidated Balance sheet'!F45</f>
        <v>6.8466456926240787E-2</v>
      </c>
      <c r="G39" s="21"/>
      <c r="H39" s="33">
        <f>AVERAGE(B39:F39)</f>
        <v>7.6501549577033062E-2</v>
      </c>
      <c r="I39" s="33">
        <f>MEDIAN(B39:F39)</f>
        <v>7.9148673114409693E-2</v>
      </c>
    </row>
    <row r="40" spans="1:9" ht="14.25" customHeight="1" x14ac:dyDescent="0.3">
      <c r="A40" s="29" t="s">
        <v>441</v>
      </c>
      <c r="B40" s="33">
        <f>IF(Assumptions!B40=0,"",(Assumptions!B17+Assumptions!B10)/Assumptions!B40)</f>
        <v>5.3753285857668516</v>
      </c>
      <c r="C40" s="33">
        <f>IF(Assumptions!C40=0,"",(Assumptions!C17+Assumptions!C10)/Assumptions!C40)</f>
        <v>4.7409979239745113</v>
      </c>
      <c r="D40" s="33">
        <f>IF(Assumptions!D40=0,"",(Assumptions!D17+Assumptions!D10)/Assumptions!D40)</f>
        <v>2.0611656336088129</v>
      </c>
      <c r="E40" s="33">
        <f>IF(Assumptions!E40=0,"",(Assumptions!E17+Assumptions!E10)/Assumptions!E40)</f>
        <v>0.88194110827135974</v>
      </c>
      <c r="F40" s="33">
        <f>IF(Assumptions!F40=0,"",(Assumptions!F17+Assumptions!F10)/Assumptions!F40)</f>
        <v>1.3290490783515514</v>
      </c>
      <c r="G40" s="21"/>
      <c r="H40" s="33">
        <f>AVERAGE(B40:F40)</f>
        <v>2.8776964659946174</v>
      </c>
      <c r="I40" s="33">
        <f>MEDIAN(B40:F40)</f>
        <v>2.0611656336088129</v>
      </c>
    </row>
  </sheetData>
  <mergeCells count="1">
    <mergeCell ref="A1:I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3"/>
  <sheetViews>
    <sheetView zoomScaleNormal="100" workbookViewId="0">
      <selection sqref="A1:F1"/>
    </sheetView>
  </sheetViews>
  <sheetFormatPr defaultColWidth="8.6640625" defaultRowHeight="14.4" x14ac:dyDescent="0.3"/>
  <cols>
    <col min="1" max="1" width="39.88671875" customWidth="1"/>
    <col min="6" max="6" width="9.44140625" customWidth="1"/>
    <col min="9" max="9" width="20.77734375" customWidth="1"/>
    <col min="10" max="10" width="6.77734375" customWidth="1"/>
  </cols>
  <sheetData>
    <row r="1" spans="1:10" ht="14.25" customHeight="1" x14ac:dyDescent="0.3">
      <c r="A1" s="227" t="s">
        <v>442</v>
      </c>
      <c r="B1" s="226">
        <v>44621</v>
      </c>
      <c r="C1" s="226">
        <v>44986</v>
      </c>
      <c r="D1" s="226">
        <v>45352</v>
      </c>
      <c r="E1" s="226">
        <v>45717</v>
      </c>
      <c r="F1" s="226">
        <v>46082</v>
      </c>
    </row>
    <row r="2" spans="1:10" ht="14.25" customHeight="1" x14ac:dyDescent="0.3">
      <c r="A2" s="38" t="s">
        <v>443</v>
      </c>
      <c r="B2" s="35">
        <f>Assumptions!B11</f>
        <v>960.40999999999849</v>
      </c>
      <c r="C2" s="35">
        <f>Assumptions!C11</f>
        <v>1086.4099999999989</v>
      </c>
      <c r="D2" s="35">
        <f>Assumptions!D11</f>
        <v>1256.6699999999983</v>
      </c>
      <c r="E2" s="35">
        <f>Assumptions!E11</f>
        <v>1215.6899999999987</v>
      </c>
      <c r="F2" s="35">
        <f>Assumptions!F11</f>
        <v>1281.6899999999987</v>
      </c>
    </row>
    <row r="3" spans="1:10" ht="14.25" customHeight="1" x14ac:dyDescent="0.3">
      <c r="A3" s="21" t="s">
        <v>444</v>
      </c>
      <c r="B3" s="35">
        <f>B2*$J$5</f>
        <v>281.43865035095126</v>
      </c>
      <c r="C3" s="35">
        <f>C2*$J$5</f>
        <v>318.36170398868938</v>
      </c>
      <c r="D3" s="35">
        <f>D2*$J$5</f>
        <v>368.25471281695314</v>
      </c>
      <c r="E3" s="35">
        <f>E2*$J$5</f>
        <v>356.2459291814414</v>
      </c>
      <c r="F3" s="35">
        <f>F2*$J$5</f>
        <v>375.58657632501843</v>
      </c>
    </row>
    <row r="4" spans="1:10" ht="14.25" customHeight="1" x14ac:dyDescent="0.3">
      <c r="A4" s="38" t="s">
        <v>445</v>
      </c>
      <c r="B4" s="35">
        <f>B2-B3</f>
        <v>678.97134964904717</v>
      </c>
      <c r="C4" s="35">
        <f>C2-C3</f>
        <v>768.0482960113095</v>
      </c>
      <c r="D4" s="35">
        <f>D2-D3</f>
        <v>888.41528718304517</v>
      </c>
      <c r="E4" s="35">
        <f>E2-E3</f>
        <v>859.44407081855729</v>
      </c>
      <c r="F4" s="35">
        <f>F2-F3</f>
        <v>906.10342367498026</v>
      </c>
    </row>
    <row r="5" spans="1:10" ht="14.25" customHeight="1" x14ac:dyDescent="0.3">
      <c r="A5" s="21" t="s">
        <v>446</v>
      </c>
      <c r="B5" s="39"/>
      <c r="C5" s="35">
        <f>'Fixed Asset Scheduled'!C8</f>
        <v>508.65000000000009</v>
      </c>
      <c r="D5" s="35">
        <f>'Fixed Asset Scheduled'!D8</f>
        <v>994.94999999999993</v>
      </c>
      <c r="E5" s="35">
        <f>'Fixed Asset Scheduled'!E8</f>
        <v>2373.9300000000003</v>
      </c>
      <c r="F5" s="35">
        <f>'Fixed Asset Scheduled'!F8</f>
        <v>625.71999999999935</v>
      </c>
      <c r="I5" t="s">
        <v>447</v>
      </c>
      <c r="J5" s="40">
        <f>AVERAGE(Assumptions!B34:F34)</f>
        <v>0.29304010823601556</v>
      </c>
    </row>
    <row r="6" spans="1:10" ht="14.25" customHeight="1" x14ac:dyDescent="0.3">
      <c r="A6" s="21" t="s">
        <v>448</v>
      </c>
      <c r="B6" s="39"/>
      <c r="C6" s="35">
        <f>'Change in working Capital'!C6</f>
        <v>703.5300000000002</v>
      </c>
      <c r="D6" s="35">
        <f>'Change in working Capital'!D6</f>
        <v>-267.27999999999975</v>
      </c>
      <c r="E6" s="35">
        <f>'Change in working Capital'!E6</f>
        <v>363.26999999999953</v>
      </c>
      <c r="F6" s="35">
        <f>'Change in working Capital'!F6</f>
        <v>-1003.6599999999994</v>
      </c>
    </row>
    <row r="7" spans="1:10" ht="14.25" customHeight="1" x14ac:dyDescent="0.3">
      <c r="A7" s="21" t="s">
        <v>449</v>
      </c>
      <c r="B7" s="39"/>
      <c r="C7" s="35">
        <f>C5+C6</f>
        <v>1212.1800000000003</v>
      </c>
      <c r="D7" s="35">
        <f>D5+D6</f>
        <v>727.67000000000019</v>
      </c>
      <c r="E7" s="35">
        <f>E5+E6</f>
        <v>2737.2</v>
      </c>
      <c r="F7" s="35">
        <f>F5+F6</f>
        <v>-377.94000000000005</v>
      </c>
    </row>
    <row r="8" spans="1:10" ht="14.25" customHeight="1" x14ac:dyDescent="0.3">
      <c r="A8" s="38" t="s">
        <v>450</v>
      </c>
      <c r="B8" s="41"/>
      <c r="C8" s="35">
        <f>C4-C7</f>
        <v>-444.13170398869079</v>
      </c>
      <c r="D8" s="35">
        <f>D4-D7</f>
        <v>160.74528718304498</v>
      </c>
      <c r="E8" s="35">
        <f>E4-E7</f>
        <v>-1877.7559291814425</v>
      </c>
      <c r="F8" s="35">
        <f>F4-F7</f>
        <v>1284.0434236749802</v>
      </c>
    </row>
    <row r="9" spans="1:10" ht="14.25" customHeight="1" x14ac:dyDescent="0.3">
      <c r="A9" s="38"/>
      <c r="B9" s="21"/>
      <c r="C9" s="39"/>
      <c r="D9" s="39"/>
      <c r="E9" s="39"/>
      <c r="F9" s="39"/>
      <c r="I9" t="s">
        <v>451</v>
      </c>
      <c r="J9" s="42">
        <f>Assumptions!B35</f>
        <v>0.28000000000000003</v>
      </c>
    </row>
    <row r="10" spans="1:10" ht="14.25" customHeight="1" x14ac:dyDescent="0.3">
      <c r="A10" s="21" t="s">
        <v>452</v>
      </c>
      <c r="B10" s="32"/>
      <c r="C10" s="33">
        <f>C7/C4</f>
        <v>1.578260125431163</v>
      </c>
      <c r="D10" s="33">
        <f>D7/D4</f>
        <v>0.81906514948349185</v>
      </c>
      <c r="E10" s="33">
        <f>E7/E4</f>
        <v>3.1848494776315324</v>
      </c>
      <c r="F10" s="33">
        <f>F7/F4</f>
        <v>-0.41710470364094698</v>
      </c>
    </row>
    <row r="11" spans="1:10" ht="14.25" customHeight="1" x14ac:dyDescent="0.3">
      <c r="A11" s="17"/>
      <c r="B11" s="17"/>
      <c r="C11" s="17"/>
      <c r="D11" s="17"/>
      <c r="E11" s="17"/>
    </row>
    <row r="12" spans="1:10" ht="14.25" customHeight="1" x14ac:dyDescent="0.3">
      <c r="A12" s="21" t="s">
        <v>453</v>
      </c>
      <c r="B12" s="40">
        <f>MEDIAN(C10:F10)</f>
        <v>1.1986626374573275</v>
      </c>
      <c r="C12" s="43"/>
      <c r="D12" s="17"/>
      <c r="E12" s="17"/>
    </row>
    <row r="13" spans="1:10" ht="14.25" customHeight="1" x14ac:dyDescent="0.3">
      <c r="A13" s="21" t="s">
        <v>454</v>
      </c>
      <c r="B13" s="40">
        <f>AVERAGE(C10:F10)</f>
        <v>1.2912675122263102</v>
      </c>
      <c r="C13" s="43"/>
      <c r="D13" s="17"/>
      <c r="E13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0"/>
  <sheetViews>
    <sheetView zoomScaleNormal="100" workbookViewId="0">
      <selection sqref="A1:F1"/>
    </sheetView>
  </sheetViews>
  <sheetFormatPr defaultColWidth="8.6640625" defaultRowHeight="14.4" x14ac:dyDescent="0.3"/>
  <cols>
    <col min="1" max="1" width="46" customWidth="1"/>
  </cols>
  <sheetData>
    <row r="1" spans="1:6" ht="14.25" customHeight="1" x14ac:dyDescent="0.3">
      <c r="A1" s="227" t="s">
        <v>442</v>
      </c>
      <c r="B1" s="226">
        <v>44621</v>
      </c>
      <c r="C1" s="226">
        <v>44986</v>
      </c>
      <c r="D1" s="226">
        <v>45352</v>
      </c>
      <c r="E1" s="226">
        <v>45717</v>
      </c>
      <c r="F1" s="226">
        <v>46082</v>
      </c>
    </row>
    <row r="2" spans="1:6" ht="14.25" customHeight="1" x14ac:dyDescent="0.3">
      <c r="A2" s="21" t="s">
        <v>455</v>
      </c>
      <c r="B2" s="35">
        <f>'Consolidated Balance sheet'!B39</f>
        <v>2855.29</v>
      </c>
      <c r="C2" s="35">
        <f>'Consolidated Balance sheet'!C39</f>
        <v>3436.4</v>
      </c>
      <c r="D2" s="35">
        <f>'Consolidated Balance sheet'!D39</f>
        <v>3868.53</v>
      </c>
      <c r="E2" s="35">
        <f>'Consolidated Balance sheet'!E39</f>
        <v>4564.8999999999996</v>
      </c>
      <c r="F2" s="35">
        <f>'Consolidated Balance sheet'!F39</f>
        <v>4004.05</v>
      </c>
    </row>
    <row r="3" spans="1:6" ht="14.25" customHeight="1" x14ac:dyDescent="0.3">
      <c r="A3" s="21" t="s">
        <v>456</v>
      </c>
      <c r="B3" s="35">
        <f>'Consolidated Balance sheet'!B40</f>
        <v>1097.8499999999999</v>
      </c>
      <c r="C3" s="35">
        <f>'Consolidated Balance sheet'!C40</f>
        <v>1229.55</v>
      </c>
      <c r="D3" s="35">
        <f>'Consolidated Balance sheet'!D40</f>
        <v>1382.27</v>
      </c>
      <c r="E3" s="35">
        <f>'Consolidated Balance sheet'!E40</f>
        <v>1686.39</v>
      </c>
      <c r="F3" s="35">
        <f>'Consolidated Balance sheet'!F40</f>
        <v>1574.81</v>
      </c>
    </row>
    <row r="4" spans="1:6" ht="14.25" customHeight="1" x14ac:dyDescent="0.3">
      <c r="A4" s="21" t="s">
        <v>457</v>
      </c>
      <c r="B4" s="35">
        <f>'Consolidated Balance sheet'!B20</f>
        <v>1846.33</v>
      </c>
      <c r="C4" s="35">
        <f>'Consolidated Balance sheet'!C20</f>
        <v>1855.61</v>
      </c>
      <c r="D4" s="35">
        <f>'Consolidated Balance sheet'!D20</f>
        <v>2707.74</v>
      </c>
      <c r="E4" s="35">
        <f>'Consolidated Balance sheet'!E20</f>
        <v>3344.96</v>
      </c>
      <c r="F4" s="35">
        <f>'Consolidated Balance sheet'!F20</f>
        <v>3676.19</v>
      </c>
    </row>
    <row r="5" spans="1:6" ht="14.25" customHeight="1" x14ac:dyDescent="0.3">
      <c r="A5" s="21" t="s">
        <v>458</v>
      </c>
      <c r="B5" s="35">
        <f>B2+B3-B4</f>
        <v>2106.81</v>
      </c>
      <c r="C5" s="35">
        <f>C2+C3-C4</f>
        <v>2810.34</v>
      </c>
      <c r="D5" s="35">
        <f>D2+D3-D4</f>
        <v>2543.0600000000004</v>
      </c>
      <c r="E5" s="35">
        <f>E2+E3-E4</f>
        <v>2906.33</v>
      </c>
      <c r="F5" s="35">
        <f>F2+F3-F4</f>
        <v>1902.6700000000005</v>
      </c>
    </row>
    <row r="6" spans="1:6" ht="14.25" customHeight="1" x14ac:dyDescent="0.3">
      <c r="A6" s="38" t="s">
        <v>459</v>
      </c>
      <c r="B6" s="39"/>
      <c r="C6" s="35">
        <f>C5-B5</f>
        <v>703.5300000000002</v>
      </c>
      <c r="D6" s="35">
        <f>D5-C5</f>
        <v>-267.27999999999975</v>
      </c>
      <c r="E6" s="35">
        <f>E5-D5</f>
        <v>363.26999999999953</v>
      </c>
      <c r="F6" s="35">
        <f>F5-E5</f>
        <v>-1003.6599999999994</v>
      </c>
    </row>
    <row r="7" spans="1:6" ht="14.25" customHeight="1" x14ac:dyDescent="0.3">
      <c r="A7" s="21" t="s">
        <v>460</v>
      </c>
      <c r="B7" s="32"/>
      <c r="C7" s="33">
        <f>C6/'Consolidated P&amp;L'!B8</f>
        <v>5.5009609655631869E-2</v>
      </c>
      <c r="D7" s="33">
        <f>D6/'Consolidated P&amp;L'!C8</f>
        <v>-1.7726300821850925E-2</v>
      </c>
      <c r="E7" s="33">
        <f>E6/'Consolidated P&amp;L'!D8</f>
        <v>2.1662245009311392E-2</v>
      </c>
      <c r="F7" s="33">
        <f>F6/'Consolidated P&amp;L'!E8</f>
        <v>-5.8224198493431578E-2</v>
      </c>
    </row>
    <row r="8" spans="1:6" ht="14.25" customHeight="1" x14ac:dyDescent="0.3">
      <c r="A8" s="17"/>
      <c r="B8" s="17"/>
      <c r="C8" s="17"/>
      <c r="D8" s="17"/>
      <c r="E8" s="17"/>
    </row>
    <row r="9" spans="1:6" ht="14.25" customHeight="1" x14ac:dyDescent="0.3">
      <c r="A9" s="21" t="s">
        <v>461</v>
      </c>
      <c r="B9" s="17"/>
      <c r="C9" s="44">
        <f>MEDIAN(C7:F7)</f>
        <v>1.9679720937302338E-3</v>
      </c>
      <c r="D9" s="17"/>
      <c r="E9" s="17"/>
    </row>
    <row r="10" spans="1:6" ht="14.25" customHeight="1" x14ac:dyDescent="0.3">
      <c r="A10" s="21" t="s">
        <v>462</v>
      </c>
      <c r="B10" s="17"/>
      <c r="C10" s="44">
        <f>AVERAGE(C7:F7)</f>
        <v>1.8033883741519138E-4</v>
      </c>
      <c r="D10" s="17"/>
      <c r="E10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2"/>
  <sheetViews>
    <sheetView zoomScaleNormal="100" workbookViewId="0">
      <selection sqref="A1:F1"/>
    </sheetView>
  </sheetViews>
  <sheetFormatPr defaultColWidth="8.6640625" defaultRowHeight="14.4" x14ac:dyDescent="0.3"/>
  <cols>
    <col min="1" max="1" width="40.33203125" customWidth="1"/>
    <col min="6" max="6" width="9.44140625" customWidth="1"/>
  </cols>
  <sheetData>
    <row r="1" spans="1:6" ht="14.25" customHeight="1" x14ac:dyDescent="0.3">
      <c r="A1" s="227" t="s">
        <v>442</v>
      </c>
      <c r="B1" s="226">
        <v>44621</v>
      </c>
      <c r="C1" s="226">
        <v>44986</v>
      </c>
      <c r="D1" s="226">
        <v>45352</v>
      </c>
      <c r="E1" s="226">
        <v>45717</v>
      </c>
      <c r="F1" s="226">
        <v>46082</v>
      </c>
    </row>
    <row r="2" spans="1:6" ht="14.25" customHeight="1" x14ac:dyDescent="0.3">
      <c r="A2" s="21" t="s">
        <v>463</v>
      </c>
      <c r="B2" s="39"/>
      <c r="C2" s="35">
        <f>B6</f>
        <v>3655.4</v>
      </c>
      <c r="D2" s="35">
        <f>C6</f>
        <v>4164.05</v>
      </c>
      <c r="E2" s="45">
        <f>D6</f>
        <v>5159</v>
      </c>
      <c r="F2" s="35">
        <f>E6</f>
        <v>7532.93</v>
      </c>
    </row>
    <row r="3" spans="1:6" ht="14.25" customHeight="1" x14ac:dyDescent="0.3">
      <c r="A3" s="38" t="s">
        <v>464</v>
      </c>
      <c r="B3" s="41"/>
      <c r="C3" s="35">
        <f>C6-C2+C5</f>
        <v>1010.7700000000001</v>
      </c>
      <c r="D3" s="35">
        <f>D6-D2+D5</f>
        <v>1555.37</v>
      </c>
      <c r="E3" s="35">
        <f>E6-E2+E5</f>
        <v>2956.2700000000004</v>
      </c>
      <c r="F3" s="35">
        <f>F6-F2+F5</f>
        <v>1214.4699999999993</v>
      </c>
    </row>
    <row r="4" spans="1:6" ht="14.25" customHeight="1" x14ac:dyDescent="0.3">
      <c r="A4" s="38" t="s">
        <v>465</v>
      </c>
      <c r="B4" s="35">
        <f>B5+B6</f>
        <v>4094.92</v>
      </c>
      <c r="C4" s="35">
        <f>C5+C6</f>
        <v>4666.17</v>
      </c>
      <c r="D4" s="35">
        <f>D5+D6</f>
        <v>5719.42</v>
      </c>
      <c r="E4" s="35">
        <f>E5+E6</f>
        <v>8115.27</v>
      </c>
      <c r="F4" s="35">
        <f>F5+F6</f>
        <v>8747.4</v>
      </c>
    </row>
    <row r="5" spans="1:6" ht="14.25" customHeight="1" x14ac:dyDescent="0.3">
      <c r="A5" s="38" t="s">
        <v>466</v>
      </c>
      <c r="B5" s="35">
        <f>'Consolidated P&amp;L'!B17</f>
        <v>439.52</v>
      </c>
      <c r="C5" s="35">
        <f>'Consolidated P&amp;L'!C17</f>
        <v>502.12</v>
      </c>
      <c r="D5" s="35">
        <f>'Consolidated P&amp;L'!D17</f>
        <v>560.41999999999996</v>
      </c>
      <c r="E5" s="35">
        <f>'Consolidated P&amp;L'!E17</f>
        <v>582.34</v>
      </c>
      <c r="F5" s="35">
        <f>'Consolidated P&amp;L'!F17</f>
        <v>588.75</v>
      </c>
    </row>
    <row r="6" spans="1:6" ht="14.25" customHeight="1" x14ac:dyDescent="0.3">
      <c r="A6" s="21" t="s">
        <v>467</v>
      </c>
      <c r="B6" s="35">
        <f>'Consolidated Balance sheet'!B31</f>
        <v>3655.4</v>
      </c>
      <c r="C6" s="35">
        <f>'Consolidated Balance sheet'!C31</f>
        <v>4164.05</v>
      </c>
      <c r="D6" s="35">
        <f>'Consolidated Balance sheet'!D31</f>
        <v>5159</v>
      </c>
      <c r="E6" s="35">
        <f>'Consolidated Balance sheet'!E31</f>
        <v>7532.93</v>
      </c>
      <c r="F6" s="35">
        <f>'Consolidated Balance sheet'!F31</f>
        <v>8158.65</v>
      </c>
    </row>
    <row r="7" spans="1:6" ht="14.25" customHeight="1" x14ac:dyDescent="0.3">
      <c r="A7" s="17"/>
      <c r="B7" s="17"/>
      <c r="C7" s="17"/>
      <c r="D7" s="17"/>
      <c r="E7" s="17"/>
    </row>
    <row r="8" spans="1:6" ht="14.25" customHeight="1" x14ac:dyDescent="0.3">
      <c r="A8" s="38" t="s">
        <v>468</v>
      </c>
      <c r="B8" s="41"/>
      <c r="C8" s="46">
        <f>C3-C5</f>
        <v>508.65000000000009</v>
      </c>
      <c r="D8" s="46">
        <f>D3-D5</f>
        <v>994.94999999999993</v>
      </c>
      <c r="E8" s="46">
        <f>E3-E5</f>
        <v>2373.9300000000003</v>
      </c>
      <c r="F8" s="46">
        <f>F3-F5</f>
        <v>625.71999999999935</v>
      </c>
    </row>
    <row r="9" spans="1:6" ht="14.25" customHeight="1" x14ac:dyDescent="0.3">
      <c r="A9" s="21" t="s">
        <v>469</v>
      </c>
      <c r="B9" s="32"/>
      <c r="C9" s="44">
        <f>C8/'Consolidated P&amp;L'!B8</f>
        <v>3.9771776543057365E-2</v>
      </c>
      <c r="D9" s="44">
        <f>D8/'Consolidated P&amp;L'!C8</f>
        <v>6.5986168073558046E-2</v>
      </c>
      <c r="E9" s="44">
        <f>E8/'Consolidated P&amp;L'!D8</f>
        <v>0.14156041868294841</v>
      </c>
      <c r="F9" s="44">
        <f>F8/'Consolidated P&amp;L'!E8</f>
        <v>3.629919044428391E-2</v>
      </c>
    </row>
    <row r="10" spans="1:6" ht="14.25" customHeight="1" x14ac:dyDescent="0.3">
      <c r="A10" s="17"/>
      <c r="B10" s="17"/>
      <c r="C10" s="17"/>
      <c r="D10" s="17"/>
      <c r="E10" s="17"/>
    </row>
    <row r="11" spans="1:6" ht="14.25" customHeight="1" x14ac:dyDescent="0.3">
      <c r="A11" s="21" t="s">
        <v>470</v>
      </c>
      <c r="B11" s="17"/>
      <c r="C11" s="44">
        <f>MEDIAN(C9:F9)</f>
        <v>5.2878972308307709E-2</v>
      </c>
      <c r="D11" s="17"/>
      <c r="E11" s="17"/>
    </row>
    <row r="12" spans="1:6" ht="14.25" customHeight="1" x14ac:dyDescent="0.3">
      <c r="A12" s="21" t="s">
        <v>471</v>
      </c>
      <c r="B12" s="17"/>
      <c r="C12" s="44">
        <f>AVERAGE(C9:F9)</f>
        <v>7.0904388435961932E-2</v>
      </c>
      <c r="D12" s="17"/>
      <c r="E12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7"/>
  <sheetViews>
    <sheetView zoomScaleNormal="100" workbookViewId="0">
      <selection activeCell="H19" sqref="H19"/>
    </sheetView>
  </sheetViews>
  <sheetFormatPr defaultColWidth="8.6640625" defaultRowHeight="14.4" x14ac:dyDescent="0.3"/>
  <cols>
    <col min="1" max="1" width="39.77734375" customWidth="1"/>
    <col min="2" max="6" width="10.33203125" customWidth="1"/>
    <col min="7" max="7" width="6.77734375" customWidth="1"/>
    <col min="8" max="8" width="15.109375" customWidth="1"/>
  </cols>
  <sheetData>
    <row r="1" spans="1:6" ht="25.5" customHeight="1" x14ac:dyDescent="0.5">
      <c r="A1" s="222" t="s">
        <v>472</v>
      </c>
      <c r="B1" s="222"/>
      <c r="C1" s="222"/>
      <c r="D1" s="222"/>
      <c r="E1" s="222"/>
      <c r="F1" s="222"/>
    </row>
    <row r="2" spans="1:6" ht="14.25" customHeight="1" x14ac:dyDescent="0.3">
      <c r="A2" s="223" t="s">
        <v>473</v>
      </c>
      <c r="B2" s="224" t="s">
        <v>474</v>
      </c>
      <c r="C2" s="224" t="s">
        <v>475</v>
      </c>
      <c r="D2" s="224" t="s">
        <v>476</v>
      </c>
      <c r="E2" s="225">
        <v>45717</v>
      </c>
      <c r="F2" s="225">
        <v>46082</v>
      </c>
    </row>
    <row r="3" spans="1:6" ht="14.25" customHeight="1" x14ac:dyDescent="0.3">
      <c r="A3" s="47" t="s">
        <v>477</v>
      </c>
      <c r="B3" s="35">
        <f>'Consolidated P&amp;L'!B8</f>
        <v>12789.22</v>
      </c>
      <c r="C3" s="35">
        <f>'Consolidated P&amp;L'!C8</f>
        <v>15078.16</v>
      </c>
      <c r="D3" s="35">
        <f>'Consolidated P&amp;L'!D8</f>
        <v>16769.73</v>
      </c>
      <c r="E3" s="35">
        <f>'Consolidated P&amp;L'!E8</f>
        <v>17237.849999999999</v>
      </c>
      <c r="F3" s="35">
        <f>'Consolidated P&amp;L'!F8</f>
        <v>17995.349999999999</v>
      </c>
    </row>
    <row r="4" spans="1:6" ht="14.25" customHeight="1" x14ac:dyDescent="0.3">
      <c r="A4" s="29" t="s">
        <v>478</v>
      </c>
      <c r="B4" s="21"/>
      <c r="C4" s="33">
        <f>(C3-B3)/B3</f>
        <v>0.17897416730652851</v>
      </c>
      <c r="D4" s="33">
        <f>(D3-C3)/C3</f>
        <v>0.11218676549393293</v>
      </c>
      <c r="E4" s="33">
        <f>(E3-D3)/D3</f>
        <v>2.7914581809009388E-2</v>
      </c>
      <c r="F4" s="33">
        <f>(F3-E3)/E3</f>
        <v>4.3943995335845254E-2</v>
      </c>
    </row>
    <row r="5" spans="1:6" ht="14.25" customHeight="1" x14ac:dyDescent="0.3">
      <c r="A5" s="29" t="s">
        <v>479</v>
      </c>
      <c r="B5" s="35">
        <f>'Consolidated P&amp;L'!B12+'Consolidated P&amp;L'!B13+'Consolidated P&amp;L'!B14</f>
        <v>8676.7800000000007</v>
      </c>
      <c r="C5" s="35">
        <f>'Consolidated P&amp;L'!C12+'Consolidated P&amp;L'!C13+'Consolidated P&amp;L'!C14</f>
        <v>10353.290000000001</v>
      </c>
      <c r="D5" s="35">
        <f>'Consolidated P&amp;L'!D12+'Consolidated P&amp;L'!D13+'Consolidated P&amp;L'!D14</f>
        <v>11397.59</v>
      </c>
      <c r="E5" s="35">
        <f>'Consolidated P&amp;L'!E12+'Consolidated P&amp;L'!E13+'Consolidated P&amp;L'!E14</f>
        <v>11597.42</v>
      </c>
      <c r="F5" s="35">
        <f>'Consolidated P&amp;L'!F12+'Consolidated P&amp;L'!F13+'Consolidated P&amp;L'!F14</f>
        <v>12192.2</v>
      </c>
    </row>
    <row r="6" spans="1:6" ht="14.25" customHeight="1" x14ac:dyDescent="0.3">
      <c r="A6" s="29" t="s">
        <v>480</v>
      </c>
      <c r="B6" s="35">
        <f>'Consolidated P&amp;L'!B15</f>
        <v>906.36</v>
      </c>
      <c r="C6" s="35">
        <f>'Consolidated P&amp;L'!C15</f>
        <v>1002.62</v>
      </c>
      <c r="D6" s="35">
        <f>'Consolidated P&amp;L'!D15</f>
        <v>1166.6300000000001</v>
      </c>
      <c r="E6" s="35">
        <f>'Consolidated P&amp;L'!E15</f>
        <v>1296.31</v>
      </c>
      <c r="F6" s="35">
        <f>'Consolidated P&amp;L'!F15</f>
        <v>1372.17</v>
      </c>
    </row>
    <row r="7" spans="1:6" ht="14.25" customHeight="1" x14ac:dyDescent="0.3">
      <c r="A7" s="29" t="s">
        <v>481</v>
      </c>
      <c r="B7" s="35">
        <f>'Consolidated P&amp;L'!B18</f>
        <v>1806.15</v>
      </c>
      <c r="C7" s="35">
        <f>'Consolidated P&amp;L'!C18</f>
        <v>2133.7199999999998</v>
      </c>
      <c r="D7" s="35">
        <f>'Consolidated P&amp;L'!D18</f>
        <v>2388.42</v>
      </c>
      <c r="E7" s="35">
        <f>'Consolidated P&amp;L'!E18</f>
        <v>2546.09</v>
      </c>
      <c r="F7" s="35">
        <f>'Consolidated P&amp;L'!F18</f>
        <v>2560.54</v>
      </c>
    </row>
    <row r="8" spans="1:6" ht="14.25" customHeight="1" x14ac:dyDescent="0.3">
      <c r="A8" s="47" t="s">
        <v>213</v>
      </c>
      <c r="B8" s="35">
        <f>B5+B6+B7</f>
        <v>11389.29</v>
      </c>
      <c r="C8" s="35">
        <f>C5+C6+C7</f>
        <v>13489.630000000001</v>
      </c>
      <c r="D8" s="35">
        <f>D5+D6+D7</f>
        <v>14952.640000000001</v>
      </c>
      <c r="E8" s="35">
        <f>E5+E6+E7</f>
        <v>15439.82</v>
      </c>
      <c r="F8" s="35">
        <f>F5+F6+F7</f>
        <v>16124.91</v>
      </c>
    </row>
    <row r="9" spans="1:6" ht="14.25" customHeight="1" x14ac:dyDescent="0.3">
      <c r="A9" s="47" t="s">
        <v>482</v>
      </c>
      <c r="B9" s="35">
        <f>B3-B8</f>
        <v>1399.9299999999985</v>
      </c>
      <c r="C9" s="35">
        <f>C3-C8</f>
        <v>1588.5299999999988</v>
      </c>
      <c r="D9" s="35">
        <f>D3-D8</f>
        <v>1817.0899999999983</v>
      </c>
      <c r="E9" s="35">
        <f>E3-E8</f>
        <v>1798.0299999999988</v>
      </c>
      <c r="F9" s="35">
        <f>F3-F8</f>
        <v>1870.4399999999987</v>
      </c>
    </row>
    <row r="10" spans="1:6" ht="14.25" customHeight="1" x14ac:dyDescent="0.3">
      <c r="A10" s="29" t="s">
        <v>483</v>
      </c>
      <c r="B10" s="35">
        <f>'Consolidated P&amp;L'!B17</f>
        <v>439.52</v>
      </c>
      <c r="C10" s="35">
        <f>'Consolidated P&amp;L'!C17</f>
        <v>502.12</v>
      </c>
      <c r="D10" s="35">
        <f>'Consolidated P&amp;L'!D17</f>
        <v>560.41999999999996</v>
      </c>
      <c r="E10" s="35">
        <f>'Consolidated P&amp;L'!E17</f>
        <v>582.34</v>
      </c>
      <c r="F10" s="35">
        <f>'Consolidated P&amp;L'!F17</f>
        <v>588.75</v>
      </c>
    </row>
    <row r="11" spans="1:6" ht="14.25" customHeight="1" x14ac:dyDescent="0.3">
      <c r="A11" s="29" t="s">
        <v>484</v>
      </c>
      <c r="B11" s="35">
        <f>B9-B10</f>
        <v>960.40999999999849</v>
      </c>
      <c r="C11" s="35">
        <f>C9-C10</f>
        <v>1086.4099999999989</v>
      </c>
      <c r="D11" s="35">
        <f>D9-D10</f>
        <v>1256.6699999999983</v>
      </c>
      <c r="E11" s="35">
        <f>E9-E10</f>
        <v>1215.6899999999987</v>
      </c>
      <c r="F11" s="35">
        <f>F9-F10</f>
        <v>1281.6899999999987</v>
      </c>
    </row>
    <row r="12" spans="1:6" ht="14.25" customHeight="1" x14ac:dyDescent="0.3">
      <c r="A12" s="29" t="s">
        <v>485</v>
      </c>
      <c r="B12" s="35">
        <f>'Consolidated P&amp;L'!B9</f>
        <v>62.07</v>
      </c>
      <c r="C12" s="35">
        <f>'Consolidated P&amp;L'!C9</f>
        <v>124.74</v>
      </c>
      <c r="D12" s="35">
        <f>'Consolidated P&amp;L'!D9</f>
        <v>89.95</v>
      </c>
      <c r="E12" s="35">
        <f>'Consolidated P&amp;L'!E9</f>
        <v>112.8</v>
      </c>
      <c r="F12" s="35">
        <f>'Consolidated P&amp;L'!F9</f>
        <v>100.86</v>
      </c>
    </row>
    <row r="13" spans="1:6" ht="14.25" customHeight="1" x14ac:dyDescent="0.3">
      <c r="A13" s="29" t="s">
        <v>486</v>
      </c>
      <c r="B13" s="35">
        <f>'Consolidated P&amp;L'!B16</f>
        <v>60.93</v>
      </c>
      <c r="C13" s="35">
        <f>'Consolidated P&amp;L'!C16</f>
        <v>73.84</v>
      </c>
      <c r="D13" s="35">
        <f>'Consolidated P&amp;L'!D16</f>
        <v>116</v>
      </c>
      <c r="E13" s="35">
        <f>'Consolidated P&amp;L'!E16</f>
        <v>153.03</v>
      </c>
      <c r="F13" s="35">
        <f>'Consolidated P&amp;L'!F16</f>
        <v>123.83</v>
      </c>
    </row>
    <row r="14" spans="1:6" ht="14.25" customHeight="1" x14ac:dyDescent="0.3">
      <c r="A14" s="29" t="s">
        <v>487</v>
      </c>
      <c r="B14" s="35">
        <f>B11+B12-B13</f>
        <v>961.54999999999859</v>
      </c>
      <c r="C14" s="35">
        <f>C11+C12-C13</f>
        <v>1137.309999999999</v>
      </c>
      <c r="D14" s="35">
        <f>D11+D12-D13</f>
        <v>1230.6199999999983</v>
      </c>
      <c r="E14" s="35">
        <f>E11+E12-E13</f>
        <v>1175.4599999999987</v>
      </c>
      <c r="F14" s="35">
        <f>F11+F12-F13</f>
        <v>1258.7199999999987</v>
      </c>
    </row>
    <row r="15" spans="1:6" ht="14.25" customHeight="1" x14ac:dyDescent="0.3">
      <c r="A15" s="47" t="s">
        <v>488</v>
      </c>
      <c r="B15" s="35">
        <f>'Consolidated P&amp;L'!B27</f>
        <v>266.3</v>
      </c>
      <c r="C15" s="35">
        <f>'Consolidated P&amp;L'!C27</f>
        <v>314.82</v>
      </c>
      <c r="D15" s="35">
        <f>'Consolidated P&amp;L'!D27</f>
        <v>348.35</v>
      </c>
      <c r="E15" s="35">
        <f>'Consolidated P&amp;L'!E27</f>
        <v>375.46</v>
      </c>
      <c r="F15" s="35">
        <f>'Consolidated P&amp;L'!F27</f>
        <v>388.89</v>
      </c>
    </row>
    <row r="16" spans="1:6" ht="14.25" customHeight="1" x14ac:dyDescent="0.3">
      <c r="A16" s="29" t="s">
        <v>489</v>
      </c>
      <c r="B16" s="35">
        <f>ABS('Consolidated P&amp;L'!B34)</f>
        <v>10.09</v>
      </c>
      <c r="C16" s="35">
        <f>ABS('Consolidated P&amp;L'!C34)</f>
        <v>7.0000000000000007E-2</v>
      </c>
      <c r="D16" s="35">
        <f>ABS('Consolidated P&amp;L'!D34)</f>
        <v>6.14</v>
      </c>
      <c r="E16" s="35">
        <f>ABS('Consolidated P&amp;L'!E34)</f>
        <v>5.48</v>
      </c>
      <c r="F16" s="35">
        <f>ABS('Consolidated P&amp;L'!F34)</f>
        <v>5.73</v>
      </c>
    </row>
    <row r="17" spans="1:6" ht="14.25" customHeight="1" x14ac:dyDescent="0.3">
      <c r="A17" s="47" t="s">
        <v>490</v>
      </c>
      <c r="B17" s="35">
        <f>B14-B15-B16</f>
        <v>685.1599999999986</v>
      </c>
      <c r="C17" s="35">
        <f>C14-C15-C16</f>
        <v>822.41999999999905</v>
      </c>
      <c r="D17" s="35">
        <f>D14-D15-D16</f>
        <v>876.12999999999829</v>
      </c>
      <c r="E17" s="35">
        <f>E14-E15-E16</f>
        <v>794.51999999999862</v>
      </c>
      <c r="F17" s="35">
        <f>F14-F15-F16</f>
        <v>864.09999999999866</v>
      </c>
    </row>
    <row r="18" spans="1:6" ht="14.25" customHeight="1" x14ac:dyDescent="0.3">
      <c r="A18" s="29"/>
      <c r="B18" s="29"/>
      <c r="C18" s="29"/>
      <c r="D18" s="29"/>
      <c r="E18" s="29"/>
      <c r="F18" s="29"/>
    </row>
    <row r="23" spans="1:6" ht="14.25" customHeight="1" x14ac:dyDescent="0.3">
      <c r="A23" s="191" t="s">
        <v>491</v>
      </c>
      <c r="B23" s="191"/>
      <c r="C23" s="191"/>
    </row>
    <row r="24" spans="1:6" ht="14.25" customHeight="1" x14ac:dyDescent="0.3">
      <c r="A24" s="21" t="s">
        <v>492</v>
      </c>
      <c r="B24" s="44">
        <f>AVERAGE(C4:F4)</f>
        <v>9.075487748632903E-2</v>
      </c>
      <c r="C24" s="29"/>
    </row>
    <row r="25" spans="1:6" ht="14.25" customHeight="1" x14ac:dyDescent="0.3">
      <c r="A25" s="21" t="s">
        <v>493</v>
      </c>
      <c r="B25" s="48">
        <f>(F3/B3)^(1/5)-1</f>
        <v>7.0688770919641319E-2</v>
      </c>
      <c r="C25" s="48">
        <f>_xlfn.RRI(5,B3,F3)</f>
        <v>7.0688770919641319E-2</v>
      </c>
      <c r="D25" t="s">
        <v>494</v>
      </c>
    </row>
    <row r="27" spans="1:6" ht="14.25" customHeight="1" x14ac:dyDescent="0.3">
      <c r="A27" s="49" t="s">
        <v>495</v>
      </c>
    </row>
    <row r="28" spans="1:6" ht="14.25" customHeight="1" x14ac:dyDescent="0.3">
      <c r="A28" s="50" t="s">
        <v>482</v>
      </c>
      <c r="B28" s="44">
        <f>B9/B3</f>
        <v>0.10946171854108371</v>
      </c>
      <c r="C28" s="44">
        <f>C9/C3</f>
        <v>0.10535304042403044</v>
      </c>
      <c r="D28" s="44">
        <f>D9/D3</f>
        <v>0.10835535217323107</v>
      </c>
      <c r="E28" s="44">
        <f>E9/E3</f>
        <v>0.10430709166166309</v>
      </c>
      <c r="F28" s="44">
        <f>F9/F3</f>
        <v>0.10394018454767476</v>
      </c>
    </row>
    <row r="29" spans="1:6" ht="14.25" customHeight="1" x14ac:dyDescent="0.3">
      <c r="A29" s="50" t="s">
        <v>443</v>
      </c>
      <c r="B29" s="44">
        <f>B11/B3</f>
        <v>7.5095275552379159E-2</v>
      </c>
      <c r="C29" s="44">
        <f>C11/C3</f>
        <v>7.2051894926171298E-2</v>
      </c>
      <c r="D29" s="44">
        <f>D11/D3</f>
        <v>7.4936805780414964E-2</v>
      </c>
      <c r="E29" s="44">
        <f>E11/E3</f>
        <v>7.0524456356216042E-2</v>
      </c>
      <c r="F29" s="44">
        <f>F11/F3</f>
        <v>7.1223399378172625E-2</v>
      </c>
    </row>
    <row r="30" spans="1:6" ht="14.25" customHeight="1" x14ac:dyDescent="0.3">
      <c r="A30" s="50" t="s">
        <v>487</v>
      </c>
      <c r="B30" s="44">
        <f>B14/B3</f>
        <v>7.5184413122926855E-2</v>
      </c>
      <c r="C30" s="44">
        <f>C14/C3</f>
        <v>7.5427638385585444E-2</v>
      </c>
      <c r="D30" s="44">
        <f>D14/D3</f>
        <v>7.3383411658983086E-2</v>
      </c>
      <c r="E30" s="44">
        <f>E14/E3</f>
        <v>6.8190638623726207E-2</v>
      </c>
      <c r="F30" s="44">
        <f>F14/F3</f>
        <v>6.9946958519839772E-2</v>
      </c>
    </row>
    <row r="31" spans="1:6" ht="14.25" customHeight="1" x14ac:dyDescent="0.3">
      <c r="A31" s="50" t="s">
        <v>496</v>
      </c>
      <c r="B31" s="44">
        <f>B17/B3</f>
        <v>5.3573243716192126E-2</v>
      </c>
      <c r="C31" s="44">
        <f>C17/C3</f>
        <v>5.4543790489025121E-2</v>
      </c>
      <c r="D31" s="44">
        <f>D17/D3</f>
        <v>5.224472904453431E-2</v>
      </c>
      <c r="E31" s="44">
        <f>E17/E3</f>
        <v>4.6091594949486087E-2</v>
      </c>
      <c r="F31" s="44">
        <f>F17/F3</f>
        <v>4.8017960195272595E-2</v>
      </c>
    </row>
    <row r="33" spans="1:8" ht="14.25" customHeight="1" x14ac:dyDescent="0.3">
      <c r="A33" s="49" t="s">
        <v>398</v>
      </c>
    </row>
    <row r="34" spans="1:8" ht="14.25" customHeight="1" x14ac:dyDescent="0.3">
      <c r="A34" s="50" t="s">
        <v>497</v>
      </c>
      <c r="B34" s="44">
        <f>B15/B14</f>
        <v>0.27694867661588102</v>
      </c>
      <c r="C34" s="44">
        <f>C15/C14</f>
        <v>0.27681107173945563</v>
      </c>
      <c r="D34" s="44">
        <f>D15/D14</f>
        <v>0.28306869707952131</v>
      </c>
      <c r="E34" s="44">
        <f>E15/E14</f>
        <v>0.31941537780953871</v>
      </c>
      <c r="F34" s="44">
        <f>F15/F14</f>
        <v>0.30895671793568102</v>
      </c>
      <c r="G34" s="40">
        <f>AVERAGE(B34:F34)</f>
        <v>0.29304010823601556</v>
      </c>
      <c r="H34" t="s">
        <v>497</v>
      </c>
    </row>
    <row r="35" spans="1:8" ht="14.25" customHeight="1" x14ac:dyDescent="0.3">
      <c r="A35" s="50" t="s">
        <v>498</v>
      </c>
      <c r="B35" s="51">
        <v>0.28000000000000003</v>
      </c>
      <c r="C35" s="44">
        <f>B35</f>
        <v>0.28000000000000003</v>
      </c>
      <c r="D35" s="44">
        <f>C35</f>
        <v>0.28000000000000003</v>
      </c>
      <c r="E35" s="44">
        <f>D35</f>
        <v>0.28000000000000003</v>
      </c>
      <c r="F35" s="44">
        <f>E35</f>
        <v>0.28000000000000003</v>
      </c>
    </row>
    <row r="37" spans="1:8" ht="14.25" customHeight="1" x14ac:dyDescent="0.3">
      <c r="A37" s="49" t="s">
        <v>499</v>
      </c>
    </row>
    <row r="38" spans="1:8" ht="14.25" customHeight="1" x14ac:dyDescent="0.3">
      <c r="A38" s="50" t="s">
        <v>500</v>
      </c>
      <c r="B38" s="35">
        <f>B11*(1-B35)</f>
        <v>691.49519999999893</v>
      </c>
      <c r="C38" s="35">
        <f>C11*(1-C35)</f>
        <v>782.21519999999919</v>
      </c>
      <c r="D38" s="35">
        <f>D11*(1-D35)</f>
        <v>904.80239999999867</v>
      </c>
      <c r="E38" s="35">
        <f>E11*(1-E35)</f>
        <v>875.29679999999905</v>
      </c>
      <c r="F38" s="35">
        <f>F11*(1-F35)</f>
        <v>922.81679999999903</v>
      </c>
    </row>
    <row r="39" spans="1:8" ht="14.25" customHeight="1" x14ac:dyDescent="0.3">
      <c r="A39" s="50" t="s">
        <v>501</v>
      </c>
      <c r="B39" s="35">
        <f>'Consolidated Balance sheet'!B10</f>
        <v>10583.74</v>
      </c>
      <c r="C39" s="35">
        <f>'Consolidated Balance sheet'!C10</f>
        <v>11132.28</v>
      </c>
      <c r="D39" s="35">
        <f>'Consolidated Balance sheet'!D10</f>
        <v>12886.34</v>
      </c>
      <c r="E39" s="35">
        <f>'Consolidated Balance sheet'!E10</f>
        <v>13913.48</v>
      </c>
      <c r="F39" s="35">
        <f>'Consolidated Balance sheet'!F10</f>
        <v>13904.85</v>
      </c>
    </row>
    <row r="40" spans="1:8" ht="14.25" customHeight="1" x14ac:dyDescent="0.3">
      <c r="A40" s="50" t="s">
        <v>502</v>
      </c>
      <c r="B40" s="35">
        <f>'Consolidated Balance sheet'!B13+'Consolidated Balance sheet'!B19</f>
        <v>209.23000000000002</v>
      </c>
      <c r="C40" s="35">
        <f>'Consolidated Balance sheet'!C13+'Consolidated Balance sheet'!C19</f>
        <v>279.38</v>
      </c>
      <c r="D40" s="35">
        <f>'Consolidated Balance sheet'!D13+'Consolidated Balance sheet'!D19</f>
        <v>696.96</v>
      </c>
      <c r="E40" s="35">
        <f>'Consolidated Balance sheet'!E13+'Consolidated Balance sheet'!E19</f>
        <v>1561.17</v>
      </c>
      <c r="F40" s="35">
        <f>'Consolidated Balance sheet'!F13+'Consolidated Balance sheet'!F19</f>
        <v>1093.1500000000001</v>
      </c>
    </row>
    <row r="41" spans="1:8" ht="14.25" customHeight="1" x14ac:dyDescent="0.3">
      <c r="A41" s="50" t="s">
        <v>503</v>
      </c>
      <c r="B41" s="35">
        <f>'Consolidated Balance sheet'!B41</f>
        <v>198.99</v>
      </c>
      <c r="C41" s="35">
        <f>'Consolidated Balance sheet'!C41</f>
        <v>140.31</v>
      </c>
      <c r="D41" s="35">
        <f>'Consolidated Balance sheet'!D41</f>
        <v>330.51</v>
      </c>
      <c r="E41" s="35">
        <f>'Consolidated Balance sheet'!E41</f>
        <v>188.02</v>
      </c>
      <c r="F41" s="35">
        <f>'Consolidated Balance sheet'!F41</f>
        <v>257.81</v>
      </c>
    </row>
    <row r="42" spans="1:8" ht="14.25" customHeight="1" x14ac:dyDescent="0.3">
      <c r="A42" s="50" t="s">
        <v>504</v>
      </c>
      <c r="B42" s="35">
        <f>B39+B40-B41</f>
        <v>10593.98</v>
      </c>
      <c r="C42" s="35">
        <f>C39+C40-C41</f>
        <v>11271.35</v>
      </c>
      <c r="D42" s="35">
        <f>D39+D40-D41</f>
        <v>13252.789999999999</v>
      </c>
      <c r="E42" s="35">
        <f>E39+E40-E41</f>
        <v>15286.63</v>
      </c>
      <c r="F42" s="35">
        <f>F39+F40-F41</f>
        <v>14740.19</v>
      </c>
    </row>
    <row r="44" spans="1:8" ht="14.25" customHeight="1" x14ac:dyDescent="0.3">
      <c r="A44" s="50" t="s">
        <v>505</v>
      </c>
      <c r="B44" s="44">
        <f>B11/B42</f>
        <v>9.06562028623802E-2</v>
      </c>
      <c r="C44" s="44">
        <f>C11/C42</f>
        <v>9.638685694260217E-2</v>
      </c>
      <c r="D44" s="44">
        <f>D11/D42</f>
        <v>9.48230523535043E-2</v>
      </c>
      <c r="E44" s="44">
        <f>E11/E42</f>
        <v>7.9526357346256085E-2</v>
      </c>
      <c r="F44" s="44">
        <f>F11/F42</f>
        <v>8.6952067782029852E-2</v>
      </c>
    </row>
    <row r="45" spans="1:8" ht="14.25" customHeight="1" x14ac:dyDescent="0.3">
      <c r="A45" s="50" t="s">
        <v>506</v>
      </c>
      <c r="B45" s="44">
        <f>B38/B42</f>
        <v>6.5272466060913747E-2</v>
      </c>
      <c r="C45" s="44">
        <f>C38/C42</f>
        <v>6.9398536998673557E-2</v>
      </c>
      <c r="D45" s="44">
        <f>D38/D42</f>
        <v>6.8272597694523096E-2</v>
      </c>
      <c r="E45" s="44">
        <f>E38/E42</f>
        <v>5.7258977289304389E-2</v>
      </c>
      <c r="F45" s="44">
        <f>F38/F42</f>
        <v>6.2605488803061493E-2</v>
      </c>
    </row>
    <row r="46" spans="1:8" ht="14.25" customHeight="1" x14ac:dyDescent="0.3">
      <c r="A46" s="17"/>
    </row>
    <row r="47" spans="1:8" ht="14.25" customHeight="1" x14ac:dyDescent="0.3">
      <c r="A47" s="38" t="s">
        <v>507</v>
      </c>
      <c r="B47" s="52">
        <f>FCFF!B12*F45</f>
        <v>7.504286032798288E-2</v>
      </c>
      <c r="C47" s="53"/>
      <c r="D47" s="53"/>
      <c r="E47" s="53"/>
      <c r="F47" s="53"/>
    </row>
  </sheetData>
  <mergeCells count="2">
    <mergeCell ref="A1:F1"/>
    <mergeCell ref="A23:C23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E3:R17"/>
  <sheetViews>
    <sheetView zoomScaleNormal="100" workbookViewId="0">
      <selection activeCell="O3" sqref="O3:R4"/>
    </sheetView>
  </sheetViews>
  <sheetFormatPr defaultColWidth="8.6640625" defaultRowHeight="14.4" x14ac:dyDescent="0.3"/>
  <cols>
    <col min="5" max="5" width="19.21875" customWidth="1"/>
    <col min="6" max="6" width="6.109375" customWidth="1"/>
    <col min="7" max="7" width="9.109375" customWidth="1"/>
    <col min="8" max="8" width="11.88671875" customWidth="1"/>
    <col min="10" max="10" width="19.21875" customWidth="1"/>
    <col min="11" max="11" width="6.109375" customWidth="1"/>
    <col min="12" max="12" width="8.109375" customWidth="1"/>
    <col min="13" max="13" width="13.88671875" customWidth="1"/>
    <col min="15" max="15" width="19.21875" customWidth="1"/>
    <col min="16" max="16" width="6.109375" customWidth="1"/>
    <col min="17" max="17" width="6.6640625" customWidth="1"/>
    <col min="18" max="18" width="10.77734375" customWidth="1"/>
  </cols>
  <sheetData>
    <row r="3" spans="5:18" ht="14.25" customHeight="1" x14ac:dyDescent="0.3">
      <c r="E3" s="220" t="s">
        <v>508</v>
      </c>
      <c r="F3" s="220"/>
      <c r="G3" s="220"/>
      <c r="H3" s="220"/>
      <c r="J3" s="220" t="s">
        <v>509</v>
      </c>
      <c r="K3" s="220"/>
      <c r="L3" s="220"/>
      <c r="M3" s="220"/>
      <c r="O3" s="220" t="s">
        <v>510</v>
      </c>
      <c r="P3" s="220"/>
      <c r="Q3" s="220"/>
      <c r="R3" s="220"/>
    </row>
    <row r="4" spans="5:18" ht="14.25" customHeight="1" x14ac:dyDescent="0.3">
      <c r="E4" s="221" t="s">
        <v>511</v>
      </c>
      <c r="F4" s="221" t="s">
        <v>512</v>
      </c>
      <c r="G4" s="221" t="s">
        <v>513</v>
      </c>
      <c r="H4" s="221" t="s">
        <v>412</v>
      </c>
      <c r="J4" s="221" t="s">
        <v>511</v>
      </c>
      <c r="K4" s="221" t="s">
        <v>512</v>
      </c>
      <c r="L4" s="221" t="s">
        <v>482</v>
      </c>
      <c r="M4" s="221" t="s">
        <v>413</v>
      </c>
      <c r="O4" s="221" t="s">
        <v>511</v>
      </c>
      <c r="P4" s="221" t="s">
        <v>512</v>
      </c>
      <c r="Q4" s="221" t="s">
        <v>514</v>
      </c>
      <c r="R4" s="221" t="s">
        <v>515</v>
      </c>
    </row>
    <row r="5" spans="5:18" ht="14.25" customHeight="1" x14ac:dyDescent="0.3">
      <c r="E5" s="54">
        <v>1</v>
      </c>
      <c r="F5" s="55">
        <v>44621</v>
      </c>
      <c r="G5" s="56">
        <f>'Consolidated P&amp;L'!B8</f>
        <v>12789.22</v>
      </c>
      <c r="H5" s="21"/>
      <c r="I5" s="17"/>
      <c r="J5" s="54">
        <v>1</v>
      </c>
      <c r="K5" s="55">
        <v>44621</v>
      </c>
      <c r="L5" s="56">
        <f>'Consolidated P&amp;L'!B21+'Consolidated P&amp;L'!B16+'Consolidated P&amp;L'!B17</f>
        <v>1462</v>
      </c>
      <c r="M5" s="21"/>
      <c r="N5" s="17"/>
      <c r="O5" s="54">
        <v>1</v>
      </c>
      <c r="P5" s="55">
        <v>44621</v>
      </c>
      <c r="Q5" s="56">
        <f>'Consolidated P&amp;L'!B38</f>
        <v>51</v>
      </c>
      <c r="R5" s="21"/>
    </row>
    <row r="6" spans="5:18" ht="14.25" customHeight="1" x14ac:dyDescent="0.3">
      <c r="E6" s="54">
        <v>2</v>
      </c>
      <c r="F6" s="55">
        <v>44986</v>
      </c>
      <c r="G6" s="56">
        <f>'Consolidated P&amp;L'!C8</f>
        <v>15078.16</v>
      </c>
      <c r="H6" s="57">
        <f t="shared" ref="H6:H14" si="0">(G6-G5)/G5</f>
        <v>0.17897416730652851</v>
      </c>
      <c r="I6" s="17"/>
      <c r="J6" s="54">
        <v>2</v>
      </c>
      <c r="K6" s="55">
        <v>44986</v>
      </c>
      <c r="L6" s="56">
        <f>'Consolidated P&amp;L'!C21+'Consolidated P&amp;L'!C16+'Consolidated P&amp;L'!C17</f>
        <v>1713.27</v>
      </c>
      <c r="M6" s="57">
        <f t="shared" ref="M6:M14" si="1">(L6-L5)/L5</f>
        <v>0.17186730506155951</v>
      </c>
      <c r="N6" s="17"/>
      <c r="O6" s="54">
        <v>2</v>
      </c>
      <c r="P6" s="55">
        <v>44986</v>
      </c>
      <c r="Q6" s="56">
        <f>'Consolidated P&amp;L'!C38</f>
        <v>10</v>
      </c>
      <c r="R6" s="57">
        <f t="shared" ref="R6:R14" si="2">(Q6-Q5)/Q5</f>
        <v>-0.80392156862745101</v>
      </c>
    </row>
    <row r="7" spans="5:18" ht="14.25" customHeight="1" x14ac:dyDescent="0.3">
      <c r="E7" s="54">
        <v>3</v>
      </c>
      <c r="F7" s="55">
        <v>45352</v>
      </c>
      <c r="G7" s="56">
        <f>'Consolidated P&amp;L'!D8</f>
        <v>16769.73</v>
      </c>
      <c r="H7" s="57">
        <f t="shared" si="0"/>
        <v>0.11218676549393293</v>
      </c>
      <c r="I7" s="17"/>
      <c r="J7" s="54">
        <v>3</v>
      </c>
      <c r="K7" s="55">
        <v>45352</v>
      </c>
      <c r="L7" s="56">
        <f>'Consolidated P&amp;L'!D21+'Consolidated P&amp;L'!D16+'Consolidated P&amp;L'!D17</f>
        <v>1907.04</v>
      </c>
      <c r="M7" s="57">
        <f t="shared" si="1"/>
        <v>0.11309951146054036</v>
      </c>
      <c r="N7" s="17"/>
      <c r="O7" s="54">
        <v>3</v>
      </c>
      <c r="P7" s="55">
        <v>45352</v>
      </c>
      <c r="Q7" s="56">
        <f>'Consolidated P&amp;L'!D38</f>
        <v>10</v>
      </c>
      <c r="R7" s="57">
        <f t="shared" si="2"/>
        <v>0</v>
      </c>
    </row>
    <row r="8" spans="5:18" ht="14.25" customHeight="1" x14ac:dyDescent="0.3">
      <c r="E8" s="54">
        <v>4</v>
      </c>
      <c r="F8" s="55">
        <v>45717</v>
      </c>
      <c r="G8" s="56">
        <f>'Consolidated P&amp;L'!E8</f>
        <v>17237.849999999999</v>
      </c>
      <c r="H8" s="57">
        <f t="shared" si="0"/>
        <v>2.7914581809009388E-2</v>
      </c>
      <c r="I8" s="17"/>
      <c r="J8" s="54">
        <v>4</v>
      </c>
      <c r="K8" s="55">
        <v>45717</v>
      </c>
      <c r="L8" s="56">
        <f>'Consolidated P&amp;L'!E21+'Consolidated P&amp;L'!E16+'Consolidated P&amp;L'!E17</f>
        <v>1910.83</v>
      </c>
      <c r="M8" s="57">
        <f t="shared" si="1"/>
        <v>1.9873731017702638E-3</v>
      </c>
      <c r="N8" s="17"/>
      <c r="O8" s="54">
        <v>4</v>
      </c>
      <c r="P8" s="55">
        <v>45717</v>
      </c>
      <c r="Q8" s="56">
        <f>'Consolidated P&amp;L'!E38</f>
        <v>9</v>
      </c>
      <c r="R8" s="57">
        <f t="shared" si="2"/>
        <v>-0.1</v>
      </c>
    </row>
    <row r="9" spans="5:18" ht="14.25" customHeight="1" x14ac:dyDescent="0.3">
      <c r="E9" s="54">
        <v>5</v>
      </c>
      <c r="F9" s="55">
        <v>46082</v>
      </c>
      <c r="G9" s="56">
        <f>'Consolidated P&amp;L'!F8</f>
        <v>17995.349999999999</v>
      </c>
      <c r="H9" s="57">
        <f t="shared" si="0"/>
        <v>4.3943995335845254E-2</v>
      </c>
      <c r="I9" s="17"/>
      <c r="J9" s="54">
        <v>5</v>
      </c>
      <c r="K9" s="55">
        <v>46082</v>
      </c>
      <c r="L9" s="56">
        <f>'Consolidated P&amp;L'!F21+'Consolidated P&amp;L'!F16+'Consolidated P&amp;L'!F17</f>
        <v>1971.3</v>
      </c>
      <c r="M9" s="57">
        <f t="shared" si="1"/>
        <v>3.1645933965868248E-2</v>
      </c>
      <c r="N9" s="17"/>
      <c r="O9" s="54">
        <v>5</v>
      </c>
      <c r="P9" s="55">
        <v>46082</v>
      </c>
      <c r="Q9" s="56">
        <f>'Consolidated P&amp;L'!F38</f>
        <v>10</v>
      </c>
      <c r="R9" s="57">
        <f t="shared" si="2"/>
        <v>0.1111111111111111</v>
      </c>
    </row>
    <row r="10" spans="5:18" ht="14.25" customHeight="1" x14ac:dyDescent="0.3">
      <c r="E10" s="58">
        <v>6</v>
      </c>
      <c r="F10" s="59">
        <v>46447</v>
      </c>
      <c r="G10" s="60">
        <f>FORECAST(E10,$G$5:$G$9,$E$5:$E$9)</f>
        <v>19745.646999999997</v>
      </c>
      <c r="H10" s="61">
        <f t="shared" si="0"/>
        <v>9.7263848716473908E-2</v>
      </c>
      <c r="I10" s="17"/>
      <c r="J10" s="58">
        <v>6</v>
      </c>
      <c r="K10" s="59">
        <v>46447</v>
      </c>
      <c r="L10" s="60">
        <f>FORECAST(J10,$L$5:$L$9,$J$5:$J$9)</f>
        <v>2157.7359999999999</v>
      </c>
      <c r="M10" s="61">
        <f t="shared" si="1"/>
        <v>9.4575153452036695E-2</v>
      </c>
      <c r="N10" s="17"/>
      <c r="O10" s="58">
        <v>6</v>
      </c>
      <c r="P10" s="59">
        <v>46447</v>
      </c>
      <c r="Q10" s="60">
        <f>FORECAST(O10,$Q$5:$Q$9,$O$5:$O$9)</f>
        <v>-6.8999999999999986</v>
      </c>
      <c r="R10" s="61">
        <f t="shared" si="2"/>
        <v>-1.69</v>
      </c>
    </row>
    <row r="11" spans="5:18" ht="14.25" customHeight="1" x14ac:dyDescent="0.3">
      <c r="E11" s="58">
        <v>7</v>
      </c>
      <c r="F11" s="59">
        <v>46813</v>
      </c>
      <c r="G11" s="60">
        <f>FORECAST(E11,$G$5:$G$9,$E$5:$E$9)</f>
        <v>21002.841999999997</v>
      </c>
      <c r="H11" s="61">
        <f t="shared" si="0"/>
        <v>6.366947611288705E-2</v>
      </c>
      <c r="I11" s="17"/>
      <c r="J11" s="58">
        <v>7</v>
      </c>
      <c r="K11" s="59">
        <v>46813</v>
      </c>
      <c r="L11" s="60">
        <f>FORECAST(J11,$L$5:$L$9,$J$5:$J$9)</f>
        <v>2279.3519999999999</v>
      </c>
      <c r="M11" s="61">
        <f t="shared" si="1"/>
        <v>5.6362780247444538E-2</v>
      </c>
      <c r="N11" s="17"/>
      <c r="O11" s="58">
        <v>7</v>
      </c>
      <c r="P11" s="59">
        <v>46813</v>
      </c>
      <c r="Q11" s="60">
        <f>FORECAST(O11,$Q$5:$Q$9,$O$5:$O$9)</f>
        <v>-15.200000000000003</v>
      </c>
      <c r="R11" s="61">
        <f t="shared" si="2"/>
        <v>1.2028985507246386</v>
      </c>
    </row>
    <row r="12" spans="5:18" ht="14.25" customHeight="1" x14ac:dyDescent="0.3">
      <c r="E12" s="58">
        <v>8</v>
      </c>
      <c r="F12" s="59">
        <v>47178</v>
      </c>
      <c r="G12" s="60">
        <f>FORECAST(E12,$G$5:$G$9,$E$5:$E$9)</f>
        <v>22260.036999999997</v>
      </c>
      <c r="H12" s="61">
        <f t="shared" si="0"/>
        <v>5.9858327744407157E-2</v>
      </c>
      <c r="I12" s="17"/>
      <c r="J12" s="58">
        <v>8</v>
      </c>
      <c r="K12" s="59">
        <v>47178</v>
      </c>
      <c r="L12" s="60">
        <f>FORECAST(J12,$L$5:$L$9,$J$5:$J$9)</f>
        <v>2400.9679999999998</v>
      </c>
      <c r="M12" s="61">
        <f t="shared" si="1"/>
        <v>5.3355515076214638E-2</v>
      </c>
      <c r="N12" s="17"/>
      <c r="O12" s="58">
        <v>8</v>
      </c>
      <c r="P12" s="59">
        <v>47178</v>
      </c>
      <c r="Q12" s="60">
        <f>FORECAST(O12,$Q$5:$Q$9,$O$5:$O$9)</f>
        <v>-23.5</v>
      </c>
      <c r="R12" s="61">
        <f t="shared" si="2"/>
        <v>0.54605263157894712</v>
      </c>
    </row>
    <row r="13" spans="5:18" ht="14.25" customHeight="1" x14ac:dyDescent="0.3">
      <c r="E13" s="58">
        <v>9</v>
      </c>
      <c r="F13" s="59">
        <v>47543</v>
      </c>
      <c r="G13" s="60">
        <f>FORECAST(E13,$G$5:$G$9,$E$5:$E$9)</f>
        <v>23517.231999999996</v>
      </c>
      <c r="H13" s="61">
        <f t="shared" si="0"/>
        <v>5.6477668927504471E-2</v>
      </c>
      <c r="I13" s="17"/>
      <c r="J13" s="58">
        <v>9</v>
      </c>
      <c r="K13" s="59">
        <v>47543</v>
      </c>
      <c r="L13" s="60">
        <f>FORECAST(J13,$L$5:$L$9,$J$5:$J$9)</f>
        <v>2522.5839999999998</v>
      </c>
      <c r="M13" s="61">
        <f t="shared" si="1"/>
        <v>5.0652903328990639E-2</v>
      </c>
      <c r="N13" s="17"/>
      <c r="O13" s="58">
        <v>9</v>
      </c>
      <c r="P13" s="59">
        <v>47543</v>
      </c>
      <c r="Q13" s="60">
        <f>FORECAST(O13,$Q$5:$Q$9,$O$5:$O$9)</f>
        <v>-31.799999999999997</v>
      </c>
      <c r="R13" s="61">
        <f t="shared" si="2"/>
        <v>0.35319148936170203</v>
      </c>
    </row>
    <row r="14" spans="5:18" ht="14.25" customHeight="1" x14ac:dyDescent="0.3">
      <c r="E14" s="58">
        <v>10</v>
      </c>
      <c r="F14" s="59">
        <v>47908</v>
      </c>
      <c r="G14" s="60">
        <f>FORECAST(E14,$G$5:$G$9,$E$5:$E$9)</f>
        <v>24774.426999999996</v>
      </c>
      <c r="H14" s="61">
        <f t="shared" si="0"/>
        <v>5.3458459737098306E-2</v>
      </c>
      <c r="I14" s="17"/>
      <c r="J14" s="58">
        <v>10</v>
      </c>
      <c r="K14" s="59">
        <v>47908</v>
      </c>
      <c r="L14" s="60">
        <f>FORECAST(J14,$L$5:$L$9,$J$5:$J$9)</f>
        <v>2644.2</v>
      </c>
      <c r="M14" s="61">
        <f t="shared" si="1"/>
        <v>4.8210882174785849E-2</v>
      </c>
      <c r="N14" s="17"/>
      <c r="O14" s="58">
        <v>10</v>
      </c>
      <c r="P14" s="59">
        <v>47908</v>
      </c>
      <c r="Q14" s="60">
        <f>FORECAST(O14,$Q$5:$Q$9,$O$5:$O$9)</f>
        <v>-40.099999999999994</v>
      </c>
      <c r="R14" s="61">
        <f t="shared" si="2"/>
        <v>0.26100628930817604</v>
      </c>
    </row>
    <row r="15" spans="5:18" ht="14.25" customHeight="1" x14ac:dyDescent="0.3"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</row>
    <row r="16" spans="5:18" ht="14.25" customHeight="1" x14ac:dyDescent="0.3">
      <c r="E16" s="62" t="s">
        <v>516</v>
      </c>
      <c r="F16" s="17"/>
      <c r="G16" s="63">
        <f>AVERAGE(H6:H9)</f>
        <v>9.075487748632903E-2</v>
      </c>
      <c r="H16" s="17"/>
      <c r="I16" s="17"/>
      <c r="J16" s="62" t="s">
        <v>516</v>
      </c>
      <c r="K16" s="17"/>
      <c r="L16" s="63">
        <f>AVERAGE(M6:M9)</f>
        <v>7.9650030897434596E-2</v>
      </c>
      <c r="M16" s="17"/>
      <c r="N16" s="17"/>
      <c r="O16" s="62" t="s">
        <v>516</v>
      </c>
      <c r="P16" s="17"/>
      <c r="Q16" s="63">
        <f>AVERAGE(R6:R9)</f>
        <v>-0.19820261437908498</v>
      </c>
      <c r="R16" s="17"/>
    </row>
    <row r="17" spans="5:18" ht="14.25" customHeight="1" x14ac:dyDescent="0.3">
      <c r="E17" s="62" t="s">
        <v>517</v>
      </c>
      <c r="F17" s="17"/>
      <c r="G17" s="63">
        <f>AVERAGE(H10:H14)</f>
        <v>6.6145556247674181E-2</v>
      </c>
      <c r="H17" s="17"/>
      <c r="I17" s="17"/>
      <c r="J17" s="62" t="s">
        <v>517</v>
      </c>
      <c r="K17" s="17"/>
      <c r="L17" s="63">
        <f>AVERAGE(M10:M14)</f>
        <v>6.0631446855894479E-2</v>
      </c>
      <c r="M17" s="17"/>
      <c r="N17" s="17"/>
      <c r="O17" s="62" t="s">
        <v>517</v>
      </c>
      <c r="P17" s="17"/>
      <c r="Q17" s="63">
        <f>AVERAGE(R10:R14)</f>
        <v>0.13462979219469276</v>
      </c>
      <c r="R17" s="17"/>
    </row>
  </sheetData>
  <mergeCells count="3">
    <mergeCell ref="E3:H3"/>
    <mergeCell ref="J3:M3"/>
    <mergeCell ref="O3:R3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28"/>
  <sheetViews>
    <sheetView zoomScaleNormal="100" workbookViewId="0">
      <selection activeCell="A25" sqref="A25"/>
    </sheetView>
  </sheetViews>
  <sheetFormatPr defaultColWidth="8.6640625" defaultRowHeight="14.4" x14ac:dyDescent="0.3"/>
  <cols>
    <col min="1" max="1" width="35" customWidth="1"/>
    <col min="2" max="12" width="11.33203125" customWidth="1"/>
    <col min="13" max="13" width="11.6640625" customWidth="1"/>
    <col min="14" max="15" width="7" customWidth="1"/>
    <col min="16" max="16" width="11.77734375" customWidth="1"/>
  </cols>
  <sheetData>
    <row r="1" spans="1:16" ht="14.25" customHeight="1" x14ac:dyDescent="0.3">
      <c r="A1" s="110" t="s">
        <v>518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75"/>
      <c r="N1" s="75"/>
      <c r="O1" s="75"/>
      <c r="P1" s="75"/>
    </row>
    <row r="2" spans="1:16" ht="14.25" customHeight="1" x14ac:dyDescent="0.3">
      <c r="A2" s="112" t="s">
        <v>519</v>
      </c>
      <c r="B2" s="113" t="s">
        <v>520</v>
      </c>
      <c r="C2" s="113" t="s">
        <v>521</v>
      </c>
      <c r="D2" s="113" t="s">
        <v>522</v>
      </c>
      <c r="E2" s="113" t="s">
        <v>523</v>
      </c>
      <c r="F2" s="113" t="s">
        <v>524</v>
      </c>
      <c r="G2" s="113" t="s">
        <v>525</v>
      </c>
      <c r="H2" s="113" t="s">
        <v>526</v>
      </c>
      <c r="I2" s="113" t="s">
        <v>527</v>
      </c>
      <c r="J2" s="113" t="s">
        <v>528</v>
      </c>
      <c r="K2" s="113" t="s">
        <v>529</v>
      </c>
      <c r="L2" s="113" t="s">
        <v>530</v>
      </c>
      <c r="M2" s="75"/>
      <c r="N2" s="75"/>
      <c r="O2" s="75"/>
      <c r="P2" s="75"/>
    </row>
    <row r="3" spans="1:16" ht="14.25" customHeight="1" x14ac:dyDescent="0.3">
      <c r="A3" s="111" t="s">
        <v>513</v>
      </c>
      <c r="B3" s="114">
        <f>Assumptions!F3</f>
        <v>17995.349999999999</v>
      </c>
      <c r="C3" s="115">
        <f t="shared" ref="C3:L3" si="0">B3*(1+C4)</f>
        <v>19267.419173768765</v>
      </c>
      <c r="D3" s="115">
        <f t="shared" si="0"/>
        <v>20611.878633753044</v>
      </c>
      <c r="E3" s="115">
        <f t="shared" si="0"/>
        <v>22031.399011305584</v>
      </c>
      <c r="F3" s="115">
        <f t="shared" si="0"/>
        <v>23528.634835874043</v>
      </c>
      <c r="G3" s="115">
        <f t="shared" si="0"/>
        <v>25106.213735739988</v>
      </c>
      <c r="H3" s="115">
        <f t="shared" si="0"/>
        <v>26766.724997753303</v>
      </c>
      <c r="I3" s="115">
        <f t="shared" si="0"/>
        <v>28512.707503204765</v>
      </c>
      <c r="J3" s="115">
        <f t="shared" si="0"/>
        <v>30346.637062164504</v>
      </c>
      <c r="K3" s="115">
        <f t="shared" si="0"/>
        <v>32270.913174003512</v>
      </c>
      <c r="L3" s="115">
        <f t="shared" si="0"/>
        <v>34287.845247378733</v>
      </c>
      <c r="M3" s="116" t="s">
        <v>493</v>
      </c>
      <c r="N3" s="117">
        <f>Assumptions!B25</f>
        <v>7.0688770919641319E-2</v>
      </c>
      <c r="O3" s="82"/>
      <c r="P3" s="82" t="s">
        <v>531</v>
      </c>
    </row>
    <row r="4" spans="1:16" ht="14.25" customHeight="1" x14ac:dyDescent="0.3">
      <c r="A4" s="111" t="s">
        <v>532</v>
      </c>
      <c r="B4" s="118"/>
      <c r="C4" s="119">
        <f>N3</f>
        <v>7.0688770919641319E-2</v>
      </c>
      <c r="D4" s="119">
        <f t="shared" ref="D4:L4" si="1">C4-$O$4</f>
        <v>6.9778907484125616E-2</v>
      </c>
      <c r="E4" s="119">
        <f t="shared" si="1"/>
        <v>6.8869044048609912E-2</v>
      </c>
      <c r="F4" s="119">
        <f t="shared" si="1"/>
        <v>6.7959180613094208E-2</v>
      </c>
      <c r="G4" s="119">
        <f t="shared" si="1"/>
        <v>6.7049317177578505E-2</v>
      </c>
      <c r="H4" s="119">
        <f t="shared" si="1"/>
        <v>6.6139453742062801E-2</v>
      </c>
      <c r="I4" s="119">
        <f t="shared" si="1"/>
        <v>6.5229590306547097E-2</v>
      </c>
      <c r="J4" s="119">
        <f t="shared" si="1"/>
        <v>6.4319726871031394E-2</v>
      </c>
      <c r="K4" s="119">
        <f t="shared" si="1"/>
        <v>6.340986343551569E-2</v>
      </c>
      <c r="L4" s="119">
        <f t="shared" si="1"/>
        <v>6.2499999999999986E-2</v>
      </c>
      <c r="M4" s="120">
        <f>P4</f>
        <v>6.25E-2</v>
      </c>
      <c r="N4" s="120">
        <f>N3-M4</f>
        <v>8.1887709196413194E-3</v>
      </c>
      <c r="O4" s="120">
        <f>N4/9</f>
        <v>9.0986343551570218E-4</v>
      </c>
      <c r="P4" s="120">
        <f>WACC!B10</f>
        <v>6.25E-2</v>
      </c>
    </row>
    <row r="5" spans="1:16" ht="14.25" customHeight="1" x14ac:dyDescent="0.3">
      <c r="A5" s="111"/>
      <c r="B5" s="118"/>
      <c r="C5" s="121"/>
      <c r="D5" s="121"/>
      <c r="E5" s="121"/>
      <c r="F5" s="121"/>
      <c r="G5" s="121"/>
      <c r="H5" s="121"/>
      <c r="I5" s="121"/>
      <c r="J5" s="121"/>
      <c r="K5" s="121"/>
      <c r="L5" s="121"/>
      <c r="M5" s="82"/>
      <c r="N5" s="82"/>
      <c r="O5" s="82"/>
      <c r="P5" s="82"/>
    </row>
    <row r="6" spans="1:16" ht="14.25" customHeight="1" x14ac:dyDescent="0.3">
      <c r="A6" s="110" t="s">
        <v>533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82"/>
      <c r="N6" s="82"/>
      <c r="O6" s="82"/>
      <c r="P6" s="82"/>
    </row>
    <row r="7" spans="1:16" ht="14.25" customHeight="1" x14ac:dyDescent="0.3">
      <c r="A7" s="112" t="s">
        <v>519</v>
      </c>
      <c r="B7" s="113" t="s">
        <v>520</v>
      </c>
      <c r="C7" s="113" t="s">
        <v>521</v>
      </c>
      <c r="D7" s="113" t="s">
        <v>522</v>
      </c>
      <c r="E7" s="113" t="s">
        <v>523</v>
      </c>
      <c r="F7" s="113" t="s">
        <v>524</v>
      </c>
      <c r="G7" s="113" t="s">
        <v>525</v>
      </c>
      <c r="H7" s="113" t="s">
        <v>526</v>
      </c>
      <c r="I7" s="113" t="s">
        <v>527</v>
      </c>
      <c r="J7" s="113" t="s">
        <v>528</v>
      </c>
      <c r="K7" s="113" t="s">
        <v>529</v>
      </c>
      <c r="L7" s="113" t="s">
        <v>530</v>
      </c>
      <c r="M7" s="122" t="s">
        <v>534</v>
      </c>
      <c r="N7" s="120">
        <f>Assumptions!B24</f>
        <v>9.075487748632903E-2</v>
      </c>
      <c r="O7" s="82"/>
      <c r="P7" s="82"/>
    </row>
    <row r="8" spans="1:16" ht="14.25" customHeight="1" x14ac:dyDescent="0.3">
      <c r="A8" s="111" t="s">
        <v>513</v>
      </c>
      <c r="B8" s="114">
        <f>B3</f>
        <v>17995.349999999999</v>
      </c>
      <c r="C8" s="115">
        <f t="shared" ref="C8:L8" si="2">B8*(1+C9)</f>
        <v>19628.515784573607</v>
      </c>
      <c r="D8" s="115">
        <f t="shared" si="2"/>
        <v>21348.276962204214</v>
      </c>
      <c r="E8" s="115">
        <f t="shared" si="2"/>
        <v>23151.694344650765</v>
      </c>
      <c r="F8" s="115">
        <f t="shared" si="2"/>
        <v>25034.774099397466</v>
      </c>
      <c r="G8" s="115">
        <f t="shared" si="2"/>
        <v>26992.422188985583</v>
      </c>
      <c r="H8" s="115">
        <f t="shared" si="2"/>
        <v>29018.411945578984</v>
      </c>
      <c r="I8" s="115">
        <f t="shared" si="2"/>
        <v>31105.366583634386</v>
      </c>
      <c r="J8" s="115">
        <f t="shared" si="2"/>
        <v>33244.758288886631</v>
      </c>
      <c r="K8" s="115">
        <f t="shared" si="2"/>
        <v>35426.925301110386</v>
      </c>
      <c r="L8" s="115">
        <f t="shared" si="2"/>
        <v>37641.108132429785</v>
      </c>
      <c r="M8" s="82"/>
      <c r="N8" s="120">
        <f>M4</f>
        <v>6.25E-2</v>
      </c>
      <c r="O8" s="120">
        <f>N7-N8</f>
        <v>2.825487748632903E-2</v>
      </c>
      <c r="P8" s="120">
        <f>O8/9</f>
        <v>3.1394308318143365E-3</v>
      </c>
    </row>
    <row r="9" spans="1:16" ht="14.25" customHeight="1" x14ac:dyDescent="0.3">
      <c r="A9" s="111" t="s">
        <v>532</v>
      </c>
      <c r="B9" s="118"/>
      <c r="C9" s="119">
        <f>N7</f>
        <v>9.075487748632903E-2</v>
      </c>
      <c r="D9" s="119">
        <f t="shared" ref="D9:L9" si="3">C9-$P$8</f>
        <v>8.7615446654514692E-2</v>
      </c>
      <c r="E9" s="119">
        <f t="shared" si="3"/>
        <v>8.4476015822700354E-2</v>
      </c>
      <c r="F9" s="119">
        <f t="shared" si="3"/>
        <v>8.1336584990886016E-2</v>
      </c>
      <c r="G9" s="119">
        <f t="shared" si="3"/>
        <v>7.8197154159071677E-2</v>
      </c>
      <c r="H9" s="119">
        <f t="shared" si="3"/>
        <v>7.5057723327257339E-2</v>
      </c>
      <c r="I9" s="119">
        <f t="shared" si="3"/>
        <v>7.1918292495443001E-2</v>
      </c>
      <c r="J9" s="119">
        <f t="shared" si="3"/>
        <v>6.8778861663628663E-2</v>
      </c>
      <c r="K9" s="119">
        <f t="shared" si="3"/>
        <v>6.5639430831814324E-2</v>
      </c>
      <c r="L9" s="119">
        <f t="shared" si="3"/>
        <v>6.2499999999999986E-2</v>
      </c>
      <c r="M9" s="82"/>
      <c r="N9" s="82"/>
      <c r="O9" s="82"/>
      <c r="P9" s="82"/>
    </row>
    <row r="10" spans="1:16" ht="14.25" customHeight="1" x14ac:dyDescent="0.3">
      <c r="A10" s="111"/>
      <c r="B10" s="118"/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82"/>
      <c r="N10" s="82"/>
      <c r="O10" s="82"/>
      <c r="P10" s="82"/>
    </row>
    <row r="11" spans="1:16" ht="14.25" customHeight="1" x14ac:dyDescent="0.3">
      <c r="A11" s="110" t="s">
        <v>535</v>
      </c>
      <c r="B11" s="118"/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82"/>
      <c r="N11" s="82"/>
      <c r="O11" s="82"/>
      <c r="P11" s="82"/>
    </row>
    <row r="12" spans="1:16" ht="14.25" customHeight="1" x14ac:dyDescent="0.3">
      <c r="A12" s="112" t="s">
        <v>519</v>
      </c>
      <c r="B12" s="113" t="s">
        <v>520</v>
      </c>
      <c r="C12" s="113" t="s">
        <v>521</v>
      </c>
      <c r="D12" s="113" t="s">
        <v>522</v>
      </c>
      <c r="E12" s="113" t="s">
        <v>523</v>
      </c>
      <c r="F12" s="113" t="s">
        <v>524</v>
      </c>
      <c r="G12" s="113" t="s">
        <v>525</v>
      </c>
      <c r="H12" s="113" t="s">
        <v>526</v>
      </c>
      <c r="I12" s="113" t="s">
        <v>527</v>
      </c>
      <c r="J12" s="113" t="s">
        <v>528</v>
      </c>
      <c r="K12" s="113" t="s">
        <v>529</v>
      </c>
      <c r="L12" s="113" t="s">
        <v>530</v>
      </c>
      <c r="M12" s="82"/>
      <c r="N12" s="120">
        <f>Assumptions!B47</f>
        <v>7.504286032798288E-2</v>
      </c>
      <c r="O12" s="82"/>
      <c r="P12" s="82"/>
    </row>
    <row r="13" spans="1:16" ht="14.25" customHeight="1" x14ac:dyDescent="0.3">
      <c r="A13" s="111" t="s">
        <v>513</v>
      </c>
      <c r="B13" s="114">
        <f>B8</f>
        <v>17995.349999999999</v>
      </c>
      <c r="C13" s="115">
        <f t="shared" ref="C13:L13" si="4">B13*(1+C14)</f>
        <v>19345.772536603166</v>
      </c>
      <c r="D13" s="115">
        <f t="shared" si="4"/>
        <v>20770.573384908457</v>
      </c>
      <c r="E13" s="115">
        <f t="shared" si="4"/>
        <v>22271.362755497812</v>
      </c>
      <c r="F13" s="115">
        <f t="shared" si="4"/>
        <v>23849.55398928712</v>
      </c>
      <c r="G13" s="115">
        <f t="shared" si="4"/>
        <v>25506.340905046625</v>
      </c>
      <c r="H13" s="115">
        <f t="shared" si="4"/>
        <v>27242.674976700888</v>
      </c>
      <c r="I13" s="115">
        <f t="shared" si="4"/>
        <v>29059.242518475821</v>
      </c>
      <c r="J13" s="115">
        <f t="shared" si="4"/>
        <v>30956.442069246386</v>
      </c>
      <c r="K13" s="115">
        <f t="shared" si="4"/>
        <v>32934.362179588272</v>
      </c>
      <c r="L13" s="115">
        <f t="shared" si="4"/>
        <v>34992.75981581254</v>
      </c>
      <c r="M13" s="82"/>
      <c r="N13" s="120">
        <f>N8</f>
        <v>6.25E-2</v>
      </c>
      <c r="O13" s="120">
        <f>N12-N13</f>
        <v>1.254286032798288E-2</v>
      </c>
      <c r="P13" s="120">
        <f>O13/9</f>
        <v>1.3936511475536534E-3</v>
      </c>
    </row>
    <row r="14" spans="1:16" ht="14.25" customHeight="1" x14ac:dyDescent="0.3">
      <c r="A14" s="111" t="s">
        <v>532</v>
      </c>
      <c r="B14" s="118"/>
      <c r="C14" s="119">
        <f>N12</f>
        <v>7.504286032798288E-2</v>
      </c>
      <c r="D14" s="119">
        <f t="shared" ref="D14:L14" si="5">(C14)-($P$13)</f>
        <v>7.364920918042922E-2</v>
      </c>
      <c r="E14" s="119">
        <f t="shared" si="5"/>
        <v>7.2255558032875561E-2</v>
      </c>
      <c r="F14" s="119">
        <f t="shared" si="5"/>
        <v>7.0861906885321901E-2</v>
      </c>
      <c r="G14" s="119">
        <f t="shared" si="5"/>
        <v>6.9468255737768242E-2</v>
      </c>
      <c r="H14" s="119">
        <f t="shared" si="5"/>
        <v>6.8074604590214582E-2</v>
      </c>
      <c r="I14" s="119">
        <f t="shared" si="5"/>
        <v>6.6680953442660923E-2</v>
      </c>
      <c r="J14" s="119">
        <f t="shared" si="5"/>
        <v>6.5287302295107263E-2</v>
      </c>
      <c r="K14" s="119">
        <f t="shared" si="5"/>
        <v>6.3893651147553604E-2</v>
      </c>
      <c r="L14" s="119">
        <f t="shared" si="5"/>
        <v>6.2499999999999951E-2</v>
      </c>
      <c r="M14" s="82"/>
      <c r="N14" s="82"/>
      <c r="O14" s="82"/>
      <c r="P14" s="117"/>
    </row>
    <row r="15" spans="1:16" ht="14.25" customHeight="1" x14ac:dyDescent="0.3">
      <c r="A15" s="111"/>
      <c r="B15" s="118"/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82"/>
      <c r="N15" s="82"/>
      <c r="O15" s="82"/>
      <c r="P15" s="82"/>
    </row>
    <row r="16" spans="1:16" ht="14.25" customHeight="1" x14ac:dyDescent="0.3">
      <c r="A16" s="110" t="s">
        <v>536</v>
      </c>
      <c r="B16" s="123">
        <v>1</v>
      </c>
      <c r="C16" s="118"/>
      <c r="D16" s="118"/>
      <c r="E16" s="118"/>
      <c r="F16" s="118"/>
      <c r="G16" s="118"/>
      <c r="H16" s="118"/>
      <c r="I16" s="118"/>
      <c r="J16" s="118"/>
      <c r="K16" s="118"/>
      <c r="L16" s="118"/>
      <c r="M16" s="82"/>
      <c r="N16" s="82"/>
      <c r="O16" s="82"/>
      <c r="P16" s="82"/>
    </row>
    <row r="17" spans="1:16" ht="14.25" customHeight="1" x14ac:dyDescent="0.3">
      <c r="A17" s="112" t="s">
        <v>519</v>
      </c>
      <c r="B17" s="113"/>
      <c r="C17" s="113" t="s">
        <v>521</v>
      </c>
      <c r="D17" s="113" t="s">
        <v>522</v>
      </c>
      <c r="E17" s="113" t="s">
        <v>523</v>
      </c>
      <c r="F17" s="113" t="s">
        <v>524</v>
      </c>
      <c r="G17" s="113" t="s">
        <v>525</v>
      </c>
      <c r="H17" s="113" t="s">
        <v>526</v>
      </c>
      <c r="I17" s="113" t="s">
        <v>527</v>
      </c>
      <c r="J17" s="113" t="s">
        <v>528</v>
      </c>
      <c r="K17" s="113" t="s">
        <v>529</v>
      </c>
      <c r="L17" s="113" t="s">
        <v>530</v>
      </c>
      <c r="M17" s="82"/>
      <c r="N17" s="82"/>
      <c r="O17" s="82"/>
      <c r="P17" s="82"/>
    </row>
    <row r="18" spans="1:16" ht="14.25" customHeight="1" x14ac:dyDescent="0.3">
      <c r="A18" s="111" t="s">
        <v>513</v>
      </c>
      <c r="B18" s="114">
        <f>B13</f>
        <v>17995.349999999999</v>
      </c>
      <c r="C18" s="115">
        <f t="shared" ref="C18:L18" si="6">B18*(1+C19)</f>
        <v>19267.419173768765</v>
      </c>
      <c r="D18" s="115">
        <f t="shared" si="6"/>
        <v>20611.878633753044</v>
      </c>
      <c r="E18" s="115">
        <f t="shared" si="6"/>
        <v>22031.399011305584</v>
      </c>
      <c r="F18" s="115">
        <f t="shared" si="6"/>
        <v>23528.634835874043</v>
      </c>
      <c r="G18" s="115">
        <f t="shared" si="6"/>
        <v>25106.213735739988</v>
      </c>
      <c r="H18" s="115">
        <f t="shared" si="6"/>
        <v>26766.724997753303</v>
      </c>
      <c r="I18" s="115">
        <f t="shared" si="6"/>
        <v>28512.707503204765</v>
      </c>
      <c r="J18" s="115">
        <f t="shared" si="6"/>
        <v>30346.637062164504</v>
      </c>
      <c r="K18" s="115">
        <f t="shared" si="6"/>
        <v>32270.913174003512</v>
      </c>
      <c r="L18" s="115">
        <f t="shared" si="6"/>
        <v>34287.845247378733</v>
      </c>
      <c r="M18" s="82"/>
      <c r="N18" s="82"/>
      <c r="O18" s="82"/>
      <c r="P18" s="82"/>
    </row>
    <row r="19" spans="1:16" ht="14.25" customHeight="1" x14ac:dyDescent="0.3">
      <c r="A19" s="111" t="s">
        <v>532</v>
      </c>
      <c r="B19" s="118"/>
      <c r="C19" s="119">
        <f t="shared" ref="C19:L19" si="7">CHOOSE($B$16,C4,C9,C14)</f>
        <v>7.0688770919641319E-2</v>
      </c>
      <c r="D19" s="119">
        <f t="shared" si="7"/>
        <v>6.9778907484125616E-2</v>
      </c>
      <c r="E19" s="119">
        <f t="shared" si="7"/>
        <v>6.8869044048609912E-2</v>
      </c>
      <c r="F19" s="119">
        <f t="shared" si="7"/>
        <v>6.7959180613094208E-2</v>
      </c>
      <c r="G19" s="119">
        <f t="shared" si="7"/>
        <v>6.7049317177578505E-2</v>
      </c>
      <c r="H19" s="119">
        <f t="shared" si="7"/>
        <v>6.6139453742062801E-2</v>
      </c>
      <c r="I19" s="119">
        <f t="shared" si="7"/>
        <v>6.5229590306547097E-2</v>
      </c>
      <c r="J19" s="119">
        <f t="shared" si="7"/>
        <v>6.4319726871031394E-2</v>
      </c>
      <c r="K19" s="119">
        <f t="shared" si="7"/>
        <v>6.340986343551569E-2</v>
      </c>
      <c r="L19" s="119">
        <f t="shared" si="7"/>
        <v>6.2499999999999986E-2</v>
      </c>
      <c r="M19" s="82"/>
      <c r="N19" s="82"/>
      <c r="O19" s="82"/>
      <c r="P19" s="82"/>
    </row>
    <row r="20" spans="1:16" x14ac:dyDescent="0.3">
      <c r="A20" s="75"/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</row>
    <row r="21" spans="1:16" ht="14.25" customHeight="1" x14ac:dyDescent="0.3">
      <c r="A21" s="124" t="s">
        <v>537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</row>
    <row r="22" spans="1:16" ht="14.25" customHeight="1" x14ac:dyDescent="0.3">
      <c r="A22" s="75" t="s">
        <v>538</v>
      </c>
      <c r="B22" s="125">
        <f>'Consolidated P&amp;L'!E41*'Consolidated P&amp;L'!E38/'Consolidated P&amp;L'!E36</f>
        <v>0</v>
      </c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</row>
    <row r="23" spans="1:16" ht="14.25" customHeight="1" x14ac:dyDescent="0.3">
      <c r="A23" s="75" t="s">
        <v>539</v>
      </c>
      <c r="B23" s="125">
        <f>'Consolidated P&amp;L'!E38</f>
        <v>9</v>
      </c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</row>
    <row r="24" spans="1:16" ht="14.25" customHeight="1" x14ac:dyDescent="0.3">
      <c r="A24" s="75" t="s">
        <v>540</v>
      </c>
      <c r="B24" s="120">
        <f>Assumptions!F17/SUM('Consolidated Balance sheet'!F6,'Consolidated Balance sheet'!F9)</f>
        <v>6.2143784363009928E-2</v>
      </c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</row>
    <row r="25" spans="1:16" ht="14.25" customHeight="1" x14ac:dyDescent="0.3">
      <c r="A25" s="75" t="s">
        <v>541</v>
      </c>
      <c r="B25" s="120">
        <f>B22/B23</f>
        <v>0</v>
      </c>
      <c r="C25" s="75" t="s">
        <v>542</v>
      </c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</row>
    <row r="26" spans="1:16" ht="14.25" customHeight="1" x14ac:dyDescent="0.3">
      <c r="A26" s="75" t="s">
        <v>543</v>
      </c>
      <c r="B26" s="120">
        <f>1-B25</f>
        <v>1</v>
      </c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</row>
    <row r="27" spans="1:16" ht="14.25" customHeight="1" x14ac:dyDescent="0.3">
      <c r="A27" s="75"/>
      <c r="B27" s="82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</row>
    <row r="28" spans="1:16" ht="14.25" customHeight="1" x14ac:dyDescent="0.3">
      <c r="A28" s="124" t="s">
        <v>544</v>
      </c>
      <c r="B28" s="126">
        <f>B26*B24</f>
        <v>6.2143784363009928E-2</v>
      </c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S31"/>
  <sheetViews>
    <sheetView zoomScaleNormal="100" workbookViewId="0">
      <selection activeCell="C20" sqref="C20"/>
    </sheetView>
  </sheetViews>
  <sheetFormatPr defaultColWidth="8.6640625" defaultRowHeight="14.4" x14ac:dyDescent="0.3"/>
  <cols>
    <col min="1" max="1" width="29.77734375" customWidth="1"/>
    <col min="2" max="2" width="11.33203125" customWidth="1"/>
    <col min="3" max="7" width="12" customWidth="1"/>
    <col min="8" max="8" width="33.109375" customWidth="1"/>
    <col min="9" max="12" width="12" customWidth="1"/>
    <col min="13" max="13" width="7" customWidth="1"/>
    <col min="14" max="14" width="12.44140625" customWidth="1"/>
    <col min="16" max="16" width="42.21875" customWidth="1"/>
    <col min="17" max="17" width="7" customWidth="1"/>
  </cols>
  <sheetData>
    <row r="1" spans="1:19" ht="14.25" customHeight="1" x14ac:dyDescent="0.3">
      <c r="A1" s="127"/>
      <c r="B1" s="127"/>
      <c r="C1" s="127">
        <v>1</v>
      </c>
      <c r="D1" s="127">
        <v>2</v>
      </c>
      <c r="E1" s="127">
        <v>3</v>
      </c>
      <c r="F1" s="127">
        <v>4</v>
      </c>
      <c r="G1" s="127">
        <v>5</v>
      </c>
      <c r="H1" s="127">
        <v>6</v>
      </c>
      <c r="I1" s="127">
        <v>7</v>
      </c>
      <c r="J1" s="127">
        <v>8</v>
      </c>
      <c r="K1" s="127">
        <v>9</v>
      </c>
      <c r="L1" s="127">
        <v>10</v>
      </c>
      <c r="M1" s="127"/>
      <c r="N1" s="127"/>
      <c r="O1" s="127"/>
      <c r="P1" s="127"/>
      <c r="Q1" s="127"/>
      <c r="R1" s="127"/>
      <c r="S1" s="127"/>
    </row>
    <row r="2" spans="1:19" ht="14.25" customHeight="1" x14ac:dyDescent="0.3">
      <c r="A2" s="128" t="s">
        <v>545</v>
      </c>
      <c r="B2" s="129" t="s">
        <v>520</v>
      </c>
      <c r="C2" s="129" t="s">
        <v>521</v>
      </c>
      <c r="D2" s="129" t="s">
        <v>522</v>
      </c>
      <c r="E2" s="129" t="s">
        <v>523</v>
      </c>
      <c r="F2" s="129" t="s">
        <v>546</v>
      </c>
      <c r="G2" s="129" t="s">
        <v>525</v>
      </c>
      <c r="H2" s="129" t="s">
        <v>526</v>
      </c>
      <c r="I2" s="129" t="s">
        <v>527</v>
      </c>
      <c r="J2" s="129" t="s">
        <v>528</v>
      </c>
      <c r="K2" s="129" t="s">
        <v>529</v>
      </c>
      <c r="L2" s="129" t="s">
        <v>530</v>
      </c>
      <c r="M2" s="130"/>
      <c r="N2" s="128" t="s">
        <v>547</v>
      </c>
      <c r="O2" s="131"/>
      <c r="P2" s="132" t="s">
        <v>548</v>
      </c>
      <c r="Q2" s="133">
        <f>'Growth Scenario'!B28</f>
        <v>6.2143784363009928E-2</v>
      </c>
      <c r="R2" s="127"/>
      <c r="S2" s="127"/>
    </row>
    <row r="3" spans="1:19" ht="14.25" customHeight="1" x14ac:dyDescent="0.3">
      <c r="A3" s="131" t="s">
        <v>549</v>
      </c>
      <c r="B3" s="134">
        <f>'Growth Scenario'!B18</f>
        <v>17995.349999999999</v>
      </c>
      <c r="C3" s="134">
        <f>'Growth Scenario'!C18</f>
        <v>19267.419173768765</v>
      </c>
      <c r="D3" s="134">
        <f>'Growth Scenario'!D18</f>
        <v>20611.878633753044</v>
      </c>
      <c r="E3" s="134">
        <f>'Growth Scenario'!E18</f>
        <v>22031.399011305584</v>
      </c>
      <c r="F3" s="134">
        <f>'Growth Scenario'!F18</f>
        <v>23528.634835874043</v>
      </c>
      <c r="G3" s="134">
        <f>'Growth Scenario'!G18</f>
        <v>25106.213735739988</v>
      </c>
      <c r="H3" s="134">
        <f>'Growth Scenario'!H18</f>
        <v>26766.724997753303</v>
      </c>
      <c r="I3" s="134">
        <f>'Growth Scenario'!I18</f>
        <v>28512.707503204765</v>
      </c>
      <c r="J3" s="134">
        <f>'Growth Scenario'!J18</f>
        <v>30346.637062164504</v>
      </c>
      <c r="K3" s="134">
        <f>'Growth Scenario'!K18</f>
        <v>32270.913174003512</v>
      </c>
      <c r="L3" s="134">
        <f>'Growth Scenario'!L18</f>
        <v>34287.845247378733</v>
      </c>
      <c r="M3" s="131"/>
      <c r="N3" s="134">
        <f>L3*(1+$Q$2)</f>
        <v>36418.621708704093</v>
      </c>
      <c r="O3" s="131"/>
      <c r="P3" s="132" t="s">
        <v>550</v>
      </c>
      <c r="Q3" s="133">
        <f>WACC!D26</f>
        <v>0.11927668398983456</v>
      </c>
      <c r="R3" s="127"/>
      <c r="S3" s="127"/>
    </row>
    <row r="4" spans="1:19" ht="14.25" customHeight="1" x14ac:dyDescent="0.3">
      <c r="A4" s="131" t="s">
        <v>412</v>
      </c>
      <c r="B4" s="131"/>
      <c r="C4" s="133">
        <f>'Growth Scenario'!C19</f>
        <v>7.0688770919641319E-2</v>
      </c>
      <c r="D4" s="133">
        <f>'Growth Scenario'!D19</f>
        <v>6.9778907484125616E-2</v>
      </c>
      <c r="E4" s="133">
        <f>'Growth Scenario'!E19</f>
        <v>6.8869044048609912E-2</v>
      </c>
      <c r="F4" s="133">
        <f>'Growth Scenario'!F19</f>
        <v>6.7959180613094208E-2</v>
      </c>
      <c r="G4" s="133">
        <f>'Growth Scenario'!G19</f>
        <v>6.7049317177578505E-2</v>
      </c>
      <c r="H4" s="133">
        <f>'Growth Scenario'!H19</f>
        <v>6.6139453742062801E-2</v>
      </c>
      <c r="I4" s="133">
        <f>'Growth Scenario'!I19</f>
        <v>6.5229590306547097E-2</v>
      </c>
      <c r="J4" s="133">
        <f>'Growth Scenario'!J19</f>
        <v>6.4319726871031394E-2</v>
      </c>
      <c r="K4" s="133">
        <f>'Growth Scenario'!K19</f>
        <v>6.340986343551569E-2</v>
      </c>
      <c r="L4" s="133">
        <f>'Growth Scenario'!L19</f>
        <v>6.2499999999999986E-2</v>
      </c>
      <c r="M4" s="131"/>
      <c r="N4" s="133">
        <f>$Q$2</f>
        <v>6.2143784363009928E-2</v>
      </c>
      <c r="O4" s="131"/>
      <c r="P4" s="132" t="s">
        <v>551</v>
      </c>
      <c r="Q4" s="133">
        <f>Q2*Q3</f>
        <v>7.4123045293991571E-3</v>
      </c>
      <c r="R4" s="127"/>
      <c r="S4" s="127"/>
    </row>
    <row r="5" spans="1:19" ht="14.25" customHeight="1" x14ac:dyDescent="0.3">
      <c r="A5" s="131" t="s">
        <v>443</v>
      </c>
      <c r="B5" s="131"/>
      <c r="C5" s="134">
        <f t="shared" ref="C5:L5" si="0">C3*C6</f>
        <v>1402.0200831552334</v>
      </c>
      <c r="D5" s="134">
        <f t="shared" si="0"/>
        <v>1499.8515128286085</v>
      </c>
      <c r="E5" s="134">
        <f t="shared" si="0"/>
        <v>1603.1448527319762</v>
      </c>
      <c r="F5" s="134">
        <f t="shared" si="0"/>
        <v>1712.0932633277407</v>
      </c>
      <c r="G5" s="134">
        <f t="shared" si="0"/>
        <v>1826.887947578198</v>
      </c>
      <c r="H5" s="134">
        <f t="shared" si="0"/>
        <v>1947.7173184789781</v>
      </c>
      <c r="I5" s="134">
        <f t="shared" si="0"/>
        <v>2074.7661211963286</v>
      </c>
      <c r="J5" s="134">
        <f t="shared" si="0"/>
        <v>2208.2145114329455</v>
      </c>
      <c r="K5" s="134">
        <f t="shared" si="0"/>
        <v>2348.2370920392327</v>
      </c>
      <c r="L5" s="134">
        <f t="shared" si="0"/>
        <v>2495.0019102916849</v>
      </c>
      <c r="M5" s="131"/>
      <c r="N5" s="134">
        <f>N6*N3</f>
        <v>2650.050770990149</v>
      </c>
      <c r="O5" s="131"/>
      <c r="P5" s="132"/>
      <c r="Q5" s="131"/>
      <c r="R5" s="127"/>
      <c r="S5" s="127"/>
    </row>
    <row r="6" spans="1:19" ht="14.25" customHeight="1" x14ac:dyDescent="0.3">
      <c r="A6" s="131" t="s">
        <v>552</v>
      </c>
      <c r="B6" s="131"/>
      <c r="C6" s="133">
        <f>AVERAGE(Assumptions!B29:F29)</f>
        <v>7.2766366398670818E-2</v>
      </c>
      <c r="D6" s="133">
        <f t="shared" ref="D6:L6" si="1">C6</f>
        <v>7.2766366398670818E-2</v>
      </c>
      <c r="E6" s="133">
        <f t="shared" si="1"/>
        <v>7.2766366398670818E-2</v>
      </c>
      <c r="F6" s="133">
        <f t="shared" si="1"/>
        <v>7.2766366398670818E-2</v>
      </c>
      <c r="G6" s="133">
        <f t="shared" si="1"/>
        <v>7.2766366398670818E-2</v>
      </c>
      <c r="H6" s="133">
        <f t="shared" si="1"/>
        <v>7.2766366398670818E-2</v>
      </c>
      <c r="I6" s="133">
        <f t="shared" si="1"/>
        <v>7.2766366398670818E-2</v>
      </c>
      <c r="J6" s="133">
        <f t="shared" si="1"/>
        <v>7.2766366398670818E-2</v>
      </c>
      <c r="K6" s="133">
        <f t="shared" si="1"/>
        <v>7.2766366398670818E-2</v>
      </c>
      <c r="L6" s="133">
        <f t="shared" si="1"/>
        <v>7.2766366398670818E-2</v>
      </c>
      <c r="M6" s="131"/>
      <c r="N6" s="133">
        <f>L6</f>
        <v>7.2766366398670818E-2</v>
      </c>
      <c r="O6" s="131"/>
      <c r="P6" s="132" t="s">
        <v>553</v>
      </c>
      <c r="Q6" s="131"/>
      <c r="R6" s="127"/>
      <c r="S6" s="127"/>
    </row>
    <row r="7" spans="1:19" ht="14.25" customHeight="1" x14ac:dyDescent="0.3">
      <c r="A7" s="131" t="s">
        <v>444</v>
      </c>
      <c r="B7" s="131"/>
      <c r="C7" s="134">
        <f>Assumptions!$B$35*C5</f>
        <v>392.56562328346536</v>
      </c>
      <c r="D7" s="134">
        <f>Assumptions!$B$35*D5</f>
        <v>419.95842359201043</v>
      </c>
      <c r="E7" s="134">
        <f>Assumptions!$B$35*E5</f>
        <v>448.88055876495338</v>
      </c>
      <c r="F7" s="134">
        <f>Assumptions!$B$35*F5</f>
        <v>479.38611373176747</v>
      </c>
      <c r="G7" s="134">
        <f>Assumptions!$B$35*G5</f>
        <v>511.5286253218955</v>
      </c>
      <c r="H7" s="134">
        <f>Assumptions!$B$35*H5</f>
        <v>545.36084917411392</v>
      </c>
      <c r="I7" s="134">
        <f>Assumptions!$B$35*I5</f>
        <v>580.93451393497207</v>
      </c>
      <c r="J7" s="134">
        <f>Assumptions!$B$35*J5</f>
        <v>618.30006320122482</v>
      </c>
      <c r="K7" s="134">
        <f>Assumptions!$B$35*K5</f>
        <v>657.50638577098528</v>
      </c>
      <c r="L7" s="134">
        <f>Assumptions!$B$35*L5</f>
        <v>698.60053488167182</v>
      </c>
      <c r="M7" s="131"/>
      <c r="N7" s="134">
        <f>Assumptions!$B$35*N5</f>
        <v>742.01421587724178</v>
      </c>
      <c r="O7" s="131"/>
      <c r="P7" s="131"/>
      <c r="Q7" s="131"/>
      <c r="R7" s="127"/>
      <c r="S7" s="127"/>
    </row>
    <row r="8" spans="1:19" ht="14.25" customHeight="1" x14ac:dyDescent="0.3">
      <c r="A8" s="135" t="s">
        <v>554</v>
      </c>
      <c r="B8" s="130"/>
      <c r="C8" s="134">
        <f t="shared" ref="C8:L8" si="2">C5-C7</f>
        <v>1009.454459871768</v>
      </c>
      <c r="D8" s="134">
        <f t="shared" si="2"/>
        <v>1079.8930892365981</v>
      </c>
      <c r="E8" s="134">
        <f t="shared" si="2"/>
        <v>1154.2642939670229</v>
      </c>
      <c r="F8" s="134">
        <f t="shared" si="2"/>
        <v>1232.7071495959733</v>
      </c>
      <c r="G8" s="134">
        <f t="shared" si="2"/>
        <v>1315.3593222563024</v>
      </c>
      <c r="H8" s="134">
        <f t="shared" si="2"/>
        <v>1402.3564693048643</v>
      </c>
      <c r="I8" s="134">
        <f t="shared" si="2"/>
        <v>1493.8316072613566</v>
      </c>
      <c r="J8" s="134">
        <f t="shared" si="2"/>
        <v>1589.9144482317206</v>
      </c>
      <c r="K8" s="134">
        <f t="shared" si="2"/>
        <v>1690.7307062682476</v>
      </c>
      <c r="L8" s="134">
        <f t="shared" si="2"/>
        <v>1796.4013754100131</v>
      </c>
      <c r="M8" s="130"/>
      <c r="N8" s="134">
        <f>N5-N7</f>
        <v>1908.0365551129071</v>
      </c>
      <c r="O8" s="130"/>
      <c r="P8" s="130"/>
      <c r="Q8" s="130"/>
      <c r="R8" s="127"/>
      <c r="S8" s="127"/>
    </row>
    <row r="9" spans="1:19" ht="14.25" customHeight="1" x14ac:dyDescent="0.3">
      <c r="A9" s="131" t="s">
        <v>555</v>
      </c>
      <c r="B9" s="131"/>
      <c r="C9" s="134">
        <f>C3*'Fixed Asset Scheduled'!$C$11</f>
        <v>1018.8413249422755</v>
      </c>
      <c r="D9" s="134">
        <f>D3*'Fixed Asset Scheduled'!$C$11</f>
        <v>1089.9349594964265</v>
      </c>
      <c r="E9" s="134">
        <f>E3*'Fixed Asset Scheduled'!$C$11</f>
        <v>1164.9977382321058</v>
      </c>
      <c r="F9" s="134">
        <f>F3*'Fixed Asset Scheduled'!$C$11</f>
        <v>1244.1700299384677</v>
      </c>
      <c r="G9" s="134">
        <f>G3*'Fixed Asset Scheduled'!$C$11</f>
        <v>1327.5907808986494</v>
      </c>
      <c r="H9" s="134">
        <f>H3*'Fixed Asset Scheduled'!$C$11</f>
        <v>1415.3969099402846</v>
      </c>
      <c r="I9" s="134">
        <f>I3*'Fixed Asset Scheduled'!$C$11</f>
        <v>1507.7226704968423</v>
      </c>
      <c r="J9" s="134">
        <f>J3*'Fixed Asset Scheduled'!$C$11</f>
        <v>1604.6989808604612</v>
      </c>
      <c r="K9" s="134">
        <f>K3*'Fixed Asset Scheduled'!$C$11</f>
        <v>1706.4527240919342</v>
      </c>
      <c r="L9" s="134">
        <f>L3*'Fixed Asset Scheduled'!$C$11</f>
        <v>1813.1060193476801</v>
      </c>
      <c r="M9" s="131"/>
      <c r="N9" s="131"/>
      <c r="O9" s="131"/>
      <c r="P9" s="131"/>
      <c r="Q9" s="131"/>
      <c r="R9" s="127"/>
      <c r="S9" s="127"/>
    </row>
    <row r="10" spans="1:19" ht="14.25" customHeight="1" x14ac:dyDescent="0.3">
      <c r="A10" s="131" t="s">
        <v>556</v>
      </c>
      <c r="B10" s="134">
        <f>'Change in working Capital'!F5</f>
        <v>1902.6700000000005</v>
      </c>
      <c r="C10" s="134">
        <f>'Change in working Capital'!$C$9*C3</f>
        <v>37.917743252179768</v>
      </c>
      <c r="D10" s="134">
        <f>'Change in working Capital'!$C$9*D3</f>
        <v>40.563601950580448</v>
      </c>
      <c r="E10" s="134">
        <f>'Change in working Capital'!$C$9*E3</f>
        <v>43.357178440085249</v>
      </c>
      <c r="F10" s="134">
        <f>'Change in working Capital'!$C$9*F3</f>
        <v>46.303696760569153</v>
      </c>
      <c r="G10" s="134">
        <f>'Change in working Capital'!$C$9*G3</f>
        <v>49.408328011162979</v>
      </c>
      <c r="H10" s="134">
        <f>'Change in working Capital'!$C$9*H3</f>
        <v>52.676167836129956</v>
      </c>
      <c r="I10" s="134">
        <f>'Change in working Capital'!$C$9*I3</f>
        <v>56.112212682999626</v>
      </c>
      <c r="J10" s="134">
        <f>'Change in working Capital'!$C$9*J3</f>
        <v>59.721334876899391</v>
      </c>
      <c r="K10" s="134">
        <f>'Change in working Capital'!$C$9*K3</f>
        <v>63.508256565630276</v>
      </c>
      <c r="L10" s="134">
        <f>'Change in working Capital'!$C$9*L3</f>
        <v>67.477522600982169</v>
      </c>
      <c r="M10" s="131"/>
      <c r="N10" s="131"/>
      <c r="O10" s="131"/>
      <c r="P10" s="131"/>
      <c r="Q10" s="131"/>
      <c r="R10" s="127"/>
      <c r="S10" s="127"/>
    </row>
    <row r="11" spans="1:19" ht="14.25" customHeight="1" x14ac:dyDescent="0.3">
      <c r="A11" s="131" t="s">
        <v>557</v>
      </c>
      <c r="B11" s="131"/>
      <c r="C11" s="134">
        <f t="shared" ref="C11:L11" si="3">C10-B10</f>
        <v>-1864.7522567478209</v>
      </c>
      <c r="D11" s="134">
        <f t="shared" si="3"/>
        <v>2.64585869840068</v>
      </c>
      <c r="E11" s="134">
        <f t="shared" si="3"/>
        <v>2.793576489504801</v>
      </c>
      <c r="F11" s="134">
        <f t="shared" si="3"/>
        <v>2.9465183204839036</v>
      </c>
      <c r="G11" s="134">
        <f t="shared" si="3"/>
        <v>3.1046312505938261</v>
      </c>
      <c r="H11" s="134">
        <f t="shared" si="3"/>
        <v>3.2678398249669769</v>
      </c>
      <c r="I11" s="134">
        <f t="shared" si="3"/>
        <v>3.4360448468696703</v>
      </c>
      <c r="J11" s="134">
        <f t="shared" si="3"/>
        <v>3.6091221938997649</v>
      </c>
      <c r="K11" s="134">
        <f t="shared" si="3"/>
        <v>3.7869216887308852</v>
      </c>
      <c r="L11" s="134">
        <f t="shared" si="3"/>
        <v>3.9692660353518932</v>
      </c>
      <c r="M11" s="131"/>
      <c r="N11" s="131"/>
      <c r="O11" s="131"/>
      <c r="P11" s="131"/>
      <c r="Q11" s="131"/>
      <c r="R11" s="127"/>
      <c r="S11" s="127"/>
    </row>
    <row r="12" spans="1:19" ht="14.25" customHeight="1" x14ac:dyDescent="0.3">
      <c r="A12" s="131" t="s">
        <v>449</v>
      </c>
      <c r="B12" s="131"/>
      <c r="C12" s="134">
        <f t="shared" ref="C12:L12" si="4">C9+C11</f>
        <v>-845.91093180554537</v>
      </c>
      <c r="D12" s="134">
        <f t="shared" si="4"/>
        <v>1092.5808181948271</v>
      </c>
      <c r="E12" s="134">
        <f t="shared" si="4"/>
        <v>1167.7913147216107</v>
      </c>
      <c r="F12" s="134">
        <f t="shared" si="4"/>
        <v>1247.1165482589515</v>
      </c>
      <c r="G12" s="134">
        <f t="shared" si="4"/>
        <v>1330.6954121492433</v>
      </c>
      <c r="H12" s="134">
        <f t="shared" si="4"/>
        <v>1418.6647497652516</v>
      </c>
      <c r="I12" s="134">
        <f t="shared" si="4"/>
        <v>1511.1587153437119</v>
      </c>
      <c r="J12" s="134">
        <f t="shared" si="4"/>
        <v>1608.308103054361</v>
      </c>
      <c r="K12" s="134">
        <f t="shared" si="4"/>
        <v>1710.2396457806651</v>
      </c>
      <c r="L12" s="134">
        <f t="shared" si="4"/>
        <v>1817.075285383032</v>
      </c>
      <c r="M12" s="131"/>
      <c r="N12" s="134">
        <f>N8*N14</f>
        <v>14.142947999722566</v>
      </c>
      <c r="O12" s="131"/>
      <c r="P12" s="131"/>
      <c r="Q12" s="131"/>
      <c r="R12" s="127"/>
      <c r="S12" s="127"/>
    </row>
    <row r="13" spans="1:19" ht="14.25" customHeight="1" x14ac:dyDescent="0.3">
      <c r="A13" s="130" t="s">
        <v>558</v>
      </c>
      <c r="B13" s="131"/>
      <c r="C13" s="136">
        <f t="shared" ref="C13:L13" si="5">C8-C12</f>
        <v>1855.3653916773133</v>
      </c>
      <c r="D13" s="136">
        <f t="shared" si="5"/>
        <v>-12.687728958228945</v>
      </c>
      <c r="E13" s="136">
        <f t="shared" si="5"/>
        <v>-13.527020754587738</v>
      </c>
      <c r="F13" s="136">
        <f t="shared" si="5"/>
        <v>-14.409398662978219</v>
      </c>
      <c r="G13" s="136">
        <f t="shared" si="5"/>
        <v>-15.33608989294089</v>
      </c>
      <c r="H13" s="136">
        <f t="shared" si="5"/>
        <v>-16.308280460387323</v>
      </c>
      <c r="I13" s="136">
        <f t="shared" si="5"/>
        <v>-17.32710808235538</v>
      </c>
      <c r="J13" s="136">
        <f t="shared" si="5"/>
        <v>-18.393654822640428</v>
      </c>
      <c r="K13" s="136">
        <f t="shared" si="5"/>
        <v>-19.508939512417555</v>
      </c>
      <c r="L13" s="136">
        <f t="shared" si="5"/>
        <v>-20.673909973018908</v>
      </c>
      <c r="M13" s="131"/>
      <c r="N13" s="136">
        <f>N8-N12</f>
        <v>1893.8936071131845</v>
      </c>
      <c r="O13" s="131"/>
      <c r="P13" s="131"/>
      <c r="Q13" s="131"/>
      <c r="R13" s="127"/>
      <c r="S13" s="127"/>
    </row>
    <row r="14" spans="1:19" ht="14.25" customHeight="1" x14ac:dyDescent="0.3">
      <c r="A14" s="131" t="s">
        <v>559</v>
      </c>
      <c r="B14" s="131"/>
      <c r="C14" s="133">
        <f t="shared" ref="C14:L14" si="6">C13/C8</f>
        <v>1.8379882059394756</v>
      </c>
      <c r="D14" s="133">
        <f t="shared" si="6"/>
        <v>-1.1749060240026352E-2</v>
      </c>
      <c r="E14" s="133">
        <f t="shared" si="6"/>
        <v>-1.171917109910549E-2</v>
      </c>
      <c r="F14" s="133">
        <f t="shared" si="6"/>
        <v>-1.1689231029203474E-2</v>
      </c>
      <c r="G14" s="133">
        <f t="shared" si="6"/>
        <v>-1.1659239900040483E-2</v>
      </c>
      <c r="H14" s="133">
        <f t="shared" si="6"/>
        <v>-1.1629197580891251E-2</v>
      </c>
      <c r="I14" s="133">
        <f t="shared" si="6"/>
        <v>-1.1599103940584837E-2</v>
      </c>
      <c r="J14" s="133">
        <f t="shared" si="6"/>
        <v>-1.1568958847501247E-2</v>
      </c>
      <c r="K14" s="133">
        <f t="shared" si="6"/>
        <v>-1.1538762169569486E-2</v>
      </c>
      <c r="L14" s="133">
        <f t="shared" si="6"/>
        <v>-1.1508513774267327E-2</v>
      </c>
      <c r="M14" s="131"/>
      <c r="N14" s="133">
        <f>$Q$4</f>
        <v>7.4123045293991571E-3</v>
      </c>
      <c r="O14" s="131"/>
      <c r="P14" s="131"/>
      <c r="Q14" s="131"/>
      <c r="R14" s="127"/>
      <c r="S14" s="127"/>
    </row>
    <row r="15" spans="1:19" x14ac:dyDescent="0.3">
      <c r="A15" s="131"/>
      <c r="B15" s="131"/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27"/>
      <c r="S15" s="127"/>
    </row>
    <row r="16" spans="1:19" ht="14.25" customHeight="1" x14ac:dyDescent="0.3">
      <c r="A16" s="131" t="s">
        <v>560</v>
      </c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6">
        <f>L13/(Q3-Q2)</f>
        <v>-361.85648038266629</v>
      </c>
      <c r="M16" s="131"/>
      <c r="N16" s="131"/>
      <c r="O16" s="131"/>
      <c r="P16" s="131"/>
      <c r="Q16" s="131"/>
      <c r="R16" s="127"/>
      <c r="S16" s="127"/>
    </row>
    <row r="17" spans="1:19" x14ac:dyDescent="0.3">
      <c r="A17" s="131"/>
      <c r="B17" s="131"/>
      <c r="C17" s="131"/>
      <c r="D17" s="131"/>
      <c r="E17" s="131"/>
      <c r="F17" s="131"/>
      <c r="G17" s="131"/>
      <c r="H17" s="131"/>
      <c r="I17" s="131"/>
      <c r="J17" s="131"/>
      <c r="K17" s="131"/>
      <c r="L17" s="131"/>
      <c r="M17" s="131"/>
      <c r="N17" s="131"/>
      <c r="O17" s="131"/>
      <c r="P17" s="131"/>
      <c r="Q17" s="131"/>
      <c r="R17" s="127"/>
      <c r="S17" s="127"/>
    </row>
    <row r="18" spans="1:19" ht="14.25" customHeight="1" x14ac:dyDescent="0.3">
      <c r="A18" s="131" t="s">
        <v>561</v>
      </c>
      <c r="B18" s="131"/>
      <c r="C18" s="137">
        <f t="shared" ref="C18:L18" si="7">1/(1+$Q$3)^C1</f>
        <v>0.89343413858613197</v>
      </c>
      <c r="D18" s="137">
        <f t="shared" si="7"/>
        <v>0.79822455999114361</v>
      </c>
      <c r="E18" s="137">
        <f t="shared" si="7"/>
        <v>0.71316107215398161</v>
      </c>
      <c r="F18" s="137">
        <f t="shared" si="7"/>
        <v>0.6371624481730549</v>
      </c>
      <c r="G18" s="137">
        <f t="shared" si="7"/>
        <v>0.56926268302292427</v>
      </c>
      <c r="H18" s="137">
        <f t="shared" si="7"/>
        <v>0.50859871483581653</v>
      </c>
      <c r="I18" s="137">
        <f t="shared" si="7"/>
        <v>0.45439945467535159</v>
      </c>
      <c r="J18" s="137">
        <f t="shared" si="7"/>
        <v>0.40597598536188084</v>
      </c>
      <c r="K18" s="137">
        <f t="shared" si="7"/>
        <v>0.36271280476844808</v>
      </c>
      <c r="L18" s="137">
        <f t="shared" si="7"/>
        <v>0.32406000228245829</v>
      </c>
      <c r="M18" s="131"/>
      <c r="N18" s="131"/>
      <c r="O18" s="131"/>
      <c r="P18" s="131"/>
      <c r="Q18" s="131"/>
      <c r="R18" s="127"/>
      <c r="S18" s="127"/>
    </row>
    <row r="19" spans="1:19" x14ac:dyDescent="0.3">
      <c r="A19" s="131"/>
      <c r="B19" s="131"/>
      <c r="C19" s="131"/>
      <c r="D19" s="131"/>
      <c r="E19" s="131"/>
      <c r="F19" s="131"/>
      <c r="G19" s="131"/>
      <c r="H19" s="131"/>
      <c r="I19" s="131"/>
      <c r="J19" s="131"/>
      <c r="K19" s="131"/>
      <c r="L19" s="131"/>
      <c r="M19" s="131"/>
      <c r="N19" s="131"/>
      <c r="O19" s="131"/>
      <c r="P19" s="131"/>
      <c r="Q19" s="131"/>
      <c r="R19" s="127"/>
      <c r="S19" s="127"/>
    </row>
    <row r="20" spans="1:19" ht="14.25" customHeight="1" x14ac:dyDescent="0.3">
      <c r="A20" s="131" t="s">
        <v>562</v>
      </c>
      <c r="B20" s="131"/>
      <c r="C20" s="136">
        <f>SUMPRODUCT(C18:L18,C13:L13)</f>
        <v>1582.5498770083036</v>
      </c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27"/>
      <c r="S20" s="127"/>
    </row>
    <row r="21" spans="1:19" ht="14.25" customHeight="1" x14ac:dyDescent="0.3">
      <c r="A21" s="131" t="s">
        <v>563</v>
      </c>
      <c r="B21" s="131"/>
      <c r="C21" s="136">
        <f>L16*L18</f>
        <v>-117.26321185872916</v>
      </c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27"/>
      <c r="S21" s="127"/>
    </row>
    <row r="22" spans="1:19" ht="14.25" customHeight="1" x14ac:dyDescent="0.3">
      <c r="A22" s="131"/>
      <c r="B22" s="131"/>
      <c r="C22" s="138"/>
      <c r="D22" s="131"/>
      <c r="E22" s="131"/>
      <c r="F22" s="131"/>
      <c r="G22" s="131"/>
      <c r="H22" s="139" t="s">
        <v>564</v>
      </c>
      <c r="I22" s="140"/>
      <c r="J22" s="140"/>
      <c r="K22" s="140"/>
      <c r="L22" s="140"/>
      <c r="M22" s="131"/>
      <c r="N22" s="131"/>
      <c r="O22" s="131"/>
      <c r="P22" s="131"/>
      <c r="Q22" s="131"/>
      <c r="R22" s="127"/>
      <c r="S22" s="127"/>
    </row>
    <row r="23" spans="1:19" ht="35.25" customHeight="1" x14ac:dyDescent="0.3">
      <c r="A23" s="130" t="s">
        <v>565</v>
      </c>
      <c r="B23" s="131"/>
      <c r="C23" s="141">
        <f>C20+C21</f>
        <v>1465.2866651495744</v>
      </c>
      <c r="D23" s="131"/>
      <c r="E23" s="131"/>
      <c r="F23" s="131"/>
      <c r="G23" s="131"/>
      <c r="H23" s="142" t="s">
        <v>566</v>
      </c>
      <c r="I23" s="143"/>
      <c r="J23" s="143"/>
      <c r="K23" s="143"/>
      <c r="L23" s="143"/>
      <c r="M23" s="131"/>
      <c r="N23" s="131"/>
      <c r="O23" s="131"/>
      <c r="P23" s="131"/>
      <c r="Q23" s="131"/>
      <c r="R23" s="127"/>
      <c r="S23" s="127"/>
    </row>
    <row r="24" spans="1:19" ht="14.25" customHeight="1" x14ac:dyDescent="0.3">
      <c r="A24" s="144" t="s">
        <v>567</v>
      </c>
      <c r="B24" s="131"/>
      <c r="C24" s="134">
        <f>Assumptions!F41</f>
        <v>257.81</v>
      </c>
      <c r="D24" s="131"/>
      <c r="E24" s="131"/>
      <c r="F24" s="131"/>
      <c r="G24" s="131"/>
      <c r="H24" s="145">
        <f>C30</f>
        <v>7.0660703725116685</v>
      </c>
      <c r="I24" s="133">
        <f>J24-1%</f>
        <v>9.9276683989834566E-2</v>
      </c>
      <c r="J24" s="133">
        <f>K24-1%</f>
        <v>0.10927668398983456</v>
      </c>
      <c r="K24" s="133">
        <f>$Q$3</f>
        <v>0.11927668398983456</v>
      </c>
      <c r="L24" s="133">
        <f>K24+1%</f>
        <v>0.12927668398983455</v>
      </c>
      <c r="M24" s="133">
        <f>L24+1%</f>
        <v>0.13927668398983456</v>
      </c>
      <c r="N24" s="131"/>
      <c r="O24" s="131"/>
      <c r="P24" s="131"/>
      <c r="Q24" s="131"/>
      <c r="R24" s="127"/>
      <c r="S24" s="127"/>
    </row>
    <row r="25" spans="1:19" ht="14.25" customHeight="1" x14ac:dyDescent="0.3">
      <c r="A25" s="144" t="s">
        <v>568</v>
      </c>
      <c r="B25" s="131"/>
      <c r="C25" s="134">
        <f>Assumptions!F40</f>
        <v>1093.1500000000001</v>
      </c>
      <c r="D25" s="131"/>
      <c r="E25" s="131"/>
      <c r="F25" s="131"/>
      <c r="G25" s="131"/>
      <c r="H25" s="146">
        <f>H26-1%</f>
        <v>4.2143784363009924E-2</v>
      </c>
      <c r="I25" s="147">
        <f>(SUMPRODUCT((1/(1+I24)^C1:L1),C13:L13)+L13/(I24-H25)*(1/(1+I24)^10)+C24-C25-C26)/C29</f>
        <v>7.0524426003865708</v>
      </c>
      <c r="J25" s="147">
        <f>(SUMPRODUCT((1/(1+J24)^C1:L1),C13:L13)+L13/(J24-H25)*(1/(1+J24)^10)+C24-C25-C26)/C29</f>
        <v>7.28976792071321</v>
      </c>
      <c r="K25" s="147">
        <f>(SUMPRODUCT((1/(1+K24)^C1:L1),C13:L13)+L13/(K24-H25)*(1/(1+K24)^10)+C24-C25-C26)/C29</f>
        <v>7.4220274564562487</v>
      </c>
      <c r="L25" s="147">
        <f>(SUMPRODUCT((1/(1+L24)^C1:L1),C13:L13)+L13/(L24-H25)*(1/(1+L24)^10)+C24-C25-C26)/C29</f>
        <v>7.4864196047479554</v>
      </c>
      <c r="M25" s="147">
        <f>(SUMPRODUCT((1/(1+M24)^C1:L1),C13:L13)+L13/(M24-H25)*(1/(1+M24)^10)+C24-C25-C26)/C29</f>
        <v>7.5047924574702094</v>
      </c>
      <c r="N25" s="131"/>
      <c r="O25" s="131"/>
      <c r="P25" s="147"/>
      <c r="Q25" s="147"/>
      <c r="R25" s="127"/>
      <c r="S25" s="127"/>
    </row>
    <row r="26" spans="1:19" ht="14.25" customHeight="1" x14ac:dyDescent="0.3">
      <c r="A26" s="144" t="s">
        <v>569</v>
      </c>
      <c r="B26" s="131"/>
      <c r="C26" s="134">
        <f>'Consolidated Balance sheet'!F11</f>
        <v>26.37</v>
      </c>
      <c r="D26" s="131"/>
      <c r="E26" s="131"/>
      <c r="F26" s="131"/>
      <c r="G26" s="131"/>
      <c r="H26" s="146">
        <f>H27-1%</f>
        <v>5.2143784363009926E-2</v>
      </c>
      <c r="I26" s="147">
        <f>(SUMPRODUCT((1/(1+I24)^C1:L1),C13:L13)+L13/(I24-H26)*(1/(1+I24)^10)+C24-C25-C26)/C29</f>
        <v>6.7036337081389856</v>
      </c>
      <c r="J26" s="147">
        <f>(SUMPRODUCT((1/(1+J24)^C1:L1),C13:L13)+L13/(J24-H26)*(1/(1+J24)^10)+C24-C25-C26)/C29</f>
        <v>7.0660773796146517</v>
      </c>
      <c r="K26" s="147">
        <f>(SUMPRODUCT((1/(1+K24)^C1:L1),C13:L13)+L13/(K24-H26)*(1/(1+K24)^10)+C24-C25-C26)/C29</f>
        <v>7.2705602886330913</v>
      </c>
      <c r="L26" s="147">
        <f>(SUMPRODUCT((1/(1+L24)^C1:L1),C13:L13)+L13/(L24-H26)*(1/(1+L24)^10)+C24-C25-C26)/C29</f>
        <v>7.3796512134945811</v>
      </c>
      <c r="M26" s="147">
        <f>(SUMPRODUCT((1/(1+M24)^C1:L1),C13:L13)+L13/(M24-H26)*(1/(1+M24)^10)+C24-C25-C26)/C29</f>
        <v>7.4271628260944516</v>
      </c>
      <c r="N26" s="131"/>
      <c r="O26" s="131"/>
      <c r="P26" s="147"/>
      <c r="Q26" s="148"/>
      <c r="R26" s="127"/>
      <c r="S26" s="127"/>
    </row>
    <row r="27" spans="1:19" ht="15" customHeight="1" x14ac:dyDescent="0.3">
      <c r="A27" s="149" t="s">
        <v>570</v>
      </c>
      <c r="B27" s="150"/>
      <c r="C27" s="151">
        <f>C23+C24-C25-C26</f>
        <v>603.5766651495743</v>
      </c>
      <c r="D27" s="131"/>
      <c r="E27" s="131"/>
      <c r="F27" s="131"/>
      <c r="G27" s="131"/>
      <c r="H27" s="146">
        <f>$Q$2</f>
        <v>6.2143784363009928E-2</v>
      </c>
      <c r="I27" s="147">
        <f>(SUMPRODUCT((1/(1+I24)^C1:L1),C13:L13)+L13/(I24-H27)*(1/(1+I24)^10)+C24-C25-C26)/C29</f>
        <v>6.1669542774992889</v>
      </c>
      <c r="J27" s="147">
        <f>(SUMPRODUCT((1/(1+J24)^C1:L1),C13:L13)+L13/(J24-H27)*(1/(1+J24)^10)+C24-C25-C26)/C29</f>
        <v>6.7474677722716505</v>
      </c>
      <c r="K27" s="152">
        <f>(SUMPRODUCT((1/(1+K24)^C1:L1),C13:L13)+L13/(K24-H27)*(1/(1+K24)^10)+C24-C25-C26)/C29</f>
        <v>7.0660703725116685</v>
      </c>
      <c r="L27" s="147">
        <f>(SUMPRODUCT((1/(1+L24)^C1:L1),C13:L13)+L13/(L24-H27)*(1/(1+L24)^10)+C24-C25-C26)/C29</f>
        <v>7.2410747544095271</v>
      </c>
      <c r="M27" s="147">
        <f>(SUMPRODUCT((1/(1+M24)^C1:L1),C13:L13)+L13/(M24-H27)*(1/(1+M24)^10)+C24-C25-C26)/C29</f>
        <v>7.3294043957881874</v>
      </c>
      <c r="N27" s="131"/>
      <c r="O27" s="131"/>
      <c r="P27" s="147"/>
      <c r="Q27" s="153"/>
      <c r="R27" s="127"/>
      <c r="S27" s="127"/>
    </row>
    <row r="28" spans="1:19" ht="15" customHeight="1" x14ac:dyDescent="0.3">
      <c r="A28" s="131"/>
      <c r="B28" s="131"/>
      <c r="C28" s="131"/>
      <c r="D28" s="131"/>
      <c r="E28" s="131"/>
      <c r="F28" s="131"/>
      <c r="G28" s="131"/>
      <c r="H28" s="146">
        <f>H27+1%</f>
        <v>7.214378436300993E-2</v>
      </c>
      <c r="I28" s="147">
        <f>(SUMPRODUCT((1/(1+I24)^C1:L1),C13:L13)+L13/(I24-H28)*(1/(1+I24)^10)+C24-C25-C26)/C29</f>
        <v>5.2346817196811681</v>
      </c>
      <c r="J28" s="147">
        <f>(SUMPRODUCT((1/(1+J24)^C1:L1),C13:L13)+L13/(J24-H28)*(1/(1+J24)^10)+C24-C25-C26)/C29</f>
        <v>6.2572531405190661</v>
      </c>
      <c r="K28" s="147">
        <f>(SUMPRODUCT((1/(1+K24)^C1:L1),C13:L13)+L13/(K24-H28)*(1/(1+K24)^10)+C24-C25-C26)/C29</f>
        <v>6.7748088307357799</v>
      </c>
      <c r="L28" s="147">
        <f>(SUMPRODUCT((1/(1+L24)^C1:L1),C13:L13)+L13/(L24-H28)*(1/(1+L24)^10)+C24-C25-C26)/C29</f>
        <v>7.0539880814231326</v>
      </c>
      <c r="M28" s="147">
        <f>(SUMPRODUCT((1/(1+M24)^C1:L1),C13:L13)+L13/(M24-H28)*(1/(1+M24)^10)+C24-C25-C26)/C29</f>
        <v>7.2025221138831768</v>
      </c>
      <c r="N28" s="131"/>
      <c r="O28" s="131"/>
      <c r="P28" s="147"/>
      <c r="Q28" s="147"/>
      <c r="R28" s="127"/>
      <c r="S28" s="127"/>
    </row>
    <row r="29" spans="1:19" ht="14.25" customHeight="1" x14ac:dyDescent="0.3">
      <c r="A29" s="144" t="s">
        <v>571</v>
      </c>
      <c r="B29" s="131"/>
      <c r="C29" s="147">
        <f>'Consolidated P&amp;L'!F36/'Consolidated P&amp;L'!F38</f>
        <v>85.419000000000011</v>
      </c>
      <c r="D29" s="131"/>
      <c r="E29" s="131"/>
      <c r="F29" s="131"/>
      <c r="G29" s="131"/>
      <c r="H29" s="146">
        <f>H28+1%</f>
        <v>8.2143784363009925E-2</v>
      </c>
      <c r="I29" s="147">
        <f>(SUMPRODUCT((1/(1+I24)^C1:L1),C13:L13)+L13/(I24-H29)*(1/(1+I24)^10)+C24-C25-C26)/C29</f>
        <v>3.2141257094129045</v>
      </c>
      <c r="J29" s="147">
        <f>(SUMPRODUCT((1/(1+J24)^C1:L1),C13:L13)+L13/(J24-H29)*(1/(1+J24)^10)+C24-C25-C26)/C29</f>
        <v>5.4056951665547688</v>
      </c>
      <c r="K29" s="147">
        <f>(SUMPRODUCT((1/(1+K24)^C1:L1),C13:L13)+L13/(K24-H29)*(1/(1+K24)^10)+C24-C25-C26)/C29</f>
        <v>6.326672094885101</v>
      </c>
      <c r="L29" s="147">
        <f>(SUMPRODUCT((1/(1+L24)^C1:L1),C13:L13)+L13/(L24-H29)*(1/(1+L24)^10)+C24-C25-C26)/C29</f>
        <v>6.7875145366475422</v>
      </c>
      <c r="M29" s="147">
        <f>(SUMPRODUCT((1/(1+M24)^C1:L1),C13:L13)+L13/(M24-H29)*(1/(1+M24)^10)+C24-C25-C26)/C29</f>
        <v>7.0312232934395063</v>
      </c>
      <c r="N29" s="131"/>
      <c r="O29" s="131"/>
      <c r="P29" s="147"/>
      <c r="Q29" s="147"/>
      <c r="R29" s="127"/>
      <c r="S29" s="127"/>
    </row>
    <row r="30" spans="1:19" ht="15" customHeight="1" x14ac:dyDescent="0.3">
      <c r="A30" s="149" t="s">
        <v>572</v>
      </c>
      <c r="B30" s="150"/>
      <c r="C30" s="154">
        <f>C27/C29</f>
        <v>7.0660703725116685</v>
      </c>
      <c r="D30" s="131"/>
      <c r="E30" s="149"/>
      <c r="F30" s="131"/>
      <c r="G30" s="131"/>
      <c r="H30" s="131"/>
      <c r="I30" s="131"/>
      <c r="J30" s="131"/>
      <c r="K30" s="131"/>
      <c r="L30" s="131"/>
      <c r="M30" s="131"/>
      <c r="N30" s="131"/>
      <c r="O30" s="131"/>
      <c r="P30" s="131"/>
      <c r="Q30" s="131"/>
      <c r="R30" s="127"/>
      <c r="S30" s="127"/>
    </row>
    <row r="31" spans="1:19" ht="1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34"/>
  <sheetViews>
    <sheetView topLeftCell="A15" zoomScaleNormal="100" workbookViewId="0">
      <selection activeCell="I21" sqref="I21"/>
    </sheetView>
  </sheetViews>
  <sheetFormatPr defaultColWidth="8.6640625" defaultRowHeight="14.4" x14ac:dyDescent="0.3"/>
  <cols>
    <col min="1" max="1" width="25.5546875" customWidth="1"/>
    <col min="2" max="2" width="8" customWidth="1"/>
    <col min="3" max="3" width="8.88671875" customWidth="1"/>
    <col min="4" max="4" width="7.21875" customWidth="1"/>
    <col min="5" max="5" width="7.44140625" customWidth="1"/>
    <col min="6" max="6" width="9.109375" customWidth="1"/>
    <col min="7" max="7" width="9.44140625" customWidth="1"/>
    <col min="8" max="8" width="7.33203125" customWidth="1"/>
    <col min="9" max="9" width="8.6640625" customWidth="1"/>
    <col min="10" max="10" width="6.6640625" customWidth="1"/>
    <col min="11" max="11" width="8.33203125" bestFit="1" customWidth="1"/>
    <col min="12" max="12" width="10.21875" bestFit="1" customWidth="1"/>
    <col min="13" max="13" width="13.33203125" customWidth="1"/>
    <col min="15" max="15" width="11.44140625" customWidth="1"/>
    <col min="16" max="16" width="10.21875" customWidth="1"/>
    <col min="17" max="17" width="8.77734375" customWidth="1"/>
  </cols>
  <sheetData>
    <row r="1" spans="1:17" x14ac:dyDescent="0.3">
      <c r="A1" s="208" t="s">
        <v>573</v>
      </c>
      <c r="B1" s="208"/>
      <c r="C1" s="208"/>
      <c r="D1" s="208"/>
      <c r="E1" s="208"/>
      <c r="F1" s="208"/>
      <c r="G1" s="208"/>
      <c r="H1" s="208"/>
      <c r="I1" s="208"/>
      <c r="J1" s="208"/>
      <c r="K1" s="208"/>
      <c r="L1" s="208"/>
      <c r="M1" s="208"/>
      <c r="N1" s="75"/>
      <c r="O1" s="75"/>
      <c r="P1" s="75"/>
      <c r="Q1" s="75"/>
    </row>
    <row r="2" spans="1:17" x14ac:dyDescent="0.3">
      <c r="A2" s="82"/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75"/>
      <c r="O2" s="75"/>
      <c r="P2" s="75"/>
      <c r="Q2" s="75"/>
    </row>
    <row r="3" spans="1:17" x14ac:dyDescent="0.3">
      <c r="A3" s="209" t="s">
        <v>574</v>
      </c>
      <c r="B3" s="210" t="s">
        <v>575</v>
      </c>
      <c r="C3" s="210"/>
      <c r="D3" s="210"/>
      <c r="E3" s="210"/>
      <c r="F3" s="210" t="s">
        <v>576</v>
      </c>
      <c r="G3" s="210"/>
      <c r="H3" s="210"/>
      <c r="I3" s="210"/>
      <c r="J3" s="211" t="s">
        <v>577</v>
      </c>
      <c r="K3" s="211"/>
      <c r="L3" s="211"/>
      <c r="M3" s="211"/>
      <c r="N3" s="75"/>
      <c r="O3" s="75"/>
      <c r="P3" s="75"/>
      <c r="Q3" s="75"/>
    </row>
    <row r="4" spans="1:17" ht="43.2" x14ac:dyDescent="0.3">
      <c r="A4" s="209"/>
      <c r="B4" s="212" t="s">
        <v>578</v>
      </c>
      <c r="C4" s="212" t="s">
        <v>579</v>
      </c>
      <c r="D4" s="212" t="s">
        <v>580</v>
      </c>
      <c r="E4" s="212" t="s">
        <v>581</v>
      </c>
      <c r="F4" s="212" t="s">
        <v>582</v>
      </c>
      <c r="G4" s="212" t="s">
        <v>583</v>
      </c>
      <c r="H4" s="212" t="s">
        <v>584</v>
      </c>
      <c r="I4" s="212" t="s">
        <v>585</v>
      </c>
      <c r="J4" s="213" t="s">
        <v>586</v>
      </c>
      <c r="K4" s="213" t="s">
        <v>587</v>
      </c>
      <c r="L4" s="213" t="s">
        <v>588</v>
      </c>
      <c r="M4" s="213" t="s">
        <v>589</v>
      </c>
      <c r="N4" s="75"/>
      <c r="O4" s="75"/>
      <c r="P4" s="75"/>
      <c r="Q4" s="75"/>
    </row>
    <row r="5" spans="1:17" x14ac:dyDescent="0.3">
      <c r="A5" s="155" t="s">
        <v>590</v>
      </c>
      <c r="B5" s="156">
        <v>381</v>
      </c>
      <c r="C5" s="157">
        <f>D5/B5</f>
        <v>84.944881889763778</v>
      </c>
      <c r="D5" s="156">
        <v>32364</v>
      </c>
      <c r="E5" s="115">
        <f>D5+'Consolidated Balance sheet'!E13+'Consolidated Balance sheet'!E19-'Consolidated Balance sheet'!E41</f>
        <v>33737.15</v>
      </c>
      <c r="F5" s="158">
        <f>Assumptions!F3</f>
        <v>17995.349999999999</v>
      </c>
      <c r="G5" s="158">
        <f>Assumptions!F9</f>
        <v>1870.4399999999987</v>
      </c>
      <c r="H5" s="115">
        <f>Assumptions!F11</f>
        <v>1281.6899999999987</v>
      </c>
      <c r="I5" s="206">
        <f>'Consolidated P&amp;L'!F38</f>
        <v>10</v>
      </c>
      <c r="J5" s="159">
        <f>B5/I5</f>
        <v>38.1</v>
      </c>
      <c r="K5" s="159">
        <f>E5/F5</f>
        <v>1.8747704268047025</v>
      </c>
      <c r="L5" s="159">
        <f>E5/G5</f>
        <v>18.037012681508109</v>
      </c>
      <c r="M5" s="159">
        <f>E5/H5</f>
        <v>26.322394650812626</v>
      </c>
      <c r="N5" s="75"/>
      <c r="O5" s="75"/>
      <c r="P5" s="75"/>
      <c r="Q5" s="75"/>
    </row>
    <row r="6" spans="1:17" x14ac:dyDescent="0.3">
      <c r="A6" s="155" t="s">
        <v>591</v>
      </c>
      <c r="B6" s="160">
        <v>845</v>
      </c>
      <c r="C6" s="76">
        <f>D6/B6</f>
        <v>18.294674556213018</v>
      </c>
      <c r="D6" s="160">
        <v>15459</v>
      </c>
      <c r="E6" s="163">
        <v>15717</v>
      </c>
      <c r="F6" s="161">
        <v>13549</v>
      </c>
      <c r="G6" s="162">
        <v>1544</v>
      </c>
      <c r="H6" s="164">
        <v>1088</v>
      </c>
      <c r="I6" s="164">
        <v>53</v>
      </c>
      <c r="J6" s="159">
        <f>B6/I6</f>
        <v>15.943396226415095</v>
      </c>
      <c r="K6" s="159">
        <f>E6/F6</f>
        <v>1.1600118089895932</v>
      </c>
      <c r="L6" s="159">
        <f>E6/G6</f>
        <v>10.17940414507772</v>
      </c>
      <c r="M6" s="159">
        <f>E6/H6</f>
        <v>14.445772058823529</v>
      </c>
      <c r="N6" s="75"/>
      <c r="O6" s="75"/>
      <c r="P6" s="75"/>
      <c r="Q6" s="75"/>
    </row>
    <row r="7" spans="1:17" x14ac:dyDescent="0.3">
      <c r="A7" s="155" t="s">
        <v>592</v>
      </c>
      <c r="B7" s="156">
        <v>816</v>
      </c>
      <c r="C7" s="76">
        <f>D7/B7</f>
        <v>27.702205882352942</v>
      </c>
      <c r="D7" s="156">
        <v>22605</v>
      </c>
      <c r="E7" s="163">
        <v>22120</v>
      </c>
      <c r="F7" s="161">
        <v>3303</v>
      </c>
      <c r="G7" s="162">
        <v>1113</v>
      </c>
      <c r="H7" s="207">
        <v>1121</v>
      </c>
      <c r="I7" s="164">
        <v>29.4</v>
      </c>
      <c r="J7" s="159">
        <f>B7/I7</f>
        <v>27.755102040816329</v>
      </c>
      <c r="K7" s="159">
        <f>E7/F7</f>
        <v>6.6969421737814105</v>
      </c>
      <c r="L7" s="159">
        <f>E7/G7</f>
        <v>19.874213836477988</v>
      </c>
      <c r="M7" s="159">
        <f>E7/H7</f>
        <v>19.732381801962532</v>
      </c>
      <c r="N7" s="75"/>
      <c r="O7" s="75"/>
      <c r="P7" s="75"/>
      <c r="Q7" s="75"/>
    </row>
    <row r="8" spans="1:17" x14ac:dyDescent="0.3">
      <c r="A8" s="155" t="s">
        <v>593</v>
      </c>
      <c r="B8" s="160">
        <v>369</v>
      </c>
      <c r="C8" s="76">
        <f>D8/B8</f>
        <v>7.2655826558265586</v>
      </c>
      <c r="D8" s="160">
        <v>2681</v>
      </c>
      <c r="E8" s="163">
        <v>2874</v>
      </c>
      <c r="F8" s="161">
        <v>1455</v>
      </c>
      <c r="G8" s="161">
        <v>164</v>
      </c>
      <c r="H8" s="164">
        <v>137</v>
      </c>
      <c r="I8" s="164">
        <v>23.6</v>
      </c>
      <c r="J8" s="159">
        <f>B8/I8</f>
        <v>15.635593220338983</v>
      </c>
      <c r="K8" s="159">
        <f>E8/F8</f>
        <v>1.975257731958763</v>
      </c>
      <c r="L8" s="159">
        <f>E8/G8</f>
        <v>17.524390243902438</v>
      </c>
      <c r="M8" s="159">
        <f>E8/H8</f>
        <v>20.978102189781023</v>
      </c>
      <c r="N8" s="75"/>
      <c r="O8" s="75"/>
      <c r="P8" s="75"/>
      <c r="Q8" s="75"/>
    </row>
    <row r="9" spans="1:17" x14ac:dyDescent="0.3">
      <c r="A9" s="155" t="s">
        <v>594</v>
      </c>
      <c r="B9" s="156">
        <v>525</v>
      </c>
      <c r="C9" s="76">
        <f>D9/B9</f>
        <v>0.89714285714285713</v>
      </c>
      <c r="D9" s="156">
        <v>471</v>
      </c>
      <c r="E9" s="163">
        <v>482</v>
      </c>
      <c r="F9" s="161">
        <v>84</v>
      </c>
      <c r="G9" s="161">
        <v>19</v>
      </c>
      <c r="H9" s="207">
        <v>23.8</v>
      </c>
      <c r="I9" s="164">
        <v>17.2</v>
      </c>
      <c r="J9" s="159">
        <f>B9/I9</f>
        <v>30.52325581395349</v>
      </c>
      <c r="K9" s="159">
        <f>E9/F9</f>
        <v>5.7380952380952381</v>
      </c>
      <c r="L9" s="159">
        <f>E9/G9</f>
        <v>25.368421052631579</v>
      </c>
      <c r="M9" s="159">
        <f>E9/H9</f>
        <v>20.252100840336134</v>
      </c>
      <c r="N9" s="75"/>
      <c r="O9" s="165"/>
      <c r="P9" s="75"/>
      <c r="Q9" s="75"/>
    </row>
    <row r="10" spans="1:17" x14ac:dyDescent="0.3">
      <c r="A10" s="166" t="s">
        <v>595</v>
      </c>
      <c r="B10" s="167">
        <f t="shared" ref="B10:M10" si="0">AVERAGE(B6:B9)</f>
        <v>638.75</v>
      </c>
      <c r="C10" s="157">
        <f t="shared" si="0"/>
        <v>13.539901487883844</v>
      </c>
      <c r="D10" s="167">
        <f t="shared" si="0"/>
        <v>10304</v>
      </c>
      <c r="E10" s="167">
        <f t="shared" si="0"/>
        <v>10298.25</v>
      </c>
      <c r="F10" s="167">
        <f t="shared" si="0"/>
        <v>4597.75</v>
      </c>
      <c r="G10" s="167">
        <f t="shared" si="0"/>
        <v>710</v>
      </c>
      <c r="H10" s="167">
        <f t="shared" si="0"/>
        <v>592.45000000000005</v>
      </c>
      <c r="I10" s="157">
        <f t="shared" si="0"/>
        <v>30.8</v>
      </c>
      <c r="J10" s="168">
        <f t="shared" si="0"/>
        <v>22.464336825380975</v>
      </c>
      <c r="K10" s="168">
        <f t="shared" si="0"/>
        <v>3.8925767382062508</v>
      </c>
      <c r="L10" s="168">
        <f t="shared" si="0"/>
        <v>18.236607319522431</v>
      </c>
      <c r="M10" s="168">
        <f t="shared" si="0"/>
        <v>18.852089222725802</v>
      </c>
      <c r="N10" s="75"/>
      <c r="O10" s="75"/>
      <c r="P10" s="75"/>
      <c r="Q10" s="75"/>
    </row>
    <row r="11" spans="1:17" x14ac:dyDescent="0.3">
      <c r="A11" s="169" t="s">
        <v>596</v>
      </c>
      <c r="B11" s="167">
        <f t="shared" ref="B11:M11" si="1">MEDIAN(B6:B9)</f>
        <v>670.5</v>
      </c>
      <c r="C11" s="157">
        <f t="shared" si="1"/>
        <v>12.780128606019787</v>
      </c>
      <c r="D11" s="167">
        <f t="shared" si="1"/>
        <v>9070</v>
      </c>
      <c r="E11" s="167">
        <f t="shared" si="1"/>
        <v>9295.5</v>
      </c>
      <c r="F11" s="167">
        <f t="shared" si="1"/>
        <v>2379</v>
      </c>
      <c r="G11" s="167">
        <f t="shared" si="1"/>
        <v>638.5</v>
      </c>
      <c r="H11" s="167">
        <f t="shared" si="1"/>
        <v>612.5</v>
      </c>
      <c r="I11" s="157">
        <f t="shared" si="1"/>
        <v>26.5</v>
      </c>
      <c r="J11" s="168">
        <f t="shared" si="1"/>
        <v>21.849249133615711</v>
      </c>
      <c r="K11" s="168">
        <f t="shared" si="1"/>
        <v>3.8566764850270006</v>
      </c>
      <c r="L11" s="168">
        <f t="shared" si="1"/>
        <v>18.699302040190211</v>
      </c>
      <c r="M11" s="168">
        <f t="shared" si="1"/>
        <v>19.992241321149333</v>
      </c>
      <c r="N11" s="75"/>
      <c r="O11" s="75"/>
      <c r="P11" s="170"/>
      <c r="Q11" s="171"/>
    </row>
    <row r="12" spans="1:17" x14ac:dyDescent="0.3">
      <c r="A12" s="75"/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172"/>
      <c r="Q12" s="75"/>
    </row>
    <row r="13" spans="1:17" x14ac:dyDescent="0.3">
      <c r="A13" s="209" t="s">
        <v>597</v>
      </c>
      <c r="B13" s="209"/>
      <c r="C13" s="209"/>
      <c r="D13" s="209"/>
      <c r="E13" s="209"/>
      <c r="F13" s="209"/>
      <c r="G13" s="209"/>
      <c r="H13" s="209"/>
      <c r="I13" s="209"/>
      <c r="J13" s="209"/>
      <c r="K13" s="209"/>
      <c r="L13" s="209"/>
      <c r="M13" s="209"/>
      <c r="N13" s="75"/>
      <c r="O13" s="75"/>
      <c r="P13" s="75"/>
      <c r="Q13" s="75"/>
    </row>
    <row r="14" spans="1:17" ht="72" x14ac:dyDescent="0.3">
      <c r="A14" s="214" t="s">
        <v>598</v>
      </c>
      <c r="B14" s="215" t="s">
        <v>599</v>
      </c>
      <c r="C14" s="215" t="s">
        <v>600</v>
      </c>
      <c r="D14" s="214" t="s">
        <v>601</v>
      </c>
      <c r="E14" s="213" t="s">
        <v>602</v>
      </c>
      <c r="F14" s="213" t="s">
        <v>603</v>
      </c>
      <c r="G14" s="213" t="s">
        <v>604</v>
      </c>
      <c r="H14" s="213" t="s">
        <v>605</v>
      </c>
      <c r="I14" s="216" t="s">
        <v>606</v>
      </c>
      <c r="J14" s="216" t="s">
        <v>607</v>
      </c>
      <c r="K14" s="214" t="s">
        <v>608</v>
      </c>
      <c r="L14" s="213" t="s">
        <v>609</v>
      </c>
      <c r="M14" s="213" t="s">
        <v>610</v>
      </c>
      <c r="N14" s="75"/>
      <c r="O14" s="75"/>
      <c r="P14" s="75"/>
      <c r="Q14" s="75"/>
    </row>
    <row r="15" spans="1:17" x14ac:dyDescent="0.3">
      <c r="A15" s="169" t="s">
        <v>611</v>
      </c>
      <c r="B15" s="173">
        <f>K10</f>
        <v>3.8925767382062508</v>
      </c>
      <c r="C15" s="173">
        <f>K11</f>
        <v>3.8566764850270006</v>
      </c>
      <c r="D15" s="173">
        <f>K5</f>
        <v>1.8747704268047025</v>
      </c>
      <c r="E15" s="174">
        <f>B15*F5</f>
        <v>70048.280805879855</v>
      </c>
      <c r="F15" s="174">
        <f>C15*F5</f>
        <v>69402.24318483063</v>
      </c>
      <c r="G15" s="174">
        <f>E15-(E5-D5)</f>
        <v>68675.13080587986</v>
      </c>
      <c r="H15" s="174">
        <f>F15-(E5-D5)</f>
        <v>68029.093184830621</v>
      </c>
      <c r="I15" s="175">
        <f>G15/C5</f>
        <v>808.46696443703581</v>
      </c>
      <c r="J15" s="175">
        <f>H15/C5</f>
        <v>800.86159014400153</v>
      </c>
      <c r="K15" s="175">
        <f>B5</f>
        <v>381</v>
      </c>
      <c r="L15" s="176">
        <f>(B5-I15)/I15</f>
        <v>-0.52873770140341625</v>
      </c>
      <c r="M15" s="176">
        <f>(B5-J15)/J15</f>
        <v>-0.52426236357334477</v>
      </c>
      <c r="N15" s="75"/>
      <c r="O15" s="75"/>
      <c r="P15" s="75"/>
      <c r="Q15" s="75"/>
    </row>
    <row r="16" spans="1:17" x14ac:dyDescent="0.3">
      <c r="A16" s="169" t="s">
        <v>612</v>
      </c>
      <c r="B16" s="173">
        <f>L10</f>
        <v>18.236607319522431</v>
      </c>
      <c r="C16" s="173">
        <f>L11</f>
        <v>18.699302040190211</v>
      </c>
      <c r="D16" s="173">
        <f>L5</f>
        <v>18.037012681508109</v>
      </c>
      <c r="E16" s="174">
        <f>B16*G5</f>
        <v>34110.479794727515</v>
      </c>
      <c r="F16" s="174">
        <f>C16*G5</f>
        <v>34975.922508053358</v>
      </c>
      <c r="G16" s="174">
        <f>E16-(E5-D5)</f>
        <v>32737.329794727513</v>
      </c>
      <c r="H16" s="174">
        <f>F16-(E5-D5)</f>
        <v>33602.772508053356</v>
      </c>
      <c r="I16" s="175">
        <f>G16/C5</f>
        <v>385.39496514000689</v>
      </c>
      <c r="J16" s="175">
        <f>H16/C5</f>
        <v>395.5832506973282</v>
      </c>
      <c r="K16" s="175">
        <f>K15</f>
        <v>381</v>
      </c>
      <c r="L16" s="176">
        <f>(B5-I16)/I16</f>
        <v>-1.1403794905338939E-2</v>
      </c>
      <c r="M16" s="176">
        <f>(B5-J16)/J16</f>
        <v>-3.6865187470958544E-2</v>
      </c>
      <c r="N16" s="75"/>
      <c r="O16" s="75"/>
      <c r="P16" s="75"/>
      <c r="Q16" s="75"/>
    </row>
    <row r="17" spans="1:17" x14ac:dyDescent="0.3">
      <c r="A17" s="169" t="s">
        <v>613</v>
      </c>
      <c r="B17" s="173">
        <f>J10</f>
        <v>22.464336825380975</v>
      </c>
      <c r="C17" s="173">
        <f>J11</f>
        <v>21.849249133615711</v>
      </c>
      <c r="D17" s="173">
        <f>J5</f>
        <v>38.1</v>
      </c>
      <c r="E17" s="174">
        <f>B17*I5</f>
        <v>224.64336825380974</v>
      </c>
      <c r="F17" s="174">
        <f>C17*I5</f>
        <v>218.49249133615712</v>
      </c>
      <c r="G17" s="174">
        <f>E17*C5</f>
        <v>19082.304383638577</v>
      </c>
      <c r="H17" s="174">
        <f>F17*C5</f>
        <v>18559.8188703501</v>
      </c>
      <c r="I17" s="175">
        <f>E17</f>
        <v>224.64336825380974</v>
      </c>
      <c r="J17" s="175">
        <f>F17</f>
        <v>218.49249133615712</v>
      </c>
      <c r="K17" s="175">
        <f>K16</f>
        <v>381</v>
      </c>
      <c r="L17" s="176">
        <f>(B5-I17)/I17</f>
        <v>0.69602157838700673</v>
      </c>
      <c r="M17" s="176">
        <f>(B5-J17)/J17</f>
        <v>0.74376701766753306</v>
      </c>
      <c r="N17" s="75"/>
      <c r="O17" s="75"/>
      <c r="P17" s="75"/>
      <c r="Q17" s="75"/>
    </row>
    <row r="18" spans="1:17" x14ac:dyDescent="0.3">
      <c r="A18" s="177"/>
      <c r="B18" s="82"/>
      <c r="C18" s="178"/>
      <c r="D18" s="82"/>
      <c r="E18" s="82"/>
      <c r="F18" s="82"/>
      <c r="G18" s="82"/>
      <c r="H18" s="82"/>
      <c r="I18" s="82"/>
      <c r="J18" s="82"/>
      <c r="K18" s="82"/>
      <c r="L18" s="82"/>
      <c r="M18" s="179"/>
      <c r="N18" s="82"/>
      <c r="O18" s="180"/>
      <c r="P18" s="180"/>
      <c r="Q18" s="180"/>
    </row>
    <row r="19" spans="1:17" x14ac:dyDescent="0.3">
      <c r="A19" s="177"/>
      <c r="B19" s="82"/>
      <c r="C19" s="178"/>
      <c r="D19" s="82"/>
      <c r="E19" s="82"/>
      <c r="F19" s="82"/>
      <c r="G19" s="82"/>
      <c r="H19" s="82"/>
      <c r="I19" s="82"/>
      <c r="J19" s="82"/>
      <c r="K19" s="82"/>
      <c r="L19" s="82"/>
      <c r="M19" s="179"/>
      <c r="N19" s="82"/>
      <c r="O19" s="217" t="s">
        <v>614</v>
      </c>
      <c r="P19" s="217" t="s">
        <v>588</v>
      </c>
      <c r="Q19" s="217" t="s">
        <v>615</v>
      </c>
    </row>
    <row r="20" spans="1:17" x14ac:dyDescent="0.3">
      <c r="A20" s="82" t="s">
        <v>616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181">
        <f>MAX(K6:K9)</f>
        <v>6.6969421737814105</v>
      </c>
      <c r="P20" s="181">
        <f>MAX(L6:L9)</f>
        <v>25.368421052631579</v>
      </c>
      <c r="Q20" s="181">
        <f>MAX(J6:J9)</f>
        <v>30.52325581395349</v>
      </c>
    </row>
    <row r="21" spans="1:17" x14ac:dyDescent="0.3">
      <c r="A21" s="82" t="s">
        <v>617</v>
      </c>
      <c r="B21" s="82"/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181">
        <f>QUARTILE(K6:K9,3)</f>
        <v>5.977806972016781</v>
      </c>
      <c r="P21" s="181">
        <f>QUARTILE(L6:L9,3)</f>
        <v>21.247765640516384</v>
      </c>
      <c r="Q21" s="181">
        <f>QUARTILE(J6:J9,3)</f>
        <v>28.447140484100618</v>
      </c>
    </row>
    <row r="22" spans="1:17" x14ac:dyDescent="0.3">
      <c r="A22" s="122" t="s">
        <v>618</v>
      </c>
      <c r="B22" s="82"/>
      <c r="C22" s="82"/>
      <c r="D22" s="82"/>
      <c r="E22" s="82"/>
      <c r="F22" s="82"/>
      <c r="G22" s="82"/>
      <c r="H22" s="82"/>
      <c r="I22" s="82"/>
      <c r="J22" s="82"/>
      <c r="K22" s="82"/>
      <c r="L22" s="82"/>
      <c r="M22" s="82"/>
      <c r="N22" s="82"/>
      <c r="O22" s="181">
        <f>AVERAGE(K6:K9)</f>
        <v>3.8925767382062508</v>
      </c>
      <c r="P22" s="181">
        <f>AVERAGE(L6:L9)</f>
        <v>18.236607319522431</v>
      </c>
      <c r="Q22" s="181">
        <f>AVERAGE(J6:J9)</f>
        <v>22.464336825380975</v>
      </c>
    </row>
    <row r="23" spans="1:17" x14ac:dyDescent="0.3">
      <c r="A23" s="122" t="s">
        <v>619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180"/>
      <c r="M23" s="82"/>
      <c r="N23" s="82"/>
      <c r="O23" s="181">
        <f>MEDIAN(K6:K9)</f>
        <v>3.8566764850270006</v>
      </c>
      <c r="P23" s="181">
        <f>MEDIAN(L6:L9)</f>
        <v>18.699302040190211</v>
      </c>
      <c r="Q23" s="181">
        <f>MEDIAN(J6:J9)</f>
        <v>21.849249133615711</v>
      </c>
    </row>
    <row r="24" spans="1:17" x14ac:dyDescent="0.3">
      <c r="A24" s="82" t="s">
        <v>620</v>
      </c>
      <c r="B24" s="82"/>
      <c r="C24" s="82"/>
      <c r="D24" s="82"/>
      <c r="E24" s="82"/>
      <c r="F24" s="82"/>
      <c r="G24" s="82"/>
      <c r="H24" s="82"/>
      <c r="I24" s="82"/>
      <c r="J24" s="82"/>
      <c r="K24" s="82"/>
      <c r="L24" s="82"/>
      <c r="M24" s="82"/>
      <c r="N24" s="82"/>
      <c r="O24" s="181">
        <f>QUARTILE(K6:K9,1)</f>
        <v>1.7714462512164706</v>
      </c>
      <c r="P24" s="181">
        <f>QUARTILE(L6:L9,1)</f>
        <v>15.688143719196258</v>
      </c>
      <c r="Q24" s="181">
        <f>QUARTILE(J6:J9,1)</f>
        <v>15.866445474896066</v>
      </c>
    </row>
    <row r="25" spans="1:17" x14ac:dyDescent="0.3">
      <c r="A25" s="82" t="s">
        <v>621</v>
      </c>
      <c r="B25" s="82"/>
      <c r="C25" s="82"/>
      <c r="D25" s="82"/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181">
        <f>MIN(K6:K9)</f>
        <v>1.1600118089895932</v>
      </c>
      <c r="P25" s="181">
        <f>MIN(L6:L9)</f>
        <v>10.17940414507772</v>
      </c>
      <c r="Q25" s="181">
        <f>MIN(J6:J9)</f>
        <v>15.635593220338983</v>
      </c>
    </row>
    <row r="26" spans="1:17" x14ac:dyDescent="0.3">
      <c r="A26" s="82"/>
      <c r="B26" s="82"/>
      <c r="C26" s="82"/>
      <c r="D26" s="82"/>
      <c r="E26" s="82"/>
      <c r="F26" s="82"/>
      <c r="G26" s="82"/>
      <c r="H26" s="82"/>
      <c r="I26" s="82"/>
      <c r="J26" s="82"/>
      <c r="K26" s="82"/>
      <c r="L26" s="82"/>
      <c r="M26" s="82"/>
      <c r="N26" s="82"/>
      <c r="O26" s="82"/>
      <c r="P26" s="82"/>
      <c r="Q26" s="82"/>
    </row>
    <row r="27" spans="1:17" x14ac:dyDescent="0.3">
      <c r="A27" s="218" t="s">
        <v>622</v>
      </c>
      <c r="B27" s="218"/>
      <c r="C27" s="218"/>
      <c r="D27" s="218"/>
      <c r="E27" s="218"/>
      <c r="F27" s="218"/>
      <c r="G27" s="218"/>
      <c r="H27" s="218"/>
      <c r="I27" s="218"/>
      <c r="J27" s="218"/>
      <c r="K27" s="218"/>
      <c r="L27" s="218"/>
      <c r="M27" s="218"/>
      <c r="N27" s="218"/>
      <c r="O27" s="217" t="s">
        <v>614</v>
      </c>
      <c r="P27" s="217" t="s">
        <v>588</v>
      </c>
      <c r="Q27" s="217" t="s">
        <v>615</v>
      </c>
    </row>
    <row r="28" spans="1:17" x14ac:dyDescent="0.3">
      <c r="A28" s="219"/>
      <c r="B28" s="219"/>
      <c r="C28" s="219"/>
      <c r="D28" s="219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7" t="s">
        <v>623</v>
      </c>
      <c r="P28" s="217"/>
      <c r="Q28" s="217"/>
    </row>
    <row r="29" spans="1:17" x14ac:dyDescent="0.3">
      <c r="A29" s="82" t="s">
        <v>624</v>
      </c>
      <c r="B29" s="82"/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182">
        <f>O22*F5</f>
        <v>70048.280805879855</v>
      </c>
      <c r="P29" s="182">
        <f>P22*G5</f>
        <v>34110.479794727515</v>
      </c>
      <c r="Q29" s="182">
        <f>Q22*I5*C5</f>
        <v>19082.304383638577</v>
      </c>
    </row>
    <row r="30" spans="1:17" x14ac:dyDescent="0.3">
      <c r="A30" s="82" t="s">
        <v>625</v>
      </c>
      <c r="B30" s="82"/>
      <c r="C30" s="82"/>
      <c r="D30" s="82"/>
      <c r="E30" s="82"/>
      <c r="F30" s="82"/>
      <c r="G30" s="82"/>
      <c r="H30" s="82"/>
      <c r="I30" s="82"/>
      <c r="J30" s="82"/>
      <c r="K30" s="82"/>
      <c r="L30" s="82"/>
      <c r="M30" s="82"/>
      <c r="N30" s="82"/>
      <c r="O30" s="182">
        <f>E5-D5</f>
        <v>1373.1500000000015</v>
      </c>
      <c r="P30" s="182">
        <f>E5-D5</f>
        <v>1373.1500000000015</v>
      </c>
      <c r="Q30" s="182">
        <f>E5-D5</f>
        <v>1373.1500000000015</v>
      </c>
    </row>
    <row r="31" spans="1:17" x14ac:dyDescent="0.3">
      <c r="A31" s="82" t="s">
        <v>626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182">
        <f>O29-O30</f>
        <v>68675.13080587986</v>
      </c>
      <c r="P31" s="182">
        <f>P29-P30</f>
        <v>32737.329794727513</v>
      </c>
      <c r="Q31" s="182">
        <f>Q29-Q30</f>
        <v>17709.154383638575</v>
      </c>
    </row>
    <row r="32" spans="1:17" x14ac:dyDescent="0.3">
      <c r="A32" s="82" t="s">
        <v>627</v>
      </c>
      <c r="B32" s="82"/>
      <c r="C32" s="82"/>
      <c r="D32" s="82"/>
      <c r="E32" s="82"/>
      <c r="F32" s="82"/>
      <c r="G32" s="82"/>
      <c r="H32" s="82"/>
      <c r="I32" s="82"/>
      <c r="J32" s="82"/>
      <c r="K32" s="82"/>
      <c r="L32" s="82"/>
      <c r="M32" s="82"/>
      <c r="N32" s="82"/>
      <c r="O32" s="172">
        <f>C5</f>
        <v>84.944881889763778</v>
      </c>
      <c r="P32" s="172">
        <f>C5</f>
        <v>84.944881889763778</v>
      </c>
      <c r="Q32" s="172">
        <f>C5</f>
        <v>84.944881889763778</v>
      </c>
    </row>
    <row r="33" spans="1:17" x14ac:dyDescent="0.3">
      <c r="A33" s="82"/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</row>
    <row r="34" spans="1:17" x14ac:dyDescent="0.3">
      <c r="A34" s="183" t="s">
        <v>628</v>
      </c>
      <c r="B34" s="184"/>
      <c r="C34" s="184"/>
      <c r="D34" s="184"/>
      <c r="E34" s="184"/>
      <c r="F34" s="184"/>
      <c r="G34" s="184"/>
      <c r="H34" s="184"/>
      <c r="I34" s="184"/>
      <c r="J34" s="184"/>
      <c r="K34" s="184"/>
      <c r="L34" s="184"/>
      <c r="M34" s="184"/>
      <c r="N34" s="184"/>
      <c r="O34" s="185">
        <f>O31/O32</f>
        <v>808.46696443703581</v>
      </c>
      <c r="P34" s="185">
        <f>P31/P32</f>
        <v>385.39496514000689</v>
      </c>
      <c r="Q34" s="185">
        <f>Q22*I5</f>
        <v>224.64336825380974</v>
      </c>
    </row>
  </sheetData>
  <mergeCells count="6">
    <mergeCell ref="A13:M13"/>
    <mergeCell ref="A1:M1"/>
    <mergeCell ref="A3:A4"/>
    <mergeCell ref="B3:E3"/>
    <mergeCell ref="F3:I3"/>
    <mergeCell ref="J3:M3"/>
  </mergeCells>
  <hyperlinks>
    <hyperlink ref="A5" r:id="rId1" xr:uid="{00000000-0004-0000-1100-000000000000}"/>
    <hyperlink ref="A6" r:id="rId2" xr:uid="{00000000-0004-0000-1100-000001000000}"/>
    <hyperlink ref="A7" r:id="rId3" xr:uid="{00000000-0004-0000-1100-000002000000}"/>
    <hyperlink ref="A8" r:id="rId4" xr:uid="{00000000-0004-0000-1100-000003000000}"/>
    <hyperlink ref="A9" r:id="rId5" xr:uid="{00000000-0004-0000-1100-000004000000}"/>
  </hyperlinks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38"/>
  <sheetViews>
    <sheetView topLeftCell="A29" zoomScaleNormal="100" workbookViewId="0">
      <selection activeCell="A38" sqref="A38:J38"/>
    </sheetView>
  </sheetViews>
  <sheetFormatPr defaultColWidth="8.6640625" defaultRowHeight="14.4" x14ac:dyDescent="0.3"/>
  <cols>
    <col min="1" max="1" width="14.77734375" customWidth="1"/>
    <col min="2" max="2" width="13.109375" customWidth="1"/>
    <col min="4" max="4" width="10.77734375" customWidth="1"/>
    <col min="5" max="6" width="9.88671875" customWidth="1"/>
    <col min="7" max="7" width="10.33203125" customWidth="1"/>
    <col min="8" max="8" width="10.5546875" customWidth="1"/>
    <col min="9" max="9" width="13.21875" customWidth="1"/>
    <col min="10" max="10" width="10.5546875" customWidth="1"/>
  </cols>
  <sheetData>
    <row r="1" spans="1:10" ht="57" customHeight="1" x14ac:dyDescent="0.3">
      <c r="A1" s="202" t="s">
        <v>30</v>
      </c>
      <c r="B1" s="202" t="s">
        <v>31</v>
      </c>
      <c r="D1" s="203" t="s">
        <v>629</v>
      </c>
      <c r="E1" s="202" t="s">
        <v>630</v>
      </c>
      <c r="F1" s="202" t="s">
        <v>631</v>
      </c>
      <c r="G1" s="202" t="s">
        <v>632</v>
      </c>
      <c r="H1" s="202" t="s">
        <v>633</v>
      </c>
      <c r="I1" s="202" t="s">
        <v>634</v>
      </c>
      <c r="J1" s="202" t="s">
        <v>635</v>
      </c>
    </row>
    <row r="2" spans="1:10" x14ac:dyDescent="0.3">
      <c r="A2" s="64" t="s">
        <v>636</v>
      </c>
      <c r="B2" s="65">
        <v>32364</v>
      </c>
      <c r="D2" s="66" t="s">
        <v>637</v>
      </c>
      <c r="E2" s="67">
        <v>17995</v>
      </c>
      <c r="F2" s="68">
        <v>860</v>
      </c>
      <c r="G2" s="69">
        <f t="shared" ref="G2:H5" si="0">(E2-E3)/E3</f>
        <v>4.3914607263023556E-2</v>
      </c>
      <c r="H2" s="70">
        <f t="shared" si="0"/>
        <v>7.4999999999999997E-2</v>
      </c>
      <c r="I2" s="71">
        <f>(J2-J3)/J3</f>
        <v>-1.0019409550008729E-2</v>
      </c>
      <c r="J2" s="29">
        <v>23283.7</v>
      </c>
    </row>
    <row r="3" spans="1:10" x14ac:dyDescent="0.3">
      <c r="A3" s="64" t="s">
        <v>638</v>
      </c>
      <c r="B3" s="65">
        <v>381</v>
      </c>
      <c r="D3" s="66" t="s">
        <v>639</v>
      </c>
      <c r="E3" s="67">
        <v>17238</v>
      </c>
      <c r="F3" s="68">
        <v>800</v>
      </c>
      <c r="G3" s="69">
        <f t="shared" si="0"/>
        <v>2.7906976744186046E-2</v>
      </c>
      <c r="H3" s="70">
        <f t="shared" si="0"/>
        <v>-9.3997734994337487E-2</v>
      </c>
      <c r="I3" s="71">
        <f>(J3-J4)/J4</f>
        <v>5.3408668467185193E-2</v>
      </c>
      <c r="J3" s="29">
        <v>23519.35</v>
      </c>
    </row>
    <row r="4" spans="1:10" x14ac:dyDescent="0.3">
      <c r="A4" s="64" t="s">
        <v>640</v>
      </c>
      <c r="B4" s="65" t="s">
        <v>641</v>
      </c>
      <c r="D4" s="66" t="s">
        <v>642</v>
      </c>
      <c r="E4" s="67">
        <v>16770</v>
      </c>
      <c r="F4" s="68">
        <v>883</v>
      </c>
      <c r="G4" s="69">
        <f t="shared" si="0"/>
        <v>0.11221647433346597</v>
      </c>
      <c r="H4" s="70">
        <f t="shared" si="0"/>
        <v>7.2904009720534624E-2</v>
      </c>
      <c r="I4" s="71">
        <f>(J4-J5)/J5</f>
        <v>0.28613027261337298</v>
      </c>
      <c r="J4" s="29">
        <v>22326.9</v>
      </c>
    </row>
    <row r="5" spans="1:10" x14ac:dyDescent="0.3">
      <c r="A5" s="64" t="s">
        <v>643</v>
      </c>
      <c r="B5" s="72">
        <v>39</v>
      </c>
      <c r="D5" s="66" t="s">
        <v>644</v>
      </c>
      <c r="E5" s="67">
        <v>15078</v>
      </c>
      <c r="F5" s="68">
        <v>823</v>
      </c>
      <c r="G5" s="69">
        <f t="shared" si="0"/>
        <v>0.17898193760262726</v>
      </c>
      <c r="H5" s="70">
        <f t="shared" si="0"/>
        <v>-0.81110856093642414</v>
      </c>
      <c r="I5" s="71">
        <f>(J5-J6)/J6</f>
        <v>-6.0121101075022547E-3</v>
      </c>
      <c r="J5" s="29">
        <v>17359.75</v>
      </c>
    </row>
    <row r="6" spans="1:10" x14ac:dyDescent="0.3">
      <c r="A6" s="64" t="s">
        <v>645</v>
      </c>
      <c r="B6" s="65">
        <v>164</v>
      </c>
      <c r="D6" s="66" t="s">
        <v>646</v>
      </c>
      <c r="E6" s="67">
        <v>12789</v>
      </c>
      <c r="F6" s="68">
        <v>4357</v>
      </c>
      <c r="G6" s="69"/>
      <c r="H6" s="70"/>
      <c r="I6" s="71"/>
      <c r="J6" s="29">
        <v>17464.75</v>
      </c>
    </row>
    <row r="7" spans="1:10" ht="28.5" customHeight="1" x14ac:dyDescent="0.3">
      <c r="A7" s="64" t="s">
        <v>647</v>
      </c>
      <c r="B7" s="73">
        <v>5.3E-3</v>
      </c>
    </row>
    <row r="8" spans="1:10" x14ac:dyDescent="0.3">
      <c r="A8" s="64" t="s">
        <v>648</v>
      </c>
      <c r="B8" s="73">
        <v>8.5400000000000004E-2</v>
      </c>
    </row>
    <row r="9" spans="1:10" x14ac:dyDescent="0.3">
      <c r="A9" s="64" t="s">
        <v>540</v>
      </c>
      <c r="B9" s="73">
        <v>5.9700000000000003E-2</v>
      </c>
    </row>
    <row r="10" spans="1:10" ht="28.5" customHeight="1" x14ac:dyDescent="0.3">
      <c r="A10" s="64" t="s">
        <v>649</v>
      </c>
      <c r="B10" s="65">
        <v>1</v>
      </c>
    </row>
    <row r="11" spans="1:10" ht="7.5" customHeight="1" x14ac:dyDescent="0.3"/>
    <row r="12" spans="1:10" ht="24" customHeight="1" x14ac:dyDescent="0.3">
      <c r="A12" s="192" t="s">
        <v>650</v>
      </c>
      <c r="B12" s="192"/>
      <c r="C12" s="192"/>
      <c r="D12" s="192"/>
      <c r="E12" s="192"/>
      <c r="F12" s="192"/>
      <c r="G12" s="192"/>
      <c r="H12" s="192"/>
      <c r="I12" s="192"/>
      <c r="J12" s="192"/>
    </row>
    <row r="13" spans="1:10" ht="6" customHeight="1" x14ac:dyDescent="0.3"/>
    <row r="14" spans="1:10" ht="19.5" customHeight="1" x14ac:dyDescent="0.3">
      <c r="A14" s="193" t="s">
        <v>651</v>
      </c>
      <c r="B14" s="193"/>
      <c r="C14" s="193"/>
      <c r="D14" s="193"/>
      <c r="E14" s="193"/>
      <c r="F14" s="193"/>
      <c r="G14" s="193"/>
      <c r="H14" s="193"/>
      <c r="I14" s="193"/>
      <c r="J14" s="193"/>
    </row>
    <row r="15" spans="1:10" ht="42" customHeight="1" x14ac:dyDescent="0.3">
      <c r="A15" s="194" t="s">
        <v>652</v>
      </c>
      <c r="B15" s="194"/>
      <c r="C15" s="194"/>
      <c r="D15" s="194"/>
      <c r="E15" s="194"/>
      <c r="F15" s="194"/>
      <c r="G15" s="194"/>
      <c r="H15" s="194"/>
      <c r="I15" s="194"/>
      <c r="J15" s="194"/>
    </row>
    <row r="16" spans="1:10" ht="42" customHeight="1" x14ac:dyDescent="0.3">
      <c r="A16" s="194" t="s">
        <v>653</v>
      </c>
      <c r="B16" s="194"/>
      <c r="C16" s="194"/>
      <c r="D16" s="194"/>
      <c r="E16" s="194"/>
      <c r="F16" s="194"/>
      <c r="G16" s="194"/>
      <c r="H16" s="194"/>
      <c r="I16" s="194"/>
      <c r="J16" s="194"/>
    </row>
    <row r="17" spans="1:10" ht="42" customHeight="1" x14ac:dyDescent="0.3">
      <c r="A17" s="194" t="s">
        <v>654</v>
      </c>
      <c r="B17" s="194"/>
      <c r="C17" s="194"/>
      <c r="D17" s="194"/>
      <c r="E17" s="194"/>
      <c r="F17" s="194"/>
      <c r="G17" s="194"/>
      <c r="H17" s="194"/>
      <c r="I17" s="194"/>
      <c r="J17" s="194"/>
    </row>
    <row r="18" spans="1:10" ht="42" customHeight="1" x14ac:dyDescent="0.3">
      <c r="A18" s="194" t="s">
        <v>655</v>
      </c>
      <c r="B18" s="194"/>
      <c r="C18" s="194"/>
      <c r="D18" s="194"/>
      <c r="E18" s="194"/>
      <c r="F18" s="194"/>
      <c r="G18" s="194"/>
      <c r="H18" s="194"/>
      <c r="I18" s="194"/>
      <c r="J18" s="194"/>
    </row>
    <row r="20" spans="1:10" ht="6" customHeight="1" x14ac:dyDescent="0.3"/>
    <row r="21" spans="1:10" ht="19.5" customHeight="1" x14ac:dyDescent="0.3">
      <c r="A21" s="193" t="s">
        <v>656</v>
      </c>
      <c r="B21" s="193"/>
      <c r="C21" s="193"/>
      <c r="D21" s="193"/>
      <c r="E21" s="193"/>
      <c r="F21" s="193"/>
      <c r="G21" s="193"/>
      <c r="H21" s="193"/>
      <c r="I21" s="193"/>
      <c r="J21" s="193"/>
    </row>
    <row r="22" spans="1:10" ht="36" customHeight="1" x14ac:dyDescent="0.3">
      <c r="A22" s="194" t="s">
        <v>657</v>
      </c>
      <c r="B22" s="194"/>
      <c r="C22" s="194"/>
      <c r="D22" s="194"/>
      <c r="E22" s="194"/>
      <c r="F22" s="194"/>
      <c r="G22" s="194"/>
      <c r="H22" s="194"/>
      <c r="I22" s="194"/>
      <c r="J22" s="194"/>
    </row>
    <row r="23" spans="1:10" ht="36" customHeight="1" x14ac:dyDescent="0.3">
      <c r="A23" s="194" t="s">
        <v>658</v>
      </c>
      <c r="B23" s="194"/>
      <c r="C23" s="194"/>
      <c r="D23" s="194"/>
      <c r="E23" s="194"/>
      <c r="F23" s="194"/>
      <c r="G23" s="194"/>
      <c r="H23" s="194"/>
      <c r="I23" s="194"/>
      <c r="J23" s="194"/>
    </row>
    <row r="24" spans="1:10" ht="36" customHeight="1" x14ac:dyDescent="0.3">
      <c r="A24" s="194" t="s">
        <v>659</v>
      </c>
      <c r="B24" s="194"/>
      <c r="C24" s="194"/>
      <c r="D24" s="194"/>
      <c r="E24" s="194"/>
      <c r="F24" s="194"/>
      <c r="G24" s="194"/>
      <c r="H24" s="194"/>
      <c r="I24" s="194"/>
      <c r="J24" s="194"/>
    </row>
    <row r="26" spans="1:10" ht="6" customHeight="1" x14ac:dyDescent="0.3"/>
    <row r="27" spans="1:10" ht="19.5" customHeight="1" x14ac:dyDescent="0.3">
      <c r="A27" s="193" t="s">
        <v>660</v>
      </c>
      <c r="B27" s="193"/>
      <c r="C27" s="193"/>
      <c r="D27" s="193"/>
      <c r="E27" s="193"/>
      <c r="F27" s="193"/>
      <c r="G27" s="193"/>
      <c r="H27" s="193"/>
      <c r="I27" s="193"/>
      <c r="J27" s="193"/>
    </row>
    <row r="28" spans="1:10" ht="18" customHeight="1" x14ac:dyDescent="0.3">
      <c r="A28" s="195" t="s">
        <v>661</v>
      </c>
      <c r="B28" s="195"/>
      <c r="C28" s="195"/>
      <c r="D28" s="195"/>
      <c r="E28" s="195" t="s">
        <v>662</v>
      </c>
      <c r="F28" s="195"/>
      <c r="G28" s="195"/>
      <c r="H28" s="195"/>
      <c r="I28" s="195"/>
    </row>
    <row r="29" spans="1:10" ht="18" customHeight="1" x14ac:dyDescent="0.3">
      <c r="A29" s="196" t="s">
        <v>663</v>
      </c>
      <c r="B29" s="196"/>
      <c r="C29" s="196"/>
      <c r="D29" s="196"/>
      <c r="E29" s="197">
        <f>'Relative Valuation'!B5</f>
        <v>381</v>
      </c>
      <c r="F29" s="197"/>
      <c r="G29" s="197"/>
      <c r="H29" s="198" t="s">
        <v>664</v>
      </c>
      <c r="I29" s="198"/>
    </row>
    <row r="30" spans="1:10" ht="18" customHeight="1" x14ac:dyDescent="0.3">
      <c r="A30" s="199" t="s">
        <v>665</v>
      </c>
      <c r="B30" s="199"/>
      <c r="C30" s="199"/>
      <c r="D30" s="199"/>
      <c r="E30" s="200">
        <f>'Relative Valuation'!I17</f>
        <v>224.64336825380974</v>
      </c>
      <c r="F30" s="200"/>
      <c r="G30" s="200"/>
      <c r="H30" s="201">
        <f>(E30-E29)/E29</f>
        <v>-0.41038486022622117</v>
      </c>
      <c r="I30" s="201"/>
    </row>
    <row r="31" spans="1:10" ht="18" customHeight="1" x14ac:dyDescent="0.3">
      <c r="A31" s="199" t="s">
        <v>666</v>
      </c>
      <c r="B31" s="199"/>
      <c r="C31" s="199"/>
      <c r="D31" s="199"/>
      <c r="E31" s="200">
        <f>'Relative Valuation'!I15</f>
        <v>808.46696443703581</v>
      </c>
      <c r="F31" s="200"/>
      <c r="G31" s="200"/>
      <c r="H31" s="201">
        <f>(E31-E29)/E29</f>
        <v>1.1219605365801464</v>
      </c>
      <c r="I31" s="201"/>
    </row>
    <row r="32" spans="1:10" ht="18" customHeight="1" x14ac:dyDescent="0.3">
      <c r="A32" s="199" t="s">
        <v>667</v>
      </c>
      <c r="B32" s="199"/>
      <c r="C32" s="199"/>
      <c r="D32" s="199"/>
      <c r="E32" s="200">
        <f>'Relative Valuation'!I16</f>
        <v>385.39496514000689</v>
      </c>
      <c r="F32" s="200"/>
      <c r="G32" s="200"/>
      <c r="H32" s="201">
        <f>(E32-E29)/E29</f>
        <v>1.153534157482123E-2</v>
      </c>
      <c r="I32" s="201"/>
    </row>
    <row r="33" spans="1:10" ht="18" customHeight="1" x14ac:dyDescent="0.3">
      <c r="A33" s="199" t="s">
        <v>668</v>
      </c>
      <c r="B33" s="199"/>
      <c r="C33" s="199"/>
      <c r="D33" s="199"/>
      <c r="E33" s="200">
        <f>'DCF Valuation'!C30</f>
        <v>7.0660703725116685</v>
      </c>
      <c r="F33" s="200"/>
      <c r="G33" s="200"/>
      <c r="H33" s="201">
        <f>(E33-E29)/E29</f>
        <v>-0.98145388353671481</v>
      </c>
      <c r="I33" s="201"/>
    </row>
    <row r="35" spans="1:10" ht="7.5" customHeight="1" x14ac:dyDescent="0.3"/>
    <row r="36" spans="1:10" ht="25.5" customHeight="1" x14ac:dyDescent="0.3">
      <c r="A36" s="204" t="s">
        <v>669</v>
      </c>
      <c r="B36" s="204"/>
      <c r="C36" s="204"/>
      <c r="D36" s="204"/>
      <c r="E36" s="204"/>
      <c r="F36" s="204"/>
      <c r="G36" s="204"/>
      <c r="H36" s="204"/>
      <c r="I36" s="204"/>
      <c r="J36" s="204"/>
    </row>
    <row r="37" spans="1:10" ht="6" customHeight="1" x14ac:dyDescent="0.3"/>
    <row r="38" spans="1:10" ht="95.4" customHeight="1" x14ac:dyDescent="0.3">
      <c r="A38" s="205" t="s">
        <v>670</v>
      </c>
      <c r="B38" s="205"/>
      <c r="C38" s="205"/>
      <c r="D38" s="205"/>
      <c r="E38" s="205"/>
      <c r="F38" s="205"/>
      <c r="G38" s="205"/>
      <c r="H38" s="205"/>
      <c r="I38" s="205"/>
      <c r="J38" s="205"/>
    </row>
  </sheetData>
  <mergeCells count="30">
    <mergeCell ref="A36:J36"/>
    <mergeCell ref="A38:J38"/>
    <mergeCell ref="A32:D32"/>
    <mergeCell ref="E32:G32"/>
    <mergeCell ref="H32:I32"/>
    <mergeCell ref="A33:D33"/>
    <mergeCell ref="E33:G33"/>
    <mergeCell ref="H33:I33"/>
    <mergeCell ref="A30:D30"/>
    <mergeCell ref="E30:G30"/>
    <mergeCell ref="H30:I30"/>
    <mergeCell ref="A31:D31"/>
    <mergeCell ref="E31:G31"/>
    <mergeCell ref="H31:I31"/>
    <mergeCell ref="A27:J27"/>
    <mergeCell ref="A28:D28"/>
    <mergeCell ref="E28:I28"/>
    <mergeCell ref="A29:D29"/>
    <mergeCell ref="E29:G29"/>
    <mergeCell ref="H29:I29"/>
    <mergeCell ref="A18:J18"/>
    <mergeCell ref="A21:J21"/>
    <mergeCell ref="A22:J22"/>
    <mergeCell ref="A23:J23"/>
    <mergeCell ref="A24:J24"/>
    <mergeCell ref="A12:J12"/>
    <mergeCell ref="A14:J14"/>
    <mergeCell ref="A15:J15"/>
    <mergeCell ref="A16:J16"/>
    <mergeCell ref="A17:J17"/>
  </mergeCells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About the company</vt:lpstr>
      <vt:lpstr>Promoter</vt:lpstr>
      <vt:lpstr>Public</vt:lpstr>
      <vt:lpstr>Consolidated P&amp;L</vt:lpstr>
      <vt:lpstr>Consolidated Balance sheet</vt:lpstr>
      <vt:lpstr>Cash flow</vt:lpstr>
      <vt:lpstr>Consolidated Quarterly Result</vt:lpstr>
      <vt:lpstr>BEta</vt:lpstr>
      <vt:lpstr>WACC</vt:lpstr>
      <vt:lpstr>Ratio Analysis</vt:lpstr>
      <vt:lpstr>FCFF</vt:lpstr>
      <vt:lpstr>Change in working Capital</vt:lpstr>
      <vt:lpstr>Fixed Asset Scheduled</vt:lpstr>
      <vt:lpstr>Assumptions</vt:lpstr>
      <vt:lpstr>Forecasting</vt:lpstr>
      <vt:lpstr>Growth Scenario</vt:lpstr>
      <vt:lpstr>DCF Valuation</vt:lpstr>
      <vt:lpstr>Relative Valuation</vt:lpstr>
      <vt:lpstr>Stock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PRATHAM KUSHWAHA</dc:creator>
  <dc:description/>
  <cp:lastModifiedBy>PRATHAM KUSHWAHA</cp:lastModifiedBy>
  <cp:revision>0</cp:revision>
  <dcterms:created xsi:type="dcterms:W3CDTF">2026-06-18T11:15:19Z</dcterms:created>
  <dcterms:modified xsi:type="dcterms:W3CDTF">2026-06-29T09:22:32Z</dcterms:modified>
  <dc:language>en-US</dc:language>
</cp:coreProperties>
</file>