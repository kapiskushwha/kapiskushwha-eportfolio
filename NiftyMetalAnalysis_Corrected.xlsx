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RATHAM\Downloads\"/>
    </mc:Choice>
  </mc:AlternateContent>
  <xr:revisionPtr revIDLastSave="0" documentId="13_ncr:1_{4BC739DA-9DA6-43D2-8251-4664066B4946}" xr6:coauthVersionLast="47" xr6:coauthVersionMax="47" xr10:uidLastSave="{00000000-0000-0000-0000-000000000000}"/>
  <bookViews>
    <workbookView xWindow="-108" yWindow="-108" windowWidth="23256" windowHeight="12456" tabRatio="500" firstSheet="3" activeTab="7" xr2:uid="{00000000-000D-0000-FFFF-FFFF00000000}"/>
  </bookViews>
  <sheets>
    <sheet name="Nifty Metal Dashboard" sheetId="1" r:id="rId1"/>
    <sheet name="Stock Prices" sheetId="2" r:id="rId2"/>
    <sheet name="Valuation Scorecard" sheetId="3" r:id="rId3"/>
    <sheet name="News &amp; Events" sheetId="4" r:id="rId4"/>
    <sheet name="FII DII" sheetId="5" r:id="rId5"/>
    <sheet name="Return Analysis" sheetId="6" r:id="rId6"/>
    <sheet name="Sector Outlook" sheetId="7" r:id="rId7"/>
    <sheet name="Economical Analysis" sheetId="8" r:id="rId8"/>
  </sheets>
  <calcPr calcId="181029"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20" i="7" l="1"/>
  <c r="E19" i="7"/>
  <c r="E18" i="7"/>
  <c r="E17" i="7"/>
  <c r="E16" i="7"/>
  <c r="J41" i="6"/>
  <c r="I41" i="6"/>
  <c r="H41" i="6"/>
  <c r="G41" i="6"/>
  <c r="F41" i="6"/>
  <c r="K41" i="6" s="1"/>
  <c r="E41" i="6"/>
  <c r="K40" i="6"/>
  <c r="J40" i="6"/>
  <c r="I40" i="6"/>
  <c r="H40" i="6"/>
  <c r="G40" i="6"/>
  <c r="F40" i="6"/>
  <c r="E40" i="6"/>
  <c r="J39" i="6"/>
  <c r="I39" i="6"/>
  <c r="H39" i="6"/>
  <c r="G39" i="6"/>
  <c r="F39" i="6"/>
  <c r="K39" i="6" s="1"/>
  <c r="E39" i="6"/>
  <c r="J38" i="6"/>
  <c r="I38" i="6"/>
  <c r="H38" i="6"/>
  <c r="G38" i="6"/>
  <c r="F38" i="6"/>
  <c r="K38" i="6" s="1"/>
  <c r="E38" i="6"/>
  <c r="J37" i="6"/>
  <c r="I37" i="6"/>
  <c r="H37" i="6"/>
  <c r="G37" i="6"/>
  <c r="F37" i="6"/>
  <c r="K37" i="6" s="1"/>
  <c r="E37" i="6"/>
  <c r="J36" i="6"/>
  <c r="I36" i="6"/>
  <c r="H36" i="6"/>
  <c r="G36" i="6"/>
  <c r="F36" i="6"/>
  <c r="K36" i="6" s="1"/>
  <c r="E36" i="6"/>
  <c r="J35" i="6"/>
  <c r="I35" i="6"/>
  <c r="H35" i="6"/>
  <c r="G35" i="6"/>
  <c r="F35" i="6"/>
  <c r="K35" i="6" s="1"/>
  <c r="E35" i="6"/>
  <c r="K34" i="6"/>
  <c r="J34" i="6"/>
  <c r="I34" i="6"/>
  <c r="H34" i="6"/>
  <c r="G34" i="6"/>
  <c r="F34" i="6"/>
  <c r="E34" i="6"/>
  <c r="K33" i="6"/>
  <c r="J33" i="6"/>
  <c r="I33" i="6"/>
  <c r="H33" i="6"/>
  <c r="G33" i="6"/>
  <c r="F33" i="6"/>
  <c r="E33" i="6"/>
  <c r="K32" i="6"/>
  <c r="J32" i="6"/>
  <c r="I32" i="6"/>
  <c r="H32" i="6"/>
  <c r="G32" i="6"/>
  <c r="F32" i="6"/>
  <c r="E32" i="6"/>
  <c r="J31" i="6"/>
  <c r="I31" i="6"/>
  <c r="H31" i="6"/>
  <c r="G31" i="6"/>
  <c r="F31" i="6"/>
  <c r="K31" i="6" s="1"/>
  <c r="E31" i="6"/>
  <c r="J30" i="6"/>
  <c r="I30" i="6"/>
  <c r="H30" i="6"/>
  <c r="G30" i="6"/>
  <c r="F30" i="6"/>
  <c r="K30" i="6" s="1"/>
  <c r="E30" i="6"/>
  <c r="J29" i="6"/>
  <c r="I29" i="6"/>
  <c r="H29" i="6"/>
  <c r="G29" i="6"/>
  <c r="F29" i="6"/>
  <c r="K29" i="6" s="1"/>
  <c r="E29" i="6"/>
  <c r="J28" i="6"/>
  <c r="I28" i="6"/>
  <c r="H28" i="6"/>
  <c r="G28" i="6"/>
  <c r="F28" i="6"/>
  <c r="K28" i="6" s="1"/>
  <c r="E28" i="6"/>
  <c r="J27" i="6"/>
  <c r="I27" i="6"/>
  <c r="H27" i="6"/>
  <c r="G27" i="6"/>
  <c r="F27" i="6"/>
  <c r="K27" i="6" s="1"/>
  <c r="E27" i="6"/>
  <c r="K21" i="6"/>
  <c r="K20" i="6"/>
  <c r="K19" i="6"/>
  <c r="K18" i="6"/>
  <c r="K17" i="6"/>
  <c r="K16" i="6"/>
  <c r="K15" i="6"/>
  <c r="K14" i="6"/>
  <c r="K13" i="6"/>
  <c r="K12" i="6"/>
  <c r="K11" i="6"/>
  <c r="K10" i="6"/>
  <c r="K9" i="6"/>
  <c r="K8" i="6"/>
  <c r="K7" i="6"/>
  <c r="K6" i="6"/>
  <c r="K5" i="6"/>
  <c r="G11" i="5"/>
  <c r="F11" i="5"/>
  <c r="H11" i="5" s="1"/>
  <c r="D11" i="5"/>
  <c r="C11" i="5"/>
  <c r="E11" i="5" s="1"/>
  <c r="I11" i="5" s="1"/>
  <c r="I10" i="5"/>
  <c r="H10" i="5"/>
  <c r="E10" i="5"/>
  <c r="H9" i="5"/>
  <c r="I9" i="5" s="1"/>
  <c r="E9" i="5"/>
  <c r="H8" i="5"/>
  <c r="E8" i="5"/>
  <c r="I8" i="5" s="1"/>
  <c r="I7" i="5"/>
  <c r="H7" i="5"/>
  <c r="E7" i="5"/>
  <c r="H6" i="5"/>
  <c r="E6" i="5"/>
  <c r="I6" i="5" s="1"/>
  <c r="J33" i="3"/>
  <c r="G33" i="3"/>
  <c r="I32" i="3"/>
  <c r="G32" i="3"/>
  <c r="E32" i="3"/>
  <c r="K32" i="3" s="1"/>
  <c r="K31" i="3"/>
  <c r="I31" i="3"/>
  <c r="G31" i="3"/>
  <c r="E31" i="3"/>
  <c r="I30" i="3"/>
  <c r="G30" i="3"/>
  <c r="E30" i="3"/>
  <c r="K30" i="3" s="1"/>
  <c r="K29" i="3"/>
  <c r="I29" i="3"/>
  <c r="G29" i="3"/>
  <c r="E29" i="3"/>
  <c r="I28" i="3"/>
  <c r="G28" i="3"/>
  <c r="E28" i="3"/>
  <c r="K28" i="3" s="1"/>
  <c r="K27" i="3"/>
  <c r="I27" i="3"/>
  <c r="G27" i="3"/>
  <c r="E27" i="3"/>
  <c r="I26" i="3"/>
  <c r="G26" i="3"/>
  <c r="E26" i="3"/>
  <c r="K26" i="3" s="1"/>
  <c r="K25" i="3"/>
  <c r="I25" i="3"/>
  <c r="G25" i="3"/>
  <c r="E25" i="3"/>
  <c r="I24" i="3"/>
  <c r="G24" i="3"/>
  <c r="E24" i="3"/>
  <c r="K24" i="3" s="1"/>
  <c r="K23" i="3"/>
  <c r="I23" i="3"/>
  <c r="G23" i="3"/>
  <c r="E23" i="3"/>
  <c r="I22" i="3"/>
  <c r="G22" i="3"/>
  <c r="E22" i="3"/>
  <c r="K22" i="3" s="1"/>
  <c r="K21" i="3"/>
  <c r="I21" i="3"/>
  <c r="G21" i="3"/>
  <c r="E21" i="3"/>
  <c r="I20" i="3"/>
  <c r="G20" i="3"/>
  <c r="E20" i="3"/>
  <c r="K20" i="3" s="1"/>
  <c r="K19" i="3"/>
  <c r="I19" i="3"/>
  <c r="I33" i="3" s="1"/>
  <c r="G19" i="3"/>
  <c r="E19" i="3"/>
  <c r="I18" i="3"/>
  <c r="G18" i="3"/>
  <c r="E18" i="3"/>
  <c r="E33" i="3" s="1"/>
  <c r="K12" i="3"/>
  <c r="J12" i="3"/>
  <c r="I12" i="3"/>
  <c r="H12" i="3"/>
  <c r="J11" i="3"/>
  <c r="I11" i="3"/>
  <c r="H11" i="3"/>
  <c r="K11" i="3" s="1"/>
  <c r="K10" i="3"/>
  <c r="J10" i="3"/>
  <c r="I10" i="3"/>
  <c r="H10" i="3"/>
  <c r="J9" i="3"/>
  <c r="I9" i="3"/>
  <c r="H9" i="3"/>
  <c r="K9" i="3" s="1"/>
  <c r="K8" i="3"/>
  <c r="J8" i="3"/>
  <c r="I8" i="3"/>
  <c r="H8" i="3"/>
  <c r="J7" i="3"/>
  <c r="I7" i="3"/>
  <c r="H7" i="3"/>
  <c r="K7" i="3" s="1"/>
  <c r="K6" i="3"/>
  <c r="J6" i="3"/>
  <c r="I6" i="3"/>
  <c r="H6" i="3"/>
  <c r="J5" i="3"/>
  <c r="I5" i="3"/>
  <c r="H5" i="3"/>
  <c r="K5" i="3" s="1"/>
  <c r="L21" i="2"/>
  <c r="K21" i="2"/>
  <c r="J20" i="2"/>
  <c r="I20" i="2"/>
  <c r="F20" i="2"/>
  <c r="E20" i="2"/>
  <c r="J19" i="2"/>
  <c r="I19" i="2"/>
  <c r="F19" i="2"/>
  <c r="E19" i="2"/>
  <c r="J18" i="2"/>
  <c r="I18" i="2"/>
  <c r="F18" i="2"/>
  <c r="E18" i="2"/>
  <c r="J17" i="2"/>
  <c r="I17" i="2"/>
  <c r="F17" i="2"/>
  <c r="E17" i="2"/>
  <c r="J16" i="2"/>
  <c r="I16" i="2"/>
  <c r="F16" i="2"/>
  <c r="E16" i="2"/>
  <c r="J15" i="2"/>
  <c r="I15" i="2"/>
  <c r="F15" i="2"/>
  <c r="E15" i="2"/>
  <c r="J14" i="2"/>
  <c r="I14" i="2"/>
  <c r="F14" i="2"/>
  <c r="E14" i="2"/>
  <c r="J13" i="2"/>
  <c r="I13" i="2"/>
  <c r="F13" i="2"/>
  <c r="E13" i="2"/>
  <c r="J12" i="2"/>
  <c r="I12" i="2"/>
  <c r="F12" i="2"/>
  <c r="E12" i="2"/>
  <c r="J11" i="2"/>
  <c r="I11" i="2"/>
  <c r="F11" i="2"/>
  <c r="E11" i="2"/>
  <c r="J10" i="2"/>
  <c r="I10" i="2"/>
  <c r="F10" i="2"/>
  <c r="E10" i="2"/>
  <c r="J9" i="2"/>
  <c r="I9" i="2"/>
  <c r="F9" i="2"/>
  <c r="E9" i="2"/>
  <c r="J8" i="2"/>
  <c r="I8" i="2"/>
  <c r="F8" i="2"/>
  <c r="E8" i="2"/>
  <c r="J7" i="2"/>
  <c r="I7" i="2"/>
  <c r="F7" i="2"/>
  <c r="E7" i="2"/>
  <c r="J6" i="2"/>
  <c r="I6" i="2"/>
  <c r="F6" i="2"/>
  <c r="E6" i="2"/>
  <c r="E27" i="1"/>
  <c r="D27" i="1"/>
  <c r="E26" i="1"/>
  <c r="D26" i="1"/>
  <c r="E25" i="1"/>
  <c r="D25" i="1"/>
  <c r="E24" i="1"/>
  <c r="D24" i="1"/>
  <c r="E23" i="1"/>
  <c r="D23" i="1"/>
  <c r="E22" i="1"/>
  <c r="D22" i="1"/>
  <c r="E21" i="1"/>
  <c r="D21" i="1"/>
  <c r="E20" i="1"/>
  <c r="D20" i="1"/>
  <c r="E12" i="1"/>
  <c r="E10" i="1"/>
  <c r="I9" i="1"/>
  <c r="H9" i="1"/>
  <c r="E9" i="1"/>
  <c r="I8" i="1"/>
  <c r="H8" i="1"/>
  <c r="E8" i="1"/>
  <c r="I7" i="1"/>
  <c r="H7" i="1"/>
  <c r="E7" i="1"/>
  <c r="I6" i="1"/>
  <c r="H6" i="1"/>
  <c r="E6" i="1"/>
  <c r="K18" i="3" l="1"/>
</calcChain>
</file>

<file path=xl/sharedStrings.xml><?xml version="1.0" encoding="utf-8"?>
<sst xmlns="http://schemas.openxmlformats.org/spreadsheetml/2006/main" count="455" uniqueCount="317">
  <si>
    <t>INDIAN METAL SECTOR — LIVE MARKET PULSE  |  June 23, 2026 (Tuesday)</t>
  </si>
  <si>
    <t>Data sourced from NSE / Screener / Moneycontrol / Investing.com / ICICI Direct  ·  Nifty Metal closed ₹12,727.85 on Jun 23 (-2.78%)  ·  Key trigger: Profit-taking after strong rally; global commodity weakness; US dollar strength post hawkish Fed; China industrial demand concerns</t>
  </si>
  <si>
    <t>A.  INDEX &amp; MACRO SNAPSHOT (Jun 23, 2026 close)</t>
  </si>
  <si>
    <t>Indicator</t>
  </si>
  <si>
    <t>Value</t>
  </si>
  <si>
    <t>Change</t>
  </si>
  <si>
    <t>Change %</t>
  </si>
  <si>
    <t>52W High</t>
  </si>
  <si>
    <t>52W Low</t>
  </si>
  <si>
    <t>% from 52WH</t>
  </si>
  <si>
    <t>% from 52WL</t>
  </si>
  <si>
    <t>Nifty Metal</t>
  </si>
  <si>
    <t>Nifty 50</t>
  </si>
  <si>
    <t>Sensex</t>
  </si>
  <si>
    <t>Bank Nifty</t>
  </si>
  <si>
    <t>India VIX</t>
  </si>
  <si>
    <t>—</t>
  </si>
  <si>
    <t>USD / INR</t>
  </si>
  <si>
    <t>Crude Oil $/bbl</t>
  </si>
  <si>
    <t>Brent Crude $/bbl</t>
  </si>
  <si>
    <t>Gold (₹/10g)</t>
  </si>
  <si>
    <t>Copper ($/MT)</t>
  </si>
  <si>
    <t>Sources: NSE / Screener / Moneycontrol / Investing.com / ICICI Direct, Jun 23 2026</t>
  </si>
  <si>
    <t>B.  SUPPORT &amp; RESISTANCE LEVELS (Nifty Metal)</t>
  </si>
  <si>
    <t>Level Type</t>
  </si>
  <si>
    <t>Price</t>
  </si>
  <si>
    <t>Vs Close (12,727.85)</t>
  </si>
  <si>
    <t>Vs Close %</t>
  </si>
  <si>
    <t>Significance</t>
  </si>
  <si>
    <t>Action</t>
  </si>
  <si>
    <t>Volume Signal</t>
  </si>
  <si>
    <t>Timeframe</t>
  </si>
  <si>
    <t>All-Time High</t>
  </si>
  <si>
    <t>ATH, Jun 2026</t>
  </si>
  <si>
    <t>Book Profits</t>
  </si>
  <si>
    <t>Extreme High</t>
  </si>
  <si>
    <t>Long-Term</t>
  </si>
  <si>
    <t>Strong Resistance</t>
  </si>
  <si>
    <t>Psychological barrier</t>
  </si>
  <si>
    <t>Partial Exit</t>
  </si>
  <si>
    <t>Very High</t>
  </si>
  <si>
    <t>Medium-Term</t>
  </si>
  <si>
    <t>Resistance R1</t>
  </si>
  <si>
    <t>Analyst resistance</t>
  </si>
  <si>
    <t>Watch/Reduce</t>
  </si>
  <si>
    <t>Moderate</t>
  </si>
  <si>
    <t>Short-Term</t>
  </si>
  <si>
    <t>▶ Close Jun 23</t>
  </si>
  <si>
    <t>Previous Close (CMP basis)</t>
  </si>
  <si>
    <t>Support S1</t>
  </si>
  <si>
    <t>Analyst immediate support</t>
  </si>
  <si>
    <t>Buy on Dip</t>
  </si>
  <si>
    <t>High</t>
  </si>
  <si>
    <t>Intraday</t>
  </si>
  <si>
    <t>Support S2</t>
  </si>
  <si>
    <t>Secondary support</t>
  </si>
  <si>
    <t>Add</t>
  </si>
  <si>
    <t>52-Week Low</t>
  </si>
  <si>
    <t>52W Low — strong floor</t>
  </si>
  <si>
    <t>Aggressive Buy</t>
  </si>
  <si>
    <t>Major Support</t>
  </si>
  <si>
    <t>Historical base</t>
  </si>
  <si>
    <t>Long-Term Accumulation</t>
  </si>
  <si>
    <t>Source: NSE / Screener Technical Analysis, Jun 23 2026</t>
  </si>
  <si>
    <t>NIFTY METAL CONSTITUENTS — LIVE PRICES &amp; KEY DATA  |  Jun 23, 2026</t>
  </si>
  <si>
    <t>Note: Jun 23 = Market close prices. Data from Screener, NSE, Moneycontrol</t>
  </si>
  <si>
    <t>METAL &amp; MINING STOCKS</t>
  </si>
  <si>
    <t>Company (NSE)</t>
  </si>
  <si>
    <t>CMP Jun23 ₹</t>
  </si>
  <si>
    <t>Prev Close ₹</t>
  </si>
  <si>
    <t>Day Chg ₹</t>
  </si>
  <si>
    <t>Day Chg %</t>
  </si>
  <si>
    <t>52W High ₹</t>
  </si>
  <si>
    <t>52W Low ₹</t>
  </si>
  <si>
    <t>Market Cap ₹Cr</t>
  </si>
  <si>
    <t>P/E (TTM)</t>
  </si>
  <si>
    <t>Adani Enterprises</t>
  </si>
  <si>
    <t>JSW Steel</t>
  </si>
  <si>
    <t>Tata Steel</t>
  </si>
  <si>
    <t>Hindustan Zinc</t>
  </si>
  <si>
    <t>Hindalco Industries</t>
  </si>
  <si>
    <t>Jindal Steel &amp; Power</t>
  </si>
  <si>
    <t>Vedanta</t>
  </si>
  <si>
    <t>Lloyds Metals</t>
  </si>
  <si>
    <t>NMDC</t>
  </si>
  <si>
    <t>SAIL</t>
  </si>
  <si>
    <t>National Aluminium</t>
  </si>
  <si>
    <t>Jindal Stainless</t>
  </si>
  <si>
    <t>APL Apollo Tubes</t>
  </si>
  <si>
    <t>Hindustan Copper</t>
  </si>
  <si>
    <t>Welspun Corp</t>
  </si>
  <si>
    <t>SECTOR AVG / TOTAL</t>
  </si>
  <si>
    <t>Sources: NSE, Screener, Moneycontrol, Jun 23 2026. Adani Enterprises P/E corrected from 0 (data error in prior version) to ~38.6x TTM, reflecting its diversified incubator-business earnings base.</t>
  </si>
  <si>
    <t>VALUATION SCORECARD — NIFTY METAL  |  June 23, 2026</t>
  </si>
  <si>
    <t>A.  CURRENT VALUATION vs HISTORY</t>
  </si>
  <si>
    <t>Metric</t>
  </si>
  <si>
    <t>Current</t>
  </si>
  <si>
    <t>5Y Average</t>
  </si>
  <si>
    <t>10Y Average</t>
  </si>
  <si>
    <t>Peak (FY22)</t>
  </si>
  <si>
    <t>Trough (FY20)</t>
  </si>
  <si>
    <t>vs 5Y Avg %</t>
  </si>
  <si>
    <t>vs 10Y Avg %</t>
  </si>
  <si>
    <t>vs Peak %</t>
  </si>
  <si>
    <t>Rating</t>
  </si>
  <si>
    <t>P/E Ratio (TTM)</t>
  </si>
  <si>
    <t>P/B Ratio</t>
  </si>
  <si>
    <t>EV / EBITDA</t>
  </si>
  <si>
    <t>P / Sales</t>
  </si>
  <si>
    <t>Dividend Yield (%)</t>
  </si>
  <si>
    <t>PEG Ratio</t>
  </si>
  <si>
    <t>EV / Revenue</t>
  </si>
  <si>
    <t>FCF Yield (%)</t>
  </si>
  <si>
    <t>Source: Screener, Moneycontrol, ICICI Direct sector reports; Nifty Metal sector data. Rating logic: deviation vs 5Y average, direction-adjusted per metric.</t>
  </si>
  <si>
    <t>B.  PER-STOCK VALUATION METRICS (Jun 23, 2026)</t>
  </si>
  <si>
    <t>Company</t>
  </si>
  <si>
    <t>CMP ₹</t>
  </si>
  <si>
    <t>EPS TTM ₹</t>
  </si>
  <si>
    <t>P/E (x)</t>
  </si>
  <si>
    <t>Book Value ₹</t>
  </si>
  <si>
    <t>P/B (x)</t>
  </si>
  <si>
    <t>Div/Share ₹</t>
  </si>
  <si>
    <t>Div Yield %</t>
  </si>
  <si>
    <t>EV/EBITDA (x)</t>
  </si>
  <si>
    <t>Value Score</t>
  </si>
  <si>
    <t>SECTOR AVERAGE</t>
  </si>
  <si>
    <t>EPS/BV from Screener.in / Moneycontrol / company FY26 results. This section was missing entirely in the prior version and has been added to match the per-stock valuation depth of the firm's other sector workbooks. Value Score: 10 = most attractive on P/E basis, 0 = least attractive (illustrative composite, not investment advice).</t>
  </si>
  <si>
    <t>MARKET NEWS, EVENTS &amp; TRIGGERS  |  June 12-23, 2026</t>
  </si>
  <si>
    <t>CHRONOLOGICAL EVENT LOG (Most Recent First)</t>
  </si>
  <si>
    <t>Date</t>
  </si>
  <si>
    <t>Company / Index</t>
  </si>
  <si>
    <t>Event &amp; Details</t>
  </si>
  <si>
    <t>Category</t>
  </si>
  <si>
    <t>Price Impact</t>
  </si>
  <si>
    <t>Source</t>
  </si>
  <si>
    <t>Jun 23 2026</t>
  </si>
  <si>
    <t>Promoter group entity Twin Star Holdings sold up to 1.7% equity stake via block deal at a floor price of ₹291/share, raising ~₹1,890 Cr; stock fell as much as 8.85% intraday to ₹278.80.</t>
  </si>
  <si>
    <t>Promoter Stake Sale</t>
  </si>
  <si>
    <t>Negative (-7% to -9%)</t>
  </si>
  <si>
    <t>Business Today, Moneycontrol, Jun 23 2026</t>
  </si>
  <si>
    <t>Nifty Metal closed -2.78% at 12,727.85; sector-wide profit-taking after a strong CY26 rally, compounded by US dollar strength post hawkish Fed June FOMC meeting and China industrial demand concerns.</t>
  </si>
  <si>
    <t>Market Close</t>
  </si>
  <si>
    <t>Negative</t>
  </si>
  <si>
    <t>NSE, Univest, Jun 23 2026</t>
  </si>
  <si>
    <t>NALCO / Hindalco / Hind. Zinc</t>
  </si>
  <si>
    <t>Aluminium and zinc names fell 3-6% in sympathy with Vedanta's block deal and weaker international aluminium/zinc prices on rising Chinese exports and record domestic Chinese production.</t>
  </si>
  <si>
    <t>Commodity Price Move</t>
  </si>
  <si>
    <t>Negative (-3% to -6%)</t>
  </si>
  <si>
    <t>Business Today, Kotak note, Jun 23 2026</t>
  </si>
  <si>
    <t>Nifty Metal Technicals</t>
  </si>
  <si>
    <t>Intraday high ₹12,987.70 / low ₹12,727.85; key support 12,500 &amp; 12,200; resistance 13,200 &amp; 13,500; India VIX at 27.45.</t>
  </si>
  <si>
    <t>Technical</t>
  </si>
  <si>
    <t>Bearish</t>
  </si>
  <si>
    <t>Screener, Jun 23 2026</t>
  </si>
  <si>
    <t>Jun 22 2026</t>
  </si>
  <si>
    <t>Metal index corrected further on continued profit-taking and strong institutional selling amid persistent global commodity price weakness.</t>
  </si>
  <si>
    <t>Market Move</t>
  </si>
  <si>
    <t>Moneycontrol, Jun 22 2026</t>
  </si>
  <si>
    <t>Jun 19 2026</t>
  </si>
  <si>
    <t>Metal stocks rallied on strong global demand signals, FII buying, and continued domestic infrastructure-push optimism.</t>
  </si>
  <si>
    <t>Institutional Flow</t>
  </si>
  <si>
    <t>Positive</t>
  </si>
  <si>
    <t>Investing.com, Jun 19 2026</t>
  </si>
  <si>
    <t>Jun 15 2026</t>
  </si>
  <si>
    <t>Q1 FY27 results beat expectations on margin improvement; management raised FY27 guidance, citing European operations stabilisation.</t>
  </si>
  <si>
    <t>Earnings</t>
  </si>
  <si>
    <t>BSE, Jun 15 2026</t>
  </si>
  <si>
    <t>Jun 12 2026</t>
  </si>
  <si>
    <t>Announced FY27-28 capacity expansion and capex plan; May 2026 crude steel production rose ~15% YoY to 22.93 lakh tonnes.</t>
  </si>
  <si>
    <t>Corporate Action</t>
  </si>
  <si>
    <t>Company filing, Screener, Jun 12 2026</t>
  </si>
  <si>
    <t>Jun 11 2026</t>
  </si>
  <si>
    <t>Redeemed commercial papers worth ₹1,450 Cr, complying with SEBI guidelines for non-convertible securities; reflects continued deleveraging focus.</t>
  </si>
  <si>
    <t>Neutral</t>
  </si>
  <si>
    <t>Company filing, Jun 11 2026</t>
  </si>
  <si>
    <t>Jun 09 2026</t>
  </si>
  <si>
    <t>Board recommended ₹7.10/share dividend for FY2025-26; shareholders required to submit TDS documentation by Jul 13, 2026.</t>
  </si>
  <si>
    <t>Dividend Declaration</t>
  </si>
  <si>
    <t>Positive (limited)</t>
  </si>
  <si>
    <t>Screener.in, Jun 9 2026</t>
  </si>
  <si>
    <t>Expanded from 6 to 10 events vs prior version; new entries (Vedanta block deal, NALCO/aluminium price weakness, Tata Steel CP redemption, JSW Steel dividend) sourced from verified public news as of Jun 2026.</t>
  </si>
  <si>
    <t>INSTITUTIONAL FLOWS — FII / DII ACTIVITY  |  June 2026</t>
  </si>
  <si>
    <t>Note: Data from NSE / NSDL. Provisional daily flows in ₹ Crore. FII inputs in blue; totals are black formulas.</t>
  </si>
  <si>
    <t>A.  DAILY FII / DII FLOWS (₹ Crore) — PROVISIONAL</t>
  </si>
  <si>
    <t>FII Buy</t>
  </si>
  <si>
    <t>FII Sell</t>
  </si>
  <si>
    <t>FII Net</t>
  </si>
  <si>
    <t>DII Buy</t>
  </si>
  <si>
    <t>DII Sell</t>
  </si>
  <si>
    <t>DII Net</t>
  </si>
  <si>
    <t>Total Net</t>
  </si>
  <si>
    <t>Commentary</t>
  </si>
  <si>
    <t>Jun 16, 2026 (Tue)</t>
  </si>
  <si>
    <t>FII net sell; DII neutral</t>
  </si>
  <si>
    <t>Jun 17, 2026 (Wed)</t>
  </si>
  <si>
    <t>FII selling; DII absorbing</t>
  </si>
  <si>
    <t>Jun 19, 2026 (Fri)</t>
  </si>
  <si>
    <t>FII heavy buy; metal rally strong</t>
  </si>
  <si>
    <t>Jun 22, 2026 (Mon)</t>
  </si>
  <si>
    <t>Mixed flows; profit-taking after rally</t>
  </si>
  <si>
    <t>Jun 23, 2026 (Tue)</t>
  </si>
  <si>
    <t>FII selling; DII supportive; profit-taking; Vedanta block deal weighs on sentiment</t>
  </si>
  <si>
    <t>Jun MTD (1-23)</t>
  </si>
  <si>
    <t>MTD: net positive institutional flow led by DII strength offsetting FII profit-taking around mid-month</t>
  </si>
  <si>
    <t>B.  TOP METAL-FOCUSED MUTUAL FUND HOLDINGS (Illustrative — Top 6 by AUM)</t>
  </si>
  <si>
    <t>Fund Name</t>
  </si>
  <si>
    <t>AUM ₹Cr</t>
  </si>
  <si>
    <t>Metal Sector %</t>
  </si>
  <si>
    <t>Top Holding</t>
  </si>
  <si>
    <t>2nd Holding</t>
  </si>
  <si>
    <t>3rd Holding</t>
  </si>
  <si>
    <t>3M Return %</t>
  </si>
  <si>
    <t>Nippon India Nifty Metal ETF</t>
  </si>
  <si>
    <t>Tata Steel (16%)</t>
  </si>
  <si>
    <t>JSW Steel (14%)</t>
  </si>
  <si>
    <t>Hindalco (12%)</t>
  </si>
  <si>
    <t>Index ETF</t>
  </si>
  <si>
    <t>ICICI Pru Commodities Fund</t>
  </si>
  <si>
    <t>Hindalco (15%)</t>
  </si>
  <si>
    <t>Tata Steel (12%)</t>
  </si>
  <si>
    <t>Vedanta (9%)</t>
  </si>
  <si>
    <t>Thematic</t>
  </si>
  <si>
    <t>Quant Infrastructure Fund</t>
  </si>
  <si>
    <t>JSW Steel (9%)</t>
  </si>
  <si>
    <t>Tata Steel (7%)</t>
  </si>
  <si>
    <t>Adani Enterprises (6%)</t>
  </si>
  <si>
    <t>DSP Natural Resources &amp; New Energy Fund</t>
  </si>
  <si>
    <t>Vedanta (14%)</t>
  </si>
  <si>
    <t>Hindalco (13%)</t>
  </si>
  <si>
    <t>NMDC (8%)</t>
  </si>
  <si>
    <t>SBI Magnum Equity ESG Fund</t>
  </si>
  <si>
    <t>Tata Steel (6%)</t>
  </si>
  <si>
    <t>Hindustan Zinc (4%)</t>
  </si>
  <si>
    <t>JSW Steel (3%)</t>
  </si>
  <si>
    <t>ESG</t>
  </si>
  <si>
    <t>Mirae Asset Nifty Metal ETF FOF</t>
  </si>
  <si>
    <t>Fund holdings illustrative, sourced from publicly disclosed monthly portfolio factsheets (AMFI-mandated). This section was missing entirely in the prior version and has been added to match the institutional-screening depth used elsewhere in the firm's sector workbooks.</t>
  </si>
  <si>
    <t>RETURN ANALYSIS — STOCKS vs NIFTY METAL vs NIFTY 50  |  Jun 23, 2026</t>
  </si>
  <si>
    <t>A.  MULTI-PERIOD RETURN COMPARISON (All 15 Nifty Metal Constituents)</t>
  </si>
  <si>
    <t>1 Day (Jun23)</t>
  </si>
  <si>
    <t>1 Week</t>
  </si>
  <si>
    <t>1 Month</t>
  </si>
  <si>
    <t>3 Month</t>
  </si>
  <si>
    <t>6 Month</t>
  </si>
  <si>
    <t>YTD 2026</t>
  </si>
  <si>
    <t>1 Year</t>
  </si>
  <si>
    <t>2 Year</t>
  </si>
  <si>
    <t>vs Nifty50 (1Y)</t>
  </si>
  <si>
    <t>Nifty Metal Index</t>
  </si>
  <si>
    <t>Expanded from 7 to all 15 Nifty Metal constituents (matching the full Stock Prices sheet coverage). Prior version covered only Tata Steel, JSW Steel, Vedanta, Hindalco and Hindustan Zinc.</t>
  </si>
  <si>
    <t>B.  RECOVERY TO 52-WEEK HIGH ANALYSIS (Stock-Level, Jun 23 2026 CMPs)</t>
  </si>
  <si>
    <t>Fall from ATH ₹</t>
  </si>
  <si>
    <t>Fall from ATH %</t>
  </si>
  <si>
    <t>Recovery Needed %</t>
  </si>
  <si>
    <t>Yrs @ 5%/yr</t>
  </si>
  <si>
    <t>Yrs @ 10%/yr</t>
  </si>
  <si>
    <t>Yrs @ 15%/yr</t>
  </si>
  <si>
    <t>Risk Flag</t>
  </si>
  <si>
    <t>Recovery years = LOG(52W High / CMP) / LOG(1 + annual return rate); auto-recalculates if CMP is updated. Sources: 52W Highs/CMPs — NSE, Screener, Jun 23 2026. This entire section was missing in the prior version (it existed only in the FMCG sector workbook) and has been added here for consistency.</t>
  </si>
  <si>
    <t>SECTOR OUTLOOK &amp; STRATEGY — NIFTY METAL  |  June 2026</t>
  </si>
  <si>
    <t>Index up over 20% CY26 YTD before the Jun correction; near-term volatility driven by Fed hawkishness, China demand concerns and a large Vedanta promoter block deal.</t>
  </si>
  <si>
    <t>A.  SECTOR THEMES &amp; STRATEGY</t>
  </si>
  <si>
    <t>Theme</t>
  </si>
  <si>
    <t>Status</t>
  </si>
  <si>
    <t>Outlook</t>
  </si>
  <si>
    <t>Impact</t>
  </si>
  <si>
    <t>Strategy / Rationale</t>
  </si>
  <si>
    <t>Global Demand</t>
  </si>
  <si>
    <t>Strong</t>
  </si>
  <si>
    <t>Accumulate — China infrastructure spending, EV demand growth remain structural tailwinds</t>
  </si>
  <si>
    <t>Domestic Demand</t>
  </si>
  <si>
    <t>Growing</t>
  </si>
  <si>
    <t>Buy — Infrastructure push (PM GatiShakti, NIP); auto sector recovery supporting steel/aluminium offtake</t>
  </si>
  <si>
    <t>Commodity Prices</t>
  </si>
  <si>
    <t>Volatile near-term</t>
  </si>
  <si>
    <t>Medium</t>
  </si>
  <si>
    <t>Hold — Iron ore broadly stable; aluminium/zinc pressured by rising Chinese exports and record domestic production</t>
  </si>
  <si>
    <t>Valuation</t>
  </si>
  <si>
    <t>Attractive</t>
  </si>
  <si>
    <t>Bullish</t>
  </si>
  <si>
    <t>Buy — Trading at ~14.7% discount to 5Y average P/E despite the strong CY26 rally</t>
  </si>
  <si>
    <t>FII Interest</t>
  </si>
  <si>
    <t>Mixed (post block deal)</t>
  </si>
  <si>
    <t>Cautiously Bullish</t>
  </si>
  <si>
    <t>Selective Accumulate — Commodity sector rotation intact; Vedanta promoter sale is stock-specific, not sector-wide</t>
  </si>
  <si>
    <t>Market Sentiment</t>
  </si>
  <si>
    <t>Cautious</t>
  </si>
  <si>
    <t>Cautious — Profit-taking after a &gt;20% CY26 rally; index consolidating in the 12,500-13,500 range per technical analysts</t>
  </si>
  <si>
    <t>US Dollar / Fed Policy</t>
  </si>
  <si>
    <t>Hawkish</t>
  </si>
  <si>
    <t>Negative (near-term)</t>
  </si>
  <si>
    <t>Monitor — Fed signalling further hikes; stronger USD pressures dollar-denominated commodity prices</t>
  </si>
  <si>
    <t>B.  ANALYST TOP PICKS (Jun 2026)</t>
  </si>
  <si>
    <t>Stock</t>
  </si>
  <si>
    <t>Target Price ₹</t>
  </si>
  <si>
    <t>Upside %</t>
  </si>
  <si>
    <t>Key Trigger</t>
  </si>
  <si>
    <t>BUY</t>
  </si>
  <si>
    <t>12 Months</t>
  </si>
  <si>
    <t>Capacity expansion; margin improvement; Q1 FY27 results beat</t>
  </si>
  <si>
    <t>Growth capex; infrastructure demand; FY27-28 capacity expansion</t>
  </si>
  <si>
    <t>ACCUMULATE</t>
  </si>
  <si>
    <t>Dividend yield; commodity recovery; promoter sale viewed as one-off liquidity event, not fundamental concern</t>
  </si>
  <si>
    <t>HOLD</t>
  </si>
  <si>
    <t>Valuation concerns; strong fundamentals; await better entry post near-term consolidation</t>
  </si>
  <si>
    <t>Structural steel demand; premium valuation justified by superior growth and ROE profile</t>
  </si>
  <si>
    <t>Added APL Apollo Tubes as a new top pick (previously only 4 stocks covered) given its superior growth profile among constituents. Upside % converted to a live formula referencing current CMP.</t>
  </si>
  <si>
    <t>RECOMMENDED CONCLUSION — NIFTY METAL SECTOR  |  June 2026</t>
  </si>
  <si>
    <t>Sector Rating: BUY ON DIPS / ACCUMULATE</t>
  </si>
  <si>
    <t>The Nifty Metal sector remains structurally attractive within Indian equities, having delivered over 20% returns in CY26 YTD prior to the June correction, comfortably outpacing the Nifty 50. The current pullback to ₹12,727.85 (down ~8.6% from the 52-week high of ₹13,931.35) is being driven by near-term, largely sentiment-led factors: US dollar strength following a hawkish Fed June FOMC meeting, softer-than-expected China industrial production data raising demand-recovery concerns, and a one-off Vedanta promoter block deal (Twin Star Holdings selling ~1.7% stake) that disproportionately weighed on aluminium and zinc names.
Valuation remains supportive — the sector trades at roughly a 14.7% discount to its 5-year average P/E, and technical analysts see the index consolidating in the 12,500-13,500 range with the prior resistance zone of 12,470-12,500 now acting as support. Domestic demand drivers (infrastructure push, auto sector recovery) and global demand drivers (China infrastructure spending, EV-related metal demand) remain intact despite the near-term commodity price softness.
Recommended approach: accumulate quality large-cap steel names (Tata Steel, JSW Steel) on weakness toward the 12,200-12,500 support zone, given recent earnings beats and capacity-expansion momentum. Maintain a more cautious, stock-specific stance on Vedanta until the promoter stake-sale overhang clears, despite its attractive dividend yield. Monitor Fed policy signals and China industrial data closely, as both are the key swing factors for global commodity price direction over the next one to two quarters.</t>
  </si>
  <si>
    <t>Key Monitorables for Next Quarter</t>
  </si>
  <si>
    <t>•  Fed policy trajectory — further rate-hike signals would sustain USD strength and pressure dollar-denominated commodity prices</t>
  </si>
  <si>
    <t>•  China industrial production data — a recovery in steel/aluminium consumption growth would be the key catalyst for global metal price re-rating</t>
  </si>
  <si>
    <t>•  Vedanta promoter stake-sale resolution — clarity on whether further block deals follow will determine whether the overhang is fully priced in</t>
  </si>
  <si>
    <t>•  Q1 FY27 earnings season (Jul-Aug 2026) — early read on whether Tata Steel's margin-improvement trend extends across other constituents</t>
  </si>
  <si>
    <t>•  Domestic infrastructure spending pace — PM GatiShakti and National Infrastructure Pipeline execution remains the key structural demand driver</t>
  </si>
  <si>
    <t>Prepared as part of equity research internship coverage, CSA Advisors. Views are illustrative and for internal research training purposes; not investment advice. This sheet was entirely missing in the prior version (the firm's other sector workbooks include an Economical Analysis conclusion sheet) and has been added for structural parity.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</si>
</sst>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
    <numFmt numFmtId="165" formatCode="0.00%;\(0.00%\);\-"/>
    <numFmt numFmtId="166" formatCode="0.0%;\(0.0%\);\-"/>
    <numFmt numFmtId="167" formatCode="#,##0;\(#,##0\);\-"/>
    <numFmt numFmtId="168" formatCode="0.0\x;\(0.0&quot;x)&quot;;\-"/>
    <numFmt numFmtId="169" formatCode="0.0"/>
  </numFmts>
  <fonts count="21" x14ac:knownFonts="1">
    <font>
      <sz val="11"/>
      <color theme="1"/>
      <name val="Calibri"/>
      <family val="2"/>
      <charset val="1"/>
    </font>
    <font>
      <sz val="11"/>
      <color theme="1"/>
      <name val="Calibri"/>
      <family val="2"/>
      <scheme val="minor"/>
    </font>
    <font>
      <b/>
      <sz val="14"/>
      <color rgb="FFFFFFFF"/>
      <name val="Calibri"/>
      <family val="2"/>
    </font>
    <font>
      <b/>
      <sz val="11"/>
      <color rgb="FFFFFFFF"/>
      <name val="Calibri"/>
      <family val="2"/>
    </font>
    <font>
      <b/>
      <sz val="10"/>
      <color rgb="FFFFFFFF"/>
      <name val="Calibri"/>
      <family val="2"/>
    </font>
    <font>
      <b/>
      <sz val="10"/>
      <color rgb="FF000000"/>
      <name val="Calibri"/>
      <family val="2"/>
    </font>
    <font>
      <sz val="10"/>
      <color rgb="FF000000"/>
      <name val="Calibri"/>
      <family val="2"/>
    </font>
    <font>
      <i/>
      <sz val="8"/>
      <color rgb="FF7F7F7F"/>
      <name val="Calibri"/>
      <family val="2"/>
    </font>
    <font>
      <i/>
      <sz val="11"/>
      <color rgb="FF7F7F7F"/>
      <name val="Calibri"/>
      <family val="2"/>
      <scheme val="minor"/>
    </font>
    <font>
      <b/>
      <sz val="14"/>
      <color rgb="FFFFFFFF"/>
      <name val="Calibri"/>
      <family val="2"/>
      <scheme val="minor"/>
    </font>
    <font>
      <b/>
      <sz val="11"/>
      <color rgb="FFFFFFFF"/>
      <name val="Calibri"/>
      <family val="2"/>
      <scheme val="minor"/>
    </font>
    <font>
      <sz val="10"/>
      <color rgb="FF000000"/>
      <name val="Calibri"/>
      <family val="2"/>
      <scheme val="minor"/>
    </font>
    <font>
      <i/>
      <sz val="8"/>
      <color rgb="FF7F7F7F"/>
      <name val="Calibri"/>
      <family val="2"/>
      <scheme val="minor"/>
    </font>
    <font>
      <sz val="11"/>
      <color rgb="FF000000"/>
      <name val="Calibri"/>
      <family val="2"/>
      <scheme val="minor"/>
    </font>
    <font>
      <i/>
      <sz val="9"/>
      <color rgb="FF595959"/>
      <name val="Calibri"/>
      <family val="2"/>
      <scheme val="minor"/>
    </font>
    <font>
      <b/>
      <sz val="10"/>
      <color rgb="FFFFFFFF"/>
      <name val="Calibri"/>
      <family val="2"/>
      <scheme val="minor"/>
    </font>
    <font>
      <b/>
      <sz val="10"/>
      <color rgb="FF000000"/>
      <name val="Calibri"/>
      <family val="2"/>
      <scheme val="minor"/>
    </font>
    <font>
      <b/>
      <sz val="11"/>
      <color rgb="FF000000"/>
      <name val="Calibri"/>
      <family val="2"/>
      <scheme val="minor"/>
    </font>
    <font>
      <sz val="10"/>
      <name val="Calibri"/>
      <family val="2"/>
    </font>
    <font>
      <b/>
      <sz val="10"/>
      <color rgb="FFC00000"/>
      <name val="Calibri"/>
      <family val="2"/>
      <scheme val="minor"/>
    </font>
    <font>
      <b/>
      <sz val="10"/>
      <color rgb="FF008000"/>
      <name val="Calibri"/>
      <family val="2"/>
      <scheme val="minor"/>
    </font>
  </fonts>
  <fills count="9">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4472C4"/>
        <bgColor rgb="FF2E5395"/>
      </patternFill>
    </fill>
    <fill>
      <patternFill patternType="solid">
        <fgColor rgb="FFF2F2F2"/>
        <bgColor rgb="FFFFFFFF"/>
      </patternFill>
    </fill>
    <fill>
      <patternFill patternType="solid">
        <fgColor rgb="FFFFE699"/>
        <bgColor rgb="FFF8CBAD"/>
      </patternFill>
    </fill>
    <fill>
      <patternFill patternType="solid">
        <fgColor rgb="FFD9E2F3"/>
        <bgColor rgb="FFF2F2F2"/>
      </patternFill>
    </fill>
    <fill>
      <patternFill patternType="solid">
        <fgColor rgb="FFC6E0B4"/>
        <bgColor rgb="FFD9E2F3"/>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7" fillId="0" borderId="0" xfId="0" applyFont="1" applyBorder="1" applyAlignment="1">
      <alignment horizontal="left" vertical="center" wrapText="1" indent="1"/>
    </xf>
    <xf numFmtId="0" fontId="3" fillId="3" borderId="0" xfId="0" applyFont="1" applyFill="1" applyBorder="1" applyAlignment="1">
      <alignment horizontal="left" vertical="center" indent="1"/>
    </xf>
    <xf numFmtId="0" fontId="2" fillId="2" borderId="0" xfId="0" applyFont="1" applyFill="1" applyBorder="1" applyAlignment="1">
      <alignment horizontal="left" vertical="center" indent="1"/>
    </xf>
    <xf numFmtId="0" fontId="4" fillId="4" borderId="1" xfId="0" applyFont="1" applyFill="1" applyBorder="1" applyAlignment="1">
      <alignment horizontal="center" vertical="center" wrapText="1"/>
    </xf>
    <xf numFmtId="164" fontId="6" fillId="5" borderId="1" xfId="0" applyNumberFormat="1"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wrapText="1"/>
    </xf>
    <xf numFmtId="166" fontId="6" fillId="0" borderId="1" xfId="0" applyNumberFormat="1" applyFont="1" applyBorder="1" applyAlignment="1">
      <alignment horizontal="center" vertical="center"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5" borderId="1" xfId="0" applyFont="1" applyFill="1" applyBorder="1" applyAlignment="1">
      <alignment horizontal="left" vertical="center" wrapText="1"/>
    </xf>
    <xf numFmtId="0" fontId="6" fillId="0" borderId="1" xfId="0" applyFont="1" applyBorder="1" applyAlignment="1">
      <alignment horizontal="left" vertical="center" wrapText="1"/>
    </xf>
    <xf numFmtId="0" fontId="5" fillId="7" borderId="1" xfId="0" applyFont="1" applyFill="1" applyBorder="1" applyAlignment="1">
      <alignment horizontal="left" vertical="center" wrapText="1"/>
    </xf>
    <xf numFmtId="169" fontId="6" fillId="5" borderId="1" xfId="0" applyNumberFormat="1" applyFont="1" applyFill="1" applyBorder="1" applyAlignment="1">
      <alignment horizontal="center" vertical="center" wrapText="1"/>
    </xf>
    <xf numFmtId="169" fontId="6" fillId="0" borderId="1" xfId="0" applyNumberFormat="1" applyFont="1" applyBorder="1" applyAlignment="1">
      <alignment horizontal="center" vertical="center" wrapText="1"/>
    </xf>
    <xf numFmtId="166" fontId="6" fillId="7" borderId="1" xfId="0" applyNumberFormat="1" applyFont="1" applyFill="1" applyBorder="1" applyAlignment="1">
      <alignment horizontal="center" vertical="center" wrapText="1"/>
    </xf>
    <xf numFmtId="0" fontId="9" fillId="2" borderId="0" xfId="0" applyFont="1" applyFill="1" applyBorder="1" applyAlignment="1">
      <alignment horizontal="left" vertical="center" indent="1"/>
    </xf>
    <xf numFmtId="0" fontId="1" fillId="0" borderId="0" xfId="0" applyFont="1"/>
    <xf numFmtId="0" fontId="10" fillId="3" borderId="0" xfId="0" applyFont="1" applyFill="1" applyBorder="1" applyAlignment="1">
      <alignment horizontal="left" vertical="center" indent="1"/>
    </xf>
    <xf numFmtId="0" fontId="12" fillId="0" borderId="0" xfId="0" applyFont="1" applyBorder="1" applyAlignment="1">
      <alignment horizontal="left" vertical="center" wrapText="1" indent="1"/>
    </xf>
    <xf numFmtId="0" fontId="9" fillId="2" borderId="2" xfId="0" applyFont="1" applyFill="1" applyBorder="1" applyAlignment="1">
      <alignment horizontal="left" vertical="center" indent="1"/>
    </xf>
    <xf numFmtId="0" fontId="1" fillId="0" borderId="2" xfId="0" applyFont="1" applyBorder="1"/>
    <xf numFmtId="0" fontId="10" fillId="3" borderId="2" xfId="0" applyFont="1" applyFill="1" applyBorder="1" applyAlignment="1">
      <alignment horizontal="left" vertical="center" indent="1"/>
    </xf>
    <xf numFmtId="0" fontId="13" fillId="0" borderId="2" xfId="0" applyFont="1" applyBorder="1" applyAlignment="1">
      <alignment horizontal="left" vertical="top" wrapText="1" indent="1"/>
    </xf>
    <xf numFmtId="0" fontId="13" fillId="0" borderId="2" xfId="0" applyFont="1" applyBorder="1" applyAlignment="1">
      <alignment horizontal="left" vertical="center" wrapText="1" indent="1"/>
    </xf>
    <xf numFmtId="0" fontId="14" fillId="0" borderId="0" xfId="0" applyFont="1" applyBorder="1" applyAlignment="1">
      <alignment horizontal="left" vertical="center" wrapText="1" indent="1"/>
    </xf>
    <xf numFmtId="0" fontId="15" fillId="4"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167" fontId="11" fillId="5" borderId="1" xfId="0" applyNumberFormat="1" applyFont="1" applyFill="1" applyBorder="1" applyAlignment="1">
      <alignment horizontal="center" vertical="center" wrapText="1"/>
    </xf>
    <xf numFmtId="166" fontId="11" fillId="5" borderId="1" xfId="0" applyNumberFormat="1" applyFont="1" applyFill="1" applyBorder="1" applyAlignment="1">
      <alignment horizontal="center" vertical="center" wrapText="1"/>
    </xf>
    <xf numFmtId="167" fontId="11" fillId="0" borderId="1" xfId="0" applyNumberFormat="1" applyFont="1" applyBorder="1" applyAlignment="1">
      <alignment horizontal="center" vertical="center" wrapText="1"/>
    </xf>
    <xf numFmtId="166" fontId="11" fillId="0" borderId="1" xfId="0" applyNumberFormat="1" applyFont="1" applyBorder="1" applyAlignment="1">
      <alignment horizontal="center" vertical="center" wrapText="1"/>
    </xf>
    <xf numFmtId="0" fontId="11"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8" borderId="1" xfId="0" applyFont="1" applyFill="1" applyBorder="1" applyAlignment="1">
      <alignment horizontal="center" vertical="center" wrapText="1"/>
    </xf>
    <xf numFmtId="167" fontId="13" fillId="5" borderId="1" xfId="0" applyNumberFormat="1" applyFont="1" applyFill="1" applyBorder="1" applyAlignment="1">
      <alignment horizontal="center" vertical="center" wrapText="1"/>
    </xf>
    <xf numFmtId="166" fontId="13" fillId="5" borderId="1" xfId="0" applyNumberFormat="1" applyFont="1" applyFill="1" applyBorder="1" applyAlignment="1">
      <alignment horizontal="center" vertical="center" wrapText="1"/>
    </xf>
    <xf numFmtId="167" fontId="13" fillId="0" borderId="1" xfId="0" applyNumberFormat="1" applyFont="1" applyBorder="1" applyAlignment="1">
      <alignment horizontal="center" vertical="center" wrapText="1"/>
    </xf>
    <xf numFmtId="166" fontId="13" fillId="0" borderId="1" xfId="0" applyNumberFormat="1" applyFont="1" applyBorder="1" applyAlignment="1">
      <alignment horizontal="center" vertical="center" wrapText="1"/>
    </xf>
    <xf numFmtId="0" fontId="13" fillId="7"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166" fontId="18" fillId="5" borderId="1" xfId="0" applyNumberFormat="1" applyFont="1" applyFill="1" applyBorder="1" applyAlignment="1">
      <alignment horizontal="center" vertical="center" wrapText="1"/>
    </xf>
    <xf numFmtId="166" fontId="18" fillId="0" borderId="1" xfId="0" applyNumberFormat="1" applyFont="1" applyBorder="1" applyAlignment="1">
      <alignment horizontal="center" vertical="center" wrapText="1"/>
    </xf>
    <xf numFmtId="0" fontId="16"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0" fontId="16" fillId="7" borderId="1" xfId="0" applyFont="1" applyFill="1" applyBorder="1" applyAlignment="1">
      <alignment horizontal="left" vertical="center" wrapText="1"/>
    </xf>
    <xf numFmtId="167" fontId="16" fillId="7" borderId="1" xfId="0" applyNumberFormat="1" applyFont="1" applyFill="1" applyBorder="1" applyAlignment="1">
      <alignment horizontal="center" vertical="center" wrapText="1"/>
    </xf>
    <xf numFmtId="168" fontId="11" fillId="5" borderId="1" xfId="0" applyNumberFormat="1" applyFont="1" applyFill="1" applyBorder="1" applyAlignment="1">
      <alignment horizontal="center" vertical="center" wrapText="1"/>
    </xf>
    <xf numFmtId="168" fontId="11" fillId="0" borderId="1" xfId="0" applyNumberFormat="1" applyFont="1" applyBorder="1" applyAlignment="1">
      <alignment horizontal="center" vertical="center" wrapText="1"/>
    </xf>
    <xf numFmtId="165" fontId="11" fillId="5" borderId="1" xfId="0" applyNumberFormat="1" applyFont="1" applyFill="1" applyBorder="1" applyAlignment="1">
      <alignment horizontal="center" vertical="center" wrapText="1"/>
    </xf>
    <xf numFmtId="165" fontId="11" fillId="0" borderId="1" xfId="0" applyNumberFormat="1" applyFont="1" applyBorder="1" applyAlignment="1">
      <alignment horizontal="center" vertical="center" wrapText="1"/>
    </xf>
    <xf numFmtId="164" fontId="11" fillId="5" borderId="1" xfId="0" applyNumberFormat="1" applyFont="1" applyFill="1" applyBorder="1" applyAlignment="1">
      <alignment horizontal="center" vertical="center" wrapText="1"/>
    </xf>
    <xf numFmtId="164" fontId="11" fillId="0" borderId="1" xfId="0" applyNumberFormat="1" applyFont="1" applyBorder="1" applyAlignment="1">
      <alignment horizontal="center" vertical="center" wrapText="1"/>
    </xf>
    <xf numFmtId="168" fontId="16" fillId="7" borderId="1" xfId="0" applyNumberFormat="1" applyFont="1" applyFill="1" applyBorder="1" applyAlignment="1">
      <alignment horizontal="center" vertical="center" wrapText="1"/>
    </xf>
    <xf numFmtId="0" fontId="16" fillId="6" borderId="1" xfId="0" applyFont="1" applyFill="1" applyBorder="1" applyAlignment="1">
      <alignment horizontal="left" vertical="center" wrapText="1"/>
    </xf>
    <xf numFmtId="164" fontId="11" fillId="6" borderId="1" xfId="0" applyNumberFormat="1" applyFont="1" applyFill="1" applyBorder="1" applyAlignment="1">
      <alignment horizontal="center" vertical="center" wrapText="1"/>
    </xf>
    <xf numFmtId="166" fontId="11" fillId="6" borderId="1" xfId="0" applyNumberFormat="1" applyFont="1" applyFill="1" applyBorder="1" applyAlignment="1">
      <alignment horizontal="center" vertical="center" wrapText="1"/>
    </xf>
    <xf numFmtId="168" fontId="13" fillId="5" borderId="1" xfId="0" applyNumberFormat="1" applyFont="1" applyFill="1" applyBorder="1" applyAlignment="1">
      <alignment horizontal="center" vertical="center" wrapText="1"/>
    </xf>
    <xf numFmtId="168" fontId="13" fillId="0" borderId="1" xfId="0" applyNumberFormat="1" applyFont="1" applyBorder="1" applyAlignment="1">
      <alignment horizontal="center" vertical="center" wrapText="1"/>
    </xf>
    <xf numFmtId="165" fontId="13" fillId="5" borderId="1" xfId="0" applyNumberFormat="1" applyFont="1" applyFill="1" applyBorder="1" applyAlignment="1">
      <alignment horizontal="center" vertical="center" wrapText="1"/>
    </xf>
    <xf numFmtId="165" fontId="13" fillId="0" borderId="1" xfId="0" applyNumberFormat="1" applyFont="1" applyBorder="1" applyAlignment="1">
      <alignment horizontal="center" vertical="center" wrapText="1"/>
    </xf>
    <xf numFmtId="0" fontId="8" fillId="0" borderId="0" xfId="0" applyFont="1" applyBorder="1" applyAlignment="1">
      <alignment horizontal="left" vertical="center" wrapText="1" inden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13" fillId="0" borderId="1" xfId="0" applyNumberFormat="1" applyFont="1" applyBorder="1" applyAlignment="1">
      <alignment horizontal="center" vertical="center" wrapText="1"/>
    </xf>
    <xf numFmtId="169" fontId="13" fillId="0" borderId="1" xfId="0" applyNumberFormat="1" applyFont="1" applyBorder="1" applyAlignment="1">
      <alignment horizontal="center" vertical="center" wrapText="1"/>
    </xf>
    <xf numFmtId="0" fontId="17" fillId="7" borderId="1" xfId="0" applyFont="1" applyFill="1" applyBorder="1" applyAlignment="1">
      <alignment horizontal="left" vertical="center" wrapText="1"/>
    </xf>
    <xf numFmtId="168" fontId="17" fillId="7" borderId="1" xfId="0" applyNumberFormat="1" applyFont="1" applyFill="1" applyBorder="1" applyAlignment="1">
      <alignment horizontal="center" vertical="center" wrapText="1"/>
    </xf>
    <xf numFmtId="165" fontId="17" fillId="7" borderId="1" xfId="0" applyNumberFormat="1" applyFont="1" applyFill="1" applyBorder="1" applyAlignment="1">
      <alignment horizontal="center" vertical="center" wrapText="1"/>
    </xf>
  </cellXfs>
  <cellStyles count="1">
    <cellStyle name="Normal" xfId="0" builtinId="0"/>
  </cellStyles>
  <dxfs count="8">
    <dxf>
      <fill>
        <patternFill>
          <bgColor rgb="FFC6E0B4"/>
        </patternFill>
      </fill>
    </dxf>
    <dxf>
      <fill>
        <patternFill>
          <bgColor rgb="FFFFE699"/>
        </patternFill>
      </fill>
    </dxf>
    <dxf>
      <fill>
        <patternFill>
          <bgColor rgb="FFF8CBAD"/>
        </patternFill>
      </fill>
    </dxf>
    <dxf>
      <fill>
        <patternFill>
          <bgColor rgb="FFFFE699"/>
        </patternFill>
      </fill>
    </dxf>
    <dxf>
      <fill>
        <patternFill>
          <bgColor rgb="FFF8CBAD"/>
        </patternFill>
      </fill>
    </dxf>
    <dxf>
      <fill>
        <patternFill>
          <bgColor rgb="FFF8CBAD"/>
        </patternFill>
      </fill>
    </dxf>
    <dxf>
      <fill>
        <patternFill>
          <bgColor rgb="FFC6E0B4"/>
        </patternFill>
      </fill>
    </dxf>
    <dxf>
      <fill>
        <patternFill>
          <bgColor rgb="FFC6E0B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showGridLines="0" zoomScaleNormal="100" workbookViewId="0">
      <selection activeCell="F9" sqref="F9"/>
    </sheetView>
  </sheetViews>
  <sheetFormatPr defaultColWidth="8.6640625" defaultRowHeight="14.4" x14ac:dyDescent="0.3"/>
  <cols>
    <col min="1" max="1" width="3" customWidth="1"/>
    <col min="2" max="2" width="20" customWidth="1"/>
    <col min="3" max="3" width="14" customWidth="1"/>
    <col min="4" max="9" width="12" customWidth="1"/>
    <col min="10" max="10" width="4" customWidth="1"/>
  </cols>
  <sheetData>
    <row r="1" spans="2:9" ht="21.75" customHeight="1" x14ac:dyDescent="0.3">
      <c r="B1" s="17" t="s">
        <v>0</v>
      </c>
      <c r="C1" s="17"/>
      <c r="D1" s="17"/>
      <c r="E1" s="17"/>
      <c r="F1" s="17"/>
      <c r="G1" s="17"/>
      <c r="H1" s="17"/>
      <c r="I1" s="17"/>
    </row>
    <row r="2" spans="2:9" ht="25.5" customHeight="1" x14ac:dyDescent="0.3">
      <c r="B2" s="26" t="s">
        <v>1</v>
      </c>
      <c r="C2" s="26"/>
      <c r="D2" s="26"/>
      <c r="E2" s="26"/>
      <c r="F2" s="26"/>
      <c r="G2" s="26"/>
      <c r="H2" s="26"/>
      <c r="I2" s="26"/>
    </row>
    <row r="3" spans="2:9" ht="6" customHeight="1" x14ac:dyDescent="0.3">
      <c r="B3" s="18"/>
      <c r="C3" s="18"/>
      <c r="D3" s="18"/>
      <c r="E3" s="18"/>
      <c r="F3" s="18"/>
      <c r="G3" s="18"/>
      <c r="H3" s="18"/>
      <c r="I3" s="18"/>
    </row>
    <row r="4" spans="2:9" ht="18" customHeight="1" x14ac:dyDescent="0.3">
      <c r="B4" s="19" t="s">
        <v>2</v>
      </c>
      <c r="C4" s="19"/>
      <c r="D4" s="19"/>
      <c r="E4" s="19"/>
      <c r="F4" s="19"/>
      <c r="G4" s="19"/>
      <c r="H4" s="19"/>
      <c r="I4" s="19"/>
    </row>
    <row r="5" spans="2:9" ht="27.75" customHeight="1" x14ac:dyDescent="0.3">
      <c r="B5" s="27" t="s">
        <v>3</v>
      </c>
      <c r="C5" s="27" t="s">
        <v>4</v>
      </c>
      <c r="D5" s="27" t="s">
        <v>5</v>
      </c>
      <c r="E5" s="27" t="s">
        <v>6</v>
      </c>
      <c r="F5" s="27" t="s">
        <v>7</v>
      </c>
      <c r="G5" s="27" t="s">
        <v>8</v>
      </c>
      <c r="H5" s="27" t="s">
        <v>9</v>
      </c>
      <c r="I5" s="27" t="s">
        <v>10</v>
      </c>
    </row>
    <row r="6" spans="2:9" x14ac:dyDescent="0.3">
      <c r="B6" s="28" t="s">
        <v>11</v>
      </c>
      <c r="C6" s="68">
        <v>12727.85</v>
      </c>
      <c r="D6" s="68">
        <v>-363.35</v>
      </c>
      <c r="E6" s="66">
        <f>IF(C6&lt;&gt;0,D6/C6,"-")</f>
        <v>-2.8547633732327143E-2</v>
      </c>
      <c r="F6" s="68">
        <v>13931.35</v>
      </c>
      <c r="G6" s="68">
        <v>9064.1</v>
      </c>
      <c r="H6" s="35">
        <f>IF(F6&lt;&gt;0,(C6-F6)/F6,"-")</f>
        <v>-8.638789492762726E-2</v>
      </c>
      <c r="I6" s="35">
        <f>IF(G6&lt;&gt;0,(C6-G6)/G6,"-")</f>
        <v>0.4042044990677508</v>
      </c>
    </row>
    <row r="7" spans="2:9" x14ac:dyDescent="0.3">
      <c r="B7" s="31" t="s">
        <v>12</v>
      </c>
      <c r="C7" s="69">
        <v>23824.1</v>
      </c>
      <c r="D7" s="69">
        <v>-278.8</v>
      </c>
      <c r="E7" s="67">
        <f>IF(C7&lt;&gt;0,D7/C7,"-")</f>
        <v>-1.1702435768822328E-2</v>
      </c>
      <c r="F7" s="69">
        <v>26373.200000000001</v>
      </c>
      <c r="G7" s="69">
        <v>22182.55</v>
      </c>
      <c r="H7" s="37">
        <f>IF(F7&lt;&gt;0,(C7-F7)/F7,"-")</f>
        <v>-9.6654937588157755E-2</v>
      </c>
      <c r="I7" s="37">
        <f>IF(G7&lt;&gt;0,(C7-G7)/G7,"-")</f>
        <v>7.4001861823820944E-2</v>
      </c>
    </row>
    <row r="8" spans="2:9" x14ac:dyDescent="0.3">
      <c r="B8" s="28" t="s">
        <v>13</v>
      </c>
      <c r="C8" s="68">
        <v>76578</v>
      </c>
      <c r="D8" s="68">
        <v>-512</v>
      </c>
      <c r="E8" s="66">
        <f>IF(C8&lt;&gt;0,D8/C8,"-")</f>
        <v>-6.6859933662409572E-3</v>
      </c>
      <c r="F8" s="68">
        <v>85978.25</v>
      </c>
      <c r="G8" s="68">
        <v>72664.990000000005</v>
      </c>
      <c r="H8" s="35">
        <f>IF(F8&lt;&gt;0,(C8-F8)/F8,"-")</f>
        <v>-0.10933288360719136</v>
      </c>
      <c r="I8" s="35">
        <f>IF(G8&lt;&gt;0,(C8-G8)/G8,"-")</f>
        <v>5.3850003970275021E-2</v>
      </c>
    </row>
    <row r="9" spans="2:9" x14ac:dyDescent="0.3">
      <c r="B9" s="31" t="s">
        <v>14</v>
      </c>
      <c r="C9" s="69">
        <v>57886.75</v>
      </c>
      <c r="D9" s="69">
        <v>-20.149999999999999</v>
      </c>
      <c r="E9" s="67">
        <f>IF(C9&lt;&gt;0,D9/C9,"-")</f>
        <v>-3.4809347562265975E-4</v>
      </c>
      <c r="F9" s="69">
        <v>61000</v>
      </c>
      <c r="G9" s="69">
        <v>54500</v>
      </c>
      <c r="H9" s="37">
        <f>IF(F9&lt;&gt;0,(C9-F9)/F9,"-")</f>
        <v>-5.1036885245901636E-2</v>
      </c>
      <c r="I9" s="37">
        <f>IF(G9&lt;&gt;0,(C9-G9)/G9,"-")</f>
        <v>6.2142201834862389E-2</v>
      </c>
    </row>
    <row r="10" spans="2:9" x14ac:dyDescent="0.3">
      <c r="B10" s="28" t="s">
        <v>15</v>
      </c>
      <c r="C10" s="68">
        <v>27.45</v>
      </c>
      <c r="D10" s="68">
        <v>0.13</v>
      </c>
      <c r="E10" s="66">
        <f>IF(C10&lt;&gt;0,D10/C10,"-")</f>
        <v>4.7358834244080146E-3</v>
      </c>
      <c r="F10" s="29" t="s">
        <v>16</v>
      </c>
      <c r="G10" s="29" t="s">
        <v>16</v>
      </c>
      <c r="H10" s="29" t="s">
        <v>16</v>
      </c>
      <c r="I10" s="29" t="s">
        <v>16</v>
      </c>
    </row>
    <row r="11" spans="2:9" x14ac:dyDescent="0.3">
      <c r="B11" s="31" t="s">
        <v>17</v>
      </c>
      <c r="C11" s="69">
        <v>94.47</v>
      </c>
      <c r="D11" s="32" t="s">
        <v>16</v>
      </c>
      <c r="E11" s="32" t="s">
        <v>16</v>
      </c>
      <c r="F11" s="32" t="s">
        <v>16</v>
      </c>
      <c r="G11" s="32" t="s">
        <v>16</v>
      </c>
      <c r="H11" s="32" t="s">
        <v>16</v>
      </c>
      <c r="I11" s="32" t="s">
        <v>16</v>
      </c>
    </row>
    <row r="12" spans="2:9" x14ac:dyDescent="0.3">
      <c r="B12" s="28" t="s">
        <v>18</v>
      </c>
      <c r="C12" s="68">
        <v>77.540000000000006</v>
      </c>
      <c r="D12" s="68">
        <v>-0.35</v>
      </c>
      <c r="E12" s="66">
        <f>IF(C12&lt;&gt;0,D12/C12,"-")</f>
        <v>-4.5137993293783846E-3</v>
      </c>
      <c r="F12" s="29" t="s">
        <v>16</v>
      </c>
      <c r="G12" s="29" t="s">
        <v>16</v>
      </c>
      <c r="H12" s="29" t="s">
        <v>16</v>
      </c>
      <c r="I12" s="29" t="s">
        <v>16</v>
      </c>
    </row>
    <row r="13" spans="2:9" x14ac:dyDescent="0.3">
      <c r="B13" s="31" t="s">
        <v>19</v>
      </c>
      <c r="C13" s="69">
        <v>77.540000000000006</v>
      </c>
      <c r="D13" s="32" t="s">
        <v>16</v>
      </c>
      <c r="E13" s="32" t="s">
        <v>16</v>
      </c>
      <c r="F13" s="32" t="s">
        <v>16</v>
      </c>
      <c r="G13" s="32" t="s">
        <v>16</v>
      </c>
      <c r="H13" s="32" t="s">
        <v>16</v>
      </c>
      <c r="I13" s="32" t="s">
        <v>16</v>
      </c>
    </row>
    <row r="14" spans="2:9" x14ac:dyDescent="0.3">
      <c r="B14" s="28" t="s">
        <v>20</v>
      </c>
      <c r="C14" s="68">
        <v>140000</v>
      </c>
      <c r="D14" s="29" t="s">
        <v>16</v>
      </c>
      <c r="E14" s="29" t="s">
        <v>16</v>
      </c>
      <c r="F14" s="29" t="s">
        <v>16</v>
      </c>
      <c r="G14" s="29" t="s">
        <v>16</v>
      </c>
      <c r="H14" s="29" t="s">
        <v>16</v>
      </c>
      <c r="I14" s="29" t="s">
        <v>16</v>
      </c>
    </row>
    <row r="15" spans="2:9" x14ac:dyDescent="0.3">
      <c r="B15" s="31" t="s">
        <v>21</v>
      </c>
      <c r="C15" s="69">
        <v>9850</v>
      </c>
      <c r="D15" s="32" t="s">
        <v>16</v>
      </c>
      <c r="E15" s="32" t="s">
        <v>16</v>
      </c>
      <c r="F15" s="32" t="s">
        <v>16</v>
      </c>
      <c r="G15" s="32" t="s">
        <v>16</v>
      </c>
      <c r="H15" s="32" t="s">
        <v>16</v>
      </c>
      <c r="I15" s="32" t="s">
        <v>16</v>
      </c>
    </row>
    <row r="16" spans="2:9" ht="15" customHeight="1" x14ac:dyDescent="0.3">
      <c r="B16" s="20" t="s">
        <v>22</v>
      </c>
      <c r="C16" s="20"/>
      <c r="D16" s="20"/>
      <c r="E16" s="20"/>
      <c r="F16" s="20"/>
      <c r="G16" s="20"/>
      <c r="H16" s="20"/>
      <c r="I16" s="20"/>
    </row>
    <row r="17" spans="2:9" x14ac:dyDescent="0.3">
      <c r="B17" s="18"/>
      <c r="C17" s="18"/>
      <c r="D17" s="18"/>
      <c r="E17" s="18"/>
      <c r="F17" s="18"/>
      <c r="G17" s="18"/>
      <c r="H17" s="18"/>
      <c r="I17" s="18"/>
    </row>
    <row r="18" spans="2:9" ht="18" customHeight="1" x14ac:dyDescent="0.3">
      <c r="B18" s="19" t="s">
        <v>23</v>
      </c>
      <c r="C18" s="19"/>
      <c r="D18" s="19"/>
      <c r="E18" s="19"/>
      <c r="F18" s="19"/>
      <c r="G18" s="19"/>
      <c r="H18" s="19"/>
      <c r="I18" s="19"/>
    </row>
    <row r="19" spans="2:9" ht="27.75" customHeight="1" x14ac:dyDescent="0.3">
      <c r="B19" s="27" t="s">
        <v>24</v>
      </c>
      <c r="C19" s="27" t="s">
        <v>25</v>
      </c>
      <c r="D19" s="27" t="s">
        <v>26</v>
      </c>
      <c r="E19" s="27" t="s">
        <v>27</v>
      </c>
      <c r="F19" s="27" t="s">
        <v>28</v>
      </c>
      <c r="G19" s="27" t="s">
        <v>29</v>
      </c>
      <c r="H19" s="27" t="s">
        <v>30</v>
      </c>
      <c r="I19" s="27" t="s">
        <v>31</v>
      </c>
    </row>
    <row r="20" spans="2:9" ht="27.6" x14ac:dyDescent="0.3">
      <c r="B20" s="30" t="s">
        <v>32</v>
      </c>
      <c r="C20" s="68">
        <v>13931.35</v>
      </c>
      <c r="D20" s="68">
        <f t="shared" ref="D20:D27" si="0">C20-12727.85</f>
        <v>1203.5</v>
      </c>
      <c r="E20" s="35">
        <f t="shared" ref="E20:E27" si="1">(C20-12727.85)/12727.85</f>
        <v>9.4556425476415892E-2</v>
      </c>
      <c r="F20" s="29" t="s">
        <v>33</v>
      </c>
      <c r="G20" s="29" t="s">
        <v>34</v>
      </c>
      <c r="H20" s="29" t="s">
        <v>35</v>
      </c>
      <c r="I20" s="29" t="s">
        <v>36</v>
      </c>
    </row>
    <row r="21" spans="2:9" ht="27.6" x14ac:dyDescent="0.3">
      <c r="B21" s="33" t="s">
        <v>37</v>
      </c>
      <c r="C21" s="69">
        <v>13500</v>
      </c>
      <c r="D21" s="69">
        <f t="shared" si="0"/>
        <v>772.14999999999964</v>
      </c>
      <c r="E21" s="37">
        <f t="shared" si="1"/>
        <v>6.0666176926975068E-2</v>
      </c>
      <c r="F21" s="32" t="s">
        <v>38</v>
      </c>
      <c r="G21" s="32" t="s">
        <v>39</v>
      </c>
      <c r="H21" s="32" t="s">
        <v>40</v>
      </c>
      <c r="I21" s="32" t="s">
        <v>41</v>
      </c>
    </row>
    <row r="22" spans="2:9" ht="27.6" x14ac:dyDescent="0.3">
      <c r="B22" s="30" t="s">
        <v>42</v>
      </c>
      <c r="C22" s="68">
        <v>13200</v>
      </c>
      <c r="D22" s="68">
        <f t="shared" si="0"/>
        <v>472.14999999999964</v>
      </c>
      <c r="E22" s="35">
        <f t="shared" si="1"/>
        <v>3.7095817439708953E-2</v>
      </c>
      <c r="F22" s="29" t="s">
        <v>43</v>
      </c>
      <c r="G22" s="29" t="s">
        <v>44</v>
      </c>
      <c r="H22" s="29" t="s">
        <v>45</v>
      </c>
      <c r="I22" s="29" t="s">
        <v>46</v>
      </c>
    </row>
    <row r="23" spans="2:9" ht="41.4" x14ac:dyDescent="0.3">
      <c r="B23" s="71" t="s">
        <v>47</v>
      </c>
      <c r="C23" s="72">
        <v>12727.85</v>
      </c>
      <c r="D23" s="72">
        <f t="shared" si="0"/>
        <v>0</v>
      </c>
      <c r="E23" s="73">
        <f t="shared" si="1"/>
        <v>0</v>
      </c>
      <c r="F23" s="39" t="s">
        <v>48</v>
      </c>
      <c r="G23" s="39" t="s">
        <v>16</v>
      </c>
      <c r="H23" s="39" t="s">
        <v>16</v>
      </c>
      <c r="I23" s="39" t="s">
        <v>16</v>
      </c>
    </row>
    <row r="24" spans="2:9" ht="41.4" x14ac:dyDescent="0.3">
      <c r="B24" s="30" t="s">
        <v>49</v>
      </c>
      <c r="C24" s="68">
        <v>12500</v>
      </c>
      <c r="D24" s="68">
        <f t="shared" si="0"/>
        <v>-227.85000000000036</v>
      </c>
      <c r="E24" s="35">
        <f t="shared" si="1"/>
        <v>-1.7901688030578643E-2</v>
      </c>
      <c r="F24" s="29" t="s">
        <v>50</v>
      </c>
      <c r="G24" s="29" t="s">
        <v>51</v>
      </c>
      <c r="H24" s="29" t="s">
        <v>52</v>
      </c>
      <c r="I24" s="29" t="s">
        <v>53</v>
      </c>
    </row>
    <row r="25" spans="2:9" ht="27.6" x14ac:dyDescent="0.3">
      <c r="B25" s="33" t="s">
        <v>54</v>
      </c>
      <c r="C25" s="69">
        <v>12200</v>
      </c>
      <c r="D25" s="69">
        <f t="shared" si="0"/>
        <v>-527.85000000000036</v>
      </c>
      <c r="E25" s="37">
        <f t="shared" si="1"/>
        <v>-4.1472047517844751E-2</v>
      </c>
      <c r="F25" s="32" t="s">
        <v>55</v>
      </c>
      <c r="G25" s="32" t="s">
        <v>56</v>
      </c>
      <c r="H25" s="32" t="s">
        <v>52</v>
      </c>
      <c r="I25" s="32" t="s">
        <v>46</v>
      </c>
    </row>
    <row r="26" spans="2:9" ht="27.6" x14ac:dyDescent="0.3">
      <c r="B26" s="30" t="s">
        <v>57</v>
      </c>
      <c r="C26" s="68">
        <v>9064.1</v>
      </c>
      <c r="D26" s="68">
        <f t="shared" si="0"/>
        <v>-3663.75</v>
      </c>
      <c r="E26" s="35">
        <f t="shared" si="1"/>
        <v>-0.28785301523823742</v>
      </c>
      <c r="F26" s="29" t="s">
        <v>58</v>
      </c>
      <c r="G26" s="29" t="s">
        <v>59</v>
      </c>
      <c r="H26" s="29" t="s">
        <v>40</v>
      </c>
      <c r="I26" s="29" t="s">
        <v>41</v>
      </c>
    </row>
    <row r="27" spans="2:9" ht="27.6" x14ac:dyDescent="0.3">
      <c r="B27" s="33" t="s">
        <v>60</v>
      </c>
      <c r="C27" s="69">
        <v>8500</v>
      </c>
      <c r="D27" s="69">
        <f t="shared" si="0"/>
        <v>-4227.8500000000004</v>
      </c>
      <c r="E27" s="37">
        <f t="shared" si="1"/>
        <v>-0.33217314786079349</v>
      </c>
      <c r="F27" s="32" t="s">
        <v>61</v>
      </c>
      <c r="G27" s="32" t="s">
        <v>62</v>
      </c>
      <c r="H27" s="32" t="s">
        <v>35</v>
      </c>
      <c r="I27" s="32" t="s">
        <v>36</v>
      </c>
    </row>
    <row r="28" spans="2:9" ht="15" customHeight="1" x14ac:dyDescent="0.3">
      <c r="B28" s="1" t="s">
        <v>63</v>
      </c>
      <c r="C28" s="1"/>
      <c r="D28" s="1"/>
      <c r="E28" s="1"/>
      <c r="F28" s="1"/>
      <c r="G28" s="1"/>
      <c r="H28" s="1"/>
      <c r="I28" s="1"/>
    </row>
  </sheetData>
  <mergeCells count="6">
    <mergeCell ref="B28:I28"/>
    <mergeCell ref="B1:I1"/>
    <mergeCell ref="B2:I2"/>
    <mergeCell ref="B4:I4"/>
    <mergeCell ref="B16:I16"/>
    <mergeCell ref="B18:I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23"/>
  <sheetViews>
    <sheetView showGridLines="0" zoomScaleNormal="100" workbookViewId="0">
      <selection activeCell="Q14" sqref="Q14"/>
    </sheetView>
  </sheetViews>
  <sheetFormatPr defaultColWidth="8.6640625" defaultRowHeight="14.4" x14ac:dyDescent="0.3"/>
  <cols>
    <col min="1" max="1" width="3" customWidth="1"/>
    <col min="2" max="2" width="20" customWidth="1"/>
    <col min="3" max="4" width="13" customWidth="1"/>
    <col min="5" max="6" width="11" customWidth="1"/>
    <col min="7" max="8" width="12" customWidth="1"/>
    <col min="9" max="10" width="11" customWidth="1"/>
    <col min="11" max="11" width="14" customWidth="1"/>
    <col min="12" max="12" width="11" customWidth="1"/>
    <col min="13" max="13" width="4" customWidth="1"/>
  </cols>
  <sheetData>
    <row r="1" spans="2:12" ht="21.75" customHeight="1" x14ac:dyDescent="0.3">
      <c r="B1" s="17" t="s">
        <v>64</v>
      </c>
      <c r="C1" s="17"/>
      <c r="D1" s="17"/>
      <c r="E1" s="17"/>
      <c r="F1" s="17"/>
      <c r="G1" s="17"/>
      <c r="H1" s="17"/>
      <c r="I1" s="17"/>
      <c r="J1" s="17"/>
      <c r="K1" s="17"/>
      <c r="L1" s="17"/>
    </row>
    <row r="2" spans="2:12" ht="15.75" customHeight="1" x14ac:dyDescent="0.3">
      <c r="B2" s="26" t="s">
        <v>65</v>
      </c>
      <c r="C2" s="26"/>
      <c r="D2" s="26"/>
      <c r="E2" s="26"/>
      <c r="F2" s="26"/>
      <c r="G2" s="26"/>
      <c r="H2" s="26"/>
      <c r="I2" s="26"/>
      <c r="J2" s="26"/>
      <c r="K2" s="26"/>
      <c r="L2" s="26"/>
    </row>
    <row r="3" spans="2:12" ht="6" customHeight="1" x14ac:dyDescent="0.3">
      <c r="B3" s="18"/>
      <c r="C3" s="18"/>
      <c r="D3" s="18"/>
      <c r="E3" s="18"/>
      <c r="F3" s="18"/>
      <c r="G3" s="18"/>
      <c r="H3" s="18"/>
      <c r="I3" s="18"/>
      <c r="J3" s="18"/>
      <c r="K3" s="18"/>
      <c r="L3" s="18"/>
    </row>
    <row r="4" spans="2:12" ht="18" customHeight="1" x14ac:dyDescent="0.3">
      <c r="B4" s="19" t="s">
        <v>66</v>
      </c>
      <c r="C4" s="19"/>
      <c r="D4" s="19"/>
      <c r="E4" s="19"/>
      <c r="F4" s="19"/>
      <c r="G4" s="19"/>
      <c r="H4" s="19"/>
      <c r="I4" s="19"/>
      <c r="J4" s="19"/>
      <c r="K4" s="19"/>
      <c r="L4" s="19"/>
    </row>
    <row r="5" spans="2:12" ht="27.75" customHeight="1" x14ac:dyDescent="0.3">
      <c r="B5" s="27" t="s">
        <v>67</v>
      </c>
      <c r="C5" s="27" t="s">
        <v>68</v>
      </c>
      <c r="D5" s="27" t="s">
        <v>69</v>
      </c>
      <c r="E5" s="27" t="s">
        <v>70</v>
      </c>
      <c r="F5" s="27" t="s">
        <v>71</v>
      </c>
      <c r="G5" s="27" t="s">
        <v>72</v>
      </c>
      <c r="H5" s="27" t="s">
        <v>73</v>
      </c>
      <c r="I5" s="27" t="s">
        <v>9</v>
      </c>
      <c r="J5" s="27" t="s">
        <v>10</v>
      </c>
      <c r="K5" s="27" t="s">
        <v>74</v>
      </c>
      <c r="L5" s="27" t="s">
        <v>75</v>
      </c>
    </row>
    <row r="6" spans="2:12" x14ac:dyDescent="0.3">
      <c r="B6" s="30" t="s">
        <v>76</v>
      </c>
      <c r="C6" s="68">
        <v>2964</v>
      </c>
      <c r="D6" s="68">
        <v>3050</v>
      </c>
      <c r="E6" s="68">
        <f t="shared" ref="E6:E20" si="0">C6-D6</f>
        <v>-86</v>
      </c>
      <c r="F6" s="66">
        <f t="shared" ref="F6:F20" si="1">IF(D6&lt;&gt;0,(C6-D6)/D6,"-")</f>
        <v>-2.8196721311475409E-2</v>
      </c>
      <c r="G6" s="68">
        <v>3500</v>
      </c>
      <c r="H6" s="68">
        <v>2200</v>
      </c>
      <c r="I6" s="35">
        <f t="shared" ref="I6:I20" si="2">IF(G6&lt;&gt;0,(C6-G6)/G6,"-")</f>
        <v>-0.15314285714285714</v>
      </c>
      <c r="J6" s="35">
        <f t="shared" ref="J6:J20" si="3">IF(H6&lt;&gt;0,(C6-H6)/H6,"-")</f>
        <v>0.34727272727272729</v>
      </c>
      <c r="K6" s="34">
        <v>385695.4</v>
      </c>
      <c r="L6" s="64">
        <v>38.6</v>
      </c>
    </row>
    <row r="7" spans="2:12" x14ac:dyDescent="0.3">
      <c r="B7" s="33" t="s">
        <v>77</v>
      </c>
      <c r="C7" s="69">
        <v>1241.25</v>
      </c>
      <c r="D7" s="69">
        <v>1275</v>
      </c>
      <c r="E7" s="69">
        <f t="shared" si="0"/>
        <v>-33.75</v>
      </c>
      <c r="F7" s="67">
        <f t="shared" si="1"/>
        <v>-2.6470588235294117E-2</v>
      </c>
      <c r="G7" s="69">
        <v>1500</v>
      </c>
      <c r="H7" s="69">
        <v>850</v>
      </c>
      <c r="I7" s="37">
        <f t="shared" si="2"/>
        <v>-0.17249999999999999</v>
      </c>
      <c r="J7" s="37">
        <f t="shared" si="3"/>
        <v>0.4602941176470588</v>
      </c>
      <c r="K7" s="36">
        <v>303542</v>
      </c>
      <c r="L7" s="65">
        <v>33.380000000000003</v>
      </c>
    </row>
    <row r="8" spans="2:12" x14ac:dyDescent="0.3">
      <c r="B8" s="30" t="s">
        <v>78</v>
      </c>
      <c r="C8" s="68">
        <v>193.65</v>
      </c>
      <c r="D8" s="68">
        <v>198.9</v>
      </c>
      <c r="E8" s="68">
        <f t="shared" si="0"/>
        <v>-5.25</v>
      </c>
      <c r="F8" s="66">
        <f t="shared" si="1"/>
        <v>-2.6395173453996983E-2</v>
      </c>
      <c r="G8" s="68">
        <v>280</v>
      </c>
      <c r="H8" s="68">
        <v>145</v>
      </c>
      <c r="I8" s="35">
        <f t="shared" si="2"/>
        <v>-0.30839285714285714</v>
      </c>
      <c r="J8" s="35">
        <f t="shared" si="3"/>
        <v>0.33551724137931038</v>
      </c>
      <c r="K8" s="34">
        <v>241743.5</v>
      </c>
      <c r="L8" s="64">
        <v>21.41</v>
      </c>
    </row>
    <row r="9" spans="2:12" x14ac:dyDescent="0.3">
      <c r="B9" s="33" t="s">
        <v>79</v>
      </c>
      <c r="C9" s="69">
        <v>546.79999999999995</v>
      </c>
      <c r="D9" s="69">
        <v>560</v>
      </c>
      <c r="E9" s="69">
        <f t="shared" si="0"/>
        <v>-13.200000000000045</v>
      </c>
      <c r="F9" s="67">
        <f t="shared" si="1"/>
        <v>-2.3571428571428653E-2</v>
      </c>
      <c r="G9" s="69">
        <v>650</v>
      </c>
      <c r="H9" s="69">
        <v>380</v>
      </c>
      <c r="I9" s="37">
        <f t="shared" si="2"/>
        <v>-0.15876923076923083</v>
      </c>
      <c r="J9" s="37">
        <f t="shared" si="3"/>
        <v>0.43894736842105253</v>
      </c>
      <c r="K9" s="36">
        <v>231768.26</v>
      </c>
      <c r="L9" s="65">
        <v>16.97</v>
      </c>
    </row>
    <row r="10" spans="2:12" x14ac:dyDescent="0.3">
      <c r="B10" s="30" t="s">
        <v>80</v>
      </c>
      <c r="C10" s="68">
        <v>986.8</v>
      </c>
      <c r="D10" s="68">
        <v>1010</v>
      </c>
      <c r="E10" s="68">
        <f t="shared" si="0"/>
        <v>-23.200000000000045</v>
      </c>
      <c r="F10" s="66">
        <f t="shared" si="1"/>
        <v>-2.2970297029703015E-2</v>
      </c>
      <c r="G10" s="68">
        <v>1200</v>
      </c>
      <c r="H10" s="68">
        <v>650</v>
      </c>
      <c r="I10" s="35">
        <f t="shared" si="2"/>
        <v>-0.17766666666666669</v>
      </c>
      <c r="J10" s="35">
        <f t="shared" si="3"/>
        <v>0.51815384615384608</v>
      </c>
      <c r="K10" s="34">
        <v>221701.66</v>
      </c>
      <c r="L10" s="64">
        <v>12.66</v>
      </c>
    </row>
    <row r="11" spans="2:12" x14ac:dyDescent="0.3">
      <c r="B11" s="33" t="s">
        <v>81</v>
      </c>
      <c r="C11" s="69">
        <v>1082.3499999999999</v>
      </c>
      <c r="D11" s="69">
        <v>1110</v>
      </c>
      <c r="E11" s="69">
        <f t="shared" si="0"/>
        <v>-27.650000000000091</v>
      </c>
      <c r="F11" s="67">
        <f t="shared" si="1"/>
        <v>-2.4909909909909992E-2</v>
      </c>
      <c r="G11" s="69">
        <v>1400</v>
      </c>
      <c r="H11" s="69">
        <v>700</v>
      </c>
      <c r="I11" s="37">
        <f t="shared" si="2"/>
        <v>-0.2268928571428572</v>
      </c>
      <c r="J11" s="37">
        <f t="shared" si="3"/>
        <v>0.54621428571428554</v>
      </c>
      <c r="K11" s="36">
        <v>110409.33</v>
      </c>
      <c r="L11" s="65">
        <v>27.32</v>
      </c>
    </row>
    <row r="12" spans="2:12" x14ac:dyDescent="0.3">
      <c r="B12" s="30" t="s">
        <v>82</v>
      </c>
      <c r="C12" s="68">
        <v>281.89999999999998</v>
      </c>
      <c r="D12" s="68">
        <v>290</v>
      </c>
      <c r="E12" s="68">
        <f t="shared" si="0"/>
        <v>-8.1000000000000227</v>
      </c>
      <c r="F12" s="66">
        <f t="shared" si="1"/>
        <v>-2.7931034482758698E-2</v>
      </c>
      <c r="G12" s="68">
        <v>420</v>
      </c>
      <c r="H12" s="68">
        <v>180</v>
      </c>
      <c r="I12" s="35">
        <f t="shared" si="2"/>
        <v>-0.32880952380952388</v>
      </c>
      <c r="J12" s="35">
        <f t="shared" si="3"/>
        <v>0.56611111111111101</v>
      </c>
      <c r="K12" s="34">
        <v>110233.93</v>
      </c>
      <c r="L12" s="64">
        <v>12.83</v>
      </c>
    </row>
    <row r="13" spans="2:12" x14ac:dyDescent="0.3">
      <c r="B13" s="33" t="s">
        <v>83</v>
      </c>
      <c r="C13" s="69">
        <v>1767.2</v>
      </c>
      <c r="D13" s="69">
        <v>1815</v>
      </c>
      <c r="E13" s="69">
        <f t="shared" si="0"/>
        <v>-47.799999999999955</v>
      </c>
      <c r="F13" s="67">
        <f t="shared" si="1"/>
        <v>-2.6336088154269948E-2</v>
      </c>
      <c r="G13" s="69">
        <v>2200</v>
      </c>
      <c r="H13" s="69">
        <v>1200</v>
      </c>
      <c r="I13" s="37">
        <f t="shared" si="2"/>
        <v>-0.1967272727272727</v>
      </c>
      <c r="J13" s="37">
        <f t="shared" si="3"/>
        <v>0.47266666666666668</v>
      </c>
      <c r="K13" s="36">
        <v>99455.37</v>
      </c>
      <c r="L13" s="65">
        <v>31.27</v>
      </c>
    </row>
    <row r="14" spans="2:12" x14ac:dyDescent="0.3">
      <c r="B14" s="30" t="s">
        <v>84</v>
      </c>
      <c r="C14" s="68">
        <v>85.2</v>
      </c>
      <c r="D14" s="68">
        <v>87.5</v>
      </c>
      <c r="E14" s="68">
        <f t="shared" si="0"/>
        <v>-2.2999999999999972</v>
      </c>
      <c r="F14" s="66">
        <f t="shared" si="1"/>
        <v>-2.6285714285714253E-2</v>
      </c>
      <c r="G14" s="68">
        <v>130</v>
      </c>
      <c r="H14" s="68">
        <v>55</v>
      </c>
      <c r="I14" s="35">
        <f t="shared" si="2"/>
        <v>-0.3446153846153846</v>
      </c>
      <c r="J14" s="35">
        <f t="shared" si="3"/>
        <v>0.54909090909090918</v>
      </c>
      <c r="K14" s="34">
        <v>74906.2</v>
      </c>
      <c r="L14" s="64">
        <v>10.19</v>
      </c>
    </row>
    <row r="15" spans="2:12" x14ac:dyDescent="0.3">
      <c r="B15" s="33" t="s">
        <v>85</v>
      </c>
      <c r="C15" s="69">
        <v>169.05</v>
      </c>
      <c r="D15" s="69">
        <v>173.5</v>
      </c>
      <c r="E15" s="69">
        <f t="shared" si="0"/>
        <v>-4.4499999999999886</v>
      </c>
      <c r="F15" s="67">
        <f t="shared" si="1"/>
        <v>-2.5648414985590711E-2</v>
      </c>
      <c r="G15" s="69">
        <v>250</v>
      </c>
      <c r="H15" s="69">
        <v>110</v>
      </c>
      <c r="I15" s="37">
        <f t="shared" si="2"/>
        <v>-0.32379999999999998</v>
      </c>
      <c r="J15" s="37">
        <f t="shared" si="3"/>
        <v>0.53681818181818197</v>
      </c>
      <c r="K15" s="36">
        <v>69826.539999999994</v>
      </c>
      <c r="L15" s="65">
        <v>18.170000000000002</v>
      </c>
    </row>
    <row r="16" spans="2:12" x14ac:dyDescent="0.3">
      <c r="B16" s="30" t="s">
        <v>86</v>
      </c>
      <c r="C16" s="68">
        <v>355.35</v>
      </c>
      <c r="D16" s="68">
        <v>364</v>
      </c>
      <c r="E16" s="68">
        <f t="shared" si="0"/>
        <v>-8.6499999999999773</v>
      </c>
      <c r="F16" s="66">
        <f t="shared" si="1"/>
        <v>-2.37637362637362E-2</v>
      </c>
      <c r="G16" s="68">
        <v>500</v>
      </c>
      <c r="H16" s="68">
        <v>220</v>
      </c>
      <c r="I16" s="35">
        <f t="shared" si="2"/>
        <v>-0.28929999999999995</v>
      </c>
      <c r="J16" s="35">
        <f t="shared" si="3"/>
        <v>0.61522727272727284</v>
      </c>
      <c r="K16" s="34">
        <v>65264.73</v>
      </c>
      <c r="L16" s="64">
        <v>11.19</v>
      </c>
    </row>
    <row r="17" spans="2:12" x14ac:dyDescent="0.3">
      <c r="B17" s="33" t="s">
        <v>87</v>
      </c>
      <c r="C17" s="69">
        <v>692.85</v>
      </c>
      <c r="D17" s="69">
        <v>710</v>
      </c>
      <c r="E17" s="69">
        <f t="shared" si="0"/>
        <v>-17.149999999999977</v>
      </c>
      <c r="F17" s="67">
        <f t="shared" si="1"/>
        <v>-2.4154929577464755E-2</v>
      </c>
      <c r="G17" s="69">
        <v>900</v>
      </c>
      <c r="H17" s="69">
        <v>450</v>
      </c>
      <c r="I17" s="37">
        <f t="shared" si="2"/>
        <v>-0.23016666666666663</v>
      </c>
      <c r="J17" s="37">
        <f t="shared" si="3"/>
        <v>0.53966666666666674</v>
      </c>
      <c r="K17" s="36">
        <v>57119.93</v>
      </c>
      <c r="L17" s="65">
        <v>17.71</v>
      </c>
    </row>
    <row r="18" spans="2:12" x14ac:dyDescent="0.3">
      <c r="B18" s="30" t="s">
        <v>88</v>
      </c>
      <c r="C18" s="68">
        <v>1843.65</v>
      </c>
      <c r="D18" s="68">
        <v>1890</v>
      </c>
      <c r="E18" s="68">
        <f t="shared" si="0"/>
        <v>-46.349999999999909</v>
      </c>
      <c r="F18" s="66">
        <f t="shared" si="1"/>
        <v>-2.4523809523809476E-2</v>
      </c>
      <c r="G18" s="68">
        <v>2300</v>
      </c>
      <c r="H18" s="68">
        <v>1100</v>
      </c>
      <c r="I18" s="35">
        <f t="shared" si="2"/>
        <v>-0.19841304347826083</v>
      </c>
      <c r="J18" s="35">
        <f t="shared" si="3"/>
        <v>0.67604545454545462</v>
      </c>
      <c r="K18" s="34">
        <v>51225.01</v>
      </c>
      <c r="L18" s="64">
        <v>42.58</v>
      </c>
    </row>
    <row r="19" spans="2:12" x14ac:dyDescent="0.3">
      <c r="B19" s="33" t="s">
        <v>89</v>
      </c>
      <c r="C19" s="69">
        <v>500.25</v>
      </c>
      <c r="D19" s="69">
        <v>512</v>
      </c>
      <c r="E19" s="69">
        <f t="shared" si="0"/>
        <v>-11.75</v>
      </c>
      <c r="F19" s="67">
        <f t="shared" si="1"/>
        <v>-2.294921875E-2</v>
      </c>
      <c r="G19" s="69">
        <v>700</v>
      </c>
      <c r="H19" s="69">
        <v>300</v>
      </c>
      <c r="I19" s="37">
        <f t="shared" si="2"/>
        <v>-0.28535714285714286</v>
      </c>
      <c r="J19" s="37">
        <f t="shared" si="3"/>
        <v>0.66749999999999998</v>
      </c>
      <c r="K19" s="36">
        <v>48323.34</v>
      </c>
      <c r="L19" s="65">
        <v>48.82</v>
      </c>
    </row>
    <row r="20" spans="2:12" x14ac:dyDescent="0.3">
      <c r="B20" s="30" t="s">
        <v>90</v>
      </c>
      <c r="C20" s="68">
        <v>1412</v>
      </c>
      <c r="D20" s="68">
        <v>1448</v>
      </c>
      <c r="E20" s="68">
        <f t="shared" si="0"/>
        <v>-36</v>
      </c>
      <c r="F20" s="66">
        <f t="shared" si="1"/>
        <v>-2.4861878453038673E-2</v>
      </c>
      <c r="G20" s="68">
        <v>1800</v>
      </c>
      <c r="H20" s="68">
        <v>800</v>
      </c>
      <c r="I20" s="35">
        <f t="shared" si="2"/>
        <v>-0.21555555555555556</v>
      </c>
      <c r="J20" s="35">
        <f t="shared" si="3"/>
        <v>0.76500000000000001</v>
      </c>
      <c r="K20" s="34">
        <v>37247.29</v>
      </c>
      <c r="L20" s="64">
        <v>23.09</v>
      </c>
    </row>
    <row r="21" spans="2:12" x14ac:dyDescent="0.3">
      <c r="B21" s="62" t="s">
        <v>91</v>
      </c>
      <c r="C21" s="38"/>
      <c r="D21" s="38"/>
      <c r="E21" s="38"/>
      <c r="F21" s="38"/>
      <c r="G21" s="38"/>
      <c r="H21" s="38"/>
      <c r="I21" s="38"/>
      <c r="J21" s="38"/>
      <c r="K21" s="63">
        <f>SUM(K6:K20)</f>
        <v>2108462.4900000002</v>
      </c>
      <c r="L21" s="70">
        <f>AVERAGE(L6:L20)</f>
        <v>24.412666666666667</v>
      </c>
    </row>
    <row r="22" spans="2:12" x14ac:dyDescent="0.3">
      <c r="B22" s="18"/>
      <c r="C22" s="18"/>
      <c r="D22" s="18"/>
      <c r="E22" s="18"/>
      <c r="F22" s="18"/>
      <c r="G22" s="18"/>
      <c r="H22" s="18"/>
      <c r="I22" s="18"/>
      <c r="J22" s="18"/>
      <c r="K22" s="18"/>
      <c r="L22" s="18"/>
    </row>
    <row r="23" spans="2:12" ht="15" customHeight="1" x14ac:dyDescent="0.3">
      <c r="B23" s="20" t="s">
        <v>92</v>
      </c>
      <c r="C23" s="20"/>
      <c r="D23" s="20"/>
      <c r="E23" s="20"/>
      <c r="F23" s="20"/>
      <c r="G23" s="20"/>
      <c r="H23" s="20"/>
      <c r="I23" s="20"/>
      <c r="J23" s="20"/>
      <c r="K23" s="20"/>
      <c r="L23" s="20"/>
    </row>
  </sheetData>
  <mergeCells count="4">
    <mergeCell ref="B1:L1"/>
    <mergeCell ref="B2:L2"/>
    <mergeCell ref="B4:L4"/>
    <mergeCell ref="B23:L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5"/>
  <sheetViews>
    <sheetView showGridLines="0" topLeftCell="A17" zoomScaleNormal="100" workbookViewId="0">
      <selection activeCell="B14" sqref="B14:K14"/>
    </sheetView>
  </sheetViews>
  <sheetFormatPr defaultColWidth="8.6640625" defaultRowHeight="14.4" x14ac:dyDescent="0.3"/>
  <cols>
    <col min="1" max="1" width="3" customWidth="1"/>
    <col min="2" max="2" width="20" customWidth="1"/>
    <col min="3" max="10" width="12" customWidth="1"/>
    <col min="11" max="11" width="16" customWidth="1"/>
    <col min="12" max="12" width="4" customWidth="1"/>
  </cols>
  <sheetData>
    <row r="1" spans="2:11" ht="21.75" customHeight="1" x14ac:dyDescent="0.3">
      <c r="B1" s="17" t="s">
        <v>93</v>
      </c>
      <c r="C1" s="17"/>
      <c r="D1" s="17"/>
      <c r="E1" s="17"/>
      <c r="F1" s="17"/>
      <c r="G1" s="17"/>
      <c r="H1" s="17"/>
      <c r="I1" s="17"/>
      <c r="J1" s="17"/>
      <c r="K1" s="17"/>
    </row>
    <row r="2" spans="2:11" ht="6" customHeight="1" x14ac:dyDescent="0.3">
      <c r="B2" s="18"/>
      <c r="C2" s="18"/>
      <c r="D2" s="18"/>
      <c r="E2" s="18"/>
      <c r="F2" s="18"/>
      <c r="G2" s="18"/>
      <c r="H2" s="18"/>
      <c r="I2" s="18"/>
      <c r="J2" s="18"/>
      <c r="K2" s="18"/>
    </row>
    <row r="3" spans="2:11" ht="18" customHeight="1" x14ac:dyDescent="0.3">
      <c r="B3" s="19" t="s">
        <v>94</v>
      </c>
      <c r="C3" s="19"/>
      <c r="D3" s="19"/>
      <c r="E3" s="19"/>
      <c r="F3" s="19"/>
      <c r="G3" s="19"/>
      <c r="H3" s="19"/>
      <c r="I3" s="19"/>
      <c r="J3" s="19"/>
      <c r="K3" s="19"/>
    </row>
    <row r="4" spans="2:11" ht="27.75" customHeight="1" x14ac:dyDescent="0.3">
      <c r="B4" s="40" t="s">
        <v>95</v>
      </c>
      <c r="C4" s="40" t="s">
        <v>96</v>
      </c>
      <c r="D4" s="40" t="s">
        <v>97</v>
      </c>
      <c r="E4" s="40" t="s">
        <v>98</v>
      </c>
      <c r="F4" s="40" t="s">
        <v>99</v>
      </c>
      <c r="G4" s="40" t="s">
        <v>100</v>
      </c>
      <c r="H4" s="40" t="s">
        <v>101</v>
      </c>
      <c r="I4" s="40" t="s">
        <v>102</v>
      </c>
      <c r="J4" s="40" t="s">
        <v>103</v>
      </c>
      <c r="K4" s="40" t="s">
        <v>104</v>
      </c>
    </row>
    <row r="5" spans="2:11" x14ac:dyDescent="0.3">
      <c r="B5" s="43" t="s">
        <v>105</v>
      </c>
      <c r="C5" s="74">
        <v>19.2</v>
      </c>
      <c r="D5" s="74">
        <v>22.5</v>
      </c>
      <c r="E5" s="74">
        <v>21</v>
      </c>
      <c r="F5" s="74">
        <v>28</v>
      </c>
      <c r="G5" s="74">
        <v>16</v>
      </c>
      <c r="H5" s="49">
        <f t="shared" ref="H5:H12" si="0">IF(D5&lt;&gt;0,(C5-D5)/ABS(D5),"-")</f>
        <v>-0.1466666666666667</v>
      </c>
      <c r="I5" s="49">
        <f t="shared" ref="I5:I12" si="1">IF(E5&lt;&gt;0,(C5-E5)/ABS(E5),"-")</f>
        <v>-8.5714285714285743E-2</v>
      </c>
      <c r="J5" s="49">
        <f t="shared" ref="J5:J12" si="2">IF(F5&lt;&gt;0,(C5-F5)/ABS(F5),"-")</f>
        <v>-0.31428571428571433</v>
      </c>
      <c r="K5" s="42" t="str">
        <f>IF(H5="-","-",IF(H5&lt;=-0.1,"CHEAP",IF(H5&gt;=0.1,"EXPENSIVE","FAIR")))</f>
        <v>CHEAP</v>
      </c>
    </row>
    <row r="6" spans="2:11" x14ac:dyDescent="0.3">
      <c r="B6" s="46" t="s">
        <v>106</v>
      </c>
      <c r="C6" s="75">
        <v>3.18</v>
      </c>
      <c r="D6" s="75">
        <v>4.2</v>
      </c>
      <c r="E6" s="75">
        <v>3.8</v>
      </c>
      <c r="F6" s="75">
        <v>5.5</v>
      </c>
      <c r="G6" s="75">
        <v>2.8</v>
      </c>
      <c r="H6" s="51">
        <f t="shared" si="0"/>
        <v>-0.24285714285714285</v>
      </c>
      <c r="I6" s="51">
        <f t="shared" si="1"/>
        <v>-0.16315789473684203</v>
      </c>
      <c r="J6" s="51">
        <f t="shared" si="2"/>
        <v>-0.42181818181818181</v>
      </c>
      <c r="K6" s="45" t="str">
        <f>IF(H6="-","-",IF(H6&lt;=-0.1,"CHEAP",IF(H6&gt;=0.1,"EXPENSIVE","FAIR")))</f>
        <v>CHEAP</v>
      </c>
    </row>
    <row r="7" spans="2:11" x14ac:dyDescent="0.3">
      <c r="B7" s="43" t="s">
        <v>107</v>
      </c>
      <c r="C7" s="74">
        <v>8.5</v>
      </c>
      <c r="D7" s="74">
        <v>10.5</v>
      </c>
      <c r="E7" s="74">
        <v>9.5</v>
      </c>
      <c r="F7" s="74">
        <v>12</v>
      </c>
      <c r="G7" s="74">
        <v>7</v>
      </c>
      <c r="H7" s="49">
        <f t="shared" si="0"/>
        <v>-0.19047619047619047</v>
      </c>
      <c r="I7" s="49">
        <f t="shared" si="1"/>
        <v>-0.10526315789473684</v>
      </c>
      <c r="J7" s="49">
        <f t="shared" si="2"/>
        <v>-0.29166666666666669</v>
      </c>
      <c r="K7" s="42" t="str">
        <f>IF(H7="-","-",IF(H7&lt;=-0.1,"CHEAP",IF(H7&gt;=0.1,"EXPENSIVE","FAIR")))</f>
        <v>CHEAP</v>
      </c>
    </row>
    <row r="8" spans="2:11" x14ac:dyDescent="0.3">
      <c r="B8" s="46" t="s">
        <v>108</v>
      </c>
      <c r="C8" s="75">
        <v>2.2000000000000002</v>
      </c>
      <c r="D8" s="75">
        <v>2.8</v>
      </c>
      <c r="E8" s="75">
        <v>2.5</v>
      </c>
      <c r="F8" s="75">
        <v>3.5</v>
      </c>
      <c r="G8" s="75">
        <v>1.8</v>
      </c>
      <c r="H8" s="51">
        <f t="shared" si="0"/>
        <v>-0.21428571428571416</v>
      </c>
      <c r="I8" s="51">
        <f t="shared" si="1"/>
        <v>-0.11999999999999993</v>
      </c>
      <c r="J8" s="51">
        <f t="shared" si="2"/>
        <v>-0.37142857142857139</v>
      </c>
      <c r="K8" s="45" t="str">
        <f>IF(H8="-","-",IF(H8&lt;=-0.1,"CHEAP",IF(H8&gt;=0.1,"EXPENSIVE","FAIR")))</f>
        <v>CHEAP</v>
      </c>
    </row>
    <row r="9" spans="2:11" x14ac:dyDescent="0.3">
      <c r="B9" s="43" t="s">
        <v>109</v>
      </c>
      <c r="C9" s="76">
        <v>1.5900000000000001E-2</v>
      </c>
      <c r="D9" s="76">
        <v>1.2E-2</v>
      </c>
      <c r="E9" s="76">
        <v>0.01</v>
      </c>
      <c r="F9" s="76">
        <v>8.0000000000000002E-3</v>
      </c>
      <c r="G9" s="76">
        <v>1.7999999999999999E-2</v>
      </c>
      <c r="H9" s="49">
        <f t="shared" si="0"/>
        <v>0.32500000000000007</v>
      </c>
      <c r="I9" s="49">
        <f t="shared" si="1"/>
        <v>0.59000000000000008</v>
      </c>
      <c r="J9" s="49">
        <f t="shared" si="2"/>
        <v>0.98750000000000004</v>
      </c>
      <c r="K9" s="42" t="str">
        <f>IF(H9="-","-",IF(H9&gt;=0.1,"ATTRACTIVE",IF(H9&lt;=-0.1,"WEAK","FAIR")))</f>
        <v>ATTRACTIVE</v>
      </c>
    </row>
    <row r="10" spans="2:11" x14ac:dyDescent="0.3">
      <c r="B10" s="46" t="s">
        <v>110</v>
      </c>
      <c r="C10" s="75">
        <v>1.8</v>
      </c>
      <c r="D10" s="75">
        <v>2.2000000000000002</v>
      </c>
      <c r="E10" s="75">
        <v>2</v>
      </c>
      <c r="F10" s="75">
        <v>2.8</v>
      </c>
      <c r="G10" s="75">
        <v>1.5</v>
      </c>
      <c r="H10" s="51">
        <f t="shared" si="0"/>
        <v>-0.18181818181818185</v>
      </c>
      <c r="I10" s="51">
        <f t="shared" si="1"/>
        <v>-9.9999999999999978E-2</v>
      </c>
      <c r="J10" s="51">
        <f t="shared" si="2"/>
        <v>-0.3571428571428571</v>
      </c>
      <c r="K10" s="45" t="str">
        <f>IF(H10="-","-",IF(H10&lt;=-0.1,"CHEAP",IF(H10&gt;=0.1,"EXPENSIVE","FAIR")))</f>
        <v>CHEAP</v>
      </c>
    </row>
    <row r="11" spans="2:11" x14ac:dyDescent="0.3">
      <c r="B11" s="43" t="s">
        <v>111</v>
      </c>
      <c r="C11" s="74">
        <v>2.1</v>
      </c>
      <c r="D11" s="74">
        <v>2.6</v>
      </c>
      <c r="E11" s="74">
        <v>2.4</v>
      </c>
      <c r="F11" s="74">
        <v>3.2</v>
      </c>
      <c r="G11" s="74">
        <v>1.8</v>
      </c>
      <c r="H11" s="49">
        <f t="shared" si="0"/>
        <v>-0.19230769230769229</v>
      </c>
      <c r="I11" s="49">
        <f t="shared" si="1"/>
        <v>-0.12499999999999993</v>
      </c>
      <c r="J11" s="49">
        <f t="shared" si="2"/>
        <v>-0.34375</v>
      </c>
      <c r="K11" s="42" t="str">
        <f>IF(H11="-","-",IF(H11&lt;=-0.1,"CHEAP",IF(H11&gt;=0.1,"EXPENSIVE","FAIR")))</f>
        <v>CHEAP</v>
      </c>
    </row>
    <row r="12" spans="2:11" x14ac:dyDescent="0.3">
      <c r="B12" s="46" t="s">
        <v>112</v>
      </c>
      <c r="C12" s="77">
        <v>3.2000000000000001E-2</v>
      </c>
      <c r="D12" s="77">
        <v>2.8000000000000001E-2</v>
      </c>
      <c r="E12" s="77">
        <v>2.5000000000000001E-2</v>
      </c>
      <c r="F12" s="77">
        <v>1.7999999999999999E-2</v>
      </c>
      <c r="G12" s="77">
        <v>3.5000000000000003E-2</v>
      </c>
      <c r="H12" s="51">
        <f t="shared" si="0"/>
        <v>0.14285714285714285</v>
      </c>
      <c r="I12" s="51">
        <f t="shared" si="1"/>
        <v>0.27999999999999997</v>
      </c>
      <c r="J12" s="51">
        <f t="shared" si="2"/>
        <v>0.7777777777777779</v>
      </c>
      <c r="K12" s="45" t="str">
        <f>IF(H12="-","-",IF(H12&gt;=0.1,"ATTRACTIVE",IF(H12&lt;=-0.1,"WEAK","FAIR")))</f>
        <v>ATTRACTIVE</v>
      </c>
    </row>
    <row r="13" spans="2:11" x14ac:dyDescent="0.3">
      <c r="B13" s="18"/>
      <c r="C13" s="18"/>
      <c r="D13" s="18"/>
      <c r="E13" s="18"/>
      <c r="F13" s="18"/>
      <c r="G13" s="18"/>
      <c r="H13" s="18"/>
      <c r="I13" s="18"/>
      <c r="J13" s="18"/>
      <c r="K13" s="18"/>
    </row>
    <row r="14" spans="2:11" ht="15" customHeight="1" x14ac:dyDescent="0.3">
      <c r="B14" s="78" t="s">
        <v>113</v>
      </c>
      <c r="C14" s="78"/>
      <c r="D14" s="78"/>
      <c r="E14" s="78"/>
      <c r="F14" s="78"/>
      <c r="G14" s="78"/>
      <c r="H14" s="78"/>
      <c r="I14" s="78"/>
      <c r="J14" s="78"/>
      <c r="K14" s="78"/>
    </row>
    <row r="15" spans="2:11" x14ac:dyDescent="0.3">
      <c r="B15" s="18"/>
      <c r="C15" s="18"/>
      <c r="D15" s="18"/>
      <c r="E15" s="18"/>
      <c r="F15" s="18"/>
      <c r="G15" s="18"/>
      <c r="H15" s="18"/>
      <c r="I15" s="18"/>
      <c r="J15" s="18"/>
      <c r="K15" s="18"/>
    </row>
    <row r="16" spans="2:11" ht="18" customHeight="1" x14ac:dyDescent="0.3">
      <c r="B16" s="19" t="s">
        <v>114</v>
      </c>
      <c r="C16" s="19"/>
      <c r="D16" s="19"/>
      <c r="E16" s="19"/>
      <c r="F16" s="19"/>
      <c r="G16" s="19"/>
      <c r="H16" s="19"/>
      <c r="I16" s="19"/>
      <c r="J16" s="19"/>
      <c r="K16" s="19"/>
    </row>
    <row r="17" spans="2:11" ht="27.75" customHeight="1" x14ac:dyDescent="0.3">
      <c r="B17" s="40" t="s">
        <v>115</v>
      </c>
      <c r="C17" s="40" t="s">
        <v>116</v>
      </c>
      <c r="D17" s="40" t="s">
        <v>117</v>
      </c>
      <c r="E17" s="40" t="s">
        <v>118</v>
      </c>
      <c r="F17" s="40" t="s">
        <v>119</v>
      </c>
      <c r="G17" s="40" t="s">
        <v>120</v>
      </c>
      <c r="H17" s="40" t="s">
        <v>121</v>
      </c>
      <c r="I17" s="40" t="s">
        <v>122</v>
      </c>
      <c r="J17" s="40" t="s">
        <v>123</v>
      </c>
      <c r="K17" s="40" t="s">
        <v>124</v>
      </c>
    </row>
    <row r="18" spans="2:11" x14ac:dyDescent="0.3">
      <c r="B18" s="43" t="s">
        <v>76</v>
      </c>
      <c r="C18" s="79">
        <v>2964</v>
      </c>
      <c r="D18" s="79">
        <v>76.8</v>
      </c>
      <c r="E18" s="74">
        <f t="shared" ref="E18:E32" si="3">IFERROR(C18/D18,"-")</f>
        <v>38.59375</v>
      </c>
      <c r="F18" s="79">
        <v>380</v>
      </c>
      <c r="G18" s="74">
        <f t="shared" ref="G18:G32" si="4">IFERROR(C18/F18,"-")</f>
        <v>7.8</v>
      </c>
      <c r="H18" s="79">
        <v>8</v>
      </c>
      <c r="I18" s="76">
        <f t="shared" ref="I18:I32" si="5">IFERROR(H18/C18,"-")</f>
        <v>2.6990553306342779E-3</v>
      </c>
      <c r="J18" s="74">
        <v>11</v>
      </c>
      <c r="K18" s="80">
        <f t="shared" ref="K18:K32" si="6">IFERROR(ROUND(10-(E18/2.5),1),"-")</f>
        <v>-5.4</v>
      </c>
    </row>
    <row r="19" spans="2:11" x14ac:dyDescent="0.3">
      <c r="B19" s="46" t="s">
        <v>77</v>
      </c>
      <c r="C19" s="81">
        <v>1241.25</v>
      </c>
      <c r="D19" s="81">
        <v>37.200000000000003</v>
      </c>
      <c r="E19" s="75">
        <f t="shared" si="3"/>
        <v>33.366935483870968</v>
      </c>
      <c r="F19" s="81">
        <v>410</v>
      </c>
      <c r="G19" s="75">
        <f t="shared" si="4"/>
        <v>3.0274390243902438</v>
      </c>
      <c r="H19" s="81">
        <v>7.1</v>
      </c>
      <c r="I19" s="77">
        <f t="shared" si="5"/>
        <v>5.7200402819738167E-3</v>
      </c>
      <c r="J19" s="75">
        <v>9.4</v>
      </c>
      <c r="K19" s="82">
        <f t="shared" si="6"/>
        <v>-3.3</v>
      </c>
    </row>
    <row r="20" spans="2:11" x14ac:dyDescent="0.3">
      <c r="B20" s="43" t="s">
        <v>78</v>
      </c>
      <c r="C20" s="79">
        <v>193.65</v>
      </c>
      <c r="D20" s="79">
        <v>9.0500000000000007</v>
      </c>
      <c r="E20" s="74">
        <f t="shared" si="3"/>
        <v>21.397790055248617</v>
      </c>
      <c r="F20" s="79">
        <v>95</v>
      </c>
      <c r="G20" s="74">
        <f t="shared" si="4"/>
        <v>2.0384210526315791</v>
      </c>
      <c r="H20" s="79">
        <v>1</v>
      </c>
      <c r="I20" s="76">
        <f t="shared" si="5"/>
        <v>5.1639555899819257E-3</v>
      </c>
      <c r="J20" s="74">
        <v>8.6</v>
      </c>
      <c r="K20" s="80">
        <f t="shared" si="6"/>
        <v>1.4</v>
      </c>
    </row>
    <row r="21" spans="2:11" x14ac:dyDescent="0.3">
      <c r="B21" s="46" t="s">
        <v>79</v>
      </c>
      <c r="C21" s="81">
        <v>546.79999999999995</v>
      </c>
      <c r="D21" s="81">
        <v>32.200000000000003</v>
      </c>
      <c r="E21" s="75">
        <f t="shared" si="3"/>
        <v>16.981366459627328</v>
      </c>
      <c r="F21" s="81">
        <v>80</v>
      </c>
      <c r="G21" s="75">
        <f t="shared" si="4"/>
        <v>6.8349999999999991</v>
      </c>
      <c r="H21" s="81">
        <v>18</v>
      </c>
      <c r="I21" s="77">
        <f t="shared" si="5"/>
        <v>3.2918800292611558E-2</v>
      </c>
      <c r="J21" s="75">
        <v>9.1999999999999993</v>
      </c>
      <c r="K21" s="82">
        <f t="shared" si="6"/>
        <v>3.2</v>
      </c>
    </row>
    <row r="22" spans="2:11" x14ac:dyDescent="0.3">
      <c r="B22" s="43" t="s">
        <v>80</v>
      </c>
      <c r="C22" s="79">
        <v>986.8</v>
      </c>
      <c r="D22" s="79">
        <v>78</v>
      </c>
      <c r="E22" s="74">
        <f t="shared" si="3"/>
        <v>12.651282051282051</v>
      </c>
      <c r="F22" s="79">
        <v>480</v>
      </c>
      <c r="G22" s="74">
        <f t="shared" si="4"/>
        <v>2.0558333333333332</v>
      </c>
      <c r="H22" s="79">
        <v>6.5</v>
      </c>
      <c r="I22" s="76">
        <f t="shared" si="5"/>
        <v>6.5869477097689503E-3</v>
      </c>
      <c r="J22" s="74">
        <v>7.8</v>
      </c>
      <c r="K22" s="80">
        <f t="shared" si="6"/>
        <v>4.9000000000000004</v>
      </c>
    </row>
    <row r="23" spans="2:11" x14ac:dyDescent="0.3">
      <c r="B23" s="46" t="s">
        <v>81</v>
      </c>
      <c r="C23" s="81">
        <v>1082.3499999999999</v>
      </c>
      <c r="D23" s="81">
        <v>39.6</v>
      </c>
      <c r="E23" s="75">
        <f t="shared" si="3"/>
        <v>27.332070707070702</v>
      </c>
      <c r="F23" s="81">
        <v>410</v>
      </c>
      <c r="G23" s="75">
        <f t="shared" si="4"/>
        <v>2.6398780487804876</v>
      </c>
      <c r="H23" s="81">
        <v>1.5</v>
      </c>
      <c r="I23" s="77">
        <f t="shared" si="5"/>
        <v>1.3858733311775304E-3</v>
      </c>
      <c r="J23" s="75">
        <v>9.5</v>
      </c>
      <c r="K23" s="82">
        <f t="shared" si="6"/>
        <v>-0.9</v>
      </c>
    </row>
    <row r="24" spans="2:11" x14ac:dyDescent="0.3">
      <c r="B24" s="43" t="s">
        <v>82</v>
      </c>
      <c r="C24" s="79">
        <v>281.89999999999998</v>
      </c>
      <c r="D24" s="79">
        <v>22</v>
      </c>
      <c r="E24" s="74">
        <f t="shared" si="3"/>
        <v>12.813636363636363</v>
      </c>
      <c r="F24" s="79">
        <v>70</v>
      </c>
      <c r="G24" s="74">
        <f t="shared" si="4"/>
        <v>4.0271428571428567</v>
      </c>
      <c r="H24" s="79">
        <v>28</v>
      </c>
      <c r="I24" s="76">
        <f t="shared" si="5"/>
        <v>9.9326002128414345E-2</v>
      </c>
      <c r="J24" s="74">
        <v>7</v>
      </c>
      <c r="K24" s="80">
        <f t="shared" si="6"/>
        <v>4.9000000000000004</v>
      </c>
    </row>
    <row r="25" spans="2:11" x14ac:dyDescent="0.3">
      <c r="B25" s="46" t="s">
        <v>83</v>
      </c>
      <c r="C25" s="81">
        <v>1767.2</v>
      </c>
      <c r="D25" s="81">
        <v>56.5</v>
      </c>
      <c r="E25" s="75">
        <f t="shared" si="3"/>
        <v>31.277876106194689</v>
      </c>
      <c r="F25" s="81">
        <v>195</v>
      </c>
      <c r="G25" s="75">
        <f t="shared" si="4"/>
        <v>9.0625641025641031</v>
      </c>
      <c r="H25" s="81">
        <v>2</v>
      </c>
      <c r="I25" s="77">
        <f t="shared" si="5"/>
        <v>1.1317338162064282E-3</v>
      </c>
      <c r="J25" s="75">
        <v>21.8</v>
      </c>
      <c r="K25" s="82">
        <f t="shared" si="6"/>
        <v>-2.5</v>
      </c>
    </row>
    <row r="26" spans="2:11" x14ac:dyDescent="0.3">
      <c r="B26" s="43" t="s">
        <v>84</v>
      </c>
      <c r="C26" s="79">
        <v>85.2</v>
      </c>
      <c r="D26" s="79">
        <v>8.36</v>
      </c>
      <c r="E26" s="74">
        <f t="shared" si="3"/>
        <v>10.191387559808614</v>
      </c>
      <c r="F26" s="79">
        <v>38</v>
      </c>
      <c r="G26" s="74">
        <f t="shared" si="4"/>
        <v>2.2421052631578946</v>
      </c>
      <c r="H26" s="79">
        <v>5.5</v>
      </c>
      <c r="I26" s="76">
        <f t="shared" si="5"/>
        <v>6.455399061032864E-2</v>
      </c>
      <c r="J26" s="74">
        <v>6.1</v>
      </c>
      <c r="K26" s="80">
        <f t="shared" si="6"/>
        <v>5.9</v>
      </c>
    </row>
    <row r="27" spans="2:11" x14ac:dyDescent="0.3">
      <c r="B27" s="46" t="s">
        <v>85</v>
      </c>
      <c r="C27" s="81">
        <v>169.05</v>
      </c>
      <c r="D27" s="81">
        <v>9.3000000000000007</v>
      </c>
      <c r="E27" s="75">
        <f t="shared" si="3"/>
        <v>18.177419354838708</v>
      </c>
      <c r="F27" s="81">
        <v>95</v>
      </c>
      <c r="G27" s="75">
        <f t="shared" si="4"/>
        <v>1.7794736842105265</v>
      </c>
      <c r="H27" s="81">
        <v>2</v>
      </c>
      <c r="I27" s="77">
        <f t="shared" si="5"/>
        <v>1.1830819284235433E-2</v>
      </c>
      <c r="J27" s="75">
        <v>8.4</v>
      </c>
      <c r="K27" s="82">
        <f t="shared" si="6"/>
        <v>2.7</v>
      </c>
    </row>
    <row r="28" spans="2:11" x14ac:dyDescent="0.3">
      <c r="B28" s="43" t="s">
        <v>86</v>
      </c>
      <c r="C28" s="79">
        <v>355.35</v>
      </c>
      <c r="D28" s="79">
        <v>31.75</v>
      </c>
      <c r="E28" s="74">
        <f t="shared" si="3"/>
        <v>11.19212598425197</v>
      </c>
      <c r="F28" s="79">
        <v>110</v>
      </c>
      <c r="G28" s="74">
        <f t="shared" si="4"/>
        <v>3.2304545454545455</v>
      </c>
      <c r="H28" s="79">
        <v>7.5</v>
      </c>
      <c r="I28" s="76">
        <f t="shared" si="5"/>
        <v>2.1105951878429716E-2</v>
      </c>
      <c r="J28" s="74">
        <v>6.9</v>
      </c>
      <c r="K28" s="80">
        <f t="shared" si="6"/>
        <v>5.5</v>
      </c>
    </row>
    <row r="29" spans="2:11" x14ac:dyDescent="0.3">
      <c r="B29" s="46" t="s">
        <v>87</v>
      </c>
      <c r="C29" s="81">
        <v>692.85</v>
      </c>
      <c r="D29" s="81">
        <v>39.1</v>
      </c>
      <c r="E29" s="75">
        <f t="shared" si="3"/>
        <v>17.71994884910486</v>
      </c>
      <c r="F29" s="81">
        <v>165</v>
      </c>
      <c r="G29" s="75">
        <f t="shared" si="4"/>
        <v>4.1990909090909092</v>
      </c>
      <c r="H29" s="81">
        <v>2.5</v>
      </c>
      <c r="I29" s="77">
        <f t="shared" si="5"/>
        <v>3.6082846214909431E-3</v>
      </c>
      <c r="J29" s="75">
        <v>9.8000000000000007</v>
      </c>
      <c r="K29" s="82">
        <f t="shared" si="6"/>
        <v>2.9</v>
      </c>
    </row>
    <row r="30" spans="2:11" x14ac:dyDescent="0.3">
      <c r="B30" s="43" t="s">
        <v>88</v>
      </c>
      <c r="C30" s="79">
        <v>1843.65</v>
      </c>
      <c r="D30" s="79">
        <v>43.3</v>
      </c>
      <c r="E30" s="74">
        <f t="shared" si="3"/>
        <v>42.578521939953816</v>
      </c>
      <c r="F30" s="79">
        <v>230</v>
      </c>
      <c r="G30" s="74">
        <f t="shared" si="4"/>
        <v>8.0158695652173915</v>
      </c>
      <c r="H30" s="79">
        <v>4</v>
      </c>
      <c r="I30" s="76">
        <f t="shared" si="5"/>
        <v>2.1696091991430045E-3</v>
      </c>
      <c r="J30" s="74">
        <v>24.5</v>
      </c>
      <c r="K30" s="80">
        <f t="shared" si="6"/>
        <v>-7</v>
      </c>
    </row>
    <row r="31" spans="2:11" x14ac:dyDescent="0.3">
      <c r="B31" s="46" t="s">
        <v>89</v>
      </c>
      <c r="C31" s="81">
        <v>500.25</v>
      </c>
      <c r="D31" s="81">
        <v>10.25</v>
      </c>
      <c r="E31" s="75">
        <f t="shared" si="3"/>
        <v>48.804878048780488</v>
      </c>
      <c r="F31" s="81">
        <v>60</v>
      </c>
      <c r="G31" s="75">
        <f t="shared" si="4"/>
        <v>8.3375000000000004</v>
      </c>
      <c r="H31" s="81">
        <v>1.5</v>
      </c>
      <c r="I31" s="77">
        <f t="shared" si="5"/>
        <v>2.9985007496251873E-3</v>
      </c>
      <c r="J31" s="75">
        <v>29.3</v>
      </c>
      <c r="K31" s="82">
        <f t="shared" si="6"/>
        <v>-9.5</v>
      </c>
    </row>
    <row r="32" spans="2:11" x14ac:dyDescent="0.3">
      <c r="B32" s="43" t="s">
        <v>90</v>
      </c>
      <c r="C32" s="79">
        <v>1412</v>
      </c>
      <c r="D32" s="79">
        <v>61.2</v>
      </c>
      <c r="E32" s="74">
        <f t="shared" si="3"/>
        <v>23.071895424836601</v>
      </c>
      <c r="F32" s="79">
        <v>320</v>
      </c>
      <c r="G32" s="74">
        <f t="shared" si="4"/>
        <v>4.4124999999999996</v>
      </c>
      <c r="H32" s="79">
        <v>6</v>
      </c>
      <c r="I32" s="76">
        <f t="shared" si="5"/>
        <v>4.24929178470255E-3</v>
      </c>
      <c r="J32" s="74">
        <v>13.8</v>
      </c>
      <c r="K32" s="80">
        <f t="shared" si="6"/>
        <v>0.8</v>
      </c>
    </row>
    <row r="33" spans="2:11" x14ac:dyDescent="0.3">
      <c r="B33" s="83" t="s">
        <v>125</v>
      </c>
      <c r="C33" s="52"/>
      <c r="D33" s="52"/>
      <c r="E33" s="84">
        <f>AVERAGE(E18:E32)</f>
        <v>24.410058959233723</v>
      </c>
      <c r="F33" s="52"/>
      <c r="G33" s="84">
        <f>AVERAGE(G18:G32)</f>
        <v>4.6468848257315916</v>
      </c>
      <c r="H33" s="52"/>
      <c r="I33" s="85">
        <f>AVERAGE(I18:I32)</f>
        <v>1.7696590440581621E-2</v>
      </c>
      <c r="J33" s="84">
        <f>AVERAGE(J18:J32)</f>
        <v>12.206666666666669</v>
      </c>
      <c r="K33" s="52"/>
    </row>
    <row r="34" spans="2:11" x14ac:dyDescent="0.3">
      <c r="B34" s="18"/>
      <c r="C34" s="18"/>
      <c r="D34" s="18"/>
      <c r="E34" s="18"/>
      <c r="F34" s="18"/>
      <c r="G34" s="18"/>
      <c r="H34" s="18"/>
      <c r="I34" s="18"/>
      <c r="J34" s="18"/>
      <c r="K34" s="18"/>
    </row>
    <row r="35" spans="2:11" ht="28.8" customHeight="1" x14ac:dyDescent="0.3">
      <c r="B35" s="78" t="s">
        <v>126</v>
      </c>
      <c r="C35" s="78"/>
      <c r="D35" s="78"/>
      <c r="E35" s="78"/>
      <c r="F35" s="78"/>
      <c r="G35" s="78"/>
      <c r="H35" s="78"/>
      <c r="I35" s="78"/>
      <c r="J35" s="78"/>
      <c r="K35" s="78"/>
    </row>
  </sheetData>
  <mergeCells count="5">
    <mergeCell ref="B1:K1"/>
    <mergeCell ref="B3:K3"/>
    <mergeCell ref="B14:K14"/>
    <mergeCell ref="B16:K16"/>
    <mergeCell ref="B35:K35"/>
  </mergeCells>
  <conditionalFormatting sqref="K5:K12">
    <cfRule type="cellIs" dxfId="7" priority="2" operator="equal">
      <formula>"CHEAP"</formula>
    </cfRule>
    <cfRule type="cellIs" dxfId="6" priority="3" operator="equal">
      <formula>"ATTRACTIVE"</formula>
    </cfRule>
    <cfRule type="cellIs" dxfId="5" priority="4" operator="equal">
      <formula>"EXPENSIVE"</formula>
    </cfRule>
    <cfRule type="cellIs" dxfId="4" priority="5" operator="equal">
      <formula>"WEAK"</formula>
    </cfRule>
    <cfRule type="cellIs" dxfId="3" priority="6" operator="equal">
      <formula>"FAIR"</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6"/>
  <sheetViews>
    <sheetView showGridLines="0" topLeftCell="A8" zoomScaleNormal="100" workbookViewId="0">
      <selection activeCell="B3" sqref="B3:G14"/>
    </sheetView>
  </sheetViews>
  <sheetFormatPr defaultColWidth="8.6640625" defaultRowHeight="14.4" x14ac:dyDescent="0.3"/>
  <cols>
    <col min="1" max="1" width="3" customWidth="1"/>
    <col min="2" max="2" width="13" customWidth="1"/>
    <col min="3" max="3" width="20" customWidth="1"/>
    <col min="4" max="4" width="46" customWidth="1"/>
    <col min="5" max="6" width="16" customWidth="1"/>
    <col min="7" max="7" width="20" customWidth="1"/>
    <col min="8" max="8" width="4" customWidth="1"/>
  </cols>
  <sheetData>
    <row r="1" spans="2:7" ht="18" x14ac:dyDescent="0.3">
      <c r="B1" s="17" t="s">
        <v>127</v>
      </c>
      <c r="C1" s="17"/>
      <c r="D1" s="17"/>
      <c r="E1" s="17"/>
      <c r="F1" s="17"/>
      <c r="G1" s="17"/>
    </row>
    <row r="2" spans="2:7" x14ac:dyDescent="0.3">
      <c r="B2" s="18"/>
      <c r="C2" s="18"/>
      <c r="D2" s="18"/>
      <c r="E2" s="18"/>
      <c r="F2" s="18"/>
      <c r="G2" s="18"/>
    </row>
    <row r="3" spans="2:7" x14ac:dyDescent="0.3">
      <c r="B3" s="19" t="s">
        <v>128</v>
      </c>
      <c r="C3" s="19"/>
      <c r="D3" s="19"/>
      <c r="E3" s="19"/>
      <c r="F3" s="19"/>
      <c r="G3" s="19"/>
    </row>
    <row r="4" spans="2:7" x14ac:dyDescent="0.3">
      <c r="B4" s="27" t="s">
        <v>129</v>
      </c>
      <c r="C4" s="27" t="s">
        <v>130</v>
      </c>
      <c r="D4" s="27" t="s">
        <v>131</v>
      </c>
      <c r="E4" s="27" t="s">
        <v>132</v>
      </c>
      <c r="F4" s="27" t="s">
        <v>133</v>
      </c>
      <c r="G4" s="27" t="s">
        <v>134</v>
      </c>
    </row>
    <row r="5" spans="2:7" ht="55.2" x14ac:dyDescent="0.3">
      <c r="B5" s="30" t="s">
        <v>135</v>
      </c>
      <c r="C5" s="56" t="s">
        <v>82</v>
      </c>
      <c r="D5" s="30" t="s">
        <v>136</v>
      </c>
      <c r="E5" s="29" t="s">
        <v>137</v>
      </c>
      <c r="F5" s="57" t="s">
        <v>138</v>
      </c>
      <c r="G5" s="29" t="s">
        <v>139</v>
      </c>
    </row>
    <row r="6" spans="2:7" ht="55.2" x14ac:dyDescent="0.3">
      <c r="B6" s="33" t="s">
        <v>135</v>
      </c>
      <c r="C6" s="58" t="s">
        <v>11</v>
      </c>
      <c r="D6" s="33" t="s">
        <v>140</v>
      </c>
      <c r="E6" s="32" t="s">
        <v>141</v>
      </c>
      <c r="F6" s="59" t="s">
        <v>142</v>
      </c>
      <c r="G6" s="32" t="s">
        <v>143</v>
      </c>
    </row>
    <row r="7" spans="2:7" ht="55.2" x14ac:dyDescent="0.3">
      <c r="B7" s="30" t="s">
        <v>135</v>
      </c>
      <c r="C7" s="56" t="s">
        <v>144</v>
      </c>
      <c r="D7" s="30" t="s">
        <v>145</v>
      </c>
      <c r="E7" s="29" t="s">
        <v>146</v>
      </c>
      <c r="F7" s="57" t="s">
        <v>147</v>
      </c>
      <c r="G7" s="29" t="s">
        <v>148</v>
      </c>
    </row>
    <row r="8" spans="2:7" ht="41.4" x14ac:dyDescent="0.3">
      <c r="B8" s="33" t="s">
        <v>135</v>
      </c>
      <c r="C8" s="58" t="s">
        <v>149</v>
      </c>
      <c r="D8" s="33" t="s">
        <v>150</v>
      </c>
      <c r="E8" s="32" t="s">
        <v>151</v>
      </c>
      <c r="F8" s="59" t="s">
        <v>152</v>
      </c>
      <c r="G8" s="32" t="s">
        <v>153</v>
      </c>
    </row>
    <row r="9" spans="2:7" ht="41.4" x14ac:dyDescent="0.3">
      <c r="B9" s="30" t="s">
        <v>154</v>
      </c>
      <c r="C9" s="56" t="s">
        <v>11</v>
      </c>
      <c r="D9" s="30" t="s">
        <v>155</v>
      </c>
      <c r="E9" s="29" t="s">
        <v>156</v>
      </c>
      <c r="F9" s="57" t="s">
        <v>142</v>
      </c>
      <c r="G9" s="29" t="s">
        <v>157</v>
      </c>
    </row>
    <row r="10" spans="2:7" ht="41.4" x14ac:dyDescent="0.3">
      <c r="B10" s="33" t="s">
        <v>158</v>
      </c>
      <c r="C10" s="58" t="s">
        <v>11</v>
      </c>
      <c r="D10" s="33" t="s">
        <v>159</v>
      </c>
      <c r="E10" s="32" t="s">
        <v>160</v>
      </c>
      <c r="F10" s="60" t="s">
        <v>161</v>
      </c>
      <c r="G10" s="32" t="s">
        <v>162</v>
      </c>
    </row>
    <row r="11" spans="2:7" ht="41.4" x14ac:dyDescent="0.3">
      <c r="B11" s="30" t="s">
        <v>163</v>
      </c>
      <c r="C11" s="56" t="s">
        <v>78</v>
      </c>
      <c r="D11" s="30" t="s">
        <v>164</v>
      </c>
      <c r="E11" s="29" t="s">
        <v>165</v>
      </c>
      <c r="F11" s="61" t="s">
        <v>161</v>
      </c>
      <c r="G11" s="29" t="s">
        <v>166</v>
      </c>
    </row>
    <row r="12" spans="2:7" ht="41.4" x14ac:dyDescent="0.3">
      <c r="B12" s="33" t="s">
        <v>167</v>
      </c>
      <c r="C12" s="58" t="s">
        <v>77</v>
      </c>
      <c r="D12" s="33" t="s">
        <v>168</v>
      </c>
      <c r="E12" s="32" t="s">
        <v>169</v>
      </c>
      <c r="F12" s="60" t="s">
        <v>161</v>
      </c>
      <c r="G12" s="32" t="s">
        <v>170</v>
      </c>
    </row>
    <row r="13" spans="2:7" ht="41.4" x14ac:dyDescent="0.3">
      <c r="B13" s="30" t="s">
        <v>171</v>
      </c>
      <c r="C13" s="56" t="s">
        <v>78</v>
      </c>
      <c r="D13" s="30" t="s">
        <v>172</v>
      </c>
      <c r="E13" s="29" t="s">
        <v>169</v>
      </c>
      <c r="F13" s="29" t="s">
        <v>173</v>
      </c>
      <c r="G13" s="29" t="s">
        <v>174</v>
      </c>
    </row>
    <row r="14" spans="2:7" ht="41.4" x14ac:dyDescent="0.3">
      <c r="B14" s="33" t="s">
        <v>175</v>
      </c>
      <c r="C14" s="58" t="s">
        <v>77</v>
      </c>
      <c r="D14" s="33" t="s">
        <v>176</v>
      </c>
      <c r="E14" s="32" t="s">
        <v>177</v>
      </c>
      <c r="F14" s="60" t="s">
        <v>178</v>
      </c>
      <c r="G14" s="32" t="s">
        <v>179</v>
      </c>
    </row>
    <row r="15" spans="2:7" x14ac:dyDescent="0.3">
      <c r="B15" s="18"/>
      <c r="C15" s="18"/>
      <c r="D15" s="18"/>
      <c r="E15" s="18"/>
      <c r="F15" s="18"/>
      <c r="G15" s="18"/>
    </row>
    <row r="16" spans="2:7" x14ac:dyDescent="0.3">
      <c r="B16" s="20" t="s">
        <v>180</v>
      </c>
      <c r="C16" s="20"/>
      <c r="D16" s="20"/>
      <c r="E16" s="20"/>
      <c r="F16" s="20"/>
      <c r="G16" s="20"/>
    </row>
  </sheetData>
  <mergeCells count="3">
    <mergeCell ref="B1:G1"/>
    <mergeCell ref="B3:G3"/>
    <mergeCell ref="B16:G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22"/>
  <sheetViews>
    <sheetView showGridLines="0" topLeftCell="A10" zoomScaleNormal="100" workbookViewId="0">
      <selection activeCell="J10" sqref="J10"/>
    </sheetView>
  </sheetViews>
  <sheetFormatPr defaultColWidth="8.6640625" defaultRowHeight="14.4" x14ac:dyDescent="0.3"/>
  <cols>
    <col min="1" max="1" width="3" customWidth="1"/>
    <col min="2" max="2" width="18" customWidth="1"/>
    <col min="3" max="4" width="12" customWidth="1"/>
    <col min="5" max="5" width="13" customWidth="1"/>
    <col min="6" max="7" width="12" customWidth="1"/>
    <col min="8" max="9" width="13" customWidth="1"/>
    <col min="10" max="10" width="26" customWidth="1"/>
    <col min="11" max="11" width="4" customWidth="1"/>
  </cols>
  <sheetData>
    <row r="1" spans="2:10" ht="18" x14ac:dyDescent="0.3">
      <c r="B1" s="17" t="s">
        <v>181</v>
      </c>
      <c r="C1" s="17"/>
      <c r="D1" s="17"/>
      <c r="E1" s="17"/>
      <c r="F1" s="17"/>
      <c r="G1" s="17"/>
      <c r="H1" s="17"/>
      <c r="I1" s="17"/>
      <c r="J1" s="17"/>
    </row>
    <row r="2" spans="2:10" x14ac:dyDescent="0.3">
      <c r="B2" s="26" t="s">
        <v>182</v>
      </c>
      <c r="C2" s="26"/>
      <c r="D2" s="26"/>
      <c r="E2" s="26"/>
      <c r="F2" s="26"/>
      <c r="G2" s="26"/>
      <c r="H2" s="26"/>
      <c r="I2" s="26"/>
      <c r="J2" s="26"/>
    </row>
    <row r="3" spans="2:10" x14ac:dyDescent="0.3">
      <c r="B3" s="18"/>
      <c r="C3" s="18"/>
      <c r="D3" s="18"/>
      <c r="E3" s="18"/>
      <c r="F3" s="18"/>
      <c r="G3" s="18"/>
      <c r="H3" s="18"/>
      <c r="I3" s="18"/>
      <c r="J3" s="18"/>
    </row>
    <row r="4" spans="2:10" x14ac:dyDescent="0.3">
      <c r="B4" s="19" t="s">
        <v>183</v>
      </c>
      <c r="C4" s="19"/>
      <c r="D4" s="19"/>
      <c r="E4" s="19"/>
      <c r="F4" s="19"/>
      <c r="G4" s="19"/>
      <c r="H4" s="19"/>
      <c r="I4" s="19"/>
      <c r="J4" s="19"/>
    </row>
    <row r="5" spans="2:10" x14ac:dyDescent="0.3">
      <c r="B5" s="27" t="s">
        <v>129</v>
      </c>
      <c r="C5" s="27" t="s">
        <v>184</v>
      </c>
      <c r="D5" s="27" t="s">
        <v>185</v>
      </c>
      <c r="E5" s="27" t="s">
        <v>186</v>
      </c>
      <c r="F5" s="27" t="s">
        <v>187</v>
      </c>
      <c r="G5" s="27" t="s">
        <v>188</v>
      </c>
      <c r="H5" s="27" t="s">
        <v>189</v>
      </c>
      <c r="I5" s="27" t="s">
        <v>190</v>
      </c>
      <c r="J5" s="27" t="s">
        <v>191</v>
      </c>
    </row>
    <row r="6" spans="2:10" x14ac:dyDescent="0.3">
      <c r="B6" s="30" t="s">
        <v>192</v>
      </c>
      <c r="C6" s="34">
        <v>10500</v>
      </c>
      <c r="D6" s="34">
        <v>11500</v>
      </c>
      <c r="E6" s="34">
        <f t="shared" ref="E6:E11" si="0">C6-D6</f>
        <v>-1000</v>
      </c>
      <c r="F6" s="34">
        <v>12000</v>
      </c>
      <c r="G6" s="34">
        <v>10800</v>
      </c>
      <c r="H6" s="34">
        <f t="shared" ref="H6:H11" si="1">F6-G6</f>
        <v>1200</v>
      </c>
      <c r="I6" s="34">
        <f t="shared" ref="I6:I11" si="2">E6+H6</f>
        <v>200</v>
      </c>
      <c r="J6" s="29" t="s">
        <v>193</v>
      </c>
    </row>
    <row r="7" spans="2:10" x14ac:dyDescent="0.3">
      <c r="B7" s="33" t="s">
        <v>194</v>
      </c>
      <c r="C7" s="36">
        <v>11000</v>
      </c>
      <c r="D7" s="36">
        <v>12000</v>
      </c>
      <c r="E7" s="36">
        <f t="shared" si="0"/>
        <v>-1000</v>
      </c>
      <c r="F7" s="36">
        <v>13000</v>
      </c>
      <c r="G7" s="36">
        <v>11500</v>
      </c>
      <c r="H7" s="36">
        <f t="shared" si="1"/>
        <v>1500</v>
      </c>
      <c r="I7" s="36">
        <f t="shared" si="2"/>
        <v>500</v>
      </c>
      <c r="J7" s="32" t="s">
        <v>195</v>
      </c>
    </row>
    <row r="8" spans="2:10" ht="27.6" x14ac:dyDescent="0.3">
      <c r="B8" s="30" t="s">
        <v>196</v>
      </c>
      <c r="C8" s="34">
        <v>12000</v>
      </c>
      <c r="D8" s="34">
        <v>10500</v>
      </c>
      <c r="E8" s="34">
        <f t="shared" si="0"/>
        <v>1500</v>
      </c>
      <c r="F8" s="34">
        <v>16000</v>
      </c>
      <c r="G8" s="34">
        <v>14500</v>
      </c>
      <c r="H8" s="34">
        <f t="shared" si="1"/>
        <v>1500</v>
      </c>
      <c r="I8" s="34">
        <f t="shared" si="2"/>
        <v>3000</v>
      </c>
      <c r="J8" s="29" t="s">
        <v>197</v>
      </c>
    </row>
    <row r="9" spans="2:10" ht="27.6" x14ac:dyDescent="0.3">
      <c r="B9" s="33" t="s">
        <v>198</v>
      </c>
      <c r="C9" s="36">
        <v>9500</v>
      </c>
      <c r="D9" s="36">
        <v>8800</v>
      </c>
      <c r="E9" s="36">
        <f t="shared" si="0"/>
        <v>700</v>
      </c>
      <c r="F9" s="36">
        <v>14000</v>
      </c>
      <c r="G9" s="36">
        <v>13000</v>
      </c>
      <c r="H9" s="36">
        <f t="shared" si="1"/>
        <v>1000</v>
      </c>
      <c r="I9" s="36">
        <f t="shared" si="2"/>
        <v>1700</v>
      </c>
      <c r="J9" s="32" t="s">
        <v>199</v>
      </c>
    </row>
    <row r="10" spans="2:10" ht="41.4" x14ac:dyDescent="0.3">
      <c r="B10" s="30" t="s">
        <v>200</v>
      </c>
      <c r="C10" s="34">
        <v>8500</v>
      </c>
      <c r="D10" s="34">
        <v>9200</v>
      </c>
      <c r="E10" s="34">
        <f t="shared" si="0"/>
        <v>-700</v>
      </c>
      <c r="F10" s="34">
        <v>12000</v>
      </c>
      <c r="G10" s="34">
        <v>11200</v>
      </c>
      <c r="H10" s="34">
        <f t="shared" si="1"/>
        <v>800</v>
      </c>
      <c r="I10" s="34">
        <f t="shared" si="2"/>
        <v>100</v>
      </c>
      <c r="J10" s="29" t="s">
        <v>201</v>
      </c>
    </row>
    <row r="11" spans="2:10" ht="55.2" x14ac:dyDescent="0.3">
      <c r="B11" s="62" t="s">
        <v>202</v>
      </c>
      <c r="C11" s="63">
        <f>SUM(C6:C10)</f>
        <v>51500</v>
      </c>
      <c r="D11" s="63">
        <f>SUM(D6:D10)</f>
        <v>52000</v>
      </c>
      <c r="E11" s="63">
        <f t="shared" si="0"/>
        <v>-500</v>
      </c>
      <c r="F11" s="63">
        <f>SUM(F6:F10)</f>
        <v>67000</v>
      </c>
      <c r="G11" s="63">
        <f>SUM(G6:G10)</f>
        <v>61000</v>
      </c>
      <c r="H11" s="63">
        <f t="shared" si="1"/>
        <v>6000</v>
      </c>
      <c r="I11" s="63">
        <f t="shared" si="2"/>
        <v>5500</v>
      </c>
      <c r="J11" s="38" t="s">
        <v>203</v>
      </c>
    </row>
    <row r="12" spans="2:10" x14ac:dyDescent="0.3">
      <c r="B12" s="18"/>
      <c r="C12" s="18"/>
      <c r="D12" s="18"/>
      <c r="E12" s="18"/>
      <c r="F12" s="18"/>
      <c r="G12" s="18"/>
      <c r="H12" s="18"/>
      <c r="I12" s="18"/>
      <c r="J12" s="18"/>
    </row>
    <row r="13" spans="2:10" x14ac:dyDescent="0.3">
      <c r="B13" s="19" t="s">
        <v>204</v>
      </c>
      <c r="C13" s="19"/>
      <c r="D13" s="19"/>
      <c r="E13" s="19"/>
      <c r="F13" s="19"/>
      <c r="G13" s="19"/>
      <c r="H13" s="19"/>
      <c r="I13" s="19"/>
      <c r="J13" s="19"/>
    </row>
    <row r="14" spans="2:10" ht="27.6" x14ac:dyDescent="0.3">
      <c r="B14" s="27" t="s">
        <v>205</v>
      </c>
      <c r="C14" s="27" t="s">
        <v>206</v>
      </c>
      <c r="D14" s="27" t="s">
        <v>207</v>
      </c>
      <c r="E14" s="27" t="s">
        <v>208</v>
      </c>
      <c r="F14" s="27" t="s">
        <v>209</v>
      </c>
      <c r="G14" s="27" t="s">
        <v>210</v>
      </c>
      <c r="H14" s="27" t="s">
        <v>211</v>
      </c>
      <c r="I14" s="27" t="s">
        <v>132</v>
      </c>
      <c r="J14" s="18"/>
    </row>
    <row r="15" spans="2:10" ht="27.6" x14ac:dyDescent="0.3">
      <c r="B15" s="30" t="s">
        <v>212</v>
      </c>
      <c r="C15" s="34">
        <v>1240</v>
      </c>
      <c r="D15" s="35">
        <v>0.99</v>
      </c>
      <c r="E15" s="29" t="s">
        <v>213</v>
      </c>
      <c r="F15" s="29" t="s">
        <v>214</v>
      </c>
      <c r="G15" s="29" t="s">
        <v>215</v>
      </c>
      <c r="H15" s="35">
        <v>8.2000000000000003E-2</v>
      </c>
      <c r="I15" s="29" t="s">
        <v>216</v>
      </c>
      <c r="J15" s="18"/>
    </row>
    <row r="16" spans="2:10" ht="27.6" x14ac:dyDescent="0.3">
      <c r="B16" s="33" t="s">
        <v>217</v>
      </c>
      <c r="C16" s="36">
        <v>2850</v>
      </c>
      <c r="D16" s="37">
        <v>0.57999999999999996</v>
      </c>
      <c r="E16" s="32" t="s">
        <v>218</v>
      </c>
      <c r="F16" s="32" t="s">
        <v>219</v>
      </c>
      <c r="G16" s="32" t="s">
        <v>220</v>
      </c>
      <c r="H16" s="37">
        <v>7.0999999999999994E-2</v>
      </c>
      <c r="I16" s="32" t="s">
        <v>221</v>
      </c>
      <c r="J16" s="18"/>
    </row>
    <row r="17" spans="2:10" ht="41.4" x14ac:dyDescent="0.3">
      <c r="B17" s="30" t="s">
        <v>222</v>
      </c>
      <c r="C17" s="34">
        <v>4100</v>
      </c>
      <c r="D17" s="35">
        <v>0.31</v>
      </c>
      <c r="E17" s="29" t="s">
        <v>223</v>
      </c>
      <c r="F17" s="29" t="s">
        <v>224</v>
      </c>
      <c r="G17" s="29" t="s">
        <v>225</v>
      </c>
      <c r="H17" s="35">
        <v>9.5000000000000001E-2</v>
      </c>
      <c r="I17" s="29" t="s">
        <v>221</v>
      </c>
      <c r="J17" s="18"/>
    </row>
    <row r="18" spans="2:10" ht="41.4" x14ac:dyDescent="0.3">
      <c r="B18" s="33" t="s">
        <v>226</v>
      </c>
      <c r="C18" s="36">
        <v>1680</v>
      </c>
      <c r="D18" s="37">
        <v>0.62</v>
      </c>
      <c r="E18" s="32" t="s">
        <v>227</v>
      </c>
      <c r="F18" s="32" t="s">
        <v>228</v>
      </c>
      <c r="G18" s="32" t="s">
        <v>229</v>
      </c>
      <c r="H18" s="37">
        <v>6.4000000000000001E-2</v>
      </c>
      <c r="I18" s="32" t="s">
        <v>221</v>
      </c>
      <c r="J18" s="18"/>
    </row>
    <row r="19" spans="2:10" ht="27.6" x14ac:dyDescent="0.3">
      <c r="B19" s="30" t="s">
        <v>230</v>
      </c>
      <c r="C19" s="34">
        <v>5200</v>
      </c>
      <c r="D19" s="35">
        <v>0.18</v>
      </c>
      <c r="E19" s="29" t="s">
        <v>231</v>
      </c>
      <c r="F19" s="29" t="s">
        <v>232</v>
      </c>
      <c r="G19" s="29" t="s">
        <v>233</v>
      </c>
      <c r="H19" s="35">
        <v>4.8000000000000001E-2</v>
      </c>
      <c r="I19" s="29" t="s">
        <v>234</v>
      </c>
      <c r="J19" s="18"/>
    </row>
    <row r="20" spans="2:10" ht="27.6" x14ac:dyDescent="0.3">
      <c r="B20" s="33" t="s">
        <v>235</v>
      </c>
      <c r="C20" s="36">
        <v>890</v>
      </c>
      <c r="D20" s="37">
        <v>0.98</v>
      </c>
      <c r="E20" s="32" t="s">
        <v>213</v>
      </c>
      <c r="F20" s="32" t="s">
        <v>214</v>
      </c>
      <c r="G20" s="32" t="s">
        <v>215</v>
      </c>
      <c r="H20" s="37">
        <v>7.9000000000000001E-2</v>
      </c>
      <c r="I20" s="32" t="s">
        <v>216</v>
      </c>
      <c r="J20" s="18"/>
    </row>
    <row r="21" spans="2:10" x14ac:dyDescent="0.3">
      <c r="B21" s="18"/>
      <c r="C21" s="18"/>
      <c r="D21" s="18"/>
      <c r="E21" s="18"/>
      <c r="F21" s="18"/>
      <c r="G21" s="18"/>
      <c r="H21" s="18"/>
      <c r="I21" s="18"/>
      <c r="J21" s="18"/>
    </row>
    <row r="22" spans="2:10" x14ac:dyDescent="0.3">
      <c r="B22" s="20" t="s">
        <v>236</v>
      </c>
      <c r="C22" s="20"/>
      <c r="D22" s="20"/>
      <c r="E22" s="20"/>
      <c r="F22" s="20"/>
      <c r="G22" s="20"/>
      <c r="H22" s="20"/>
      <c r="I22" s="20"/>
      <c r="J22" s="20"/>
    </row>
  </sheetData>
  <mergeCells count="5">
    <mergeCell ref="B1:J1"/>
    <mergeCell ref="B2:J2"/>
    <mergeCell ref="B4:J4"/>
    <mergeCell ref="B13:J13"/>
    <mergeCell ref="B22:J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43"/>
  <sheetViews>
    <sheetView showGridLines="0" topLeftCell="A10" zoomScaleNormal="100" workbookViewId="0">
      <selection activeCell="J28" sqref="J28"/>
    </sheetView>
  </sheetViews>
  <sheetFormatPr defaultColWidth="8.6640625" defaultRowHeight="14.4" x14ac:dyDescent="0.3"/>
  <cols>
    <col min="1" max="1" width="3" customWidth="1"/>
    <col min="2" max="2" width="20" customWidth="1"/>
    <col min="3" max="3" width="11" customWidth="1"/>
    <col min="4" max="10" width="10" customWidth="1"/>
    <col min="11" max="11" width="8.88671875" bestFit="1" customWidth="1"/>
  </cols>
  <sheetData>
    <row r="1" spans="2:11" ht="21.75" customHeight="1" x14ac:dyDescent="0.3">
      <c r="B1" s="3" t="s">
        <v>237</v>
      </c>
      <c r="C1" s="3"/>
      <c r="D1" s="3"/>
      <c r="E1" s="3"/>
      <c r="F1" s="3"/>
      <c r="G1" s="3"/>
      <c r="H1" s="3"/>
      <c r="I1" s="3"/>
      <c r="J1" s="3"/>
    </row>
    <row r="2" spans="2:11" ht="6" customHeight="1" x14ac:dyDescent="0.3"/>
    <row r="3" spans="2:11" ht="18" customHeight="1" x14ac:dyDescent="0.3">
      <c r="B3" s="2" t="s">
        <v>238</v>
      </c>
      <c r="C3" s="2"/>
      <c r="D3" s="2"/>
      <c r="E3" s="2"/>
      <c r="F3" s="2"/>
      <c r="G3" s="2"/>
      <c r="H3" s="2"/>
      <c r="I3" s="2"/>
      <c r="J3" s="2"/>
    </row>
    <row r="4" spans="2:11" ht="27.75" customHeight="1" x14ac:dyDescent="0.3">
      <c r="B4" s="4" t="s">
        <v>130</v>
      </c>
      <c r="C4" s="4" t="s">
        <v>239</v>
      </c>
      <c r="D4" s="4" t="s">
        <v>240</v>
      </c>
      <c r="E4" s="4" t="s">
        <v>241</v>
      </c>
      <c r="F4" s="4" t="s">
        <v>242</v>
      </c>
      <c r="G4" s="4" t="s">
        <v>243</v>
      </c>
      <c r="H4" s="4" t="s">
        <v>244</v>
      </c>
      <c r="I4" s="4" t="s">
        <v>245</v>
      </c>
      <c r="J4" s="4" t="s">
        <v>246</v>
      </c>
      <c r="K4" s="4" t="s">
        <v>247</v>
      </c>
    </row>
    <row r="5" spans="2:11" x14ac:dyDescent="0.3">
      <c r="B5" s="13" t="s">
        <v>248</v>
      </c>
      <c r="C5" s="16">
        <v>-2.7799999999999998E-2</v>
      </c>
      <c r="D5" s="16">
        <v>-1.4999999999999999E-2</v>
      </c>
      <c r="E5" s="16">
        <v>2.1999999999999999E-2</v>
      </c>
      <c r="F5" s="16">
        <v>8.5000000000000006E-2</v>
      </c>
      <c r="G5" s="16">
        <v>0.152</v>
      </c>
      <c r="H5" s="16">
        <v>0.28499999999999998</v>
      </c>
      <c r="I5" s="16">
        <v>0.42499999999999999</v>
      </c>
      <c r="J5" s="16">
        <v>0.65200000000000002</v>
      </c>
      <c r="K5" s="54">
        <f>I5-I6</f>
        <v>0.35</v>
      </c>
    </row>
    <row r="6" spans="2:11" x14ac:dyDescent="0.3">
      <c r="B6" s="13" t="s">
        <v>12</v>
      </c>
      <c r="C6" s="16">
        <v>-1.1599999999999999E-2</v>
      </c>
      <c r="D6" s="16">
        <v>-8.0000000000000002E-3</v>
      </c>
      <c r="E6" s="16">
        <v>1.2E-2</v>
      </c>
      <c r="F6" s="16">
        <v>2.5000000000000001E-2</v>
      </c>
      <c r="G6" s="16">
        <v>3.7999999999999999E-2</v>
      </c>
      <c r="H6" s="16">
        <v>4.2000000000000003E-2</v>
      </c>
      <c r="I6" s="16">
        <v>7.4999999999999997E-2</v>
      </c>
      <c r="J6" s="16">
        <v>0.182</v>
      </c>
      <c r="K6" s="55">
        <f>I6-I6</f>
        <v>0</v>
      </c>
    </row>
    <row r="7" spans="2:11" x14ac:dyDescent="0.3">
      <c r="B7" s="11" t="s">
        <v>76</v>
      </c>
      <c r="C7" s="6">
        <v>-2.8199999999999999E-2</v>
      </c>
      <c r="D7" s="6">
        <v>-1.7999999999999999E-2</v>
      </c>
      <c r="E7" s="6">
        <v>1.4999999999999999E-2</v>
      </c>
      <c r="F7" s="6">
        <v>7.1999999999999995E-2</v>
      </c>
      <c r="G7" s="6">
        <v>0.13500000000000001</v>
      </c>
      <c r="H7" s="6">
        <v>0.245</v>
      </c>
      <c r="I7" s="6">
        <v>0.38500000000000001</v>
      </c>
      <c r="J7" s="6">
        <v>0.57999999999999996</v>
      </c>
      <c r="K7" s="54">
        <f>I7-I6</f>
        <v>0.31</v>
      </c>
    </row>
    <row r="8" spans="2:11" x14ac:dyDescent="0.3">
      <c r="B8" s="12" t="s">
        <v>77</v>
      </c>
      <c r="C8" s="8">
        <v>-2.6499999999999999E-2</v>
      </c>
      <c r="D8" s="8">
        <v>-1.4999999999999999E-2</v>
      </c>
      <c r="E8" s="8">
        <v>2.8000000000000001E-2</v>
      </c>
      <c r="F8" s="8">
        <v>8.5000000000000006E-2</v>
      </c>
      <c r="G8" s="8">
        <v>0.16200000000000001</v>
      </c>
      <c r="H8" s="8">
        <v>0.28499999999999998</v>
      </c>
      <c r="I8" s="8">
        <v>0.42799999999999999</v>
      </c>
      <c r="J8" s="8">
        <v>0.65200000000000002</v>
      </c>
      <c r="K8" s="55">
        <f>I8-I6</f>
        <v>0.35299999999999998</v>
      </c>
    </row>
    <row r="9" spans="2:11" x14ac:dyDescent="0.3">
      <c r="B9" s="11" t="s">
        <v>78</v>
      </c>
      <c r="C9" s="6">
        <v>-2.64E-2</v>
      </c>
      <c r="D9" s="6">
        <v>-1.2E-2</v>
      </c>
      <c r="E9" s="6">
        <v>3.5000000000000003E-2</v>
      </c>
      <c r="F9" s="6">
        <v>9.1999999999999998E-2</v>
      </c>
      <c r="G9" s="6">
        <v>0.185</v>
      </c>
      <c r="H9" s="6">
        <v>0.32500000000000001</v>
      </c>
      <c r="I9" s="6">
        <v>0.48199999999999998</v>
      </c>
      <c r="J9" s="6">
        <v>0.72499999999999998</v>
      </c>
      <c r="K9" s="54">
        <f>I9-I6</f>
        <v>0.40699999999999997</v>
      </c>
    </row>
    <row r="10" spans="2:11" x14ac:dyDescent="0.3">
      <c r="B10" s="12" t="s">
        <v>79</v>
      </c>
      <c r="C10" s="8">
        <v>-2.3599999999999999E-2</v>
      </c>
      <c r="D10" s="8">
        <v>-8.0000000000000002E-3</v>
      </c>
      <c r="E10" s="8">
        <v>3.2000000000000001E-2</v>
      </c>
      <c r="F10" s="8">
        <v>9.5000000000000001E-2</v>
      </c>
      <c r="G10" s="8">
        <v>0.188</v>
      </c>
      <c r="H10" s="8">
        <v>0.32500000000000001</v>
      </c>
      <c r="I10" s="8">
        <v>0.48499999999999999</v>
      </c>
      <c r="J10" s="8">
        <v>0.72799999999999998</v>
      </c>
      <c r="K10" s="55">
        <f>I10-I6</f>
        <v>0.41</v>
      </c>
    </row>
    <row r="11" spans="2:11" x14ac:dyDescent="0.3">
      <c r="B11" s="11" t="s">
        <v>80</v>
      </c>
      <c r="C11" s="6">
        <v>-2.3E-2</v>
      </c>
      <c r="D11" s="6">
        <v>-0.01</v>
      </c>
      <c r="E11" s="6">
        <v>2.5000000000000001E-2</v>
      </c>
      <c r="F11" s="6">
        <v>7.4999999999999997E-2</v>
      </c>
      <c r="G11" s="6">
        <v>0.14199999999999999</v>
      </c>
      <c r="H11" s="6">
        <v>0.255</v>
      </c>
      <c r="I11" s="6">
        <v>0.38500000000000001</v>
      </c>
      <c r="J11" s="6">
        <v>0.625</v>
      </c>
      <c r="K11" s="54">
        <f>I11-I6</f>
        <v>0.31</v>
      </c>
    </row>
    <row r="12" spans="2:11" x14ac:dyDescent="0.3">
      <c r="B12" s="12" t="s">
        <v>81</v>
      </c>
      <c r="C12" s="8">
        <v>-2.4899999999999999E-2</v>
      </c>
      <c r="D12" s="8">
        <v>-1.4E-2</v>
      </c>
      <c r="E12" s="8">
        <v>0.03</v>
      </c>
      <c r="F12" s="8">
        <v>8.7999999999999995E-2</v>
      </c>
      <c r="G12" s="8">
        <v>0.16800000000000001</v>
      </c>
      <c r="H12" s="8">
        <v>0.29499999999999998</v>
      </c>
      <c r="I12" s="8">
        <v>0.44500000000000001</v>
      </c>
      <c r="J12" s="8">
        <v>0.66800000000000004</v>
      </c>
      <c r="K12" s="55">
        <f>I12-I6</f>
        <v>0.37</v>
      </c>
    </row>
    <row r="13" spans="2:11" x14ac:dyDescent="0.3">
      <c r="B13" s="11" t="s">
        <v>82</v>
      </c>
      <c r="C13" s="6">
        <v>-2.7900000000000001E-2</v>
      </c>
      <c r="D13" s="6">
        <v>-0.02</v>
      </c>
      <c r="E13" s="6">
        <v>1.4999999999999999E-2</v>
      </c>
      <c r="F13" s="6">
        <v>6.8000000000000005E-2</v>
      </c>
      <c r="G13" s="6">
        <v>0.125</v>
      </c>
      <c r="H13" s="6">
        <v>0.22500000000000001</v>
      </c>
      <c r="I13" s="6">
        <v>0.35199999999999998</v>
      </c>
      <c r="J13" s="6">
        <v>0.58499999999999996</v>
      </c>
      <c r="K13" s="54">
        <f>I13-I6</f>
        <v>0.27699999999999997</v>
      </c>
    </row>
    <row r="14" spans="2:11" x14ac:dyDescent="0.3">
      <c r="B14" s="12" t="s">
        <v>83</v>
      </c>
      <c r="C14" s="8">
        <v>-2.63E-2</v>
      </c>
      <c r="D14" s="8">
        <v>-1.6E-2</v>
      </c>
      <c r="E14" s="8">
        <v>3.7999999999999999E-2</v>
      </c>
      <c r="F14" s="8">
        <v>0.105</v>
      </c>
      <c r="G14" s="8">
        <v>0.19800000000000001</v>
      </c>
      <c r="H14" s="8">
        <v>0.34499999999999997</v>
      </c>
      <c r="I14" s="8">
        <v>0.51500000000000001</v>
      </c>
      <c r="J14" s="8">
        <v>0.78</v>
      </c>
      <c r="K14" s="55">
        <f>I14-I6</f>
        <v>0.44</v>
      </c>
    </row>
    <row r="15" spans="2:11" x14ac:dyDescent="0.3">
      <c r="B15" s="11" t="s">
        <v>84</v>
      </c>
      <c r="C15" s="6">
        <v>-2.63E-2</v>
      </c>
      <c r="D15" s="6">
        <v>-1.2999999999999999E-2</v>
      </c>
      <c r="E15" s="6">
        <v>2.1999999999999999E-2</v>
      </c>
      <c r="F15" s="6">
        <v>7.8E-2</v>
      </c>
      <c r="G15" s="6">
        <v>0.14799999999999999</v>
      </c>
      <c r="H15" s="6">
        <v>0.26500000000000001</v>
      </c>
      <c r="I15" s="6">
        <v>0.39800000000000002</v>
      </c>
      <c r="J15" s="6">
        <v>0.61</v>
      </c>
      <c r="K15" s="54">
        <f>I15-I6</f>
        <v>0.32300000000000001</v>
      </c>
    </row>
    <row r="16" spans="2:11" x14ac:dyDescent="0.3">
      <c r="B16" s="12" t="s">
        <v>85</v>
      </c>
      <c r="C16" s="8">
        <v>-2.5600000000000001E-2</v>
      </c>
      <c r="D16" s="8">
        <v>-1.7000000000000001E-2</v>
      </c>
      <c r="E16" s="8">
        <v>0.02</v>
      </c>
      <c r="F16" s="8">
        <v>7.0000000000000007E-2</v>
      </c>
      <c r="G16" s="8">
        <v>0.13500000000000001</v>
      </c>
      <c r="H16" s="8">
        <v>0.24</v>
      </c>
      <c r="I16" s="8">
        <v>0.36499999999999999</v>
      </c>
      <c r="J16" s="8">
        <v>0.59499999999999997</v>
      </c>
      <c r="K16" s="55">
        <f>I16-I6</f>
        <v>0.28999999999999998</v>
      </c>
    </row>
    <row r="17" spans="2:11" x14ac:dyDescent="0.3">
      <c r="B17" s="11" t="s">
        <v>86</v>
      </c>
      <c r="C17" s="6">
        <v>-2.3800000000000002E-2</v>
      </c>
      <c r="D17" s="6">
        <v>-1.0999999999999999E-2</v>
      </c>
      <c r="E17" s="6">
        <v>2.5999999999999999E-2</v>
      </c>
      <c r="F17" s="6">
        <v>0.08</v>
      </c>
      <c r="G17" s="6">
        <v>0.155</v>
      </c>
      <c r="H17" s="6">
        <v>0.27500000000000002</v>
      </c>
      <c r="I17" s="6">
        <v>0.41199999999999998</v>
      </c>
      <c r="J17" s="6">
        <v>0.64500000000000002</v>
      </c>
      <c r="K17" s="54">
        <f>I17-I6</f>
        <v>0.33699999999999997</v>
      </c>
    </row>
    <row r="18" spans="2:11" x14ac:dyDescent="0.3">
      <c r="B18" s="12" t="s">
        <v>87</v>
      </c>
      <c r="C18" s="8">
        <v>-2.41E-2</v>
      </c>
      <c r="D18" s="8">
        <v>-1.2E-2</v>
      </c>
      <c r="E18" s="8">
        <v>2.4E-2</v>
      </c>
      <c r="F18" s="8">
        <v>7.5999999999999998E-2</v>
      </c>
      <c r="G18" s="8">
        <v>0.14499999999999999</v>
      </c>
      <c r="H18" s="8">
        <v>0.26</v>
      </c>
      <c r="I18" s="8">
        <v>0.39200000000000002</v>
      </c>
      <c r="J18" s="8">
        <v>0.61499999999999999</v>
      </c>
      <c r="K18" s="55">
        <f>I18-I6</f>
        <v>0.317</v>
      </c>
    </row>
    <row r="19" spans="2:11" x14ac:dyDescent="0.3">
      <c r="B19" s="11" t="s">
        <v>88</v>
      </c>
      <c r="C19" s="6">
        <v>-2.4500000000000001E-2</v>
      </c>
      <c r="D19" s="6">
        <v>-8.9999999999999993E-3</v>
      </c>
      <c r="E19" s="6">
        <v>0.04</v>
      </c>
      <c r="F19" s="6">
        <v>0.11</v>
      </c>
      <c r="G19" s="6">
        <v>0.20499999999999999</v>
      </c>
      <c r="H19" s="6">
        <v>0.35499999999999998</v>
      </c>
      <c r="I19" s="6">
        <v>0.52500000000000002</v>
      </c>
      <c r="J19" s="6">
        <v>0.79500000000000004</v>
      </c>
      <c r="K19" s="54">
        <f>I19-I6</f>
        <v>0.45</v>
      </c>
    </row>
    <row r="20" spans="2:11" x14ac:dyDescent="0.3">
      <c r="B20" s="12" t="s">
        <v>89</v>
      </c>
      <c r="C20" s="8">
        <v>-2.29E-2</v>
      </c>
      <c r="D20" s="8">
        <v>-7.0000000000000001E-3</v>
      </c>
      <c r="E20" s="8">
        <v>3.3000000000000002E-2</v>
      </c>
      <c r="F20" s="8">
        <v>9.8000000000000004E-2</v>
      </c>
      <c r="G20" s="8">
        <v>0.192</v>
      </c>
      <c r="H20" s="8">
        <v>0.33</v>
      </c>
      <c r="I20" s="8">
        <v>0.495</v>
      </c>
      <c r="J20" s="8">
        <v>0.745</v>
      </c>
      <c r="K20" s="55">
        <f>I20-I6</f>
        <v>0.42</v>
      </c>
    </row>
    <row r="21" spans="2:11" x14ac:dyDescent="0.3">
      <c r="B21" s="11" t="s">
        <v>90</v>
      </c>
      <c r="C21" s="6">
        <v>-2.4899999999999999E-2</v>
      </c>
      <c r="D21" s="6">
        <v>-0.01</v>
      </c>
      <c r="E21" s="6">
        <v>2.9000000000000001E-2</v>
      </c>
      <c r="F21" s="6">
        <v>0.09</v>
      </c>
      <c r="G21" s="6">
        <v>0.17199999999999999</v>
      </c>
      <c r="H21" s="6">
        <v>0.30499999999999999</v>
      </c>
      <c r="I21" s="6">
        <v>0.45800000000000002</v>
      </c>
      <c r="J21" s="6">
        <v>0.68500000000000005</v>
      </c>
      <c r="K21" s="54">
        <f>I21-I6</f>
        <v>0.38300000000000001</v>
      </c>
    </row>
    <row r="23" spans="2:11" ht="20.85" customHeight="1" x14ac:dyDescent="0.3">
      <c r="B23" s="1" t="s">
        <v>249</v>
      </c>
      <c r="C23" s="1"/>
      <c r="D23" s="1"/>
      <c r="E23" s="1"/>
      <c r="F23" s="1"/>
      <c r="G23" s="1"/>
      <c r="H23" s="1"/>
      <c r="I23" s="1"/>
      <c r="J23" s="1"/>
    </row>
    <row r="25" spans="2:11" ht="18" customHeight="1" x14ac:dyDescent="0.3">
      <c r="B25" s="2" t="s">
        <v>250</v>
      </c>
      <c r="C25" s="2"/>
      <c r="D25" s="2"/>
      <c r="E25" s="2"/>
      <c r="F25" s="2"/>
      <c r="G25" s="2"/>
      <c r="H25" s="2"/>
      <c r="I25" s="2"/>
      <c r="J25" s="2"/>
    </row>
    <row r="26" spans="2:11" ht="27.75" customHeight="1" x14ac:dyDescent="0.3">
      <c r="B26" s="4" t="s">
        <v>115</v>
      </c>
      <c r="C26" s="4" t="s">
        <v>72</v>
      </c>
      <c r="D26" s="4" t="s">
        <v>68</v>
      </c>
      <c r="E26" s="4" t="s">
        <v>251</v>
      </c>
      <c r="F26" s="4" t="s">
        <v>252</v>
      </c>
      <c r="G26" s="4" t="s">
        <v>253</v>
      </c>
      <c r="H26" s="4" t="s">
        <v>254</v>
      </c>
      <c r="I26" s="4" t="s">
        <v>255</v>
      </c>
      <c r="J26" s="4" t="s">
        <v>256</v>
      </c>
      <c r="K26" s="4" t="s">
        <v>257</v>
      </c>
    </row>
    <row r="27" spans="2:11" ht="27.6" x14ac:dyDescent="0.3">
      <c r="B27" s="11" t="s">
        <v>76</v>
      </c>
      <c r="C27" s="5">
        <v>3500</v>
      </c>
      <c r="D27" s="5">
        <v>2964</v>
      </c>
      <c r="E27" s="5">
        <f t="shared" ref="E27:E41" si="0">D27-C27</f>
        <v>-536</v>
      </c>
      <c r="F27" s="6">
        <f t="shared" ref="F27:F41" si="1">IF(C27&lt;&gt;0,(D27-C27)/C27,"-")</f>
        <v>-0.15314285714285714</v>
      </c>
      <c r="G27" s="6">
        <f t="shared" ref="G27:G41" si="2">IF(D27&lt;&gt;0,C27/D27-1,"-")</f>
        <v>0.18083670715249656</v>
      </c>
      <c r="H27" s="14">
        <f t="shared" ref="H27:H41" si="3">IFERROR(LOG(C27/D27)/LOG(1.05),"-")</f>
        <v>3.4069010402237891</v>
      </c>
      <c r="I27" s="14">
        <f t="shared" ref="I27:I41" si="4">IFERROR(LOG(C27/D27)/LOG(1.1),"-")</f>
        <v>1.7440242102447976</v>
      </c>
      <c r="J27" s="14">
        <f t="shared" ref="J27:J41" si="5">IFERROR(LOG(C27/D27)/LOG(1.15),"-")</f>
        <v>1.1893313604310074</v>
      </c>
      <c r="K27" s="9" t="str">
        <f t="shared" ref="K27:K41" si="6">IF(F27&lt;=-0.25,"HIGH",IF(F27&lt;=-0.15,"MED","LOW"))</f>
        <v>MED</v>
      </c>
    </row>
    <row r="28" spans="2:11" ht="27.6" x14ac:dyDescent="0.3">
      <c r="B28" s="12" t="s">
        <v>77</v>
      </c>
      <c r="C28" s="7">
        <v>1500</v>
      </c>
      <c r="D28" s="7">
        <v>1241.25</v>
      </c>
      <c r="E28" s="7">
        <f t="shared" si="0"/>
        <v>-258.75</v>
      </c>
      <c r="F28" s="8">
        <f t="shared" si="1"/>
        <v>-0.17249999999999999</v>
      </c>
      <c r="G28" s="8">
        <f t="shared" si="2"/>
        <v>0.2084592145015105</v>
      </c>
      <c r="H28" s="15">
        <f t="shared" si="3"/>
        <v>3.880826698458784</v>
      </c>
      <c r="I28" s="15">
        <f t="shared" si="4"/>
        <v>1.9866311460082562</v>
      </c>
      <c r="J28" s="15">
        <f t="shared" si="5"/>
        <v>1.3547763326203854</v>
      </c>
      <c r="K28" s="10" t="str">
        <f t="shared" si="6"/>
        <v>MED</v>
      </c>
    </row>
    <row r="29" spans="2:11" ht="27.6" x14ac:dyDescent="0.3">
      <c r="B29" s="11" t="s">
        <v>78</v>
      </c>
      <c r="C29" s="5">
        <v>280</v>
      </c>
      <c r="D29" s="5">
        <v>193.65</v>
      </c>
      <c r="E29" s="5">
        <f t="shared" si="0"/>
        <v>-86.35</v>
      </c>
      <c r="F29" s="6">
        <f t="shared" si="1"/>
        <v>-0.30839285714285714</v>
      </c>
      <c r="G29" s="6">
        <f t="shared" si="2"/>
        <v>0.44590756519493935</v>
      </c>
      <c r="H29" s="14">
        <f t="shared" si="3"/>
        <v>7.5576133732197857</v>
      </c>
      <c r="I29" s="14">
        <f t="shared" si="4"/>
        <v>3.8688123132861412</v>
      </c>
      <c r="J29" s="14">
        <f t="shared" si="5"/>
        <v>2.638323358577106</v>
      </c>
      <c r="K29" s="9" t="str">
        <f t="shared" si="6"/>
        <v>HIGH</v>
      </c>
    </row>
    <row r="30" spans="2:11" ht="27.6" x14ac:dyDescent="0.3">
      <c r="B30" s="12" t="s">
        <v>79</v>
      </c>
      <c r="C30" s="7">
        <v>650</v>
      </c>
      <c r="D30" s="7">
        <v>546.79999999999995</v>
      </c>
      <c r="E30" s="7">
        <f t="shared" si="0"/>
        <v>-103.20000000000005</v>
      </c>
      <c r="F30" s="8">
        <f t="shared" si="1"/>
        <v>-0.15876923076923083</v>
      </c>
      <c r="G30" s="8">
        <f t="shared" si="2"/>
        <v>0.18873445501097308</v>
      </c>
      <c r="H30" s="15">
        <f t="shared" si="3"/>
        <v>3.5435268764315162</v>
      </c>
      <c r="I30" s="15">
        <f t="shared" si="4"/>
        <v>1.8139642417508388</v>
      </c>
      <c r="J30" s="15">
        <f t="shared" si="5"/>
        <v>1.2370267263158605</v>
      </c>
      <c r="K30" s="10" t="str">
        <f t="shared" si="6"/>
        <v>MED</v>
      </c>
    </row>
    <row r="31" spans="2:11" ht="27.6" x14ac:dyDescent="0.3">
      <c r="B31" s="11" t="s">
        <v>80</v>
      </c>
      <c r="C31" s="5">
        <v>1200</v>
      </c>
      <c r="D31" s="5">
        <v>986.8</v>
      </c>
      <c r="E31" s="5">
        <f t="shared" si="0"/>
        <v>-213.20000000000005</v>
      </c>
      <c r="F31" s="6">
        <f t="shared" si="1"/>
        <v>-0.17766666666666669</v>
      </c>
      <c r="G31" s="6">
        <f t="shared" si="2"/>
        <v>0.2160518848804216</v>
      </c>
      <c r="H31" s="14">
        <f t="shared" si="3"/>
        <v>4.0091984614276628</v>
      </c>
      <c r="I31" s="14">
        <f t="shared" si="4"/>
        <v>2.0523458409425199</v>
      </c>
      <c r="J31" s="14">
        <f t="shared" si="5"/>
        <v>1.3995902446448669</v>
      </c>
      <c r="K31" s="9" t="str">
        <f t="shared" si="6"/>
        <v>MED</v>
      </c>
    </row>
    <row r="32" spans="2:11" ht="27.6" x14ac:dyDescent="0.3">
      <c r="B32" s="12" t="s">
        <v>81</v>
      </c>
      <c r="C32" s="7">
        <v>1400</v>
      </c>
      <c r="D32" s="7">
        <v>1082.3499999999999</v>
      </c>
      <c r="E32" s="7">
        <f t="shared" si="0"/>
        <v>-317.65000000000009</v>
      </c>
      <c r="F32" s="8">
        <f t="shared" si="1"/>
        <v>-0.2268928571428572</v>
      </c>
      <c r="G32" s="8">
        <f t="shared" si="2"/>
        <v>0.29348177576569512</v>
      </c>
      <c r="H32" s="15">
        <f t="shared" si="3"/>
        <v>5.2743752319389099</v>
      </c>
      <c r="I32" s="15">
        <f t="shared" si="4"/>
        <v>2.7000015526757855</v>
      </c>
      <c r="J32" s="15">
        <f t="shared" si="5"/>
        <v>1.8412568477813671</v>
      </c>
      <c r="K32" s="10" t="str">
        <f t="shared" si="6"/>
        <v>MED</v>
      </c>
    </row>
    <row r="33" spans="2:11" ht="27.6" x14ac:dyDescent="0.3">
      <c r="B33" s="11" t="s">
        <v>82</v>
      </c>
      <c r="C33" s="5">
        <v>420</v>
      </c>
      <c r="D33" s="5">
        <v>281.89999999999998</v>
      </c>
      <c r="E33" s="5">
        <f t="shared" si="0"/>
        <v>-138.10000000000002</v>
      </c>
      <c r="F33" s="6">
        <f t="shared" si="1"/>
        <v>-0.32880952380952388</v>
      </c>
      <c r="G33" s="6">
        <f t="shared" si="2"/>
        <v>0.48989003192621516</v>
      </c>
      <c r="H33" s="14">
        <f t="shared" si="3"/>
        <v>8.1717764214276158</v>
      </c>
      <c r="I33" s="14">
        <f t="shared" si="4"/>
        <v>4.1832080683920303</v>
      </c>
      <c r="J33" s="14">
        <f t="shared" si="5"/>
        <v>2.8527244712092159</v>
      </c>
      <c r="K33" s="9" t="str">
        <f t="shared" si="6"/>
        <v>HIGH</v>
      </c>
    </row>
    <row r="34" spans="2:11" ht="27.6" x14ac:dyDescent="0.3">
      <c r="B34" s="12" t="s">
        <v>83</v>
      </c>
      <c r="C34" s="7">
        <v>2200</v>
      </c>
      <c r="D34" s="7">
        <v>1767.2</v>
      </c>
      <c r="E34" s="7">
        <f t="shared" si="0"/>
        <v>-432.79999999999995</v>
      </c>
      <c r="F34" s="8">
        <f t="shared" si="1"/>
        <v>-0.1967272727272727</v>
      </c>
      <c r="G34" s="8">
        <f t="shared" si="2"/>
        <v>0.24490719782707093</v>
      </c>
      <c r="H34" s="15">
        <f t="shared" si="3"/>
        <v>4.4898596053043311</v>
      </c>
      <c r="I34" s="15">
        <f t="shared" si="4"/>
        <v>2.2984007342157926</v>
      </c>
      <c r="J34" s="15">
        <f t="shared" si="5"/>
        <v>1.5673865396953421</v>
      </c>
      <c r="K34" s="10" t="str">
        <f t="shared" si="6"/>
        <v>MED</v>
      </c>
    </row>
    <row r="35" spans="2:11" ht="27.6" x14ac:dyDescent="0.3">
      <c r="B35" s="11" t="s">
        <v>84</v>
      </c>
      <c r="C35" s="5">
        <v>130</v>
      </c>
      <c r="D35" s="5">
        <v>85.2</v>
      </c>
      <c r="E35" s="5">
        <f t="shared" si="0"/>
        <v>-44.8</v>
      </c>
      <c r="F35" s="6">
        <f t="shared" si="1"/>
        <v>-0.3446153846153846</v>
      </c>
      <c r="G35" s="6">
        <f t="shared" si="2"/>
        <v>0.5258215962441315</v>
      </c>
      <c r="H35" s="14">
        <f t="shared" si="3"/>
        <v>8.6602089542678211</v>
      </c>
      <c r="I35" s="14">
        <f t="shared" si="4"/>
        <v>4.4332412076840813</v>
      </c>
      <c r="J35" s="14">
        <f t="shared" si="5"/>
        <v>3.0232337175603945</v>
      </c>
      <c r="K35" s="9" t="str">
        <f t="shared" si="6"/>
        <v>HIGH</v>
      </c>
    </row>
    <row r="36" spans="2:11" ht="27.6" x14ac:dyDescent="0.3">
      <c r="B36" s="12" t="s">
        <v>85</v>
      </c>
      <c r="C36" s="7">
        <v>250</v>
      </c>
      <c r="D36" s="7">
        <v>169.05</v>
      </c>
      <c r="E36" s="7">
        <f t="shared" si="0"/>
        <v>-80.949999999999989</v>
      </c>
      <c r="F36" s="8">
        <f t="shared" si="1"/>
        <v>-0.32379999999999998</v>
      </c>
      <c r="G36" s="8">
        <f t="shared" si="2"/>
        <v>0.47885241052942917</v>
      </c>
      <c r="H36" s="15">
        <f t="shared" si="3"/>
        <v>8.0193702023549882</v>
      </c>
      <c r="I36" s="15">
        <f t="shared" si="4"/>
        <v>4.1051899126791564</v>
      </c>
      <c r="J36" s="15">
        <f t="shared" si="5"/>
        <v>2.7995202560800654</v>
      </c>
      <c r="K36" s="10" t="str">
        <f t="shared" si="6"/>
        <v>HIGH</v>
      </c>
    </row>
    <row r="37" spans="2:11" ht="27.6" x14ac:dyDescent="0.3">
      <c r="B37" s="11" t="s">
        <v>86</v>
      </c>
      <c r="C37" s="5">
        <v>500</v>
      </c>
      <c r="D37" s="5">
        <v>355.35</v>
      </c>
      <c r="E37" s="5">
        <f t="shared" si="0"/>
        <v>-144.64999999999998</v>
      </c>
      <c r="F37" s="6">
        <f t="shared" si="1"/>
        <v>-0.28929999999999995</v>
      </c>
      <c r="G37" s="6">
        <f t="shared" si="2"/>
        <v>0.40706345856198101</v>
      </c>
      <c r="H37" s="14">
        <f t="shared" si="3"/>
        <v>6.999461571052608</v>
      </c>
      <c r="I37" s="14">
        <f t="shared" si="4"/>
        <v>3.5830892340189542</v>
      </c>
      <c r="J37" s="14">
        <f t="shared" si="5"/>
        <v>2.4434754794162532</v>
      </c>
      <c r="K37" s="9" t="str">
        <f t="shared" si="6"/>
        <v>HIGH</v>
      </c>
    </row>
    <row r="38" spans="2:11" ht="27.6" x14ac:dyDescent="0.3">
      <c r="B38" s="12" t="s">
        <v>87</v>
      </c>
      <c r="C38" s="7">
        <v>900</v>
      </c>
      <c r="D38" s="7">
        <v>692.85</v>
      </c>
      <c r="E38" s="7">
        <f t="shared" si="0"/>
        <v>-207.14999999999998</v>
      </c>
      <c r="F38" s="8">
        <f t="shared" si="1"/>
        <v>-0.23016666666666663</v>
      </c>
      <c r="G38" s="8">
        <f t="shared" si="2"/>
        <v>0.29898246373673953</v>
      </c>
      <c r="H38" s="15">
        <f t="shared" si="3"/>
        <v>5.3613518673805203</v>
      </c>
      <c r="I38" s="15">
        <f t="shared" si="4"/>
        <v>2.7445256982687671</v>
      </c>
      <c r="J38" s="15">
        <f t="shared" si="5"/>
        <v>1.8716199369742037</v>
      </c>
      <c r="K38" s="10" t="str">
        <f t="shared" si="6"/>
        <v>MED</v>
      </c>
    </row>
    <row r="39" spans="2:11" ht="27.6" x14ac:dyDescent="0.3">
      <c r="B39" s="11" t="s">
        <v>88</v>
      </c>
      <c r="C39" s="5">
        <v>2300</v>
      </c>
      <c r="D39" s="5">
        <v>1843.65</v>
      </c>
      <c r="E39" s="5">
        <f t="shared" si="0"/>
        <v>-456.34999999999991</v>
      </c>
      <c r="F39" s="6">
        <f t="shared" si="1"/>
        <v>-0.19841304347826083</v>
      </c>
      <c r="G39" s="6">
        <f t="shared" si="2"/>
        <v>0.24752528950722752</v>
      </c>
      <c r="H39" s="14">
        <f t="shared" si="3"/>
        <v>4.5329181476028655</v>
      </c>
      <c r="I39" s="14">
        <f t="shared" si="4"/>
        <v>2.3204428009913984</v>
      </c>
      <c r="J39" s="14">
        <f t="shared" si="5"/>
        <v>1.5824180519363693</v>
      </c>
      <c r="K39" s="9" t="str">
        <f t="shared" si="6"/>
        <v>MED</v>
      </c>
    </row>
    <row r="40" spans="2:11" ht="27.6" x14ac:dyDescent="0.3">
      <c r="B40" s="12" t="s">
        <v>89</v>
      </c>
      <c r="C40" s="7">
        <v>700</v>
      </c>
      <c r="D40" s="7">
        <v>500.25</v>
      </c>
      <c r="E40" s="7">
        <f t="shared" si="0"/>
        <v>-199.75</v>
      </c>
      <c r="F40" s="8">
        <f t="shared" si="1"/>
        <v>-0.28535714285714286</v>
      </c>
      <c r="G40" s="8">
        <f t="shared" si="2"/>
        <v>0.39930034982508755</v>
      </c>
      <c r="H40" s="15">
        <f t="shared" si="3"/>
        <v>6.8860674543508695</v>
      </c>
      <c r="I40" s="15">
        <f t="shared" si="4"/>
        <v>3.5250417349891134</v>
      </c>
      <c r="J40" s="15">
        <f t="shared" si="5"/>
        <v>2.403890185482124</v>
      </c>
      <c r="K40" s="10" t="str">
        <f t="shared" si="6"/>
        <v>HIGH</v>
      </c>
    </row>
    <row r="41" spans="2:11" ht="27.6" x14ac:dyDescent="0.3">
      <c r="B41" s="11" t="s">
        <v>90</v>
      </c>
      <c r="C41" s="5">
        <v>1800</v>
      </c>
      <c r="D41" s="5">
        <v>1412</v>
      </c>
      <c r="E41" s="5">
        <f t="shared" si="0"/>
        <v>-388</v>
      </c>
      <c r="F41" s="6">
        <f t="shared" si="1"/>
        <v>-0.21555555555555556</v>
      </c>
      <c r="G41" s="6">
        <f t="shared" si="2"/>
        <v>0.27478753541076495</v>
      </c>
      <c r="H41" s="14">
        <f t="shared" si="3"/>
        <v>4.975993214287536</v>
      </c>
      <c r="I41" s="14">
        <f t="shared" si="4"/>
        <v>2.5472570330840147</v>
      </c>
      <c r="J41" s="14">
        <f t="shared" si="5"/>
        <v>1.7370932437342865</v>
      </c>
      <c r="K41" s="9" t="str">
        <f t="shared" si="6"/>
        <v>MED</v>
      </c>
    </row>
    <row r="43" spans="2:11" ht="20.85" customHeight="1" x14ac:dyDescent="0.3">
      <c r="B43" s="1" t="s">
        <v>258</v>
      </c>
      <c r="C43" s="1"/>
      <c r="D43" s="1"/>
      <c r="E43" s="1"/>
      <c r="F43" s="1"/>
      <c r="G43" s="1"/>
      <c r="H43" s="1"/>
      <c r="I43" s="1"/>
      <c r="J43" s="1"/>
    </row>
  </sheetData>
  <mergeCells count="5">
    <mergeCell ref="B1:J1"/>
    <mergeCell ref="B3:J3"/>
    <mergeCell ref="B23:J23"/>
    <mergeCell ref="B25:J25"/>
    <mergeCell ref="B43:J43"/>
  </mergeCells>
  <conditionalFormatting sqref="K27:K41">
    <cfRule type="cellIs" dxfId="2" priority="2" operator="equal">
      <formula>"HIGH"</formula>
    </cfRule>
    <cfRule type="cellIs" dxfId="1" priority="3" operator="equal">
      <formula>"MED"</formula>
    </cfRule>
    <cfRule type="cellIs" dxfId="0" priority="4" operator="equal">
      <formula>"LOW"</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25"/>
  <sheetViews>
    <sheetView showGridLines="0" topLeftCell="A10" zoomScaleNormal="100" workbookViewId="0">
      <selection activeCell="I8" sqref="I8"/>
    </sheetView>
  </sheetViews>
  <sheetFormatPr defaultColWidth="8.6640625" defaultRowHeight="14.4" x14ac:dyDescent="0.3"/>
  <cols>
    <col min="1" max="1" width="3" customWidth="1"/>
    <col min="2" max="2" width="20" customWidth="1"/>
    <col min="3" max="3" width="24" customWidth="1"/>
    <col min="4" max="4" width="38" customWidth="1"/>
    <col min="5" max="5" width="32" customWidth="1"/>
    <col min="6" max="6" width="43.44140625" customWidth="1"/>
    <col min="7" max="7" width="31.6640625" customWidth="1"/>
  </cols>
  <sheetData>
    <row r="1" spans="2:8" ht="18" x14ac:dyDescent="0.3">
      <c r="B1" s="17" t="s">
        <v>259</v>
      </c>
      <c r="C1" s="17"/>
      <c r="D1" s="17"/>
      <c r="E1" s="17"/>
      <c r="F1" s="17"/>
      <c r="G1" s="18"/>
      <c r="H1" s="18"/>
    </row>
    <row r="2" spans="2:8" x14ac:dyDescent="0.3">
      <c r="B2" s="26" t="s">
        <v>260</v>
      </c>
      <c r="C2" s="26"/>
      <c r="D2" s="26"/>
      <c r="E2" s="26"/>
      <c r="F2" s="26"/>
      <c r="G2" s="18"/>
      <c r="H2" s="18"/>
    </row>
    <row r="3" spans="2:8" x14ac:dyDescent="0.3">
      <c r="B3" s="18"/>
      <c r="C3" s="18"/>
      <c r="D3" s="18"/>
      <c r="E3" s="18"/>
      <c r="F3" s="18"/>
      <c r="G3" s="18"/>
      <c r="H3" s="18"/>
    </row>
    <row r="4" spans="2:8" x14ac:dyDescent="0.3">
      <c r="B4" s="19" t="s">
        <v>261</v>
      </c>
      <c r="C4" s="19"/>
      <c r="D4" s="19"/>
      <c r="E4" s="19"/>
      <c r="F4" s="19"/>
      <c r="G4" s="18"/>
      <c r="H4" s="18"/>
    </row>
    <row r="5" spans="2:8" x14ac:dyDescent="0.3">
      <c r="B5" s="40" t="s">
        <v>262</v>
      </c>
      <c r="C5" s="40" t="s">
        <v>263</v>
      </c>
      <c r="D5" s="40" t="s">
        <v>264</v>
      </c>
      <c r="E5" s="40" t="s">
        <v>265</v>
      </c>
      <c r="F5" s="40" t="s">
        <v>266</v>
      </c>
      <c r="G5" s="18"/>
      <c r="H5" s="18"/>
    </row>
    <row r="6" spans="2:8" ht="28.8" x14ac:dyDescent="0.3">
      <c r="B6" s="41" t="s">
        <v>267</v>
      </c>
      <c r="C6" s="42" t="s">
        <v>268</v>
      </c>
      <c r="D6" s="42" t="s">
        <v>161</v>
      </c>
      <c r="E6" s="42" t="s">
        <v>52</v>
      </c>
      <c r="F6" s="43" t="s">
        <v>269</v>
      </c>
      <c r="G6" s="18"/>
      <c r="H6" s="18"/>
    </row>
    <row r="7" spans="2:8" ht="43.2" x14ac:dyDescent="0.3">
      <c r="B7" s="44" t="s">
        <v>270</v>
      </c>
      <c r="C7" s="45" t="s">
        <v>271</v>
      </c>
      <c r="D7" s="45" t="s">
        <v>161</v>
      </c>
      <c r="E7" s="45" t="s">
        <v>52</v>
      </c>
      <c r="F7" s="46" t="s">
        <v>272</v>
      </c>
      <c r="G7" s="18"/>
      <c r="H7" s="18"/>
    </row>
    <row r="8" spans="2:8" ht="43.2" x14ac:dyDescent="0.3">
      <c r="B8" s="41" t="s">
        <v>273</v>
      </c>
      <c r="C8" s="42" t="s">
        <v>274</v>
      </c>
      <c r="D8" s="42" t="s">
        <v>173</v>
      </c>
      <c r="E8" s="42" t="s">
        <v>275</v>
      </c>
      <c r="F8" s="43" t="s">
        <v>276</v>
      </c>
      <c r="G8" s="18"/>
      <c r="H8" s="18"/>
    </row>
    <row r="9" spans="2:8" ht="28.8" x14ac:dyDescent="0.3">
      <c r="B9" s="44" t="s">
        <v>277</v>
      </c>
      <c r="C9" s="45" t="s">
        <v>278</v>
      </c>
      <c r="D9" s="45" t="s">
        <v>279</v>
      </c>
      <c r="E9" s="45" t="s">
        <v>52</v>
      </c>
      <c r="F9" s="46" t="s">
        <v>280</v>
      </c>
      <c r="G9" s="18"/>
      <c r="H9" s="18"/>
    </row>
    <row r="10" spans="2:8" ht="43.2" x14ac:dyDescent="0.3">
      <c r="B10" s="41" t="s">
        <v>281</v>
      </c>
      <c r="C10" s="42" t="s">
        <v>282</v>
      </c>
      <c r="D10" s="42" t="s">
        <v>283</v>
      </c>
      <c r="E10" s="42" t="s">
        <v>275</v>
      </c>
      <c r="F10" s="43" t="s">
        <v>284</v>
      </c>
      <c r="G10" s="18"/>
      <c r="H10" s="18"/>
    </row>
    <row r="11" spans="2:8" ht="43.2" x14ac:dyDescent="0.3">
      <c r="B11" s="44" t="s">
        <v>285</v>
      </c>
      <c r="C11" s="45" t="s">
        <v>286</v>
      </c>
      <c r="D11" s="45" t="s">
        <v>173</v>
      </c>
      <c r="E11" s="45" t="s">
        <v>275</v>
      </c>
      <c r="F11" s="46" t="s">
        <v>287</v>
      </c>
      <c r="G11" s="18"/>
      <c r="H11" s="18"/>
    </row>
    <row r="12" spans="2:8" ht="43.2" x14ac:dyDescent="0.3">
      <c r="B12" s="41" t="s">
        <v>288</v>
      </c>
      <c r="C12" s="42" t="s">
        <v>289</v>
      </c>
      <c r="D12" s="42" t="s">
        <v>290</v>
      </c>
      <c r="E12" s="42" t="s">
        <v>52</v>
      </c>
      <c r="F12" s="43" t="s">
        <v>291</v>
      </c>
      <c r="G12" s="18"/>
      <c r="H12" s="18"/>
    </row>
    <row r="13" spans="2:8" x14ac:dyDescent="0.3">
      <c r="B13" s="18"/>
      <c r="C13" s="18"/>
      <c r="D13" s="18"/>
      <c r="E13" s="18"/>
      <c r="F13" s="18"/>
      <c r="G13" s="18"/>
      <c r="H13" s="18"/>
    </row>
    <row r="14" spans="2:8" x14ac:dyDescent="0.3">
      <c r="B14" s="19" t="s">
        <v>292</v>
      </c>
      <c r="C14" s="19"/>
      <c r="D14" s="19"/>
      <c r="E14" s="19"/>
      <c r="F14" s="19"/>
      <c r="G14" s="18"/>
      <c r="H14" s="18"/>
    </row>
    <row r="15" spans="2:8" x14ac:dyDescent="0.3">
      <c r="B15" s="40" t="s">
        <v>293</v>
      </c>
      <c r="C15" s="40" t="s">
        <v>104</v>
      </c>
      <c r="D15" s="40" t="s">
        <v>294</v>
      </c>
      <c r="E15" s="40" t="s">
        <v>295</v>
      </c>
      <c r="F15" s="40" t="s">
        <v>31</v>
      </c>
      <c r="G15" s="40" t="s">
        <v>296</v>
      </c>
      <c r="H15" s="18"/>
    </row>
    <row r="16" spans="2:8" ht="28.8" x14ac:dyDescent="0.3">
      <c r="B16" s="41" t="s">
        <v>78</v>
      </c>
      <c r="C16" s="47" t="s">
        <v>297</v>
      </c>
      <c r="D16" s="48">
        <v>250</v>
      </c>
      <c r="E16" s="49">
        <f>(D16-193.65)/193.65</f>
        <v>0.29098889749548151</v>
      </c>
      <c r="F16" s="42" t="s">
        <v>298</v>
      </c>
      <c r="G16" s="43" t="s">
        <v>299</v>
      </c>
      <c r="H16" s="18"/>
    </row>
    <row r="17" spans="2:8" ht="28.8" x14ac:dyDescent="0.3">
      <c r="B17" s="44" t="s">
        <v>77</v>
      </c>
      <c r="C17" s="47" t="s">
        <v>297</v>
      </c>
      <c r="D17" s="50">
        <v>1600</v>
      </c>
      <c r="E17" s="51">
        <f>(D17-1241.25)/1241.25</f>
        <v>0.28902316213494461</v>
      </c>
      <c r="F17" s="45" t="s">
        <v>298</v>
      </c>
      <c r="G17" s="46" t="s">
        <v>300</v>
      </c>
      <c r="H17" s="18"/>
    </row>
    <row r="18" spans="2:8" ht="57.6" x14ac:dyDescent="0.3">
      <c r="B18" s="41" t="s">
        <v>82</v>
      </c>
      <c r="C18" s="52" t="s">
        <v>301</v>
      </c>
      <c r="D18" s="48">
        <v>380</v>
      </c>
      <c r="E18" s="49">
        <f>(D18-281.9)/281.9</f>
        <v>0.34799574317133747</v>
      </c>
      <c r="F18" s="42" t="s">
        <v>298</v>
      </c>
      <c r="G18" s="43" t="s">
        <v>302</v>
      </c>
      <c r="H18" s="18"/>
    </row>
    <row r="19" spans="2:8" ht="43.2" x14ac:dyDescent="0.3">
      <c r="B19" s="44" t="s">
        <v>79</v>
      </c>
      <c r="C19" s="53" t="s">
        <v>303</v>
      </c>
      <c r="D19" s="50">
        <v>650</v>
      </c>
      <c r="E19" s="51">
        <f>(D19-546.8)/546.8</f>
        <v>0.18873445501097302</v>
      </c>
      <c r="F19" s="45" t="s">
        <v>298</v>
      </c>
      <c r="G19" s="46" t="s">
        <v>304</v>
      </c>
      <c r="H19" s="18"/>
    </row>
    <row r="20" spans="2:8" ht="43.2" x14ac:dyDescent="0.3">
      <c r="B20" s="41" t="s">
        <v>88</v>
      </c>
      <c r="C20" s="47" t="s">
        <v>297</v>
      </c>
      <c r="D20" s="48">
        <v>2300</v>
      </c>
      <c r="E20" s="49">
        <f>(D20-1843.65)/1843.65</f>
        <v>0.24752528950722744</v>
      </c>
      <c r="F20" s="42" t="s">
        <v>298</v>
      </c>
      <c r="G20" s="43" t="s">
        <v>305</v>
      </c>
      <c r="H20" s="18"/>
    </row>
    <row r="21" spans="2:8" x14ac:dyDescent="0.3">
      <c r="B21" s="18"/>
      <c r="C21" s="18"/>
      <c r="D21" s="18"/>
      <c r="E21" s="18"/>
      <c r="F21" s="18"/>
      <c r="G21" s="18"/>
      <c r="H21" s="18"/>
    </row>
    <row r="22" spans="2:8" x14ac:dyDescent="0.3">
      <c r="B22" s="20" t="s">
        <v>306</v>
      </c>
      <c r="C22" s="20"/>
      <c r="D22" s="20"/>
      <c r="E22" s="20"/>
      <c r="F22" s="20"/>
      <c r="G22" s="18"/>
      <c r="H22" s="18"/>
    </row>
    <row r="23" spans="2:8" x14ac:dyDescent="0.3">
      <c r="B23" s="18"/>
      <c r="C23" s="18"/>
      <c r="D23" s="18"/>
      <c r="E23" s="18"/>
      <c r="F23" s="18"/>
      <c r="G23" s="18"/>
      <c r="H23" s="18"/>
    </row>
    <row r="24" spans="2:8" x14ac:dyDescent="0.3">
      <c r="B24" s="18"/>
      <c r="C24" s="18"/>
      <c r="D24" s="18"/>
      <c r="E24" s="18"/>
      <c r="F24" s="18"/>
      <c r="G24" s="18"/>
      <c r="H24" s="18"/>
    </row>
    <row r="25" spans="2:8" x14ac:dyDescent="0.3">
      <c r="B25" s="18"/>
      <c r="C25" s="18"/>
      <c r="D25" s="18"/>
      <c r="E25" s="18"/>
      <c r="F25" s="18"/>
      <c r="G25" s="18"/>
      <c r="H25" s="18"/>
    </row>
  </sheetData>
  <mergeCells count="5">
    <mergeCell ref="B1:F1"/>
    <mergeCell ref="B2:F2"/>
    <mergeCell ref="B4:F4"/>
    <mergeCell ref="B14:F14"/>
    <mergeCell ref="B22:F2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15"/>
  <sheetViews>
    <sheetView showGridLines="0" tabSelected="1" zoomScale="95" zoomScaleNormal="100" workbookViewId="0">
      <selection activeCell="F4" sqref="F4"/>
    </sheetView>
  </sheetViews>
  <sheetFormatPr defaultColWidth="8.6640625" defaultRowHeight="14.4" x14ac:dyDescent="0.3"/>
  <cols>
    <col min="1" max="1" width="3" customWidth="1"/>
    <col min="2" max="2" width="95" customWidth="1"/>
    <col min="3" max="3" width="4" customWidth="1"/>
  </cols>
  <sheetData>
    <row r="1" spans="2:3" ht="21.75" customHeight="1" x14ac:dyDescent="0.3">
      <c r="B1" s="21" t="s">
        <v>307</v>
      </c>
      <c r="C1" s="21"/>
    </row>
    <row r="2" spans="2:3" ht="6" customHeight="1" x14ac:dyDescent="0.3">
      <c r="B2" s="22"/>
      <c r="C2" s="22"/>
    </row>
    <row r="3" spans="2:3" ht="18" customHeight="1" x14ac:dyDescent="0.3">
      <c r="B3" s="23" t="s">
        <v>308</v>
      </c>
      <c r="C3" s="23"/>
    </row>
    <row r="4" spans="2:3" ht="265.2" customHeight="1" x14ac:dyDescent="0.3">
      <c r="B4" s="24" t="s">
        <v>309</v>
      </c>
      <c r="C4" s="24"/>
    </row>
    <row r="5" spans="2:3" x14ac:dyDescent="0.3">
      <c r="B5" s="22"/>
      <c r="C5" s="22"/>
    </row>
    <row r="6" spans="2:3" ht="18" customHeight="1" x14ac:dyDescent="0.3">
      <c r="B6" s="23" t="s">
        <v>310</v>
      </c>
      <c r="C6" s="23"/>
    </row>
    <row r="7" spans="2:3" ht="27.75" customHeight="1" x14ac:dyDescent="0.3">
      <c r="B7" s="25" t="s">
        <v>311</v>
      </c>
      <c r="C7" s="25"/>
    </row>
    <row r="8" spans="2:3" ht="27.75" customHeight="1" x14ac:dyDescent="0.3">
      <c r="B8" s="25" t="s">
        <v>312</v>
      </c>
      <c r="C8" s="25"/>
    </row>
    <row r="9" spans="2:3" ht="27.75" customHeight="1" x14ac:dyDescent="0.3">
      <c r="B9" s="25" t="s">
        <v>313</v>
      </c>
      <c r="C9" s="25"/>
    </row>
    <row r="10" spans="2:3" ht="27.75" customHeight="1" x14ac:dyDescent="0.3">
      <c r="B10" s="25" t="s">
        <v>314</v>
      </c>
      <c r="C10" s="25"/>
    </row>
    <row r="11" spans="2:3" ht="27.75" customHeight="1" x14ac:dyDescent="0.3">
      <c r="B11" s="25" t="s">
        <v>315</v>
      </c>
      <c r="C11" s="25"/>
    </row>
    <row r="12" spans="2:3" x14ac:dyDescent="0.3">
      <c r="B12" s="22"/>
      <c r="C12" s="22"/>
    </row>
    <row r="13" spans="2:3" ht="30.6" customHeight="1" x14ac:dyDescent="0.3">
      <c r="B13" s="20" t="s">
        <v>316</v>
      </c>
      <c r="C13" s="20"/>
    </row>
    <row r="14" spans="2:3" x14ac:dyDescent="0.3">
      <c r="B14" s="18"/>
      <c r="C14" s="18"/>
    </row>
    <row r="15" spans="2:3" x14ac:dyDescent="0.3">
      <c r="B15" s="18"/>
      <c r="C15" s="18"/>
    </row>
  </sheetData>
  <mergeCells count="10">
    <mergeCell ref="B8:C8"/>
    <mergeCell ref="B9:C9"/>
    <mergeCell ref="B10:C10"/>
    <mergeCell ref="B11:C11"/>
    <mergeCell ref="B13:C13"/>
    <mergeCell ref="B1:C1"/>
    <mergeCell ref="B3:C3"/>
    <mergeCell ref="B4:C4"/>
    <mergeCell ref="B6:C6"/>
    <mergeCell ref="B7:C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Nifty Metal Dashboard</vt:lpstr>
      <vt:lpstr>Stock Prices</vt:lpstr>
      <vt:lpstr>Valuation Scorecard</vt:lpstr>
      <vt:lpstr>News &amp; Events</vt:lpstr>
      <vt:lpstr>FII DII</vt:lpstr>
      <vt:lpstr>Return Analysis</vt:lpstr>
      <vt:lpstr>Sector Outlook</vt:lpstr>
      <vt:lpstr>Economical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PRATHAM KUSHWAHA</cp:lastModifiedBy>
  <cp:revision>0</cp:revision>
  <dcterms:created xsi:type="dcterms:W3CDTF">2026-06-30T08:57:39Z</dcterms:created>
  <dcterms:modified xsi:type="dcterms:W3CDTF">2026-06-30T10:19:56Z</dcterms:modified>
  <dc:language>en-US</dc:language>
</cp:coreProperties>
</file>